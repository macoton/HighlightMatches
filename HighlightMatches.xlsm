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97467535-7983-4FE0-B7DF-7BA8931CA721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nm._FilterDatabase" localSheetId="2" hidden="1">データ!$B$2:$B$254</definedName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92" i="4" l="1"/>
  <c r="O292" i="4"/>
  <c r="M292" i="4"/>
  <c r="N292" i="4" s="1"/>
  <c r="K292" i="4"/>
  <c r="L292" i="4" s="1"/>
  <c r="P292" i="4" s="1"/>
  <c r="Q291" i="4"/>
  <c r="O291" i="4"/>
  <c r="M291" i="4"/>
  <c r="N291" i="4" s="1"/>
  <c r="K291" i="4"/>
  <c r="L291" i="4" s="1"/>
  <c r="Q290" i="4"/>
  <c r="O290" i="4"/>
  <c r="M290" i="4"/>
  <c r="N290" i="4" s="1"/>
  <c r="K290" i="4"/>
  <c r="L290" i="4" s="1"/>
  <c r="Q289" i="4"/>
  <c r="O289" i="4"/>
  <c r="N289" i="4"/>
  <c r="M289" i="4"/>
  <c r="K289" i="4"/>
  <c r="L289" i="4" s="1"/>
  <c r="P289" i="4" s="1"/>
  <c r="Q288" i="4"/>
  <c r="O288" i="4"/>
  <c r="M288" i="4"/>
  <c r="N288" i="4" s="1"/>
  <c r="K288" i="4"/>
  <c r="L288" i="4" s="1"/>
  <c r="Q287" i="4"/>
  <c r="O287" i="4"/>
  <c r="M287" i="4"/>
  <c r="K287" i="4"/>
  <c r="Q286" i="4"/>
  <c r="O286" i="4"/>
  <c r="M286" i="4"/>
  <c r="K286" i="4"/>
  <c r="Q285" i="4"/>
  <c r="O285" i="4"/>
  <c r="M285" i="4"/>
  <c r="K285" i="4"/>
  <c r="Q284" i="4"/>
  <c r="O284" i="4"/>
  <c r="M284" i="4"/>
  <c r="K284" i="4"/>
  <c r="Q283" i="4"/>
  <c r="O283" i="4"/>
  <c r="M283" i="4"/>
  <c r="K283" i="4"/>
  <c r="Q282" i="4"/>
  <c r="O282" i="4"/>
  <c r="M282" i="4"/>
  <c r="K282" i="4"/>
  <c r="Q281" i="4"/>
  <c r="O281" i="4"/>
  <c r="M281" i="4"/>
  <c r="K281" i="4"/>
  <c r="Q280" i="4"/>
  <c r="O280" i="4"/>
  <c r="M280" i="4"/>
  <c r="K280" i="4"/>
  <c r="Q279" i="4"/>
  <c r="O279" i="4"/>
  <c r="M279" i="4"/>
  <c r="K279" i="4"/>
  <c r="Q278" i="4"/>
  <c r="O278" i="4"/>
  <c r="M278" i="4"/>
  <c r="K278" i="4"/>
  <c r="Q277" i="4"/>
  <c r="O277" i="4"/>
  <c r="M277" i="4"/>
  <c r="K277" i="4"/>
  <c r="Q276" i="4"/>
  <c r="O276" i="4"/>
  <c r="M276" i="4"/>
  <c r="K276" i="4"/>
  <c r="Q275" i="4"/>
  <c r="O275" i="4"/>
  <c r="M275" i="4"/>
  <c r="K275" i="4"/>
  <c r="Q274" i="4"/>
  <c r="O274" i="4"/>
  <c r="M274" i="4"/>
  <c r="K274" i="4"/>
  <c r="Q273" i="4"/>
  <c r="O273" i="4"/>
  <c r="M273" i="4"/>
  <c r="K273" i="4"/>
  <c r="Q272" i="4"/>
  <c r="O272" i="4"/>
  <c r="M272" i="4"/>
  <c r="K272" i="4"/>
  <c r="Q271" i="4"/>
  <c r="O271" i="4"/>
  <c r="M271" i="4"/>
  <c r="K271" i="4"/>
  <c r="Q270" i="4"/>
  <c r="O270" i="4"/>
  <c r="M270" i="4"/>
  <c r="K270" i="4"/>
  <c r="Q269" i="4"/>
  <c r="O269" i="4"/>
  <c r="M269" i="4"/>
  <c r="K269" i="4"/>
  <c r="Q268" i="4"/>
  <c r="O268" i="4"/>
  <c r="M268" i="4"/>
  <c r="K268" i="4"/>
  <c r="Q267" i="4"/>
  <c r="O267" i="4"/>
  <c r="M267" i="4"/>
  <c r="K267" i="4"/>
  <c r="Q266" i="4"/>
  <c r="O266" i="4"/>
  <c r="M266" i="4"/>
  <c r="K266" i="4"/>
  <c r="Q265" i="4"/>
  <c r="O265" i="4"/>
  <c r="M265" i="4"/>
  <c r="K265" i="4"/>
  <c r="Q264" i="4"/>
  <c r="O264" i="4"/>
  <c r="M264" i="4"/>
  <c r="K264" i="4"/>
  <c r="Q263" i="4"/>
  <c r="O263" i="4"/>
  <c r="M263" i="4"/>
  <c r="K263" i="4"/>
  <c r="Q262" i="4"/>
  <c r="O262" i="4"/>
  <c r="M262" i="4"/>
  <c r="K262" i="4"/>
  <c r="Q261" i="4"/>
  <c r="O261" i="4"/>
  <c r="M261" i="4"/>
  <c r="K261" i="4"/>
  <c r="Q260" i="4"/>
  <c r="O260" i="4"/>
  <c r="M260" i="4"/>
  <c r="K260" i="4"/>
  <c r="Q259" i="4"/>
  <c r="O259" i="4"/>
  <c r="M259" i="4"/>
  <c r="K259" i="4"/>
  <c r="Q258" i="4"/>
  <c r="O258" i="4"/>
  <c r="M258" i="4"/>
  <c r="K258" i="4"/>
  <c r="Q257" i="4"/>
  <c r="O257" i="4"/>
  <c r="M257" i="4"/>
  <c r="K257" i="4"/>
  <c r="Q256" i="4"/>
  <c r="O256" i="4"/>
  <c r="M256" i="4"/>
  <c r="K256" i="4"/>
  <c r="Q255" i="4"/>
  <c r="O255" i="4"/>
  <c r="M255" i="4"/>
  <c r="K255" i="4"/>
  <c r="Q254" i="4"/>
  <c r="O254" i="4"/>
  <c r="M254" i="4"/>
  <c r="K254" i="4"/>
  <c r="Q253" i="4"/>
  <c r="O253" i="4"/>
  <c r="M253" i="4"/>
  <c r="K253" i="4"/>
  <c r="Q252" i="4"/>
  <c r="O252" i="4"/>
  <c r="M252" i="4"/>
  <c r="K252" i="4"/>
  <c r="Q251" i="4"/>
  <c r="O251" i="4"/>
  <c r="M251" i="4"/>
  <c r="K251" i="4"/>
  <c r="Q250" i="4"/>
  <c r="O250" i="4"/>
  <c r="M250" i="4"/>
  <c r="K250" i="4"/>
  <c r="Q249" i="4"/>
  <c r="O249" i="4"/>
  <c r="M249" i="4"/>
  <c r="K249" i="4"/>
  <c r="Q248" i="4"/>
  <c r="O248" i="4"/>
  <c r="M248" i="4"/>
  <c r="K248" i="4"/>
  <c r="Q247" i="4"/>
  <c r="O247" i="4"/>
  <c r="M247" i="4"/>
  <c r="K247" i="4"/>
  <c r="Q246" i="4"/>
  <c r="O246" i="4"/>
  <c r="M246" i="4"/>
  <c r="K246" i="4"/>
  <c r="Q245" i="4"/>
  <c r="O245" i="4"/>
  <c r="M245" i="4"/>
  <c r="K245" i="4"/>
  <c r="Q244" i="4"/>
  <c r="O244" i="4"/>
  <c r="M244" i="4"/>
  <c r="K244" i="4"/>
  <c r="Q243" i="4"/>
  <c r="O243" i="4"/>
  <c r="M243" i="4"/>
  <c r="K243" i="4"/>
  <c r="Q242" i="4"/>
  <c r="O242" i="4"/>
  <c r="M242" i="4"/>
  <c r="K242" i="4"/>
  <c r="Q241" i="4"/>
  <c r="O241" i="4"/>
  <c r="M241" i="4"/>
  <c r="K241" i="4"/>
  <c r="Q240" i="4"/>
  <c r="O240" i="4"/>
  <c r="M240" i="4"/>
  <c r="K240" i="4"/>
  <c r="Q239" i="4"/>
  <c r="O239" i="4"/>
  <c r="M239" i="4"/>
  <c r="K239" i="4"/>
  <c r="Q238" i="4"/>
  <c r="O238" i="4"/>
  <c r="M238" i="4"/>
  <c r="K238" i="4"/>
  <c r="Q237" i="4"/>
  <c r="O237" i="4"/>
  <c r="M237" i="4"/>
  <c r="K237" i="4"/>
  <c r="Q236" i="4"/>
  <c r="O236" i="4"/>
  <c r="M236" i="4"/>
  <c r="K236" i="4"/>
  <c r="Q235" i="4"/>
  <c r="O235" i="4"/>
  <c r="M235" i="4"/>
  <c r="K235" i="4"/>
  <c r="Q234" i="4"/>
  <c r="O234" i="4"/>
  <c r="M234" i="4"/>
  <c r="K234" i="4"/>
  <c r="Q233" i="4"/>
  <c r="O233" i="4"/>
  <c r="M233" i="4"/>
  <c r="K233" i="4"/>
  <c r="Q232" i="4"/>
  <c r="O232" i="4"/>
  <c r="M232" i="4"/>
  <c r="K232" i="4"/>
  <c r="Q231" i="4"/>
  <c r="O231" i="4"/>
  <c r="M231" i="4"/>
  <c r="K231" i="4"/>
  <c r="Q230" i="4"/>
  <c r="O230" i="4"/>
  <c r="M230" i="4"/>
  <c r="K230" i="4"/>
  <c r="Q229" i="4"/>
  <c r="O229" i="4"/>
  <c r="M229" i="4"/>
  <c r="K229" i="4"/>
  <c r="Q228" i="4"/>
  <c r="O228" i="4"/>
  <c r="M228" i="4"/>
  <c r="K228" i="4"/>
  <c r="Q227" i="4"/>
  <c r="O227" i="4"/>
  <c r="M227" i="4"/>
  <c r="K227" i="4"/>
  <c r="Q226" i="4"/>
  <c r="O226" i="4"/>
  <c r="M226" i="4"/>
  <c r="K226" i="4"/>
  <c r="Q225" i="4"/>
  <c r="O225" i="4"/>
  <c r="M225" i="4"/>
  <c r="K225" i="4"/>
  <c r="Q224" i="4"/>
  <c r="O224" i="4"/>
  <c r="M224" i="4"/>
  <c r="K224" i="4"/>
  <c r="Q223" i="4"/>
  <c r="O223" i="4"/>
  <c r="M223" i="4"/>
  <c r="K223" i="4"/>
  <c r="Q222" i="4"/>
  <c r="O222" i="4"/>
  <c r="M222" i="4"/>
  <c r="K222" i="4"/>
  <c r="Q221" i="4"/>
  <c r="O221" i="4"/>
  <c r="M221" i="4"/>
  <c r="K221" i="4"/>
  <c r="Q220" i="4"/>
  <c r="O220" i="4"/>
  <c r="M220" i="4"/>
  <c r="K220" i="4"/>
  <c r="Q219" i="4"/>
  <c r="O219" i="4"/>
  <c r="M219" i="4"/>
  <c r="K219" i="4"/>
  <c r="Q218" i="4"/>
  <c r="O218" i="4"/>
  <c r="M218" i="4"/>
  <c r="K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Q217" i="4"/>
  <c r="M217" i="4"/>
  <c r="K217" i="4"/>
  <c r="Q216" i="4"/>
  <c r="M216" i="4"/>
  <c r="K216" i="4"/>
  <c r="Q215" i="4"/>
  <c r="M215" i="4"/>
  <c r="K215" i="4"/>
  <c r="Q214" i="4"/>
  <c r="M214" i="4"/>
  <c r="K214" i="4"/>
  <c r="Q213" i="4"/>
  <c r="M213" i="4"/>
  <c r="K213" i="4"/>
  <c r="Q212" i="4"/>
  <c r="M212" i="4"/>
  <c r="K212" i="4"/>
  <c r="Q211" i="4"/>
  <c r="M211" i="4"/>
  <c r="K211" i="4"/>
  <c r="Q210" i="4"/>
  <c r="M210" i="4"/>
  <c r="K210" i="4"/>
  <c r="Q209" i="4"/>
  <c r="M209" i="4"/>
  <c r="K209" i="4"/>
  <c r="Q208" i="4"/>
  <c r="M208" i="4"/>
  <c r="K208" i="4"/>
  <c r="Q207" i="4"/>
  <c r="M207" i="4"/>
  <c r="K207" i="4"/>
  <c r="Q206" i="4"/>
  <c r="M206" i="4"/>
  <c r="K206" i="4"/>
  <c r="Q205" i="4"/>
  <c r="M205" i="4"/>
  <c r="K205" i="4"/>
  <c r="Q204" i="4"/>
  <c r="M204" i="4"/>
  <c r="K204" i="4"/>
  <c r="Q203" i="4"/>
  <c r="M203" i="4"/>
  <c r="K203" i="4"/>
  <c r="Q202" i="4"/>
  <c r="M202" i="4"/>
  <c r="K202" i="4"/>
  <c r="Q201" i="4"/>
  <c r="M201" i="4"/>
  <c r="K201" i="4"/>
  <c r="Q200" i="4"/>
  <c r="M200" i="4"/>
  <c r="K200" i="4"/>
  <c r="Q199" i="4"/>
  <c r="M199" i="4"/>
  <c r="K199" i="4"/>
  <c r="Q198" i="4"/>
  <c r="M198" i="4"/>
  <c r="K198" i="4"/>
  <c r="Q197" i="4"/>
  <c r="M197" i="4"/>
  <c r="K197" i="4"/>
  <c r="Q196" i="4"/>
  <c r="M196" i="4"/>
  <c r="K196" i="4"/>
  <c r="Q195" i="4"/>
  <c r="M195" i="4"/>
  <c r="K195" i="4"/>
  <c r="Q194" i="4"/>
  <c r="M194" i="4"/>
  <c r="K194" i="4"/>
  <c r="Q193" i="4"/>
  <c r="M193" i="4"/>
  <c r="K193" i="4"/>
  <c r="Q192" i="4"/>
  <c r="M192" i="4"/>
  <c r="K192" i="4"/>
  <c r="Q191" i="4"/>
  <c r="M191" i="4"/>
  <c r="K191" i="4"/>
  <c r="Q190" i="4"/>
  <c r="M190" i="4"/>
  <c r="K190" i="4"/>
  <c r="Q189" i="4"/>
  <c r="M189" i="4"/>
  <c r="K189" i="4"/>
  <c r="Q188" i="4"/>
  <c r="M188" i="4"/>
  <c r="K188" i="4"/>
  <c r="Q187" i="4"/>
  <c r="M187" i="4"/>
  <c r="K187" i="4"/>
  <c r="Q186" i="4"/>
  <c r="M186" i="4"/>
  <c r="K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M185" i="4"/>
  <c r="K185" i="4"/>
  <c r="M184" i="4"/>
  <c r="K184" i="4"/>
  <c r="M183" i="4"/>
  <c r="K183" i="4"/>
  <c r="M182" i="4"/>
  <c r="K182" i="4"/>
  <c r="M181" i="4"/>
  <c r="K181" i="4"/>
  <c r="M180" i="4"/>
  <c r="K180" i="4"/>
  <c r="M179" i="4"/>
  <c r="K179" i="4"/>
  <c r="M178" i="4"/>
  <c r="K178" i="4"/>
  <c r="M177" i="4"/>
  <c r="K177" i="4"/>
  <c r="M176" i="4"/>
  <c r="K176" i="4"/>
  <c r="M175" i="4"/>
  <c r="K175" i="4"/>
  <c r="M174" i="4"/>
  <c r="K174" i="4"/>
  <c r="M173" i="4"/>
  <c r="K173" i="4"/>
  <c r="M172" i="4"/>
  <c r="K172" i="4"/>
  <c r="M171" i="4"/>
  <c r="K171" i="4"/>
  <c r="M170" i="4"/>
  <c r="K170" i="4"/>
  <c r="M169" i="4"/>
  <c r="K169" i="4"/>
  <c r="M168" i="4"/>
  <c r="K168" i="4"/>
  <c r="M167" i="4"/>
  <c r="K167" i="4"/>
  <c r="M166" i="4"/>
  <c r="K166" i="4"/>
  <c r="M165" i="4"/>
  <c r="K165" i="4"/>
  <c r="M164" i="4"/>
  <c r="K164" i="4"/>
  <c r="M163" i="4"/>
  <c r="K163" i="4"/>
  <c r="M162" i="4"/>
  <c r="K162" i="4"/>
  <c r="M161" i="4"/>
  <c r="K161" i="4"/>
  <c r="M160" i="4"/>
  <c r="K160" i="4"/>
  <c r="M159" i="4"/>
  <c r="K159" i="4"/>
  <c r="M158" i="4"/>
  <c r="K158" i="4"/>
  <c r="M157" i="4"/>
  <c r="K157" i="4"/>
  <c r="M156" i="4"/>
  <c r="K156" i="4"/>
  <c r="M155" i="4"/>
  <c r="K155" i="4"/>
  <c r="M154" i="4"/>
  <c r="K154" i="4"/>
  <c r="M153" i="4"/>
  <c r="K153" i="4"/>
  <c r="M152" i="4"/>
  <c r="K152" i="4"/>
  <c r="M151" i="4"/>
  <c r="K151" i="4"/>
  <c r="M150" i="4"/>
  <c r="K150" i="4"/>
  <c r="M149" i="4"/>
  <c r="K149" i="4"/>
  <c r="M148" i="4"/>
  <c r="K148" i="4"/>
  <c r="M147" i="4"/>
  <c r="K147" i="4"/>
  <c r="M146" i="4"/>
  <c r="K146" i="4"/>
  <c r="M145" i="4"/>
  <c r="K145" i="4"/>
  <c r="M144" i="4"/>
  <c r="K144" i="4"/>
  <c r="M143" i="4"/>
  <c r="K143" i="4"/>
  <c r="M142" i="4"/>
  <c r="K142" i="4"/>
  <c r="M141" i="4"/>
  <c r="K141" i="4"/>
  <c r="M140" i="4"/>
  <c r="K140" i="4"/>
  <c r="M139" i="4"/>
  <c r="K139" i="4"/>
  <c r="M138" i="4"/>
  <c r="K138" i="4"/>
  <c r="M137" i="4"/>
  <c r="K137" i="4"/>
  <c r="M136" i="4"/>
  <c r="K136" i="4"/>
  <c r="M135" i="4"/>
  <c r="K135" i="4"/>
  <c r="M134" i="4"/>
  <c r="K134" i="4"/>
  <c r="M133" i="4"/>
  <c r="K133" i="4"/>
  <c r="M132" i="4"/>
  <c r="K132" i="4"/>
  <c r="M131" i="4"/>
  <c r="K131" i="4"/>
  <c r="M130" i="4"/>
  <c r="K130" i="4"/>
  <c r="M129" i="4"/>
  <c r="K129" i="4"/>
  <c r="M128" i="4"/>
  <c r="K128" i="4"/>
  <c r="M127" i="4"/>
  <c r="K127" i="4"/>
  <c r="M126" i="4"/>
  <c r="K126" i="4"/>
  <c r="M125" i="4"/>
  <c r="K125" i="4"/>
  <c r="M124" i="4"/>
  <c r="K124" i="4"/>
  <c r="M123" i="4"/>
  <c r="K123" i="4"/>
  <c r="M122" i="4"/>
  <c r="K122" i="4"/>
  <c r="M121" i="4"/>
  <c r="K121" i="4"/>
  <c r="M120" i="4"/>
  <c r="K120" i="4"/>
  <c r="M119" i="4"/>
  <c r="K119" i="4"/>
  <c r="M118" i="4"/>
  <c r="K118" i="4"/>
  <c r="M117" i="4"/>
  <c r="K117" i="4"/>
  <c r="M116" i="4"/>
  <c r="K116" i="4"/>
  <c r="M115" i="4"/>
  <c r="K115" i="4"/>
  <c r="M114" i="4"/>
  <c r="K114" i="4"/>
  <c r="M113" i="4"/>
  <c r="K113" i="4"/>
  <c r="M112" i="4"/>
  <c r="K112" i="4"/>
  <c r="M111" i="4"/>
  <c r="K111" i="4"/>
  <c r="M110" i="4"/>
  <c r="K110" i="4"/>
  <c r="M109" i="4"/>
  <c r="K109" i="4"/>
  <c r="M108" i="4"/>
  <c r="K108" i="4"/>
  <c r="M107" i="4"/>
  <c r="K107" i="4"/>
  <c r="M106" i="4"/>
  <c r="K106" i="4"/>
  <c r="M105" i="4"/>
  <c r="K105" i="4"/>
  <c r="M104" i="4"/>
  <c r="K104" i="4"/>
  <c r="M103" i="4"/>
  <c r="K103" i="4"/>
  <c r="M102" i="4"/>
  <c r="K102" i="4"/>
  <c r="M101" i="4"/>
  <c r="K101" i="4"/>
  <c r="M100" i="4"/>
  <c r="K100" i="4"/>
  <c r="M99" i="4"/>
  <c r="K99" i="4"/>
  <c r="M98" i="4"/>
  <c r="K98" i="4"/>
  <c r="M97" i="4"/>
  <c r="K97" i="4"/>
  <c r="M96" i="4"/>
  <c r="K96" i="4"/>
  <c r="M95" i="4"/>
  <c r="K95" i="4"/>
  <c r="M94" i="4"/>
  <c r="K94" i="4"/>
  <c r="M93" i="4"/>
  <c r="K93" i="4"/>
  <c r="M92" i="4"/>
  <c r="K92" i="4"/>
  <c r="M91" i="4"/>
  <c r="K91" i="4"/>
  <c r="M90" i="4"/>
  <c r="K90" i="4"/>
  <c r="M89" i="4"/>
  <c r="K89" i="4"/>
  <c r="M88" i="4"/>
  <c r="K88" i="4"/>
  <c r="M87" i="4"/>
  <c r="K87" i="4"/>
  <c r="M86" i="4"/>
  <c r="K86" i="4"/>
  <c r="M85" i="4"/>
  <c r="K85" i="4"/>
  <c r="M84" i="4"/>
  <c r="K84" i="4"/>
  <c r="M83" i="4"/>
  <c r="K83" i="4"/>
  <c r="M82" i="4"/>
  <c r="K82" i="4"/>
  <c r="M81" i="4"/>
  <c r="K81" i="4"/>
  <c r="M80" i="4"/>
  <c r="K80" i="4"/>
  <c r="M79" i="4"/>
  <c r="K79" i="4"/>
  <c r="M78" i="4"/>
  <c r="K78" i="4"/>
  <c r="M77" i="4"/>
  <c r="K77" i="4"/>
  <c r="M76" i="4"/>
  <c r="K76" i="4"/>
  <c r="M75" i="4"/>
  <c r="K75" i="4"/>
  <c r="M74" i="4"/>
  <c r="K74" i="4"/>
  <c r="M73" i="4"/>
  <c r="K73" i="4"/>
  <c r="M72" i="4"/>
  <c r="K72" i="4"/>
  <c r="M71" i="4"/>
  <c r="K71" i="4"/>
  <c r="M70" i="4"/>
  <c r="K70" i="4"/>
  <c r="M69" i="4"/>
  <c r="K69" i="4"/>
  <c r="M68" i="4"/>
  <c r="K68" i="4"/>
  <c r="M67" i="4"/>
  <c r="K67" i="4"/>
  <c r="M66" i="4"/>
  <c r="K66" i="4"/>
  <c r="M65" i="4"/>
  <c r="K65" i="4"/>
  <c r="M64" i="4"/>
  <c r="K64" i="4"/>
  <c r="M63" i="4"/>
  <c r="K63" i="4"/>
  <c r="M62" i="4"/>
  <c r="K62" i="4"/>
  <c r="M61" i="4"/>
  <c r="K61" i="4"/>
  <c r="M60" i="4"/>
  <c r="K60" i="4"/>
  <c r="M59" i="4"/>
  <c r="K59" i="4"/>
  <c r="M58" i="4"/>
  <c r="K58" i="4"/>
  <c r="M57" i="4"/>
  <c r="K57" i="4"/>
  <c r="M56" i="4"/>
  <c r="K56" i="4"/>
  <c r="M55" i="4"/>
  <c r="K55" i="4"/>
  <c r="M54" i="4"/>
  <c r="K54" i="4"/>
  <c r="M53" i="4"/>
  <c r="K53" i="4"/>
  <c r="M52" i="4"/>
  <c r="K52" i="4"/>
  <c r="M51" i="4"/>
  <c r="K51" i="4"/>
  <c r="M50" i="4"/>
  <c r="K50" i="4"/>
  <c r="M49" i="4"/>
  <c r="K49" i="4"/>
  <c r="M48" i="4"/>
  <c r="K48" i="4"/>
  <c r="M47" i="4"/>
  <c r="K47" i="4"/>
  <c r="M46" i="4"/>
  <c r="K46" i="4"/>
  <c r="M45" i="4"/>
  <c r="K45" i="4"/>
  <c r="M44" i="4"/>
  <c r="K44" i="4"/>
  <c r="M43" i="4"/>
  <c r="K43" i="4"/>
  <c r="M42" i="4"/>
  <c r="K42" i="4"/>
  <c r="M41" i="4"/>
  <c r="K41" i="4"/>
  <c r="M40" i="4"/>
  <c r="K40" i="4"/>
  <c r="M39" i="4"/>
  <c r="K39" i="4"/>
  <c r="M38" i="4"/>
  <c r="K38" i="4"/>
  <c r="M37" i="4"/>
  <c r="K37" i="4"/>
  <c r="M36" i="4"/>
  <c r="K36" i="4"/>
  <c r="M35" i="4"/>
  <c r="K35" i="4"/>
  <c r="M34" i="4"/>
  <c r="K34" i="4"/>
  <c r="M33" i="4"/>
  <c r="K33" i="4"/>
  <c r="M32" i="4"/>
  <c r="K32" i="4"/>
  <c r="M31" i="4"/>
  <c r="K31" i="4"/>
  <c r="M30" i="4"/>
  <c r="K30" i="4"/>
  <c r="M29" i="4"/>
  <c r="K29" i="4"/>
  <c r="M28" i="4"/>
  <c r="K28" i="4"/>
  <c r="M27" i="4"/>
  <c r="K27" i="4"/>
  <c r="M26" i="4"/>
  <c r="K26" i="4"/>
  <c r="M25" i="4"/>
  <c r="K25" i="4"/>
  <c r="M24" i="4"/>
  <c r="K24" i="4"/>
  <c r="M23" i="4"/>
  <c r="K23" i="4"/>
  <c r="M22" i="4"/>
  <c r="K22" i="4"/>
  <c r="M21" i="4"/>
  <c r="K21" i="4"/>
  <c r="M20" i="4"/>
  <c r="K20" i="4"/>
  <c r="M19" i="4"/>
  <c r="K19" i="4"/>
  <c r="K18" i="4"/>
  <c r="M18" i="4"/>
  <c r="P291" i="4" l="1"/>
  <c r="P290" i="4"/>
  <c r="P288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l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N185" i="4" l="1"/>
  <c r="P20" i="4"/>
  <c r="L21" i="4"/>
  <c r="T2" i="5"/>
  <c r="T3" i="5"/>
  <c r="T4" i="3"/>
  <c r="S5" i="3"/>
  <c r="N186" i="4" l="1"/>
  <c r="L22" i="4"/>
  <c r="P21" i="4"/>
  <c r="T4" i="5"/>
  <c r="S6" i="3"/>
  <c r="T6" i="3" s="1"/>
  <c r="T5" i="3"/>
  <c r="N187" i="4" l="1"/>
  <c r="L23" i="4"/>
  <c r="P22" i="4"/>
  <c r="T6" i="5"/>
  <c r="T5" i="5"/>
  <c r="N188" i="4" l="1"/>
  <c r="L24" i="4"/>
  <c r="P23" i="4"/>
  <c r="P18" i="4"/>
  <c r="N189" i="4" l="1"/>
  <c r="P24" i="4"/>
  <c r="L25" i="4"/>
  <c r="N190" i="4" l="1"/>
  <c r="L26" i="4"/>
  <c r="P25" i="4"/>
  <c r="N191" i="4" l="1"/>
  <c r="L27" i="4"/>
  <c r="P26" i="4"/>
  <c r="N192" i="4" l="1"/>
  <c r="L28" i="4"/>
  <c r="P27" i="4"/>
  <c r="N193" i="4" l="1"/>
  <c r="P28" i="4"/>
  <c r="L29" i="4"/>
  <c r="N194" i="4" l="1"/>
  <c r="L30" i="4"/>
  <c r="P29" i="4"/>
  <c r="N195" i="4" l="1"/>
  <c r="L31" i="4"/>
  <c r="P30" i="4"/>
  <c r="N196" i="4" l="1"/>
  <c r="L32" i="4"/>
  <c r="P31" i="4"/>
  <c r="N197" i="4" l="1"/>
  <c r="P32" i="4"/>
  <c r="L33" i="4"/>
  <c r="N198" i="4" l="1"/>
  <c r="L34" i="4"/>
  <c r="P33" i="4"/>
  <c r="N199" i="4" l="1"/>
  <c r="L35" i="4"/>
  <c r="P34" i="4"/>
  <c r="N200" i="4" l="1"/>
  <c r="L36" i="4"/>
  <c r="P35" i="4"/>
  <c r="N201" i="4" l="1"/>
  <c r="P36" i="4"/>
  <c r="L37" i="4"/>
  <c r="N202" i="4" l="1"/>
  <c r="L38" i="4"/>
  <c r="P37" i="4"/>
  <c r="N203" i="4" l="1"/>
  <c r="L39" i="4"/>
  <c r="P38" i="4"/>
  <c r="N204" i="4" l="1"/>
  <c r="L40" i="4"/>
  <c r="P39" i="4"/>
  <c r="N205" i="4" l="1"/>
  <c r="P40" i="4"/>
  <c r="L41" i="4"/>
  <c r="N206" i="4" l="1"/>
  <c r="L42" i="4"/>
  <c r="P41" i="4"/>
  <c r="N207" i="4" l="1"/>
  <c r="L43" i="4"/>
  <c r="P42" i="4"/>
  <c r="N208" i="4" l="1"/>
  <c r="L44" i="4"/>
  <c r="P43" i="4"/>
  <c r="N209" i="4" l="1"/>
  <c r="P44" i="4"/>
  <c r="L45" i="4"/>
  <c r="N210" i="4" l="1"/>
  <c r="L46" i="4"/>
  <c r="P45" i="4"/>
  <c r="N211" i="4" l="1"/>
  <c r="L47" i="4"/>
  <c r="P46" i="4"/>
  <c r="N212" i="4" l="1"/>
  <c r="L48" i="4"/>
  <c r="P47" i="4"/>
  <c r="N213" i="4" l="1"/>
  <c r="P48" i="4"/>
  <c r="L49" i="4"/>
  <c r="N214" i="4" l="1"/>
  <c r="L50" i="4"/>
  <c r="P49" i="4"/>
  <c r="N215" i="4" l="1"/>
  <c r="L51" i="4"/>
  <c r="P50" i="4"/>
  <c r="N216" i="4" l="1"/>
  <c r="L52" i="4"/>
  <c r="P51" i="4"/>
  <c r="N217" i="4" l="1"/>
  <c r="P52" i="4"/>
  <c r="L53" i="4"/>
  <c r="N218" i="4" l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L54" i="4"/>
  <c r="P53" i="4"/>
  <c r="L55" i="4" l="1"/>
  <c r="P54" i="4"/>
  <c r="L56" i="4" l="1"/>
  <c r="P55" i="4"/>
  <c r="P56" i="4" l="1"/>
  <c r="L57" i="4"/>
  <c r="L58" i="4" l="1"/>
  <c r="P57" i="4"/>
  <c r="L59" i="4" l="1"/>
  <c r="P58" i="4"/>
  <c r="L60" i="4" l="1"/>
  <c r="P59" i="4"/>
  <c r="P60" i="4" l="1"/>
  <c r="L61" i="4"/>
  <c r="L62" i="4" l="1"/>
  <c r="P61" i="4"/>
  <c r="L63" i="4" l="1"/>
  <c r="P62" i="4"/>
  <c r="L64" i="4" l="1"/>
  <c r="P63" i="4"/>
  <c r="P64" i="4" l="1"/>
  <c r="L65" i="4"/>
  <c r="L66" i="4" l="1"/>
  <c r="P65" i="4"/>
  <c r="L67" i="4" l="1"/>
  <c r="P66" i="4"/>
  <c r="L68" i="4" l="1"/>
  <c r="P67" i="4"/>
  <c r="P68" i="4" l="1"/>
  <c r="L69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1" i="4"/>
  <c r="P182" i="4" l="1"/>
  <c r="L183" i="4"/>
  <c r="L184" i="4" l="1"/>
  <c r="P183" i="4"/>
  <c r="L185" i="4" l="1"/>
  <c r="P184" i="4"/>
  <c r="L186" i="4" l="1"/>
  <c r="P185" i="4"/>
  <c r="L187" i="4" l="1"/>
  <c r="P186" i="4"/>
  <c r="L188" i="4" l="1"/>
  <c r="P187" i="4"/>
  <c r="L189" i="4" l="1"/>
  <c r="P188" i="4"/>
  <c r="L190" i="4" l="1"/>
  <c r="P189" i="4"/>
  <c r="L191" i="4" l="1"/>
  <c r="P190" i="4"/>
  <c r="L192" i="4" l="1"/>
  <c r="P191" i="4"/>
  <c r="L193" i="4" l="1"/>
  <c r="P192" i="4"/>
  <c r="L194" i="4" l="1"/>
  <c r="P193" i="4"/>
  <c r="L195" i="4" l="1"/>
  <c r="P194" i="4"/>
  <c r="L196" i="4" l="1"/>
  <c r="P195" i="4"/>
  <c r="L197" i="4" l="1"/>
  <c r="P196" i="4"/>
  <c r="L198" i="4" l="1"/>
  <c r="P197" i="4"/>
  <c r="L199" i="4" l="1"/>
  <c r="P198" i="4"/>
  <c r="L200" i="4" l="1"/>
  <c r="P199" i="4"/>
  <c r="L201" i="4" l="1"/>
  <c r="P200" i="4"/>
  <c r="L202" i="4" l="1"/>
  <c r="P201" i="4"/>
  <c r="L203" i="4" l="1"/>
  <c r="P202" i="4"/>
  <c r="L204" i="4" l="1"/>
  <c r="P203" i="4"/>
  <c r="L205" i="4" l="1"/>
  <c r="P204" i="4"/>
  <c r="L206" i="4" l="1"/>
  <c r="P205" i="4"/>
  <c r="L207" i="4" l="1"/>
  <c r="P206" i="4"/>
  <c r="L208" i="4" l="1"/>
  <c r="P207" i="4"/>
  <c r="L209" i="4" l="1"/>
  <c r="P208" i="4"/>
  <c r="L210" i="4" l="1"/>
  <c r="P209" i="4"/>
  <c r="L211" i="4" l="1"/>
  <c r="P210" i="4"/>
  <c r="L212" i="4" l="1"/>
  <c r="P211" i="4"/>
  <c r="L213" i="4" l="1"/>
  <c r="P212" i="4"/>
  <c r="L214" i="4" l="1"/>
  <c r="P213" i="4"/>
  <c r="L215" i="4" l="1"/>
  <c r="P214" i="4"/>
  <c r="L216" i="4" l="1"/>
  <c r="P215" i="4"/>
  <c r="L217" i="4" l="1"/>
  <c r="P216" i="4"/>
  <c r="L218" i="4" l="1"/>
  <c r="P217" i="4"/>
  <c r="P218" i="4" l="1"/>
  <c r="L219" i="4"/>
  <c r="P219" i="4" l="1"/>
  <c r="L220" i="4"/>
  <c r="P220" i="4" l="1"/>
  <c r="L221" i="4"/>
  <c r="P221" i="4" l="1"/>
  <c r="L222" i="4"/>
  <c r="P222" i="4" l="1"/>
  <c r="L223" i="4"/>
  <c r="P223" i="4" l="1"/>
  <c r="L224" i="4"/>
  <c r="P224" i="4" l="1"/>
  <c r="L225" i="4"/>
  <c r="P225" i="4" l="1"/>
  <c r="L226" i="4"/>
  <c r="P226" i="4" l="1"/>
  <c r="L227" i="4"/>
  <c r="L228" i="4" s="1"/>
  <c r="P228" i="4" l="1"/>
  <c r="L229" i="4"/>
  <c r="P227" i="4"/>
  <c r="L230" i="4" l="1"/>
  <c r="P229" i="4"/>
  <c r="L231" i="4" l="1"/>
  <c r="P230" i="4"/>
  <c r="P231" i="4" l="1"/>
  <c r="L232" i="4"/>
  <c r="P232" i="4" l="1"/>
  <c r="L233" i="4"/>
  <c r="P233" i="4" l="1"/>
  <c r="L234" i="4"/>
  <c r="P234" i="4" l="1"/>
  <c r="L235" i="4"/>
  <c r="P235" i="4" l="1"/>
  <c r="L236" i="4"/>
  <c r="P236" i="4" l="1"/>
  <c r="L237" i="4"/>
  <c r="P237" i="4" l="1"/>
  <c r="L238" i="4"/>
  <c r="P238" i="4" l="1"/>
  <c r="L239" i="4"/>
  <c r="L240" i="4" l="1"/>
  <c r="P239" i="4"/>
  <c r="P240" i="4" l="1"/>
  <c r="L241" i="4"/>
  <c r="P241" i="4" l="1"/>
  <c r="L242" i="4"/>
  <c r="L243" i="4" l="1"/>
  <c r="P242" i="4"/>
  <c r="L244" i="4" l="1"/>
  <c r="P243" i="4"/>
  <c r="L245" i="4" l="1"/>
  <c r="P244" i="4"/>
  <c r="P245" i="4" l="1"/>
  <c r="L246" i="4"/>
  <c r="L247" i="4" l="1"/>
  <c r="P246" i="4"/>
  <c r="P247" i="4" l="1"/>
  <c r="L248" i="4"/>
  <c r="P248" i="4" l="1"/>
  <c r="L249" i="4"/>
  <c r="L250" i="4" l="1"/>
  <c r="P249" i="4"/>
  <c r="P250" i="4" l="1"/>
  <c r="L251" i="4"/>
  <c r="P251" i="4" l="1"/>
  <c r="L252" i="4"/>
  <c r="P252" i="4" l="1"/>
  <c r="L253" i="4"/>
  <c r="L254" i="4" s="1"/>
  <c r="P254" i="4" l="1"/>
  <c r="L255" i="4"/>
  <c r="P253" i="4"/>
  <c r="P255" i="4" l="1"/>
  <c r="L256" i="4"/>
  <c r="P256" i="4" l="1"/>
  <c r="L257" i="4"/>
  <c r="L258" i="4" l="1"/>
  <c r="P257" i="4"/>
  <c r="P258" i="4" l="1"/>
  <c r="L259" i="4"/>
  <c r="P259" i="4" l="1"/>
  <c r="L260" i="4"/>
  <c r="P260" i="4" l="1"/>
  <c r="L261" i="4"/>
  <c r="P261" i="4" l="1"/>
  <c r="L262" i="4"/>
  <c r="L263" i="4" l="1"/>
  <c r="P262" i="4"/>
  <c r="L264" i="4" l="1"/>
  <c r="P263" i="4"/>
  <c r="P264" i="4" l="1"/>
  <c r="L265" i="4"/>
  <c r="L266" i="4" l="1"/>
  <c r="P265" i="4"/>
  <c r="P266" i="4" l="1"/>
  <c r="L267" i="4"/>
  <c r="P267" i="4" l="1"/>
  <c r="L268" i="4"/>
  <c r="P268" i="4" l="1"/>
  <c r="L269" i="4"/>
  <c r="P269" i="4" l="1"/>
  <c r="L270" i="4"/>
  <c r="P270" i="4" l="1"/>
  <c r="L271" i="4"/>
  <c r="P271" i="4" l="1"/>
  <c r="L272" i="4"/>
  <c r="P272" i="4" l="1"/>
  <c r="L273" i="4"/>
  <c r="P273" i="4" l="1"/>
  <c r="L274" i="4"/>
  <c r="P274" i="4" l="1"/>
  <c r="L275" i="4"/>
  <c r="L276" i="4" l="1"/>
  <c r="P275" i="4"/>
  <c r="P276" i="4" l="1"/>
  <c r="L277" i="4"/>
  <c r="P277" i="4" l="1"/>
  <c r="L278" i="4"/>
  <c r="L279" i="4" l="1"/>
  <c r="P278" i="4"/>
  <c r="P279" i="4" l="1"/>
  <c r="L280" i="4"/>
  <c r="L281" i="4" l="1"/>
  <c r="P280" i="4"/>
  <c r="P281" i="4" l="1"/>
  <c r="L282" i="4"/>
  <c r="P282" i="4" l="1"/>
  <c r="L283" i="4"/>
  <c r="P283" i="4" l="1"/>
  <c r="L284" i="4"/>
  <c r="P284" i="4" l="1"/>
  <c r="L285" i="4"/>
  <c r="L286" i="4" l="1"/>
  <c r="P285" i="4"/>
  <c r="P286" i="4" l="1"/>
  <c r="L287" i="4"/>
  <c r="P287" i="4" s="1"/>
</calcChain>
</file>

<file path=xl/sharedStrings.xml><?xml version="1.0" encoding="utf-8"?>
<sst xmlns="http://schemas.openxmlformats.org/spreadsheetml/2006/main" count="661" uniqueCount="640">
  <si>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</si>
  <si>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</si>
  <si>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</si>
  <si>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</si>
  <si>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</si>
  <si>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</si>
  <si>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</si>
  <si>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</si>
  <si>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</si>
  <si>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</si>
  <si>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</si>
  <si>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</si>
  <si>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</si>
  <si>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</si>
  <si>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</si>
  <si>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</si>
  <si>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</si>
  <si>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</si>
  <si>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</si>
  <si>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</si>
  <si>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</si>
  <si>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</si>
  <si>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</si>
  <si>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</si>
  <si>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</si>
  <si>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</si>
  <si>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</si>
  <si>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</si>
  <si>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</si>
  <si>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</si>
  <si>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</si>
  <si>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</si>
  <si>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</si>
  <si>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</si>
  <si>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</si>
  <si>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</si>
  <si>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</si>
  <si>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</si>
  <si>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</si>
  <si>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</si>
  <si>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</si>
  <si>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</si>
  <si>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</si>
  <si>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</si>
  <si>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</si>
  <si>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</si>
  <si>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</si>
  <si>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</si>
  <si>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</si>
  <si>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</si>
  <si>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</si>
  <si>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</si>
  <si>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</si>
  <si>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</si>
  <si>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</si>
  <si>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</si>
  <si>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</si>
  <si>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</si>
  <si>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</si>
  <si>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</si>
  <si>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</si>
  <si>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</si>
  <si>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</si>
  <si>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</si>
  <si>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</si>
  <si>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</si>
  <si>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</si>
  <si>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</si>
  <si>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</si>
  <si>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</si>
  <si>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</si>
  <si>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</si>
  <si>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</si>
  <si>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</si>
  <si>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</si>
  <si>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</si>
  <si>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</si>
  <si>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</si>
  <si>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</si>
  <si>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</si>
  <si>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</si>
  <si>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</si>
  <si>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</si>
  <si>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</si>
  <si>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</si>
  <si>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</si>
  <si>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</si>
  <si>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</si>
  <si>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</si>
  <si>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</si>
  <si>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</si>
  <si>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</si>
  <si>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</si>
  <si>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</si>
  <si>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</si>
  <si>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</si>
  <si>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</si>
  <si>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</si>
  <si>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</si>
  <si>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</si>
  <si>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</si>
  <si>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</si>
  <si>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</si>
  <si>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</si>
  <si>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</si>
  <si>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</si>
  <si>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</si>
  <si>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</si>
  <si>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</si>
  <si>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</si>
  <si>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</si>
  <si>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</si>
  <si>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</si>
  <si>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</si>
  <si>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</si>
  <si>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</si>
  <si>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</si>
  <si>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</si>
  <si>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</si>
  <si>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</si>
  <si>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</si>
  <si>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</si>
  <si>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</si>
  <si>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</si>
  <si>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</si>
  <si>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</si>
  <si>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</si>
  <si>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</si>
  <si>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</si>
  <si>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</si>
  <si>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</si>
  <si>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</si>
  <si>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</si>
  <si>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</si>
  <si>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</si>
  <si>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</si>
  <si>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</si>
  <si>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</si>
  <si>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</si>
  <si>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</si>
  <si>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</si>
  <si>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</si>
  <si>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</si>
  <si>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</si>
  <si>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</si>
  <si>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</si>
  <si>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</si>
  <si>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</si>
  <si>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</si>
  <si>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</si>
  <si>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</si>
  <si>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</si>
  <si>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</si>
  <si>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</si>
  <si>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</si>
  <si>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</si>
  <si>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</si>
  <si>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</si>
  <si>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</si>
  <si>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</si>
  <si>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</si>
  <si>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</si>
  <si>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</si>
  <si>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</si>
  <si>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</si>
  <si>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</si>
  <si>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</si>
  <si>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</si>
  <si>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</si>
  <si>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</si>
  <si>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</si>
  <si>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</si>
  <si>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</si>
  <si>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</si>
  <si>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</si>
  <si>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</si>
  <si>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</si>
  <si>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</si>
  <si>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</si>
  <si>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</si>
  <si>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</si>
  <si>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</si>
  <si>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</si>
  <si>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</si>
  <si>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</si>
  <si>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</si>
  <si>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</si>
  <si>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</si>
  <si>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</si>
  <si>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</si>
  <si>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</si>
  <si>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</si>
  <si>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</si>
  <si>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</si>
  <si>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</si>
  <si>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</si>
  <si>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</si>
  <si>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</si>
  <si>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</si>
  <si>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</si>
  <si>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</si>
  <si>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</si>
  <si>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</si>
  <si>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</si>
  <si>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</si>
  <si>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</si>
  <si>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</si>
  <si>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</si>
  <si>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</si>
  <si>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</si>
  <si>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</si>
  <si>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</si>
  <si>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</si>
  <si>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</si>
  <si>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</si>
  <si>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</si>
  <si>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</si>
  <si>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</si>
  <si>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</si>
  <si>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</si>
  <si>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</si>
  <si>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</si>
  <si>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</si>
  <si>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</si>
  <si>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</si>
  <si>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</si>
  <si>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</si>
  <si>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</si>
  <si>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</si>
  <si>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</si>
  <si>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</si>
  <si>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</si>
  <si>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</si>
  <si>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</si>
  <si>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</si>
  <si>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</si>
  <si>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</si>
  <si>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</si>
  <si>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</si>
  <si>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</si>
  <si>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</si>
  <si>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</si>
  <si>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</si>
  <si>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</si>
  <si>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</si>
  <si>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</si>
  <si>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</si>
  <si>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</si>
  <si>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</si>
  <si>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</si>
  <si>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</si>
  <si>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</si>
  <si>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</si>
  <si>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</si>
  <si>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</si>
  <si>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</si>
  <si>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</si>
  <si>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</si>
  <si>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</si>
  <si>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</si>
  <si>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</si>
  <si>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</si>
  <si>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</si>
  <si>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</si>
  <si>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</si>
  <si>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</si>
  <si>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</si>
  <si>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</si>
  <si>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</si>
  <si>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</si>
  <si>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</si>
  <si>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</si>
  <si>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</si>
  <si>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</si>
  <si>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</si>
  <si>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</si>
  <si>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</si>
  <si>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</si>
  <si>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</si>
  <si>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</si>
  <si>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</si>
  <si>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</si>
  <si>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</si>
  <si>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</si>
  <si>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</si>
  <si>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</si>
  <si>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</si>
  <si>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</si>
  <si>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</si>
  <si>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</si>
  <si>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</si>
  <si>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</si>
  <si>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</si>
  <si>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</si>
  <si>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</si>
  <si>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</si>
  <si>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</si>
  <si>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</si>
  <si>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</si>
  <si>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</si>
  <si>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</si>
  <si>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</si>
  <si>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</si>
  <si>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</si>
  <si>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</si>
  <si>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</si>
  <si>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</si>
  <si>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</si>
  <si>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</si>
  <si>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</si>
  <si>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</si>
  <si>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</si>
  <si>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</si>
  <si>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</si>
  <si>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</si>
  <si>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</si>
  <si>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</si>
  <si>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</si>
  <si>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</si>
  <si>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</si>
  <si>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</si>
  <si>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</si>
  <si>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</si>
  <si>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</si>
  <si>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</si>
  <si>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</si>
  <si>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</si>
  <si>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</si>
  <si>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</si>
  <si>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</si>
  <si>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</si>
  <si>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</si>
  <si>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</si>
  <si>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</si>
  <si>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</si>
  <si>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</si>
  <si>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</si>
  <si>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</si>
  <si>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</si>
  <si>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</si>
  <si>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</si>
  <si>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</si>
  <si>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</si>
  <si>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</si>
  <si>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</si>
  <si>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</si>
  <si>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</si>
  <si>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</si>
  <si>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</si>
  <si>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</si>
  <si>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</si>
  <si>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</si>
  <si>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</si>
  <si>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</si>
  <si>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</si>
  <si>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</si>
  <si>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</si>
  <si>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</si>
  <si>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</si>
  <si>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</si>
  <si>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</si>
  <si>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</si>
  <si>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</si>
  <si>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</si>
  <si>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</si>
  <si>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</si>
  <si>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</si>
  <si>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</si>
  <si>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</si>
  <si>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</si>
  <si>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</si>
  <si>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</si>
  <si>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</si>
  <si>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</si>
  <si>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</si>
  <si>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</si>
  <si>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</si>
  <si>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</si>
  <si>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</si>
  <si>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</si>
  <si>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</si>
  <si>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</si>
  <si>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</si>
  <si>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</si>
  <si>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</si>
  <si>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</si>
  <si>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</si>
  <si>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</si>
  <si>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</si>
  <si>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</si>
  <si>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</si>
  <si>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</si>
  <si>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</si>
  <si>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</si>
  <si>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</si>
  <si>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</si>
  <si>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</si>
  <si>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</si>
  <si>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</si>
  <si>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</si>
  <si>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</si>
  <si>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</si>
  <si>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</si>
  <si>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</si>
  <si>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</si>
  <si>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</si>
  <si>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</si>
  <si>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</si>
  <si>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</si>
  <si>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</si>
  <si>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</si>
  <si>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</si>
  <si>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</si>
  <si>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</si>
  <si>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</si>
  <si>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</si>
  <si>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</si>
  <si>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</si>
  <si>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</si>
  <si>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</si>
  <si>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</si>
  <si>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</si>
  <si>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</si>
  <si>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</si>
  <si>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</si>
  <si>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</si>
  <si>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</si>
  <si>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</si>
  <si>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</si>
  <si>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</si>
  <si>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</si>
  <si>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</si>
  <si>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</si>
  <si>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</si>
  <si>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</si>
  <si>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</si>
  <si>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</si>
  <si>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</si>
  <si>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</si>
  <si>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</si>
  <si>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</si>
  <si>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</si>
  <si>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</si>
  <si>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</si>
  <si>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</si>
  <si>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</si>
  <si>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</si>
  <si>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</si>
  <si>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</si>
  <si>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</si>
  <si>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</si>
  <si>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</si>
  <si>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</si>
  <si>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</si>
  <si>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</si>
  <si>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</si>
  <si>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</si>
  <si>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</si>
  <si>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</si>
  <si>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</si>
  <si>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</si>
  <si>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</si>
  <si>
    <t>(4,6,4,5,*6,3,*9,*4,*2,*2,4,1),(1,8,9,2,6,*7,*6,*6,*6,*5,*2,5),(6,6,5,6,*5,2,*9,6,5,6,4,7),(*1,*6,*5,*4,*9,*4,4,5,4,4,*7,8),(5,*4,*1,5,6,8,*5,3,9,6,*8,1),(5,6,3,3,*8,7,6,*8,6,5,*6,2),(3,2,6,2,1,*2,7,2,*4,3,*3,8),(*4,*9,*1,*6,*6,*9,*8,5,4,*7,*8,7),(1,6,*4,*7,*1,*6,*1,*5,3,6,*5,2),(8,8,*6,5,*2,*3,*5,*2,*3,8,*9,*9),(5,1,1,1,*4,3,1,*6,5,*7,2,5),(7,1,7,5,*2,2,8,3,3,9,*4,6)</t>
  </si>
  <si>
    <t>41,66652,83687,1617,242,5748545,491669,8285374,235,94561,99,2249,62,976,64</t>
  </si>
  <si>
    <t>(4,*6,6,5,6,*3,*3,*7,*7,7,8,9),(5,*6,*3,5,6,*1,4,*8,5,9,2,2),(7,*2,8,2,5,8,*2,9,*2,8,6,2),(7,*9,4,7,6,4,8,*5,4,*3,6,7),(8,*7,4,8,1,*9,3,3,*8,*5,*4,2),(1,*9,6,3,*6,*4,*3,*4,*5,*2,*9,*4),(2,*7,*8,*6,1,7,2,4,9,6,*6,*9),(1,1,*2,*7,1,5,2,7,7,1,4,*7),(7,*7,8,*8,*7,3,*8,*2,*9,*7,*6,*5),(9,5,*5,1,1,*7,5,5,5,2,5,*5),(1,*7,3,5,1,5,*2,1,2,9,6,*1),(*1,4,8,6,6,6,2,7,9,2,8,*7)</t>
  </si>
  <si>
    <t>33,567928,8571,89,6629797,7628521,48,96627,87772,517,5434,44328,377,63,599</t>
  </si>
  <si>
    <t>(*5,4,5,5,6,*5,*2,*5,*4,*4,4,8),(*5,*5,*9,*1,*6,*6,*5,8,6,3,9,4),(8,9,*1,7,7,6,*8,5,3,5,7,5),(6,3,7,2,8,*5,2,*9,1,*5,9,4),(1,9,6,3,*4,6,*1,9,1,1,*2,1),(4,5,5,*8,6,*5,1,9,3,4,1,*3),(3,*1,*8,9,*8,1,7,2,5,2,8,8),(*4,*3,*8,*4,*9,7,5,2,8,1,3,6),(8,8,*1,*3,*6,*9,*6,*4,*7,7,6,9),(5,9,6,*3,*6,*3,*2,*7,*2,5,6,2),(2,3,7,5,3,*8,3,2,6,5,*1,*1),(3,4,3,2,*1,*6,*1,*8,7,4,4,5)</t>
  </si>
  <si>
    <t>14,94834,523,9158,85488,363272,98,8161,551,7469631,44525,5591665,62,11,683</t>
  </si>
  <si>
    <t>(1,3,8,8,2,6,1,*6,3,9,7,1),(8,*8,7,*5,2,6,*4,2,8,9,2,3),(3,7,*1,6,*1,*3,6,*5,8,1,2,6),(1,1,8,*1,6,*2,*5,2,5,2,4,9),(4,1,5,4,*2,*8,*7,1,9,8,*5,6),(6,8,2,*5,*1,*2,8,*6,8,5,*8,*9),(2,6,*7,*4,*7,2,*2,8,4,1,*6,*8),(5,7,*6,*7,*5,3,3,3,1,4,*5,*4),(3,*8,7,6,*5,*6,5,*2,6,9,*9,*3),(6,4,*9,*9,2,*9,*8,8,*3,1,9,*8),(*5,*5,*2,*2,3,*8,3,*5,1,*1,2,*5),(4,3,5,8,*3,3,8,7,*2,4,5,*8)</t>
  </si>
  <si>
    <t>54,82,132,99,8641855,95685,346,222118,25865,8583489,17,7759,67215,388,2255</t>
  </si>
  <si>
    <t>(7,7,*1,*1,*4,*3,3,*1,7,1,*8,7),(9,*4,9,6,*6,*5,4,*2,6,9,*4,1),(*8,7,*3,*4,1,4,*4,*7,9,4,*7,6),(1,*3,*5,*4,5,8,5,*9,7,6,*4,6),(*2,*6,*3,9,*7,5,8,*9,8,*2,*8,1),(2,*8,8,*8,4,*8,4,*4,*1,*9,5,9),(9,8,*4,7,*3,*1,*9,*3,*4,*4,1,7),(6,5,*1,*3,*5,4,8,*5,*9,*6,4,3),(1,9,5,3,*7,9,1,8,*8,*4,7,6),(3,3,4,3,7,*2,5,5,4,5,4,8),(8,5,1,8,7,3,9,1,*5,7,2,9),(*9,*5,*2,*8,8,4,5,*7,4,1,9,2)</t>
  </si>
  <si>
    <t>273482,4347895,29464,3499721,13,51,463,8259,84748,454,114,8941,57,56,38338</t>
  </si>
  <si>
    <t>(6,9,9,6,9,4,8,2,1,2,3,8),(3,*8,*3,1,4,8,1,2,4,*7,1,9),(1,7,*4,*4,4,6,6,1,4,*1,9,6),(9,6,*2,*9,8,3,9,8,1,*8,4,*8),(6,3,*2,*4,7,3,9,3,5,*3,8,*4),(1,*9,5,3,*7,1,*8,*3,8,*3,3,*7),(9,*4,*8,8,*9,6,8,*9,7,*5,9,*6),(4,*2,*2,5,*6,2,3,1,4,*6,9,*8),(2,8,*8,3,*7,3,1,2,1,9,6,*5),(4,7,*8,8,*4,3,*2,*5,*3,*4,*2,7),(7,*2,*7,*8,*3,*4,*3,*3,4,4,7,8),(6,6,5,7,*2,*5,*5,*4,*5,*4,*6,6)</t>
  </si>
  <si>
    <t>2783433,93,6533817,25342,8288,849,47697,89,54552,249,64,23,3422,494,586748</t>
  </si>
  <si>
    <t>(*4,*7,2,6,5,*5,*3,*7,*6,*6,*5,*4),(3,3,6,9,*2,6,*8,9,2,8,1,4),(*3,1,4,*2,7,*3,*3,*1,*3,*5,*9,7),(*3,*2,*9,7,6,*8,*8,4,1,5,4,7),(*8,9,*5,8,8,*1,*3,9,9,4,4,6),(*3,3,2,*9,*7,*3,*3,8,*4,5,6,4),(*3,2,8,*7,*3,*6,*2,9,*4,7,8,9),(*6,2,6,7,4,2,*3,2,*4,8,8,1),(*3,8,3,*1,2,7,*8,*2,7,*9,1,2),(*6,5,*4,9,1,2,*1,*9,*5,2,6,7),(2,*1,2,9,6,4,6,*2,*3,*3,*8,*1),(3,3,2,8,4,1,1,8,7,5,1,3)</t>
  </si>
  <si>
    <t>47,141,32593,82,49,63183,8383323,1359,18332,195,456673,9225,44,771,3833636</t>
  </si>
  <si>
    <t>(*2,8,7,1,3,4,2,4,3,5,*5,*1),(*2,8,6,2,4,6,7,*5,8,9,*9,8),(*4,4,6,7,5,*2,*3,*2,*7,8,*3,8),(*3,*9,*5,4,4,1,2,8,*8,5,*5,8),(*8,3,4,8,5,1,9,*3,9,5,*8,1),(*6,1,5,9,7,9,*3,*8,4,*7,*3,4),(*5,6,9,*8,7,*8,*7,4,*7,6,*4,1),(6,2,5,*9,*5,4,2,*6,*9,6,4,6),(3,7,8,*8,2,5,*6,*2,8,4,4,*1),(9,3,*4,9,2,*5,*3,7,6,5,8,*7),(7,9,*2,*9,*9,*4,2,3,7,1,2,*5),(3,5,2,5,*7,8,*6,*5,*5,*8,*1,*8)</t>
    <phoneticPr fontId="1"/>
  </si>
  <si>
    <t>5683422,8338584,74329,52,935834,1758,73,56677,898,992,15,87,395,65581,7232</t>
    <phoneticPr fontId="1"/>
  </si>
  <si>
    <t>(9,2,4,*1,*2,*9,*1,7,8,2,3,6),(5,6,5,6,9,4,1,9,4,*9,*8,2),(*1,*4,7,9,*9,*1,*7,*3,*2,*4,*7,2),(3,*3,5,9,9,7,*6,5,*6,*1,8,*3),(*8,5,*3,6,5,*9,*7,*6,*3,5,*6,2),(*1,4,2,*3,*3,9,*9,*5,8,*7,6,6),(3,9,1,*2,*6,*1,4,6,*4,7,1,8),(1,1,*3,*2,9,1,7,3,5,1,1,8),(5,*7,8,*8,*4,7,5,3,3,4,3,7),(*2,5,4,*5,*5,7,8,2,8,5,5,4),(4,2,6,*9,3,*4,*9,*5,*2,*7,4,1),(6,*5,*6,*6,*4,*3,*3,*7,1,1,8,3)</t>
  </si>
  <si>
    <t>75,13336,2859,91732,14,531,7334665,6932372,846691,476,18,973,45,1291,72594</t>
  </si>
  <si>
    <t>(4,*4,*9,*2,*9,*2,4,4,*6,1,2,*7),(3,4,2,*7,9,1,3,*7,8,8,8,*6),(5,6,*7,4,4,7,*3,9,3,8,2,*6),(*2,*2,2,4,6,*2,1,8,*5,*9,9,*6),(*4,4,2,5,*6,4,1,4,*6,*5,6,*7),(*7,8,6,*3,3,1,5,*7,5,7,1,*9),(6,9,5,8,6,4,*8,4,4,4,4,*3),(*9,7,8,6,2,*6,8,9,6,8,7,2),(*6,*2,9,8,*8,7,*1,*2,*4,*9,*7,1),(*2,1,*5,*7,8,*6,*8,*7,*4,*7,*4,*9),(*4,9,*6,5,1,9,4,8,*6,*4,*3,*2),(3,7,*6,3,8,7,2,2,6,7,8,9)</t>
  </si>
  <si>
    <t>55,76667,673263,7868769,742,4269,9474786,432,566,4277,49292,93,52,12497,64</t>
  </si>
  <si>
    <t>(*9,*5,*6,*6,*8,*4,8,7,2,*8,1,7),(6,2,*3,*4,1,3,8,6,1,*5,4,9),(*7,7,8,6,2,*6,8,6,8,*7,1,2),(6,*1,2,8,2,*6,*7,3,8,*8,7,6),(1,*2,*8,2,4,*6,*1,8,5,*1,4,2),(1,*4,*8,*9,2,*6,*5,7,1,*9,7,4),(6,8,*8,*6,*1,*4,*9,4,9,*6,1,2),(*6,*5,*6,*8,*8,*8,*2,8,4,*9,1,9),(7,8,4,7,4,*9,*9,4,8,*7,7,5),(9,*5,*7,*2,*7,5,*6,8,6,3,5,2),(5,3,*9,*1,*8,*1,*4,*1,1,9,2,5),(3,8,1,6,3,9,7,7,3,6,2,9)</t>
  </si>
  <si>
    <t>918141,85,98682,715,34,6568,7819697,92,16,46666,95668,9819817,884,7275,684</t>
  </si>
  <si>
    <t>(5,7,4,2,2,8,9,5,2,3,4,1),(5,5,2,4,2,9,4,3,7,6,5,8),(9,9,4,7,8,4,6,4,1,4,2,5),(6,4,8,5,*6,8,4,2,5,7,4,3),(3,3,1,7,*4,9,8,7,1,3,2,2),(9,7,7,4,*2,4,*7,*7,1,4,3,3),(*9,*9,3,8,5,3,3,7,7,6,1,2),(1,*1,6,6,2,9,3,6,6,9,*1,*2),(6,*5,7,4,7,4,7,7,1,6,6,3),(4,*3,3,9,4,6,9,7,7,2,4,5),(*2,*2,9,1,6,2,4,*8,*5,*2,*4,*7),(9,4,6,4,1,3,3,7,8,4,8,1)</t>
  </si>
  <si>
    <t>77,85247,2476766,2962,351,72524,78481,22,553,8943,424817,7486491,642,21,99</t>
  </si>
  <si>
    <t>(5,7,*4,2,*2,8,9,5,2,*3,4,1),(5,5,*2,4,2,*9,4,3,7,6,*5,8),(9,9,*4,7,8,4,*6,4,1,4,2,*5),(6,4,*8,5,*6,*8,4,*2,5,7,4,3),(3,3,*1,*7,*4,*9,8,7,1,3,*2,2),(9,7,*7,*4,*2,*4,*7,*7,1,*4,3,3),(*9,*9,3,*8,*5,*3,3,7,*7,6,1,2),(1,*1,6,*6,*2,9,3,*6,6,9,*1,*2),(6,*5,7,*4,*7,4,*7,7,1,6,6,3),(4,*3,3,*9,4,*6,9,7,7,2,4,5),(*2,*2,9,*1,*6,2,4,*8,*5,*2,*4,*7),(9,4,6,4,1,3,3,*7,*8,*4,*8,*1)</t>
  </si>
  <si>
    <t>罰（2025/11/8は１、2026/1/22は３）</t>
    <phoneticPr fontId="1"/>
  </si>
  <si>
    <t>(7,4,9,*5,*4,*3,1,4,3,8,6,4),(1,*2,*8,*3,*8,*1,*7,*4,2,8,9,8),(1,*6,4,*4,3,7,5,*1,*1,6,4,5),(3,2,*7,9,1,*6,*6,*6,*5,1,4,8),(2,4,*7,*1,9,4,5,*8,*2,6,5,8),(1,5,7,5,*1,1,4,*8,1,*9,5,4),(2,9,7,7,3,*9,7,*3,*6,7,9,9),(2,*8,*6,*9,*6,*8,1,*1,2,6,2,8),(5,3,8,*6,2,3,*7,*2,*9,*9,3,6),(3,6,8,*2,*6,*7,*1,*7,*8,*3,*5,1),(4,9,3,*2,3,6,*8,*9,*8,*2,*3,*5),(5,8,7,*8,1,6,2,6,7,9,*2,*4)</t>
  </si>
  <si>
    <t>7169,8226,4718382,91176,66,48,77,42,152,992,6717835,86968,543,16883,898235</t>
  </si>
  <si>
    <t>(1,*6,*7,*1,8,*9,7,4,4,6,7,9),(5,5,*8,*5,*7,*4,8,*7,6,1,9,1),(7,4,1,7,2,3,*5,*3,*3,*1,*9,2),(*4,2,1,6,9,*5,5,2,3,6,1,3),(6,*8,2,7,1,2,5,6,3,1,9,7),(*7,3,*8,3,5,7,6,*5,*3,*2,*4,*8),(8,*3,9,*6,3,6,8,3,8,6,5,5),(2,1,*6,5,*7,5,*6,*1,*7,*3,*8,*9),(4,4,6,*7,6,*8,*8,*7,*4,*6,*4,*3),(6,4,4,1,*9,5,*3,2,3,9,7,9),(*9,*3,2,6,*6,*5,*3,*6,2,9,9,2),(*5,*3,*7,*1,*4,*6,*9,8,2,9,3,9)</t>
  </si>
  <si>
    <t>15,857,4886783,39,98371,874643,9133,6536,61,49,73679,53248,557,5371469,176</t>
  </si>
  <si>
    <t>(*8,2,5,*9,8,*1,*2,*3,1,3,9,*2),(*6,9,9,*2,*1,7,8,1,3,2,*7,9),(*8,2,*2,*9,9,*4,8,9,7,*2,8,9),(*7,8,*7,*5,*5,5,*1,1,*7,3,2,3),(*2,5,*6,*9,*1,*5,4,*2,3,5,3,*2),(8,8,*7,*5,*6,*8,*3,1,9,6,9,*7),(7,*2,6,*2,*6,4,3,8,3,*7,3,*7),(8,4,*6,1,1,*9,2,9,3,*6,7,*3),(6,*2,5,*9,*9,6,*4,*3,*5,*1,8,*7),(*8,1,2,1,6,9,*3,*5,7,*5,3,4),(4,9,8,9,6,*5,1,*4,*9,9,9,1),(8,9,4,2,9,*7,6,8,*7,6,3,8)</t>
  </si>
  <si>
    <t>53,27868,29,5167,99,272723,27954,75,6569459,743,1562628,73772,197,321,8152</t>
  </si>
  <si>
    <t>(4,5,9,9,9,4,7,1,9,2,6,1),(3,6,4,7,5,6,*6,5,*1,*5,*5,*3),(6,7,3,5,5,*9,3,6,9,*6,*5,7),(5,7,4,5,*8,*3,*4,*7,*3,*7,*3,3),(8,3,7,*7,*4,*9,*6,*3,*3,*3,*4,5),(6,8,*8,*9,*6,*8,*7,*9,6,*2,*9,6),(3,7,*5,*7,*2,*2,2,1,2,*4,*1,6),(7,*1,*6,2,*9,1,9,7,8,*2,*1,7),(8,8,6,*3,2,*2,2,9,*7,*7,*7,4),(3,3,4,9,*8,*3,1,2,6,*2,7,6),(6,7,5,*7,5,7,6,5,4,3,4,8),(5,2,*5,*5,*5,6,6,6,7,1,6,3)</t>
  </si>
  <si>
    <t>87896,49676,84,38,7119435,272423,555,7682,1553,77,782,15943,937,3927336,56</t>
  </si>
  <si>
    <t>(9,9,1,5,*9,3,7,9,*7,4,7,3),(6,9,6,*2,3,*5,8,*8,7,*9,*4,*8),(2,3,*9,*7,1,*4,*9,9,1,2,5,2),(*5,*5,8,6,7,*5,3,1,5,4,*4,*2),(*1,4,*5,2,7,*5,6,5,5,3,*4,8),(*3,8,*7,4,8,*4,3,6,7,5,*3,3),(*8,1,*5,1,1,*8,*7,*5,*5,*8,*5,4),(*8,1,*2,1,7,*7,3,*3,*6,*5,*6,*6),(*8,3,*2,2,*3,8,4,9,7,4,2,5),(9,9,4,5,*1,6,5,*1,*6,5,6,4),(2,6,6,6,*8,7,2,1,9,1,1,9),(*1,*4,*9,*1,6,*8,*6,*9,*5,*7,*9,*6)</t>
  </si>
  <si>
    <t>66563,72,789,42,1491,5929,43,6975968,318,5455487,888315,22575,948,61,58557</t>
  </si>
  <si>
    <t>(*1,3,5,6,1,4,8,4,*8,1,2,7),(*3,9,4,4,6,3,9,8,*8,2,4,*5),(*3,6,1,*1,*9,*8,*6,*3,*4,2,3,*3),(7,3,6,3,9,9,4,8,*1,8,7,*5),(4,*5,*1,4,8,4,8,4,*2,7,1,*6),(7,*4,*3,*1,*9,*2,*1,*2,*9,6,7,*7),(6,4,*4,2,*3,8,1,1,*2,4,*9,*6),(6,2,*1,*9,5,4,9,*3,2,*9,*6,8),(8,3,1,*1,*6,7,5,6,*2,2,*2,6),(5,9,9,5,*6,*7,5,*6,5,3,5,9),(*9,*4,*8,*9,*4,*1,*1,9,5,1,8,4),(1,5,*1,*7,*2,*9,2,*9,4,1,9,8)</t>
  </si>
  <si>
    <t>19863,1729,9212913,22,15,4496719,962,535676,1611,21488,926,39,133,32,94894</t>
  </si>
  <si>
    <t>(7,*7,*9,*6,*1,*9,*6,*8,7,1,9,4),(7,5,*6,3,5,3,7,*3,4,8,6,4),(9,6,8,*7,6,7,*1,*3,9,1,6,5),(*6,1,1,8,*3,*6,5,*3,8,9,9,4),(6,*4,7,3,*1,*4,*9,*7,*4,9,8,1),(5,2,*7,*3,8,1,*1,*2,*4,9,6,1),(3,9,*9,4,8,7,4,*2,8,*4,3,8),(2,4,*9,*1,*5,*8,5,4,*5,*7,*1,2),(6,*9,*7,*6,3,*4,*8,9,8,8,3,*5),(2,9,*5,*5,5,*9,*4,*3,*2,*7,4,6),(6,8,7,*6,*1,*3,*3,*4,*2,*2,7,1),(1,3,8,5,1,7,6,3,3,8,9,6)</t>
  </si>
  <si>
    <t>6133422,961968,647,55,16139,4415,479,27333,75,94327,976,48,8519,99,2143767</t>
  </si>
  <si>
    <t>(2,2,9,2,6,4,8,6,5,*9,2,7),(9,4,5,2,6,*5,*9,3,*2,*7,5,8),(1,5,4,9,*5,*7,*4,7,*8,*2,6,8),(7,8,6,*2,*6,*6,1,2,*7,*8,8,4),(8,4,*8,*9,*6,6,*5,2,*4,*2,4,*8),(6,*8,9,*1,7,2,2,9,*3,*3,5,*6),(1,1,*6,*8,7,*3,1,3,*6,*1,*8,*6),(2,*3,2,*3,1,*7,3,3,*7,9,*3,5),(*6,8,7,*6,7,*4,2,6,9,6,*9,2),(1,8,3,*1,*1,*6,*6,2,4,6,*3,2),(7,6,5,*7,3,*9,*1,9,3,1,*2,5),(4,5,5,3,2,3,*9,*4,*5,2,*2,7)</t>
  </si>
  <si>
    <t>619,2874,65,29,4661636,54,71638,9728231,9769,839322,88255,37469,41,866,367</t>
  </si>
  <si>
    <t>(*4,*6,*2,*6,*6,*5,2,*4,*6,*6,4,7),(*5,*9,*4,*3,5,*1,3,3,1,9,3,4),(6,5,1,7,8,*3,3,4,1,*4,7,7),(8,9,2,3,8,9,7,4,*6,8,3,2),(6,*7,*4,*9,*8,*9,*6,*2,9,4,3,8),(5,8,8,7,3,6,*5,*2,8,2,7,2),(9,3,2,9,*1,*2,*8,8,*6,1,8,*3),(2,5,5,*4,*5,3,6,*7,3,*9,3,*6),(4,9,*5,*5,*3,6,7,4,*5,6,*2,*7),(6,*7,*2,1,*8,7,4,9,9,*6,6,*3),(*9,2,*1,*5,*1,*6,*7,*4,*6,5,5,*5),(7,6,9,5,2,2,6,6,8,9,4,1)</t>
  </si>
  <si>
    <t>74989,1516746,5525264,3495,657,72,29626,566264,38,664,5376,31,367,58,97541</t>
  </si>
  <si>
    <t>(*2,*8,*8,1,3,3,1,2,7,4,*3,3),(7,4,*3,*7,*1,8,9,2,6,*8,3,4),(1,2,5,9,*7,2,8,5,*3,1,9,8),(6,2,*4,*8,*9,*8,5,*6,4,4,2,*1),(4,9,2,8,2,3,*8,2,2,*2,9,*6),(*9,*4,8,5,9,2,*5,*9,3,8,*1,*5),(5,2,9,7,6,9,*1,*2,*8,7,8,*3),(9,5,7,8,3,1,*7,*9,*7,*7,2,*4),(*5,*1,*5,*4,*8,*1,*7,*4,5,1,*5,3),(9,6,6,1,5,1,*1,6,7,7,3,4),(9,8,9,4,9,*5,*1,*1,*8,*6,*1,5),(6,9,2,6,*2,*5,*3,*5,*9,*5,*3,*9)</t>
  </si>
  <si>
    <t>21,16811,882,6383,173,7715,94,515481,74152,16534,7889875,79,29,5359539,984</t>
  </si>
  <si>
    <t>(2,2,9,3,9,9,9,2,*3,4,3,5),(4,5,7,*2,4,6,9,8,*6,1,5,2),(5,*1,5,*2,8,6,4,8,5,3,9,1),(3,*6,1,*9,2,6,7,7,4,5,5,4),(7,*8,9,7,*3,5,4,7,4,4,2,6),(3,*3,4,*5,4,*4,6,2,8,*6,*8,3),(8,7,3,2,*5,4,8,1,1,8,*9,8),(6,1,8,5,7,8,9,7,2,6,*7,*6),(1,7,8,8,9,7,2,9,1,4,7,7),(1,6,3,2,8,9,8,5,8,4,8,4),(7,7,*2,7,3,9,1,4,6,1,5,3),(6,6,*1,9,1,2,6,3,9,8,3,9)</t>
  </si>
  <si>
    <t>4687542,897,8964275,98824,22,7819,55,3861,154819,21,64847,696,439,78889,63</t>
  </si>
  <si>
    <t>766,*679816,94,737,57456,27641,95,1477,8186527,55,9332,4379173,15,97237,397</t>
    <phoneticPr fontId="1"/>
  </si>
  <si>
    <t>77,85247,*2476766,2962,351,72524,78481,22,553,8943,424817,7486491,642,21,99</t>
    <phoneticPr fontId="1"/>
  </si>
  <si>
    <t>*4687542,897,8964275,98824,22,7819,55,3861,154819,21,64847,696,439,78889,63</t>
    <phoneticPr fontId="1"/>
  </si>
  <si>
    <t>(2,2,9,3,9,9,9,2,*3,*4,3,5),(4,*5,*7,*2,*4,*6,*9,*8,*6,1,5,2),(5,*1,5,*2,8,6,4,*8,5,3,9,*1),(3,*6,1,*9,2,6,*7,7,4,5,*5,4),(7,*8,9,7,*3,*5,4,7,*4,*4,2,6),(3,*3,4,*5,*4,*4,6,*2,*8,*6,*8,3),(8,*7,3,*2,*5,4,*8,*1,1,8,*9,8),(6,1,*8,5,7,*8,*9,7,2,6,*7,*6),(1,7,8,*8,*9,7,2,9,1,*4,7,*7),(1,6,3,2,*8,9,8,5,*8,4,*8,4),(7,7,*2,7,3,*9,1,*4,6,*1,5,3),(6,6,*1,9,1,2,*6,3,*9,8,3,9)</t>
  </si>
  <si>
    <t>(8,2,*4,6,5,8,2,6,6,2,5,2),(3,7,*9,*2,*1,*3,9,*6,*6,*3,7,7),(*2,*3,*2,*5,*4,*8,*9,9,4,2,7,*3),(1,6,*9,2,9,*1,*2,*3,3,2,*6,2),(8,3,*3,2,1,4,*7,*2,*6,*1,5,3),(3,4,*5,6,*3,*1,*6,*7,*9,*8,1,*4),(*6,5,*7,*9,*4,*2,*4,*8,*8,*6,*4,*2),(9,*5,*2,7,*5,1,3,8,1,1,8,*2),(7,2,*3,*5,7,3,5,3,7,9,8,4),(1,5,8,*6,2,4,2,1,4,8,3,1),(6,5,4,9,*8,6,5,6,4,3,5,8),(1,2,*2,*9,*5,*8,5,2,4,3,2,2)</t>
  </si>
  <si>
    <t>3167,366,422,55,8592,9424886,9293572,32,393684,361,65368,92281,42417,51,52</t>
  </si>
  <si>
    <t>(3,5,7,5,4,9,1,*5,7,8,4,5),(8,4,5,3,7,3,4,*6,3,9,*2,*2),(*2,*9,*7,*8,*2,*2,*6,*5,9,5,*5,*9),(7,3,9,2,*7,4,7,*7,6,4,*4,*1),(5,4,8,1,*8,*4,3,6,8,3,*7,*4),(5,*6,*4,*7,8,5,*8,*2,2,9,5,*3),(9,9,*8,4,*8,*9,1,*7,*3,9,2,*7),(6,*6,5,*7,9,*1,3,7,*7,*5,2,1),(*5,9,*7,1,2,*9,*9,*8,*9,*2,*5,3),(4,*3,4,3,5,*1,*5,3,*1,7,*1,*3),(*1,6,4,1,*9,7,3,7,7,8,4,8),(3,3,1,9,8,5,1,*8,*2,*6,4,4)</t>
  </si>
  <si>
    <t>5657,87731,46,1277847,2547,6228792,81,919,56878,734192,791,23553,628,95,98</t>
  </si>
  <si>
    <t>(4,9,8,4,2,2,9,2,2,2,9,4),(7,7,*2,*1,*7,*4,*9,*4,7,6,3,7),(7,*9,6,2,7,*5,*1,*7,*1,5,8,*5),(*5,3,*8,5,9,3,*6,1,9,7,*6,7),(*7,9,1,*2,*1,*6,*7,1,5,*3,5,1),(*7,9,5,2,*6,8,3,3,*3,*8,*5,*5),(*7,*5,3,5,2,*7,2,*3,9,9,7,*6),(*2,1,*9,7,*2,*4,*8,9,5,9,3,*2),(4,3,*4,*6,3,*4,6,2,4,6,6,*7),(6,4,*8,5,3,*2,2,8,8,7,8,*7),(7,9,*8,*9,7,*5,3,7,6,6,8,*7),(2,1,*6,*9,*6,*4,*7,*1,*3,4,6,*2)</t>
  </si>
  <si>
    <t>52,5633384,4886,76289,667,99,494712,24,85,761,5627772,64713,5171,57772,695</t>
  </si>
  <si>
    <t>(1,7,7,5,5,9,6,*7,2,8,1,5),(8,4,9,9,2,9,9,*4,*9,2,6,7),(1,2,3,6,8,*6,*4,*5,*5,*1,4,5),(*3,4,6,1,*3,*9,3,*3,4,*6,4,*8),(*7,4,5,*1,*1,5,6,*4,3,*1,*2,*9),(*2,4,*6,1,4,6,2,*7,4,*6,*8,6),(*7,*3,*1,*4,*7,*7,9,*9,2,7,3,9),(*9,*1,*6,*1,*4,*8,*7,*5,9,5,5,*6),(*6,1,4,*7,*9,*9,*6,*6,2,8,*6,5),(*2,*6,6,6,5,7,3,8,1,*4,*3,8),(*4,*7,5,9,2,1,1,1,*4,4,*9,7),(4,*4,5,4,5,7,4,*4,5,8,3,4)</t>
  </si>
  <si>
    <t>936,59,7453479,89,79966,44466,82,77413,372796,24,1614875,194,1616,6136,674</t>
  </si>
  <si>
    <t>(7,1,9,7,*1,*5,2,*8,8,1,6,4),(6,7,6,5,*7,8,1,4,*8,6,2,5),(5,9,8,*6,*4,*2,3,2,9,*1,5,9),(7,*2,*2,7,*5,*9,*7,8,2,2,*2,1),(1,5,4,6,*1,*8,3,3,1,8,5,*1),(7,7,4,*4,*2,*9,4,2,4,8,6,*9),(6,*8,*9,2,*8,*3,5,5,3,5,4,*3),(7,*2,*4,*5,*3,*6,*7,*6,*5,*6,6,*9),(6,8,1,*1,7,4,*3,*2,*9,*7,*3,*8),(9,8,9,4,*3,9,*8,4,4,*8,6,5),(3,7,1,1,2,*1,*7,1,2,*5,9,5),(9,5,7,*6,*2,2,*5,*4,*5,*6,*9,*5)</t>
  </si>
  <si>
    <t>84131,72,22,12188,2973,6567635,294,39892,26,1745128,8939,545695,85,675,387</t>
  </si>
  <si>
    <t>(8,6,2,2,6,9,*3,7,*6,2,5,5),(*9,*4,7,4,9,*2,9,*2,1,3,1,5),(*9,*7,*1,6,*6,4,*5,2,*8,8,4,8),(5,*1,*7,*2,*9,*9,7,*3,*4,4,4,6),(5,6,*4,*7,*3,*6,4,*8,*7,*8,*9,*9),(2,6,1,*5,*8,*7,*4,*1,*1,*4,9,5),(6,7,3,*6,*9,9,*8,1,*7,*5,1,9),(1,1,4,1,*9,6,6,*5,*1,*8,1,4),(6,*6,3,2,5,*3,2,1,3,*1,4,1),(4,8,*7,*8,*8,9,*5,9,5,*7,8,2),(3,7,3,*4,5,4,1,*4,3,*8,3,9),(8,5,7,5,*7,4,9,8,3,3,9,9)</t>
  </si>
  <si>
    <t>381,8458178,75,69354,6259,95419,4123785,847171,7476,87779,88,94,99,964,326</t>
  </si>
  <si>
    <t>(*1,3,6,1,8,4,2,5,*3,5,5,*4),(5,*8,6,8,3,2,*6,1,3,*2,*2,2),(6,2,*6,4,8,*7,5,5,9,*2,*6,8),(8,5,8,*7,*1,3,6,*4,*2,2,7,2),(3,*6,*6,*3,*2,8,*9,*2,*1,8,1,*6),(2,1,*7,5,8,*5,*5,*1,7,*7,*3,4),(5,7,8,3,1,*2,9,8,*8,*7,*3,4),(*4,9,2,5,5,4,9,2,*8,*9,1,*9),(*2,6,1,7,3,*4,9,9,1,1,8,5),(*6,*8,*3,1,6,*5,2,6,3,1,4,3),(*9,9,4,9,7,1,8,3,5,1,4,4),(*5,6,1,1,2,4,9,5,*7,*9,*1,9)</t>
  </si>
  <si>
    <t>186725,534,42695,67137,93714,9819,2522224,791,38,326,45,66,8736,94,3618425</t>
  </si>
  <si>
    <t>(*8,*3,*1,*1,*8,*8,6,8,9,1,6,1),(6,*4,*4,7,4,5,8,3,8,*3,5,5),(6,2,*1,*8,3,7,6,1,9,*2,*9,7),(*3,*8,2,*2,*5,7,7,8,5,4,*8,7),(*7,*1,6,1,*6,*4,4,6,8,7,*9,3),(*3,*8,2,7,*7,*2,*1,1,3,6,*1,2),(*5,*5,3,8,9,1,6,2,2,9,7,8),(*5,*6,*9,*8,*3,*6,*4,8,*8,7,6,*3),(*6,*2,7,3,*8,4,6,*5,2,3,9,*7),(*6,*1,*4,3,7,*2,*1,8,5,5,2,*4),(1,3,5,*9,5,4,4,4,7,1,7,*9),(5,7,5,5,*8,9,8,9,4,2,8,7)</t>
  </si>
  <si>
    <t>46389,9891,158,262148,31188,67,3749,894,86,71,32,6655373,1265818,882,48541</t>
  </si>
  <si>
    <t>(2,9,*8,6,4,*2,9,9,2,1,2,9),(7,3,*5,7,9,*7,*9,*5,*5,*2,*7,*2),(4,9,*9,9,6,*6,6,6,2,*5,5,*2),(5,4,*8,6,9,*6,8,9,*9,1,2,*4),(7,2,*1,6,4,*2,2,*4,6,7,*5,*7),(3,*1,*9,3,7,*6,*4,2,2,*7,9,4),(3,8,*2,4,3,*1,9,7,*7,5,1,8),(3,9,2,7,*4,*9,*1,*4,1,7,4,9),(6,2,*9,*9,9,8,*6,1,8,6,1,9),(8,8,8,1,*3,*1,1,9,9,5,1,7),(7,3,8,4,*3,1,2,1,*5,*3,*9,*1),(1,5,5,7,*2,*9,*6,*4,*7,7,8,2)</t>
  </si>
  <si>
    <t>99,1935,21,2766261,33,272,598192,1647754,194,26152,44957,7422,559,85,29647</t>
  </si>
  <si>
    <t>(6,5,3,7,5,8,4,7,6,4,4,7),(8,3,7,7,3,4,4,4,1,5,6,9),(*7,*3,*9,*1,*3,*7,*1,*1,4,*4,9,3),(3,5,8,3,8,2,1,9,9,*2,*5,7),(*6,*8,*5,*2,*3,3,3,9,8,*5,*2,3),(3,*9,7,3,*5,7,5,3,5,*5,*2,8),(7,*4,7,*4,6,6,*4,5,3,*3,*9,7),(4,*3,5,4,5,8,*4,2,4,*2,8,1),(*9,9,3,*7,5,3,*2,*6,*5,*3,*9,5),(*8,1,6,3,*4,5,8,*1,8,4,5,8),(*8,3,9,5,6,*7,*4,*9,*6,*6,*3,5),(*6,7,*7,*6,*1,*6,*2,*9,*6,6,9,2)</t>
  </si>
  <si>
    <t>54,739,3913711,95,93562,44,14,6926167,49663,5229,32586,235524,943,747,6889</t>
  </si>
  <si>
    <t>(8,4,4,8,*4,8,7,5,9,*1,8,9),(3,7,2,*2,9,9,3,8,8,*8,4,*2),(9,8,*4,*8,7,9,3,*8,*3,*5,2,*1),(7,*7,*8,*5,*4,8,1,*1,*3,*6,1,*4),(4,6,4,2,2,3,3,*8,*2,*3,4,*3),(5,6,2,*2,*9,*9,6,5,*4,*5,*7,*8),(5,6,7,7,*7,4,*5,2,*1,*4,*7,*6),(8,4,1,2,*9,*3,3,*5,*7,7,*1,*4),(7,9,4,*2,5,5,*6,1,*1,5,*7,4),(9,8,*6,*5,*1,*9,9,*1,1,*8,1,5),(9,8,4,*7,*7,*7,*8,*5,8,9,*7,3),(1,1,2,1,5,7,7,1,5,8,1,3)</t>
  </si>
  <si>
    <t>55187,1856354,7717,58777,7424,93,26,854,27361,818,99,332417,2143864,84,915</t>
  </si>
  <si>
    <t>(9,1,3,9,8,5,6,5,6,6,4,1),(9,*8,4,7,7,*1,5,6,*4,1,4,8),(6,*8,9,8,*5,5,7,8,*1,4,*7,*9),(1,*8,*9,*7,2,8,2,3,*1,*4,*3,9),(5,*2,*7,*8,5,*5,*2,5,*7,*2,2,3),(2,*2,1,8,*7,2,5,8,*2,*7,5,8),(*3,6,5,3,2,*7,5,3,*4,8,6,*6),(8,6,9,*2,*4,9,*2,*6,4,2,1,*4),(*4,*7,*9,*3,*7,9,*6,*5,4,6,9,*3),(*9,*1,*3,*6,*9,*8,8,6,*8,6,4,8),(7,5,7,2,*4,8,5,7,7,1,1,6),(6,6,8,*3,*7,*9,*9,*5,*7,*1,*6,3)</t>
  </si>
  <si>
    <t>52,2888,327751,114,747,96319,3486647,2239,346,85,67,47937,42,6175997,27789</t>
  </si>
  <si>
    <t>(8,*8,7,9,5,5,*9,3,9,8,2,*7),(1,*4,3,1,4,9,*3,*4,*5,4,9,*9),(6,*7,1,8,2,5,*1,*9,7,*6,*6,*2),(8,*1,2,4,3,9,*9,*2,3,*3,4,3),(6,*4,*6,3,6,7,9,*4,8,5,7,3),(1,*7,9,6,8,4,*8,*7,7,5,*3,6),(7,*1,1,8,*9,*8,4,*3,*1,1,*2,7),(5,3,8,*5,*4,5,2,*7,*2,1,*4,5),(8,8,*5,*4,6,9,4,*8,*8,*1,*9,1),(1,*7,9,7,9,7,*3,2,6,5,*3,4),(*3,5,8,*3,*1,*5,*4,*1,1,7,6,5),(4,8,5,8,6,4,*6,*1,*4,*8,*3,*3)</t>
  </si>
  <si>
    <t>4924737,64,65,614833,881,63,4488,9139,31541,37559,1741748,792,21,413,39423</t>
  </si>
  <si>
    <t>(7,4,8,6,7,8,7,4,6,1,4,9),(6,4,3,6,8,4,5,5,7,5,1,*2),(7,3,1,2,*4,9,2,3,2,9,3,*5),(5,7,9,*6,*6,3,*3,*2,*2,*7,*9,*2),(5,4,1,*3,*8,5,9,*6,1,*9,3,*6),(*1,6,*7,*6,*8,6,2,3,*5,1,*3,*3),(*9,3,8,*6,*4,1,9,*7,2,*1,8,*8),(*9,6,9,*9,*6,5,8,*8,5,6,*3,3),(*8,*5,9,7,*6,5,8,*4,8,3,*2,2),(*1,*7,*3,*1,7,7,5,3,3,*4,*3,2),(*3,*5,*4,6,7,7,9,9,9,4,*3,2),(*8,8,1,*9,*4,*8,*9,*3,2,4,5,2)</t>
  </si>
  <si>
    <t>6648864,75,768,784,94893,3156,8392,42,32279,33,853,96636,14,836252,8318991</t>
  </si>
  <si>
    <t>(2,8,1,8,1,5,3,7,4,3,1,3),(1,*3,5,2,2,2,5,9,2,4,4,6),(*3,7,4,6,5,4,*6,*2,*4,*7,*6,2),(7,2,8,4,2,8,4,8,9,6,2,6),(2,4,7,*5,5,5,6,4,8,2,6,4),(7,5,7,*4,1,3,2,3,1,5,6,7),(2,3,4,*9,2,7,8,4,9,9,6,1),(*2,6,4,*1,1,9,2,4,*2,3,4,3),(*1,1,5,*8,1,9,1,*5,6,1,9,8),(*1,4,5,*8,5,3,*3,2,8,1,3,7),(5,7,7,*4,*9,*6,6,3,7,4,9,2),(*3,*1,3,*6,*9,*6,4,4,9,9,5,3)</t>
  </si>
  <si>
    <t>4881945,963,67426,64,52,4719,211,33,28181,31,81926,7416354,896,5447,399735</t>
  </si>
  <si>
    <t>4881945,963,67426,64,52,*4719,211,33,28181,31,81926,7416354,896,5447,399735</t>
    <phoneticPr fontId="1"/>
  </si>
  <si>
    <t>(*2,*8,*1,*8,*1,5,3,7,4,3,1,3),(1,*3,5,2,2,2,5,9,2,4,4,6),(*3,7,4,6,5,4,*6,*2,*4,*7,*6,2),(7,2,8,4,2,8,4,8,9,6,2,6),(2,*4,7,*5,5,*5,6,4,*8,2,6,4),(7,*5,*7,*4,1,*3,2,3,*1,5,6,7),(2,*3,*4,*9,2,*7,8,4,*9,9,6,1),(*2,*6,*4,*1,1,*9,2,4,*2,3,4,3),(*1,*1,*5,*8,1,*9,1,*5,*6,1,*9,8),(*1,*4,5,*8,5,*3,*3,2,8,*1,3,7),(5,*7,7,*4,*9,*6,6,3,*7,4,9,2),(*3,*1,3,*6,*9,*6,4,*4,9,9,5,3)</t>
  </si>
  <si>
    <t>(3,*3,*7,*2,*1,*4,*2,8,6,3,9,8),(5,6,7,7,1,7,2,3,2,1,*8,7),(1,7,8,1,*9,1,4,8,3,1,*8,8),(*3,*1,*8,1,*5,9,8,4,6,2,*9,2),(*3,*9,*5,7,*5,*4,8,8,*8,1,*3,1),(8,*3,*5,*6,4,7,*6,*6,6,6,*8,4),(5,*8,*3,*4,6,4,*5,*8,*1,*4,*6,4),(6,*7,*4,*6,*3,*8,7,9,4,*7,*1,6),(1,*3,*4,*4,5,4,1,6,4,7,*3,4),(8,3,9,*5,*8,6,7,3,1,7,2,*4),(7,*1,*6,*2,*9,*8,*8,*4,7,7,3,1),(3,9,5,2,2,1,7,5,2,1,3,9)</t>
  </si>
  <si>
    <t>559,54646,1734,318,28,468,37839,8658,4889261,33,74,372142,1683988,36,55344</t>
  </si>
  <si>
    <t>(*5,6,4,3,2,8,8,2,8,9,9,7),(7,*3,4,6,*9,7,8,9,4,7,2,3),(7,9,*7,9,*2,9,4,*3,*7,1,*9,3),(3,*4,5,7,*2,7,8,*8,*8,9,8,*5),(7,7,*1,5,*1,*6,*7,*4,*7,*1,4,*2),(*3,1,3,*2,*9,*4,*3,*1,*7,*1,*9,*8),(*6,2,2,8,*6,4,1,*2,5,*9,*9,7),(*7,*3,*2,7,4,*5,1,9,*4,*8,7,*1),(*4,7,7,1,1,5,6,*4,*6,4,9,*9),(*1,1,6,3,1,8,*5,*6,8,5,4,*4),(*1,7,3,6,5,*7,*8,7,2,1,2,*6),(6,1,3,4,5,*1,3,4,2,4,8,6)</t>
  </si>
  <si>
    <t>56214,92219,38,78,59,134,23,2994457,1946,172,1866898,67471,367411,537,1713</t>
  </si>
  <si>
    <t>(7,8,2,6,*9,5,4,1,4,1,4,8),(6,3,1,2,8,*7,8,*2,2,8,3,7),(3,8,5,4,*5,*6,*2,*1,*2,1,3,6),(7,3,6,9,5,5,3,*6,*2,*4,7,*7),(3,2,*1,*9,*2,5,4,*2,*2,*5,8,*5),(8,1,9,2,2,4,4,*4,*2,*1,1,*9),(3,4,6,7,*5,3,8,*7,8,*9,6,*3),(4,7,3,6,9,*5,8,7,*2,*8,*3,*4),(*4,*2,*9,*4,*4,*8,*7,*9,*8,*1,*2,*8),(*5,3,6,4,7,1,*9,5,*3,5,*6,*7),(9,6,4,1,7,7,5,4,*6,8,*2,8),(9,1,2,6,*5,*8,*4,*6,*5,7,*4,7)</t>
  </si>
  <si>
    <t>291,55,32624,28365,45198,7844924,562,7843957,5846,972,13,99,52,216247,2222</t>
  </si>
  <si>
    <t>(2,3,4,9,*7,3,4,3,1,7,4,2),(8,6,6,8,*5,*3,*1,1,5,4,3,2),(2,9,9,6,*1,9,1,*8,*7,*1,*8,2),(9,2,*2,*5,*7,4,2,5,5,2,8,5),(4,1,*2,*9,*9,8,8,*5,*8,*7,*8,*2),(2,4,*9,*6,*2,3,3,*7,7,*1,8,3),(4,4,*3,*9,*2,4,4,*2,*9,5,6,1),(6,1,*5,*9,3,8,4,*9,3,9,4,6),(9,9,*3,8,*7,2,*9,7,8,1,7,1),(6,8,*8,9,*6,5,1,*8,*2,*9,*2,*6),(5,*1,5,3,*9,5,*4,*7,*4,*6,*9,*6),(4,*1,8,2,1,*9,*1,*5,*7,7,2,6)</t>
  </si>
  <si>
    <t>7519,58,59699,2297157,81999,82926,11,13,474696,2293538,967,275,49,8178,287</t>
  </si>
  <si>
    <t>(2,7,*6,4,2,3,3,*8,8,5,3,9),(2,9,*9,1,1,7,4,*1,2,6,3,4),(4,2,*4,8,6,4,5,*6,6,4,1,*2),(1,6,*3,7,4,*1,9,*9,1,5,2,*8),(2,6,*9,9,*9,5,*4,*7,*6,*8,7,*8),(6,2,*7,*3,9,9,*2,*8,*5,5,2,*9),(2,*6,*4,*5,*6,*7,*6,*3,4,*7,7,*1),(7,3,*8,*5,6,*6,*2,*3,7,6,*5,5),(*1,*4,*9,9,*5,*3,*6,4,6,5,3,*8),(5,5,*7,3,7,9,*7,6,5,5,4,6),(6,8,*2,5,9,9,*3,4,4,9,3,5),(3,1,9,9,3,*8,*9,*4,*7,*3,5,6)</t>
  </si>
  <si>
    <t>55,2798,28891,68,4262673,3879618,8575,391,14,64567,666,536,37498,33,694397</t>
  </si>
  <si>
    <t>(*4,*7,*7,*9,*5,*5,*2,3,6,1,4,4),(*6,*8,*4,*1,*3,*1,*2,1,9,*3,9,3),(4,6,3,2,3,*1,*9,3,3,*2,6,3),(1,8,8,2,4,*3,*7,*5,*3,*2,3,3),(4,8,4,3,*7,4,5,9,3,*5,7,2),(3,4,5,*9,5,8,3,*1,9,*2,8,6),(*6,3,*1,*2,5,7,2,3,*3,*8,5,3),(*2,4,8,*8,*7,*5,*5,*4,*8,*9,*8,4),(*5,*2,*4,*3,2,2,9,8,7,*1,*4,3),(4,*9,8,1,5,7,3,4,*1,7,1,*4),(1,5,*8,1,7,1,9,2,7,4,8,3),(4,8,4,*9,8,2,3,*1,*9,*9,*1,5)</t>
  </si>
  <si>
    <t>92,17,283,19739,75548,26,6841312,322528,44931,24,811,2559774,1991,9895,235</t>
  </si>
  <si>
    <t>(5,8,3,8,2,8,5,7,7,8,6,7),(2,7,3,2,2,9,9,*5,*2,2,1,4),(5,7,1,6,8,3,*4,*7,*4,6,2,6),(8,9,7,7,7,1,9,6,*1,8,3,7),(1,8,1,3,4,8,3,4,7,4,4,1),(6,7,1,1,9,1,9,9,7,5,8,2),(1,9,4,3,9,5,5,7,4,1,2,5),(4,6,2,7,9,8,1,4,7,5,5,8),(6,8,5,8,7,5,6,1,4,2,5,8),(2,1,9,5,5,3,2,9,6,9,9,7),(9,2,2,6,9,7,5,3,4,1,9,7),(9,6,4,9,6,8,2,3,3,9,4,7)</t>
  </si>
  <si>
    <t>(5,8,3,8,2,8,5,7,7,8,6,7),(*2,7,3,2,2,9,9,*5,*2,2,1,4),(*5,7,1,*6,8,3,*4,*7,*4,6,2,6),(*8,9,7,*7,7,1,9,6,*1,8,3,7),(1,8,1,3,4,8,3,4,7,4,4,1),(6,7,1,1,9,1,9,9,7,5,8,2),(1,9,4,3,9,5,5,7,4,1,2,5),(4,6,2,7,9,8,1,*4,7,5,5,8),(6,8,5,8,*7,5,6,1,*4,2,5,8),(2,1,9,*5,5,3,2,9,6,9,9,7),(9,2,*2,6,9,7,5,3,4,1,9,7),(9,6,4,9,6,8,2,3,3,9,4,7)</t>
  </si>
  <si>
    <t>241,47,*382857,45,27981,67,2813,73194,9552,79919,257,44,258,3328694,7217181</t>
    <phoneticPr fontId="1"/>
  </si>
  <si>
    <t>241,47,382857,45,27981,*67,2813,73194,9552,79919,257,44,258,3328694,7217181</t>
    <phoneticPr fontId="1"/>
  </si>
  <si>
    <t>(5,8,*3,*8,*2,*8,*5,*7,7,8,6,7),(*2,7,3,*2,2,9,9,*5,*2,2,1,4),(*5,7,1,*6,*8,3,*4,*7,*4,6,2,6),(*8,9,7,*7,*7,*1,9,6,*1,8,3,7),(1,8,1,*3,4,8,*3,4,7,4,4,*1),(6,7,*1,1,*9,*1,*9,*9,*7,5,*8,2),(1,*9,4,3,9,5,5,7,4,*1,*2,5),(*4,6,*2,*7,*9,*8,*1,*4,*7,5,*5,8),(6,8,5,8,*7,5,6,*1,*4,2,*5,8),(2,1,9,*5,5,3,*2,9,6,9,*9,7),(9,2,*2,6,9,*7,5,3,4,1,9,7),(9,6,*4,*9,*6,*8,*2,*3,*3,9,4,7)</t>
    <phoneticPr fontId="1"/>
  </si>
  <si>
    <t>241,47,382857,45,27981,67,2813,73194,9552,79919,257,44,258,3328694,7217181</t>
    <phoneticPr fontId="1"/>
  </si>
  <si>
    <t>(*3,6,9,5,9,*3,*6,*3,*1,9,3,5),(2,*4,9,*5,5,*2,8,*7,1,1,5,1),(4,4,*7,*4,4,*8,5,3,1,2,9,*9),(4,5,*1,*4,3,*7,*9,*1,*6,*4,5,*1),(8,*6,4,7,*9,*2,*7,4,8,4,*2,*3),(4,5,6,9,*4,*7,*5,7,3,5,*6,*8),(1,8,5,6,5,*8,*7,3,*2,9,*9,*6),(5,8,6,4,2,*1,*1,1,*6,5,*3,6),(4,9,2,4,5,*6,*2,9,*1,*1,*3,7),(8,2,8,4,8,9,*2,9,*1,7,*5,9),(9,6,8,3,3,1,*2,5,*9,3,*1,9),(7,8,*6,*2,*3,3,4,6,3,8,6,8)</t>
  </si>
  <si>
    <t>76,9164,54,82,1533962,94743,68319,2221757,618727,26119,416,623,3631,113,48</t>
  </si>
  <si>
    <t>(6,9,*5,*2,*5,*4,*5,*2,*5,6,3,2),(*3,*8,*4,*4,*3,*6,*1,6,3,4,4,5),(7,4,*3,*3,*6,7,7,7,7,1,3,*2),(6,1,7,7,*6,2,7,8,9,5,*3,*1),(*3,6,9,5,*5,*5,*8,*6,*1,*4,6,*2),(*8,*1,9,8,*3,8,*5,*7,*6,7,*9,*8),(*8,*8,7,7,*9,6,3,*1,*3,*9,2,*9),(6,9,3,1,*4,6,6,*5,*5,2,9,*7),(2,9,9,3,*9,*7,*6,4,*7,*5,2,*2),(2,8,5,1,*4,2,9,6,2,*2,5,2),(7,2,2,8,*2,1,5,7,8,5,*9,3),(7,4,2,9,*5,4,2,4,3,5,6,3)</t>
  </si>
  <si>
    <t>52494,5254525,33,55155,93566,6432,388,9275,128972,76,614,99,378,18,1634483</t>
  </si>
  <si>
    <t>(3,2,3,6,*6,7,*5,8,*1,4,1,7),(*1,9,2,*6,2,2,*7,2,*6,8,3,3),(5,*3,*9,*3,*7,*6,*8,*7,*8,8,8,7),(5,*8,*1,*3,*6,*4,*3,*1,9,6,1,8),(*8,*7,7,*4,*4,*1,*5,*2,*3,6,*9,3),(5,5,*6,7,6,4,4,*8,6,*2,*9,9),(*7,*1,*6,*3,1,6,9,7,*3,*7,8,7),(4,2,1,2,*2,6,8,*4,*3,4,7,6),(6,5,8,1,1,1,*9,*6,1,1,4,6),(2,*1,*6,*6,*9,*2,*7,2,7,2,6,7),(3,*1,6,4,*6,*7,8,4,4,1,8,7),(7,3,9,3,*2,6,9,*5,*9,2,4,8)</t>
  </si>
  <si>
    <t>441523,75,9736772,37687,6294329,168,11,9661,66988,13463,83,7632,59,131,617</t>
  </si>
  <si>
    <t>(5,8,1,8,8,5,3,3,8,7,2,8),(8,5,8,5,7,6,4,7,5,3,8,9),(1,8,3,7,3,7,7,2,2,6,5,3),(2,4,8,8,3,1,9,6,2,*7,2,4),(6,4,9,*7,*8,*1,6,7,*4,3,9,1),(1,*5,7,7,3,2,4,*4,3,5,8,2),(1,4,*7,4,2,1,1,3,8,9,4,9),(6,5,3,*4,5,1,2,6,1,6,4,3),(9,1,1,2,*1,1,1,9,3,8,9,7),(6,4,9,*7,6,4,6,9,2,5,3,8),(3,7,6,4,9,9,8,3,1,1,9,2),(1,3,3,7,2,5,6,1,3,5,8,7)</t>
  </si>
  <si>
    <t>447,42377,31192,71,187,574,7941685,3562,7973,88,969198,64,7392143,83,13587</t>
  </si>
  <si>
    <t>447,42377,31192,71,187,574,7941685,*3562,7973,88,969198,64,7392143,83,13587</t>
    <phoneticPr fontId="1"/>
  </si>
  <si>
    <t>(5,8,1,8,8,5,3,3,8,7,2,8),(8,5,8,5,7,6,4,7,5,3,8,9),(1,8,3,7,3,*7,7,2,*2,*6,*5,*3),(2,4,*8,*8,3,1,*9,6,2,*7,2,*4),(6,4,9,*7,*8,*1,6,*7,*4,3,9,*1),(1,*5,*7,*7,*3,*2,*4,*4,*3,*5,*8,*2),(1,4,*7,4,2,1,1,3,*8,*9,4,*9),(6,5,3,*4,5,1,2,*6,*1,*6,*4,*3),(9,1,1,2,*1,1,*1,*9,3,8,9,*7),(6,4,9,*7,6,*4,*6,9,2,5,3,8),(3,7,6,4,*9,*9,*8,*3,*1,*1,*9,*2),(1,3,3,*7,2,5,6,*1,*3,*5,*8,*7)</t>
  </si>
  <si>
    <t>(3,9,9,4,6,8,2,6,2,2,7,8),(6,*8,*7,*8,*2,*7,*6,*7,6,2,4,4),(3,5,5,8,*6,6,8,9,7,*6,*5,5),(8,9,5,*8,*9,*8,*6,7,5,4,7,5),(5,3,*2,7,2,8,*1,*9,5,2,7,9),(4,6,1,7,7,4,8,*4,*9,*6,4,3),(3,3,9,2,3,*3,1,3,*5,*2,4,6),(6,*4,*2,*6,*2,*6,*9,*7,8,*2,*1,1),(2,*9,9,6,8,*3,*5,*3,*7,*7,*2,*5),(1,4,2,2,5,*5,*4,*3,*1,*8,7,4),(9,4,8,*6,*1,*4,*6,*1,*4,5,4,9),(4,9,1,2,2,7,8,*2,7,2,7,8)</t>
  </si>
  <si>
    <t>3537,61461,65,98,22541,81345,286,512996,2842,7672878,7962624,226,49,527,36</t>
  </si>
  <si>
    <t>(8,*6,5,*6,*1,*6,*7,*3,3,7,3,2),(5,*7,4,1,5,3,3,4,*2,*2,5,6),(2,*8,7,*2,*7,5,4,6,*6,*5,2,3),(1,*4,9,9,2,4,8,*8,5,8,*1,9),(1,*2,*8,*7,*7,*1,*6,6,2,*4,7,*2),(3,*4,*3,5,1,*2,8,9,*9,7,1,5),(2,*8,1,*4,*5,6,*3,*6,7,8,6,*6),(1,4,*1,6,5,8,*4,*2,8,5,6,*4),(9,8,*6,7,*7,*8,3,1,1,8,3,*6),(*1,*4,*3,9,*5,2,*3,9,3,3,5,*9),(6,6,2,*5,*6,3,8,*5,4,9,7,*9),(3,2,2,8,*1,*3,*7,*1,*2,7,3,8)</t>
  </si>
  <si>
    <t>232,72,64699,43,361,32512,6784248,53,5584694,14,7616,1778,21731,526862,756</t>
  </si>
  <si>
    <t>(8,*9,*2,8,4,1,9,8,3,3,2,1),(1,*1,*9,9,2,5,2,9,*5,*1,*6,*1),(4,*5,*9,5,5,7,*4,9,4,6,6,*1),(7,*6,*3,2,3,*6,2,4,*5,4,8,*2),(9,*2,*8,6,*9,5,*3,*4,6,*1,8,*3),(5,1,*4,*9,7,4,1,4,*8,1,*2,*6),(9,9,*4,*4,*1,*5,*1,*5,*8,1,3,*8),(6,*2,7,8,9,1,2,5,*6,2,3,8),(*2,*1,*8,*1,*7,*4,*9,*5,*1,9,2,5),(4,*2,4,*8,*8,*4,3,1,*2,9,8,2),(9,*5,1,1,5,2,1,9,6,*7,8,3),(8,4,2,5,6,*6,*9,*2,3,4,9,5)</t>
  </si>
  <si>
    <t>483992,1615,1688,1817495,27,512,45,41515,43,26519,296,4699422,86321,884,52</t>
  </si>
  <si>
    <t>(1,3,5,8,5,3,5,6,3,*1,8,7),(4,8,*5,1,7,3,5,6,8,*2,6,3),(6,2,*5,7,7,6,*6,4,8,*6,9,6),(7,6,*8,6,*1,*5,6,1,7,*7,6,2),(*6,3,*7,4,*4,*6,*2,*9,*3,*5,*8,*4),(*3,6,*3,*2,6,3,*8,7,*9,4,7,*7),(*3,5,*7,2,7,*8,*9,1,6,*3,8,*7),(9,*1,6,4,*7,2,*9,2,2,*9,*1,*3),(*9,4,3,*9,2,9,*9,4,*8,5,5,*5),(*9,6,*6,7,*8,*6,*6,*4,*2,3,2,*3),(8,*7,3,*8,7,1,*9,5,*5,2,8,*9),(1,9,*4,*1,3,*8,3,7,2,7,1,3)</t>
  </si>
  <si>
    <t>89996,633,7621,14,853926,98498,8796,6542719,18,4773539,37855,974,139,68,52</t>
  </si>
  <si>
    <t>(*7,*5,*9,1,4,3,4,8,8,9,5,5),(3,6,2,5,4,9,2,*1,5,2,1,*4),(6,9,1,*5,*7,*5,*4,*3,1,*3,*8,9),(4,9,8,4,2,8,6,3,4,*8,*1,4),(5,*6,*5,*6,*7,*9,1,7,*7,4,3,*7),(6,*2,*8,9,5,8,*5,*6,7,*9,2,9),(3,6,4,8,3,8,*2,*3,*5,9,5,2),(*4,*2,*5,*8,8,*6,9,*8,*1,1,1,*5),(8,5,*8,1,3,3,*5,1,9,*9,*7,6),(9,*4,8,2,9,*8,2,6,6,*1,*6,7),(*4,*5,*1,3,*9,7,8,8,*8,3,3,*8),(2,8,5,*8,1,4,*3,*7,*8,*9,*6,2)</t>
  </si>
  <si>
    <t>41,34575,6267884,9585898,83,28,65679,448,15,4258,37896,713,957,5718,531968</t>
  </si>
  <si>
    <t>(1,4,7,1,4,8,7,6,1,7,5,*9),(*1,3,7,8,3,1,5,3,5,8,*3,7),(8,*8,9,2,8,3,2,3,2,*8,*4,5),(6,*2,*1,9,3,4,3,*8,*4,*3,4,2),(4,*3,*8,*2,2,1,*2,*9,*4,7,4,2),(*5,*8,8,*5,*6,*6,*8,*9,*3,*2,*2,9),(*6,*8,1,4,*9,*3,*1,*4,*4,4,9,2),(*3,5,3,*5,7,*9,8,*5,9,*2,8,6),(*9,*1,*6,8,5,*1,9,8,*5,*2,6,3),(*8,*6,1,7,9,1,*8,4,*2,*8,9,3),(9,6,5,*1,*3,5,6,*9,*3,*2,5,3),(1,2,7,4,7,7,1,7,*5,*4,1,3)</t>
  </si>
  <si>
    <t>981,62181,89365,223,5325,919434,6659628,42822,285,15,44,16,31,2388,3894839</t>
  </si>
  <si>
    <t>(8,8,2,6,8,9,4,6,7,3,7,8),(8,*4,*4,*5,*3,*5,*9,*7,1,7,3,5),(2,2,3,9,7,2,8,7,6,5,6,8),(4,4,7,8,6,8,*2,8,8,8,5,1),(2,9,9,7,5,*3,*6,*3,*5,*7,*7,*9),(4,1,*8,9,3,8,*4,*5,*9,*8,*2,2),(3,1,*4,1,4,*9,*1,*3,*1,*3,*3,9),(7,9,*8,*1,9,*7,*4,6,6,3,*2,6),(1,6,*2,4,*4,*7,*7,*9,3,3,*9,2),(*5,*5,*7,*6,9,*7,*4,*2,5,8,*1,1),(7,9,*3,1,4,*1,*2,4,*4,6,*1,9),(6,*8,3,7,2,3,*2,3,2,*6,5,8)</t>
  </si>
  <si>
    <t>17779,9775363,8364,239,72848,32911,313,12,55,4453597,94,5982,246,22,414742</t>
  </si>
  <si>
    <t>(6,4,5,*4,*3,*7,2,6,6,*7,7,*5),(*4,*2,*3,*8,*7,*1,*3,9,*2,7,*9,9),(8,3,9,3,9,8,4,*1,*9,*8,7,5),(3,8,6,8,6,*3,5,2,*9,*6,1,7),(*1,*5,*8,*4,*3,*6,*8,*8,7,9,*7,9),(3,4,4,4,4,5,*2,*2,6,5,6,*3),(1,5,5,3,*5,6,7,5,*9,*3,*2,*8),(1,8,8,8,*5,8,8,*3,*9,*1,4,7),(2,2,1,*2,*4,*3,*2,*9,*1,*4,*7,3),(1,6,4,3,7,6,7,1,3,5,7,*3),(1,9,3,5,4,4,*6,*1,3,2,1,2),(2,7,8,9,1,*1,*2,*8,*2,*8,1,7)</t>
  </si>
  <si>
    <t>3829173,61,86,598982,34851,8324,3769,437,328,82821,721,2432914,39,31783,55</t>
  </si>
  <si>
    <t>(2,2,8,*6,1,8,4,8,1,*7,5,9),(9,9,8,*1,*2,5,3,6,1,*7,7,*8),(1,6,2,*3,6,*3,1,2,4,*6,8,*8),(2,*7,8,*5,*5,*1,*1,7,6,3,8,*1),(5,*2,1,2,*6,*8,*9,*1,9,3,2,*6),(3,*8,5,3,*4,6,7,*3,*7,9,6,*4),(9,*1,9,7,*8,5,9,*6,*5,*9,8,*5),(*7,*2,4,*4,*2,8,*7,9,3,*2,*8,*1),(*4,*8,6,6,*7,*4,5,6,7,2,4,4),(*3,*1,9,6,*4,5,8,5,6,2,9,1),(6,4,*3,*9,3,9,6,2,5,9,2,3),(1,6,5,*3,1,*1,*6,*6,*6,5,6,8)</t>
  </si>
  <si>
    <t>21827,8816451,5316,776,86,67449,2311798,347,564827,19352,83,24,6661,413,33</t>
  </si>
  <si>
    <t>(8,8,8,8,3,*7,*7,*2,*8,*9,*1,4),(1,6,6,1,*3,3,8,*5,*6,*8,5,5),(4,4,5,*9,4,*1,3,*2,3,2,8,9),(2,9,*4,9,2,*4,6,*3,3,1,2,6),(6,*8,2,5,8,*1,3,*1,6,8,6,6),(*2,3,8,6,6,*5,3,*1,9,1,2,7),(4,*2,8,7,*4,*1,*7,*5,8,4,8,3),(4,4,*6,5,4,*8,*2,*2,*4,9,3,6),(*9,3,*3,*4,9,*9,*8,*6,*8,2,7,2),(*9,2,*7,*3,5,4,*3,*6,*1,4,7,6),(*3,8,*3,9,2,6,*9,5,*6,8,8,8),(7,7,*2,5,*9,*2,*8,*9,*8,6,8,4)</t>
  </si>
  <si>
    <t>568,399,462,45,9289,78,3732,89382,2511325,33,66,86184,9815141,39482,772891</t>
  </si>
  <si>
    <t>(9,4,8,*3,5,8,2,4,*7,*7,2,2),(3,*3,8,1,*1,1,6,*3,8,*8,1,4),(6,*9,4,*7,4,*7,*7,9,3,*5,7,8),(*3,5,3,*4,3,*2,*7,6,8,2,4,1),(*3,2,1,*4,*1,*5,*8,*8,8,5,5,8),(*2,5,7,*4,4,6,6,*3,*1,5,3,4),(*6,2,6,*4,7,*4,3,3,*2,*9,5,5),(*1,8,*4,*6,*8,*8,*9,*8,*1,*9,6,*9),(3,8,2,*3,1,8,7,6,8,6,*6,*7),(7,1,1,9,*7,*9,*6,*7,*3,6,4,*7),(7,7,2,*2,*1,*7,8,4,4,9,2,*3),(3,7,4,6,*5,*5,*8,6,2,2,5,*3)</t>
  </si>
  <si>
    <t>55,283296,8773,48,74444,737,39,51,9673,4688981,712,33261,3177819,785,97733</t>
  </si>
  <si>
    <t>(7,9,7,9,6,6,*1,*3,*4,*8,*3,*1),(3,7,9,6,5,6,*1,6,8,9,5,6),(8,6,9,3,8,6,*9,3,*7,5,2,5),(4,3,4,*9,*6,2,*4,3,*9,*7,9,4),(2,1,9,7,*3,*5,*3,8,*2,8,*1,*8),(7,8,2,*8,*1,*3,*2,6,*5,1,9,*2),(5,3,*7,*9,5,9,*4,*4,*2,4,7,*7),(*8,6,7,2,9,*6,5,*7,*5,6,8,*5),(6,*4,5,7,2,3,*9,*1,*3,*2,4,*7),(5,2,*1,5,9,*5,9,*9,9,*6,*6,*4),(8,9,6,*6,4,3,*5,4,*2,9,*6,*9),(5,2,3,3,9,2,4,*1,4,*7,4,3)</t>
  </si>
  <si>
    <t>34911,6374339,97,155,174,66,76,177,81,8416,8275749,13843,69927,254256,9252</t>
  </si>
  <si>
    <t>(6,4,1,6,*8,*3,*1,*5,*3,*8,*1,1),(8,2,7,7,9,6,5,9,*2,4,2,1),(2,*7,8,5,3,3,9,*8,1,1,2,2),(9,*5,5,6,4,7,*3,3,6,7,6,*9),(*8,*1,9,2,3,*9,1,6,2,1,6,*9),(*3,*6,*5,4,*7,*1,4,1,8,2,*2,*5),(*2,3,4,*1,5,*9,*1,9,5,*8,*2,*4),(*9,2,5,3,*4,*5,1,*2,5,*7,*7,*8),(*8,5,7,5,9,*4,3,8,*4,*1,*8,*5),(5,*1,*1,*5,6,9,8,8,9,*9,*5,*3),(3,9,*3,*5,*8,*8,9,3,2,*6,*3,4),(4,*7,*6,7,5,7,8,5,8,9,6,6)</t>
  </si>
  <si>
    <t>735,65,88,124,3584599,1514,28397,115,75,1835138,69178,68,358722,1954,83298</t>
  </si>
  <si>
    <t>(5,7,1,8,7,*1,1,8,*5,*9,*7,*1),(*1,*5,*4,7,7,*2,3,2,9,7,5,4),(*5,5,8,8,3,*1,5,5,4,1,*8,3),(*8,2,3,8,6,3,2,*8,1,*8,9,9),(*5,6,3,3,2,2,*6,*2,*3,4,5,7),(*1,*4,1,6,9,*3,1,*8,9,2,6,2),(*1,*3,7,3,*3,9,*7,*5,*6,*8,*9,*4),(*1,*5,6,*6,6,8,6,1,7,6,4,6),(*7,*5,*1,6,3,5,4,7,5,6,3,4),(*4,*1,1,9,4,*6,3,3,1,2,7,5),(*4,*9,*5,*2,*2,*6,*5,*1,*3,*5,*2,9),(*6,*9,2,*5,3,8,3,7,5,*9,*1,9)</t>
  </si>
  <si>
    <t>32,5111744,78388,49865,69,863361,526,45,15534,121,1795,1352,1562259,19,851</t>
  </si>
  <si>
    <t>(5,*5,*4,*1,*9,*4,*7,*6,4,4,3,6),(6,8,1,*7,*7,*7,3,1,2,9,7,7),(1,3,8,9,*6,*5,2,9,1,6,*2,*8),(*5,2,3,7,*1,*9,*7,9,8,*5,*5,2),(7,*3,4,7,*1,*9,1,*5,*5,*6,7,5),(3,6,*4,6,*2,*3,4,*8,*7,9,*2,3),(*4,1,6,*7,*3,7,*3,*4,1,*8,*3,2),(2,*2,*8,5,*8,*1,*3,6,*1,6,*2,6),(*6,1,9,7,*5,6,4,*3,8,5,3,1),(2,*7,3,7,8,2,*6,7,8,3,4,2),(4,5,*4,1,8,*5,5,3,1,4,*9,2),(6,6,6,*5,*7,5,7,7,9,8,*6,9)</t>
  </si>
  <si>
    <t>2558315,79,578,5419476,53478,856743,24,777,13657,232,28,6745,3995,61123,96</t>
  </si>
  <si>
    <t>(5,8,2,7,4,7,3,6,4,5,5,8),(5,4,1,6,1,8,9,*8,*5,*9,6,6),(4,6,6,3,3,2,7,9,7,9,6,4),(4,1,*5,*4,3,7,4,6,2,4,9,9),(9,8,3,*4,*4,2,4,*3,2,*1,*7,*4),(4,1,*5,*5,*6,*4,4,*6,7,1,*6,*8),(6,6,9,1,5,8,*7,9,4,8,9,7),(2,7,8,*5,1,9,9,*6,1,7,9,1),(4,7,4,*7,3,3,1,1,1,9,6,6),(8,8,3,8,1,6,6,5,6,9,6,3),(8,7,*9,*9,*5,*2,*4,*2,*2,3,4,7),(5,2,8,3,6,4,1,1,9,1,8,3)</t>
  </si>
  <si>
    <t>174,36,859,55,2242599,67444,68,*9849,546,8426,19183,75,42331,279796,3816656</t>
  </si>
  <si>
    <t>(5,8,2,7,4,7,3,6,4,5,5,8),(5,4,*1,6,1,8,9,*8,*5,*9,6,6),(4,6,6,*3,3,*2,*7,*9,*7,*9,*6,4),(4,1,*5,*4,*3,7,4,6,2,4,9,9),(9,8,3,*4,*4,*2,4,*3,2,*1,*7,*4),(4,1,*5,*5,*6,*4,*4,*6,7,1,*6,*8),(*6,6,9,1,5,8,*7,*9,*4,*8,*9,7),(*2,7,8,*5,1,9,9,*6,1,7,9,1),(*4,7,4,*7,3,3,1,1,1,9,6,6),(*8,8,*3,*8,*1,*6,*6,*5,*6,9,6,3),(8,7,*9,*9,*5,*2,*4,*2,*2,3,4,7),(5,2,8,3,6,4,1,*1,*9,*1,*8,*3)</t>
  </si>
  <si>
    <t>174,36,859,55,2242599,67444,68,9849,546,8426,19183,75,42331,279796,3816656</t>
  </si>
  <si>
    <t>(1,1,5,2,8,1,*7,*9,*7,*7,*9,4),(*1,*5,*5,*8,*9,*6,*5,*9,3,9,2,2),(*2,7,6,*4,9,6,2,5,9,6,7,1),(*6,*2,6,*9,*6,6,8,9,5,8,9,6),(*4,3,*4,3,*9,*5,1,9,6,7,6,1),(*3,3,4,*7,4,6,1,6,3,8,1,2),(*2,4,*9,*3,*6,*1,*6,*8,*4,*4,*2,1),(*1,5,*9,*7,*2,2,6,2,9,4,*8,9),(5,*9,*1,*4,*3,*2,*7,1,8,6,1,7),(4,9,9,4,*7,*3,*7,*8,*8,3,9,5),(9,9,1,3,8,2,*6,*7,*1,5,4,4),(*7,*3,*1,*6,1,4,*1,3,7,6,9,7)</t>
  </si>
  <si>
    <t>99,2476,465,39,97797,723419,972,44861,9569855,761,88737,1264321,82,6137,17</t>
  </si>
  <si>
    <t>(5,3,5,*7,*9,*9,*7,*5,*2,*9,1,3),(8,5,9,8,4,*3,4,3,2,2,*3,5),(6,4,5,4,6,*8,2,6,1,*6,1,9),(6,2,9,1,*9,*8,*9,*3,*9,4,5,9),(5,8,*9,1,*1,*6,5,*9,9,9,4,5),(4,9,*5,*1,*6,7,*6,*4,1,6,*9,5),(*9,9,*9,7,*2,*5,1,8,1,1,*5,2),(*1,1,*5,*1,8,6,2,2,3,5,*3,2),(*9,8,*4,5,9,2,8,*1,4,9,*9,5),(5,6,6,5,7,*8,8,*1,8,7,*6,7),(5,6,8,6,2,*2,*2,*3,*6,*8,*5,7),(*8,*7,*9,*6,*3,*7,*5,9,5,6,1,1)</t>
  </si>
  <si>
    <t>5736978,51,23685,6883,45959,219,98,95396,493,919,9162,369965,11,28,9257997</t>
  </si>
  <si>
    <t>(8,7,3,5,2,6,1,5,9,4,7,1),(9,2,9,9,9,2,3,2,4,2,5,*1),(2,9,1,*7,5,7,1,*1,1,2,*6,9),(6,6,4,*8,2,1,*6,7,1,*7,3,*7),(8,2,4,*4,7,*9,8,9,*2,4,3,*2),(8,9,2,*2,*4,7,8,*9,9,9,9,*2),(4,8,*6,*5,7,*9,*3,4,1,6,8,*8),(2,*3,*6,*8,3,*5,5,4,6,6,4,*3),(4,*6,*2,8,4,*2,7,9,6,*4,5,*7),(5,*7,*4,*6,5,5,2,9,5,*7,1,*6),(8,*6,*5,*9,*1,3,*9,*7,*5,*2,*1,*4),(3,*1,6,*6,8,3,3,6,8,*3,8,9)</t>
  </si>
  <si>
    <t>1672935,19,259,6738227,4266,16763,542,4961,15437,41,12579,74,696,784258,32</t>
  </si>
  <si>
    <t>(4,1,9,4,2,*4,*5,*8,*7,2,2,6),(5,*9,*2,*7,*8,*7,5,3,1,3,1,1),(6,8,6,*5,*7,*4,*2,*3,*7,*9,*6,3),(9,4,*8,*1,7,*1,1,1,*4,*9,4,8),(5,*5,*7,2,4,6,*7,6,1,*2,7,6),(4,*8,8,*2,3,6,1,*7,*8,4,4,3),(*1,2,*9,*5,*2,4,1,*7,*1,7,8,7),(3,*5,5,5,6,5,*8,1,*6,*4,1,7),(*3,2,8,6,3,*2,7,*5,1,5,*2,2),(4,3,1,9,*4,*2,*9,*9,*3,8,5,*2),(3,8,3,*4,9,4,2,8,9,3,1,1),(3,5,9,8,5,3,*1,*3,*1,*3,*9,*9)</t>
  </si>
  <si>
    <t>187177,52,65,3592,97324,1771422,3992,49,131,2878244,96,48585,587,927,99313</t>
  </si>
  <si>
    <t>(8,4,9,8,*9,1,7,*1,4,9,5,2),(8,1,6,*1,2,1,*2,4,*2,3,8,8),(9,1,*9,7,6,*9,2,5,2,*8,*6,2),(4,*6,*6,8,*6,9,6,3,5,4,*7,7),(*2,8,*8,*4,*8,*8,*7,*6,*2,*4,*4,4),(4,7,*3,*4,*7,*2,*2,*5,*5,*4,*8,4),(3,3,4,*2,*5,*2,*4,8,9,3,*8,1),(6,6,1,*4,*9,*2,*3,*4,*3,*5,*6,5),(3,1,4,*6,*6,*6,2,7,8,*3,9,9),(9,7,*9,*5,6,8,1,9,*9,4,7,5),(*9,*9,*8,6,8,6,1,*4,3,8,3,7),(4,*7,*1,4,2,1,*9,8,2,8,7,8)</t>
  </si>
  <si>
    <t>9493,34692,128,68,189,4552274,88476,99,66,6534329,4252,564,426788,17,26919</t>
  </si>
  <si>
    <t>(3,*1,*5,2,6,3,9,9,8,4,5,1),(9,*5,2,*2,4,*9,6,2,5,7,7,*7),(8,*6,9,8,*8,*1,*2,5,6,3,*4,*3),(8,*3,9,2,6,*1,4,2,9,*1,*6,5),(*9,*5,*9,*3,*5,*5,*6,9,*4,*8,8,2),(9,*6,*6,*8,2,1,1,*7,*4,7,8,3),(3,7,*7,7,5,2,1,*5,8,5,9,1),(8,*4,*4,4,3,7,8,4,6,3,4,7),(3,3,*3,*2,*5,*6,*8,*5,4,6,7,*4),(8,1,*6,5,7,7,1,1,3,7,4,*8),(2,2,*1,7,*7,*2,*2,*8,*1,*7,4,*1),(1,9,*6,*1,*5,*4,*4,*2,*4,*9,3,6)</t>
  </si>
  <si>
    <t>66,4863,9424451,29,43616,11,825,722817,1563,6553959,874,184,74147,25685,57</t>
  </si>
  <si>
    <t>(5,3,6,2,7,*7,9,8,7,5,5,2),(7,*9,*3,*5,8,*6,3,4,7,8,6,9),(*2,3,7,5,5,*1,5,8,7,*1,8,8),(*6,3,*8,3,3,*5,1,5,4,*1,1,*5),(*6,3,*9,9,2,*6,4,6,1,*4,2,*1),(*6,4,*2,2,9,*1,4,*1,*2,*8,7,*3),(*1,9,*9,3,9,*1,*1,*8,*1,5,6,*5),(*4,9,8,5,9,*1,4,5,*6,3,2,*5),(*7,5,*1,1,*9,*4,*3,7,*1,8,6,9),(6,4,*4,*7,4,7,3,2,*2,6,4,4),(2,8,*2,7,2,*9,7,*6,*3,2,1,6),(2,*9,*4,*6,*9,*1,*3,*3,2,7,4,5)</t>
  </si>
  <si>
    <t>1165167,8411,8929,21612,36,416662,51355,79111,241,147,99,3319649,34,86,539</t>
  </si>
  <si>
    <t>(9,2,6,*1,4,*6,2,8,7,1,5,7),(8,7,*2,4,*7,*8,*4,7,8,9,6,3),(6,4,4,*3,*3,*9,3,*6,6,*6,9,*9),(3,6,9,*3,*5,7,*7,3,4,*6,9,*7),(5,4,*4,7,9,*9,8,*1,*8,*2,1,*6),(3,*9,*1,9,*6,3,*3,*7,2,*1,*6,*7),(*7,7,*9,4,*3,5,3,*6,8,*6,*2,5),(*2,6,9,5,*8,9,8,8,*4,9,*2,2),(2,*3,*1,*2,*1,*6,4,5,8,7,*4,6),(3,9,8,6,*8,*7,*6,*1,*8,*3,*2,*5),(9,7,2,9,7,4,7,8,5,3,7,9),(8,6,9,4,2,5,9,1,4,2,6,5)</t>
  </si>
  <si>
    <t>61213,4639532,419,836,7679,73,646,68,5238167,833497,27,4226,17971,78,66216</t>
  </si>
  <si>
    <t>(4,5,1,1,*6,*5,*6,*1,*3,9,6,6),(3,8,8,2,2,5,*9,*5,*3,*6,4,8),(*4,*7,*6,*6,*1,*2,*5,*6,5,2,5,2),(*6,4,4,3,*4,*7,*9,4,4,8,1,7),(*7,4,8,4,2,5,*8,6,9,6,1,*7),(*8,9,2,*2,8,5,*2,4,*6,6,8,*6),(*1,*7,8,*1,*8,1,4,*3,*3,1,7,*8),(*9,*4,*7,*6,*1,2,*2,*8,*9,1,7,9),(7,*1,9,*6,*1,5,2,8,*2,4,7,4),(8,*4,5,*7,*1,5,2,7,*1,1,4,4),(3,3,1,*5,*4,3,3,2,7,*1,*9,*5),(9,2,6,*1,1,4,6,1,4,9,9,8)</t>
  </si>
  <si>
    <t>31656,7661256,768,6359,41118,63921,4147,1576612,479,28,195,38,918764,23,17</t>
  </si>
  <si>
    <t>(4,*6,8,8,*8,5,4,5,5,6,4,7),(8,*5,6,9,7,*9,*6,6,*1,6,5,7),(5,*4,1,3,6,3,*1,*3,6,*2,3,8),(*3,*8,*5,*2,*7,*7,*5,*9,*8,5,*5,1),(5,4,4,6,*3,*8,9,2,*4,*9,*4,6),(7,4,1,1,*5,*6,9,4,2,4,*4,1),(*9,3,2,1,*3,7,*6,9,4,1,*8,8),(1,*4,3,6,*6,7,5,*6,9,3,5,5),(1,8,*3,9,*5,6,*3,4,*5,5,3,5),(5,4,9,*7,*4,*1,*1,*5,*5,*9,*7,8),(2,1,7,2,*1,8,5,7,1,9,2,1),(5,3,2,2,3,*9,*4,*5,*9,*8,*3,4)</t>
  </si>
  <si>
    <t>917349,4115597,654,549,31,49198,48,5365,5983,3852775,44,86,56663,63894,125</t>
  </si>
  <si>
    <t>(4,5,9,2,6,4,7,2,3,4,5,7),(*1,4,3,3,9,3,2,7,5,4,6,2),(*5,*7,*4,*2,*2,*9,*1,*4,*4,*5,*9,9),(2,5,*8,*7,*3,8,7,*7,*7,*5,*3,1),(5,*5,*2,*3,*7,*7,*3,*1,9,*7,4,4),(*2,6,8,1,9,*8,1,7,*9,*3,4,7),(8,*7,2,3,7,*4,9,9,9,*6,*1,1),(2,2,*9,9,*7,*8,*6,*6,6,*1,*2,7),(5,8,2,*1,8,*6,6,3,1,*8,*8,1),(7,3,6,6,*4,9,6,7,1,1,*6,3),(7,3,3,9,7,4,*8,*6,*3,8,2,3),(8,6,7,3,2,*2,*6,*3,*4,*7,*7,*8)</t>
  </si>
  <si>
    <t>41972,76,1286,848,66,14459,93,8774362,5237731,922475,7753,73618,368,15,378</t>
  </si>
  <si>
    <t>(3,*2,*6,*8,*9,*4,*4,*7,6,3,4,6),(6,3,7,2,*5,*4,8,4,2,9,6,1),(5,*4,*4,*1,*3,8,7,9,8,5,3,8),(8,9,1,*9,8,*4,*2,*4,*2,*5,1,5),(5,9,2,*6,*5,6,4,8,9,5,8,7),(5,3,*3,*6,*4,*2,*7,*2,*4,*4,2,*1),(7,*6,7,*2,4,3,9,6,*6,7,5,*2),(7,6,6,*4,5,3,7,*1,8,9,3,*9),(1,6,6,*1,4,8,*6,7,1,7,7,*4),(1,4,3,*6,*4,*2,7,8,7,*8,8,*7),(6,9,*5,*7,2,*3,*9,*7,9,*7,9,8),(4,4,*6,*7,*1,*2,*2,*3,*2,*8,8,4)</t>
  </si>
  <si>
    <t>62416,442724,95,74921,636,3144,6712232,6162,75,52424,97,34,254,7449862,878</t>
  </si>
  <si>
    <t>(*4,*2,*8,*6,*3,*8,*8,3,6,3,4,7),(6,2,1,4,6,7,5,5,1,8,2,*1),(2,*5,*2,3,5,7,3,*6,9,2,2,*4),(5,9,4,2,8,7,*3,*7,1,9,2,*2),(7,7,1,2,3,*1,8,1,6,6,4,*4),(9,*4,*2,4,*5,1,2,2,9,*7,*7,*2),(6,*6,*9,*5,9,5,1,5,*9,*5,*9,*2),(*8,7,*1,*2,*7,*7,*1,*1,8,9,*3,1),(6,6,*1,1,*7,5,*2,5,4,5,*3,*7),(5,4,*5,8,5,*6,2,9,5,1,*2,*4),(9,6,*7,1,*1,9,5,2,5,4,6,*4),(4,8,7,*1,2,8,2,4,7,1,9,9)</t>
  </si>
  <si>
    <t>224241,744,52,862,73,63155,59,46,79332,1162197,771,4286388,35782,1157,4927</t>
  </si>
  <si>
    <t>(9,2,2,7,*6,*6,*7,*7,*9,*4,*7,*7),(4,3,*6,*3,*9,4,4,6,4,7,4,*3),(5,7,*1,*8,*5,3,1,5,5,6,2,*9),(5,5,9,4,*1,*5,*4,*5,6,*5,8,*4),(5,4,*8,6,1,9,6,3,*1,9,2,*5),(2,*3,*5,*7,*5,8,2,*4,*8,4,9,*8),(3,7,2,*2,*5,4,*3,*9,4,*9,7,7),(7,8,2,*2,*9,*2,*7,7,7,*5,*7,1),(4,8,7,*7,3,*1,9,4,9,*6,*3,9),(1,7,*9,7,*9,9,7,1,5,*4,*6,5),(9,*9,8,*9,1,8,3,7,7,*8,8,1),(*5,1,*4,*6,3,7,5,7,1,8,4,9)</t>
  </si>
  <si>
    <t>739458,23415,84659,639,87,5451,6677947,59979,185,3575,4991798,55,22,69,637</t>
  </si>
  <si>
    <t>(7,6,2,1,6,7,7,5,6,6,3,2),(7,4,9,6,1,2,4,3,7,8,7,5),(3,3,8,6,2,5,9,6,9,9,9,5),(3,3,7,7,*1,*6,8,1,9,8,1,2),(9,7,2,6,2,*8,6,3,9,6,2,4),(*5,*5,*5,4,*4,1,9,5,9,8,2,4),(6,7,2,9,4,*7,8,2,2,3,8,4),(1,8,3,9,*2,2,6,7,7,6,7,5),(4,4,1,*8,5,4,4,3,9,2,5,8),(6,1,3,6,8,*9,3,5,2,8,5,6),(4,9,4,5,5,4,*6,4,7,6,4,7),(9,4,6,5,8,7,1,6,8,2,5,4)</t>
  </si>
  <si>
    <t>81,84,*4674645,987,8739385,61,827,57873,36746,6632,332442,555,52729,5414,96</t>
  </si>
  <si>
    <t>(7,6,2,1,6,7,7,5,*6,*6,*3,*2),(7,4,*9,6,1,2,4,*3,*7,*8,*7,*5),(*3,3,*8,6,2,*5,9,6,9,9,9,5),(3,*3,*7,7,*1,*6,*8,1,9,8,1,2),(9,7,*2,*6,2,*8,6,*3,9,6,2,4),(*5,*5,*5,*4,*4,1,*9,5,*9,8,2,4),(6,7,2,9,*4,*7,8,*2,2,*3,8,4),(1,8,3,9,*2,*2,*6,7,*7,6,*7,5),(*4,4,1,*8,5,4,4,*3,9,*2,5,*8),(6,*1,3,6,8,*9,3,5,2,8,*5,6),(4,9,*4,5,*5,*4,*6,*4,*7,*6,*4,7),(9,4,6,*5,8,7,1,6,8,2,5,4)</t>
  </si>
  <si>
    <t>81,84,4674645,987,8739385,61,827,57873,36746,6632,332442,555,52729,5414,96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</si>
</sst>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vertical="center" wrapText="1"/>
    </xf>
    <xf numFmtId="22" fontId="0" fillId="0" borderId="0" xfId="0" applyNumberFormat="1" applyFill="1">
      <alignment vertical="center"/>
    </xf>
    <xf numFmtId="176" fontId="0" fillId="0" borderId="0" xfId="0" applyNumberForma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データ!$A$3:$A$292</c:f>
              <c:numCache>
                <c:formatCode>m/d/yyyy\ h:mm</c:formatCode>
                <c:ptCount val="290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  <c:pt idx="281">
                  <c:v>46066.28324074074</c:v>
                </c:pt>
                <c:pt idx="282">
                  <c:v>46066.288854166669</c:v>
                </c:pt>
                <c:pt idx="283">
                  <c:v>46066.301921296297</c:v>
                </c:pt>
                <c:pt idx="284">
                  <c:v>46067.296168981484</c:v>
                </c:pt>
                <c:pt idx="285">
                  <c:v>46067.302523148152</c:v>
                </c:pt>
                <c:pt idx="286">
                  <c:v>46067.313206018516</c:v>
                </c:pt>
                <c:pt idx="287">
                  <c:v>46067.319328703707</c:v>
                </c:pt>
                <c:pt idx="288">
                  <c:v>46067.367638888885</c:v>
                </c:pt>
                <c:pt idx="289">
                  <c:v>46067.445856481485</c:v>
                </c:pt>
              </c:numCache>
            </c:numRef>
          </c:xVal>
          <c:yVal>
            <c:numRef>
              <c:f>データ!$B$3:$B$292</c:f>
              <c:numCache>
                <c:formatCode>General</c:formatCode>
                <c:ptCount val="290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50</c:v>
                </c:pt>
                <c:pt idx="234">
                  <c:v>60</c:v>
                </c:pt>
                <c:pt idx="235">
                  <c:v>55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60</c:v>
                </c:pt>
                <c:pt idx="259">
                  <c:v>60</c:v>
                </c:pt>
                <c:pt idx="260">
                  <c:v>60</c:v>
                </c:pt>
                <c:pt idx="261">
                  <c:v>60</c:v>
                </c:pt>
                <c:pt idx="262">
                  <c:v>60</c:v>
                </c:pt>
                <c:pt idx="263">
                  <c:v>60</c:v>
                </c:pt>
                <c:pt idx="264">
                  <c:v>60</c:v>
                </c:pt>
                <c:pt idx="265">
                  <c:v>60</c:v>
                </c:pt>
                <c:pt idx="266">
                  <c:v>60</c:v>
                </c:pt>
                <c:pt idx="267">
                  <c:v>60</c:v>
                </c:pt>
                <c:pt idx="268">
                  <c:v>60</c:v>
                </c:pt>
                <c:pt idx="269">
                  <c:v>60</c:v>
                </c:pt>
                <c:pt idx="270">
                  <c:v>60</c:v>
                </c:pt>
                <c:pt idx="271">
                  <c:v>60</c:v>
                </c:pt>
                <c:pt idx="273">
                  <c:v>60</c:v>
                </c:pt>
                <c:pt idx="274">
                  <c:v>60</c:v>
                </c:pt>
                <c:pt idx="275">
                  <c:v>60</c:v>
                </c:pt>
                <c:pt idx="276">
                  <c:v>55</c:v>
                </c:pt>
                <c:pt idx="277">
                  <c:v>60</c:v>
                </c:pt>
                <c:pt idx="278">
                  <c:v>60</c:v>
                </c:pt>
                <c:pt idx="279">
                  <c:v>60</c:v>
                </c:pt>
                <c:pt idx="280">
                  <c:v>60</c:v>
                </c:pt>
                <c:pt idx="281">
                  <c:v>60</c:v>
                </c:pt>
                <c:pt idx="282">
                  <c:v>60</c:v>
                </c:pt>
                <c:pt idx="283">
                  <c:v>60</c:v>
                </c:pt>
                <c:pt idx="284">
                  <c:v>60</c:v>
                </c:pt>
                <c:pt idx="285">
                  <c:v>57</c:v>
                </c:pt>
                <c:pt idx="286">
                  <c:v>55</c:v>
                </c:pt>
                <c:pt idx="287">
                  <c:v>60</c:v>
                </c:pt>
                <c:pt idx="289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0C-400D-9AB4-F15617B72AA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E50C-400D-9AB4-F15617B72A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079632"/>
        <c:axId val="482295216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データ!$A$3:$A$292</c:f>
              <c:numCache>
                <c:formatCode>m/d/yyyy\ h:mm</c:formatCode>
                <c:ptCount val="290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  <c:pt idx="281">
                  <c:v>46066.28324074074</c:v>
                </c:pt>
                <c:pt idx="282">
                  <c:v>46066.288854166669</c:v>
                </c:pt>
                <c:pt idx="283">
                  <c:v>46066.301921296297</c:v>
                </c:pt>
                <c:pt idx="284">
                  <c:v>46067.296168981484</c:v>
                </c:pt>
                <c:pt idx="285">
                  <c:v>46067.302523148152</c:v>
                </c:pt>
                <c:pt idx="286">
                  <c:v>46067.313206018516</c:v>
                </c:pt>
                <c:pt idx="287">
                  <c:v>46067.319328703707</c:v>
                </c:pt>
                <c:pt idx="288">
                  <c:v>46067.367638888885</c:v>
                </c:pt>
                <c:pt idx="289">
                  <c:v>46067.445856481485</c:v>
                </c:pt>
              </c:numCache>
            </c:numRef>
          </c:xVal>
          <c:yVal>
            <c:numRef>
              <c:f>データ!$Q$3:$Q$292</c:f>
              <c:numCache>
                <c:formatCode>[h]:mm</c:formatCode>
                <c:ptCount val="290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  <c:pt idx="201" formatCode="General">
                  <c:v>5.8564814753481187E-3</c:v>
                </c:pt>
                <c:pt idx="202" formatCode="General">
                  <c:v>6.3194444446708076E-3</c:v>
                </c:pt>
                <c:pt idx="203" formatCode="General">
                  <c:v>5.4629629667033441E-3</c:v>
                </c:pt>
                <c:pt idx="204" formatCode="General">
                  <c:v>5.8449074058444239E-3</c:v>
                </c:pt>
                <c:pt idx="205" formatCode="General">
                  <c:v>7.9861111080390401E-3</c:v>
                </c:pt>
                <c:pt idx="206" formatCode="General">
                  <c:v>4.3865740808541887E-3</c:v>
                </c:pt>
                <c:pt idx="207" formatCode="General">
                  <c:v>5.7407407439313829E-3</c:v>
                </c:pt>
                <c:pt idx="208" formatCode="General">
                  <c:v>7.1527777836308815E-3</c:v>
                </c:pt>
                <c:pt idx="209" formatCode="General">
                  <c:v>8.078703707724344E-3</c:v>
                </c:pt>
                <c:pt idx="210" formatCode="General">
                  <c:v>5.543981482333038E-3</c:v>
                </c:pt>
                <c:pt idx="211" formatCode="General">
                  <c:v>5.3587962975143455E-3</c:v>
                </c:pt>
                <c:pt idx="212" formatCode="General">
                  <c:v>#N/A</c:v>
                </c:pt>
                <c:pt idx="213" formatCode="General">
                  <c:v>#N/A</c:v>
                </c:pt>
                <c:pt idx="214" formatCode="General">
                  <c:v>9.0393518476048484E-3</c:v>
                </c:pt>
                <c:pt idx="215" formatCode="General">
                  <c:v>5.6249999979627319E-3</c:v>
                </c:pt>
                <c:pt idx="216" formatCode="General">
                  <c:v>6.8518518528435379E-3</c:v>
                </c:pt>
                <c:pt idx="217" formatCode="General">
                  <c:v>5.0462962972233072E-3</c:v>
                </c:pt>
                <c:pt idx="218" formatCode="General">
                  <c:v>6.7476851836545393E-3</c:v>
                </c:pt>
                <c:pt idx="219" formatCode="General">
                  <c:v>4.4791666659875773E-3</c:v>
                </c:pt>
                <c:pt idx="220" formatCode="General">
                  <c:v>7.025462960882578E-3</c:v>
                </c:pt>
                <c:pt idx="221" formatCode="General">
                  <c:v>4.9768518510973081E-3</c:v>
                </c:pt>
                <c:pt idx="222" formatCode="General">
                  <c:v>7.2106481529772282E-3</c:v>
                </c:pt>
                <c:pt idx="223" formatCode="General">
                  <c:v>8.6921296315267682E-3</c:v>
                </c:pt>
                <c:pt idx="224" formatCode="General">
                  <c:v>6.2731481521041133E-3</c:v>
                </c:pt>
                <c:pt idx="225" formatCode="General">
                  <c:v>#N/A</c:v>
                </c:pt>
                <c:pt idx="226" formatCode="General">
                  <c:v>7.2685185223235749E-3</c:v>
                </c:pt>
                <c:pt idx="227" formatCode="General">
                  <c:v>8.8773148163454607E-3</c:v>
                </c:pt>
                <c:pt idx="228" formatCode="General">
                  <c:v>6.3425925909541547E-3</c:v>
                </c:pt>
                <c:pt idx="229" formatCode="General">
                  <c:v>4.7337962969322689E-3</c:v>
                </c:pt>
                <c:pt idx="230" formatCode="General">
                  <c:v>5.3819444437976927E-3</c:v>
                </c:pt>
                <c:pt idx="231" formatCode="General">
                  <c:v>9.0393518476048484E-3</c:v>
                </c:pt>
                <c:pt idx="232" formatCode="General">
                  <c:v>8.3796296312357299E-3</c:v>
                </c:pt>
                <c:pt idx="233" formatCode="General">
                  <c:v>8.3564814849523827E-3</c:v>
                </c:pt>
                <c:pt idx="234" formatCode="General">
                  <c:v>1.1747685188311152E-2</c:v>
                </c:pt>
                <c:pt idx="235" formatCode="General">
                  <c:v>7.1412037068512291E-3</c:v>
                </c:pt>
                <c:pt idx="236" formatCode="General">
                  <c:v>5.2314814820419997E-3</c:v>
                </c:pt>
                <c:pt idx="237" formatCode="General">
                  <c:v>9.0393518476048484E-3</c:v>
                </c:pt>
                <c:pt idx="238" formatCode="General">
                  <c:v>4.6180555509636179E-3</c:v>
                </c:pt>
                <c:pt idx="239" formatCode="General">
                  <c:v>5.6365740747423843E-3</c:v>
                </c:pt>
                <c:pt idx="240" formatCode="General">
                  <c:v>1.2511574073869269E-2</c:v>
                </c:pt>
                <c:pt idx="241" formatCode="General">
                  <c:v>#N/A</c:v>
                </c:pt>
                <c:pt idx="242" formatCode="General">
                  <c:v>6.1111111135687679E-3</c:v>
                </c:pt>
                <c:pt idx="243" formatCode="General">
                  <c:v>6.7824074067175388E-3</c:v>
                </c:pt>
                <c:pt idx="244" formatCode="General">
                  <c:v>6.8402777760638855E-3</c:v>
                </c:pt>
                <c:pt idx="245" formatCode="General">
                  <c:v>6.1458333366317675E-3</c:v>
                </c:pt>
                <c:pt idx="246" formatCode="General">
                  <c:v>9.0856481474475004E-3</c:v>
                </c:pt>
                <c:pt idx="247" formatCode="General">
                  <c:v>6.3888888907968067E-3</c:v>
                </c:pt>
                <c:pt idx="248" formatCode="General">
                  <c:v>6.0879629600094631E-3</c:v>
                </c:pt>
                <c:pt idx="249" formatCode="General">
                  <c:v>#N/A</c:v>
                </c:pt>
                <c:pt idx="250" formatCode="General">
                  <c:v>#N/A</c:v>
                </c:pt>
                <c:pt idx="251" formatCode="General">
                  <c:v>6.6203703681821935E-3</c:v>
                </c:pt>
                <c:pt idx="252" formatCode="General">
                  <c:v>5.8680555594037287E-3</c:v>
                </c:pt>
                <c:pt idx="253" formatCode="General">
                  <c:v>6.1574074134114198E-3</c:v>
                </c:pt>
                <c:pt idx="254" formatCode="General">
                  <c:v>5.7291666671517305E-3</c:v>
                </c:pt>
                <c:pt idx="255" formatCode="General">
                  <c:v>#N/A</c:v>
                </c:pt>
                <c:pt idx="256" formatCode="General">
                  <c:v>4.4907407354912721E-3</c:v>
                </c:pt>
                <c:pt idx="257" formatCode="General">
                  <c:v>7.3495370379532687E-3</c:v>
                </c:pt>
                <c:pt idx="258" formatCode="General">
                  <c:v>5.9490740750334226E-3</c:v>
                </c:pt>
                <c:pt idx="259" formatCode="General">
                  <c:v>6.5856481451191939E-3</c:v>
                </c:pt>
                <c:pt idx="260" formatCode="General">
                  <c:v>7.2337962919846177E-3</c:v>
                </c:pt>
                <c:pt idx="261" formatCode="General">
                  <c:v>1.0648148148902692E-2</c:v>
                </c:pt>
                <c:pt idx="262" formatCode="General">
                  <c:v>9.1203703705104999E-3</c:v>
                </c:pt>
                <c:pt idx="263" formatCode="General">
                  <c:v>5.173611112695653E-3</c:v>
                </c:pt>
                <c:pt idx="264" formatCode="General">
                  <c:v>9.4675925938645378E-3</c:v>
                </c:pt>
                <c:pt idx="265" formatCode="General">
                  <c:v>8.1134259307873435E-3</c:v>
                </c:pt>
                <c:pt idx="266" formatCode="General">
                  <c:v>1.0937499995634425E-2</c:v>
                </c:pt>
                <c:pt idx="267" formatCode="General">
                  <c:v>5.6828703745850362E-3</c:v>
                </c:pt>
                <c:pt idx="268" formatCode="General">
                  <c:v>7.6851851845276542E-3</c:v>
                </c:pt>
                <c:pt idx="269" formatCode="General">
                  <c:v>6.6666666680248454E-3</c:v>
                </c:pt>
                <c:pt idx="270" formatCode="General">
                  <c:v>8.9236111161881126E-3</c:v>
                </c:pt>
                <c:pt idx="271" formatCode="General">
                  <c:v>6.7245370373711921E-3</c:v>
                </c:pt>
                <c:pt idx="272" formatCode="General">
                  <c:v>#N/A</c:v>
                </c:pt>
                <c:pt idx="273" formatCode="General">
                  <c:v>4.7916666735545732E-3</c:v>
                </c:pt>
                <c:pt idx="274" formatCode="General">
                  <c:v>3.8888888884685002E-3</c:v>
                </c:pt>
                <c:pt idx="275" formatCode="General">
                  <c:v>9.9652777789742686E-3</c:v>
                </c:pt>
                <c:pt idx="276" formatCode="General">
                  <c:v>8.7384259313694201E-3</c:v>
                </c:pt>
                <c:pt idx="277" formatCode="General">
                  <c:v>5.7175925903720781E-3</c:v>
                </c:pt>
                <c:pt idx="278" formatCode="General">
                  <c:v>1.1863425927003846E-2</c:v>
                </c:pt>
                <c:pt idx="279" formatCode="General">
                  <c:v>1.0497685187146999E-2</c:v>
                </c:pt>
                <c:pt idx="280" formatCode="General">
                  <c:v>4.9537037048139609E-3</c:v>
                </c:pt>
                <c:pt idx="281" formatCode="General">
                  <c:v>6.9907407378195785E-3</c:v>
                </c:pt>
                <c:pt idx="282" formatCode="General">
                  <c:v>4.8611111124046147E-3</c:v>
                </c:pt>
                <c:pt idx="283" formatCode="General">
                  <c:v>1.2199074073578231E-2</c:v>
                </c:pt>
                <c:pt idx="284" formatCode="General">
                  <c:v>8.1250000002910383E-3</c:v>
                </c:pt>
                <c:pt idx="285" formatCode="General">
                  <c:v>5.0810185202863067E-3</c:v>
                </c:pt>
                <c:pt idx="286" formatCode="General">
                  <c:v>1.003472221782431E-2</c:v>
                </c:pt>
                <c:pt idx="287" formatCode="General">
                  <c:v>5.6828703745850362E-3</c:v>
                </c:pt>
                <c:pt idx="288" formatCode="General">
                  <c:v>#N/A</c:v>
                </c:pt>
                <c:pt idx="289" formatCode="General">
                  <c:v>7.928240745968651E-3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C-400D-9AB4-F15617B72A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150640"/>
        <c:axId val="482297616"/>
      </c:scatterChart>
      <c:valAx>
        <c:axId val="482079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82295216"/>
        <c:crosses val="autoZero"/>
        <c:crossBetween val="midCat"/>
      </c:valAx>
      <c:valAx>
        <c:axId val="48229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82079632"/>
        <c:crosses val="autoZero"/>
        <c:crossBetween val="midCat"/>
      </c:valAx>
      <c:valAx>
        <c:axId val="482297616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02150640"/>
        <c:crosses val="max"/>
        <c:crossBetween val="midCat"/>
      </c:valAx>
      <c:valAx>
        <c:axId val="302150640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82297616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211931</xdr:colOff>
      <xdr:row>3</xdr:row>
      <xdr:rowOff>178593</xdr:rowOff>
    </xdr:from>
    <xdr:to>
      <xdr:col>7</xdr:col>
      <xdr:colOff>211931</xdr:colOff>
      <xdr:row>3</xdr:row>
      <xdr:rowOff>178593</xdr:rowOff>
    </xdr:to>
    <xdr:cxnSp macro="">
      <xdr:nvCxnSpPr>
        <xdr:cNvPr id="6" name="Match0">
          <a:extLst>
            <a:ext uri="{FF2B5EF4-FFF2-40B4-BE49-F238E27FC236}">
              <a16:creationId xmlns:a16="http://schemas.microsoft.com/office/drawing/2014/main" id="{A90997A7-6BC8-0775-EDB3-B5F15099076B}"/>
            </a:ext>
          </a:extLst>
        </xdr:cNvPr>
        <xdr:cNvCxnSpPr/>
      </xdr:nvCxnSpPr>
      <xdr:spPr>
        <a:xfrm>
          <a:off x="2755106" y="12501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3</xdr:row>
      <xdr:rowOff>178593</xdr:rowOff>
    </xdr:from>
    <xdr:to>
      <xdr:col>10</xdr:col>
      <xdr:colOff>211931</xdr:colOff>
      <xdr:row>3</xdr:row>
      <xdr:rowOff>178593</xdr:rowOff>
    </xdr:to>
    <xdr:cxnSp macro="">
      <xdr:nvCxnSpPr>
        <xdr:cNvPr id="7" name="Match1">
          <a:extLst>
            <a:ext uri="{FF2B5EF4-FFF2-40B4-BE49-F238E27FC236}">
              <a16:creationId xmlns:a16="http://schemas.microsoft.com/office/drawing/2014/main" id="{FB11BA9C-3F08-632D-20DE-8A96F4909E66}"/>
            </a:ext>
          </a:extLst>
        </xdr:cNvPr>
        <xdr:cNvCxnSpPr/>
      </xdr:nvCxnSpPr>
      <xdr:spPr>
        <a:xfrm>
          <a:off x="4026694" y="12501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4</xdr:row>
      <xdr:rowOff>178594</xdr:rowOff>
    </xdr:from>
    <xdr:to>
      <xdr:col>5</xdr:col>
      <xdr:colOff>211931</xdr:colOff>
      <xdr:row>5</xdr:row>
      <xdr:rowOff>178593</xdr:rowOff>
    </xdr:to>
    <xdr:cxnSp macro="">
      <xdr:nvCxnSpPr>
        <xdr:cNvPr id="8" name="Match2">
          <a:extLst>
            <a:ext uri="{FF2B5EF4-FFF2-40B4-BE49-F238E27FC236}">
              <a16:creationId xmlns:a16="http://schemas.microsoft.com/office/drawing/2014/main" id="{8CD9CFB2-EB18-AFA2-E8F8-AAD1005A6DCC}"/>
            </a:ext>
          </a:extLst>
        </xdr:cNvPr>
        <xdr:cNvCxnSpPr/>
      </xdr:nvCxnSpPr>
      <xdr:spPr>
        <a:xfrm>
          <a:off x="2331244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3</xdr:row>
      <xdr:rowOff>203993</xdr:rowOff>
    </xdr:from>
    <xdr:to>
      <xdr:col>5</xdr:col>
      <xdr:colOff>237331</xdr:colOff>
      <xdr:row>4</xdr:row>
      <xdr:rowOff>203994</xdr:rowOff>
    </xdr:to>
    <xdr:cxnSp macro="">
      <xdr:nvCxnSpPr>
        <xdr:cNvPr id="9" name="Match3">
          <a:extLst>
            <a:ext uri="{FF2B5EF4-FFF2-40B4-BE49-F238E27FC236}">
              <a16:creationId xmlns:a16="http://schemas.microsoft.com/office/drawing/2014/main" id="{98829D1E-DDA0-5FAA-F7F3-E5971EB288A4}"/>
            </a:ext>
          </a:extLst>
        </xdr:cNvPr>
        <xdr:cNvCxnSpPr/>
      </xdr:nvCxnSpPr>
      <xdr:spPr>
        <a:xfrm flipH="1" flipV="1">
          <a:off x="1932781" y="127555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5</xdr:row>
      <xdr:rowOff>178593</xdr:rowOff>
    </xdr:from>
    <xdr:to>
      <xdr:col>6</xdr:col>
      <xdr:colOff>211931</xdr:colOff>
      <xdr:row>6</xdr:row>
      <xdr:rowOff>178594</xdr:rowOff>
    </xdr:to>
    <xdr:cxnSp macro="">
      <xdr:nvCxnSpPr>
        <xdr:cNvPr id="10" name="Match4">
          <a:extLst>
            <a:ext uri="{FF2B5EF4-FFF2-40B4-BE49-F238E27FC236}">
              <a16:creationId xmlns:a16="http://schemas.microsoft.com/office/drawing/2014/main" id="{87E9DFC7-A6DC-244A-EE21-F9F8EA998AF9}"/>
            </a:ext>
          </a:extLst>
        </xdr:cNvPr>
        <xdr:cNvCxnSpPr/>
      </xdr:nvCxnSpPr>
      <xdr:spPr>
        <a:xfrm flipH="1" flipV="1">
          <a:off x="2331244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7</xdr:row>
      <xdr:rowOff>178593</xdr:rowOff>
    </xdr:from>
    <xdr:to>
      <xdr:col>2</xdr:col>
      <xdr:colOff>211931</xdr:colOff>
      <xdr:row>8</xdr:row>
      <xdr:rowOff>178594</xdr:rowOff>
    </xdr:to>
    <xdr:cxnSp macro="">
      <xdr:nvCxnSpPr>
        <xdr:cNvPr id="11" name="Match5">
          <a:extLst>
            <a:ext uri="{FF2B5EF4-FFF2-40B4-BE49-F238E27FC236}">
              <a16:creationId xmlns:a16="http://schemas.microsoft.com/office/drawing/2014/main" id="{931472B4-8354-2A35-04CD-78F43CF0D322}"/>
            </a:ext>
          </a:extLst>
        </xdr:cNvPr>
        <xdr:cNvCxnSpPr/>
      </xdr:nvCxnSpPr>
      <xdr:spPr>
        <a:xfrm>
          <a:off x="635794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7</xdr:row>
      <xdr:rowOff>203993</xdr:rowOff>
    </xdr:from>
    <xdr:to>
      <xdr:col>1</xdr:col>
      <xdr:colOff>237331</xdr:colOff>
      <xdr:row>7</xdr:row>
      <xdr:rowOff>203993</xdr:rowOff>
    </xdr:to>
    <xdr:cxnSp macro="">
      <xdr:nvCxnSpPr>
        <xdr:cNvPr id="12" name="Match6">
          <a:extLst>
            <a:ext uri="{FF2B5EF4-FFF2-40B4-BE49-F238E27FC236}">
              <a16:creationId xmlns:a16="http://schemas.microsoft.com/office/drawing/2014/main" id="{85EB5591-C9C4-628D-1EAE-2B993AA8D7D2}"/>
            </a:ext>
          </a:extLst>
        </xdr:cNvPr>
        <xdr:cNvCxnSpPr/>
      </xdr:nvCxnSpPr>
      <xdr:spPr>
        <a:xfrm flipH="1">
          <a:off x="237331" y="2704306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8</xdr:row>
      <xdr:rowOff>178594</xdr:rowOff>
    </xdr:from>
    <xdr:to>
      <xdr:col>3</xdr:col>
      <xdr:colOff>211931</xdr:colOff>
      <xdr:row>8</xdr:row>
      <xdr:rowOff>178594</xdr:rowOff>
    </xdr:to>
    <xdr:cxnSp macro="">
      <xdr:nvCxnSpPr>
        <xdr:cNvPr id="13" name="Match7">
          <a:extLst>
            <a:ext uri="{FF2B5EF4-FFF2-40B4-BE49-F238E27FC236}">
              <a16:creationId xmlns:a16="http://schemas.microsoft.com/office/drawing/2014/main" id="{F912A9BC-6835-B05A-455B-29D598B79FC1}"/>
            </a:ext>
          </a:extLst>
        </xdr:cNvPr>
        <xdr:cNvCxnSpPr/>
      </xdr:nvCxnSpPr>
      <xdr:spPr>
        <a:xfrm flipH="1">
          <a:off x="1059656" y="30360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</xdr:row>
      <xdr:rowOff>178593</xdr:rowOff>
    </xdr:from>
    <xdr:to>
      <xdr:col>2</xdr:col>
      <xdr:colOff>211931</xdr:colOff>
      <xdr:row>2</xdr:row>
      <xdr:rowOff>178594</xdr:rowOff>
    </xdr:to>
    <xdr:cxnSp macro="">
      <xdr:nvCxnSpPr>
        <xdr:cNvPr id="14" name="Match8">
          <a:extLst>
            <a:ext uri="{FF2B5EF4-FFF2-40B4-BE49-F238E27FC236}">
              <a16:creationId xmlns:a16="http://schemas.microsoft.com/office/drawing/2014/main" id="{6C4DFCE5-20DB-D5F3-A65F-C75744C6F259}"/>
            </a:ext>
          </a:extLst>
        </xdr:cNvPr>
        <xdr:cNvCxnSpPr/>
      </xdr:nvCxnSpPr>
      <xdr:spPr>
        <a:xfrm flipH="1" flipV="1">
          <a:off x="635794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262731</xdr:colOff>
      <xdr:row>4</xdr:row>
      <xdr:rowOff>229394</xdr:rowOff>
    </xdr:from>
    <xdr:to>
      <xdr:col>5</xdr:col>
      <xdr:colOff>262731</xdr:colOff>
      <xdr:row>5</xdr:row>
      <xdr:rowOff>229393</xdr:rowOff>
    </xdr:to>
    <xdr:cxnSp macro="">
      <xdr:nvCxnSpPr>
        <xdr:cNvPr id="15" name="Match9">
          <a:extLst>
            <a:ext uri="{FF2B5EF4-FFF2-40B4-BE49-F238E27FC236}">
              <a16:creationId xmlns:a16="http://schemas.microsoft.com/office/drawing/2014/main" id="{3969DF96-7530-7C2B-D254-17A1A5CA7322}"/>
            </a:ext>
          </a:extLst>
        </xdr:cNvPr>
        <xdr:cNvCxnSpPr/>
      </xdr:nvCxnSpPr>
      <xdr:spPr>
        <a:xfrm flipH="1">
          <a:off x="1958181" y="1658144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6</xdr:row>
      <xdr:rowOff>178594</xdr:rowOff>
    </xdr:from>
    <xdr:to>
      <xdr:col>11</xdr:col>
      <xdr:colOff>211931</xdr:colOff>
      <xdr:row>6</xdr:row>
      <xdr:rowOff>178594</xdr:rowOff>
    </xdr:to>
    <xdr:cxnSp macro="">
      <xdr:nvCxnSpPr>
        <xdr:cNvPr id="16" name="Match10">
          <a:extLst>
            <a:ext uri="{FF2B5EF4-FFF2-40B4-BE49-F238E27FC236}">
              <a16:creationId xmlns:a16="http://schemas.microsoft.com/office/drawing/2014/main" id="{D1423835-996D-6C75-A5EA-95F7554FB587}"/>
            </a:ext>
          </a:extLst>
        </xdr:cNvPr>
        <xdr:cNvCxnSpPr/>
      </xdr:nvCxnSpPr>
      <xdr:spPr>
        <a:xfrm>
          <a:off x="4450556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5</xdr:row>
      <xdr:rowOff>203993</xdr:rowOff>
    </xdr:from>
    <xdr:to>
      <xdr:col>11</xdr:col>
      <xdr:colOff>237331</xdr:colOff>
      <xdr:row>6</xdr:row>
      <xdr:rowOff>203994</xdr:rowOff>
    </xdr:to>
    <xdr:cxnSp macro="">
      <xdr:nvCxnSpPr>
        <xdr:cNvPr id="17" name="Match11">
          <a:extLst>
            <a:ext uri="{FF2B5EF4-FFF2-40B4-BE49-F238E27FC236}">
              <a16:creationId xmlns:a16="http://schemas.microsoft.com/office/drawing/2014/main" id="{7CB956F6-ADFB-1DD0-A5B9-8854BD0C96F3}"/>
            </a:ext>
          </a:extLst>
        </xdr:cNvPr>
        <xdr:cNvCxnSpPr/>
      </xdr:nvCxnSpPr>
      <xdr:spPr>
        <a:xfrm flipV="1">
          <a:off x="4475956" y="198993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262731</xdr:colOff>
      <xdr:row>7</xdr:row>
      <xdr:rowOff>229393</xdr:rowOff>
    </xdr:from>
    <xdr:to>
      <xdr:col>1</xdr:col>
      <xdr:colOff>262731</xdr:colOff>
      <xdr:row>8</xdr:row>
      <xdr:rowOff>229394</xdr:rowOff>
    </xdr:to>
    <xdr:cxnSp macro="">
      <xdr:nvCxnSpPr>
        <xdr:cNvPr id="18" name="Match12">
          <a:extLst>
            <a:ext uri="{FF2B5EF4-FFF2-40B4-BE49-F238E27FC236}">
              <a16:creationId xmlns:a16="http://schemas.microsoft.com/office/drawing/2014/main" id="{3D396DD3-B7C6-A5E9-FF62-7960FB35F381}"/>
            </a:ext>
          </a:extLst>
        </xdr:cNvPr>
        <xdr:cNvCxnSpPr/>
      </xdr:nvCxnSpPr>
      <xdr:spPr>
        <a:xfrm>
          <a:off x="686594" y="2729706"/>
          <a:ext cx="0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288131</xdr:colOff>
      <xdr:row>7</xdr:row>
      <xdr:rowOff>254793</xdr:rowOff>
    </xdr:from>
    <xdr:to>
      <xdr:col>1</xdr:col>
      <xdr:colOff>288131</xdr:colOff>
      <xdr:row>8</xdr:row>
      <xdr:rowOff>254794</xdr:rowOff>
    </xdr:to>
    <xdr:cxnSp macro="">
      <xdr:nvCxnSpPr>
        <xdr:cNvPr id="19" name="Match13">
          <a:extLst>
            <a:ext uri="{FF2B5EF4-FFF2-40B4-BE49-F238E27FC236}">
              <a16:creationId xmlns:a16="http://schemas.microsoft.com/office/drawing/2014/main" id="{A77C922A-A722-09BF-433A-995E395DC337}"/>
            </a:ext>
          </a:extLst>
        </xdr:cNvPr>
        <xdr:cNvCxnSpPr/>
      </xdr:nvCxnSpPr>
      <xdr:spPr>
        <a:xfrm flipH="1">
          <a:off x="288131" y="2755106"/>
          <a:ext cx="423863" cy="357188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9</xdr:row>
      <xdr:rowOff>178593</xdr:rowOff>
    </xdr:from>
    <xdr:to>
      <xdr:col>5</xdr:col>
      <xdr:colOff>211931</xdr:colOff>
      <xdr:row>10</xdr:row>
      <xdr:rowOff>178594</xdr:rowOff>
    </xdr:to>
    <xdr:cxnSp macro="">
      <xdr:nvCxnSpPr>
        <xdr:cNvPr id="20" name="Match14">
          <a:extLst>
            <a:ext uri="{FF2B5EF4-FFF2-40B4-BE49-F238E27FC236}">
              <a16:creationId xmlns:a16="http://schemas.microsoft.com/office/drawing/2014/main" id="{A51668E2-2405-AB21-FCDC-B490D92F1F53}"/>
            </a:ext>
          </a:extLst>
        </xdr:cNvPr>
        <xdr:cNvCxnSpPr/>
      </xdr:nvCxnSpPr>
      <xdr:spPr>
        <a:xfrm>
          <a:off x="1907381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8</xdr:row>
      <xdr:rowOff>203994</xdr:rowOff>
    </xdr:from>
    <xdr:to>
      <xdr:col>5</xdr:col>
      <xdr:colOff>237331</xdr:colOff>
      <xdr:row>9</xdr:row>
      <xdr:rowOff>203993</xdr:rowOff>
    </xdr:to>
    <xdr:cxnSp macro="">
      <xdr:nvCxnSpPr>
        <xdr:cNvPr id="21" name="Match15">
          <a:extLst>
            <a:ext uri="{FF2B5EF4-FFF2-40B4-BE49-F238E27FC236}">
              <a16:creationId xmlns:a16="http://schemas.microsoft.com/office/drawing/2014/main" id="{1C556243-EE83-6E33-3F1A-42594FA3928D}"/>
            </a:ext>
          </a:extLst>
        </xdr:cNvPr>
        <xdr:cNvCxnSpPr/>
      </xdr:nvCxnSpPr>
      <xdr:spPr>
        <a:xfrm flipV="1">
          <a:off x="1932781" y="30614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9</xdr:row>
      <xdr:rowOff>178593</xdr:rowOff>
    </xdr:from>
    <xdr:to>
      <xdr:col>10</xdr:col>
      <xdr:colOff>211931</xdr:colOff>
      <xdr:row>10</xdr:row>
      <xdr:rowOff>178594</xdr:rowOff>
    </xdr:to>
    <xdr:cxnSp macro="">
      <xdr:nvCxnSpPr>
        <xdr:cNvPr id="22" name="Match16">
          <a:extLst>
            <a:ext uri="{FF2B5EF4-FFF2-40B4-BE49-F238E27FC236}">
              <a16:creationId xmlns:a16="http://schemas.microsoft.com/office/drawing/2014/main" id="{F0010E33-29AB-725F-CCA9-689BBDB17F51}"/>
            </a:ext>
          </a:extLst>
        </xdr:cNvPr>
        <xdr:cNvCxnSpPr/>
      </xdr:nvCxnSpPr>
      <xdr:spPr>
        <a:xfrm>
          <a:off x="4026694" y="33932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10</xdr:row>
      <xdr:rowOff>178594</xdr:rowOff>
    </xdr:from>
    <xdr:to>
      <xdr:col>5</xdr:col>
      <xdr:colOff>211931</xdr:colOff>
      <xdr:row>11</xdr:row>
      <xdr:rowOff>178593</xdr:rowOff>
    </xdr:to>
    <xdr:cxnSp macro="">
      <xdr:nvCxnSpPr>
        <xdr:cNvPr id="23" name="Match17">
          <a:extLst>
            <a:ext uri="{FF2B5EF4-FFF2-40B4-BE49-F238E27FC236}">
              <a16:creationId xmlns:a16="http://schemas.microsoft.com/office/drawing/2014/main" id="{96487AF1-E185-5981-491F-B13CA6B5E892}"/>
            </a:ext>
          </a:extLst>
        </xdr:cNvPr>
        <xdr:cNvCxnSpPr/>
      </xdr:nvCxnSpPr>
      <xdr:spPr>
        <a:xfrm flipV="1">
          <a:off x="1907381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10</xdr:row>
      <xdr:rowOff>178594</xdr:rowOff>
    </xdr:from>
    <xdr:to>
      <xdr:col>8</xdr:col>
      <xdr:colOff>211931</xdr:colOff>
      <xdr:row>11</xdr:row>
      <xdr:rowOff>178593</xdr:rowOff>
    </xdr:to>
    <xdr:cxnSp macro="">
      <xdr:nvCxnSpPr>
        <xdr:cNvPr id="24" name="Match18">
          <a:extLst>
            <a:ext uri="{FF2B5EF4-FFF2-40B4-BE49-F238E27FC236}">
              <a16:creationId xmlns:a16="http://schemas.microsoft.com/office/drawing/2014/main" id="{15693A35-1C3B-DBE6-61EC-5230EF41A0AE}"/>
            </a:ext>
          </a:extLst>
        </xdr:cNvPr>
        <xdr:cNvCxnSpPr/>
      </xdr:nvCxnSpPr>
      <xdr:spPr>
        <a:xfrm flipH="1" flipV="1">
          <a:off x="3178969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10</xdr:row>
      <xdr:rowOff>178594</xdr:rowOff>
    </xdr:from>
    <xdr:to>
      <xdr:col>10</xdr:col>
      <xdr:colOff>211931</xdr:colOff>
      <xdr:row>10</xdr:row>
      <xdr:rowOff>178594</xdr:rowOff>
    </xdr:to>
    <xdr:cxnSp macro="">
      <xdr:nvCxnSpPr>
        <xdr:cNvPr id="25" name="Match19">
          <a:extLst>
            <a:ext uri="{FF2B5EF4-FFF2-40B4-BE49-F238E27FC236}">
              <a16:creationId xmlns:a16="http://schemas.microsoft.com/office/drawing/2014/main" id="{F39D21AB-C66F-25C4-4AAA-9CE62C96A518}"/>
            </a:ext>
          </a:extLst>
        </xdr:cNvPr>
        <xdr:cNvCxnSpPr/>
      </xdr:nvCxnSpPr>
      <xdr:spPr>
        <a:xfrm flipH="1">
          <a:off x="1907381" y="3750469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</xdr:row>
      <xdr:rowOff>178593</xdr:rowOff>
    </xdr:from>
    <xdr:to>
      <xdr:col>2</xdr:col>
      <xdr:colOff>211931</xdr:colOff>
      <xdr:row>3</xdr:row>
      <xdr:rowOff>178593</xdr:rowOff>
    </xdr:to>
    <xdr:cxnSp macro="">
      <xdr:nvCxnSpPr>
        <xdr:cNvPr id="26" name="Match20">
          <a:extLst>
            <a:ext uri="{FF2B5EF4-FFF2-40B4-BE49-F238E27FC236}">
              <a16:creationId xmlns:a16="http://schemas.microsoft.com/office/drawing/2014/main" id="{43CD8BBC-6BF3-6CE3-1FE6-F7ACF44E863E}"/>
            </a:ext>
          </a:extLst>
        </xdr:cNvPr>
        <xdr:cNvCxnSpPr/>
      </xdr:nvCxnSpPr>
      <xdr:spPr>
        <a:xfrm>
          <a:off x="1059656" y="535781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2</xdr:row>
      <xdr:rowOff>178594</xdr:rowOff>
    </xdr:from>
    <xdr:to>
      <xdr:col>11</xdr:col>
      <xdr:colOff>211931</xdr:colOff>
      <xdr:row>8</xdr:row>
      <xdr:rowOff>178594</xdr:rowOff>
    </xdr:to>
    <xdr:cxnSp macro="">
      <xdr:nvCxnSpPr>
        <xdr:cNvPr id="27" name="Match21">
          <a:extLst>
            <a:ext uri="{FF2B5EF4-FFF2-40B4-BE49-F238E27FC236}">
              <a16:creationId xmlns:a16="http://schemas.microsoft.com/office/drawing/2014/main" id="{071FCAEF-B164-C096-7AAB-D8703B5EE905}"/>
            </a:ext>
          </a:extLst>
        </xdr:cNvPr>
        <xdr:cNvCxnSpPr/>
      </xdr:nvCxnSpPr>
      <xdr:spPr>
        <a:xfrm flipH="1" flipV="1">
          <a:off x="2331244" y="892969"/>
          <a:ext cx="2543175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0</xdr:row>
      <xdr:rowOff>178594</xdr:rowOff>
    </xdr:from>
    <xdr:to>
      <xdr:col>4</xdr:col>
      <xdr:colOff>211931</xdr:colOff>
      <xdr:row>1</xdr:row>
      <xdr:rowOff>178593</xdr:rowOff>
    </xdr:to>
    <xdr:cxnSp macro="">
      <xdr:nvCxnSpPr>
        <xdr:cNvPr id="28" name="Match22">
          <a:extLst>
            <a:ext uri="{FF2B5EF4-FFF2-40B4-BE49-F238E27FC236}">
              <a16:creationId xmlns:a16="http://schemas.microsoft.com/office/drawing/2014/main" id="{4652308D-765F-168A-7782-CF4F1BA6BAF4}"/>
            </a:ext>
          </a:extLst>
        </xdr:cNvPr>
        <xdr:cNvCxnSpPr/>
      </xdr:nvCxnSpPr>
      <xdr:spPr>
        <a:xfrm>
          <a:off x="1907381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0</xdr:row>
      <xdr:rowOff>203994</xdr:rowOff>
    </xdr:from>
    <xdr:to>
      <xdr:col>4</xdr:col>
      <xdr:colOff>237331</xdr:colOff>
      <xdr:row>0</xdr:row>
      <xdr:rowOff>203994</xdr:rowOff>
    </xdr:to>
    <xdr:cxnSp macro="">
      <xdr:nvCxnSpPr>
        <xdr:cNvPr id="29" name="Match23">
          <a:extLst>
            <a:ext uri="{FF2B5EF4-FFF2-40B4-BE49-F238E27FC236}">
              <a16:creationId xmlns:a16="http://schemas.microsoft.com/office/drawing/2014/main" id="{9648ABF5-8A41-056C-0DF3-47357997C929}"/>
            </a:ext>
          </a:extLst>
        </xdr:cNvPr>
        <xdr:cNvCxnSpPr/>
      </xdr:nvCxnSpPr>
      <xdr:spPr>
        <a:xfrm flipH="1">
          <a:off x="1508919" y="203994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</xdr:row>
      <xdr:rowOff>178593</xdr:rowOff>
    </xdr:from>
    <xdr:to>
      <xdr:col>4</xdr:col>
      <xdr:colOff>211931</xdr:colOff>
      <xdr:row>1</xdr:row>
      <xdr:rowOff>178593</xdr:rowOff>
    </xdr:to>
    <xdr:cxnSp macro="">
      <xdr:nvCxnSpPr>
        <xdr:cNvPr id="30" name="Match24">
          <a:extLst>
            <a:ext uri="{FF2B5EF4-FFF2-40B4-BE49-F238E27FC236}">
              <a16:creationId xmlns:a16="http://schemas.microsoft.com/office/drawing/2014/main" id="{4E8DC085-9B97-1273-E396-A2FC392EA538}"/>
            </a:ext>
          </a:extLst>
        </xdr:cNvPr>
        <xdr:cNvCxnSpPr/>
      </xdr:nvCxnSpPr>
      <xdr:spPr>
        <a:xfrm>
          <a:off x="1483519" y="5357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0</xdr:row>
      <xdr:rowOff>203994</xdr:rowOff>
    </xdr:from>
    <xdr:to>
      <xdr:col>3</xdr:col>
      <xdr:colOff>237331</xdr:colOff>
      <xdr:row>1</xdr:row>
      <xdr:rowOff>203993</xdr:rowOff>
    </xdr:to>
    <xdr:cxnSp macro="">
      <xdr:nvCxnSpPr>
        <xdr:cNvPr id="31" name="Match25">
          <a:extLst>
            <a:ext uri="{FF2B5EF4-FFF2-40B4-BE49-F238E27FC236}">
              <a16:creationId xmlns:a16="http://schemas.microsoft.com/office/drawing/2014/main" id="{05A21422-9D26-8CE9-B368-3DF186F282FA}"/>
            </a:ext>
          </a:extLst>
        </xdr:cNvPr>
        <xdr:cNvCxnSpPr/>
      </xdr:nvCxnSpPr>
      <xdr:spPr>
        <a:xfrm flipV="1">
          <a:off x="1508919" y="2039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2</xdr:row>
      <xdr:rowOff>178594</xdr:rowOff>
    </xdr:from>
    <xdr:to>
      <xdr:col>4</xdr:col>
      <xdr:colOff>211931</xdr:colOff>
      <xdr:row>3</xdr:row>
      <xdr:rowOff>178593</xdr:rowOff>
    </xdr:to>
    <xdr:cxnSp macro="">
      <xdr:nvCxnSpPr>
        <xdr:cNvPr id="32" name="Match26">
          <a:extLst>
            <a:ext uri="{FF2B5EF4-FFF2-40B4-BE49-F238E27FC236}">
              <a16:creationId xmlns:a16="http://schemas.microsoft.com/office/drawing/2014/main" id="{041CA3C2-ED70-9BFF-113D-708D7BC8F413}"/>
            </a:ext>
          </a:extLst>
        </xdr:cNvPr>
        <xdr:cNvCxnSpPr/>
      </xdr:nvCxnSpPr>
      <xdr:spPr>
        <a:xfrm>
          <a:off x="1483519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1</xdr:row>
      <xdr:rowOff>203993</xdr:rowOff>
    </xdr:from>
    <xdr:to>
      <xdr:col>4</xdr:col>
      <xdr:colOff>237331</xdr:colOff>
      <xdr:row>2</xdr:row>
      <xdr:rowOff>203994</xdr:rowOff>
    </xdr:to>
    <xdr:cxnSp macro="">
      <xdr:nvCxnSpPr>
        <xdr:cNvPr id="33" name="Match27">
          <a:extLst>
            <a:ext uri="{FF2B5EF4-FFF2-40B4-BE49-F238E27FC236}">
              <a16:creationId xmlns:a16="http://schemas.microsoft.com/office/drawing/2014/main" id="{1A973BB8-FD46-2264-0DB1-24CD0722C6BE}"/>
            </a:ext>
          </a:extLst>
        </xdr:cNvPr>
        <xdr:cNvCxnSpPr/>
      </xdr:nvCxnSpPr>
      <xdr:spPr>
        <a:xfrm flipV="1">
          <a:off x="1508919" y="5611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2</xdr:row>
      <xdr:rowOff>178594</xdr:rowOff>
    </xdr:from>
    <xdr:to>
      <xdr:col>7</xdr:col>
      <xdr:colOff>211931</xdr:colOff>
      <xdr:row>3</xdr:row>
      <xdr:rowOff>178593</xdr:rowOff>
    </xdr:to>
    <xdr:cxnSp macro="">
      <xdr:nvCxnSpPr>
        <xdr:cNvPr id="34" name="Match28">
          <a:extLst>
            <a:ext uri="{FF2B5EF4-FFF2-40B4-BE49-F238E27FC236}">
              <a16:creationId xmlns:a16="http://schemas.microsoft.com/office/drawing/2014/main" id="{80570784-F99A-EF30-E3C3-59D3929CFF88}"/>
            </a:ext>
          </a:extLst>
        </xdr:cNvPr>
        <xdr:cNvCxnSpPr/>
      </xdr:nvCxnSpPr>
      <xdr:spPr>
        <a:xfrm>
          <a:off x="3178969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3</xdr:row>
      <xdr:rowOff>178593</xdr:rowOff>
    </xdr:from>
    <xdr:to>
      <xdr:col>5</xdr:col>
      <xdr:colOff>211931</xdr:colOff>
      <xdr:row>3</xdr:row>
      <xdr:rowOff>178593</xdr:rowOff>
    </xdr:to>
    <xdr:cxnSp macro="">
      <xdr:nvCxnSpPr>
        <xdr:cNvPr id="35" name="Match29">
          <a:extLst>
            <a:ext uri="{FF2B5EF4-FFF2-40B4-BE49-F238E27FC236}">
              <a16:creationId xmlns:a16="http://schemas.microsoft.com/office/drawing/2014/main" id="{1C724DA3-41C7-8126-CB39-DF71249DD5AA}"/>
            </a:ext>
          </a:extLst>
        </xdr:cNvPr>
        <xdr:cNvCxnSpPr/>
      </xdr:nvCxnSpPr>
      <xdr:spPr>
        <a:xfrm flipH="1">
          <a:off x="1907381" y="12501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3</xdr:row>
      <xdr:rowOff>178593</xdr:rowOff>
    </xdr:from>
    <xdr:to>
      <xdr:col>4</xdr:col>
      <xdr:colOff>211931</xdr:colOff>
      <xdr:row>4</xdr:row>
      <xdr:rowOff>178594</xdr:rowOff>
    </xdr:to>
    <xdr:cxnSp macro="">
      <xdr:nvCxnSpPr>
        <xdr:cNvPr id="36" name="Match30">
          <a:extLst>
            <a:ext uri="{FF2B5EF4-FFF2-40B4-BE49-F238E27FC236}">
              <a16:creationId xmlns:a16="http://schemas.microsoft.com/office/drawing/2014/main" id="{9A1A7D29-2EF6-1C13-35C1-A3DA5A31E2DA}"/>
            </a:ext>
          </a:extLst>
        </xdr:cNvPr>
        <xdr:cNvCxnSpPr/>
      </xdr:nvCxnSpPr>
      <xdr:spPr>
        <a:xfrm flipV="1">
          <a:off x="1483519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4</xdr:row>
      <xdr:rowOff>178594</xdr:rowOff>
    </xdr:from>
    <xdr:to>
      <xdr:col>6</xdr:col>
      <xdr:colOff>211931</xdr:colOff>
      <xdr:row>5</xdr:row>
      <xdr:rowOff>178593</xdr:rowOff>
    </xdr:to>
    <xdr:cxnSp macro="">
      <xdr:nvCxnSpPr>
        <xdr:cNvPr id="37" name="Match31">
          <a:extLst>
            <a:ext uri="{FF2B5EF4-FFF2-40B4-BE49-F238E27FC236}">
              <a16:creationId xmlns:a16="http://schemas.microsoft.com/office/drawing/2014/main" id="{378FC7CA-BB58-F799-7099-93FECCE2CC99}"/>
            </a:ext>
          </a:extLst>
        </xdr:cNvPr>
        <xdr:cNvCxnSpPr/>
      </xdr:nvCxnSpPr>
      <xdr:spPr>
        <a:xfrm flipH="1">
          <a:off x="2331244" y="160734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3</xdr:row>
      <xdr:rowOff>203993</xdr:rowOff>
    </xdr:from>
    <xdr:to>
      <xdr:col>7</xdr:col>
      <xdr:colOff>237331</xdr:colOff>
      <xdr:row>4</xdr:row>
      <xdr:rowOff>203994</xdr:rowOff>
    </xdr:to>
    <xdr:cxnSp macro="">
      <xdr:nvCxnSpPr>
        <xdr:cNvPr id="38" name="Match32">
          <a:extLst>
            <a:ext uri="{FF2B5EF4-FFF2-40B4-BE49-F238E27FC236}">
              <a16:creationId xmlns:a16="http://schemas.microsoft.com/office/drawing/2014/main" id="{2A2F91D1-D1F8-13AB-2B26-F8EB1080EAEA}"/>
            </a:ext>
          </a:extLst>
        </xdr:cNvPr>
        <xdr:cNvCxnSpPr/>
      </xdr:nvCxnSpPr>
      <xdr:spPr>
        <a:xfrm flipV="1">
          <a:off x="2780506" y="127555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3</xdr:row>
      <xdr:rowOff>178593</xdr:rowOff>
    </xdr:from>
    <xdr:to>
      <xdr:col>10</xdr:col>
      <xdr:colOff>211931</xdr:colOff>
      <xdr:row>4</xdr:row>
      <xdr:rowOff>178594</xdr:rowOff>
    </xdr:to>
    <xdr:cxnSp macro="">
      <xdr:nvCxnSpPr>
        <xdr:cNvPr id="39" name="Match33">
          <a:extLst>
            <a:ext uri="{FF2B5EF4-FFF2-40B4-BE49-F238E27FC236}">
              <a16:creationId xmlns:a16="http://schemas.microsoft.com/office/drawing/2014/main" id="{D6EACA76-2717-B965-E88A-1E5DE22282CD}"/>
            </a:ext>
          </a:extLst>
        </xdr:cNvPr>
        <xdr:cNvCxnSpPr/>
      </xdr:nvCxnSpPr>
      <xdr:spPr>
        <a:xfrm flipV="1">
          <a:off x="4026694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6</xdr:row>
      <xdr:rowOff>178594</xdr:rowOff>
    </xdr:from>
    <xdr:to>
      <xdr:col>0</xdr:col>
      <xdr:colOff>211931</xdr:colOff>
      <xdr:row>7</xdr:row>
      <xdr:rowOff>178593</xdr:rowOff>
    </xdr:to>
    <xdr:cxnSp macro="">
      <xdr:nvCxnSpPr>
        <xdr:cNvPr id="40" name="Match34">
          <a:extLst>
            <a:ext uri="{FF2B5EF4-FFF2-40B4-BE49-F238E27FC236}">
              <a16:creationId xmlns:a16="http://schemas.microsoft.com/office/drawing/2014/main" id="{0A031DE9-A1C9-A76A-83C3-DAD23E5E225D}"/>
            </a:ext>
          </a:extLst>
        </xdr:cNvPr>
        <xdr:cNvCxnSpPr/>
      </xdr:nvCxnSpPr>
      <xdr:spPr>
        <a:xfrm>
          <a:off x="211931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9</xdr:row>
      <xdr:rowOff>178593</xdr:rowOff>
    </xdr:from>
    <xdr:to>
      <xdr:col>1</xdr:col>
      <xdr:colOff>211931</xdr:colOff>
      <xdr:row>9</xdr:row>
      <xdr:rowOff>178593</xdr:rowOff>
    </xdr:to>
    <xdr:cxnSp macro="">
      <xdr:nvCxnSpPr>
        <xdr:cNvPr id="41" name="Match35">
          <a:extLst>
            <a:ext uri="{FF2B5EF4-FFF2-40B4-BE49-F238E27FC236}">
              <a16:creationId xmlns:a16="http://schemas.microsoft.com/office/drawing/2014/main" id="{FF1B485D-B169-485A-264B-93DE8A74E82A}"/>
            </a:ext>
          </a:extLst>
        </xdr:cNvPr>
        <xdr:cNvCxnSpPr/>
      </xdr:nvCxnSpPr>
      <xdr:spPr>
        <a:xfrm>
          <a:off x="211931" y="33932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8</xdr:row>
      <xdr:rowOff>178594</xdr:rowOff>
    </xdr:from>
    <xdr:to>
      <xdr:col>3</xdr:col>
      <xdr:colOff>211931</xdr:colOff>
      <xdr:row>9</xdr:row>
      <xdr:rowOff>178593</xdr:rowOff>
    </xdr:to>
    <xdr:cxnSp macro="">
      <xdr:nvCxnSpPr>
        <xdr:cNvPr id="42" name="Match36">
          <a:extLst>
            <a:ext uri="{FF2B5EF4-FFF2-40B4-BE49-F238E27FC236}">
              <a16:creationId xmlns:a16="http://schemas.microsoft.com/office/drawing/2014/main" id="{1BCFC900-9F1B-0B71-776D-4F6914D9C8AD}"/>
            </a:ext>
          </a:extLst>
        </xdr:cNvPr>
        <xdr:cNvCxnSpPr/>
      </xdr:nvCxnSpPr>
      <xdr:spPr>
        <a:xfrm flipH="1" flipV="1">
          <a:off x="1059656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10</xdr:row>
      <xdr:rowOff>178594</xdr:rowOff>
    </xdr:from>
    <xdr:to>
      <xdr:col>6</xdr:col>
      <xdr:colOff>211931</xdr:colOff>
      <xdr:row>11</xdr:row>
      <xdr:rowOff>178593</xdr:rowOff>
    </xdr:to>
    <xdr:cxnSp macro="">
      <xdr:nvCxnSpPr>
        <xdr:cNvPr id="43" name="Match37">
          <a:extLst>
            <a:ext uri="{FF2B5EF4-FFF2-40B4-BE49-F238E27FC236}">
              <a16:creationId xmlns:a16="http://schemas.microsoft.com/office/drawing/2014/main" id="{278ECE04-5FE9-81B8-4579-EEB106A001C6}"/>
            </a:ext>
          </a:extLst>
        </xdr:cNvPr>
        <xdr:cNvCxnSpPr/>
      </xdr:nvCxnSpPr>
      <xdr:spPr>
        <a:xfrm>
          <a:off x="2755106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11</xdr:row>
      <xdr:rowOff>178593</xdr:rowOff>
    </xdr:from>
    <xdr:to>
      <xdr:col>7</xdr:col>
      <xdr:colOff>211931</xdr:colOff>
      <xdr:row>11</xdr:row>
      <xdr:rowOff>178593</xdr:rowOff>
    </xdr:to>
    <xdr:cxnSp macro="">
      <xdr:nvCxnSpPr>
        <xdr:cNvPr id="44" name="Match38">
          <a:extLst>
            <a:ext uri="{FF2B5EF4-FFF2-40B4-BE49-F238E27FC236}">
              <a16:creationId xmlns:a16="http://schemas.microsoft.com/office/drawing/2014/main" id="{B497FA3F-0DA3-EB7C-D948-1E4741415B90}"/>
            </a:ext>
          </a:extLst>
        </xdr:cNvPr>
        <xdr:cNvCxnSpPr/>
      </xdr:nvCxnSpPr>
      <xdr:spPr>
        <a:xfrm flipH="1">
          <a:off x="2755106" y="41076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5</xdr:row>
      <xdr:rowOff>178593</xdr:rowOff>
    </xdr:from>
    <xdr:to>
      <xdr:col>9</xdr:col>
      <xdr:colOff>211931</xdr:colOff>
      <xdr:row>7</xdr:row>
      <xdr:rowOff>178593</xdr:rowOff>
    </xdr:to>
    <xdr:cxnSp macro="">
      <xdr:nvCxnSpPr>
        <xdr:cNvPr id="45" name="Match39">
          <a:extLst>
            <a:ext uri="{FF2B5EF4-FFF2-40B4-BE49-F238E27FC236}">
              <a16:creationId xmlns:a16="http://schemas.microsoft.com/office/drawing/2014/main" id="{8DC83C93-0040-0742-497C-F1D5771DB898}"/>
            </a:ext>
          </a:extLst>
        </xdr:cNvPr>
        <xdr:cNvCxnSpPr/>
      </xdr:nvCxnSpPr>
      <xdr:spPr>
        <a:xfrm flipH="1">
          <a:off x="3178969" y="196453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6</xdr:row>
      <xdr:rowOff>203994</xdr:rowOff>
    </xdr:from>
    <xdr:to>
      <xdr:col>5</xdr:col>
      <xdr:colOff>237331</xdr:colOff>
      <xdr:row>8</xdr:row>
      <xdr:rowOff>203994</xdr:rowOff>
    </xdr:to>
    <xdr:cxnSp macro="">
      <xdr:nvCxnSpPr>
        <xdr:cNvPr id="46" name="Match40">
          <a:extLst>
            <a:ext uri="{FF2B5EF4-FFF2-40B4-BE49-F238E27FC236}">
              <a16:creationId xmlns:a16="http://schemas.microsoft.com/office/drawing/2014/main" id="{14E9CBC1-36F8-A014-3622-24108E193E5F}"/>
            </a:ext>
          </a:extLst>
        </xdr:cNvPr>
        <xdr:cNvCxnSpPr/>
      </xdr:nvCxnSpPr>
      <xdr:spPr>
        <a:xfrm flipV="1">
          <a:off x="1508919" y="2347119"/>
          <a:ext cx="847725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</xdr:row>
      <xdr:rowOff>178593</xdr:rowOff>
    </xdr:from>
    <xdr:to>
      <xdr:col>11</xdr:col>
      <xdr:colOff>211931</xdr:colOff>
      <xdr:row>1</xdr:row>
      <xdr:rowOff>178593</xdr:rowOff>
    </xdr:to>
    <xdr:cxnSp macro="">
      <xdr:nvCxnSpPr>
        <xdr:cNvPr id="47" name="Match41">
          <a:extLst>
            <a:ext uri="{FF2B5EF4-FFF2-40B4-BE49-F238E27FC236}">
              <a16:creationId xmlns:a16="http://schemas.microsoft.com/office/drawing/2014/main" id="{DD4FE036-7E68-57F6-42D8-0F041F97C324}"/>
            </a:ext>
          </a:extLst>
        </xdr:cNvPr>
        <xdr:cNvCxnSpPr/>
      </xdr:nvCxnSpPr>
      <xdr:spPr>
        <a:xfrm flipH="1">
          <a:off x="3178969" y="535781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4</xdr:row>
      <xdr:rowOff>178594</xdr:rowOff>
    </xdr:from>
    <xdr:to>
      <xdr:col>7</xdr:col>
      <xdr:colOff>211931</xdr:colOff>
      <xdr:row>8</xdr:row>
      <xdr:rowOff>178594</xdr:rowOff>
    </xdr:to>
    <xdr:cxnSp macro="">
      <xdr:nvCxnSpPr>
        <xdr:cNvPr id="48" name="Match42">
          <a:extLst>
            <a:ext uri="{FF2B5EF4-FFF2-40B4-BE49-F238E27FC236}">
              <a16:creationId xmlns:a16="http://schemas.microsoft.com/office/drawing/2014/main" id="{A5AF869F-6AF7-DF65-91FB-8E653341F667}"/>
            </a:ext>
          </a:extLst>
        </xdr:cNvPr>
        <xdr:cNvCxnSpPr/>
      </xdr:nvCxnSpPr>
      <xdr:spPr>
        <a:xfrm flipH="1" flipV="1">
          <a:off x="1483519" y="1607344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0</xdr:row>
      <xdr:rowOff>178594</xdr:rowOff>
    </xdr:from>
    <xdr:to>
      <xdr:col>11</xdr:col>
      <xdr:colOff>211931</xdr:colOff>
      <xdr:row>0</xdr:row>
      <xdr:rowOff>178594</xdr:rowOff>
    </xdr:to>
    <xdr:cxnSp macro="">
      <xdr:nvCxnSpPr>
        <xdr:cNvPr id="49" name="Match43">
          <a:extLst>
            <a:ext uri="{FF2B5EF4-FFF2-40B4-BE49-F238E27FC236}">
              <a16:creationId xmlns:a16="http://schemas.microsoft.com/office/drawing/2014/main" id="{2794182D-2A8F-FCED-3F5A-BCC9A7860D85}"/>
            </a:ext>
          </a:extLst>
        </xdr:cNvPr>
        <xdr:cNvCxnSpPr/>
      </xdr:nvCxnSpPr>
      <xdr:spPr>
        <a:xfrm>
          <a:off x="3602831" y="178594"/>
          <a:ext cx="1271588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2</xdr:row>
      <xdr:rowOff>178594</xdr:rowOff>
    </xdr:from>
    <xdr:to>
      <xdr:col>5</xdr:col>
      <xdr:colOff>211931</xdr:colOff>
      <xdr:row>7</xdr:row>
      <xdr:rowOff>178593</xdr:rowOff>
    </xdr:to>
    <xdr:cxnSp macro="">
      <xdr:nvCxnSpPr>
        <xdr:cNvPr id="50" name="Match44">
          <a:extLst>
            <a:ext uri="{FF2B5EF4-FFF2-40B4-BE49-F238E27FC236}">
              <a16:creationId xmlns:a16="http://schemas.microsoft.com/office/drawing/2014/main" id="{14D46A96-0584-92FB-DD3A-87B5D748CC65}"/>
            </a:ext>
          </a:extLst>
        </xdr:cNvPr>
        <xdr:cNvCxnSpPr/>
      </xdr:nvCxnSpPr>
      <xdr:spPr>
        <a:xfrm>
          <a:off x="211931" y="892969"/>
          <a:ext cx="2119313" cy="178593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5</xdr:row>
      <xdr:rowOff>178593</xdr:rowOff>
    </xdr:from>
    <xdr:to>
      <xdr:col>2</xdr:col>
      <xdr:colOff>211931</xdr:colOff>
      <xdr:row>5</xdr:row>
      <xdr:rowOff>178593</xdr:rowOff>
    </xdr:to>
    <xdr:cxnSp macro="">
      <xdr:nvCxnSpPr>
        <xdr:cNvPr id="51" name="Match45">
          <a:extLst>
            <a:ext uri="{FF2B5EF4-FFF2-40B4-BE49-F238E27FC236}">
              <a16:creationId xmlns:a16="http://schemas.microsoft.com/office/drawing/2014/main" id="{649DCEBD-7700-A9BC-3F8C-37FDC0A23D7F}"/>
            </a:ext>
          </a:extLst>
        </xdr:cNvPr>
        <xdr:cNvCxnSpPr/>
      </xdr:nvCxnSpPr>
      <xdr:spPr>
        <a:xfrm>
          <a:off x="211931" y="1964531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5</xdr:row>
      <xdr:rowOff>178593</xdr:rowOff>
    </xdr:from>
    <xdr:to>
      <xdr:col>2</xdr:col>
      <xdr:colOff>211931</xdr:colOff>
      <xdr:row>5</xdr:row>
      <xdr:rowOff>178593</xdr:rowOff>
    </xdr:to>
    <xdr:cxnSp macro="">
      <xdr:nvCxnSpPr>
        <xdr:cNvPr id="52" name="Match46">
          <a:extLst>
            <a:ext uri="{FF2B5EF4-FFF2-40B4-BE49-F238E27FC236}">
              <a16:creationId xmlns:a16="http://schemas.microsoft.com/office/drawing/2014/main" id="{07005B88-7F15-3867-0C98-45FF1AB31F78}"/>
            </a:ext>
          </a:extLst>
        </xdr:cNvPr>
        <xdr:cNvCxnSpPr/>
      </xdr:nvCxnSpPr>
      <xdr:spPr>
        <a:xfrm flipH="1">
          <a:off x="211931" y="1964531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5</xdr:row>
      <xdr:rowOff>178593</xdr:rowOff>
    </xdr:from>
    <xdr:to>
      <xdr:col>10</xdr:col>
      <xdr:colOff>211931</xdr:colOff>
      <xdr:row>9</xdr:row>
      <xdr:rowOff>178593</xdr:rowOff>
    </xdr:to>
    <xdr:cxnSp macro="">
      <xdr:nvCxnSpPr>
        <xdr:cNvPr id="53" name="Match47">
          <a:extLst>
            <a:ext uri="{FF2B5EF4-FFF2-40B4-BE49-F238E27FC236}">
              <a16:creationId xmlns:a16="http://schemas.microsoft.com/office/drawing/2014/main" id="{EAC7C700-5C1B-F7E3-8AE8-12D9ABB5D6BF}"/>
            </a:ext>
          </a:extLst>
        </xdr:cNvPr>
        <xdr:cNvCxnSpPr/>
      </xdr:nvCxnSpPr>
      <xdr:spPr>
        <a:xfrm flipH="1" flipV="1">
          <a:off x="2755106" y="1964531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8</xdr:row>
      <xdr:rowOff>178594</xdr:rowOff>
    </xdr:from>
    <xdr:to>
      <xdr:col>3</xdr:col>
      <xdr:colOff>211931</xdr:colOff>
      <xdr:row>11</xdr:row>
      <xdr:rowOff>178593</xdr:rowOff>
    </xdr:to>
    <xdr:cxnSp macro="">
      <xdr:nvCxnSpPr>
        <xdr:cNvPr id="54" name="Match48">
          <a:extLst>
            <a:ext uri="{FF2B5EF4-FFF2-40B4-BE49-F238E27FC236}">
              <a16:creationId xmlns:a16="http://schemas.microsoft.com/office/drawing/2014/main" id="{BF3AA566-7D06-7BDD-9975-F8DD34376CDE}"/>
            </a:ext>
          </a:extLst>
        </xdr:cNvPr>
        <xdr:cNvCxnSpPr/>
      </xdr:nvCxnSpPr>
      <xdr:spPr>
        <a:xfrm flipH="1" flipV="1">
          <a:off x="211931" y="3036094"/>
          <a:ext cx="1271588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1</xdr:row>
      <xdr:rowOff>203993</xdr:rowOff>
    </xdr:from>
    <xdr:to>
      <xdr:col>3</xdr:col>
      <xdr:colOff>237331</xdr:colOff>
      <xdr:row>1</xdr:row>
      <xdr:rowOff>203993</xdr:rowOff>
    </xdr:to>
    <xdr:cxnSp macro="">
      <xdr:nvCxnSpPr>
        <xdr:cNvPr id="55" name="Match49">
          <a:extLst>
            <a:ext uri="{FF2B5EF4-FFF2-40B4-BE49-F238E27FC236}">
              <a16:creationId xmlns:a16="http://schemas.microsoft.com/office/drawing/2014/main" id="{1793D2FD-9478-0484-0604-5AA171E5BC62}"/>
            </a:ext>
          </a:extLst>
        </xdr:cNvPr>
        <xdr:cNvCxnSpPr/>
      </xdr:nvCxnSpPr>
      <xdr:spPr>
        <a:xfrm>
          <a:off x="1085056" y="561181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262731</xdr:colOff>
      <xdr:row>1</xdr:row>
      <xdr:rowOff>229393</xdr:rowOff>
    </xdr:from>
    <xdr:to>
      <xdr:col>3</xdr:col>
      <xdr:colOff>262731</xdr:colOff>
      <xdr:row>2</xdr:row>
      <xdr:rowOff>229394</xdr:rowOff>
    </xdr:to>
    <xdr:cxnSp macro="">
      <xdr:nvCxnSpPr>
        <xdr:cNvPr id="56" name="Match50">
          <a:extLst>
            <a:ext uri="{FF2B5EF4-FFF2-40B4-BE49-F238E27FC236}">
              <a16:creationId xmlns:a16="http://schemas.microsoft.com/office/drawing/2014/main" id="{1DDE7DB4-D788-71A3-9567-8943E44D69C8}"/>
            </a:ext>
          </a:extLst>
        </xdr:cNvPr>
        <xdr:cNvCxnSpPr/>
      </xdr:nvCxnSpPr>
      <xdr:spPr>
        <a:xfrm>
          <a:off x="1110456" y="586581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288131</xdr:colOff>
      <xdr:row>0</xdr:row>
      <xdr:rowOff>254794</xdr:rowOff>
    </xdr:from>
    <xdr:to>
      <xdr:col>2</xdr:col>
      <xdr:colOff>288131</xdr:colOff>
      <xdr:row>1</xdr:row>
      <xdr:rowOff>254793</xdr:rowOff>
    </xdr:to>
    <xdr:cxnSp macro="">
      <xdr:nvCxnSpPr>
        <xdr:cNvPr id="57" name="Match51">
          <a:extLst>
            <a:ext uri="{FF2B5EF4-FFF2-40B4-BE49-F238E27FC236}">
              <a16:creationId xmlns:a16="http://schemas.microsoft.com/office/drawing/2014/main" id="{2E2D4BA8-A40F-E11F-07ED-7FC72E46DAA1}"/>
            </a:ext>
          </a:extLst>
        </xdr:cNvPr>
        <xdr:cNvCxnSpPr/>
      </xdr:nvCxnSpPr>
      <xdr:spPr>
        <a:xfrm flipH="1" flipV="1">
          <a:off x="711994" y="254794"/>
          <a:ext cx="423862" cy="357187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2</xdr:row>
      <xdr:rowOff>178594</xdr:rowOff>
    </xdr:from>
    <xdr:to>
      <xdr:col>7</xdr:col>
      <xdr:colOff>211931</xdr:colOff>
      <xdr:row>2</xdr:row>
      <xdr:rowOff>178594</xdr:rowOff>
    </xdr:to>
    <xdr:cxnSp macro="">
      <xdr:nvCxnSpPr>
        <xdr:cNvPr id="58" name="Match52">
          <a:extLst>
            <a:ext uri="{FF2B5EF4-FFF2-40B4-BE49-F238E27FC236}">
              <a16:creationId xmlns:a16="http://schemas.microsoft.com/office/drawing/2014/main" id="{07B0259C-E45B-E0C7-0615-B75798DBCEBC}"/>
            </a:ext>
          </a:extLst>
        </xdr:cNvPr>
        <xdr:cNvCxnSpPr/>
      </xdr:nvCxnSpPr>
      <xdr:spPr>
        <a:xfrm>
          <a:off x="2755106" y="8929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2</xdr:row>
      <xdr:rowOff>203994</xdr:rowOff>
    </xdr:from>
    <xdr:to>
      <xdr:col>6</xdr:col>
      <xdr:colOff>237331</xdr:colOff>
      <xdr:row>3</xdr:row>
      <xdr:rowOff>203993</xdr:rowOff>
    </xdr:to>
    <xdr:cxnSp macro="">
      <xdr:nvCxnSpPr>
        <xdr:cNvPr id="59" name="Match53">
          <a:extLst>
            <a:ext uri="{FF2B5EF4-FFF2-40B4-BE49-F238E27FC236}">
              <a16:creationId xmlns:a16="http://schemas.microsoft.com/office/drawing/2014/main" id="{C59712C4-3B4F-7976-47CA-7D7BEB93B606}"/>
            </a:ext>
          </a:extLst>
        </xdr:cNvPr>
        <xdr:cNvCxnSpPr/>
      </xdr:nvCxnSpPr>
      <xdr:spPr>
        <a:xfrm flipH="1">
          <a:off x="2356644" y="91836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2</xdr:row>
      <xdr:rowOff>178594</xdr:rowOff>
    </xdr:from>
    <xdr:to>
      <xdr:col>8</xdr:col>
      <xdr:colOff>211931</xdr:colOff>
      <xdr:row>2</xdr:row>
      <xdr:rowOff>178594</xdr:rowOff>
    </xdr:to>
    <xdr:cxnSp macro="">
      <xdr:nvCxnSpPr>
        <xdr:cNvPr id="60" name="Match54">
          <a:extLst>
            <a:ext uri="{FF2B5EF4-FFF2-40B4-BE49-F238E27FC236}">
              <a16:creationId xmlns:a16="http://schemas.microsoft.com/office/drawing/2014/main" id="{98403ABC-0D3A-A9AC-F7A1-3DB32709800D}"/>
            </a:ext>
          </a:extLst>
        </xdr:cNvPr>
        <xdr:cNvCxnSpPr/>
      </xdr:nvCxnSpPr>
      <xdr:spPr>
        <a:xfrm flipH="1">
          <a:off x="3178969" y="8929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3</xdr:row>
      <xdr:rowOff>178593</xdr:rowOff>
    </xdr:from>
    <xdr:to>
      <xdr:col>9</xdr:col>
      <xdr:colOff>211931</xdr:colOff>
      <xdr:row>4</xdr:row>
      <xdr:rowOff>178594</xdr:rowOff>
    </xdr:to>
    <xdr:cxnSp macro="">
      <xdr:nvCxnSpPr>
        <xdr:cNvPr id="61" name="Match55">
          <a:extLst>
            <a:ext uri="{FF2B5EF4-FFF2-40B4-BE49-F238E27FC236}">
              <a16:creationId xmlns:a16="http://schemas.microsoft.com/office/drawing/2014/main" id="{A2E96902-D07C-92A3-EDED-F51266C17FE6}"/>
            </a:ext>
          </a:extLst>
        </xdr:cNvPr>
        <xdr:cNvCxnSpPr/>
      </xdr:nvCxnSpPr>
      <xdr:spPr>
        <a:xfrm>
          <a:off x="3602831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2</xdr:row>
      <xdr:rowOff>203994</xdr:rowOff>
    </xdr:from>
    <xdr:to>
      <xdr:col>8</xdr:col>
      <xdr:colOff>237331</xdr:colOff>
      <xdr:row>3</xdr:row>
      <xdr:rowOff>203993</xdr:rowOff>
    </xdr:to>
    <xdr:cxnSp macro="">
      <xdr:nvCxnSpPr>
        <xdr:cNvPr id="62" name="Match56">
          <a:extLst>
            <a:ext uri="{FF2B5EF4-FFF2-40B4-BE49-F238E27FC236}">
              <a16:creationId xmlns:a16="http://schemas.microsoft.com/office/drawing/2014/main" id="{55F55451-CC18-037D-BB68-77220CE36B07}"/>
            </a:ext>
          </a:extLst>
        </xdr:cNvPr>
        <xdr:cNvCxnSpPr/>
      </xdr:nvCxnSpPr>
      <xdr:spPr>
        <a:xfrm flipH="1" flipV="1">
          <a:off x="3204369" y="91836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4</xdr:row>
      <xdr:rowOff>178594</xdr:rowOff>
    </xdr:from>
    <xdr:to>
      <xdr:col>9</xdr:col>
      <xdr:colOff>211931</xdr:colOff>
      <xdr:row>4</xdr:row>
      <xdr:rowOff>178594</xdr:rowOff>
    </xdr:to>
    <xdr:cxnSp macro="">
      <xdr:nvCxnSpPr>
        <xdr:cNvPr id="63" name="Match57">
          <a:extLst>
            <a:ext uri="{FF2B5EF4-FFF2-40B4-BE49-F238E27FC236}">
              <a16:creationId xmlns:a16="http://schemas.microsoft.com/office/drawing/2014/main" id="{583C1ADC-7776-F505-2100-49A02063CE3B}"/>
            </a:ext>
          </a:extLst>
        </xdr:cNvPr>
        <xdr:cNvCxnSpPr/>
      </xdr:nvCxnSpPr>
      <xdr:spPr>
        <a:xfrm>
          <a:off x="3602831" y="160734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4</xdr:row>
      <xdr:rowOff>178594</xdr:rowOff>
    </xdr:from>
    <xdr:to>
      <xdr:col>6</xdr:col>
      <xdr:colOff>211931</xdr:colOff>
      <xdr:row>5</xdr:row>
      <xdr:rowOff>178593</xdr:rowOff>
    </xdr:to>
    <xdr:cxnSp macro="">
      <xdr:nvCxnSpPr>
        <xdr:cNvPr id="1397" name="Match58">
          <a:extLst>
            <a:ext uri="{FF2B5EF4-FFF2-40B4-BE49-F238E27FC236}">
              <a16:creationId xmlns:a16="http://schemas.microsoft.com/office/drawing/2014/main" id="{EE3805D7-9B41-42F6-4272-E689BEBE1A02}"/>
            </a:ext>
          </a:extLst>
        </xdr:cNvPr>
        <xdr:cNvCxnSpPr/>
      </xdr:nvCxnSpPr>
      <xdr:spPr>
        <a:xfrm flipV="1">
          <a:off x="2755106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4</xdr:row>
      <xdr:rowOff>178594</xdr:rowOff>
    </xdr:from>
    <xdr:to>
      <xdr:col>9</xdr:col>
      <xdr:colOff>211931</xdr:colOff>
      <xdr:row>5</xdr:row>
      <xdr:rowOff>178593</xdr:rowOff>
    </xdr:to>
    <xdr:cxnSp macro="">
      <xdr:nvCxnSpPr>
        <xdr:cNvPr id="1398" name="Match59">
          <a:extLst>
            <a:ext uri="{FF2B5EF4-FFF2-40B4-BE49-F238E27FC236}">
              <a16:creationId xmlns:a16="http://schemas.microsoft.com/office/drawing/2014/main" id="{CDA66104-DD3B-45F1-8300-064C9FFA1E1D}"/>
            </a:ext>
          </a:extLst>
        </xdr:cNvPr>
        <xdr:cNvCxnSpPr/>
      </xdr:nvCxnSpPr>
      <xdr:spPr>
        <a:xfrm flipV="1">
          <a:off x="3602831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7</xdr:row>
      <xdr:rowOff>178593</xdr:rowOff>
    </xdr:from>
    <xdr:to>
      <xdr:col>9</xdr:col>
      <xdr:colOff>211931</xdr:colOff>
      <xdr:row>8</xdr:row>
      <xdr:rowOff>178594</xdr:rowOff>
    </xdr:to>
    <xdr:cxnSp macro="">
      <xdr:nvCxnSpPr>
        <xdr:cNvPr id="1399" name="Match60">
          <a:extLst>
            <a:ext uri="{FF2B5EF4-FFF2-40B4-BE49-F238E27FC236}">
              <a16:creationId xmlns:a16="http://schemas.microsoft.com/office/drawing/2014/main" id="{536C1E9B-405E-D278-4146-40B901052434}"/>
            </a:ext>
          </a:extLst>
        </xdr:cNvPr>
        <xdr:cNvCxnSpPr/>
      </xdr:nvCxnSpPr>
      <xdr:spPr>
        <a:xfrm flipV="1">
          <a:off x="3602831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9</xdr:row>
      <xdr:rowOff>178593</xdr:rowOff>
    </xdr:from>
    <xdr:to>
      <xdr:col>6</xdr:col>
      <xdr:colOff>211931</xdr:colOff>
      <xdr:row>10</xdr:row>
      <xdr:rowOff>178594</xdr:rowOff>
    </xdr:to>
    <xdr:cxnSp macro="">
      <xdr:nvCxnSpPr>
        <xdr:cNvPr id="1400" name="Match61">
          <a:extLst>
            <a:ext uri="{FF2B5EF4-FFF2-40B4-BE49-F238E27FC236}">
              <a16:creationId xmlns:a16="http://schemas.microsoft.com/office/drawing/2014/main" id="{83DE7567-0A74-CC9D-23B4-442BF8E2A75D}"/>
            </a:ext>
          </a:extLst>
        </xdr:cNvPr>
        <xdr:cNvCxnSpPr/>
      </xdr:nvCxnSpPr>
      <xdr:spPr>
        <a:xfrm>
          <a:off x="2331244" y="33932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10</xdr:row>
      <xdr:rowOff>178594</xdr:rowOff>
    </xdr:from>
    <xdr:to>
      <xdr:col>2</xdr:col>
      <xdr:colOff>211931</xdr:colOff>
      <xdr:row>11</xdr:row>
      <xdr:rowOff>178593</xdr:rowOff>
    </xdr:to>
    <xdr:cxnSp macro="">
      <xdr:nvCxnSpPr>
        <xdr:cNvPr id="1401" name="Match62">
          <a:extLst>
            <a:ext uri="{FF2B5EF4-FFF2-40B4-BE49-F238E27FC236}">
              <a16:creationId xmlns:a16="http://schemas.microsoft.com/office/drawing/2014/main" id="{29BC3BBE-7E14-4C56-AB28-B480FE231A9C}"/>
            </a:ext>
          </a:extLst>
        </xdr:cNvPr>
        <xdr:cNvCxnSpPr/>
      </xdr:nvCxnSpPr>
      <xdr:spPr>
        <a:xfrm>
          <a:off x="635794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9</xdr:row>
      <xdr:rowOff>203993</xdr:rowOff>
    </xdr:from>
    <xdr:to>
      <xdr:col>1</xdr:col>
      <xdr:colOff>237331</xdr:colOff>
      <xdr:row>10</xdr:row>
      <xdr:rowOff>203994</xdr:rowOff>
    </xdr:to>
    <xdr:cxnSp macro="">
      <xdr:nvCxnSpPr>
        <xdr:cNvPr id="1402" name="Match63">
          <a:extLst>
            <a:ext uri="{FF2B5EF4-FFF2-40B4-BE49-F238E27FC236}">
              <a16:creationId xmlns:a16="http://schemas.microsoft.com/office/drawing/2014/main" id="{D5DACD3D-EA87-A829-BA4D-E2379D81762B}"/>
            </a:ext>
          </a:extLst>
        </xdr:cNvPr>
        <xdr:cNvCxnSpPr/>
      </xdr:nvCxnSpPr>
      <xdr:spPr>
        <a:xfrm flipH="1" flipV="1">
          <a:off x="237331" y="34186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4435B70-7907-149F-5DD6-8BE7002F98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A9" sqref="A9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7">
        <v>7</v>
      </c>
      <c r="B1" s="23">
        <v>6</v>
      </c>
      <c r="C1" s="27">
        <v>2</v>
      </c>
      <c r="D1" s="23">
        <v>1</v>
      </c>
      <c r="E1" s="23">
        <v>6</v>
      </c>
      <c r="F1" s="27">
        <v>7</v>
      </c>
      <c r="G1" s="27">
        <v>7</v>
      </c>
      <c r="H1" s="27">
        <v>5</v>
      </c>
      <c r="I1" s="22">
        <v>6</v>
      </c>
      <c r="J1" s="22">
        <v>6</v>
      </c>
      <c r="K1" s="22">
        <v>3</v>
      </c>
      <c r="L1" s="22">
        <v>2</v>
      </c>
      <c r="N1" s="2">
        <v>81</v>
      </c>
      <c r="O1" s="1">
        <v>8</v>
      </c>
    </row>
    <row r="2" spans="1:15" s="2" customFormat="1" ht="28.25" customHeight="1">
      <c r="A2" s="27">
        <v>7</v>
      </c>
      <c r="B2" s="23">
        <v>4</v>
      </c>
      <c r="C2" s="22">
        <v>9</v>
      </c>
      <c r="D2" s="23">
        <v>6</v>
      </c>
      <c r="E2" s="23">
        <v>1</v>
      </c>
      <c r="F2" s="27">
        <v>2</v>
      </c>
      <c r="G2" s="27">
        <v>4</v>
      </c>
      <c r="H2" s="22">
        <v>3</v>
      </c>
      <c r="I2" s="22">
        <v>7</v>
      </c>
      <c r="J2" s="22">
        <v>8</v>
      </c>
      <c r="K2" s="22">
        <v>7</v>
      </c>
      <c r="L2" s="22">
        <v>5</v>
      </c>
      <c r="N2" s="2">
        <v>84</v>
      </c>
      <c r="O2" s="2">
        <v>11</v>
      </c>
    </row>
    <row r="3" spans="1:15" ht="28.25" customHeight="1">
      <c r="A3" s="22">
        <v>3</v>
      </c>
      <c r="B3" s="27">
        <v>3</v>
      </c>
      <c r="C3" s="22">
        <v>8</v>
      </c>
      <c r="D3" s="23">
        <v>6</v>
      </c>
      <c r="E3" s="27">
        <v>2</v>
      </c>
      <c r="F3" s="22">
        <v>5</v>
      </c>
      <c r="G3" s="23">
        <v>9</v>
      </c>
      <c r="H3" s="23">
        <v>6</v>
      </c>
      <c r="I3" s="23">
        <v>9</v>
      </c>
      <c r="J3" s="27">
        <v>9</v>
      </c>
      <c r="K3" s="27">
        <v>9</v>
      </c>
      <c r="L3" s="27">
        <v>5</v>
      </c>
      <c r="N3" s="2">
        <v>4674645</v>
      </c>
      <c r="O3" s="1">
        <v>1</v>
      </c>
    </row>
    <row r="4" spans="1:15" ht="28.25" customHeight="1">
      <c r="A4" s="27">
        <v>3</v>
      </c>
      <c r="B4" s="22">
        <v>3</v>
      </c>
      <c r="C4" s="22">
        <v>7</v>
      </c>
      <c r="D4" s="27">
        <v>7</v>
      </c>
      <c r="E4" s="22">
        <v>1</v>
      </c>
      <c r="F4" s="22">
        <v>6</v>
      </c>
      <c r="G4" s="22">
        <v>8</v>
      </c>
      <c r="H4" s="23">
        <v>1</v>
      </c>
      <c r="I4" s="23">
        <v>9</v>
      </c>
      <c r="J4" s="23">
        <v>8</v>
      </c>
      <c r="K4" s="23">
        <v>1</v>
      </c>
      <c r="L4" s="27">
        <v>2</v>
      </c>
      <c r="N4" s="2">
        <v>987</v>
      </c>
      <c r="O4" s="1">
        <v>1</v>
      </c>
    </row>
    <row r="5" spans="1:15" ht="28.25" customHeight="1">
      <c r="A5" s="27">
        <v>9</v>
      </c>
      <c r="B5" s="27">
        <v>7</v>
      </c>
      <c r="C5" s="22">
        <v>2</v>
      </c>
      <c r="D5" s="22">
        <v>6</v>
      </c>
      <c r="E5" s="27">
        <v>2</v>
      </c>
      <c r="F5" s="22">
        <v>8</v>
      </c>
      <c r="G5" s="23">
        <v>6</v>
      </c>
      <c r="H5" s="22">
        <v>3</v>
      </c>
      <c r="I5" s="23">
        <v>9</v>
      </c>
      <c r="J5" s="23">
        <v>6</v>
      </c>
      <c r="K5" s="27">
        <v>2</v>
      </c>
      <c r="L5" s="27">
        <v>4</v>
      </c>
      <c r="N5" s="2">
        <v>8739385</v>
      </c>
      <c r="O5" s="1">
        <v>1</v>
      </c>
    </row>
    <row r="6" spans="1:15" ht="28.25" customHeight="1">
      <c r="A6" s="22">
        <v>5</v>
      </c>
      <c r="B6" s="22">
        <v>5</v>
      </c>
      <c r="C6" s="22">
        <v>5</v>
      </c>
      <c r="D6" s="22">
        <v>4</v>
      </c>
      <c r="E6" s="22">
        <v>4</v>
      </c>
      <c r="F6" s="23">
        <v>1</v>
      </c>
      <c r="G6" s="22">
        <v>9</v>
      </c>
      <c r="H6" s="27">
        <v>5</v>
      </c>
      <c r="I6" s="22">
        <v>9</v>
      </c>
      <c r="J6" s="23">
        <v>8</v>
      </c>
      <c r="K6" s="27">
        <v>2</v>
      </c>
      <c r="L6" s="23">
        <v>4</v>
      </c>
      <c r="N6" s="2">
        <v>61</v>
      </c>
      <c r="O6" s="1">
        <v>17</v>
      </c>
    </row>
    <row r="7" spans="1:15" ht="28.25" customHeight="1">
      <c r="A7" s="23">
        <v>6</v>
      </c>
      <c r="B7" s="27">
        <v>7</v>
      </c>
      <c r="C7" s="27">
        <v>2</v>
      </c>
      <c r="D7" s="27">
        <v>9</v>
      </c>
      <c r="E7" s="22">
        <v>4</v>
      </c>
      <c r="F7" s="22">
        <v>7</v>
      </c>
      <c r="G7" s="23">
        <v>8</v>
      </c>
      <c r="H7" s="22">
        <v>2</v>
      </c>
      <c r="I7" s="23">
        <v>2</v>
      </c>
      <c r="J7" s="22">
        <v>3</v>
      </c>
      <c r="K7" s="23">
        <v>8</v>
      </c>
      <c r="L7" s="23">
        <v>4</v>
      </c>
      <c r="N7" s="2">
        <v>827</v>
      </c>
      <c r="O7" s="1">
        <v>2</v>
      </c>
    </row>
    <row r="8" spans="1:15" ht="28.25" customHeight="1">
      <c r="A8" s="23">
        <v>1</v>
      </c>
      <c r="B8" s="23">
        <v>8</v>
      </c>
      <c r="C8" s="27">
        <v>3</v>
      </c>
      <c r="D8" s="27">
        <v>9</v>
      </c>
      <c r="E8" s="22">
        <v>2</v>
      </c>
      <c r="F8" s="22">
        <v>2</v>
      </c>
      <c r="G8" s="22">
        <v>6</v>
      </c>
      <c r="H8" s="23">
        <v>7</v>
      </c>
      <c r="I8" s="22">
        <v>7</v>
      </c>
      <c r="J8" s="23">
        <v>6</v>
      </c>
      <c r="K8" s="22">
        <v>7</v>
      </c>
      <c r="L8" s="27">
        <v>5</v>
      </c>
      <c r="N8" s="2">
        <v>57873</v>
      </c>
      <c r="O8" s="1">
        <v>1</v>
      </c>
    </row>
    <row r="9" spans="1:15" ht="28.25" customHeight="1">
      <c r="A9" s="22">
        <v>4</v>
      </c>
      <c r="B9" s="23">
        <v>4</v>
      </c>
      <c r="C9" s="23">
        <v>1</v>
      </c>
      <c r="D9" s="22">
        <v>8</v>
      </c>
      <c r="E9" s="27">
        <v>5</v>
      </c>
      <c r="F9" s="23">
        <v>4</v>
      </c>
      <c r="G9" s="27">
        <v>4</v>
      </c>
      <c r="H9" s="22">
        <v>3</v>
      </c>
      <c r="I9" s="23">
        <v>9</v>
      </c>
      <c r="J9" s="22">
        <v>2</v>
      </c>
      <c r="K9" s="27">
        <v>5</v>
      </c>
      <c r="L9" s="22">
        <v>8</v>
      </c>
      <c r="N9" s="2">
        <v>36746</v>
      </c>
      <c r="O9" s="1">
        <v>1</v>
      </c>
    </row>
    <row r="10" spans="1:15" ht="28.25" customHeight="1">
      <c r="A10" s="23">
        <v>6</v>
      </c>
      <c r="B10" s="22">
        <v>1</v>
      </c>
      <c r="C10" s="27">
        <v>3</v>
      </c>
      <c r="D10" s="23">
        <v>6</v>
      </c>
      <c r="E10" s="23">
        <v>8</v>
      </c>
      <c r="F10" s="22">
        <v>9</v>
      </c>
      <c r="G10" s="27">
        <v>3</v>
      </c>
      <c r="H10" s="27">
        <v>5</v>
      </c>
      <c r="I10" s="27">
        <v>2</v>
      </c>
      <c r="J10" s="23">
        <v>8</v>
      </c>
      <c r="K10" s="22">
        <v>5</v>
      </c>
      <c r="L10" s="27">
        <v>6</v>
      </c>
      <c r="N10" s="2">
        <v>6632</v>
      </c>
      <c r="O10" s="1">
        <v>1</v>
      </c>
    </row>
    <row r="11" spans="1:15" ht="28.25" customHeight="1">
      <c r="A11" s="27">
        <v>4</v>
      </c>
      <c r="B11" s="23">
        <v>9</v>
      </c>
      <c r="C11" s="22">
        <v>4</v>
      </c>
      <c r="D11" s="27">
        <v>5</v>
      </c>
      <c r="E11" s="22">
        <v>5</v>
      </c>
      <c r="F11" s="22">
        <v>4</v>
      </c>
      <c r="G11" s="22">
        <v>6</v>
      </c>
      <c r="H11" s="22">
        <v>4</v>
      </c>
      <c r="I11" s="22">
        <v>7</v>
      </c>
      <c r="J11" s="22">
        <v>6</v>
      </c>
      <c r="K11" s="22">
        <v>4</v>
      </c>
      <c r="L11" s="27">
        <v>7</v>
      </c>
      <c r="N11" s="2">
        <v>332442</v>
      </c>
      <c r="O11" s="1">
        <v>1</v>
      </c>
    </row>
    <row r="12" spans="1:15" ht="28.25" customHeight="1">
      <c r="A12" s="27">
        <v>9</v>
      </c>
      <c r="B12" s="27">
        <v>4</v>
      </c>
      <c r="C12" s="23">
        <v>6</v>
      </c>
      <c r="D12" s="22">
        <v>5</v>
      </c>
      <c r="E12" s="23">
        <v>8</v>
      </c>
      <c r="F12" s="27">
        <v>7</v>
      </c>
      <c r="G12" s="23">
        <v>1</v>
      </c>
      <c r="H12" s="23">
        <v>6</v>
      </c>
      <c r="I12" s="23">
        <v>8</v>
      </c>
      <c r="J12" s="27">
        <v>2</v>
      </c>
      <c r="K12" s="27">
        <v>5</v>
      </c>
      <c r="L12" s="27">
        <v>4</v>
      </c>
      <c r="N12" s="2">
        <v>555</v>
      </c>
      <c r="O12" s="1">
        <v>2</v>
      </c>
    </row>
    <row r="13" spans="1:15" ht="28.25" customHeight="1">
      <c r="N13" s="2">
        <v>52729</v>
      </c>
      <c r="O13" s="1">
        <v>1</v>
      </c>
    </row>
    <row r="14" spans="1:15" ht="28.25" customHeight="1">
      <c r="N14" s="2">
        <v>5414</v>
      </c>
      <c r="O14" s="1">
        <v>1</v>
      </c>
    </row>
    <row r="15" spans="1:15" ht="28.25" customHeight="1">
      <c r="N15" s="2">
        <v>96</v>
      </c>
      <c r="O15" s="1">
        <v>15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I292"/>
  <sheetViews>
    <sheetView tabSelected="1" zoomScaleNormal="100" workbookViewId="0">
      <pane ySplit="2" topLeftCell="A284" activePane="bottomLeft" state="frozen"/>
      <selection pane="bottomLeft" activeCell="A292" sqref="A292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1" spans="1:35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</row>
    <row r="2" spans="1:35" ht="246.75">
      <c r="A2" s="28" t="s">
        <v>0</v>
      </c>
      <c r="B2" s="29" t="s">
        <v>171</v>
      </c>
      <c r="C2" s="29" t="s">
        <v>172</v>
      </c>
      <c r="D2" s="29" t="s">
        <v>173</v>
      </c>
      <c r="E2" s="29" t="s">
        <v>174</v>
      </c>
      <c r="F2" s="29" t="s">
        <v>175</v>
      </c>
      <c r="G2" s="29" t="s">
        <v>10</v>
      </c>
      <c r="H2" s="29" t="s">
        <v>16</v>
      </c>
      <c r="I2" s="29" t="s">
        <v>15</v>
      </c>
      <c r="J2" s="29" t="s">
        <v>11</v>
      </c>
      <c r="K2" s="29" t="s">
        <v>437</v>
      </c>
      <c r="L2" s="29" t="s">
        <v>163</v>
      </c>
      <c r="M2" s="4" t="s">
        <v>249</v>
      </c>
      <c r="N2" s="4" t="s">
        <v>178</v>
      </c>
      <c r="O2" s="4" t="s">
        <v>487</v>
      </c>
      <c r="P2" s="4" t="s">
        <v>170</v>
      </c>
      <c r="Q2" s="4" t="s">
        <v>424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0">
        <v>45951.701574074075</v>
      </c>
      <c r="B3" s="28">
        <v>61</v>
      </c>
      <c r="C3" s="28">
        <v>16</v>
      </c>
      <c r="D3" s="28">
        <v>0</v>
      </c>
      <c r="E3" s="28">
        <v>17</v>
      </c>
      <c r="F3" s="28">
        <v>0</v>
      </c>
      <c r="G3" s="31">
        <v>1.4050925929041114E-2</v>
      </c>
      <c r="H3" s="28" t="s">
        <v>66</v>
      </c>
      <c r="I3" s="28" t="s">
        <v>48</v>
      </c>
      <c r="J3" s="28">
        <v>0</v>
      </c>
      <c r="K3" s="28"/>
      <c r="L3" s="28"/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0">
        <v>45951.867650462962</v>
      </c>
      <c r="B4" s="28">
        <v>74</v>
      </c>
      <c r="C4" s="28">
        <v>10</v>
      </c>
      <c r="D4" s="28">
        <v>0</v>
      </c>
      <c r="E4" s="28">
        <v>0</v>
      </c>
      <c r="F4" s="28">
        <v>0</v>
      </c>
      <c r="G4" s="31">
        <v>1.0868055556784384E-2</v>
      </c>
      <c r="H4" s="28" t="s">
        <v>64</v>
      </c>
      <c r="I4" s="28" t="s">
        <v>65</v>
      </c>
      <c r="J4" s="28">
        <v>0</v>
      </c>
      <c r="K4" s="28"/>
      <c r="L4" s="28"/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0">
        <v>45952.483495370368</v>
      </c>
      <c r="B5" s="28">
        <v>42</v>
      </c>
      <c r="C5" s="28">
        <v>10</v>
      </c>
      <c r="D5" s="28">
        <v>0</v>
      </c>
      <c r="E5" s="28">
        <v>27</v>
      </c>
      <c r="F5" s="28">
        <v>0</v>
      </c>
      <c r="G5" s="31">
        <v>1.7534722217533272E-2</v>
      </c>
      <c r="H5" s="28" t="s">
        <v>62</v>
      </c>
      <c r="I5" s="28" t="s">
        <v>63</v>
      </c>
      <c r="J5" s="28">
        <v>0</v>
      </c>
      <c r="K5" s="28"/>
      <c r="L5" s="28"/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0">
        <v>45952.864699074074</v>
      </c>
      <c r="B6" s="28">
        <v>70</v>
      </c>
      <c r="C6" s="28">
        <v>32</v>
      </c>
      <c r="D6" s="28">
        <v>0</v>
      </c>
      <c r="E6" s="28">
        <v>4</v>
      </c>
      <c r="F6" s="28">
        <v>0</v>
      </c>
      <c r="G6" s="31">
        <v>1.9606481480877846E-2</v>
      </c>
      <c r="H6" s="28" t="s">
        <v>60</v>
      </c>
      <c r="I6" s="28" t="s">
        <v>61</v>
      </c>
      <c r="J6" s="28">
        <v>0</v>
      </c>
      <c r="K6" s="28"/>
      <c r="L6" s="28"/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0">
        <v>45953.849791666667</v>
      </c>
      <c r="B7" s="28">
        <v>53</v>
      </c>
      <c r="C7" s="28">
        <v>105</v>
      </c>
      <c r="D7" s="28">
        <v>0</v>
      </c>
      <c r="E7" s="28">
        <v>4</v>
      </c>
      <c r="F7" s="28">
        <v>0</v>
      </c>
      <c r="G7" s="31">
        <v>1.4953703706851229E-2</v>
      </c>
      <c r="H7" s="28" t="s">
        <v>58</v>
      </c>
      <c r="I7" s="28" t="s">
        <v>59</v>
      </c>
      <c r="J7" s="28">
        <v>0</v>
      </c>
      <c r="K7" s="28"/>
      <c r="L7" s="28"/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0">
        <v>45953.869490740741</v>
      </c>
      <c r="B8" s="28">
        <v>58</v>
      </c>
      <c r="C8" s="28">
        <v>82</v>
      </c>
      <c r="D8" s="28">
        <v>0</v>
      </c>
      <c r="E8" s="28">
        <v>3</v>
      </c>
      <c r="F8" s="28">
        <v>0</v>
      </c>
      <c r="G8" s="31">
        <v>1.8831018518540077E-2</v>
      </c>
      <c r="H8" s="28" t="s">
        <v>56</v>
      </c>
      <c r="I8" s="28" t="s">
        <v>57</v>
      </c>
      <c r="J8" s="28">
        <v>0</v>
      </c>
      <c r="K8" s="28"/>
      <c r="L8" s="28"/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0">
        <v>45954.406076388892</v>
      </c>
      <c r="B9" s="28">
        <v>50</v>
      </c>
      <c r="C9" s="28">
        <v>67</v>
      </c>
      <c r="D9" s="28">
        <v>0</v>
      </c>
      <c r="E9" s="28">
        <v>13</v>
      </c>
      <c r="F9" s="28">
        <v>0</v>
      </c>
      <c r="G9" s="31">
        <v>1.0740740741312038E-2</v>
      </c>
      <c r="H9" s="28" t="s">
        <v>54</v>
      </c>
      <c r="I9" s="28" t="s">
        <v>55</v>
      </c>
      <c r="J9" s="28">
        <v>0</v>
      </c>
      <c r="K9" s="28"/>
      <c r="L9" s="28"/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0">
        <v>45954.875092592592</v>
      </c>
      <c r="B10" s="28">
        <v>57</v>
      </c>
      <c r="C10" s="28">
        <v>66</v>
      </c>
      <c r="D10" s="28">
        <v>0</v>
      </c>
      <c r="E10" s="28">
        <v>7</v>
      </c>
      <c r="F10" s="28">
        <v>0</v>
      </c>
      <c r="G10" s="31">
        <v>2.0335648150648922E-2</v>
      </c>
      <c r="H10" s="28" t="s">
        <v>52</v>
      </c>
      <c r="I10" s="28" t="s">
        <v>53</v>
      </c>
      <c r="J10" s="28">
        <v>0</v>
      </c>
      <c r="K10" s="28"/>
      <c r="L10" s="28"/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0">
        <v>45956.6015625</v>
      </c>
      <c r="B11" s="28">
        <v>31</v>
      </c>
      <c r="C11" s="28">
        <v>14</v>
      </c>
      <c r="D11" s="28">
        <v>0</v>
      </c>
      <c r="E11" s="28">
        <v>29</v>
      </c>
      <c r="F11" s="28">
        <v>0</v>
      </c>
      <c r="G11" s="31">
        <v>1.4293981483206153E-2</v>
      </c>
      <c r="H11" s="28" t="s">
        <v>50</v>
      </c>
      <c r="I11" s="28" t="s">
        <v>51</v>
      </c>
      <c r="J11" s="28">
        <v>0</v>
      </c>
      <c r="K11" s="28"/>
      <c r="L11" s="28"/>
      <c r="Q11" s="5">
        <f t="shared" si="0"/>
        <v>1.4293981483206153E-2</v>
      </c>
    </row>
    <row r="12" spans="1:35">
      <c r="A12" s="30">
        <v>45958.470810185187</v>
      </c>
      <c r="B12" s="28">
        <v>60</v>
      </c>
      <c r="C12" s="28">
        <v>16</v>
      </c>
      <c r="D12" s="28">
        <v>0</v>
      </c>
      <c r="E12" s="28">
        <v>0</v>
      </c>
      <c r="F12" s="28">
        <v>0</v>
      </c>
      <c r="G12" s="31">
        <v>6.7708333372138441E-3</v>
      </c>
      <c r="H12" s="28" t="s">
        <v>67</v>
      </c>
      <c r="I12" s="28" t="s">
        <v>68</v>
      </c>
      <c r="J12" s="28">
        <v>0</v>
      </c>
      <c r="K12" s="28"/>
      <c r="L12" s="28"/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
+IF(A18&gt;=DATEVALUE("2026/1/22")+TIMEVALUE("6:00"),3,0)-IF(A17&gt;=DATEVALUE("2026/1/22")+TIMEVALUE("6:00"),3,0)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
+IF(A19&gt;=DATEVALUE("2026/1/22")+TIMEVALUE("6:00"),3,0)-IF(A18&gt;=DATEVALUE("2026/1/22")+TIMEVALUE("6:00"),3,0)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179</v>
      </c>
      <c r="I64" t="s">
        <v>180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181</v>
      </c>
      <c r="I65" t="s">
        <v>182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183</v>
      </c>
      <c r="I66" t="s">
        <v>184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185</v>
      </c>
      <c r="I67" t="s">
        <v>186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187</v>
      </c>
      <c r="I68" t="s">
        <v>188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189</v>
      </c>
      <c r="I69" t="s">
        <v>190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191</v>
      </c>
      <c r="I70" t="s">
        <v>192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193</v>
      </c>
      <c r="I71" t="s">
        <v>194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195</v>
      </c>
      <c r="I72" t="s">
        <v>196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197</v>
      </c>
      <c r="I73" t="s">
        <v>198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199</v>
      </c>
      <c r="I74" t="s">
        <v>200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201</v>
      </c>
      <c r="I75" t="s">
        <v>202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203</v>
      </c>
      <c r="I76" t="s">
        <v>204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205</v>
      </c>
      <c r="I77" t="s">
        <v>206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207</v>
      </c>
      <c r="I78" t="s">
        <v>208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209</v>
      </c>
      <c r="I79" t="s">
        <v>210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211</v>
      </c>
      <c r="I80" t="s">
        <v>212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215</v>
      </c>
      <c r="I81" t="s">
        <v>216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213</v>
      </c>
      <c r="I82" t="s">
        <v>214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217</v>
      </c>
      <c r="I83" t="s">
        <v>218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
+IF(A83&gt;=DATEVALUE("2026/1/22")+TIMEVALUE("6:00"),3,0)-IF(A82&gt;=DATEVALUE("2026/1/22")+TIMEVALUE("6:00"),3,0)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219</v>
      </c>
      <c r="I84" t="s">
        <v>220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221</v>
      </c>
      <c r="I85" t="s">
        <v>222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223</v>
      </c>
      <c r="I86" t="s">
        <v>224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225</v>
      </c>
      <c r="I87" t="s">
        <v>226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227</v>
      </c>
      <c r="I88" t="s">
        <v>228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229</v>
      </c>
      <c r="I89" t="s">
        <v>230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231</v>
      </c>
      <c r="I90" t="s">
        <v>232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233</v>
      </c>
      <c r="I91" t="s">
        <v>234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235</v>
      </c>
      <c r="I92" t="s">
        <v>236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237</v>
      </c>
      <c r="I93" t="s">
        <v>238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239</v>
      </c>
      <c r="I94" t="s">
        <v>240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241</v>
      </c>
      <c r="I95" t="s">
        <v>242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243</v>
      </c>
      <c r="I96" t="s">
        <v>244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245</v>
      </c>
      <c r="I97" t="s">
        <v>246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247</v>
      </c>
      <c r="I98" t="s">
        <v>248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250</v>
      </c>
      <c r="I99" t="s">
        <v>251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252</v>
      </c>
      <c r="I100" t="s">
        <v>253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254</v>
      </c>
      <c r="I101" t="s">
        <v>255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256</v>
      </c>
      <c r="I102" t="s">
        <v>257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258</v>
      </c>
      <c r="I103" t="s">
        <v>259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260</v>
      </c>
      <c r="I104" t="s">
        <v>261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262</v>
      </c>
      <c r="I105" t="s">
        <v>263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264</v>
      </c>
      <c r="I106" t="s">
        <v>265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266</v>
      </c>
      <c r="I107" t="s">
        <v>267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268</v>
      </c>
      <c r="I108" t="s">
        <v>269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270</v>
      </c>
      <c r="I109" t="s">
        <v>271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272</v>
      </c>
      <c r="I110" t="s">
        <v>273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274</v>
      </c>
      <c r="I111" t="s">
        <v>275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276</v>
      </c>
      <c r="I112" t="s">
        <v>277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278</v>
      </c>
      <c r="I113" t="s">
        <v>279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280</v>
      </c>
      <c r="I114" t="s">
        <v>281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282</v>
      </c>
      <c r="I115" t="s">
        <v>283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284</v>
      </c>
      <c r="I116" t="s">
        <v>285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286</v>
      </c>
      <c r="I117" t="s">
        <v>287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288</v>
      </c>
      <c r="I118" t="s">
        <v>289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290</v>
      </c>
      <c r="I119" t="s">
        <v>291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292</v>
      </c>
      <c r="I120" t="s">
        <v>293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294</v>
      </c>
      <c r="I121" t="s">
        <v>295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296</v>
      </c>
      <c r="I122" t="s">
        <v>297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298</v>
      </c>
      <c r="I123" t="s">
        <v>299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300</v>
      </c>
      <c r="I124" t="s">
        <v>301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302</v>
      </c>
      <c r="I125" t="s">
        <v>303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304</v>
      </c>
      <c r="I126" t="s">
        <v>305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306</v>
      </c>
      <c r="I127" t="s">
        <v>307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308</v>
      </c>
      <c r="I128" t="s">
        <v>309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310</v>
      </c>
      <c r="I129" t="s">
        <v>311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312</v>
      </c>
      <c r="I130" t="s">
        <v>313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314</v>
      </c>
      <c r="I131" t="s">
        <v>315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316</v>
      </c>
      <c r="I132" t="s">
        <v>317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318</v>
      </c>
      <c r="I133" t="s">
        <v>319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320</v>
      </c>
      <c r="I134" t="s">
        <v>321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322</v>
      </c>
      <c r="I135" t="s">
        <v>323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324</v>
      </c>
      <c r="I136" t="s">
        <v>325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326</v>
      </c>
      <c r="I137" t="s">
        <v>327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328</v>
      </c>
      <c r="I138" t="s">
        <v>329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330</v>
      </c>
      <c r="I139" t="s">
        <v>331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332</v>
      </c>
      <c r="I140" t="s">
        <v>333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334</v>
      </c>
      <c r="I141" t="s">
        <v>335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336</v>
      </c>
      <c r="I142" t="s">
        <v>337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339</v>
      </c>
      <c r="I143" t="s">
        <v>340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341</v>
      </c>
      <c r="I144" t="s">
        <v>342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343</v>
      </c>
      <c r="I145" t="s">
        <v>344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345</v>
      </c>
      <c r="I146" t="s">
        <v>346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347</v>
      </c>
      <c r="I147" t="s">
        <v>348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210" si="21">IF(A147&gt;=DATEVALUE("2025/11/8")+TIMEVALUE("6:00"),1,0)-IF(A146&gt;=DATEVALUE("2025/11/8")+TIMEVALUE("6:00"),1,0)
+IF(A147&gt;=DATEVALUE("2026/1/22")+TIMEVALUE("6:00"),3,0)-IF(A146&gt;=DATEVALUE("2026/1/22")+TIMEVALUE("6:00"),3,0)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349</v>
      </c>
      <c r="I148" t="s">
        <v>350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351</v>
      </c>
      <c r="I149" t="s">
        <v>352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353</v>
      </c>
      <c r="I150" t="s">
        <v>354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355</v>
      </c>
      <c r="I151" t="s">
        <v>356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357</v>
      </c>
      <c r="I152" t="s">
        <v>358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359</v>
      </c>
      <c r="I153" t="s">
        <v>360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361</v>
      </c>
      <c r="I154" t="s">
        <v>362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363</v>
      </c>
      <c r="I155" t="s">
        <v>364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365</v>
      </c>
      <c r="I156" t="s">
        <v>366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367</v>
      </c>
      <c r="I157" t="s">
        <v>368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369</v>
      </c>
      <c r="I158" t="s">
        <v>370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371</v>
      </c>
      <c r="I159" t="s">
        <v>372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373</v>
      </c>
      <c r="I160" t="s">
        <v>374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375</v>
      </c>
      <c r="I161" t="s">
        <v>376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377</v>
      </c>
      <c r="I162" t="s">
        <v>378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379</v>
      </c>
      <c r="I163" t="s">
        <v>380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381</v>
      </c>
      <c r="I164" t="s">
        <v>382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383</v>
      </c>
      <c r="I165" t="s">
        <v>384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385</v>
      </c>
      <c r="I166" t="s">
        <v>386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387</v>
      </c>
      <c r="I167" t="s">
        <v>388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390</v>
      </c>
      <c r="I168" t="s">
        <v>389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391</v>
      </c>
      <c r="I169" t="s">
        <v>392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393</v>
      </c>
      <c r="I170" t="s">
        <v>394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395</v>
      </c>
      <c r="I171" t="s">
        <v>396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397</v>
      </c>
      <c r="I172" t="s">
        <v>398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399</v>
      </c>
      <c r="I173" t="s">
        <v>400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401</v>
      </c>
      <c r="I174" t="s">
        <v>402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403</v>
      </c>
      <c r="I175" t="s">
        <v>404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406</v>
      </c>
      <c r="I176" t="s">
        <v>405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407</v>
      </c>
      <c r="I177" t="s">
        <v>408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409</v>
      </c>
      <c r="I178" t="s">
        <v>410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411</v>
      </c>
      <c r="I179" t="s">
        <v>412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414</v>
      </c>
      <c r="I180" t="s">
        <v>413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416</v>
      </c>
      <c r="I181" t="s">
        <v>415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417</v>
      </c>
      <c r="I182" t="s">
        <v>418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419</v>
      </c>
      <c r="I183" t="s">
        <v>510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si="21"/>
        <v>0</v>
      </c>
      <c r="P183" t="str">
        <f t="shared" ref="P183" si="27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421</v>
      </c>
      <c r="I184" t="s">
        <v>420</v>
      </c>
      <c r="J184">
        <v>0</v>
      </c>
      <c r="K184">
        <f t="shared" ref="K184" si="28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29">L183+K184</f>
        <v>207</v>
      </c>
      <c r="M184">
        <f t="shared" ref="M184" si="30">2+IF(A184&gt;=DATEVALUE("2025/11/30")+TIMEVALUE("6:00"),1,0)+IF(A184&gt;=DATEVALUE("2025/12/11")+TIMEVALUE("6:00"),1,0)</f>
        <v>4</v>
      </c>
      <c r="N184">
        <f t="shared" ref="N184" si="31">N183+M184*(INT(A184-6/24)-INT(A183-6/24))+O184</f>
        <v>208</v>
      </c>
      <c r="O184">
        <f t="shared" si="21"/>
        <v>0</v>
      </c>
      <c r="P184" t="str">
        <f t="shared" ref="P184" si="32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422</v>
      </c>
      <c r="I185" t="s">
        <v>423</v>
      </c>
      <c r="J185">
        <v>0</v>
      </c>
      <c r="K185">
        <f t="shared" ref="K185" si="33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4">L184+K185</f>
        <v>209</v>
      </c>
      <c r="M185">
        <f t="shared" ref="M185" si="35">2+IF(A185&gt;=DATEVALUE("2025/11/30")+TIMEVALUE("6:00"),1,0)+IF(A185&gt;=DATEVALUE("2025/12/11")+TIMEVALUE("6:00"),1,0)</f>
        <v>4</v>
      </c>
      <c r="N185">
        <f t="shared" ref="N185" si="36">N184+M185*(INT(A185-6/24)-INT(A184-6/24))+O185</f>
        <v>208</v>
      </c>
      <c r="O185">
        <f t="shared" si="21"/>
        <v>0</v>
      </c>
      <c r="P185" t="str">
        <f t="shared" ref="P185" si="37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425</v>
      </c>
      <c r="I186" t="s">
        <v>426</v>
      </c>
      <c r="J186">
        <v>0</v>
      </c>
      <c r="K186">
        <f t="shared" ref="K186" si="38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39">L185+K186</f>
        <v>211</v>
      </c>
      <c r="M186">
        <f t="shared" ref="M186" si="40">2+IF(A186&gt;=DATEVALUE("2025/11/30")+TIMEVALUE("6:00"),1,0)+IF(A186&gt;=DATEVALUE("2025/12/11")+TIMEVALUE("6:00"),1,0)</f>
        <v>4</v>
      </c>
      <c r="N186">
        <f t="shared" ref="N186" si="41">N185+M186*(INT(A186-6/24)-INT(A185-6/24))+O186</f>
        <v>212</v>
      </c>
      <c r="O186">
        <f t="shared" si="21"/>
        <v>0</v>
      </c>
      <c r="P186" t="str">
        <f t="shared" ref="P186" si="42">IF(L186&lt;N186,"未達成（"&amp;N186-L186&amp;"）",IF(L186=N186,"達成","前倒し（"&amp;L186-N186&amp;"）"))</f>
        <v>未達成（1）</v>
      </c>
      <c r="Q186" s="5">
        <f t="shared" ref="Q186" si="43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427</v>
      </c>
      <c r="I187" t="s">
        <v>428</v>
      </c>
      <c r="J187">
        <v>0</v>
      </c>
      <c r="K187">
        <f t="shared" ref="K187" si="44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5">L186+K187</f>
        <v>213</v>
      </c>
      <c r="M187">
        <f t="shared" ref="M187" si="46">2+IF(A187&gt;=DATEVALUE("2025/11/30")+TIMEVALUE("6:00"),1,0)+IF(A187&gt;=DATEVALUE("2025/12/11")+TIMEVALUE("6:00"),1,0)</f>
        <v>4</v>
      </c>
      <c r="N187">
        <f t="shared" ref="N187" si="47">N186+M187*(INT(A187-6/24)-INT(A186-6/24))+O187</f>
        <v>212</v>
      </c>
      <c r="O187">
        <f t="shared" si="21"/>
        <v>0</v>
      </c>
      <c r="P187" t="str">
        <f t="shared" ref="P187" si="48">IF(L187&lt;N187,"未達成（"&amp;N187-L187&amp;"）",IF(L187=N187,"達成","前倒し（"&amp;L187-N187&amp;"）"))</f>
        <v>前倒し（1）</v>
      </c>
      <c r="Q187" s="5">
        <f t="shared" ref="Q187" si="49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429</v>
      </c>
      <c r="I188" t="s">
        <v>430</v>
      </c>
      <c r="J188">
        <v>0</v>
      </c>
      <c r="K188">
        <f t="shared" ref="K188" si="50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1">L187+K188</f>
        <v>214</v>
      </c>
      <c r="M188">
        <f t="shared" ref="M188" si="52">2+IF(A188&gt;=DATEVALUE("2025/11/30")+TIMEVALUE("6:00"),1,0)+IF(A188&gt;=DATEVALUE("2025/12/11")+TIMEVALUE("6:00"),1,0)</f>
        <v>4</v>
      </c>
      <c r="N188">
        <f t="shared" ref="N188" si="53">N187+M188*(INT(A188-6/24)-INT(A187-6/24))+O188</f>
        <v>216</v>
      </c>
      <c r="O188">
        <f t="shared" si="21"/>
        <v>0</v>
      </c>
      <c r="P188" t="str">
        <f t="shared" ref="P188" si="54">IF(L188&lt;N188,"未達成（"&amp;N188-L188&amp;"）",IF(L188=N188,"達成","前倒し（"&amp;L188-N188&amp;"）"))</f>
        <v>未達成（2）</v>
      </c>
      <c r="Q188" s="5">
        <f t="shared" ref="Q188" si="55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431</v>
      </c>
      <c r="I189" t="s">
        <v>432</v>
      </c>
      <c r="J189">
        <v>0</v>
      </c>
      <c r="K189">
        <f t="shared" ref="K189" si="56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57">L188+K189</f>
        <v>215</v>
      </c>
      <c r="M189">
        <f t="shared" ref="M189" si="58">2+IF(A189&gt;=DATEVALUE("2025/11/30")+TIMEVALUE("6:00"),1,0)+IF(A189&gt;=DATEVALUE("2025/12/11")+TIMEVALUE("6:00"),1,0)</f>
        <v>4</v>
      </c>
      <c r="N189">
        <f t="shared" ref="N189" si="59">N188+M189*(INT(A189-6/24)-INT(A188-6/24))+O189</f>
        <v>216</v>
      </c>
      <c r="O189">
        <f t="shared" si="21"/>
        <v>0</v>
      </c>
      <c r="P189" t="str">
        <f t="shared" ref="P189" si="60">IF(L189&lt;N189,"未達成（"&amp;N189-L189&amp;"）",IF(L189=N189,"達成","前倒し（"&amp;L189-N189&amp;"）"))</f>
        <v>未達成（1）</v>
      </c>
      <c r="Q189" s="5">
        <f t="shared" ref="Q189" si="61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433</v>
      </c>
      <c r="I190" t="s">
        <v>434</v>
      </c>
      <c r="J190">
        <v>0</v>
      </c>
      <c r="K190">
        <f t="shared" ref="K190" si="62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63">L189+K190</f>
        <v>217</v>
      </c>
      <c r="M190">
        <f t="shared" ref="M190" si="64">2+IF(A190&gt;=DATEVALUE("2025/11/30")+TIMEVALUE("6:00"),1,0)+IF(A190&gt;=DATEVALUE("2025/12/11")+TIMEVALUE("6:00"),1,0)</f>
        <v>4</v>
      </c>
      <c r="N190">
        <f t="shared" ref="N190" si="65">N189+M190*(INT(A190-6/24)-INT(A189-6/24))+O190</f>
        <v>216</v>
      </c>
      <c r="O190">
        <f t="shared" si="21"/>
        <v>0</v>
      </c>
      <c r="P190" t="str">
        <f t="shared" ref="P190" si="66">IF(L190&lt;N190,"未達成（"&amp;N190-L190&amp;"）",IF(L190=N190,"達成","前倒し（"&amp;L190-N190&amp;"）"))</f>
        <v>前倒し（1）</v>
      </c>
      <c r="Q190" s="5">
        <f t="shared" ref="Q190" si="67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435</v>
      </c>
      <c r="I191" t="s">
        <v>436</v>
      </c>
      <c r="J191">
        <v>0</v>
      </c>
      <c r="K191">
        <f t="shared" ref="K191" si="68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69">L190+K191</f>
        <v>219</v>
      </c>
      <c r="M191">
        <f t="shared" ref="M191" si="70">2+IF(A191&gt;=DATEVALUE("2025/11/30")+TIMEVALUE("6:00"),1,0)+IF(A191&gt;=DATEVALUE("2025/12/11")+TIMEVALUE("6:00"),1,0)</f>
        <v>4</v>
      </c>
      <c r="N191">
        <f t="shared" ref="N191" si="71">N190+M191*(INT(A191-6/24)-INT(A190-6/24))+O191</f>
        <v>220</v>
      </c>
      <c r="O191">
        <f t="shared" si="21"/>
        <v>0</v>
      </c>
      <c r="P191" t="str">
        <f t="shared" ref="P191" si="72">IF(L191&lt;N191,"未達成（"&amp;N191-L191&amp;"）",IF(L191=N191,"達成","前倒し（"&amp;L191-N191&amp;"）"))</f>
        <v>未達成（1）</v>
      </c>
      <c r="Q191" s="5">
        <f t="shared" ref="Q191" si="73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438</v>
      </c>
      <c r="I192" t="s">
        <v>439</v>
      </c>
      <c r="J192">
        <v>0</v>
      </c>
      <c r="K192">
        <f t="shared" ref="K192" si="74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75">L191+K192</f>
        <v>220</v>
      </c>
      <c r="M192">
        <f t="shared" ref="M192" si="76">2+IF(A192&gt;=DATEVALUE("2025/11/30")+TIMEVALUE("6:00"),1,0)+IF(A192&gt;=DATEVALUE("2025/12/11")+TIMEVALUE("6:00"),1,0)</f>
        <v>4</v>
      </c>
      <c r="N192">
        <f t="shared" ref="N192" si="77">N191+M192*(INT(A192-6/24)-INT(A191-6/24))+O192</f>
        <v>220</v>
      </c>
      <c r="O192">
        <f t="shared" si="21"/>
        <v>0</v>
      </c>
      <c r="P192" t="str">
        <f t="shared" ref="P192" si="78">IF(L192&lt;N192,"未達成（"&amp;N192-L192&amp;"）",IF(L192=N192,"達成","前倒し（"&amp;L192-N192&amp;"）"))</f>
        <v>達成</v>
      </c>
      <c r="Q192">
        <f t="shared" ref="Q192" si="7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440</v>
      </c>
      <c r="I193" t="s">
        <v>441</v>
      </c>
      <c r="J193">
        <v>0</v>
      </c>
      <c r="K193">
        <f t="shared" ref="K193" si="8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81">L192+K193</f>
        <v>221</v>
      </c>
      <c r="M193">
        <f t="shared" ref="M193" si="82">2+IF(A193&gt;=DATEVALUE("2025/11/30")+TIMEVALUE("6:00"),1,0)+IF(A193&gt;=DATEVALUE("2025/12/11")+TIMEVALUE("6:00"),1,0)</f>
        <v>4</v>
      </c>
      <c r="N193">
        <f t="shared" ref="N193" si="83">N192+M193*(INT(A193-6/24)-INT(A192-6/24))+O193</f>
        <v>224</v>
      </c>
      <c r="O193">
        <f t="shared" si="21"/>
        <v>0</v>
      </c>
      <c r="P193" t="str">
        <f t="shared" ref="P193" si="84">IF(L193&lt;N193,"未達成（"&amp;N193-L193&amp;"）",IF(L193=N193,"達成","前倒し（"&amp;L193-N193&amp;"）"))</f>
        <v>未達成（3）</v>
      </c>
      <c r="Q193">
        <f t="shared" ref="Q193" si="85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442</v>
      </c>
      <c r="I194" t="s">
        <v>443</v>
      </c>
      <c r="J194">
        <v>0</v>
      </c>
      <c r="K194">
        <f t="shared" ref="K194" si="86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87">L193+K194</f>
        <v>223</v>
      </c>
      <c r="M194">
        <f t="shared" ref="M194" si="88">2+IF(A194&gt;=DATEVALUE("2025/11/30")+TIMEVALUE("6:00"),1,0)+IF(A194&gt;=DATEVALUE("2025/12/11")+TIMEVALUE("6:00"),1,0)</f>
        <v>4</v>
      </c>
      <c r="N194">
        <f t="shared" ref="N194" si="89">N193+M194*(INT(A194-6/24)-INT(A193-6/24))+O194</f>
        <v>224</v>
      </c>
      <c r="O194">
        <f t="shared" si="21"/>
        <v>0</v>
      </c>
      <c r="P194" t="str">
        <f t="shared" ref="P194" si="90">IF(L194&lt;N194,"未達成（"&amp;N194-L194&amp;"）",IF(L194=N194,"達成","前倒し（"&amp;L194-N194&amp;"）"))</f>
        <v>未達成（1）</v>
      </c>
      <c r="Q194">
        <f t="shared" ref="Q194" si="91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444</v>
      </c>
      <c r="I195" t="s">
        <v>445</v>
      </c>
      <c r="J195">
        <v>0</v>
      </c>
      <c r="K195">
        <f t="shared" ref="K195" si="92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93">L194+K195</f>
        <v>225</v>
      </c>
      <c r="M195">
        <f t="shared" ref="M195" si="94">2+IF(A195&gt;=DATEVALUE("2025/11/30")+TIMEVALUE("6:00"),1,0)+IF(A195&gt;=DATEVALUE("2025/12/11")+TIMEVALUE("6:00"),1,0)</f>
        <v>4</v>
      </c>
      <c r="N195">
        <f t="shared" ref="N195" si="95">N194+M195*(INT(A195-6/24)-INT(A194-6/24))+O195</f>
        <v>224</v>
      </c>
      <c r="O195">
        <f t="shared" si="21"/>
        <v>0</v>
      </c>
      <c r="P195" t="str">
        <f t="shared" ref="P195" si="96">IF(L195&lt;N195,"未達成（"&amp;N195-L195&amp;"）",IF(L195=N195,"達成","前倒し（"&amp;L195-N195&amp;"）"))</f>
        <v>前倒し（1）</v>
      </c>
      <c r="Q195">
        <f t="shared" ref="Q195" si="97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446</v>
      </c>
      <c r="I196" t="s">
        <v>447</v>
      </c>
      <c r="J196">
        <v>0</v>
      </c>
      <c r="K196">
        <f t="shared" ref="K196" si="98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99">L195+K196</f>
        <v>227</v>
      </c>
      <c r="M196">
        <f t="shared" ref="M196" si="100">2+IF(A196&gt;=DATEVALUE("2025/11/30")+TIMEVALUE("6:00"),1,0)+IF(A196&gt;=DATEVALUE("2025/12/11")+TIMEVALUE("6:00"),1,0)</f>
        <v>4</v>
      </c>
      <c r="N196">
        <f t="shared" ref="N196" si="101">N195+M196*(INT(A196-6/24)-INT(A195-6/24))+O196</f>
        <v>228</v>
      </c>
      <c r="O196">
        <f t="shared" si="21"/>
        <v>0</v>
      </c>
      <c r="P196" t="str">
        <f t="shared" ref="P196" si="102">IF(L196&lt;N196,"未達成（"&amp;N196-L196&amp;"）",IF(L196=N196,"達成","前倒し（"&amp;L196-N196&amp;"）"))</f>
        <v>未達成（1）</v>
      </c>
      <c r="Q196">
        <f t="shared" ref="Q196" si="103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448</v>
      </c>
      <c r="I197" t="s">
        <v>449</v>
      </c>
      <c r="J197">
        <v>0</v>
      </c>
      <c r="K197">
        <f t="shared" ref="K197" si="104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05">L196+K197</f>
        <v>229</v>
      </c>
      <c r="M197">
        <f t="shared" ref="M197" si="106">2+IF(A197&gt;=DATEVALUE("2025/11/30")+TIMEVALUE("6:00"),1,0)+IF(A197&gt;=DATEVALUE("2025/12/11")+TIMEVALUE("6:00"),1,0)</f>
        <v>4</v>
      </c>
      <c r="N197">
        <f t="shared" ref="N197" si="107">N196+M197*(INT(A197-6/24)-INT(A196-6/24))+O197</f>
        <v>228</v>
      </c>
      <c r="O197">
        <f t="shared" si="21"/>
        <v>0</v>
      </c>
      <c r="P197" t="str">
        <f t="shared" ref="P197" si="108">IF(L197&lt;N197,"未達成（"&amp;N197-L197&amp;"）",IF(L197=N197,"達成","前倒し（"&amp;L197-N197&amp;"）"))</f>
        <v>前倒し（1）</v>
      </c>
      <c r="Q197">
        <f t="shared" ref="Q197" si="109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450</v>
      </c>
      <c r="I198" t="s">
        <v>451</v>
      </c>
      <c r="J198">
        <v>0</v>
      </c>
      <c r="K198">
        <f t="shared" ref="K198" si="110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11">L197+K198</f>
        <v>230</v>
      </c>
      <c r="M198">
        <f t="shared" ref="M198" si="112">2+IF(A198&gt;=DATEVALUE("2025/11/30")+TIMEVALUE("6:00"),1,0)+IF(A198&gt;=DATEVALUE("2025/12/11")+TIMEVALUE("6:00"),1,0)</f>
        <v>4</v>
      </c>
      <c r="N198">
        <f t="shared" ref="N198" si="113">N197+M198*(INT(A198-6/24)-INT(A197-6/24))+O198</f>
        <v>232</v>
      </c>
      <c r="O198">
        <f t="shared" si="21"/>
        <v>0</v>
      </c>
      <c r="P198" t="str">
        <f t="shared" ref="P198" si="114">IF(L198&lt;N198,"未達成（"&amp;N198-L198&amp;"）",IF(L198=N198,"達成","前倒し（"&amp;L198-N198&amp;"）"))</f>
        <v>未達成（2）</v>
      </c>
      <c r="Q198">
        <f t="shared" ref="Q198" si="115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452</v>
      </c>
      <c r="I199" t="s">
        <v>453</v>
      </c>
      <c r="J199">
        <v>0</v>
      </c>
      <c r="K199">
        <f t="shared" ref="K199" si="116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17">L198+K199</f>
        <v>231</v>
      </c>
      <c r="M199">
        <f t="shared" ref="M199" si="118">2+IF(A199&gt;=DATEVALUE("2025/11/30")+TIMEVALUE("6:00"),1,0)+IF(A199&gt;=DATEVALUE("2025/12/11")+TIMEVALUE("6:00"),1,0)</f>
        <v>4</v>
      </c>
      <c r="N199">
        <f t="shared" ref="N199" si="119">N198+M199*(INT(A199-6/24)-INT(A198-6/24))+O199</f>
        <v>232</v>
      </c>
      <c r="O199">
        <f t="shared" si="21"/>
        <v>0</v>
      </c>
      <c r="P199" t="str">
        <f t="shared" ref="P199" si="120">IF(L199&lt;N199,"未達成（"&amp;N199-L199&amp;"）",IF(L199=N199,"達成","前倒し（"&amp;L199-N199&amp;"）"))</f>
        <v>未達成（1）</v>
      </c>
      <c r="Q199">
        <f t="shared" ref="Q199" si="121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454</v>
      </c>
      <c r="I200" t="s">
        <v>455</v>
      </c>
      <c r="J200">
        <v>0</v>
      </c>
      <c r="K200">
        <f t="shared" ref="K200" si="122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23">L199+K200</f>
        <v>233</v>
      </c>
      <c r="M200">
        <f t="shared" ref="M200" si="124">2+IF(A200&gt;=DATEVALUE("2025/11/30")+TIMEVALUE("6:00"),1,0)+IF(A200&gt;=DATEVALUE("2025/12/11")+TIMEVALUE("6:00"),1,0)</f>
        <v>4</v>
      </c>
      <c r="N200">
        <f t="shared" ref="N200" si="125">N199+M200*(INT(A200-6/24)-INT(A199-6/24))+O200</f>
        <v>232</v>
      </c>
      <c r="O200">
        <f t="shared" si="21"/>
        <v>0</v>
      </c>
      <c r="P200" t="str">
        <f t="shared" ref="P200" si="126">IF(L200&lt;N200,"未達成（"&amp;N200-L200&amp;"）",IF(L200=N200,"達成","前倒し（"&amp;L200-N200&amp;"）"))</f>
        <v>前倒し（1）</v>
      </c>
      <c r="Q200">
        <f t="shared" ref="Q200" si="127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456</v>
      </c>
      <c r="I201" t="s">
        <v>457</v>
      </c>
      <c r="J201">
        <v>0</v>
      </c>
      <c r="K201">
        <f t="shared" ref="K201" si="128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29">L200+K201</f>
        <v>234</v>
      </c>
      <c r="M201">
        <f t="shared" ref="M201" si="130">2+IF(A201&gt;=DATEVALUE("2025/11/30")+TIMEVALUE("6:00"),1,0)+IF(A201&gt;=DATEVALUE("2025/12/11")+TIMEVALUE("6:00"),1,0)</f>
        <v>4</v>
      </c>
      <c r="N201">
        <f t="shared" ref="N201" si="131">N200+M201*(INT(A201-6/24)-INT(A200-6/24))+O201</f>
        <v>236</v>
      </c>
      <c r="O201">
        <f t="shared" si="21"/>
        <v>0</v>
      </c>
      <c r="P201" t="str">
        <f t="shared" ref="P201" si="132">IF(L201&lt;N201,"未達成（"&amp;N201-L201&amp;"）",IF(L201=N201,"達成","前倒し（"&amp;L201-N201&amp;"）"))</f>
        <v>未達成（2）</v>
      </c>
      <c r="Q201">
        <f t="shared" ref="Q201" si="133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458</v>
      </c>
      <c r="I202" t="s">
        <v>459</v>
      </c>
      <c r="J202">
        <v>0</v>
      </c>
      <c r="K202">
        <f t="shared" ref="K202" si="134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35">L201+K202</f>
        <v>235</v>
      </c>
      <c r="M202">
        <f t="shared" ref="M202" si="136">2+IF(A202&gt;=DATEVALUE("2025/11/30")+TIMEVALUE("6:00"),1,0)+IF(A202&gt;=DATEVALUE("2025/12/11")+TIMEVALUE("6:00"),1,0)</f>
        <v>4</v>
      </c>
      <c r="N202">
        <f t="shared" ref="N202" si="137">N201+M202*(INT(A202-6/24)-INT(A201-6/24))+O202</f>
        <v>236</v>
      </c>
      <c r="O202">
        <f t="shared" si="21"/>
        <v>0</v>
      </c>
      <c r="P202" t="str">
        <f t="shared" ref="P202" si="138">IF(L202&lt;N202,"未達成（"&amp;N202-L202&amp;"）",IF(L202=N202,"達成","前倒し（"&amp;L202-N202&amp;"）"))</f>
        <v>未達成（1）</v>
      </c>
      <c r="Q202">
        <f t="shared" ref="Q202" si="13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460</v>
      </c>
      <c r="I203" t="s">
        <v>461</v>
      </c>
      <c r="J203">
        <v>0</v>
      </c>
      <c r="K203">
        <f t="shared" ref="K203" si="14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41">L202+K203</f>
        <v>237</v>
      </c>
      <c r="M203">
        <f t="shared" ref="M203" si="142">2+IF(A203&gt;=DATEVALUE("2025/11/30")+TIMEVALUE("6:00"),1,0)+IF(A203&gt;=DATEVALUE("2025/12/11")+TIMEVALUE("6:00"),1,0)</f>
        <v>4</v>
      </c>
      <c r="N203">
        <f t="shared" ref="N203" si="143">N202+M203*(INT(A203-6/24)-INT(A202-6/24))+O203</f>
        <v>236</v>
      </c>
      <c r="O203">
        <f t="shared" si="21"/>
        <v>0</v>
      </c>
      <c r="P203" t="str">
        <f t="shared" ref="P203" si="144">IF(L203&lt;N203,"未達成（"&amp;N203-L203&amp;"）",IF(L203=N203,"達成","前倒し（"&amp;L203-N203&amp;"）"))</f>
        <v>前倒し（1）</v>
      </c>
      <c r="Q203">
        <f t="shared" ref="Q203" si="145">IF(B203="",NA(),G203)</f>
        <v>6.6550925985211506E-3</v>
      </c>
    </row>
    <row r="204" spans="1:17">
      <c r="A204" s="3">
        <v>46039.303553240738</v>
      </c>
      <c r="B204">
        <v>60</v>
      </c>
      <c r="C204">
        <v>31</v>
      </c>
      <c r="D204">
        <v>0</v>
      </c>
      <c r="E204">
        <v>0</v>
      </c>
      <c r="F204">
        <v>0</v>
      </c>
      <c r="G204" s="5">
        <v>5.8564814753481187E-3</v>
      </c>
      <c r="H204" t="s">
        <v>462</v>
      </c>
      <c r="I204" t="s">
        <v>463</v>
      </c>
      <c r="J204">
        <v>0</v>
      </c>
      <c r="K204">
        <f t="shared" ref="K204" si="146">IF(A204&lt;DATEVALUE("2025/11/20")+TIMEVALUE("6:00"),1,IF(OR(B204&lt;&gt;60,SUM(D204:F204)&lt;&gt;0,G204&gt;=IF(A204&lt;DATEVALUE("2025/12/28")+TIMEVALUE("6:00"),20,18)/24/60),0,2-INT(G204*24*60/10)))</f>
        <v>2</v>
      </c>
      <c r="L204">
        <f t="shared" ref="L204" si="147">L203+K204</f>
        <v>239</v>
      </c>
      <c r="M204">
        <f t="shared" ref="M204" si="148">2+IF(A204&gt;=DATEVALUE("2025/11/30")+TIMEVALUE("6:00"),1,0)+IF(A204&gt;=DATEVALUE("2025/12/11")+TIMEVALUE("6:00"),1,0)</f>
        <v>4</v>
      </c>
      <c r="N204">
        <f t="shared" ref="N204" si="149">N203+M204*(INT(A204-6/24)-INT(A203-6/24))+O204</f>
        <v>240</v>
      </c>
      <c r="O204">
        <f t="shared" si="21"/>
        <v>0</v>
      </c>
      <c r="P204" t="str">
        <f t="shared" ref="P204" si="150">IF(L204&lt;N204,"未達成（"&amp;N204-L204&amp;"）",IF(L204=N204,"達成","前倒し（"&amp;L204-N204&amp;"）"))</f>
        <v>未達成（1）</v>
      </c>
      <c r="Q204">
        <f t="shared" ref="Q204" si="151">IF(B204="",NA(),G204)</f>
        <v>5.8564814753481187E-3</v>
      </c>
    </row>
    <row r="205" spans="1:17">
      <c r="A205" s="3">
        <v>46039.311296296299</v>
      </c>
      <c r="B205">
        <v>60</v>
      </c>
      <c r="C205">
        <v>4</v>
      </c>
      <c r="D205">
        <v>0</v>
      </c>
      <c r="E205">
        <v>0</v>
      </c>
      <c r="F205">
        <v>0</v>
      </c>
      <c r="G205" s="5">
        <v>6.3194444446708076E-3</v>
      </c>
      <c r="H205" t="s">
        <v>464</v>
      </c>
      <c r="I205" t="s">
        <v>465</v>
      </c>
      <c r="J205">
        <v>0</v>
      </c>
      <c r="K205">
        <f t="shared" ref="K205" si="152">IF(A205&lt;DATEVALUE("2025/11/20")+TIMEVALUE("6:00"),1,IF(OR(B205&lt;&gt;60,SUM(D205:F205)&lt;&gt;0,G205&gt;=IF(A205&lt;DATEVALUE("2025/12/28")+TIMEVALUE("6:00"),20,18)/24/60),0,2-INT(G205*24*60/10)))</f>
        <v>2</v>
      </c>
      <c r="L205">
        <f t="shared" ref="L205" si="153">L204+K205</f>
        <v>241</v>
      </c>
      <c r="M205">
        <f t="shared" ref="M205" si="154">2+IF(A205&gt;=DATEVALUE("2025/11/30")+TIMEVALUE("6:00"),1,0)+IF(A205&gt;=DATEVALUE("2025/12/11")+TIMEVALUE("6:00"),1,0)</f>
        <v>4</v>
      </c>
      <c r="N205">
        <f t="shared" ref="N205" si="155">N204+M205*(INT(A205-6/24)-INT(A204-6/24))+O205</f>
        <v>240</v>
      </c>
      <c r="O205">
        <f t="shared" si="21"/>
        <v>0</v>
      </c>
      <c r="P205" t="str">
        <f t="shared" ref="P205" si="156">IF(L205&lt;N205,"未達成（"&amp;N205-L205&amp;"）",IF(L205=N205,"達成","前倒し（"&amp;L205-N205&amp;"）"))</f>
        <v>前倒し（1）</v>
      </c>
      <c r="Q205">
        <f t="shared" ref="Q205" si="157">IF(B205="",NA(),G205)</f>
        <v>6.3194444446708076E-3</v>
      </c>
    </row>
    <row r="206" spans="1:17">
      <c r="A206" s="3">
        <v>46040.295324074075</v>
      </c>
      <c r="B206">
        <v>60</v>
      </c>
      <c r="C206">
        <v>12</v>
      </c>
      <c r="D206">
        <v>0</v>
      </c>
      <c r="E206">
        <v>0</v>
      </c>
      <c r="F206">
        <v>0</v>
      </c>
      <c r="G206" s="5">
        <v>5.4629629667033441E-3</v>
      </c>
      <c r="H206" t="s">
        <v>466</v>
      </c>
      <c r="I206" t="s">
        <v>467</v>
      </c>
      <c r="J206">
        <v>0</v>
      </c>
      <c r="K206">
        <f t="shared" ref="K206" si="158">IF(A206&lt;DATEVALUE("2025/11/20")+TIMEVALUE("6:00"),1,IF(OR(B206&lt;&gt;60,SUM(D206:F206)&lt;&gt;0,G206&gt;=IF(A206&lt;DATEVALUE("2025/12/28")+TIMEVALUE("6:00"),20,18)/24/60),0,2-INT(G206*24*60/10)))</f>
        <v>2</v>
      </c>
      <c r="L206">
        <f t="shared" ref="L206" si="159">L205+K206</f>
        <v>243</v>
      </c>
      <c r="M206">
        <f t="shared" ref="M206" si="160">2+IF(A206&gt;=DATEVALUE("2025/11/30")+TIMEVALUE("6:00"),1,0)+IF(A206&gt;=DATEVALUE("2025/12/11")+TIMEVALUE("6:00"),1,0)</f>
        <v>4</v>
      </c>
      <c r="N206">
        <f t="shared" ref="N206" si="161">N205+M206*(INT(A206-6/24)-INT(A205-6/24))+O206</f>
        <v>244</v>
      </c>
      <c r="O206">
        <f t="shared" si="21"/>
        <v>0</v>
      </c>
      <c r="P206" t="str">
        <f t="shared" ref="P206" si="162">IF(L206&lt;N206,"未達成（"&amp;N206-L206&amp;"）",IF(L206=N206,"達成","前倒し（"&amp;L206-N206&amp;"）"))</f>
        <v>未達成（1）</v>
      </c>
      <c r="Q206">
        <f t="shared" ref="Q206" si="163">IF(B206="",NA(),G206)</f>
        <v>5.4629629667033441E-3</v>
      </c>
    </row>
    <row r="207" spans="1:17">
      <c r="A207" s="3">
        <v>46040.8359375</v>
      </c>
      <c r="B207">
        <v>60</v>
      </c>
      <c r="C207">
        <v>14</v>
      </c>
      <c r="D207">
        <v>0</v>
      </c>
      <c r="E207">
        <v>0</v>
      </c>
      <c r="F207">
        <v>0</v>
      </c>
      <c r="G207" s="5">
        <v>5.8449074058444239E-3</v>
      </c>
      <c r="H207" t="s">
        <v>468</v>
      </c>
      <c r="I207" t="s">
        <v>469</v>
      </c>
      <c r="J207">
        <v>0</v>
      </c>
      <c r="K207">
        <f t="shared" ref="K207" si="164">IF(A207&lt;DATEVALUE("2025/11/20")+TIMEVALUE("6:00"),1,IF(OR(B207&lt;&gt;60,SUM(D207:F207)&lt;&gt;0,G207&gt;=IF(A207&lt;DATEVALUE("2025/12/28")+TIMEVALUE("6:00"),20,18)/24/60),0,2-INT(G207*24*60/10)))</f>
        <v>2</v>
      </c>
      <c r="L207">
        <f t="shared" ref="L207" si="165">L206+K207</f>
        <v>245</v>
      </c>
      <c r="M207">
        <f t="shared" ref="M207" si="166">2+IF(A207&gt;=DATEVALUE("2025/11/30")+TIMEVALUE("6:00"),1,0)+IF(A207&gt;=DATEVALUE("2025/12/11")+TIMEVALUE("6:00"),1,0)</f>
        <v>4</v>
      </c>
      <c r="N207">
        <f t="shared" ref="N207" si="167">N206+M207*(INT(A207-6/24)-INT(A206-6/24))+O207</f>
        <v>244</v>
      </c>
      <c r="O207">
        <f t="shared" si="21"/>
        <v>0</v>
      </c>
      <c r="P207" t="str">
        <f t="shared" ref="P207" si="168">IF(L207&lt;N207,"未達成（"&amp;N207-L207&amp;"）",IF(L207=N207,"達成","前倒し（"&amp;L207-N207&amp;"）"))</f>
        <v>前倒し（1）</v>
      </c>
      <c r="Q207">
        <f t="shared" ref="Q207" si="169">IF(B207="",NA(),G207)</f>
        <v>5.8449074058444239E-3</v>
      </c>
    </row>
    <row r="208" spans="1:17">
      <c r="A208" s="3">
        <v>46041.269918981481</v>
      </c>
      <c r="B208">
        <v>60</v>
      </c>
      <c r="C208">
        <v>16</v>
      </c>
      <c r="D208">
        <v>0</v>
      </c>
      <c r="E208">
        <v>0</v>
      </c>
      <c r="F208">
        <v>0</v>
      </c>
      <c r="G208" s="5">
        <v>7.9861111080390401E-3</v>
      </c>
      <c r="H208" t="s">
        <v>470</v>
      </c>
      <c r="I208" t="s">
        <v>471</v>
      </c>
      <c r="J208">
        <v>0</v>
      </c>
      <c r="K208">
        <f t="shared" ref="K208" si="170">IF(A208&lt;DATEVALUE("2025/11/20")+TIMEVALUE("6:00"),1,IF(OR(B208&lt;&gt;60,SUM(D208:F208)&lt;&gt;0,G208&gt;=IF(A208&lt;DATEVALUE("2025/12/28")+TIMEVALUE("6:00"),20,18)/24/60),0,2-INT(G208*24*60/10)))</f>
        <v>1</v>
      </c>
      <c r="L208">
        <f t="shared" ref="L208" si="171">L207+K208</f>
        <v>246</v>
      </c>
      <c r="M208">
        <f t="shared" ref="M208" si="172">2+IF(A208&gt;=DATEVALUE("2025/11/30")+TIMEVALUE("6:00"),1,0)+IF(A208&gt;=DATEVALUE("2025/12/11")+TIMEVALUE("6:00"),1,0)</f>
        <v>4</v>
      </c>
      <c r="N208">
        <f t="shared" ref="N208" si="173">N207+M208*(INT(A208-6/24)-INT(A207-6/24))+O208</f>
        <v>248</v>
      </c>
      <c r="O208">
        <f t="shared" si="21"/>
        <v>0</v>
      </c>
      <c r="P208" t="str">
        <f t="shared" ref="P208" si="174">IF(L208&lt;N208,"未達成（"&amp;N208-L208&amp;"）",IF(L208=N208,"達成","前倒し（"&amp;L208-N208&amp;"）"))</f>
        <v>未達成（2）</v>
      </c>
      <c r="Q208">
        <f t="shared" ref="Q208" si="175">IF(B208="",NA(),G208)</f>
        <v>7.9861111080390401E-3</v>
      </c>
    </row>
    <row r="209" spans="1:17">
      <c r="A209" s="3">
        <v>46041.275381944448</v>
      </c>
      <c r="B209">
        <v>60</v>
      </c>
      <c r="C209">
        <v>9</v>
      </c>
      <c r="D209">
        <v>0</v>
      </c>
      <c r="E209">
        <v>0</v>
      </c>
      <c r="F209">
        <v>0</v>
      </c>
      <c r="G209" s="5">
        <v>4.3865740808541887E-3</v>
      </c>
      <c r="H209" t="s">
        <v>472</v>
      </c>
      <c r="I209" t="s">
        <v>473</v>
      </c>
      <c r="J209">
        <v>0</v>
      </c>
      <c r="K209">
        <f t="shared" ref="K209" si="176">IF(A209&lt;DATEVALUE("2025/11/20")+TIMEVALUE("6:00"),1,IF(OR(B209&lt;&gt;60,SUM(D209:F209)&lt;&gt;0,G209&gt;=IF(A209&lt;DATEVALUE("2025/12/28")+TIMEVALUE("6:00"),20,18)/24/60),0,2-INT(G209*24*60/10)))</f>
        <v>2</v>
      </c>
      <c r="L209">
        <f t="shared" ref="L209" si="177">L208+K209</f>
        <v>248</v>
      </c>
      <c r="M209">
        <f t="shared" ref="M209" si="178">2+IF(A209&gt;=DATEVALUE("2025/11/30")+TIMEVALUE("6:00"),1,0)+IF(A209&gt;=DATEVALUE("2025/12/11")+TIMEVALUE("6:00"),1,0)</f>
        <v>4</v>
      </c>
      <c r="N209">
        <f t="shared" ref="N209" si="179">N208+M209*(INT(A209-6/24)-INT(A208-6/24))+O209</f>
        <v>248</v>
      </c>
      <c r="O209">
        <f t="shared" si="21"/>
        <v>0</v>
      </c>
      <c r="P209" t="str">
        <f t="shared" ref="P209" si="180">IF(L209&lt;N209,"未達成（"&amp;N209-L209&amp;"）",IF(L209=N209,"達成","前倒し（"&amp;L209-N209&amp;"）"))</f>
        <v>達成</v>
      </c>
      <c r="Q209">
        <f t="shared" ref="Q209" si="181">IF(B209="",NA(),G209)</f>
        <v>4.3865740808541887E-3</v>
      </c>
    </row>
    <row r="210" spans="1:17">
      <c r="A210" s="3">
        <v>46042.293645833335</v>
      </c>
      <c r="B210">
        <v>60</v>
      </c>
      <c r="C210">
        <v>11</v>
      </c>
      <c r="D210">
        <v>0</v>
      </c>
      <c r="E210">
        <v>0</v>
      </c>
      <c r="F210">
        <v>0</v>
      </c>
      <c r="G210" s="5">
        <v>5.7407407439313829E-3</v>
      </c>
      <c r="H210" t="s">
        <v>474</v>
      </c>
      <c r="I210" t="s">
        <v>475</v>
      </c>
      <c r="J210">
        <v>0</v>
      </c>
      <c r="K210">
        <f t="shared" ref="K210" si="182">IF(A210&lt;DATEVALUE("2025/11/20")+TIMEVALUE("6:00"),1,IF(OR(B210&lt;&gt;60,SUM(D210:F210)&lt;&gt;0,G210&gt;=IF(A210&lt;DATEVALUE("2025/12/28")+TIMEVALUE("6:00"),20,18)/24/60),0,2-INT(G210*24*60/10)))</f>
        <v>2</v>
      </c>
      <c r="L210">
        <f t="shared" ref="L210" si="183">L209+K210</f>
        <v>250</v>
      </c>
      <c r="M210">
        <f t="shared" ref="M210" si="184">2+IF(A210&gt;=DATEVALUE("2025/11/30")+TIMEVALUE("6:00"),1,0)+IF(A210&gt;=DATEVALUE("2025/12/11")+TIMEVALUE("6:00"),1,0)</f>
        <v>4</v>
      </c>
      <c r="N210">
        <f t="shared" ref="N210" si="185">N209+M210*(INT(A210-6/24)-INT(A209-6/24))+O210</f>
        <v>252</v>
      </c>
      <c r="O210">
        <f t="shared" si="21"/>
        <v>0</v>
      </c>
      <c r="P210" t="str">
        <f t="shared" ref="P210" si="186">IF(L210&lt;N210,"未達成（"&amp;N210-L210&amp;"）",IF(L210=N210,"達成","前倒し（"&amp;L210-N210&amp;"）"))</f>
        <v>未達成（2）</v>
      </c>
      <c r="Q210">
        <f t="shared" ref="Q210" si="187">IF(B210="",NA(),G210)</f>
        <v>5.7407407439313829E-3</v>
      </c>
    </row>
    <row r="211" spans="1:17">
      <c r="A211" s="3">
        <v>46042.303611111114</v>
      </c>
      <c r="B211">
        <v>60</v>
      </c>
      <c r="C211">
        <v>18</v>
      </c>
      <c r="D211">
        <v>0</v>
      </c>
      <c r="E211">
        <v>0</v>
      </c>
      <c r="F211">
        <v>0</v>
      </c>
      <c r="G211" s="5">
        <v>7.1527777836308815E-3</v>
      </c>
      <c r="H211" t="s">
        <v>476</v>
      </c>
      <c r="I211" t="s">
        <v>477</v>
      </c>
      <c r="J211">
        <v>0</v>
      </c>
      <c r="K211">
        <f t="shared" ref="K211" si="188">IF(A211&lt;DATEVALUE("2025/11/20")+TIMEVALUE("6:00"),1,IF(OR(B211&lt;&gt;60,SUM(D211:F211)&lt;&gt;0,G211&gt;=IF(A211&lt;DATEVALUE("2025/12/28")+TIMEVALUE("6:00"),20,18)/24/60),0,2-INT(G211*24*60/10)))</f>
        <v>1</v>
      </c>
      <c r="L211">
        <f t="shared" ref="L211" si="189">L210+K211</f>
        <v>251</v>
      </c>
      <c r="M211">
        <f t="shared" ref="M211" si="190">2+IF(A211&gt;=DATEVALUE("2025/11/30")+TIMEVALUE("6:00"),1,0)+IF(A211&gt;=DATEVALUE("2025/12/11")+TIMEVALUE("6:00"),1,0)</f>
        <v>4</v>
      </c>
      <c r="N211">
        <f t="shared" ref="N211" si="191">N210+M211*(INT(A211-6/24)-INT(A210-6/24))+O211</f>
        <v>252</v>
      </c>
      <c r="O211">
        <f t="shared" ref="O211:O217" si="192">IF(A211&gt;=DATEVALUE("2025/11/8")+TIMEVALUE("6:00"),1,0)-IF(A210&gt;=DATEVALUE("2025/11/8")+TIMEVALUE("6:00"),1,0)
+IF(A211&gt;=DATEVALUE("2026/1/22")+TIMEVALUE("6:00"),3,0)-IF(A210&gt;=DATEVALUE("2026/1/22")+TIMEVALUE("6:00"),3,0)</f>
        <v>0</v>
      </c>
      <c r="P211" t="str">
        <f t="shared" ref="P211" si="193">IF(L211&lt;N211,"未達成（"&amp;N211-L211&amp;"）",IF(L211=N211,"達成","前倒し（"&amp;L211-N211&amp;"）"))</f>
        <v>未達成（1）</v>
      </c>
      <c r="Q211">
        <f t="shared" ref="Q211" si="194">IF(B211="",NA(),G211)</f>
        <v>7.1527777836308815E-3</v>
      </c>
    </row>
    <row r="212" spans="1:17">
      <c r="A212" s="3">
        <v>46042.313726851855</v>
      </c>
      <c r="B212">
        <v>60</v>
      </c>
      <c r="C212">
        <v>10</v>
      </c>
      <c r="D212">
        <v>0</v>
      </c>
      <c r="E212">
        <v>0</v>
      </c>
      <c r="F212">
        <v>0</v>
      </c>
      <c r="G212" s="5">
        <v>8.078703707724344E-3</v>
      </c>
      <c r="H212" t="s">
        <v>478</v>
      </c>
      <c r="I212" t="s">
        <v>479</v>
      </c>
      <c r="J212">
        <v>0</v>
      </c>
      <c r="K212">
        <f t="shared" ref="K212" si="195">IF(A212&lt;DATEVALUE("2025/11/20")+TIMEVALUE("6:00"),1,IF(OR(B212&lt;&gt;60,SUM(D212:F212)&lt;&gt;0,G212&gt;=IF(A212&lt;DATEVALUE("2025/12/28")+TIMEVALUE("6:00"),20,18)/24/60),0,2-INT(G212*24*60/10)))</f>
        <v>1</v>
      </c>
      <c r="L212">
        <f t="shared" ref="L212" si="196">L211+K212</f>
        <v>252</v>
      </c>
      <c r="M212">
        <f t="shared" ref="M212" si="197">2+IF(A212&gt;=DATEVALUE("2025/11/30")+TIMEVALUE("6:00"),1,0)+IF(A212&gt;=DATEVALUE("2025/12/11")+TIMEVALUE("6:00"),1,0)</f>
        <v>4</v>
      </c>
      <c r="N212">
        <f t="shared" ref="N212" si="198">N211+M212*(INT(A212-6/24)-INT(A211-6/24))+O212</f>
        <v>252</v>
      </c>
      <c r="O212">
        <f t="shared" si="192"/>
        <v>0</v>
      </c>
      <c r="P212" t="str">
        <f t="shared" ref="P212" si="199">IF(L212&lt;N212,"未達成（"&amp;N212-L212&amp;"）",IF(L212=N212,"達成","前倒し（"&amp;L212-N212&amp;"）"))</f>
        <v>達成</v>
      </c>
      <c r="Q212">
        <f t="shared" ref="Q212" si="200">IF(B212="",NA(),G212)</f>
        <v>8.078703707724344E-3</v>
      </c>
    </row>
    <row r="213" spans="1:17">
      <c r="A213" s="3">
        <v>46043.2815625</v>
      </c>
      <c r="B213">
        <v>60</v>
      </c>
      <c r="C213">
        <v>11</v>
      </c>
      <c r="D213">
        <v>0</v>
      </c>
      <c r="E213">
        <v>0</v>
      </c>
      <c r="F213">
        <v>0</v>
      </c>
      <c r="G213" s="5">
        <v>5.543981482333038E-3</v>
      </c>
      <c r="H213" t="s">
        <v>480</v>
      </c>
      <c r="I213" t="s">
        <v>481</v>
      </c>
      <c r="J213">
        <v>0</v>
      </c>
      <c r="K213">
        <f t="shared" ref="K213" si="201">IF(A213&lt;DATEVALUE("2025/11/20")+TIMEVALUE("6:00"),1,IF(OR(B213&lt;&gt;60,SUM(D213:F213)&lt;&gt;0,G213&gt;=IF(A213&lt;DATEVALUE("2025/12/28")+TIMEVALUE("6:00"),20,18)/24/60),0,2-INT(G213*24*60/10)))</f>
        <v>2</v>
      </c>
      <c r="L213">
        <f t="shared" ref="L213" si="202">L212+K213</f>
        <v>254</v>
      </c>
      <c r="M213">
        <f t="shared" ref="M213" si="203">2+IF(A213&gt;=DATEVALUE("2025/11/30")+TIMEVALUE("6:00"),1,0)+IF(A213&gt;=DATEVALUE("2025/12/11")+TIMEVALUE("6:00"),1,0)</f>
        <v>4</v>
      </c>
      <c r="N213">
        <f t="shared" ref="N213" si="204">N212+M213*(INT(A213-6/24)-INT(A212-6/24))+O213</f>
        <v>256</v>
      </c>
      <c r="O213">
        <f t="shared" si="192"/>
        <v>0</v>
      </c>
      <c r="P213" t="str">
        <f t="shared" ref="P213" si="205">IF(L213&lt;N213,"未達成（"&amp;N213-L213&amp;"）",IF(L213=N213,"達成","前倒し（"&amp;L213-N213&amp;"）"))</f>
        <v>未達成（2）</v>
      </c>
      <c r="Q213">
        <f t="shared" ref="Q213" si="206">IF(B213="",NA(),G213)</f>
        <v>5.543981482333038E-3</v>
      </c>
    </row>
    <row r="214" spans="1:17">
      <c r="A214" s="3">
        <v>46043.290497685186</v>
      </c>
      <c r="B214">
        <v>60</v>
      </c>
      <c r="C214">
        <v>20</v>
      </c>
      <c r="D214">
        <v>0</v>
      </c>
      <c r="E214">
        <v>0</v>
      </c>
      <c r="F214">
        <v>0</v>
      </c>
      <c r="G214" s="5">
        <v>5.3587962975143455E-3</v>
      </c>
      <c r="H214" t="s">
        <v>482</v>
      </c>
      <c r="I214" t="s">
        <v>483</v>
      </c>
      <c r="J214">
        <v>0</v>
      </c>
      <c r="K214">
        <f t="shared" ref="K214" si="207">IF(A214&lt;DATEVALUE("2025/11/20")+TIMEVALUE("6:00"),1,IF(OR(B214&lt;&gt;60,SUM(D214:F214)&lt;&gt;0,G214&gt;=IF(A214&lt;DATEVALUE("2025/12/28")+TIMEVALUE("6:00"),20,18)/24/60),0,2-INT(G214*24*60/10)))</f>
        <v>2</v>
      </c>
      <c r="L214">
        <f t="shared" ref="L214" si="208">L213+K214</f>
        <v>256</v>
      </c>
      <c r="M214">
        <f t="shared" ref="M214" si="209">2+IF(A214&gt;=DATEVALUE("2025/11/30")+TIMEVALUE("6:00"),1,0)+IF(A214&gt;=DATEVALUE("2025/12/11")+TIMEVALUE("6:00"),1,0)</f>
        <v>4</v>
      </c>
      <c r="N214">
        <f t="shared" ref="N214" si="210">N213+M214*(INT(A214-6/24)-INT(A213-6/24))+O214</f>
        <v>256</v>
      </c>
      <c r="O214">
        <f t="shared" si="192"/>
        <v>0</v>
      </c>
      <c r="P214" t="str">
        <f t="shared" ref="P214" si="211">IF(L214&lt;N214,"未達成（"&amp;N214-L214&amp;"）",IF(L214=N214,"達成","前倒し（"&amp;L214-N214&amp;"）"))</f>
        <v>達成</v>
      </c>
      <c r="Q214">
        <f t="shared" ref="Q214" si="212">IF(B214="",NA(),G214)</f>
        <v>5.3587962975143455E-3</v>
      </c>
    </row>
    <row r="215" spans="1:17">
      <c r="A215" s="3">
        <v>46044.307569444441</v>
      </c>
      <c r="G215" s="5">
        <v>2.1296296254149638E-3</v>
      </c>
      <c r="H215" t="s">
        <v>484</v>
      </c>
      <c r="I215" t="s">
        <v>511</v>
      </c>
      <c r="J215">
        <v>1</v>
      </c>
      <c r="K215">
        <f t="shared" ref="K215" si="213">IF(A215&lt;DATEVALUE("2025/11/20")+TIMEVALUE("6:00"),1,IF(OR(B215&lt;&gt;60,SUM(D215:F215)&lt;&gt;0,G215&gt;=IF(A215&lt;DATEVALUE("2025/12/28")+TIMEVALUE("6:00"),20,18)/24/60),0,2-INT(G215*24*60/10)))</f>
        <v>0</v>
      </c>
      <c r="L215">
        <f t="shared" ref="L215" si="214">L214+K215</f>
        <v>256</v>
      </c>
      <c r="M215">
        <f t="shared" ref="M215" si="215">2+IF(A215&gt;=DATEVALUE("2025/11/30")+TIMEVALUE("6:00"),1,0)+IF(A215&gt;=DATEVALUE("2025/12/11")+TIMEVALUE("6:00"),1,0)</f>
        <v>4</v>
      </c>
      <c r="N215">
        <f t="shared" ref="N215" si="216">N214+M215*(INT(A215-6/24)-INT(A214-6/24))+O215</f>
        <v>263</v>
      </c>
      <c r="O215">
        <f t="shared" si="192"/>
        <v>3</v>
      </c>
      <c r="P215" t="str">
        <f t="shared" ref="P215" si="217">IF(L215&lt;N215,"未達成（"&amp;N215-L215&amp;"）",IF(L215=N215,"達成","前倒し（"&amp;L215-N215&amp;"）"))</f>
        <v>未達成（7）</v>
      </c>
      <c r="Q215" t="e">
        <f t="shared" ref="Q215" si="218">IF(B215="",NA(),G215)</f>
        <v>#N/A</v>
      </c>
    </row>
    <row r="216" spans="1:17">
      <c r="A216" s="3">
        <v>46044.649062500001</v>
      </c>
      <c r="G216" s="5">
        <v>3.1712962954770774E-3</v>
      </c>
      <c r="H216" t="s">
        <v>484</v>
      </c>
      <c r="I216" t="s">
        <v>511</v>
      </c>
      <c r="J216">
        <v>1</v>
      </c>
      <c r="K216">
        <f t="shared" ref="K216" si="219">IF(A216&lt;DATEVALUE("2025/11/20")+TIMEVALUE("6:00"),1,IF(OR(B216&lt;&gt;60,SUM(D216:F216)&lt;&gt;0,G216&gt;=IF(A216&lt;DATEVALUE("2025/12/28")+TIMEVALUE("6:00"),20,18)/24/60),0,2-INT(G216*24*60/10)))</f>
        <v>0</v>
      </c>
      <c r="L216">
        <f t="shared" ref="L216" si="220">L215+K216</f>
        <v>256</v>
      </c>
      <c r="M216">
        <f t="shared" ref="M216" si="221">2+IF(A216&gt;=DATEVALUE("2025/11/30")+TIMEVALUE("6:00"),1,0)+IF(A216&gt;=DATEVALUE("2025/12/11")+TIMEVALUE("6:00"),1,0)</f>
        <v>4</v>
      </c>
      <c r="N216">
        <f t="shared" ref="N216" si="222">N215+M216*(INT(A216-6/24)-INT(A215-6/24))+O216</f>
        <v>263</v>
      </c>
      <c r="O216">
        <f t="shared" si="192"/>
        <v>0</v>
      </c>
      <c r="P216" t="str">
        <f t="shared" ref="P216" si="223">IF(L216&lt;N216,"未達成（"&amp;N216-L216&amp;"）",IF(L216=N216,"達成","前倒し（"&amp;L216-N216&amp;"）"))</f>
        <v>未達成（7）</v>
      </c>
      <c r="Q216" t="e">
        <f t="shared" ref="Q216" si="224">IF(B216="",NA(),G216)</f>
        <v>#N/A</v>
      </c>
    </row>
    <row r="217" spans="1:17">
      <c r="A217" s="3">
        <v>46044.657546296294</v>
      </c>
      <c r="B217">
        <v>60</v>
      </c>
      <c r="C217">
        <v>14</v>
      </c>
      <c r="D217">
        <v>0</v>
      </c>
      <c r="E217">
        <v>0</v>
      </c>
      <c r="F217">
        <v>0</v>
      </c>
      <c r="G217" s="5">
        <v>9.0393518476048484E-3</v>
      </c>
      <c r="H217" t="s">
        <v>486</v>
      </c>
      <c r="I217" t="s">
        <v>485</v>
      </c>
      <c r="J217">
        <v>0</v>
      </c>
      <c r="K217">
        <f t="shared" ref="K217" si="225">IF(A217&lt;DATEVALUE("2025/11/20")+TIMEVALUE("6:00"),1,IF(OR(B217&lt;&gt;60,SUM(D217:F217)&lt;&gt;0,G217&gt;=IF(A217&lt;DATEVALUE("2025/12/28")+TIMEVALUE("6:00"),20,18)/24/60),0,2-INT(G217*24*60/10)))</f>
        <v>1</v>
      </c>
      <c r="L217">
        <f t="shared" ref="L217" si="226">L216+K217</f>
        <v>257</v>
      </c>
      <c r="M217">
        <f t="shared" ref="M217" si="227">2+IF(A217&gt;=DATEVALUE("2025/11/30")+TIMEVALUE("6:00"),1,0)+IF(A217&gt;=DATEVALUE("2025/12/11")+TIMEVALUE("6:00"),1,0)</f>
        <v>4</v>
      </c>
      <c r="N217">
        <f t="shared" ref="N217" si="228">N216+M217*(INT(A217-6/24)-INT(A216-6/24))+O217</f>
        <v>263</v>
      </c>
      <c r="O217">
        <f t="shared" si="192"/>
        <v>0</v>
      </c>
      <c r="P217" t="str">
        <f t="shared" ref="P217" si="229">IF(L217&lt;N217,"未達成（"&amp;N217-L217&amp;"）",IF(L217=N217,"達成","前倒し（"&amp;L217-N217&amp;"）"))</f>
        <v>未達成（6）</v>
      </c>
      <c r="Q217">
        <f t="shared" ref="Q217" si="230">IF(B217="",NA(),G217)</f>
        <v>9.0393518476048484E-3</v>
      </c>
    </row>
    <row r="218" spans="1:17">
      <c r="A218" s="3">
        <v>46044.672025462962</v>
      </c>
      <c r="B218">
        <v>60</v>
      </c>
      <c r="C218">
        <v>37</v>
      </c>
      <c r="D218">
        <v>0</v>
      </c>
      <c r="E218">
        <v>0</v>
      </c>
      <c r="F218">
        <v>0</v>
      </c>
      <c r="G218" s="5">
        <v>5.6249999979627319E-3</v>
      </c>
      <c r="H218" t="s">
        <v>488</v>
      </c>
      <c r="I218" t="s">
        <v>489</v>
      </c>
      <c r="J218">
        <v>0</v>
      </c>
      <c r="K218">
        <f t="shared" ref="K218" si="231">IF(A218&lt;DATEVALUE("2025/11/20")+TIMEVALUE("6:00"),1,IF(OR(B218&lt;&gt;60,SUM(D218:F218)&lt;&gt;0,G218&gt;=IF(A218&lt;DATEVALUE("2025/12/28")+TIMEVALUE("6:00"),20,18)/24/60),0,2-INT(G218*24*60/10)))</f>
        <v>2</v>
      </c>
      <c r="L218">
        <f t="shared" ref="L218" si="232">L217+K218</f>
        <v>259</v>
      </c>
      <c r="M218">
        <f t="shared" ref="M218" si="233">2+IF(A218&gt;=DATEVALUE("2025/11/30")+TIMEVALUE("6:00"),1,0)+IF(A218&gt;=DATEVALUE("2025/12/11")+TIMEVALUE("6:00"),1,0)</f>
        <v>4</v>
      </c>
      <c r="N218">
        <f t="shared" ref="N218" si="234">N217+M218*(INT(A218-6/24)-INT(A217-6/24))+O218</f>
        <v>263</v>
      </c>
      <c r="O218">
        <f t="shared" ref="O218" si="235">IF(A218&gt;=DATEVALUE("2025/11/8")+TIMEVALUE("6:00"),1,0)-IF(A217&gt;=DATEVALUE("2025/11/8")+TIMEVALUE("6:00"),1,0)
+IF(A218&gt;=DATEVALUE("2026/1/22")+TIMEVALUE("6:00"),3,0)-IF(A217&gt;=DATEVALUE("2026/1/22")+TIMEVALUE("6:00"),3,0)</f>
        <v>0</v>
      </c>
      <c r="P218" t="str">
        <f t="shared" ref="P218" si="236">IF(L218&lt;N218,"未達成（"&amp;N218-L218&amp;"）",IF(L218=N218,"達成","前倒し（"&amp;L218-N218&amp;"）"))</f>
        <v>未達成（4）</v>
      </c>
      <c r="Q218">
        <f t="shared" ref="Q218" si="237">IF(B218="",NA(),G218)</f>
        <v>5.6249999979627319E-3</v>
      </c>
    </row>
    <row r="219" spans="1:17">
      <c r="A219" s="3">
        <v>46044.679849537039</v>
      </c>
      <c r="B219">
        <v>60</v>
      </c>
      <c r="C219">
        <v>10</v>
      </c>
      <c r="D219">
        <v>0</v>
      </c>
      <c r="E219">
        <v>0</v>
      </c>
      <c r="F219">
        <v>0</v>
      </c>
      <c r="G219" s="5">
        <v>6.8518518528435379E-3</v>
      </c>
      <c r="H219" t="s">
        <v>490</v>
      </c>
      <c r="I219" t="s">
        <v>491</v>
      </c>
      <c r="J219">
        <v>0</v>
      </c>
      <c r="K219">
        <f t="shared" ref="K219" si="238">IF(A219&lt;DATEVALUE("2025/11/20")+TIMEVALUE("6:00"),1,IF(OR(B219&lt;&gt;60,SUM(D219:F219)&lt;&gt;0,G219&gt;=IF(A219&lt;DATEVALUE("2025/12/28")+TIMEVALUE("6:00"),20,18)/24/60),0,2-INT(G219*24*60/10)))</f>
        <v>2</v>
      </c>
      <c r="L219">
        <f t="shared" ref="L219" si="239">L218+K219</f>
        <v>261</v>
      </c>
      <c r="M219">
        <f t="shared" ref="M219" si="240">2+IF(A219&gt;=DATEVALUE("2025/11/30")+TIMEVALUE("6:00"),1,0)+IF(A219&gt;=DATEVALUE("2025/12/11")+TIMEVALUE("6:00"),1,0)</f>
        <v>4</v>
      </c>
      <c r="N219">
        <f t="shared" ref="N219" si="241">N218+M219*(INT(A219-6/24)-INT(A218-6/24))+O219</f>
        <v>263</v>
      </c>
      <c r="O219">
        <f t="shared" ref="O219" si="242">IF(A219&gt;=DATEVALUE("2025/11/8")+TIMEVALUE("6:00"),1,0)-IF(A218&gt;=DATEVALUE("2025/11/8")+TIMEVALUE("6:00"),1,0)
+IF(A219&gt;=DATEVALUE("2026/1/22")+TIMEVALUE("6:00"),3,0)-IF(A218&gt;=DATEVALUE("2026/1/22")+TIMEVALUE("6:00"),3,0)</f>
        <v>0</v>
      </c>
      <c r="P219" t="str">
        <f t="shared" ref="P219" si="243">IF(L219&lt;N219,"未達成（"&amp;N219-L219&amp;"）",IF(L219=N219,"達成","前倒し（"&amp;L219-N219&amp;"）"))</f>
        <v>未達成（2）</v>
      </c>
      <c r="Q219">
        <f t="shared" ref="Q219" si="244">IF(B219="",NA(),G219)</f>
        <v>6.8518518528435379E-3</v>
      </c>
    </row>
    <row r="220" spans="1:17">
      <c r="A220" s="3">
        <v>46044.687835648147</v>
      </c>
      <c r="B220">
        <v>60</v>
      </c>
      <c r="C220">
        <v>22</v>
      </c>
      <c r="D220">
        <v>0</v>
      </c>
      <c r="E220">
        <v>0</v>
      </c>
      <c r="F220">
        <v>0</v>
      </c>
      <c r="G220" s="5">
        <v>5.0462962972233072E-3</v>
      </c>
      <c r="H220" t="s">
        <v>492</v>
      </c>
      <c r="I220" t="s">
        <v>493</v>
      </c>
      <c r="J220">
        <v>0</v>
      </c>
      <c r="K220">
        <f t="shared" ref="K220" si="245">IF(A220&lt;DATEVALUE("2025/11/20")+TIMEVALUE("6:00"),1,IF(OR(B220&lt;&gt;60,SUM(D220:F220)&lt;&gt;0,G220&gt;=IF(A220&lt;DATEVALUE("2025/12/28")+TIMEVALUE("6:00"),20,18)/24/60),0,2-INT(G220*24*60/10)))</f>
        <v>2</v>
      </c>
      <c r="L220">
        <f t="shared" ref="L220" si="246">L219+K220</f>
        <v>263</v>
      </c>
      <c r="M220">
        <f t="shared" ref="M220" si="247">2+IF(A220&gt;=DATEVALUE("2025/11/30")+TIMEVALUE("6:00"),1,0)+IF(A220&gt;=DATEVALUE("2025/12/11")+TIMEVALUE("6:00"),1,0)</f>
        <v>4</v>
      </c>
      <c r="N220">
        <f t="shared" ref="N220" si="248">N219+M220*(INT(A220-6/24)-INT(A219-6/24))+O220</f>
        <v>263</v>
      </c>
      <c r="O220">
        <f t="shared" ref="O220" si="249">IF(A220&gt;=DATEVALUE("2025/11/8")+TIMEVALUE("6:00"),1,0)-IF(A219&gt;=DATEVALUE("2025/11/8")+TIMEVALUE("6:00"),1,0)
+IF(A220&gt;=DATEVALUE("2026/1/22")+TIMEVALUE("6:00"),3,0)-IF(A219&gt;=DATEVALUE("2026/1/22")+TIMEVALUE("6:00"),3,0)</f>
        <v>0</v>
      </c>
      <c r="P220" t="str">
        <f t="shared" ref="P220" si="250">IF(L220&lt;N220,"未達成（"&amp;N220-L220&amp;"）",IF(L220=N220,"達成","前倒し（"&amp;L220-N220&amp;"）"))</f>
        <v>達成</v>
      </c>
      <c r="Q220">
        <f t="shared" ref="Q220" si="251">IF(B220="",NA(),G220)</f>
        <v>5.0462962972233072E-3</v>
      </c>
    </row>
    <row r="221" spans="1:17">
      <c r="A221" s="3">
        <v>46045.316851851851</v>
      </c>
      <c r="B221">
        <v>60</v>
      </c>
      <c r="C221">
        <v>24</v>
      </c>
      <c r="D221">
        <v>0</v>
      </c>
      <c r="E221">
        <v>0</v>
      </c>
      <c r="F221">
        <v>0</v>
      </c>
      <c r="G221" s="5">
        <v>6.7476851836545393E-3</v>
      </c>
      <c r="H221" t="s">
        <v>494</v>
      </c>
      <c r="I221" t="s">
        <v>495</v>
      </c>
      <c r="J221">
        <v>0</v>
      </c>
      <c r="K221">
        <f t="shared" ref="K221" si="252">IF(A221&lt;DATEVALUE("2025/11/20")+TIMEVALUE("6:00"),1,IF(OR(B221&lt;&gt;60,SUM(D221:F221)&lt;&gt;0,G221&gt;=IF(A221&lt;DATEVALUE("2025/12/28")+TIMEVALUE("6:00"),20,18)/24/60),0,2-INT(G221*24*60/10)))</f>
        <v>2</v>
      </c>
      <c r="L221">
        <f t="shared" ref="L221" si="253">L220+K221</f>
        <v>265</v>
      </c>
      <c r="M221">
        <f t="shared" ref="M221" si="254">2+IF(A221&gt;=DATEVALUE("2025/11/30")+TIMEVALUE("6:00"),1,0)+IF(A221&gt;=DATEVALUE("2025/12/11")+TIMEVALUE("6:00"),1,0)</f>
        <v>4</v>
      </c>
      <c r="N221">
        <f t="shared" ref="N221" si="255">N220+M221*(INT(A221-6/24)-INT(A220-6/24))+O221</f>
        <v>267</v>
      </c>
      <c r="O221">
        <f t="shared" ref="O221" si="256">IF(A221&gt;=DATEVALUE("2025/11/8")+TIMEVALUE("6:00"),1,0)-IF(A220&gt;=DATEVALUE("2025/11/8")+TIMEVALUE("6:00"),1,0)
+IF(A221&gt;=DATEVALUE("2026/1/22")+TIMEVALUE("6:00"),3,0)-IF(A220&gt;=DATEVALUE("2026/1/22")+TIMEVALUE("6:00"),3,0)</f>
        <v>0</v>
      </c>
      <c r="P221" t="str">
        <f t="shared" ref="P221" si="257">IF(L221&lt;N221,"未達成（"&amp;N221-L221&amp;"）",IF(L221=N221,"達成","前倒し（"&amp;L221-N221&amp;"）"))</f>
        <v>未達成（2）</v>
      </c>
      <c r="Q221">
        <f t="shared" ref="Q221" si="258">IF(B221="",NA(),G221)</f>
        <v>6.7476851836545393E-3</v>
      </c>
    </row>
    <row r="222" spans="1:17">
      <c r="A222" s="3">
        <v>46045.732557870368</v>
      </c>
      <c r="B222">
        <v>60</v>
      </c>
      <c r="C222">
        <v>2</v>
      </c>
      <c r="D222">
        <v>0</v>
      </c>
      <c r="E222">
        <v>0</v>
      </c>
      <c r="F222">
        <v>0</v>
      </c>
      <c r="G222" s="5">
        <v>4.4791666659875773E-3</v>
      </c>
      <c r="H222" t="s">
        <v>496</v>
      </c>
      <c r="I222" t="s">
        <v>497</v>
      </c>
      <c r="J222">
        <v>0</v>
      </c>
      <c r="K222">
        <f t="shared" ref="K222" si="259">IF(A222&lt;DATEVALUE("2025/11/20")+TIMEVALUE("6:00"),1,IF(OR(B222&lt;&gt;60,SUM(D222:F222)&lt;&gt;0,G222&gt;=IF(A222&lt;DATEVALUE("2025/12/28")+TIMEVALUE("6:00"),20,18)/24/60),0,2-INT(G222*24*60/10)))</f>
        <v>2</v>
      </c>
      <c r="L222">
        <f t="shared" ref="L222" si="260">L221+K222</f>
        <v>267</v>
      </c>
      <c r="M222">
        <f t="shared" ref="M222" si="261">2+IF(A222&gt;=DATEVALUE("2025/11/30")+TIMEVALUE("6:00"),1,0)+IF(A222&gt;=DATEVALUE("2025/12/11")+TIMEVALUE("6:00"),1,0)</f>
        <v>4</v>
      </c>
      <c r="N222">
        <f t="shared" ref="N222" si="262">N221+M222*(INT(A222-6/24)-INT(A221-6/24))+O222</f>
        <v>267</v>
      </c>
      <c r="O222">
        <f t="shared" ref="O222" si="263">IF(A222&gt;=DATEVALUE("2025/11/8")+TIMEVALUE("6:00"),1,0)-IF(A221&gt;=DATEVALUE("2025/11/8")+TIMEVALUE("6:00"),1,0)
+IF(A222&gt;=DATEVALUE("2026/1/22")+TIMEVALUE("6:00"),3,0)-IF(A221&gt;=DATEVALUE("2026/1/22")+TIMEVALUE("6:00"),3,0)</f>
        <v>0</v>
      </c>
      <c r="P222" t="str">
        <f t="shared" ref="P222" si="264">IF(L222&lt;N222,"未達成（"&amp;N222-L222&amp;"）",IF(L222=N222,"達成","前倒し（"&amp;L222-N222&amp;"）"))</f>
        <v>達成</v>
      </c>
      <c r="Q222">
        <f t="shared" ref="Q222" si="265">IF(B222="",NA(),G222)</f>
        <v>4.4791666659875773E-3</v>
      </c>
    </row>
    <row r="223" spans="1:17">
      <c r="A223" s="3">
        <v>46046.28696759259</v>
      </c>
      <c r="B223">
        <v>60</v>
      </c>
      <c r="C223">
        <v>12</v>
      </c>
      <c r="D223">
        <v>0</v>
      </c>
      <c r="E223">
        <v>0</v>
      </c>
      <c r="F223">
        <v>0</v>
      </c>
      <c r="G223" s="5">
        <v>7.025462960882578E-3</v>
      </c>
      <c r="H223" t="s">
        <v>498</v>
      </c>
      <c r="I223" t="s">
        <v>499</v>
      </c>
      <c r="J223">
        <v>0</v>
      </c>
      <c r="K223">
        <f t="shared" ref="K223" si="266">IF(A223&lt;DATEVALUE("2025/11/20")+TIMEVALUE("6:00"),1,IF(OR(B223&lt;&gt;60,SUM(D223:F223)&lt;&gt;0,G223&gt;=IF(A223&lt;DATEVALUE("2025/12/28")+TIMEVALUE("6:00"),20,18)/24/60),0,2-INT(G223*24*60/10)))</f>
        <v>1</v>
      </c>
      <c r="L223">
        <f t="shared" ref="L223" si="267">L222+K223</f>
        <v>268</v>
      </c>
      <c r="M223">
        <f t="shared" ref="M223" si="268">2+IF(A223&gt;=DATEVALUE("2025/11/30")+TIMEVALUE("6:00"),1,0)+IF(A223&gt;=DATEVALUE("2025/12/11")+TIMEVALUE("6:00"),1,0)</f>
        <v>4</v>
      </c>
      <c r="N223">
        <f t="shared" ref="N223" si="269">N222+M223*(INT(A223-6/24)-INT(A222-6/24))+O223</f>
        <v>271</v>
      </c>
      <c r="O223">
        <f t="shared" ref="O223" si="270">IF(A223&gt;=DATEVALUE("2025/11/8")+TIMEVALUE("6:00"),1,0)-IF(A222&gt;=DATEVALUE("2025/11/8")+TIMEVALUE("6:00"),1,0)
+IF(A223&gt;=DATEVALUE("2026/1/22")+TIMEVALUE("6:00"),3,0)-IF(A222&gt;=DATEVALUE("2026/1/22")+TIMEVALUE("6:00"),3,0)</f>
        <v>0</v>
      </c>
      <c r="P223" t="str">
        <f t="shared" ref="P223" si="271">IF(L223&lt;N223,"未達成（"&amp;N223-L223&amp;"）",IF(L223=N223,"達成","前倒し（"&amp;L223-N223&amp;"）"))</f>
        <v>未達成（3）</v>
      </c>
      <c r="Q223">
        <f t="shared" ref="Q223" si="272">IF(B223="",NA(),G223)</f>
        <v>7.025462960882578E-3</v>
      </c>
    </row>
    <row r="224" spans="1:17">
      <c r="A224" s="3">
        <v>46046.292986111112</v>
      </c>
      <c r="B224">
        <v>60</v>
      </c>
      <c r="C224">
        <v>16</v>
      </c>
      <c r="D224">
        <v>0</v>
      </c>
      <c r="E224">
        <v>0</v>
      </c>
      <c r="F224">
        <v>0</v>
      </c>
      <c r="G224" s="5">
        <v>4.9768518510973081E-3</v>
      </c>
      <c r="H224" t="s">
        <v>500</v>
      </c>
      <c r="I224" t="s">
        <v>501</v>
      </c>
      <c r="J224">
        <v>0</v>
      </c>
      <c r="K224">
        <f t="shared" ref="K224" si="273">IF(A224&lt;DATEVALUE("2025/11/20")+TIMEVALUE("6:00"),1,IF(OR(B224&lt;&gt;60,SUM(D224:F224)&lt;&gt;0,G224&gt;=IF(A224&lt;DATEVALUE("2025/12/28")+TIMEVALUE("6:00"),20,18)/24/60),0,2-INT(G224*24*60/10)))</f>
        <v>2</v>
      </c>
      <c r="L224">
        <f t="shared" ref="L224" si="274">L223+K224</f>
        <v>270</v>
      </c>
      <c r="M224">
        <f t="shared" ref="M224" si="275">2+IF(A224&gt;=DATEVALUE("2025/11/30")+TIMEVALUE("6:00"),1,0)+IF(A224&gt;=DATEVALUE("2025/12/11")+TIMEVALUE("6:00"),1,0)</f>
        <v>4</v>
      </c>
      <c r="N224">
        <f t="shared" ref="N224" si="276">N223+M224*(INT(A224-6/24)-INT(A223-6/24))+O224</f>
        <v>271</v>
      </c>
      <c r="O224">
        <f t="shared" ref="O224" si="277">IF(A224&gt;=DATEVALUE("2025/11/8")+TIMEVALUE("6:00"),1,0)-IF(A223&gt;=DATEVALUE("2025/11/8")+TIMEVALUE("6:00"),1,0)
+IF(A224&gt;=DATEVALUE("2026/1/22")+TIMEVALUE("6:00"),3,0)-IF(A223&gt;=DATEVALUE("2026/1/22")+TIMEVALUE("6:00"),3,0)</f>
        <v>0</v>
      </c>
      <c r="P224" t="str">
        <f t="shared" ref="P224" si="278">IF(L224&lt;N224,"未達成（"&amp;N224-L224&amp;"）",IF(L224=N224,"達成","前倒し（"&amp;L224-N224&amp;"）"))</f>
        <v>未達成（1）</v>
      </c>
      <c r="Q224">
        <f t="shared" ref="Q224" si="279">IF(B224="",NA(),G224)</f>
        <v>4.9768518510973081E-3</v>
      </c>
    </row>
    <row r="225" spans="1:17">
      <c r="A225" s="3">
        <v>46046.301990740743</v>
      </c>
      <c r="B225">
        <v>60</v>
      </c>
      <c r="C225">
        <v>13</v>
      </c>
      <c r="D225">
        <v>0</v>
      </c>
      <c r="E225">
        <v>0</v>
      </c>
      <c r="F225">
        <v>0</v>
      </c>
      <c r="G225" s="5">
        <v>7.2106481529772282E-3</v>
      </c>
      <c r="H225" t="s">
        <v>502</v>
      </c>
      <c r="I225" t="s">
        <v>503</v>
      </c>
      <c r="J225">
        <v>0</v>
      </c>
      <c r="K225">
        <f t="shared" ref="K225" si="280">IF(A225&lt;DATEVALUE("2025/11/20")+TIMEVALUE("6:00"),1,IF(OR(B225&lt;&gt;60,SUM(D225:F225)&lt;&gt;0,G225&gt;=IF(A225&lt;DATEVALUE("2025/12/28")+TIMEVALUE("6:00"),20,18)/24/60),0,2-INT(G225*24*60/10)))</f>
        <v>1</v>
      </c>
      <c r="L225">
        <f t="shared" ref="L225" si="281">L224+K225</f>
        <v>271</v>
      </c>
      <c r="M225">
        <f t="shared" ref="M225" si="282">2+IF(A225&gt;=DATEVALUE("2025/11/30")+TIMEVALUE("6:00"),1,0)+IF(A225&gt;=DATEVALUE("2025/12/11")+TIMEVALUE("6:00"),1,0)</f>
        <v>4</v>
      </c>
      <c r="N225">
        <f t="shared" ref="N225" si="283">N224+M225*(INT(A225-6/24)-INT(A224-6/24))+O225</f>
        <v>271</v>
      </c>
      <c r="O225">
        <f t="shared" ref="O225" si="284">IF(A225&gt;=DATEVALUE("2025/11/8")+TIMEVALUE("6:00"),1,0)-IF(A224&gt;=DATEVALUE("2025/11/8")+TIMEVALUE("6:00"),1,0)
+IF(A225&gt;=DATEVALUE("2026/1/22")+TIMEVALUE("6:00"),3,0)-IF(A224&gt;=DATEVALUE("2026/1/22")+TIMEVALUE("6:00"),3,0)</f>
        <v>0</v>
      </c>
      <c r="P225" t="str">
        <f t="shared" ref="P225" si="285">IF(L225&lt;N225,"未達成（"&amp;N225-L225&amp;"）",IF(L225=N225,"達成","前倒し（"&amp;L225-N225&amp;"）"))</f>
        <v>達成</v>
      </c>
      <c r="Q225">
        <f t="shared" ref="Q225" si="286">IF(B225="",NA(),G225)</f>
        <v>7.2106481529772282E-3</v>
      </c>
    </row>
    <row r="226" spans="1:17">
      <c r="A226" s="3">
        <v>46047.293356481481</v>
      </c>
      <c r="B226">
        <v>60</v>
      </c>
      <c r="C226">
        <v>6</v>
      </c>
      <c r="D226">
        <v>0</v>
      </c>
      <c r="E226">
        <v>0</v>
      </c>
      <c r="F226">
        <v>0</v>
      </c>
      <c r="G226" s="5">
        <v>8.6921296315267682E-3</v>
      </c>
      <c r="H226" t="s">
        <v>504</v>
      </c>
      <c r="I226" t="s">
        <v>505</v>
      </c>
      <c r="J226">
        <v>0</v>
      </c>
      <c r="K226">
        <f t="shared" ref="K226" si="287">IF(A226&lt;DATEVALUE("2025/11/20")+TIMEVALUE("6:00"),1,IF(OR(B226&lt;&gt;60,SUM(D226:F226)&lt;&gt;0,G226&gt;=IF(A226&lt;DATEVALUE("2025/12/28")+TIMEVALUE("6:00"),20,18)/24/60),0,2-INT(G226*24*60/10)))</f>
        <v>1</v>
      </c>
      <c r="L226">
        <f t="shared" ref="L226" si="288">L225+K226</f>
        <v>272</v>
      </c>
      <c r="M226">
        <f t="shared" ref="M226" si="289">2+IF(A226&gt;=DATEVALUE("2025/11/30")+TIMEVALUE("6:00"),1,0)+IF(A226&gt;=DATEVALUE("2025/12/11")+TIMEVALUE("6:00"),1,0)</f>
        <v>4</v>
      </c>
      <c r="N226">
        <f t="shared" ref="N226" si="290">N225+M226*(INT(A226-6/24)-INT(A225-6/24))+O226</f>
        <v>275</v>
      </c>
      <c r="O226">
        <f t="shared" ref="O226" si="291">IF(A226&gt;=DATEVALUE("2025/11/8")+TIMEVALUE("6:00"),1,0)-IF(A225&gt;=DATEVALUE("2025/11/8")+TIMEVALUE("6:00"),1,0)
+IF(A226&gt;=DATEVALUE("2026/1/22")+TIMEVALUE("6:00"),3,0)-IF(A225&gt;=DATEVALUE("2026/1/22")+TIMEVALUE("6:00"),3,0)</f>
        <v>0</v>
      </c>
      <c r="P226" t="str">
        <f t="shared" ref="P226" si="292">IF(L226&lt;N226,"未達成（"&amp;N226-L226&amp;"）",IF(L226=N226,"達成","前倒し（"&amp;L226-N226&amp;"）"))</f>
        <v>未達成（3）</v>
      </c>
      <c r="Q226">
        <f t="shared" ref="Q226" si="293">IF(B226="",NA(),G226)</f>
        <v>8.6921296315267682E-3</v>
      </c>
    </row>
    <row r="227" spans="1:17">
      <c r="A227" s="3">
        <v>46047.300312500003</v>
      </c>
      <c r="B227">
        <v>60</v>
      </c>
      <c r="C227">
        <v>12</v>
      </c>
      <c r="D227">
        <v>0</v>
      </c>
      <c r="E227">
        <v>0</v>
      </c>
      <c r="F227">
        <v>0</v>
      </c>
      <c r="G227" s="5">
        <v>6.2731481521041133E-3</v>
      </c>
      <c r="H227" t="s">
        <v>506</v>
      </c>
      <c r="I227" t="s">
        <v>507</v>
      </c>
      <c r="J227">
        <v>0</v>
      </c>
      <c r="K227">
        <f t="shared" ref="K227" si="294">IF(A227&lt;DATEVALUE("2025/11/20")+TIMEVALUE("6:00"),1,IF(OR(B227&lt;&gt;60,SUM(D227:F227)&lt;&gt;0,G227&gt;=IF(A227&lt;DATEVALUE("2025/12/28")+TIMEVALUE("6:00"),20,18)/24/60),0,2-INT(G227*24*60/10)))</f>
        <v>2</v>
      </c>
      <c r="L227">
        <f t="shared" ref="L227" si="295">L226+K227</f>
        <v>274</v>
      </c>
      <c r="M227">
        <f t="shared" ref="M227" si="296">2+IF(A227&gt;=DATEVALUE("2025/11/30")+TIMEVALUE("6:00"),1,0)+IF(A227&gt;=DATEVALUE("2025/12/11")+TIMEVALUE("6:00"),1,0)</f>
        <v>4</v>
      </c>
      <c r="N227">
        <f t="shared" ref="N227" si="297">N226+M227*(INT(A227-6/24)-INT(A226-6/24))+O227</f>
        <v>275</v>
      </c>
      <c r="O227">
        <f t="shared" ref="O227" si="298">IF(A227&gt;=DATEVALUE("2025/11/8")+TIMEVALUE("6:00"),1,0)-IF(A226&gt;=DATEVALUE("2025/11/8")+TIMEVALUE("6:00"),1,0)
+IF(A227&gt;=DATEVALUE("2026/1/22")+TIMEVALUE("6:00"),3,0)-IF(A226&gt;=DATEVALUE("2026/1/22")+TIMEVALUE("6:00"),3,0)</f>
        <v>0</v>
      </c>
      <c r="P227" t="str">
        <f t="shared" ref="P227" si="299">IF(L227&lt;N227,"未達成（"&amp;N227-L227&amp;"）",IF(L227=N227,"達成","前倒し（"&amp;L227-N227&amp;"）"))</f>
        <v>未達成（1）</v>
      </c>
      <c r="Q227">
        <f t="shared" ref="Q227" si="300">IF(B227="",NA(),G227)</f>
        <v>6.2731481521041133E-3</v>
      </c>
    </row>
    <row r="228" spans="1:17">
      <c r="A228" s="3">
        <v>46047.317696759259</v>
      </c>
      <c r="G228" s="5">
        <v>1.6782407401478849E-3</v>
      </c>
      <c r="H228" t="s">
        <v>508</v>
      </c>
      <c r="I228" t="s">
        <v>512</v>
      </c>
      <c r="J228">
        <v>1</v>
      </c>
      <c r="K228">
        <f t="shared" ref="K228" si="301">IF(A228&lt;DATEVALUE("2025/11/20")+TIMEVALUE("6:00"),1,IF(OR(B228&lt;&gt;60,SUM(D228:F228)&lt;&gt;0,G228&gt;=IF(A228&lt;DATEVALUE("2025/12/28")+TIMEVALUE("6:00"),20,18)/24/60),0,2-INT(G228*24*60/10)))</f>
        <v>0</v>
      </c>
      <c r="L228">
        <f t="shared" ref="L228" si="302">L227+K228</f>
        <v>274</v>
      </c>
      <c r="M228">
        <f t="shared" ref="M228" si="303">2+IF(A228&gt;=DATEVALUE("2025/11/30")+TIMEVALUE("6:00"),1,0)+IF(A228&gt;=DATEVALUE("2025/12/11")+TIMEVALUE("6:00"),1,0)</f>
        <v>4</v>
      </c>
      <c r="N228">
        <f t="shared" ref="N228" si="304">N227+M228*(INT(A228-6/24)-INT(A227-6/24))+O228</f>
        <v>275</v>
      </c>
      <c r="O228">
        <f t="shared" ref="O228" si="305">IF(A228&gt;=DATEVALUE("2025/11/8")+TIMEVALUE("6:00"),1,0)-IF(A227&gt;=DATEVALUE("2025/11/8")+TIMEVALUE("6:00"),1,0)
+IF(A228&gt;=DATEVALUE("2026/1/22")+TIMEVALUE("6:00"),3,0)-IF(A227&gt;=DATEVALUE("2026/1/22")+TIMEVALUE("6:00"),3,0)</f>
        <v>0</v>
      </c>
      <c r="P228" t="str">
        <f t="shared" ref="P228" si="306">IF(L228&lt;N228,"未達成（"&amp;N228-L228&amp;"）",IF(L228=N228,"達成","前倒し（"&amp;L228-N228&amp;"）"))</f>
        <v>未達成（1）</v>
      </c>
      <c r="Q228" t="e">
        <f t="shared" ref="Q228" si="307">IF(B228="",NA(),G228)</f>
        <v>#N/A</v>
      </c>
    </row>
    <row r="229" spans="1:17">
      <c r="A229" s="3">
        <v>46047.469687500001</v>
      </c>
      <c r="B229">
        <v>60</v>
      </c>
      <c r="C229">
        <v>9</v>
      </c>
      <c r="D229">
        <v>0</v>
      </c>
      <c r="E229">
        <v>0</v>
      </c>
      <c r="F229">
        <v>0</v>
      </c>
      <c r="G229" s="5">
        <v>7.2685185223235749E-3</v>
      </c>
      <c r="H229" t="s">
        <v>513</v>
      </c>
      <c r="I229" t="s">
        <v>509</v>
      </c>
      <c r="J229">
        <v>0</v>
      </c>
      <c r="K229">
        <f t="shared" ref="K229" si="308">IF(A229&lt;DATEVALUE("2025/11/20")+TIMEVALUE("6:00"),1,IF(OR(B229&lt;&gt;60,SUM(D229:F229)&lt;&gt;0,G229&gt;=IF(A229&lt;DATEVALUE("2025/12/28")+TIMEVALUE("6:00"),20,18)/24/60),0,2-INT(G229*24*60/10)))</f>
        <v>1</v>
      </c>
      <c r="L229">
        <f t="shared" ref="L229" si="309">L228+K229</f>
        <v>275</v>
      </c>
      <c r="M229">
        <f t="shared" ref="M229" si="310">2+IF(A229&gt;=DATEVALUE("2025/11/30")+TIMEVALUE("6:00"),1,0)+IF(A229&gt;=DATEVALUE("2025/12/11")+TIMEVALUE("6:00"),1,0)</f>
        <v>4</v>
      </c>
      <c r="N229">
        <f t="shared" ref="N229" si="311">N228+M229*(INT(A229-6/24)-INT(A228-6/24))+O229</f>
        <v>275</v>
      </c>
      <c r="O229">
        <f t="shared" ref="O229" si="312">IF(A229&gt;=DATEVALUE("2025/11/8")+TIMEVALUE("6:00"),1,0)-IF(A228&gt;=DATEVALUE("2025/11/8")+TIMEVALUE("6:00"),1,0)
+IF(A229&gt;=DATEVALUE("2026/1/22")+TIMEVALUE("6:00"),3,0)-IF(A228&gt;=DATEVALUE("2026/1/22")+TIMEVALUE("6:00"),3,0)</f>
        <v>0</v>
      </c>
      <c r="P229" t="str">
        <f t="shared" ref="P229" si="313">IF(L229&lt;N229,"未達成（"&amp;N229-L229&amp;"）",IF(L229=N229,"達成","前倒し（"&amp;L229-N229&amp;"）"))</f>
        <v>達成</v>
      </c>
      <c r="Q229">
        <f t="shared" ref="Q229" si="314">IF(B229="",NA(),G229)</f>
        <v>7.2685185223235749E-3</v>
      </c>
    </row>
    <row r="230" spans="1:17">
      <c r="A230" s="3">
        <v>46048.302210648151</v>
      </c>
      <c r="B230">
        <v>60</v>
      </c>
      <c r="C230">
        <v>20</v>
      </c>
      <c r="D230">
        <v>0</v>
      </c>
      <c r="E230">
        <v>0</v>
      </c>
      <c r="F230">
        <v>0</v>
      </c>
      <c r="G230" s="5">
        <v>8.8773148163454607E-3</v>
      </c>
      <c r="H230" t="s">
        <v>514</v>
      </c>
      <c r="I230" t="s">
        <v>515</v>
      </c>
      <c r="J230">
        <v>0</v>
      </c>
      <c r="K230">
        <f t="shared" ref="K230" si="315">IF(A230&lt;DATEVALUE("2025/11/20")+TIMEVALUE("6:00"),1,IF(OR(B230&lt;&gt;60,SUM(D230:F230)&lt;&gt;0,G230&gt;=IF(A230&lt;DATEVALUE("2025/12/28")+TIMEVALUE("6:00"),20,18)/24/60),0,2-INT(G230*24*60/10)))</f>
        <v>1</v>
      </c>
      <c r="L230">
        <f t="shared" ref="L230" si="316">L229+K230</f>
        <v>276</v>
      </c>
      <c r="M230">
        <f t="shared" ref="M230" si="317">2+IF(A230&gt;=DATEVALUE("2025/11/30")+TIMEVALUE("6:00"),1,0)+IF(A230&gt;=DATEVALUE("2025/12/11")+TIMEVALUE("6:00"),1,0)</f>
        <v>4</v>
      </c>
      <c r="N230">
        <f t="shared" ref="N230" si="318">N229+M230*(INT(A230-6/24)-INT(A229-6/24))+O230</f>
        <v>279</v>
      </c>
      <c r="O230">
        <f t="shared" ref="O230" si="319">IF(A230&gt;=DATEVALUE("2025/11/8")+TIMEVALUE("6:00"),1,0)-IF(A229&gt;=DATEVALUE("2025/11/8")+TIMEVALUE("6:00"),1,0)
+IF(A230&gt;=DATEVALUE("2026/1/22")+TIMEVALUE("6:00"),3,0)-IF(A229&gt;=DATEVALUE("2026/1/22")+TIMEVALUE("6:00"),3,0)</f>
        <v>0</v>
      </c>
      <c r="P230" t="str">
        <f t="shared" ref="P230" si="320">IF(L230&lt;N230,"未達成（"&amp;N230-L230&amp;"）",IF(L230=N230,"達成","前倒し（"&amp;L230-N230&amp;"）"))</f>
        <v>未達成（3）</v>
      </c>
      <c r="Q230">
        <f t="shared" ref="Q230" si="321">IF(B230="",NA(),G230)</f>
        <v>8.8773148163454607E-3</v>
      </c>
    </row>
    <row r="231" spans="1:17">
      <c r="A231" s="3">
        <v>46048.309108796297</v>
      </c>
      <c r="B231">
        <v>60</v>
      </c>
      <c r="C231">
        <v>23</v>
      </c>
      <c r="D231">
        <v>0</v>
      </c>
      <c r="E231">
        <v>0</v>
      </c>
      <c r="F231">
        <v>0</v>
      </c>
      <c r="G231" s="5">
        <v>6.3425925909541547E-3</v>
      </c>
      <c r="H231" t="s">
        <v>516</v>
      </c>
      <c r="I231" t="s">
        <v>517</v>
      </c>
      <c r="J231">
        <v>0</v>
      </c>
      <c r="K231">
        <f t="shared" ref="K231" si="322">IF(A231&lt;DATEVALUE("2025/11/20")+TIMEVALUE("6:00"),1,IF(OR(B231&lt;&gt;60,SUM(D231:F231)&lt;&gt;0,G231&gt;=IF(A231&lt;DATEVALUE("2025/12/28")+TIMEVALUE("6:00"),20,18)/24/60),0,2-INT(G231*24*60/10)))</f>
        <v>2</v>
      </c>
      <c r="L231">
        <f t="shared" ref="L231" si="323">L230+K231</f>
        <v>278</v>
      </c>
      <c r="M231">
        <f t="shared" ref="M231" si="324">2+IF(A231&gt;=DATEVALUE("2025/11/30")+TIMEVALUE("6:00"),1,0)+IF(A231&gt;=DATEVALUE("2025/12/11")+TIMEVALUE("6:00"),1,0)</f>
        <v>4</v>
      </c>
      <c r="N231">
        <f t="shared" ref="N231" si="325">N230+M231*(INT(A231-6/24)-INT(A230-6/24))+O231</f>
        <v>279</v>
      </c>
      <c r="O231">
        <f t="shared" ref="O231" si="326">IF(A231&gt;=DATEVALUE("2025/11/8")+TIMEVALUE("6:00"),1,0)-IF(A230&gt;=DATEVALUE("2025/11/8")+TIMEVALUE("6:00"),1,0)
+IF(A231&gt;=DATEVALUE("2026/1/22")+TIMEVALUE("6:00"),3,0)-IF(A230&gt;=DATEVALUE("2026/1/22")+TIMEVALUE("6:00"),3,0)</f>
        <v>0</v>
      </c>
      <c r="P231" t="str">
        <f t="shared" ref="P231" si="327">IF(L231&lt;N231,"未達成（"&amp;N231-L231&amp;"）",IF(L231=N231,"達成","前倒し（"&amp;L231-N231&amp;"）"))</f>
        <v>未達成（1）</v>
      </c>
      <c r="Q231">
        <f t="shared" ref="Q231" si="328">IF(B231="",NA(),G231)</f>
        <v>6.3425925909541547E-3</v>
      </c>
    </row>
    <row r="232" spans="1:17">
      <c r="A232" s="3">
        <v>46048.314803240741</v>
      </c>
      <c r="B232">
        <v>60</v>
      </c>
      <c r="C232">
        <v>11</v>
      </c>
      <c r="D232">
        <v>0</v>
      </c>
      <c r="E232">
        <v>0</v>
      </c>
      <c r="F232">
        <v>0</v>
      </c>
      <c r="G232" s="5">
        <v>4.7337962969322689E-3</v>
      </c>
      <c r="H232" t="s">
        <v>518</v>
      </c>
      <c r="I232" t="s">
        <v>519</v>
      </c>
      <c r="J232">
        <v>0</v>
      </c>
      <c r="K232">
        <f t="shared" ref="K232" si="329">IF(A232&lt;DATEVALUE("2025/11/20")+TIMEVALUE("6:00"),1,IF(OR(B232&lt;&gt;60,SUM(D232:F232)&lt;&gt;0,G232&gt;=IF(A232&lt;DATEVALUE("2025/12/28")+TIMEVALUE("6:00"),20,18)/24/60),0,2-INT(G232*24*60/10)))</f>
        <v>2</v>
      </c>
      <c r="L232">
        <f t="shared" ref="L232" si="330">L231+K232</f>
        <v>280</v>
      </c>
      <c r="M232">
        <f t="shared" ref="M232" si="331">2+IF(A232&gt;=DATEVALUE("2025/11/30")+TIMEVALUE("6:00"),1,0)+IF(A232&gt;=DATEVALUE("2025/12/11")+TIMEVALUE("6:00"),1,0)</f>
        <v>4</v>
      </c>
      <c r="N232">
        <f t="shared" ref="N232" si="332">N231+M232*(INT(A232-6/24)-INT(A231-6/24))+O232</f>
        <v>279</v>
      </c>
      <c r="O232">
        <f t="shared" ref="O232" si="333">IF(A232&gt;=DATEVALUE("2025/11/8")+TIMEVALUE("6:00"),1,0)-IF(A231&gt;=DATEVALUE("2025/11/8")+TIMEVALUE("6:00"),1,0)
+IF(A232&gt;=DATEVALUE("2026/1/22")+TIMEVALUE("6:00"),3,0)-IF(A231&gt;=DATEVALUE("2026/1/22")+TIMEVALUE("6:00"),3,0)</f>
        <v>0</v>
      </c>
      <c r="P232" t="str">
        <f t="shared" ref="P232" si="334">IF(L232&lt;N232,"未達成（"&amp;N232-L232&amp;"）",IF(L232=N232,"達成","前倒し（"&amp;L232-N232&amp;"）"))</f>
        <v>前倒し（1）</v>
      </c>
      <c r="Q232">
        <f t="shared" ref="Q232" si="335">IF(B232="",NA(),G232)</f>
        <v>4.7337962969322689E-3</v>
      </c>
    </row>
    <row r="233" spans="1:17">
      <c r="A233" s="3">
        <v>46049.283483796295</v>
      </c>
      <c r="B233">
        <v>60</v>
      </c>
      <c r="C233">
        <v>15</v>
      </c>
      <c r="D233">
        <v>0</v>
      </c>
      <c r="E233">
        <v>0</v>
      </c>
      <c r="F233">
        <v>0</v>
      </c>
      <c r="G233" s="5">
        <v>5.3819444437976927E-3</v>
      </c>
      <c r="H233" t="s">
        <v>520</v>
      </c>
      <c r="I233" t="s">
        <v>521</v>
      </c>
      <c r="J233">
        <v>0</v>
      </c>
      <c r="K233">
        <f t="shared" ref="K233" si="336">IF(A233&lt;DATEVALUE("2025/11/20")+TIMEVALUE("6:00"),1,IF(OR(B233&lt;&gt;60,SUM(D233:F233)&lt;&gt;0,G233&gt;=IF(A233&lt;DATEVALUE("2025/12/28")+TIMEVALUE("6:00"),20,18)/24/60),0,2-INT(G233*24*60/10)))</f>
        <v>2</v>
      </c>
      <c r="L233">
        <f t="shared" ref="L233" si="337">L232+K233</f>
        <v>282</v>
      </c>
      <c r="M233">
        <f t="shared" ref="M233" si="338">2+IF(A233&gt;=DATEVALUE("2025/11/30")+TIMEVALUE("6:00"),1,0)+IF(A233&gt;=DATEVALUE("2025/12/11")+TIMEVALUE("6:00"),1,0)</f>
        <v>4</v>
      </c>
      <c r="N233">
        <f t="shared" ref="N233" si="339">N232+M233*(INT(A233-6/24)-INT(A232-6/24))+O233</f>
        <v>283</v>
      </c>
      <c r="O233">
        <f t="shared" ref="O233" si="340">IF(A233&gt;=DATEVALUE("2025/11/8")+TIMEVALUE("6:00"),1,0)-IF(A232&gt;=DATEVALUE("2025/11/8")+TIMEVALUE("6:00"),1,0)
+IF(A233&gt;=DATEVALUE("2026/1/22")+TIMEVALUE("6:00"),3,0)-IF(A232&gt;=DATEVALUE("2026/1/22")+TIMEVALUE("6:00"),3,0)</f>
        <v>0</v>
      </c>
      <c r="P233" t="str">
        <f t="shared" ref="P233" si="341">IF(L233&lt;N233,"未達成（"&amp;N233-L233&amp;"）",IF(L233=N233,"達成","前倒し（"&amp;L233-N233&amp;"）"))</f>
        <v>未達成（1）</v>
      </c>
      <c r="Q233">
        <f t="shared" ref="Q233" si="342">IF(B233="",NA(),G233)</f>
        <v>5.3819444437976927E-3</v>
      </c>
    </row>
    <row r="234" spans="1:17">
      <c r="A234" s="3">
        <v>46049.293564814812</v>
      </c>
      <c r="B234">
        <v>60</v>
      </c>
      <c r="C234">
        <v>14</v>
      </c>
      <c r="D234">
        <v>0</v>
      </c>
      <c r="E234">
        <v>0</v>
      </c>
      <c r="F234">
        <v>0</v>
      </c>
      <c r="G234" s="5">
        <v>9.0393518476048484E-3</v>
      </c>
      <c r="H234" t="s">
        <v>522</v>
      </c>
      <c r="I234" t="s">
        <v>523</v>
      </c>
      <c r="J234">
        <v>0</v>
      </c>
      <c r="K234">
        <f t="shared" ref="K234" si="343">IF(A234&lt;DATEVALUE("2025/11/20")+TIMEVALUE("6:00"),1,IF(OR(B234&lt;&gt;60,SUM(D234:F234)&lt;&gt;0,G234&gt;=IF(A234&lt;DATEVALUE("2025/12/28")+TIMEVALUE("6:00"),20,18)/24/60),0,2-INT(G234*24*60/10)))</f>
        <v>1</v>
      </c>
      <c r="L234">
        <f t="shared" ref="L234" si="344">L233+K234</f>
        <v>283</v>
      </c>
      <c r="M234">
        <f t="shared" ref="M234" si="345">2+IF(A234&gt;=DATEVALUE("2025/11/30")+TIMEVALUE("6:00"),1,0)+IF(A234&gt;=DATEVALUE("2025/12/11")+TIMEVALUE("6:00"),1,0)</f>
        <v>4</v>
      </c>
      <c r="N234">
        <f t="shared" ref="N234" si="346">N233+M234*(INT(A234-6/24)-INT(A233-6/24))+O234</f>
        <v>283</v>
      </c>
      <c r="O234">
        <f t="shared" ref="O234" si="347">IF(A234&gt;=DATEVALUE("2025/11/8")+TIMEVALUE("6:00"),1,0)-IF(A233&gt;=DATEVALUE("2025/11/8")+TIMEVALUE("6:00"),1,0)
+IF(A234&gt;=DATEVALUE("2026/1/22")+TIMEVALUE("6:00"),3,0)-IF(A233&gt;=DATEVALUE("2026/1/22")+TIMEVALUE("6:00"),3,0)</f>
        <v>0</v>
      </c>
      <c r="P234" t="str">
        <f t="shared" ref="P234" si="348">IF(L234&lt;N234,"未達成（"&amp;N234-L234&amp;"）",IF(L234=N234,"達成","前倒し（"&amp;L234-N234&amp;"）"))</f>
        <v>達成</v>
      </c>
      <c r="Q234">
        <f t="shared" ref="Q234" si="349">IF(B234="",NA(),G234)</f>
        <v>9.0393518476048484E-3</v>
      </c>
    </row>
    <row r="235" spans="1:17">
      <c r="A235" s="3">
        <v>46050.283703703702</v>
      </c>
      <c r="B235">
        <v>60</v>
      </c>
      <c r="C235">
        <v>24</v>
      </c>
      <c r="D235">
        <v>0</v>
      </c>
      <c r="E235">
        <v>0</v>
      </c>
      <c r="F235">
        <v>0</v>
      </c>
      <c r="G235" s="5">
        <v>8.3796296312357299E-3</v>
      </c>
      <c r="H235" t="s">
        <v>524</v>
      </c>
      <c r="I235" t="s">
        <v>525</v>
      </c>
      <c r="J235">
        <v>0</v>
      </c>
      <c r="K235">
        <f t="shared" ref="K235" si="350">IF(A235&lt;DATEVALUE("2025/11/20")+TIMEVALUE("6:00"),1,IF(OR(B235&lt;&gt;60,SUM(D235:F235)&lt;&gt;0,G235&gt;=IF(A235&lt;DATEVALUE("2025/12/28")+TIMEVALUE("6:00"),20,18)/24/60),0,2-INT(G235*24*60/10)))</f>
        <v>1</v>
      </c>
      <c r="L235">
        <f t="shared" ref="L235" si="351">L234+K235</f>
        <v>284</v>
      </c>
      <c r="M235">
        <f t="shared" ref="M235" si="352">2+IF(A235&gt;=DATEVALUE("2025/11/30")+TIMEVALUE("6:00"),1,0)+IF(A235&gt;=DATEVALUE("2025/12/11")+TIMEVALUE("6:00"),1,0)</f>
        <v>4</v>
      </c>
      <c r="N235">
        <f t="shared" ref="N235" si="353">N234+M235*(INT(A235-6/24)-INT(A234-6/24))+O235</f>
        <v>287</v>
      </c>
      <c r="O235">
        <f t="shared" ref="O235" si="354">IF(A235&gt;=DATEVALUE("2025/11/8")+TIMEVALUE("6:00"),1,0)-IF(A234&gt;=DATEVALUE("2025/11/8")+TIMEVALUE("6:00"),1,0)
+IF(A235&gt;=DATEVALUE("2026/1/22")+TIMEVALUE("6:00"),3,0)-IF(A234&gt;=DATEVALUE("2026/1/22")+TIMEVALUE("6:00"),3,0)</f>
        <v>0</v>
      </c>
      <c r="P235" t="str">
        <f t="shared" ref="P235" si="355">IF(L235&lt;N235,"未達成（"&amp;N235-L235&amp;"）",IF(L235=N235,"達成","前倒し（"&amp;L235-N235&amp;"）"))</f>
        <v>未達成（3）</v>
      </c>
      <c r="Q235">
        <f t="shared" ref="Q235" si="356">IF(B235="",NA(),G235)</f>
        <v>8.3796296312357299E-3</v>
      </c>
    </row>
    <row r="236" spans="1:17">
      <c r="A236" s="3">
        <v>46050.293333333335</v>
      </c>
      <c r="B236">
        <v>50</v>
      </c>
      <c r="C236">
        <v>2</v>
      </c>
      <c r="D236">
        <v>0</v>
      </c>
      <c r="E236">
        <v>10</v>
      </c>
      <c r="F236">
        <v>0</v>
      </c>
      <c r="G236" s="5">
        <v>8.3564814849523827E-3</v>
      </c>
      <c r="H236" t="s">
        <v>526</v>
      </c>
      <c r="I236" t="s">
        <v>527</v>
      </c>
      <c r="J236">
        <v>0</v>
      </c>
      <c r="K236">
        <f t="shared" ref="K236" si="357">IF(A236&lt;DATEVALUE("2025/11/20")+TIMEVALUE("6:00"),1,IF(OR(B236&lt;&gt;60,SUM(D236:F236)&lt;&gt;0,G236&gt;=IF(A236&lt;DATEVALUE("2025/12/28")+TIMEVALUE("6:00"),20,18)/24/60),0,2-INT(G236*24*60/10)))</f>
        <v>0</v>
      </c>
      <c r="L236">
        <f t="shared" ref="L236" si="358">L235+K236</f>
        <v>284</v>
      </c>
      <c r="M236">
        <f t="shared" ref="M236" si="359">2+IF(A236&gt;=DATEVALUE("2025/11/30")+TIMEVALUE("6:00"),1,0)+IF(A236&gt;=DATEVALUE("2025/12/11")+TIMEVALUE("6:00"),1,0)</f>
        <v>4</v>
      </c>
      <c r="N236">
        <f t="shared" ref="N236" si="360">N235+M236*(INT(A236-6/24)-INT(A235-6/24))+O236</f>
        <v>287</v>
      </c>
      <c r="O236">
        <f t="shared" ref="O236" si="361">IF(A236&gt;=DATEVALUE("2025/11/8")+TIMEVALUE("6:00"),1,0)-IF(A235&gt;=DATEVALUE("2025/11/8")+TIMEVALUE("6:00"),1,0)
+IF(A236&gt;=DATEVALUE("2026/1/22")+TIMEVALUE("6:00"),3,0)-IF(A235&gt;=DATEVALUE("2026/1/22")+TIMEVALUE("6:00"),3,0)</f>
        <v>0</v>
      </c>
      <c r="P236" t="str">
        <f t="shared" ref="P236" si="362">IF(L236&lt;N236,"未達成（"&amp;N236-L236&amp;"）",IF(L236=N236,"達成","前倒し（"&amp;L236-N236&amp;"）"))</f>
        <v>未達成（3）</v>
      </c>
      <c r="Q236">
        <f t="shared" ref="Q236" si="363">IF(B236="",NA(),G236)</f>
        <v>8.3564814849523827E-3</v>
      </c>
    </row>
    <row r="237" spans="1:17">
      <c r="A237" s="3">
        <v>46050.305752314816</v>
      </c>
      <c r="B237">
        <v>60</v>
      </c>
      <c r="C237">
        <v>0</v>
      </c>
      <c r="D237">
        <v>0</v>
      </c>
      <c r="E237">
        <v>0</v>
      </c>
      <c r="F237">
        <v>0</v>
      </c>
      <c r="G237" s="5">
        <v>1.1747685188311152E-2</v>
      </c>
      <c r="H237" t="s">
        <v>528</v>
      </c>
      <c r="I237" t="s">
        <v>529</v>
      </c>
      <c r="J237">
        <v>0</v>
      </c>
      <c r="K237">
        <f t="shared" ref="K237" si="364">IF(A237&lt;DATEVALUE("2025/11/20")+TIMEVALUE("6:00"),1,IF(OR(B237&lt;&gt;60,SUM(D237:F237)&lt;&gt;0,G237&gt;=IF(A237&lt;DATEVALUE("2025/12/28")+TIMEVALUE("6:00"),20,18)/24/60),0,2-INT(G237*24*60/10)))</f>
        <v>1</v>
      </c>
      <c r="L237">
        <f t="shared" ref="L237" si="365">L236+K237</f>
        <v>285</v>
      </c>
      <c r="M237">
        <f t="shared" ref="M237" si="366">2+IF(A237&gt;=DATEVALUE("2025/11/30")+TIMEVALUE("6:00"),1,0)+IF(A237&gt;=DATEVALUE("2025/12/11")+TIMEVALUE("6:00"),1,0)</f>
        <v>4</v>
      </c>
      <c r="N237">
        <f t="shared" ref="N237" si="367">N236+M237*(INT(A237-6/24)-INT(A236-6/24))+O237</f>
        <v>287</v>
      </c>
      <c r="O237">
        <f t="shared" ref="O237" si="368">IF(A237&gt;=DATEVALUE("2025/11/8")+TIMEVALUE("6:00"),1,0)-IF(A236&gt;=DATEVALUE("2025/11/8")+TIMEVALUE("6:00"),1,0)
+IF(A237&gt;=DATEVALUE("2026/1/22")+TIMEVALUE("6:00"),3,0)-IF(A236&gt;=DATEVALUE("2026/1/22")+TIMEVALUE("6:00"),3,0)</f>
        <v>0</v>
      </c>
      <c r="P237" t="str">
        <f t="shared" ref="P237" si="369">IF(L237&lt;N237,"未達成（"&amp;N237-L237&amp;"）",IF(L237=N237,"達成","前倒し（"&amp;L237-N237&amp;"）"))</f>
        <v>未達成（2）</v>
      </c>
      <c r="Q237">
        <f t="shared" ref="Q237" si="370">IF(B237="",NA(),G237)</f>
        <v>1.1747685188311152E-2</v>
      </c>
    </row>
    <row r="238" spans="1:17">
      <c r="A238" s="3">
        <v>46050.313449074078</v>
      </c>
      <c r="B238">
        <v>55</v>
      </c>
      <c r="C238">
        <v>7</v>
      </c>
      <c r="D238">
        <v>0</v>
      </c>
      <c r="E238">
        <v>5</v>
      </c>
      <c r="F238">
        <v>0</v>
      </c>
      <c r="G238" s="5">
        <v>7.1412037068512291E-3</v>
      </c>
      <c r="H238" t="s">
        <v>530</v>
      </c>
      <c r="I238" t="s">
        <v>531</v>
      </c>
      <c r="J238">
        <v>0</v>
      </c>
      <c r="K238">
        <f t="shared" ref="K238" si="371">IF(A238&lt;DATEVALUE("2025/11/20")+TIMEVALUE("6:00"),1,IF(OR(B238&lt;&gt;60,SUM(D238:F238)&lt;&gt;0,G238&gt;=IF(A238&lt;DATEVALUE("2025/12/28")+TIMEVALUE("6:00"),20,18)/24/60),0,2-INT(G238*24*60/10)))</f>
        <v>0</v>
      </c>
      <c r="L238">
        <f t="shared" ref="L238" si="372">L237+K238</f>
        <v>285</v>
      </c>
      <c r="M238">
        <f t="shared" ref="M238" si="373">2+IF(A238&gt;=DATEVALUE("2025/11/30")+TIMEVALUE("6:00"),1,0)+IF(A238&gt;=DATEVALUE("2025/12/11")+TIMEVALUE("6:00"),1,0)</f>
        <v>4</v>
      </c>
      <c r="N238">
        <f t="shared" ref="N238" si="374">N237+M238*(INT(A238-6/24)-INT(A237-6/24))+O238</f>
        <v>287</v>
      </c>
      <c r="O238">
        <f t="shared" ref="O238" si="375">IF(A238&gt;=DATEVALUE("2025/11/8")+TIMEVALUE("6:00"),1,0)-IF(A237&gt;=DATEVALUE("2025/11/8")+TIMEVALUE("6:00"),1,0)
+IF(A238&gt;=DATEVALUE("2026/1/22")+TIMEVALUE("6:00"),3,0)-IF(A237&gt;=DATEVALUE("2026/1/22")+TIMEVALUE("6:00"),3,0)</f>
        <v>0</v>
      </c>
      <c r="P238" t="str">
        <f t="shared" ref="P238" si="376">IF(L238&lt;N238,"未達成（"&amp;N238-L238&amp;"）",IF(L238=N238,"達成","前倒し（"&amp;L238-N238&amp;"）"))</f>
        <v>未達成（2）</v>
      </c>
      <c r="Q238">
        <f t="shared" ref="Q238" si="377">IF(B238="",NA(),G238)</f>
        <v>7.1412037068512291E-3</v>
      </c>
    </row>
    <row r="239" spans="1:17">
      <c r="A239" s="3">
        <v>46050.319131944445</v>
      </c>
      <c r="B239">
        <v>60</v>
      </c>
      <c r="C239">
        <v>9</v>
      </c>
      <c r="D239">
        <v>0</v>
      </c>
      <c r="E239">
        <v>0</v>
      </c>
      <c r="F239">
        <v>0</v>
      </c>
      <c r="G239" s="5">
        <v>5.2314814820419997E-3</v>
      </c>
      <c r="H239" t="s">
        <v>532</v>
      </c>
      <c r="I239" t="s">
        <v>533</v>
      </c>
      <c r="J239">
        <v>0</v>
      </c>
      <c r="K239">
        <f t="shared" ref="K239" si="378">IF(A239&lt;DATEVALUE("2025/11/20")+TIMEVALUE("6:00"),1,IF(OR(B239&lt;&gt;60,SUM(D239:F239)&lt;&gt;0,G239&gt;=IF(A239&lt;DATEVALUE("2025/12/28")+TIMEVALUE("6:00"),20,18)/24/60),0,2-INT(G239*24*60/10)))</f>
        <v>2</v>
      </c>
      <c r="L239">
        <f t="shared" ref="L239" si="379">L238+K239</f>
        <v>287</v>
      </c>
      <c r="M239">
        <f t="shared" ref="M239" si="380">2+IF(A239&gt;=DATEVALUE("2025/11/30")+TIMEVALUE("6:00"),1,0)+IF(A239&gt;=DATEVALUE("2025/12/11")+TIMEVALUE("6:00"),1,0)</f>
        <v>4</v>
      </c>
      <c r="N239">
        <f t="shared" ref="N239" si="381">N238+M239*(INT(A239-6/24)-INT(A238-6/24))+O239</f>
        <v>287</v>
      </c>
      <c r="O239">
        <f t="shared" ref="O239" si="382">IF(A239&gt;=DATEVALUE("2025/11/8")+TIMEVALUE("6:00"),1,0)-IF(A238&gt;=DATEVALUE("2025/11/8")+TIMEVALUE("6:00"),1,0)
+IF(A239&gt;=DATEVALUE("2026/1/22")+TIMEVALUE("6:00"),3,0)-IF(A238&gt;=DATEVALUE("2026/1/22")+TIMEVALUE("6:00"),3,0)</f>
        <v>0</v>
      </c>
      <c r="P239" t="str">
        <f t="shared" ref="P239" si="383">IF(L239&lt;N239,"未達成（"&amp;N239-L239&amp;"）",IF(L239=N239,"達成","前倒し（"&amp;L239-N239&amp;"）"))</f>
        <v>達成</v>
      </c>
      <c r="Q239">
        <f t="shared" ref="Q239" si="384">IF(B239="",NA(),G239)</f>
        <v>5.2314814820419997E-3</v>
      </c>
    </row>
    <row r="240" spans="1:17">
      <c r="A240" s="3">
        <v>46051.269594907404</v>
      </c>
      <c r="B240">
        <v>60</v>
      </c>
      <c r="C240">
        <v>13</v>
      </c>
      <c r="D240">
        <v>0</v>
      </c>
      <c r="E240">
        <v>0</v>
      </c>
      <c r="F240">
        <v>0</v>
      </c>
      <c r="G240" s="5">
        <v>9.0393518476048484E-3</v>
      </c>
      <c r="H240" t="s">
        <v>534</v>
      </c>
      <c r="I240" t="s">
        <v>535</v>
      </c>
      <c r="J240">
        <v>0</v>
      </c>
      <c r="K240">
        <f t="shared" ref="K240" si="385">IF(A240&lt;DATEVALUE("2025/11/20")+TIMEVALUE("6:00"),1,IF(OR(B240&lt;&gt;60,SUM(D240:F240)&lt;&gt;0,G240&gt;=IF(A240&lt;DATEVALUE("2025/12/28")+TIMEVALUE("6:00"),20,18)/24/60),0,2-INT(G240*24*60/10)))</f>
        <v>1</v>
      </c>
      <c r="L240">
        <f t="shared" ref="L240" si="386">L239+K240</f>
        <v>288</v>
      </c>
      <c r="M240">
        <f t="shared" ref="M240" si="387">2+IF(A240&gt;=DATEVALUE("2025/11/30")+TIMEVALUE("6:00"),1,0)+IF(A240&gt;=DATEVALUE("2025/12/11")+TIMEVALUE("6:00"),1,0)</f>
        <v>4</v>
      </c>
      <c r="N240">
        <f t="shared" ref="N240" si="388">N239+M240*(INT(A240-6/24)-INT(A239-6/24))+O240</f>
        <v>291</v>
      </c>
      <c r="O240">
        <f t="shared" ref="O240" si="389">IF(A240&gt;=DATEVALUE("2025/11/8")+TIMEVALUE("6:00"),1,0)-IF(A239&gt;=DATEVALUE("2025/11/8")+TIMEVALUE("6:00"),1,0)
+IF(A240&gt;=DATEVALUE("2026/1/22")+TIMEVALUE("6:00"),3,0)-IF(A239&gt;=DATEVALUE("2026/1/22")+TIMEVALUE("6:00"),3,0)</f>
        <v>0</v>
      </c>
      <c r="P240" t="str">
        <f t="shared" ref="P240" si="390">IF(L240&lt;N240,"未達成（"&amp;N240-L240&amp;"）",IF(L240=N240,"達成","前倒し（"&amp;L240-N240&amp;"）"))</f>
        <v>未達成（3）</v>
      </c>
      <c r="Q240">
        <f t="shared" ref="Q240" si="391">IF(B240="",NA(),G240)</f>
        <v>9.0393518476048484E-3</v>
      </c>
    </row>
    <row r="241" spans="1:17">
      <c r="A241" s="3">
        <v>46051.275104166663</v>
      </c>
      <c r="B241">
        <v>60</v>
      </c>
      <c r="C241">
        <v>9</v>
      </c>
      <c r="D241">
        <v>0</v>
      </c>
      <c r="E241">
        <v>0</v>
      </c>
      <c r="F241">
        <v>0</v>
      </c>
      <c r="G241" s="5">
        <v>4.6180555509636179E-3</v>
      </c>
      <c r="H241" t="s">
        <v>536</v>
      </c>
      <c r="I241" t="s">
        <v>537</v>
      </c>
      <c r="J241">
        <v>0</v>
      </c>
      <c r="K241">
        <f t="shared" ref="K241" si="392">IF(A241&lt;DATEVALUE("2025/11/20")+TIMEVALUE("6:00"),1,IF(OR(B241&lt;&gt;60,SUM(D241:F241)&lt;&gt;0,G241&gt;=IF(A241&lt;DATEVALUE("2025/12/28")+TIMEVALUE("6:00"),20,18)/24/60),0,2-INT(G241*24*60/10)))</f>
        <v>2</v>
      </c>
      <c r="L241">
        <f t="shared" ref="L241" si="393">L240+K241</f>
        <v>290</v>
      </c>
      <c r="M241">
        <f t="shared" ref="M241" si="394">2+IF(A241&gt;=DATEVALUE("2025/11/30")+TIMEVALUE("6:00"),1,0)+IF(A241&gt;=DATEVALUE("2025/12/11")+TIMEVALUE("6:00"),1,0)</f>
        <v>4</v>
      </c>
      <c r="N241">
        <f t="shared" ref="N241" si="395">N240+M241*(INT(A241-6/24)-INT(A240-6/24))+O241</f>
        <v>291</v>
      </c>
      <c r="O241">
        <f t="shared" ref="O241" si="396">IF(A241&gt;=DATEVALUE("2025/11/8")+TIMEVALUE("6:00"),1,0)-IF(A240&gt;=DATEVALUE("2025/11/8")+TIMEVALUE("6:00"),1,0)
+IF(A241&gt;=DATEVALUE("2026/1/22")+TIMEVALUE("6:00"),3,0)-IF(A240&gt;=DATEVALUE("2026/1/22")+TIMEVALUE("6:00"),3,0)</f>
        <v>0</v>
      </c>
      <c r="P241" t="str">
        <f t="shared" ref="P241" si="397">IF(L241&lt;N241,"未達成（"&amp;N241-L241&amp;"）",IF(L241=N241,"達成","前倒し（"&amp;L241-N241&amp;"）"))</f>
        <v>未達成（1）</v>
      </c>
      <c r="Q241">
        <f t="shared" ref="Q241" si="398">IF(B241="",NA(),G241)</f>
        <v>4.6180555509636179E-3</v>
      </c>
    </row>
    <row r="242" spans="1:17">
      <c r="A242" s="3">
        <v>46051.281990740739</v>
      </c>
      <c r="B242">
        <v>60</v>
      </c>
      <c r="C242">
        <v>10</v>
      </c>
      <c r="D242">
        <v>0</v>
      </c>
      <c r="E242">
        <v>0</v>
      </c>
      <c r="F242">
        <v>0</v>
      </c>
      <c r="G242" s="5">
        <v>5.6365740747423843E-3</v>
      </c>
      <c r="H242" t="s">
        <v>538</v>
      </c>
      <c r="I242" t="s">
        <v>539</v>
      </c>
      <c r="J242">
        <v>0</v>
      </c>
      <c r="K242">
        <f t="shared" ref="K242" si="399">IF(A242&lt;DATEVALUE("2025/11/20")+TIMEVALUE("6:00"),1,IF(OR(B242&lt;&gt;60,SUM(D242:F242)&lt;&gt;0,G242&gt;=IF(A242&lt;DATEVALUE("2025/12/28")+TIMEVALUE("6:00"),20,18)/24/60),0,2-INT(G242*24*60/10)))</f>
        <v>2</v>
      </c>
      <c r="L242">
        <f t="shared" ref="L242" si="400">L241+K242</f>
        <v>292</v>
      </c>
      <c r="M242">
        <f t="shared" ref="M242" si="401">2+IF(A242&gt;=DATEVALUE("2025/11/30")+TIMEVALUE("6:00"),1,0)+IF(A242&gt;=DATEVALUE("2025/12/11")+TIMEVALUE("6:00"),1,0)</f>
        <v>4</v>
      </c>
      <c r="N242">
        <f t="shared" ref="N242" si="402">N241+M242*(INT(A242-6/24)-INT(A241-6/24))+O242</f>
        <v>291</v>
      </c>
      <c r="O242">
        <f t="shared" ref="O242" si="403">IF(A242&gt;=DATEVALUE("2025/11/8")+TIMEVALUE("6:00"),1,0)-IF(A241&gt;=DATEVALUE("2025/11/8")+TIMEVALUE("6:00"),1,0)
+IF(A242&gt;=DATEVALUE("2026/1/22")+TIMEVALUE("6:00"),3,0)-IF(A241&gt;=DATEVALUE("2026/1/22")+TIMEVALUE("6:00"),3,0)</f>
        <v>0</v>
      </c>
      <c r="P242" t="str">
        <f t="shared" ref="P242" si="404">IF(L242&lt;N242,"未達成（"&amp;N242-L242&amp;"）",IF(L242=N242,"達成","前倒し（"&amp;L242-N242&amp;"）"))</f>
        <v>前倒し（1）</v>
      </c>
      <c r="Q242">
        <f t="shared" ref="Q242" si="405">IF(B242="",NA(),G242)</f>
        <v>5.6365740747423843E-3</v>
      </c>
    </row>
    <row r="243" spans="1:17">
      <c r="A243" s="3">
        <v>46052.310162037036</v>
      </c>
      <c r="B243">
        <v>60</v>
      </c>
      <c r="C243">
        <v>10</v>
      </c>
      <c r="D243">
        <v>0</v>
      </c>
      <c r="E243">
        <v>0</v>
      </c>
      <c r="F243">
        <v>0</v>
      </c>
      <c r="G243" s="5">
        <v>1.2511574073869269E-2</v>
      </c>
      <c r="H243" t="s">
        <v>540</v>
      </c>
      <c r="I243" t="s">
        <v>541</v>
      </c>
      <c r="J243">
        <v>0</v>
      </c>
      <c r="K243">
        <f t="shared" ref="K243" si="406">IF(A243&lt;DATEVALUE("2025/11/20")+TIMEVALUE("6:00"),1,IF(OR(B243&lt;&gt;60,SUM(D243:F243)&lt;&gt;0,G243&gt;=IF(A243&lt;DATEVALUE("2025/12/28")+TIMEVALUE("6:00"),20,18)/24/60),0,2-INT(G243*24*60/10)))</f>
        <v>0</v>
      </c>
      <c r="L243">
        <f t="shared" ref="L243" si="407">L242+K243</f>
        <v>292</v>
      </c>
      <c r="M243">
        <f t="shared" ref="M243" si="408">2+IF(A243&gt;=DATEVALUE("2025/11/30")+TIMEVALUE("6:00"),1,0)+IF(A243&gt;=DATEVALUE("2025/12/11")+TIMEVALUE("6:00"),1,0)</f>
        <v>4</v>
      </c>
      <c r="N243">
        <f t="shared" ref="N243" si="409">N242+M243*(INT(A243-6/24)-INT(A242-6/24))+O243</f>
        <v>295</v>
      </c>
      <c r="O243">
        <f t="shared" ref="O243" si="410">IF(A243&gt;=DATEVALUE("2025/11/8")+TIMEVALUE("6:00"),1,0)-IF(A242&gt;=DATEVALUE("2025/11/8")+TIMEVALUE("6:00"),1,0)
+IF(A243&gt;=DATEVALUE("2026/1/22")+TIMEVALUE("6:00"),3,0)-IF(A242&gt;=DATEVALUE("2026/1/22")+TIMEVALUE("6:00"),3,0)</f>
        <v>0</v>
      </c>
      <c r="P243" t="str">
        <f t="shared" ref="P243" si="411">IF(L243&lt;N243,"未達成（"&amp;N243-L243&amp;"）",IF(L243=N243,"達成","前倒し（"&amp;L243-N243&amp;"）"))</f>
        <v>未達成（3）</v>
      </c>
      <c r="Q243">
        <f t="shared" ref="Q243" si="412">IF(B243="",NA(),G243)</f>
        <v>1.2511574073869269E-2</v>
      </c>
    </row>
    <row r="244" spans="1:17">
      <c r="A244" s="3">
        <v>46052.638495370367</v>
      </c>
      <c r="G244" s="5">
        <v>3.9467592578148469E-3</v>
      </c>
      <c r="H244" t="s">
        <v>542</v>
      </c>
      <c r="I244" t="s">
        <v>544</v>
      </c>
      <c r="J244">
        <v>1</v>
      </c>
      <c r="K244">
        <f t="shared" ref="K244" si="413">IF(A244&lt;DATEVALUE("2025/11/20")+TIMEVALUE("6:00"),1,IF(OR(B244&lt;&gt;60,SUM(D244:F244)&lt;&gt;0,G244&gt;=IF(A244&lt;DATEVALUE("2025/12/28")+TIMEVALUE("6:00"),20,18)/24/60),0,2-INT(G244*24*60/10)))</f>
        <v>0</v>
      </c>
      <c r="L244">
        <f t="shared" ref="L244" si="414">L243+K244</f>
        <v>292</v>
      </c>
      <c r="M244">
        <f t="shared" ref="M244" si="415">2+IF(A244&gt;=DATEVALUE("2025/11/30")+TIMEVALUE("6:00"),1,0)+IF(A244&gt;=DATEVALUE("2025/12/11")+TIMEVALUE("6:00"),1,0)</f>
        <v>4</v>
      </c>
      <c r="N244">
        <f t="shared" ref="N244" si="416">N243+M244*(INT(A244-6/24)-INT(A243-6/24))+O244</f>
        <v>295</v>
      </c>
      <c r="O244">
        <f t="shared" ref="O244" si="417">IF(A244&gt;=DATEVALUE("2025/11/8")+TIMEVALUE("6:00"),1,0)-IF(A243&gt;=DATEVALUE("2025/11/8")+TIMEVALUE("6:00"),1,0)
+IF(A244&gt;=DATEVALUE("2026/1/22")+TIMEVALUE("6:00"),3,0)-IF(A243&gt;=DATEVALUE("2026/1/22")+TIMEVALUE("6:00"),3,0)</f>
        <v>0</v>
      </c>
      <c r="P244" t="str">
        <f t="shared" ref="P244" si="418">IF(L244&lt;N244,"未達成（"&amp;N244-L244&amp;"）",IF(L244=N244,"達成","前倒し（"&amp;L244-N244&amp;"）"))</f>
        <v>未達成（3）</v>
      </c>
      <c r="Q244" t="e">
        <f t="shared" ref="Q244" si="419">IF(B244="",NA(),G244)</f>
        <v>#N/A</v>
      </c>
    </row>
    <row r="245" spans="1:17">
      <c r="A245" s="3">
        <v>46052.645300925928</v>
      </c>
      <c r="B245">
        <v>60</v>
      </c>
      <c r="C245">
        <v>12</v>
      </c>
      <c r="D245">
        <v>0</v>
      </c>
      <c r="E245">
        <v>0</v>
      </c>
      <c r="F245">
        <v>0</v>
      </c>
      <c r="G245" s="5">
        <v>6.1111111135687679E-3</v>
      </c>
      <c r="H245" t="s">
        <v>545</v>
      </c>
      <c r="I245" t="s">
        <v>543</v>
      </c>
      <c r="J245">
        <v>0</v>
      </c>
      <c r="K245">
        <f t="shared" ref="K245" si="420">IF(A245&lt;DATEVALUE("2025/11/20")+TIMEVALUE("6:00"),1,IF(OR(B245&lt;&gt;60,SUM(D245:F245)&lt;&gt;0,G245&gt;=IF(A245&lt;DATEVALUE("2025/12/28")+TIMEVALUE("6:00"),20,18)/24/60),0,2-INT(G245*24*60/10)))</f>
        <v>2</v>
      </c>
      <c r="L245">
        <f t="shared" ref="L245" si="421">L244+K245</f>
        <v>294</v>
      </c>
      <c r="M245">
        <f t="shared" ref="M245" si="422">2+IF(A245&gt;=DATEVALUE("2025/11/30")+TIMEVALUE("6:00"),1,0)+IF(A245&gt;=DATEVALUE("2025/12/11")+TIMEVALUE("6:00"),1,0)</f>
        <v>4</v>
      </c>
      <c r="N245">
        <f t="shared" ref="N245" si="423">N244+M245*(INT(A245-6/24)-INT(A244-6/24))+O245</f>
        <v>295</v>
      </c>
      <c r="O245">
        <f t="shared" ref="O245" si="424">IF(A245&gt;=DATEVALUE("2025/11/8")+TIMEVALUE("6:00"),1,0)-IF(A244&gt;=DATEVALUE("2025/11/8")+TIMEVALUE("6:00"),1,0)
+IF(A245&gt;=DATEVALUE("2026/1/22")+TIMEVALUE("6:00"),3,0)-IF(A244&gt;=DATEVALUE("2026/1/22")+TIMEVALUE("6:00"),3,0)</f>
        <v>0</v>
      </c>
      <c r="P245" t="str">
        <f t="shared" ref="P245" si="425">IF(L245&lt;N245,"未達成（"&amp;N245-L245&amp;"）",IF(L245=N245,"達成","前倒し（"&amp;L245-N245&amp;"）"))</f>
        <v>未達成（1）</v>
      </c>
      <c r="Q245">
        <f t="shared" ref="Q245" si="426">IF(B245="",NA(),G245)</f>
        <v>6.1111111135687679E-3</v>
      </c>
    </row>
    <row r="246" spans="1:17">
      <c r="A246" s="3">
        <v>46052.653009259258</v>
      </c>
      <c r="B246">
        <v>60</v>
      </c>
      <c r="C246">
        <v>18</v>
      </c>
      <c r="D246">
        <v>0</v>
      </c>
      <c r="E246">
        <v>0</v>
      </c>
      <c r="F246">
        <v>0</v>
      </c>
      <c r="G246" s="5">
        <v>6.7824074067175388E-3</v>
      </c>
      <c r="H246" t="s">
        <v>546</v>
      </c>
      <c r="I246" t="s">
        <v>547</v>
      </c>
      <c r="J246">
        <v>0</v>
      </c>
      <c r="K246">
        <f t="shared" ref="K246" si="427">IF(A246&lt;DATEVALUE("2025/11/20")+TIMEVALUE("6:00"),1,IF(OR(B246&lt;&gt;60,SUM(D246:F246)&lt;&gt;0,G246&gt;=IF(A246&lt;DATEVALUE("2025/12/28")+TIMEVALUE("6:00"),20,18)/24/60),0,2-INT(G246*24*60/10)))</f>
        <v>2</v>
      </c>
      <c r="L246">
        <f t="shared" ref="L246" si="428">L245+K246</f>
        <v>296</v>
      </c>
      <c r="M246">
        <f t="shared" ref="M246" si="429">2+IF(A246&gt;=DATEVALUE("2025/11/30")+TIMEVALUE("6:00"),1,0)+IF(A246&gt;=DATEVALUE("2025/12/11")+TIMEVALUE("6:00"),1,0)</f>
        <v>4</v>
      </c>
      <c r="N246">
        <f t="shared" ref="N246" si="430">N245+M246*(INT(A246-6/24)-INT(A245-6/24))+O246</f>
        <v>295</v>
      </c>
      <c r="O246">
        <f t="shared" ref="O246" si="431">IF(A246&gt;=DATEVALUE("2025/11/8")+TIMEVALUE("6:00"),1,0)-IF(A245&gt;=DATEVALUE("2025/11/8")+TIMEVALUE("6:00"),1,0)
+IF(A246&gt;=DATEVALUE("2026/1/22")+TIMEVALUE("6:00"),3,0)-IF(A245&gt;=DATEVALUE("2026/1/22")+TIMEVALUE("6:00"),3,0)</f>
        <v>0</v>
      </c>
      <c r="P246" t="str">
        <f t="shared" ref="P246" si="432">IF(L246&lt;N246,"未達成（"&amp;N246-L246&amp;"）",IF(L246=N246,"達成","前倒し（"&amp;L246-N246&amp;"）"))</f>
        <v>前倒し（1）</v>
      </c>
      <c r="Q246">
        <f t="shared" ref="Q246" si="433">IF(B246="",NA(),G246)</f>
        <v>6.7824074067175388E-3</v>
      </c>
    </row>
    <row r="247" spans="1:17">
      <c r="A247" s="3">
        <v>46053.287557870368</v>
      </c>
      <c r="B247">
        <v>60</v>
      </c>
      <c r="C247">
        <v>14</v>
      </c>
      <c r="D247">
        <v>0</v>
      </c>
      <c r="E247">
        <v>0</v>
      </c>
      <c r="F247">
        <v>0</v>
      </c>
      <c r="G247" s="5">
        <v>6.8402777760638855E-3</v>
      </c>
      <c r="H247" t="s">
        <v>548</v>
      </c>
      <c r="I247" t="s">
        <v>549</v>
      </c>
      <c r="J247">
        <v>0</v>
      </c>
      <c r="K247">
        <f t="shared" ref="K247" si="434">IF(A247&lt;DATEVALUE("2025/11/20")+TIMEVALUE("6:00"),1,IF(OR(B247&lt;&gt;60,SUM(D247:F247)&lt;&gt;0,G247&gt;=IF(A247&lt;DATEVALUE("2025/12/28")+TIMEVALUE("6:00"),20,18)/24/60),0,2-INT(G247*24*60/10)))</f>
        <v>2</v>
      </c>
      <c r="L247">
        <f t="shared" ref="L247" si="435">L246+K247</f>
        <v>298</v>
      </c>
      <c r="M247">
        <f t="shared" ref="M247" si="436">2+IF(A247&gt;=DATEVALUE("2025/11/30")+TIMEVALUE("6:00"),1,0)+IF(A247&gt;=DATEVALUE("2025/12/11")+TIMEVALUE("6:00"),1,0)</f>
        <v>4</v>
      </c>
      <c r="N247">
        <f t="shared" ref="N247" si="437">N246+M247*(INT(A247-6/24)-INT(A246-6/24))+O247</f>
        <v>299</v>
      </c>
      <c r="O247">
        <f t="shared" ref="O247" si="438">IF(A247&gt;=DATEVALUE("2025/11/8")+TIMEVALUE("6:00"),1,0)-IF(A246&gt;=DATEVALUE("2025/11/8")+TIMEVALUE("6:00"),1,0)
+IF(A247&gt;=DATEVALUE("2026/1/22")+TIMEVALUE("6:00"),3,0)-IF(A246&gt;=DATEVALUE("2026/1/22")+TIMEVALUE("6:00"),3,0)</f>
        <v>0</v>
      </c>
      <c r="P247" t="str">
        <f t="shared" ref="P247" si="439">IF(L247&lt;N247,"未達成（"&amp;N247-L247&amp;"）",IF(L247=N247,"達成","前倒し（"&amp;L247-N247&amp;"）"))</f>
        <v>未達成（1）</v>
      </c>
      <c r="Q247">
        <f t="shared" ref="Q247" si="440">IF(B247="",NA(),G247)</f>
        <v>6.8402777760638855E-3</v>
      </c>
    </row>
    <row r="248" spans="1:17">
      <c r="A248" s="3">
        <v>46053.29488425926</v>
      </c>
      <c r="B248">
        <v>60</v>
      </c>
      <c r="C248">
        <v>16</v>
      </c>
      <c r="D248">
        <v>0</v>
      </c>
      <c r="E248">
        <v>0</v>
      </c>
      <c r="F248">
        <v>0</v>
      </c>
      <c r="G248" s="5">
        <v>6.1458333366317675E-3</v>
      </c>
      <c r="H248" t="s">
        <v>550</v>
      </c>
      <c r="I248" t="s">
        <v>551</v>
      </c>
      <c r="J248">
        <v>0</v>
      </c>
      <c r="K248">
        <f t="shared" ref="K248" si="441">IF(A248&lt;DATEVALUE("2025/11/20")+TIMEVALUE("6:00"),1,IF(OR(B248&lt;&gt;60,SUM(D248:F248)&lt;&gt;0,G248&gt;=IF(A248&lt;DATEVALUE("2025/12/28")+TIMEVALUE("6:00"),20,18)/24/60),0,2-INT(G248*24*60/10)))</f>
        <v>2</v>
      </c>
      <c r="L248">
        <f t="shared" ref="L248" si="442">L247+K248</f>
        <v>300</v>
      </c>
      <c r="M248">
        <f t="shared" ref="M248" si="443">2+IF(A248&gt;=DATEVALUE("2025/11/30")+TIMEVALUE("6:00"),1,0)+IF(A248&gt;=DATEVALUE("2025/12/11")+TIMEVALUE("6:00"),1,0)</f>
        <v>4</v>
      </c>
      <c r="N248">
        <f t="shared" ref="N248" si="444">N247+M248*(INT(A248-6/24)-INT(A247-6/24))+O248</f>
        <v>299</v>
      </c>
      <c r="O248">
        <f t="shared" ref="O248" si="445">IF(A248&gt;=DATEVALUE("2025/11/8")+TIMEVALUE("6:00"),1,0)-IF(A247&gt;=DATEVALUE("2025/11/8")+TIMEVALUE("6:00"),1,0)
+IF(A248&gt;=DATEVALUE("2026/1/22")+TIMEVALUE("6:00"),3,0)-IF(A247&gt;=DATEVALUE("2026/1/22")+TIMEVALUE("6:00"),3,0)</f>
        <v>0</v>
      </c>
      <c r="P248" t="str">
        <f t="shared" ref="P248" si="446">IF(L248&lt;N248,"未達成（"&amp;N248-L248&amp;"）",IF(L248=N248,"達成","前倒し（"&amp;L248-N248&amp;"）"))</f>
        <v>前倒し（1）</v>
      </c>
      <c r="Q248">
        <f t="shared" ref="Q248" si="447">IF(B248="",NA(),G248)</f>
        <v>6.1458333366317675E-3</v>
      </c>
    </row>
    <row r="249" spans="1:17">
      <c r="A249" s="3">
        <v>46054.298888888887</v>
      </c>
      <c r="B249">
        <v>60</v>
      </c>
      <c r="C249">
        <v>6</v>
      </c>
      <c r="D249">
        <v>0</v>
      </c>
      <c r="E249">
        <v>0</v>
      </c>
      <c r="F249">
        <v>0</v>
      </c>
      <c r="G249" s="5">
        <v>9.0856481474475004E-3</v>
      </c>
      <c r="H249" t="s">
        <v>552</v>
      </c>
      <c r="I249" t="s">
        <v>553</v>
      </c>
      <c r="J249">
        <v>0</v>
      </c>
      <c r="K249">
        <f t="shared" ref="K249" si="448">IF(A249&lt;DATEVALUE("2025/11/20")+TIMEVALUE("6:00"),1,IF(OR(B249&lt;&gt;60,SUM(D249:F249)&lt;&gt;0,G249&gt;=IF(A249&lt;DATEVALUE("2025/12/28")+TIMEVALUE("6:00"),20,18)/24/60),0,2-INT(G249*24*60/10)))</f>
        <v>1</v>
      </c>
      <c r="L249">
        <f t="shared" ref="L249" si="449">L248+K249</f>
        <v>301</v>
      </c>
      <c r="M249">
        <f t="shared" ref="M249" si="450">2+IF(A249&gt;=DATEVALUE("2025/11/30")+TIMEVALUE("6:00"),1,0)+IF(A249&gt;=DATEVALUE("2025/12/11")+TIMEVALUE("6:00"),1,0)</f>
        <v>4</v>
      </c>
      <c r="N249">
        <f t="shared" ref="N249" si="451">N248+M249*(INT(A249-6/24)-INT(A248-6/24))+O249</f>
        <v>303</v>
      </c>
      <c r="O249">
        <f t="shared" ref="O249" si="452">IF(A249&gt;=DATEVALUE("2025/11/8")+TIMEVALUE("6:00"),1,0)-IF(A248&gt;=DATEVALUE("2025/11/8")+TIMEVALUE("6:00"),1,0)
+IF(A249&gt;=DATEVALUE("2026/1/22")+TIMEVALUE("6:00"),3,0)-IF(A248&gt;=DATEVALUE("2026/1/22")+TIMEVALUE("6:00"),3,0)</f>
        <v>0</v>
      </c>
      <c r="P249" t="str">
        <f t="shared" ref="P249" si="453">IF(L249&lt;N249,"未達成（"&amp;N249-L249&amp;"）",IF(L249=N249,"達成","前倒し（"&amp;L249-N249&amp;"）"))</f>
        <v>未達成（2）</v>
      </c>
      <c r="Q249">
        <f t="shared" ref="Q249" si="454">IF(B249="",NA(),G249)</f>
        <v>9.0856481474475004E-3</v>
      </c>
    </row>
    <row r="250" spans="1:17">
      <c r="A250" s="3">
        <v>46054.306226851855</v>
      </c>
      <c r="B250">
        <v>60</v>
      </c>
      <c r="C250">
        <v>19</v>
      </c>
      <c r="D250">
        <v>0</v>
      </c>
      <c r="E250">
        <v>0</v>
      </c>
      <c r="F250">
        <v>0</v>
      </c>
      <c r="G250" s="5">
        <v>6.3888888907968067E-3</v>
      </c>
      <c r="H250" t="s">
        <v>554</v>
      </c>
      <c r="I250" t="s">
        <v>555</v>
      </c>
      <c r="J250">
        <v>0</v>
      </c>
      <c r="K250">
        <f t="shared" ref="K250" si="455">IF(A250&lt;DATEVALUE("2025/11/20")+TIMEVALUE("6:00"),1,IF(OR(B250&lt;&gt;60,SUM(D250:F250)&lt;&gt;0,G250&gt;=IF(A250&lt;DATEVALUE("2025/12/28")+TIMEVALUE("6:00"),20,18)/24/60),0,2-INT(G250*24*60/10)))</f>
        <v>2</v>
      </c>
      <c r="L250">
        <f t="shared" ref="L250" si="456">L249+K250</f>
        <v>303</v>
      </c>
      <c r="M250">
        <f t="shared" ref="M250" si="457">2+IF(A250&gt;=DATEVALUE("2025/11/30")+TIMEVALUE("6:00"),1,0)+IF(A250&gt;=DATEVALUE("2025/12/11")+TIMEVALUE("6:00"),1,0)</f>
        <v>4</v>
      </c>
      <c r="N250">
        <f t="shared" ref="N250" si="458">N249+M250*(INT(A250-6/24)-INT(A249-6/24))+O250</f>
        <v>303</v>
      </c>
      <c r="O250">
        <f t="shared" ref="O250" si="459">IF(A250&gt;=DATEVALUE("2025/11/8")+TIMEVALUE("6:00"),1,0)-IF(A249&gt;=DATEVALUE("2025/11/8")+TIMEVALUE("6:00"),1,0)
+IF(A250&gt;=DATEVALUE("2026/1/22")+TIMEVALUE("6:00"),3,0)-IF(A249&gt;=DATEVALUE("2026/1/22")+TIMEVALUE("6:00"),3,0)</f>
        <v>0</v>
      </c>
      <c r="P250" t="str">
        <f t="shared" ref="P250" si="460">IF(L250&lt;N250,"未達成（"&amp;N250-L250&amp;"）",IF(L250=N250,"達成","前倒し（"&amp;L250-N250&amp;"）"))</f>
        <v>達成</v>
      </c>
      <c r="Q250">
        <f t="shared" ref="Q250" si="461">IF(B250="",NA(),G250)</f>
        <v>6.3888888907968067E-3</v>
      </c>
    </row>
    <row r="251" spans="1:17">
      <c r="A251" s="3">
        <v>46055.319432870368</v>
      </c>
      <c r="B251">
        <v>60</v>
      </c>
      <c r="C251">
        <v>10</v>
      </c>
      <c r="D251">
        <v>0</v>
      </c>
      <c r="E251">
        <v>0</v>
      </c>
      <c r="F251">
        <v>0</v>
      </c>
      <c r="G251" s="5">
        <v>6.0879629600094631E-3</v>
      </c>
      <c r="H251" t="s">
        <v>556</v>
      </c>
      <c r="I251" t="s">
        <v>557</v>
      </c>
      <c r="J251">
        <v>0</v>
      </c>
      <c r="K251">
        <f t="shared" ref="K251" si="462">IF(A251&lt;DATEVALUE("2025/11/20")+TIMEVALUE("6:00"),1,IF(OR(B251&lt;&gt;60,SUM(D251:F251)&lt;&gt;0,G251&gt;=IF(A251&lt;DATEVALUE("2025/12/28")+TIMEVALUE("6:00"),20,18)/24/60),0,2-INT(G251*24*60/10)))</f>
        <v>2</v>
      </c>
      <c r="L251">
        <f t="shared" ref="L251" si="463">L250+K251</f>
        <v>305</v>
      </c>
      <c r="M251">
        <f t="shared" ref="M251" si="464">2+IF(A251&gt;=DATEVALUE("2025/11/30")+TIMEVALUE("6:00"),1,0)+IF(A251&gt;=DATEVALUE("2025/12/11")+TIMEVALUE("6:00"),1,0)</f>
        <v>4</v>
      </c>
      <c r="N251">
        <f t="shared" ref="N251" si="465">N250+M251*(INT(A251-6/24)-INT(A250-6/24))+O251</f>
        <v>307</v>
      </c>
      <c r="O251">
        <f t="shared" ref="O251" si="466">IF(A251&gt;=DATEVALUE("2025/11/8")+TIMEVALUE("6:00"),1,0)-IF(A250&gt;=DATEVALUE("2025/11/8")+TIMEVALUE("6:00"),1,0)
+IF(A251&gt;=DATEVALUE("2026/1/22")+TIMEVALUE("6:00"),3,0)-IF(A250&gt;=DATEVALUE("2026/1/22")+TIMEVALUE("6:00"),3,0)</f>
        <v>0</v>
      </c>
      <c r="P251" t="str">
        <f t="shared" ref="P251" si="467">IF(L251&lt;N251,"未達成（"&amp;N251-L251&amp;"）",IF(L251=N251,"達成","前倒し（"&amp;L251-N251&amp;"）"))</f>
        <v>未達成（2）</v>
      </c>
      <c r="Q251">
        <f t="shared" ref="Q251" si="468">IF(B251="",NA(),G251)</f>
        <v>6.0879629600094631E-3</v>
      </c>
    </row>
    <row r="252" spans="1:17">
      <c r="A252" s="3">
        <v>46055.418067129627</v>
      </c>
      <c r="G252" s="5">
        <v>4.9768518510973081E-4</v>
      </c>
      <c r="H252" t="s">
        <v>558</v>
      </c>
      <c r="I252" t="s">
        <v>561</v>
      </c>
      <c r="J252">
        <v>1</v>
      </c>
      <c r="K252">
        <f t="shared" ref="K252" si="469">IF(A252&lt;DATEVALUE("2025/11/20")+TIMEVALUE("6:00"),1,IF(OR(B252&lt;&gt;60,SUM(D252:F252)&lt;&gt;0,G252&gt;=IF(A252&lt;DATEVALUE("2025/12/28")+TIMEVALUE("6:00"),20,18)/24/60),0,2-INT(G252*24*60/10)))</f>
        <v>0</v>
      </c>
      <c r="L252">
        <f t="shared" ref="L252" si="470">L251+K252</f>
        <v>305</v>
      </c>
      <c r="M252">
        <f t="shared" ref="M252" si="471">2+IF(A252&gt;=DATEVALUE("2025/11/30")+TIMEVALUE("6:00"),1,0)+IF(A252&gt;=DATEVALUE("2025/12/11")+TIMEVALUE("6:00"),1,0)</f>
        <v>4</v>
      </c>
      <c r="N252">
        <f t="shared" ref="N252" si="472">N251+M252*(INT(A252-6/24)-INT(A251-6/24))+O252</f>
        <v>307</v>
      </c>
      <c r="O252">
        <f t="shared" ref="O252" si="473">IF(A252&gt;=DATEVALUE("2025/11/8")+TIMEVALUE("6:00"),1,0)-IF(A251&gt;=DATEVALUE("2025/11/8")+TIMEVALUE("6:00"),1,0)
+IF(A252&gt;=DATEVALUE("2026/1/22")+TIMEVALUE("6:00"),3,0)-IF(A251&gt;=DATEVALUE("2026/1/22")+TIMEVALUE("6:00"),3,0)</f>
        <v>0</v>
      </c>
      <c r="P252" t="str">
        <f t="shared" ref="P252" si="474">IF(L252&lt;N252,"未達成（"&amp;N252-L252&amp;"）",IF(L252=N252,"達成","前倒し（"&amp;L252-N252&amp;"）"))</f>
        <v>未達成（2）</v>
      </c>
      <c r="Q252" t="e">
        <f t="shared" ref="Q252" si="475">IF(B252="",NA(),G252)</f>
        <v>#N/A</v>
      </c>
    </row>
    <row r="253" spans="1:17">
      <c r="A253" s="3">
        <v>46055.420219907406</v>
      </c>
      <c r="G253" s="5">
        <v>2.3379629637929611E-3</v>
      </c>
      <c r="H253" t="s">
        <v>559</v>
      </c>
      <c r="I253" t="s">
        <v>560</v>
      </c>
      <c r="J253">
        <v>1</v>
      </c>
      <c r="K253">
        <f t="shared" ref="K253" si="476">IF(A253&lt;DATEVALUE("2025/11/20")+TIMEVALUE("6:00"),1,IF(OR(B253&lt;&gt;60,SUM(D253:F253)&lt;&gt;0,G253&gt;=IF(A253&lt;DATEVALUE("2025/12/28")+TIMEVALUE("6:00"),20,18)/24/60),0,2-INT(G253*24*60/10)))</f>
        <v>0</v>
      </c>
      <c r="L253">
        <f t="shared" ref="L253" si="477">L252+K253</f>
        <v>305</v>
      </c>
      <c r="M253">
        <f t="shared" ref="M253" si="478">2+IF(A253&gt;=DATEVALUE("2025/11/30")+TIMEVALUE("6:00"),1,0)+IF(A253&gt;=DATEVALUE("2025/12/11")+TIMEVALUE("6:00"),1,0)</f>
        <v>4</v>
      </c>
      <c r="N253">
        <f t="shared" ref="N253" si="479">N252+M253*(INT(A253-6/24)-INT(A252-6/24))+O253</f>
        <v>307</v>
      </c>
      <c r="O253">
        <f t="shared" ref="O253" si="480">IF(A253&gt;=DATEVALUE("2025/11/8")+TIMEVALUE("6:00"),1,0)-IF(A252&gt;=DATEVALUE("2025/11/8")+TIMEVALUE("6:00"),1,0)
+IF(A253&gt;=DATEVALUE("2026/1/22")+TIMEVALUE("6:00"),3,0)-IF(A252&gt;=DATEVALUE("2026/1/22")+TIMEVALUE("6:00"),3,0)</f>
        <v>0</v>
      </c>
      <c r="P253" t="str">
        <f t="shared" ref="P253" si="481">IF(L253&lt;N253,"未達成（"&amp;N253-L253&amp;"）",IF(L253=N253,"達成","前倒し（"&amp;L253-N253&amp;"）"))</f>
        <v>未達成（2）</v>
      </c>
      <c r="Q253" t="e">
        <f t="shared" ref="Q253" si="482">IF(B253="",NA(),G253)</f>
        <v>#N/A</v>
      </c>
    </row>
    <row r="254" spans="1:17">
      <c r="A254" s="3">
        <v>46055.425706018519</v>
      </c>
      <c r="B254">
        <v>60</v>
      </c>
      <c r="C254">
        <v>14</v>
      </c>
      <c r="D254">
        <v>0</v>
      </c>
      <c r="E254">
        <v>0</v>
      </c>
      <c r="F254">
        <v>0</v>
      </c>
      <c r="G254" s="5">
        <v>6.6203703681821935E-3</v>
      </c>
      <c r="H254" t="s">
        <v>562</v>
      </c>
      <c r="I254" t="s">
        <v>563</v>
      </c>
      <c r="J254">
        <v>0</v>
      </c>
      <c r="K254">
        <f t="shared" ref="K254" si="483">IF(A254&lt;DATEVALUE("2025/11/20")+TIMEVALUE("6:00"),1,IF(OR(B254&lt;&gt;60,SUM(D254:F254)&lt;&gt;0,G254&gt;=IF(A254&lt;DATEVALUE("2025/12/28")+TIMEVALUE("6:00"),20,18)/24/60),0,2-INT(G254*24*60/10)))</f>
        <v>2</v>
      </c>
      <c r="L254">
        <f t="shared" ref="L254" si="484">L253+K254</f>
        <v>307</v>
      </c>
      <c r="M254">
        <f t="shared" ref="M254" si="485">2+IF(A254&gt;=DATEVALUE("2025/11/30")+TIMEVALUE("6:00"),1,0)+IF(A254&gt;=DATEVALUE("2025/12/11")+TIMEVALUE("6:00"),1,0)</f>
        <v>4</v>
      </c>
      <c r="N254">
        <f t="shared" ref="N254" si="486">N253+M254*(INT(A254-6/24)-INT(A253-6/24))+O254</f>
        <v>307</v>
      </c>
      <c r="O254">
        <f t="shared" ref="O254" si="487">IF(A254&gt;=DATEVALUE("2025/11/8")+TIMEVALUE("6:00"),1,0)-IF(A253&gt;=DATEVALUE("2025/11/8")+TIMEVALUE("6:00"),1,0)
+IF(A254&gt;=DATEVALUE("2026/1/22")+TIMEVALUE("6:00"),3,0)-IF(A253&gt;=DATEVALUE("2026/1/22")+TIMEVALUE("6:00"),3,0)</f>
        <v>0</v>
      </c>
      <c r="P254" t="str">
        <f t="shared" ref="P254" si="488">IF(L254&lt;N254,"未達成（"&amp;N254-L254&amp;"）",IF(L254=N254,"達成","前倒し（"&amp;L254-N254&amp;"）"))</f>
        <v>達成</v>
      </c>
      <c r="Q254">
        <f t="shared" ref="Q254" si="489">IF(B254="",NA(),G254)</f>
        <v>6.6203703681821935E-3</v>
      </c>
    </row>
    <row r="255" spans="1:17">
      <c r="A255" s="3">
        <v>46056.293865740743</v>
      </c>
      <c r="B255">
        <v>60</v>
      </c>
      <c r="C255">
        <v>5</v>
      </c>
      <c r="D255">
        <v>0</v>
      </c>
      <c r="E255">
        <v>0</v>
      </c>
      <c r="F255">
        <v>0</v>
      </c>
      <c r="G255" s="5">
        <v>5.8680555594037287E-3</v>
      </c>
      <c r="H255" t="s">
        <v>564</v>
      </c>
      <c r="I255" t="s">
        <v>565</v>
      </c>
      <c r="J255">
        <v>0</v>
      </c>
      <c r="K255">
        <f t="shared" ref="K255" si="490">IF(A255&lt;DATEVALUE("2025/11/20")+TIMEVALUE("6:00"),1,IF(OR(B255&lt;&gt;60,SUM(D255:F255)&lt;&gt;0,G255&gt;=IF(A255&lt;DATEVALUE("2025/12/28")+TIMEVALUE("6:00"),20,18)/24/60),0,2-INT(G255*24*60/10)))</f>
        <v>2</v>
      </c>
      <c r="L255">
        <f t="shared" ref="L255" si="491">L254+K255</f>
        <v>309</v>
      </c>
      <c r="M255">
        <f t="shared" ref="M255" si="492">2+IF(A255&gt;=DATEVALUE("2025/11/30")+TIMEVALUE("6:00"),1,0)+IF(A255&gt;=DATEVALUE("2025/12/11")+TIMEVALUE("6:00"),1,0)</f>
        <v>4</v>
      </c>
      <c r="N255">
        <f t="shared" ref="N255" si="493">N254+M255*(INT(A255-6/24)-INT(A254-6/24))+O255</f>
        <v>311</v>
      </c>
      <c r="O255">
        <f t="shared" ref="O255" si="494">IF(A255&gt;=DATEVALUE("2025/11/8")+TIMEVALUE("6:00"),1,0)-IF(A254&gt;=DATEVALUE("2025/11/8")+TIMEVALUE("6:00"),1,0)
+IF(A255&gt;=DATEVALUE("2026/1/22")+TIMEVALUE("6:00"),3,0)-IF(A254&gt;=DATEVALUE("2026/1/22")+TIMEVALUE("6:00"),3,0)</f>
        <v>0</v>
      </c>
      <c r="P255" t="str">
        <f t="shared" ref="P255" si="495">IF(L255&lt;N255,"未達成（"&amp;N255-L255&amp;"）",IF(L255=N255,"達成","前倒し（"&amp;L255-N255&amp;"）"))</f>
        <v>未達成（2）</v>
      </c>
      <c r="Q255">
        <f t="shared" ref="Q255" si="496">IF(B255="",NA(),G255)</f>
        <v>5.8680555594037287E-3</v>
      </c>
    </row>
    <row r="256" spans="1:17">
      <c r="A256" s="3">
        <v>46056.301400462966</v>
      </c>
      <c r="B256">
        <v>60</v>
      </c>
      <c r="C256">
        <v>32</v>
      </c>
      <c r="D256">
        <v>0</v>
      </c>
      <c r="E256">
        <v>0</v>
      </c>
      <c r="F256">
        <v>0</v>
      </c>
      <c r="G256" s="5">
        <v>6.1574074134114198E-3</v>
      </c>
      <c r="H256" t="s">
        <v>566</v>
      </c>
      <c r="I256" t="s">
        <v>567</v>
      </c>
      <c r="J256">
        <v>0</v>
      </c>
      <c r="K256">
        <f t="shared" ref="K256" si="497">IF(A256&lt;DATEVALUE("2025/11/20")+TIMEVALUE("6:00"),1,IF(OR(B256&lt;&gt;60,SUM(D256:F256)&lt;&gt;0,G256&gt;=IF(A256&lt;DATEVALUE("2025/12/28")+TIMEVALUE("6:00"),20,18)/24/60),0,2-INT(G256*24*60/10)))</f>
        <v>2</v>
      </c>
      <c r="L256">
        <f t="shared" ref="L256" si="498">L255+K256</f>
        <v>311</v>
      </c>
      <c r="M256">
        <f t="shared" ref="M256" si="499">2+IF(A256&gt;=DATEVALUE("2025/11/30")+TIMEVALUE("6:00"),1,0)+IF(A256&gt;=DATEVALUE("2025/12/11")+TIMEVALUE("6:00"),1,0)</f>
        <v>4</v>
      </c>
      <c r="N256">
        <f t="shared" ref="N256" si="500">N255+M256*(INT(A256-6/24)-INT(A255-6/24))+O256</f>
        <v>311</v>
      </c>
      <c r="O256">
        <f t="shared" ref="O256" si="501">IF(A256&gt;=DATEVALUE("2025/11/8")+TIMEVALUE("6:00"),1,0)-IF(A255&gt;=DATEVALUE("2025/11/8")+TIMEVALUE("6:00"),1,0)
+IF(A256&gt;=DATEVALUE("2026/1/22")+TIMEVALUE("6:00"),3,0)-IF(A255&gt;=DATEVALUE("2026/1/22")+TIMEVALUE("6:00"),3,0)</f>
        <v>0</v>
      </c>
      <c r="P256" t="str">
        <f t="shared" ref="P256" si="502">IF(L256&lt;N256,"未達成（"&amp;N256-L256&amp;"）",IF(L256=N256,"達成","前倒し（"&amp;L256-N256&amp;"）"))</f>
        <v>達成</v>
      </c>
      <c r="Q256">
        <f t="shared" ref="Q256" si="503">IF(B256="",NA(),G256)</f>
        <v>6.1574074134114198E-3</v>
      </c>
    </row>
    <row r="257" spans="1:17">
      <c r="A257" s="3">
        <v>46057.297500000001</v>
      </c>
      <c r="B257">
        <v>60</v>
      </c>
      <c r="C257">
        <v>11</v>
      </c>
      <c r="D257">
        <v>0</v>
      </c>
      <c r="E257">
        <v>0</v>
      </c>
      <c r="F257">
        <v>0</v>
      </c>
      <c r="G257" s="5">
        <v>5.7291666671517305E-3</v>
      </c>
      <c r="H257" t="s">
        <v>568</v>
      </c>
      <c r="I257" t="s">
        <v>569</v>
      </c>
      <c r="J257">
        <v>0</v>
      </c>
      <c r="K257">
        <f t="shared" ref="K257" si="504">IF(A257&lt;DATEVALUE("2025/11/20")+TIMEVALUE("6:00"),1,IF(OR(B257&lt;&gt;60,SUM(D257:F257)&lt;&gt;0,G257&gt;=IF(A257&lt;DATEVALUE("2025/12/28")+TIMEVALUE("6:00"),20,18)/24/60),0,2-INT(G257*24*60/10)))</f>
        <v>2</v>
      </c>
      <c r="L257">
        <f t="shared" ref="L257" si="505">L256+K257</f>
        <v>313</v>
      </c>
      <c r="M257">
        <f t="shared" ref="M257" si="506">2+IF(A257&gt;=DATEVALUE("2025/11/30")+TIMEVALUE("6:00"),1,0)+IF(A257&gt;=DATEVALUE("2025/12/11")+TIMEVALUE("6:00"),1,0)</f>
        <v>4</v>
      </c>
      <c r="N257">
        <f t="shared" ref="N257" si="507">N256+M257*(INT(A257-6/24)-INT(A256-6/24))+O257</f>
        <v>315</v>
      </c>
      <c r="O257">
        <f t="shared" ref="O257" si="508">IF(A257&gt;=DATEVALUE("2025/11/8")+TIMEVALUE("6:00"),1,0)-IF(A256&gt;=DATEVALUE("2025/11/8")+TIMEVALUE("6:00"),1,0)
+IF(A257&gt;=DATEVALUE("2026/1/22")+TIMEVALUE("6:00"),3,0)-IF(A256&gt;=DATEVALUE("2026/1/22")+TIMEVALUE("6:00"),3,0)</f>
        <v>0</v>
      </c>
      <c r="P257" t="str">
        <f t="shared" ref="P257" si="509">IF(L257&lt;N257,"未達成（"&amp;N257-L257&amp;"）",IF(L257=N257,"達成","前倒し（"&amp;L257-N257&amp;"）"))</f>
        <v>未達成（2）</v>
      </c>
      <c r="Q257">
        <f t="shared" ref="Q257" si="510">IF(B257="",NA(),G257)</f>
        <v>5.7291666671517305E-3</v>
      </c>
    </row>
    <row r="258" spans="1:17">
      <c r="A258" s="3">
        <v>46057.299641203703</v>
      </c>
      <c r="G258" s="5">
        <v>9.4907407037680969E-4</v>
      </c>
      <c r="H258" t="s">
        <v>570</v>
      </c>
      <c r="I258" t="s">
        <v>572</v>
      </c>
      <c r="J258">
        <v>1</v>
      </c>
      <c r="K258">
        <f t="shared" ref="K258" si="511">IF(A258&lt;DATEVALUE("2025/11/20")+TIMEVALUE("6:00"),1,IF(OR(B258&lt;&gt;60,SUM(D258:F258)&lt;&gt;0,G258&gt;=IF(A258&lt;DATEVALUE("2025/12/28")+TIMEVALUE("6:00"),20,18)/24/60),0,2-INT(G258*24*60/10)))</f>
        <v>0</v>
      </c>
      <c r="L258">
        <f t="shared" ref="L258" si="512">L257+K258</f>
        <v>313</v>
      </c>
      <c r="M258">
        <f t="shared" ref="M258" si="513">2+IF(A258&gt;=DATEVALUE("2025/11/30")+TIMEVALUE("6:00"),1,0)+IF(A258&gt;=DATEVALUE("2025/12/11")+TIMEVALUE("6:00"),1,0)</f>
        <v>4</v>
      </c>
      <c r="N258">
        <f t="shared" ref="N258" si="514">N257+M258*(INT(A258-6/24)-INT(A257-6/24))+O258</f>
        <v>315</v>
      </c>
      <c r="O258">
        <f t="shared" ref="O258" si="515">IF(A258&gt;=DATEVALUE("2025/11/8")+TIMEVALUE("6:00"),1,0)-IF(A257&gt;=DATEVALUE("2025/11/8")+TIMEVALUE("6:00"),1,0)
+IF(A258&gt;=DATEVALUE("2026/1/22")+TIMEVALUE("6:00"),3,0)-IF(A257&gt;=DATEVALUE("2026/1/22")+TIMEVALUE("6:00"),3,0)</f>
        <v>0</v>
      </c>
      <c r="P258" t="str">
        <f t="shared" ref="P258" si="516">IF(L258&lt;N258,"未達成（"&amp;N258-L258&amp;"）",IF(L258=N258,"達成","前倒し（"&amp;L258-N258&amp;"）"))</f>
        <v>未達成（2）</v>
      </c>
      <c r="Q258" t="e">
        <f t="shared" ref="Q258" si="517">IF(B258="",NA(),G258)</f>
        <v>#N/A</v>
      </c>
    </row>
    <row r="259" spans="1:17">
      <c r="A259" s="3">
        <v>46057.36550925926</v>
      </c>
      <c r="B259">
        <v>60</v>
      </c>
      <c r="C259">
        <v>15</v>
      </c>
      <c r="D259">
        <v>0</v>
      </c>
      <c r="E259">
        <v>0</v>
      </c>
      <c r="F259">
        <v>0</v>
      </c>
      <c r="G259" s="5">
        <v>4.4907407354912721E-3</v>
      </c>
      <c r="H259" t="s">
        <v>573</v>
      </c>
      <c r="I259" t="s">
        <v>571</v>
      </c>
      <c r="J259">
        <v>0</v>
      </c>
      <c r="K259">
        <f t="shared" ref="K259" si="518">IF(A259&lt;DATEVALUE("2025/11/20")+TIMEVALUE("6:00"),1,IF(OR(B259&lt;&gt;60,SUM(D259:F259)&lt;&gt;0,G259&gt;=IF(A259&lt;DATEVALUE("2025/12/28")+TIMEVALUE("6:00"),20,18)/24/60),0,2-INT(G259*24*60/10)))</f>
        <v>2</v>
      </c>
      <c r="L259">
        <f t="shared" ref="L259" si="519">L258+K259</f>
        <v>315</v>
      </c>
      <c r="M259">
        <f t="shared" ref="M259" si="520">2+IF(A259&gt;=DATEVALUE("2025/11/30")+TIMEVALUE("6:00"),1,0)+IF(A259&gt;=DATEVALUE("2025/12/11")+TIMEVALUE("6:00"),1,0)</f>
        <v>4</v>
      </c>
      <c r="N259">
        <f t="shared" ref="N259" si="521">N258+M259*(INT(A259-6/24)-INT(A258-6/24))+O259</f>
        <v>315</v>
      </c>
      <c r="O259">
        <f t="shared" ref="O259" si="522">IF(A259&gt;=DATEVALUE("2025/11/8")+TIMEVALUE("6:00"),1,0)-IF(A258&gt;=DATEVALUE("2025/11/8")+TIMEVALUE("6:00"),1,0)
+IF(A259&gt;=DATEVALUE("2026/1/22")+TIMEVALUE("6:00"),3,0)-IF(A258&gt;=DATEVALUE("2026/1/22")+TIMEVALUE("6:00"),3,0)</f>
        <v>0</v>
      </c>
      <c r="P259" t="str">
        <f t="shared" ref="P259" si="523">IF(L259&lt;N259,"未達成（"&amp;N259-L259&amp;"）",IF(L259=N259,"達成","前倒し（"&amp;L259-N259&amp;"）"))</f>
        <v>達成</v>
      </c>
      <c r="Q259">
        <f t="shared" ref="Q259" si="524">IF(B259="",NA(),G259)</f>
        <v>4.4907407354912721E-3</v>
      </c>
    </row>
    <row r="260" spans="1:17">
      <c r="A260" s="3">
        <v>46058.304814814815</v>
      </c>
      <c r="B260">
        <v>60</v>
      </c>
      <c r="C260">
        <v>16</v>
      </c>
      <c r="D260">
        <v>0</v>
      </c>
      <c r="E260">
        <v>0</v>
      </c>
      <c r="F260">
        <v>0</v>
      </c>
      <c r="G260" s="5">
        <v>7.3495370379532687E-3</v>
      </c>
      <c r="H260" t="s">
        <v>574</v>
      </c>
      <c r="I260" t="s">
        <v>575</v>
      </c>
      <c r="J260">
        <v>0</v>
      </c>
      <c r="K260">
        <f t="shared" ref="K260" si="525">IF(A260&lt;DATEVALUE("2025/11/20")+TIMEVALUE("6:00"),1,IF(OR(B260&lt;&gt;60,SUM(D260:F260)&lt;&gt;0,G260&gt;=IF(A260&lt;DATEVALUE("2025/12/28")+TIMEVALUE("6:00"),20,18)/24/60),0,2-INT(G260*24*60/10)))</f>
        <v>1</v>
      </c>
      <c r="L260">
        <f t="shared" ref="L260" si="526">L259+K260</f>
        <v>316</v>
      </c>
      <c r="M260">
        <f t="shared" ref="M260" si="527">2+IF(A260&gt;=DATEVALUE("2025/11/30")+TIMEVALUE("6:00"),1,0)+IF(A260&gt;=DATEVALUE("2025/12/11")+TIMEVALUE("6:00"),1,0)</f>
        <v>4</v>
      </c>
      <c r="N260">
        <f t="shared" ref="N260" si="528">N259+M260*(INT(A260-6/24)-INT(A259-6/24))+O260</f>
        <v>319</v>
      </c>
      <c r="O260">
        <f t="shared" ref="O260" si="529">IF(A260&gt;=DATEVALUE("2025/11/8")+TIMEVALUE("6:00"),1,0)-IF(A259&gt;=DATEVALUE("2025/11/8")+TIMEVALUE("6:00"),1,0)
+IF(A260&gt;=DATEVALUE("2026/1/22")+TIMEVALUE("6:00"),3,0)-IF(A259&gt;=DATEVALUE("2026/1/22")+TIMEVALUE("6:00"),3,0)</f>
        <v>0</v>
      </c>
      <c r="P260" t="str">
        <f t="shared" ref="P260" si="530">IF(L260&lt;N260,"未達成（"&amp;N260-L260&amp;"）",IF(L260=N260,"達成","前倒し（"&amp;L260-N260&amp;"）"))</f>
        <v>未達成（3）</v>
      </c>
      <c r="Q260">
        <f t="shared" ref="Q260" si="531">IF(B260="",NA(),G260)</f>
        <v>7.3495370379532687E-3</v>
      </c>
    </row>
    <row r="261" spans="1:17">
      <c r="A261" s="3">
        <v>46058.311574074076</v>
      </c>
      <c r="B261">
        <v>60</v>
      </c>
      <c r="C261">
        <v>17</v>
      </c>
      <c r="D261">
        <v>0</v>
      </c>
      <c r="E261">
        <v>0</v>
      </c>
      <c r="F261">
        <v>0</v>
      </c>
      <c r="G261" s="5">
        <v>5.9490740750334226E-3</v>
      </c>
      <c r="H261" t="s">
        <v>576</v>
      </c>
      <c r="I261" t="s">
        <v>577</v>
      </c>
      <c r="J261">
        <v>0</v>
      </c>
      <c r="K261">
        <f t="shared" ref="K261" si="532">IF(A261&lt;DATEVALUE("2025/11/20")+TIMEVALUE("6:00"),1,IF(OR(B261&lt;&gt;60,SUM(D261:F261)&lt;&gt;0,G261&gt;=IF(A261&lt;DATEVALUE("2025/12/28")+TIMEVALUE("6:00"),20,18)/24/60),0,2-INT(G261*24*60/10)))</f>
        <v>2</v>
      </c>
      <c r="L261">
        <f t="shared" ref="L261" si="533">L260+K261</f>
        <v>318</v>
      </c>
      <c r="M261">
        <f t="shared" ref="M261" si="534">2+IF(A261&gt;=DATEVALUE("2025/11/30")+TIMEVALUE("6:00"),1,0)+IF(A261&gt;=DATEVALUE("2025/12/11")+TIMEVALUE("6:00"),1,0)</f>
        <v>4</v>
      </c>
      <c r="N261">
        <f t="shared" ref="N261" si="535">N260+M261*(INT(A261-6/24)-INT(A260-6/24))+O261</f>
        <v>319</v>
      </c>
      <c r="O261">
        <f t="shared" ref="O261" si="536">IF(A261&gt;=DATEVALUE("2025/11/8")+TIMEVALUE("6:00"),1,0)-IF(A260&gt;=DATEVALUE("2025/11/8")+TIMEVALUE("6:00"),1,0)
+IF(A261&gt;=DATEVALUE("2026/1/22")+TIMEVALUE("6:00"),3,0)-IF(A260&gt;=DATEVALUE("2026/1/22")+TIMEVALUE("6:00"),3,0)</f>
        <v>0</v>
      </c>
      <c r="P261" t="str">
        <f t="shared" ref="P261" si="537">IF(L261&lt;N261,"未達成（"&amp;N261-L261&amp;"）",IF(L261=N261,"達成","前倒し（"&amp;L261-N261&amp;"）"))</f>
        <v>未達成（1）</v>
      </c>
      <c r="Q261">
        <f t="shared" ref="Q261" si="538">IF(B261="",NA(),G261)</f>
        <v>5.9490740750334226E-3</v>
      </c>
    </row>
    <row r="262" spans="1:17">
      <c r="A262" s="3">
        <v>46058.318773148145</v>
      </c>
      <c r="B262">
        <v>60</v>
      </c>
      <c r="C262">
        <v>2</v>
      </c>
      <c r="D262">
        <v>0</v>
      </c>
      <c r="E262">
        <v>0</v>
      </c>
      <c r="F262">
        <v>0</v>
      </c>
      <c r="G262" s="5">
        <v>6.5856481451191939E-3</v>
      </c>
      <c r="H262" t="s">
        <v>578</v>
      </c>
      <c r="I262" t="s">
        <v>579</v>
      </c>
      <c r="J262">
        <v>0</v>
      </c>
      <c r="K262">
        <f t="shared" ref="K262" si="539">IF(A262&lt;DATEVALUE("2025/11/20")+TIMEVALUE("6:00"),1,IF(OR(B262&lt;&gt;60,SUM(D262:F262)&lt;&gt;0,G262&gt;=IF(A262&lt;DATEVALUE("2025/12/28")+TIMEVALUE("6:00"),20,18)/24/60),0,2-INT(G262*24*60/10)))</f>
        <v>2</v>
      </c>
      <c r="L262">
        <f t="shared" ref="L262" si="540">L261+K262</f>
        <v>320</v>
      </c>
      <c r="M262">
        <f t="shared" ref="M262" si="541">2+IF(A262&gt;=DATEVALUE("2025/11/30")+TIMEVALUE("6:00"),1,0)+IF(A262&gt;=DATEVALUE("2025/12/11")+TIMEVALUE("6:00"),1,0)</f>
        <v>4</v>
      </c>
      <c r="N262">
        <f t="shared" ref="N262" si="542">N261+M262*(INT(A262-6/24)-INT(A261-6/24))+O262</f>
        <v>319</v>
      </c>
      <c r="O262">
        <f t="shared" ref="O262" si="543">IF(A262&gt;=DATEVALUE("2025/11/8")+TIMEVALUE("6:00"),1,0)-IF(A261&gt;=DATEVALUE("2025/11/8")+TIMEVALUE("6:00"),1,0)
+IF(A262&gt;=DATEVALUE("2026/1/22")+TIMEVALUE("6:00"),3,0)-IF(A261&gt;=DATEVALUE("2026/1/22")+TIMEVALUE("6:00"),3,0)</f>
        <v>0</v>
      </c>
      <c r="P262" t="str">
        <f t="shared" ref="P262" si="544">IF(L262&lt;N262,"未達成（"&amp;N262-L262&amp;"）",IF(L262=N262,"達成","前倒し（"&amp;L262-N262&amp;"）"))</f>
        <v>前倒し（1）</v>
      </c>
      <c r="Q262">
        <f t="shared" ref="Q262" si="545">IF(B262="",NA(),G262)</f>
        <v>6.5856481451191939E-3</v>
      </c>
    </row>
    <row r="263" spans="1:17">
      <c r="A263" s="3">
        <v>46059.313368055555</v>
      </c>
      <c r="B263">
        <v>60</v>
      </c>
      <c r="C263">
        <v>8</v>
      </c>
      <c r="D263">
        <v>0</v>
      </c>
      <c r="E263">
        <v>0</v>
      </c>
      <c r="F263">
        <v>0</v>
      </c>
      <c r="G263" s="5">
        <v>7.2337962919846177E-3</v>
      </c>
      <c r="H263" t="s">
        <v>580</v>
      </c>
      <c r="I263" t="s">
        <v>581</v>
      </c>
      <c r="J263">
        <v>0</v>
      </c>
      <c r="K263">
        <f t="shared" ref="K263" si="546">IF(A263&lt;DATEVALUE("2025/11/20")+TIMEVALUE("6:00"),1,IF(OR(B263&lt;&gt;60,SUM(D263:F263)&lt;&gt;0,G263&gt;=IF(A263&lt;DATEVALUE("2025/12/28")+TIMEVALUE("6:00"),20,18)/24/60),0,2-INT(G263*24*60/10)))</f>
        <v>1</v>
      </c>
      <c r="L263">
        <f t="shared" ref="L263" si="547">L262+K263</f>
        <v>321</v>
      </c>
      <c r="M263">
        <f t="shared" ref="M263" si="548">2+IF(A263&gt;=DATEVALUE("2025/11/30")+TIMEVALUE("6:00"),1,0)+IF(A263&gt;=DATEVALUE("2025/12/11")+TIMEVALUE("6:00"),1,0)</f>
        <v>4</v>
      </c>
      <c r="N263">
        <f t="shared" ref="N263" si="549">N262+M263*(INT(A263-6/24)-INT(A262-6/24))+O263</f>
        <v>323</v>
      </c>
      <c r="O263">
        <f t="shared" ref="O263" si="550">IF(A263&gt;=DATEVALUE("2025/11/8")+TIMEVALUE("6:00"),1,0)-IF(A262&gt;=DATEVALUE("2025/11/8")+TIMEVALUE("6:00"),1,0)
+IF(A263&gt;=DATEVALUE("2026/1/22")+TIMEVALUE("6:00"),3,0)-IF(A262&gt;=DATEVALUE("2026/1/22")+TIMEVALUE("6:00"),3,0)</f>
        <v>0</v>
      </c>
      <c r="P263" t="str">
        <f t="shared" ref="P263" si="551">IF(L263&lt;N263,"未達成（"&amp;N263-L263&amp;"）",IF(L263=N263,"達成","前倒し（"&amp;L263-N263&amp;"）"))</f>
        <v>未達成（2）</v>
      </c>
      <c r="Q263">
        <f t="shared" ref="Q263" si="552">IF(B263="",NA(),G263)</f>
        <v>7.2337962919846177E-3</v>
      </c>
    </row>
    <row r="264" spans="1:17">
      <c r="A264" s="3">
        <v>46059.324537037035</v>
      </c>
      <c r="B264">
        <v>60</v>
      </c>
      <c r="C264">
        <v>12</v>
      </c>
      <c r="D264">
        <v>0</v>
      </c>
      <c r="E264">
        <v>0</v>
      </c>
      <c r="F264">
        <v>0</v>
      </c>
      <c r="G264" s="5">
        <v>1.0648148148902692E-2</v>
      </c>
      <c r="H264" t="s">
        <v>582</v>
      </c>
      <c r="I264" t="s">
        <v>583</v>
      </c>
      <c r="J264">
        <v>0</v>
      </c>
      <c r="K264">
        <f t="shared" ref="K264" si="553">IF(A264&lt;DATEVALUE("2025/11/20")+TIMEVALUE("6:00"),1,IF(OR(B264&lt;&gt;60,SUM(D264:F264)&lt;&gt;0,G264&gt;=IF(A264&lt;DATEVALUE("2025/12/28")+TIMEVALUE("6:00"),20,18)/24/60),0,2-INT(G264*24*60/10)))</f>
        <v>1</v>
      </c>
      <c r="L264">
        <f t="shared" ref="L264" si="554">L263+K264</f>
        <v>322</v>
      </c>
      <c r="M264">
        <f t="shared" ref="M264" si="555">2+IF(A264&gt;=DATEVALUE("2025/11/30")+TIMEVALUE("6:00"),1,0)+IF(A264&gt;=DATEVALUE("2025/12/11")+TIMEVALUE("6:00"),1,0)</f>
        <v>4</v>
      </c>
      <c r="N264">
        <f t="shared" ref="N264" si="556">N263+M264*(INT(A264-6/24)-INT(A263-6/24))+O264</f>
        <v>323</v>
      </c>
      <c r="O264">
        <f t="shared" ref="O264" si="557">IF(A264&gt;=DATEVALUE("2025/11/8")+TIMEVALUE("6:00"),1,0)-IF(A263&gt;=DATEVALUE("2025/11/8")+TIMEVALUE("6:00"),1,0)
+IF(A264&gt;=DATEVALUE("2026/1/22")+TIMEVALUE("6:00"),3,0)-IF(A263&gt;=DATEVALUE("2026/1/22")+TIMEVALUE("6:00"),3,0)</f>
        <v>0</v>
      </c>
      <c r="P264" t="str">
        <f t="shared" ref="P264" si="558">IF(L264&lt;N264,"未達成（"&amp;N264-L264&amp;"）",IF(L264=N264,"達成","前倒し（"&amp;L264-N264&amp;"）"))</f>
        <v>未達成（1）</v>
      </c>
      <c r="Q264">
        <f t="shared" ref="Q264" si="559">IF(B264="",NA(),G264)</f>
        <v>1.0648148148902692E-2</v>
      </c>
    </row>
    <row r="265" spans="1:17">
      <c r="A265" s="3">
        <v>46059.887974537036</v>
      </c>
      <c r="B265">
        <v>60</v>
      </c>
      <c r="C265">
        <v>16</v>
      </c>
      <c r="D265">
        <v>0</v>
      </c>
      <c r="E265">
        <v>0</v>
      </c>
      <c r="F265">
        <v>0</v>
      </c>
      <c r="G265" s="5">
        <v>9.1203703705104999E-3</v>
      </c>
      <c r="H265" t="s">
        <v>584</v>
      </c>
      <c r="I265" t="s">
        <v>585</v>
      </c>
      <c r="J265">
        <v>0</v>
      </c>
      <c r="K265">
        <f t="shared" ref="K265" si="560">IF(A265&lt;DATEVALUE("2025/11/20")+TIMEVALUE("6:00"),1,IF(OR(B265&lt;&gt;60,SUM(D265:F265)&lt;&gt;0,G265&gt;=IF(A265&lt;DATEVALUE("2025/12/28")+TIMEVALUE("6:00"),20,18)/24/60),0,2-INT(G265*24*60/10)))</f>
        <v>1</v>
      </c>
      <c r="L265">
        <f t="shared" ref="L265" si="561">L264+K265</f>
        <v>323</v>
      </c>
      <c r="M265">
        <f t="shared" ref="M265" si="562">2+IF(A265&gt;=DATEVALUE("2025/11/30")+TIMEVALUE("6:00"),1,0)+IF(A265&gt;=DATEVALUE("2025/12/11")+TIMEVALUE("6:00"),1,0)</f>
        <v>4</v>
      </c>
      <c r="N265">
        <f t="shared" ref="N265" si="563">N264+M265*(INT(A265-6/24)-INT(A264-6/24))+O265</f>
        <v>323</v>
      </c>
      <c r="O265">
        <f t="shared" ref="O265" si="564">IF(A265&gt;=DATEVALUE("2025/11/8")+TIMEVALUE("6:00"),1,0)-IF(A264&gt;=DATEVALUE("2025/11/8")+TIMEVALUE("6:00"),1,0)
+IF(A265&gt;=DATEVALUE("2026/1/22")+TIMEVALUE("6:00"),3,0)-IF(A264&gt;=DATEVALUE("2026/1/22")+TIMEVALUE("6:00"),3,0)</f>
        <v>0</v>
      </c>
      <c r="P265" t="str">
        <f t="shared" ref="P265" si="565">IF(L265&lt;N265,"未達成（"&amp;N265-L265&amp;"）",IF(L265=N265,"達成","前倒し（"&amp;L265-N265&amp;"）"))</f>
        <v>達成</v>
      </c>
      <c r="Q265">
        <f t="shared" ref="Q265" si="566">IF(B265="",NA(),G265)</f>
        <v>9.1203703705104999E-3</v>
      </c>
    </row>
    <row r="266" spans="1:17">
      <c r="A266" s="3">
        <v>46060.286041666666</v>
      </c>
      <c r="B266">
        <v>60</v>
      </c>
      <c r="C266">
        <v>28</v>
      </c>
      <c r="D266">
        <v>0</v>
      </c>
      <c r="E266">
        <v>0</v>
      </c>
      <c r="F266">
        <v>0</v>
      </c>
      <c r="G266" s="5">
        <v>5.173611112695653E-3</v>
      </c>
      <c r="H266" t="s">
        <v>586</v>
      </c>
      <c r="I266" t="s">
        <v>587</v>
      </c>
      <c r="J266">
        <v>0</v>
      </c>
      <c r="K266">
        <f t="shared" ref="K266" si="567">IF(A266&lt;DATEVALUE("2025/11/20")+TIMEVALUE("6:00"),1,IF(OR(B266&lt;&gt;60,SUM(D266:F266)&lt;&gt;0,G266&gt;=IF(A266&lt;DATEVALUE("2025/12/28")+TIMEVALUE("6:00"),20,18)/24/60),0,2-INT(G266*24*60/10)))</f>
        <v>2</v>
      </c>
      <c r="L266">
        <f t="shared" ref="L266" si="568">L265+K266</f>
        <v>325</v>
      </c>
      <c r="M266">
        <f t="shared" ref="M266" si="569">2+IF(A266&gt;=DATEVALUE("2025/11/30")+TIMEVALUE("6:00"),1,0)+IF(A266&gt;=DATEVALUE("2025/12/11")+TIMEVALUE("6:00"),1,0)</f>
        <v>4</v>
      </c>
      <c r="N266">
        <f t="shared" ref="N266" si="570">N265+M266*(INT(A266-6/24)-INT(A265-6/24))+O266</f>
        <v>327</v>
      </c>
      <c r="O266">
        <f t="shared" ref="O266" si="571">IF(A266&gt;=DATEVALUE("2025/11/8")+TIMEVALUE("6:00"),1,0)-IF(A265&gt;=DATEVALUE("2025/11/8")+TIMEVALUE("6:00"),1,0)
+IF(A266&gt;=DATEVALUE("2026/1/22")+TIMEVALUE("6:00"),3,0)-IF(A265&gt;=DATEVALUE("2026/1/22")+TIMEVALUE("6:00"),3,0)</f>
        <v>0</v>
      </c>
      <c r="P266" t="str">
        <f t="shared" ref="P266" si="572">IF(L266&lt;N266,"未達成（"&amp;N266-L266&amp;"）",IF(L266=N266,"達成","前倒し（"&amp;L266-N266&amp;"）"))</f>
        <v>未達成（2）</v>
      </c>
      <c r="Q266">
        <f t="shared" ref="Q266" si="573">IF(B266="",NA(),G266)</f>
        <v>5.173611112695653E-3</v>
      </c>
    </row>
    <row r="267" spans="1:17">
      <c r="A267" s="3">
        <v>46060.305289351854</v>
      </c>
      <c r="B267">
        <v>60</v>
      </c>
      <c r="C267">
        <v>16</v>
      </c>
      <c r="D267">
        <v>0</v>
      </c>
      <c r="E267">
        <v>0</v>
      </c>
      <c r="F267">
        <v>0</v>
      </c>
      <c r="G267" s="5">
        <v>9.4675925938645378E-3</v>
      </c>
      <c r="H267" t="s">
        <v>588</v>
      </c>
      <c r="I267" t="s">
        <v>589</v>
      </c>
      <c r="J267">
        <v>0</v>
      </c>
      <c r="K267">
        <f t="shared" ref="K267" si="574">IF(A267&lt;DATEVALUE("2025/11/20")+TIMEVALUE("6:00"),1,IF(OR(B267&lt;&gt;60,SUM(D267:F267)&lt;&gt;0,G267&gt;=IF(A267&lt;DATEVALUE("2025/12/28")+TIMEVALUE("6:00"),20,18)/24/60),0,2-INT(G267*24*60/10)))</f>
        <v>1</v>
      </c>
      <c r="L267">
        <f t="shared" ref="L267" si="575">L266+K267</f>
        <v>326</v>
      </c>
      <c r="M267">
        <f t="shared" ref="M267" si="576">2+IF(A267&gt;=DATEVALUE("2025/11/30")+TIMEVALUE("6:00"),1,0)+IF(A267&gt;=DATEVALUE("2025/12/11")+TIMEVALUE("6:00"),1,0)</f>
        <v>4</v>
      </c>
      <c r="N267">
        <f t="shared" ref="N267" si="577">N266+M267*(INT(A267-6/24)-INT(A266-6/24))+O267</f>
        <v>327</v>
      </c>
      <c r="O267">
        <f t="shared" ref="O267" si="578">IF(A267&gt;=DATEVALUE("2025/11/8")+TIMEVALUE("6:00"),1,0)-IF(A266&gt;=DATEVALUE("2025/11/8")+TIMEVALUE("6:00"),1,0)
+IF(A267&gt;=DATEVALUE("2026/1/22")+TIMEVALUE("6:00"),3,0)-IF(A266&gt;=DATEVALUE("2026/1/22")+TIMEVALUE("6:00"),3,0)</f>
        <v>0</v>
      </c>
      <c r="P267" t="str">
        <f t="shared" ref="P267" si="579">IF(L267&lt;N267,"未達成（"&amp;N267-L267&amp;"）",IF(L267=N267,"達成","前倒し（"&amp;L267-N267&amp;"）"))</f>
        <v>未達成（1）</v>
      </c>
      <c r="Q267">
        <f t="shared" ref="Q267" si="580">IF(B267="",NA(),G267)</f>
        <v>9.4675925938645378E-3</v>
      </c>
    </row>
    <row r="268" spans="1:17">
      <c r="A268" s="3">
        <v>46060.31490740741</v>
      </c>
      <c r="B268">
        <v>60</v>
      </c>
      <c r="C268">
        <v>6</v>
      </c>
      <c r="D268">
        <v>0</v>
      </c>
      <c r="E268">
        <v>0</v>
      </c>
      <c r="F268">
        <v>0</v>
      </c>
      <c r="G268" s="5">
        <v>8.1134259307873435E-3</v>
      </c>
      <c r="H268" t="s">
        <v>590</v>
      </c>
      <c r="I268" t="s">
        <v>591</v>
      </c>
      <c r="J268">
        <v>0</v>
      </c>
      <c r="K268">
        <f t="shared" ref="K268" si="581">IF(A268&lt;DATEVALUE("2025/11/20")+TIMEVALUE("6:00"),1,IF(OR(B268&lt;&gt;60,SUM(D268:F268)&lt;&gt;0,G268&gt;=IF(A268&lt;DATEVALUE("2025/12/28")+TIMEVALUE("6:00"),20,18)/24/60),0,2-INT(G268*24*60/10)))</f>
        <v>1</v>
      </c>
      <c r="L268">
        <f t="shared" ref="L268" si="582">L267+K268</f>
        <v>327</v>
      </c>
      <c r="M268">
        <f t="shared" ref="M268" si="583">2+IF(A268&gt;=DATEVALUE("2025/11/30")+TIMEVALUE("6:00"),1,0)+IF(A268&gt;=DATEVALUE("2025/12/11")+TIMEVALUE("6:00"),1,0)</f>
        <v>4</v>
      </c>
      <c r="N268">
        <f t="shared" ref="N268" si="584">N267+M268*(INT(A268-6/24)-INT(A267-6/24))+O268</f>
        <v>327</v>
      </c>
      <c r="O268">
        <f t="shared" ref="O268" si="585">IF(A268&gt;=DATEVALUE("2025/11/8")+TIMEVALUE("6:00"),1,0)-IF(A267&gt;=DATEVALUE("2025/11/8")+TIMEVALUE("6:00"),1,0)
+IF(A268&gt;=DATEVALUE("2026/1/22")+TIMEVALUE("6:00"),3,0)-IF(A267&gt;=DATEVALUE("2026/1/22")+TIMEVALUE("6:00"),3,0)</f>
        <v>0</v>
      </c>
      <c r="P268" t="str">
        <f t="shared" ref="P268" si="586">IF(L268&lt;N268,"未達成（"&amp;N268-L268&amp;"）",IF(L268=N268,"達成","前倒し（"&amp;L268-N268&amp;"）"))</f>
        <v>達成</v>
      </c>
      <c r="Q268">
        <f t="shared" ref="Q268" si="587">IF(B268="",NA(),G268)</f>
        <v>8.1134259307873435E-3</v>
      </c>
    </row>
    <row r="269" spans="1:17">
      <c r="A269" s="3">
        <v>46061.276041666664</v>
      </c>
      <c r="B269">
        <v>60</v>
      </c>
      <c r="C269">
        <v>14</v>
      </c>
      <c r="D269">
        <v>0</v>
      </c>
      <c r="E269">
        <v>0</v>
      </c>
      <c r="F269">
        <v>0</v>
      </c>
      <c r="G269" s="5">
        <v>1.0937499995634425E-2</v>
      </c>
      <c r="H269" t="s">
        <v>592</v>
      </c>
      <c r="I269" t="s">
        <v>593</v>
      </c>
      <c r="J269">
        <v>0</v>
      </c>
      <c r="K269">
        <f t="shared" ref="K269" si="588">IF(A269&lt;DATEVALUE("2025/11/20")+TIMEVALUE("6:00"),1,IF(OR(B269&lt;&gt;60,SUM(D269:F269)&lt;&gt;0,G269&gt;=IF(A269&lt;DATEVALUE("2025/12/28")+TIMEVALUE("6:00"),20,18)/24/60),0,2-INT(G269*24*60/10)))</f>
        <v>1</v>
      </c>
      <c r="L269">
        <f t="shared" ref="L269" si="589">L268+K269</f>
        <v>328</v>
      </c>
      <c r="M269">
        <f t="shared" ref="M269" si="590">2+IF(A269&gt;=DATEVALUE("2025/11/30")+TIMEVALUE("6:00"),1,0)+IF(A269&gt;=DATEVALUE("2025/12/11")+TIMEVALUE("6:00"),1,0)</f>
        <v>4</v>
      </c>
      <c r="N269">
        <f t="shared" ref="N269" si="591">N268+M269*(INT(A269-6/24)-INT(A268-6/24))+O269</f>
        <v>331</v>
      </c>
      <c r="O269">
        <f t="shared" ref="O269" si="592">IF(A269&gt;=DATEVALUE("2025/11/8")+TIMEVALUE("6:00"),1,0)-IF(A268&gt;=DATEVALUE("2025/11/8")+TIMEVALUE("6:00"),1,0)
+IF(A269&gt;=DATEVALUE("2026/1/22")+TIMEVALUE("6:00"),3,0)-IF(A268&gt;=DATEVALUE("2026/1/22")+TIMEVALUE("6:00"),3,0)</f>
        <v>0</v>
      </c>
      <c r="P269" t="str">
        <f t="shared" ref="P269" si="593">IF(L269&lt;N269,"未達成（"&amp;N269-L269&amp;"）",IF(L269=N269,"達成","前倒し（"&amp;L269-N269&amp;"）"))</f>
        <v>未達成（3）</v>
      </c>
      <c r="Q269">
        <f t="shared" ref="Q269" si="594">IF(B269="",NA(),G269)</f>
        <v>1.0937499995634425E-2</v>
      </c>
    </row>
    <row r="270" spans="1:17">
      <c r="A270" s="3">
        <v>46061.305439814816</v>
      </c>
      <c r="B270">
        <v>60</v>
      </c>
      <c r="C270">
        <v>15</v>
      </c>
      <c r="D270">
        <v>0</v>
      </c>
      <c r="E270">
        <v>0</v>
      </c>
      <c r="F270">
        <v>0</v>
      </c>
      <c r="G270" s="5">
        <v>5.6828703745850362E-3</v>
      </c>
      <c r="H270" t="s">
        <v>594</v>
      </c>
      <c r="I270" t="s">
        <v>595</v>
      </c>
      <c r="J270">
        <v>0</v>
      </c>
      <c r="K270">
        <f t="shared" ref="K270" si="595">IF(A270&lt;DATEVALUE("2025/11/20")+TIMEVALUE("6:00"),1,IF(OR(B270&lt;&gt;60,SUM(D270:F270)&lt;&gt;0,G270&gt;=IF(A270&lt;DATEVALUE("2025/12/28")+TIMEVALUE("6:00"),20,18)/24/60),0,2-INT(G270*24*60/10)))</f>
        <v>2</v>
      </c>
      <c r="L270">
        <f t="shared" ref="L270" si="596">L269+K270</f>
        <v>330</v>
      </c>
      <c r="M270">
        <f t="shared" ref="M270" si="597">2+IF(A270&gt;=DATEVALUE("2025/11/30")+TIMEVALUE("6:00"),1,0)+IF(A270&gt;=DATEVALUE("2025/12/11")+TIMEVALUE("6:00"),1,0)</f>
        <v>4</v>
      </c>
      <c r="N270">
        <f t="shared" ref="N270" si="598">N269+M270*(INT(A270-6/24)-INT(A269-6/24))+O270</f>
        <v>331</v>
      </c>
      <c r="O270">
        <f t="shared" ref="O270" si="599">IF(A270&gt;=DATEVALUE("2025/11/8")+TIMEVALUE("6:00"),1,0)-IF(A269&gt;=DATEVALUE("2025/11/8")+TIMEVALUE("6:00"),1,0)
+IF(A270&gt;=DATEVALUE("2026/1/22")+TIMEVALUE("6:00"),3,0)-IF(A269&gt;=DATEVALUE("2026/1/22")+TIMEVALUE("6:00"),3,0)</f>
        <v>0</v>
      </c>
      <c r="P270" t="str">
        <f t="shared" ref="P270" si="600">IF(L270&lt;N270,"未達成（"&amp;N270-L270&amp;"）",IF(L270=N270,"達成","前倒し（"&amp;L270-N270&amp;"）"))</f>
        <v>未達成（1）</v>
      </c>
      <c r="Q270">
        <f t="shared" ref="Q270" si="601">IF(B270="",NA(),G270)</f>
        <v>5.6828703745850362E-3</v>
      </c>
    </row>
    <row r="271" spans="1:17">
      <c r="A271" s="3">
        <v>46061.313645833332</v>
      </c>
      <c r="B271">
        <v>60</v>
      </c>
      <c r="C271">
        <v>20</v>
      </c>
      <c r="D271">
        <v>0</v>
      </c>
      <c r="E271">
        <v>0</v>
      </c>
      <c r="F271">
        <v>0</v>
      </c>
      <c r="G271" s="5">
        <v>7.6851851845276542E-3</v>
      </c>
      <c r="H271" t="s">
        <v>596</v>
      </c>
      <c r="I271" t="s">
        <v>597</v>
      </c>
      <c r="J271">
        <v>0</v>
      </c>
      <c r="K271">
        <f t="shared" ref="K271" si="602">IF(A271&lt;DATEVALUE("2025/11/20")+TIMEVALUE("6:00"),1,IF(OR(B271&lt;&gt;60,SUM(D271:F271)&lt;&gt;0,G271&gt;=IF(A271&lt;DATEVALUE("2025/12/28")+TIMEVALUE("6:00"),20,18)/24/60),0,2-INT(G271*24*60/10)))</f>
        <v>1</v>
      </c>
      <c r="L271">
        <f t="shared" ref="L271" si="603">L270+K271</f>
        <v>331</v>
      </c>
      <c r="M271">
        <f t="shared" ref="M271" si="604">2+IF(A271&gt;=DATEVALUE("2025/11/30")+TIMEVALUE("6:00"),1,0)+IF(A271&gt;=DATEVALUE("2025/12/11")+TIMEVALUE("6:00"),1,0)</f>
        <v>4</v>
      </c>
      <c r="N271">
        <f t="shared" ref="N271" si="605">N270+M271*(INT(A271-6/24)-INT(A270-6/24))+O271</f>
        <v>331</v>
      </c>
      <c r="O271">
        <f t="shared" ref="O271" si="606">IF(A271&gt;=DATEVALUE("2025/11/8")+TIMEVALUE("6:00"),1,0)-IF(A270&gt;=DATEVALUE("2025/11/8")+TIMEVALUE("6:00"),1,0)
+IF(A271&gt;=DATEVALUE("2026/1/22")+TIMEVALUE("6:00"),3,0)-IF(A270&gt;=DATEVALUE("2026/1/22")+TIMEVALUE("6:00"),3,0)</f>
        <v>0</v>
      </c>
      <c r="P271" t="str">
        <f t="shared" ref="P271" si="607">IF(L271&lt;N271,"未達成（"&amp;N271-L271&amp;"）",IF(L271=N271,"達成","前倒し（"&amp;L271-N271&amp;"）"))</f>
        <v>達成</v>
      </c>
      <c r="Q271">
        <f t="shared" ref="Q271" si="608">IF(B271="",NA(),G271)</f>
        <v>7.6851851845276542E-3</v>
      </c>
    </row>
    <row r="272" spans="1:17">
      <c r="A272" s="3">
        <v>46062.293506944443</v>
      </c>
      <c r="B272">
        <v>60</v>
      </c>
      <c r="C272">
        <v>12</v>
      </c>
      <c r="D272">
        <v>0</v>
      </c>
      <c r="E272">
        <v>0</v>
      </c>
      <c r="F272">
        <v>0</v>
      </c>
      <c r="G272" s="5">
        <v>6.6666666680248454E-3</v>
      </c>
      <c r="H272" t="s">
        <v>598</v>
      </c>
      <c r="I272" t="s">
        <v>599</v>
      </c>
      <c r="J272">
        <v>0</v>
      </c>
      <c r="K272">
        <f t="shared" ref="K272" si="609">IF(A272&lt;DATEVALUE("2025/11/20")+TIMEVALUE("6:00"),1,IF(OR(B272&lt;&gt;60,SUM(D272:F272)&lt;&gt;0,G272&gt;=IF(A272&lt;DATEVALUE("2025/12/28")+TIMEVALUE("6:00"),20,18)/24/60),0,2-INT(G272*24*60/10)))</f>
        <v>2</v>
      </c>
      <c r="L272">
        <f t="shared" ref="L272" si="610">L271+K272</f>
        <v>333</v>
      </c>
      <c r="M272">
        <f t="shared" ref="M272" si="611">2+IF(A272&gt;=DATEVALUE("2025/11/30")+TIMEVALUE("6:00"),1,0)+IF(A272&gt;=DATEVALUE("2025/12/11")+TIMEVALUE("6:00"),1,0)</f>
        <v>4</v>
      </c>
      <c r="N272">
        <f t="shared" ref="N272" si="612">N271+M272*(INT(A272-6/24)-INT(A271-6/24))+O272</f>
        <v>335</v>
      </c>
      <c r="O272">
        <f t="shared" ref="O272" si="613">IF(A272&gt;=DATEVALUE("2025/11/8")+TIMEVALUE("6:00"),1,0)-IF(A271&gt;=DATEVALUE("2025/11/8")+TIMEVALUE("6:00"),1,0)
+IF(A272&gt;=DATEVALUE("2026/1/22")+TIMEVALUE("6:00"),3,0)-IF(A271&gt;=DATEVALUE("2026/1/22")+TIMEVALUE("6:00"),3,0)</f>
        <v>0</v>
      </c>
      <c r="P272" t="str">
        <f t="shared" ref="P272" si="614">IF(L272&lt;N272,"未達成（"&amp;N272-L272&amp;"）",IF(L272=N272,"達成","前倒し（"&amp;L272-N272&amp;"）"))</f>
        <v>未達成（2）</v>
      </c>
      <c r="Q272">
        <f t="shared" ref="Q272" si="615">IF(B272="",NA(),G272)</f>
        <v>6.6666666680248454E-3</v>
      </c>
    </row>
    <row r="273" spans="1:17">
      <c r="A273" s="3">
        <v>46062.303078703706</v>
      </c>
      <c r="B273">
        <v>60</v>
      </c>
      <c r="C273">
        <v>14</v>
      </c>
      <c r="D273">
        <v>0</v>
      </c>
      <c r="E273">
        <v>0</v>
      </c>
      <c r="F273">
        <v>0</v>
      </c>
      <c r="G273" s="5">
        <v>8.9236111161881126E-3</v>
      </c>
      <c r="H273" t="s">
        <v>600</v>
      </c>
      <c r="I273" t="s">
        <v>601</v>
      </c>
      <c r="J273">
        <v>0</v>
      </c>
      <c r="K273">
        <f t="shared" ref="K273" si="616">IF(A273&lt;DATEVALUE("2025/11/20")+TIMEVALUE("6:00"),1,IF(OR(B273&lt;&gt;60,SUM(D273:F273)&lt;&gt;0,G273&gt;=IF(A273&lt;DATEVALUE("2025/12/28")+TIMEVALUE("6:00"),20,18)/24/60),0,2-INT(G273*24*60/10)))</f>
        <v>1</v>
      </c>
      <c r="L273">
        <f t="shared" ref="L273" si="617">L272+K273</f>
        <v>334</v>
      </c>
      <c r="M273">
        <f t="shared" ref="M273" si="618">2+IF(A273&gt;=DATEVALUE("2025/11/30")+TIMEVALUE("6:00"),1,0)+IF(A273&gt;=DATEVALUE("2025/12/11")+TIMEVALUE("6:00"),1,0)</f>
        <v>4</v>
      </c>
      <c r="N273">
        <f t="shared" ref="N273" si="619">N272+M273*(INT(A273-6/24)-INT(A272-6/24))+O273</f>
        <v>335</v>
      </c>
      <c r="O273">
        <f t="shared" ref="O273" si="620">IF(A273&gt;=DATEVALUE("2025/11/8")+TIMEVALUE("6:00"),1,0)-IF(A272&gt;=DATEVALUE("2025/11/8")+TIMEVALUE("6:00"),1,0)
+IF(A273&gt;=DATEVALUE("2026/1/22")+TIMEVALUE("6:00"),3,0)-IF(A272&gt;=DATEVALUE("2026/1/22")+TIMEVALUE("6:00"),3,0)</f>
        <v>0</v>
      </c>
      <c r="P273" t="str">
        <f t="shared" ref="P273" si="621">IF(L273&lt;N273,"未達成（"&amp;N273-L273&amp;"）",IF(L273=N273,"達成","前倒し（"&amp;L273-N273&amp;"）"))</f>
        <v>未達成（1）</v>
      </c>
      <c r="Q273">
        <f t="shared" ref="Q273" si="622">IF(B273="",NA(),G273)</f>
        <v>8.9236111161881126E-3</v>
      </c>
    </row>
    <row r="274" spans="1:17">
      <c r="A274" s="3">
        <v>46062.310277777775</v>
      </c>
      <c r="B274">
        <v>60</v>
      </c>
      <c r="C274">
        <v>22</v>
      </c>
      <c r="D274">
        <v>0</v>
      </c>
      <c r="E274">
        <v>0</v>
      </c>
      <c r="F274">
        <v>0</v>
      </c>
      <c r="G274" s="5">
        <v>6.7245370373711921E-3</v>
      </c>
      <c r="H274" t="s">
        <v>602</v>
      </c>
      <c r="I274" t="s">
        <v>603</v>
      </c>
      <c r="J274">
        <v>0</v>
      </c>
      <c r="K274">
        <f t="shared" ref="K274" si="623">IF(A274&lt;DATEVALUE("2025/11/20")+TIMEVALUE("6:00"),1,IF(OR(B274&lt;&gt;60,SUM(D274:F274)&lt;&gt;0,G274&gt;=IF(A274&lt;DATEVALUE("2025/12/28")+TIMEVALUE("6:00"),20,18)/24/60),0,2-INT(G274*24*60/10)))</f>
        <v>2</v>
      </c>
      <c r="L274">
        <f t="shared" ref="L274" si="624">L273+K274</f>
        <v>336</v>
      </c>
      <c r="M274">
        <f t="shared" ref="M274" si="625">2+IF(A274&gt;=DATEVALUE("2025/11/30")+TIMEVALUE("6:00"),1,0)+IF(A274&gt;=DATEVALUE("2025/12/11")+TIMEVALUE("6:00"),1,0)</f>
        <v>4</v>
      </c>
      <c r="N274">
        <f t="shared" ref="N274" si="626">N273+M274*(INT(A274-6/24)-INT(A273-6/24))+O274</f>
        <v>335</v>
      </c>
      <c r="O274">
        <f t="shared" ref="O274" si="627">IF(A274&gt;=DATEVALUE("2025/11/8")+TIMEVALUE("6:00"),1,0)-IF(A273&gt;=DATEVALUE("2025/11/8")+TIMEVALUE("6:00"),1,0)
+IF(A274&gt;=DATEVALUE("2026/1/22")+TIMEVALUE("6:00"),3,0)-IF(A273&gt;=DATEVALUE("2026/1/22")+TIMEVALUE("6:00"),3,0)</f>
        <v>0</v>
      </c>
      <c r="P274" t="str">
        <f t="shared" ref="P274" si="628">IF(L274&lt;N274,"未達成（"&amp;N274-L274&amp;"）",IF(L274=N274,"達成","前倒し（"&amp;L274-N274&amp;"）"))</f>
        <v>前倒し（1）</v>
      </c>
      <c r="Q274">
        <f t="shared" ref="Q274" si="629">IF(B274="",NA(),G274)</f>
        <v>6.7245370373711921E-3</v>
      </c>
    </row>
    <row r="275" spans="1:17">
      <c r="A275" s="3">
        <v>46063.323738425926</v>
      </c>
      <c r="G275" s="5">
        <v>2.2800925944466144E-3</v>
      </c>
      <c r="H275" t="s">
        <v>604</v>
      </c>
      <c r="I275" t="s">
        <v>605</v>
      </c>
      <c r="J275">
        <v>1</v>
      </c>
      <c r="K275">
        <f t="shared" ref="K275" si="630">IF(A275&lt;DATEVALUE("2025/11/20")+TIMEVALUE("6:00"),1,IF(OR(B275&lt;&gt;60,SUM(D275:F275)&lt;&gt;0,G275&gt;=IF(A275&lt;DATEVALUE("2025/12/28")+TIMEVALUE("6:00"),20,18)/24/60),0,2-INT(G275*24*60/10)))</f>
        <v>0</v>
      </c>
      <c r="L275">
        <f t="shared" ref="L275" si="631">L274+K275</f>
        <v>336</v>
      </c>
      <c r="M275">
        <f t="shared" ref="M275" si="632">2+IF(A275&gt;=DATEVALUE("2025/11/30")+TIMEVALUE("6:00"),1,0)+IF(A275&gt;=DATEVALUE("2025/12/11")+TIMEVALUE("6:00"),1,0)</f>
        <v>4</v>
      </c>
      <c r="N275">
        <f t="shared" ref="N275" si="633">N274+M275*(INT(A275-6/24)-INT(A274-6/24))+O275</f>
        <v>339</v>
      </c>
      <c r="O275">
        <f t="shared" ref="O275" si="634">IF(A275&gt;=DATEVALUE("2025/11/8")+TIMEVALUE("6:00"),1,0)-IF(A274&gt;=DATEVALUE("2025/11/8")+TIMEVALUE("6:00"),1,0)
+IF(A275&gt;=DATEVALUE("2026/1/22")+TIMEVALUE("6:00"),3,0)-IF(A274&gt;=DATEVALUE("2026/1/22")+TIMEVALUE("6:00"),3,0)</f>
        <v>0</v>
      </c>
      <c r="P275" t="str">
        <f t="shared" ref="P275" si="635">IF(L275&lt;N275,"未達成（"&amp;N275-L275&amp;"）",IF(L275=N275,"達成","前倒し（"&amp;L275-N275&amp;"）"))</f>
        <v>未達成（3）</v>
      </c>
      <c r="Q275" t="e">
        <f t="shared" ref="Q275" si="636">IF(B275="",NA(),G275)</f>
        <v>#N/A</v>
      </c>
    </row>
    <row r="276" spans="1:17">
      <c r="A276" s="3">
        <v>46063.368935185186</v>
      </c>
      <c r="B276">
        <v>60</v>
      </c>
      <c r="C276">
        <v>6</v>
      </c>
      <c r="D276">
        <v>0</v>
      </c>
      <c r="E276">
        <v>0</v>
      </c>
      <c r="F276">
        <v>0</v>
      </c>
      <c r="G276" s="5">
        <v>4.7916666735545732E-3</v>
      </c>
      <c r="H276" t="s">
        <v>606</v>
      </c>
      <c r="I276" t="s">
        <v>607</v>
      </c>
      <c r="J276">
        <v>0</v>
      </c>
      <c r="K276">
        <f t="shared" ref="K276" si="637">IF(A276&lt;DATEVALUE("2025/11/20")+TIMEVALUE("6:00"),1,IF(OR(B276&lt;&gt;60,SUM(D276:F276)&lt;&gt;0,G276&gt;=IF(A276&lt;DATEVALUE("2025/12/28")+TIMEVALUE("6:00"),20,18)/24/60),0,2-INT(G276*24*60/10)))</f>
        <v>2</v>
      </c>
      <c r="L276">
        <f t="shared" ref="L276" si="638">L275+K276</f>
        <v>338</v>
      </c>
      <c r="M276">
        <f t="shared" ref="M276" si="639">2+IF(A276&gt;=DATEVALUE("2025/11/30")+TIMEVALUE("6:00"),1,0)+IF(A276&gt;=DATEVALUE("2025/12/11")+TIMEVALUE("6:00"),1,0)</f>
        <v>4</v>
      </c>
      <c r="N276">
        <f t="shared" ref="N276" si="640">N275+M276*(INT(A276-6/24)-INT(A275-6/24))+O276</f>
        <v>339</v>
      </c>
      <c r="O276">
        <f t="shared" ref="O276" si="641">IF(A276&gt;=DATEVALUE("2025/11/8")+TIMEVALUE("6:00"),1,0)-IF(A275&gt;=DATEVALUE("2025/11/8")+TIMEVALUE("6:00"),1,0)
+IF(A276&gt;=DATEVALUE("2026/1/22")+TIMEVALUE("6:00"),3,0)-IF(A275&gt;=DATEVALUE("2026/1/22")+TIMEVALUE("6:00"),3,0)</f>
        <v>0</v>
      </c>
      <c r="P276" t="str">
        <f t="shared" ref="P276" si="642">IF(L276&lt;N276,"未達成（"&amp;N276-L276&amp;"）",IF(L276=N276,"達成","前倒し（"&amp;L276-N276&amp;"）"))</f>
        <v>未達成（1）</v>
      </c>
      <c r="Q276">
        <f t="shared" ref="Q276" si="643">IF(B276="",NA(),G276)</f>
        <v>4.7916666735545732E-3</v>
      </c>
    </row>
    <row r="277" spans="1:17">
      <c r="A277" s="3">
        <v>46063.476840277777</v>
      </c>
      <c r="B277">
        <v>60</v>
      </c>
      <c r="C277">
        <v>20</v>
      </c>
      <c r="D277">
        <v>0</v>
      </c>
      <c r="E277">
        <v>0</v>
      </c>
      <c r="F277">
        <v>0</v>
      </c>
      <c r="G277" s="5">
        <v>3.8888888884685002E-3</v>
      </c>
      <c r="H277" t="s">
        <v>608</v>
      </c>
      <c r="I277" t="s">
        <v>609</v>
      </c>
      <c r="J277">
        <v>0</v>
      </c>
      <c r="K277">
        <f t="shared" ref="K277" si="644">IF(A277&lt;DATEVALUE("2025/11/20")+TIMEVALUE("6:00"),1,IF(OR(B277&lt;&gt;60,SUM(D277:F277)&lt;&gt;0,G277&gt;=IF(A277&lt;DATEVALUE("2025/12/28")+TIMEVALUE("6:00"),20,18)/24/60),0,2-INT(G277*24*60/10)))</f>
        <v>2</v>
      </c>
      <c r="L277">
        <f t="shared" ref="L277" si="645">L276+K277</f>
        <v>340</v>
      </c>
      <c r="M277">
        <f t="shared" ref="M277" si="646">2+IF(A277&gt;=DATEVALUE("2025/11/30")+TIMEVALUE("6:00"),1,0)+IF(A277&gt;=DATEVALUE("2025/12/11")+TIMEVALUE("6:00"),1,0)</f>
        <v>4</v>
      </c>
      <c r="N277">
        <f t="shared" ref="N277" si="647">N276+M277*(INT(A277-6/24)-INT(A276-6/24))+O277</f>
        <v>339</v>
      </c>
      <c r="O277">
        <f t="shared" ref="O277" si="648">IF(A277&gt;=DATEVALUE("2025/11/8")+TIMEVALUE("6:00"),1,0)-IF(A276&gt;=DATEVALUE("2025/11/8")+TIMEVALUE("6:00"),1,0)
+IF(A277&gt;=DATEVALUE("2026/1/22")+TIMEVALUE("6:00"),3,0)-IF(A276&gt;=DATEVALUE("2026/1/22")+TIMEVALUE("6:00"),3,0)</f>
        <v>0</v>
      </c>
      <c r="P277" t="str">
        <f t="shared" ref="P277" si="649">IF(L277&lt;N277,"未達成（"&amp;N277-L277&amp;"）",IF(L277=N277,"達成","前倒し（"&amp;L277-N277&amp;"）"))</f>
        <v>前倒し（1）</v>
      </c>
      <c r="Q277">
        <f t="shared" ref="Q277" si="650">IF(B277="",NA(),G277)</f>
        <v>3.8888888884685002E-3</v>
      </c>
    </row>
    <row r="278" spans="1:17">
      <c r="A278" s="3">
        <v>46064.307627314818</v>
      </c>
      <c r="B278">
        <v>60</v>
      </c>
      <c r="C278">
        <v>19</v>
      </c>
      <c r="D278">
        <v>0</v>
      </c>
      <c r="E278">
        <v>0</v>
      </c>
      <c r="F278">
        <v>0</v>
      </c>
      <c r="G278" s="5">
        <v>9.9652777789742686E-3</v>
      </c>
      <c r="H278" t="s">
        <v>610</v>
      </c>
      <c r="I278" t="s">
        <v>611</v>
      </c>
      <c r="J278">
        <v>0</v>
      </c>
      <c r="K278">
        <f t="shared" ref="K278" si="651">IF(A278&lt;DATEVALUE("2025/11/20")+TIMEVALUE("6:00"),1,IF(OR(B278&lt;&gt;60,SUM(D278:F278)&lt;&gt;0,G278&gt;=IF(A278&lt;DATEVALUE("2025/12/28")+TIMEVALUE("6:00"),20,18)/24/60),0,2-INT(G278*24*60/10)))</f>
        <v>1</v>
      </c>
      <c r="L278">
        <f t="shared" ref="L278" si="652">L277+K278</f>
        <v>341</v>
      </c>
      <c r="M278">
        <f t="shared" ref="M278" si="653">2+IF(A278&gt;=DATEVALUE("2025/11/30")+TIMEVALUE("6:00"),1,0)+IF(A278&gt;=DATEVALUE("2025/12/11")+TIMEVALUE("6:00"),1,0)</f>
        <v>4</v>
      </c>
      <c r="N278">
        <f t="shared" ref="N278" si="654">N277+M278*(INT(A278-6/24)-INT(A277-6/24))+O278</f>
        <v>343</v>
      </c>
      <c r="O278">
        <f t="shared" ref="O278" si="655">IF(A278&gt;=DATEVALUE("2025/11/8")+TIMEVALUE("6:00"),1,0)-IF(A277&gt;=DATEVALUE("2025/11/8")+TIMEVALUE("6:00"),1,0)
+IF(A278&gt;=DATEVALUE("2026/1/22")+TIMEVALUE("6:00"),3,0)-IF(A277&gt;=DATEVALUE("2026/1/22")+TIMEVALUE("6:00"),3,0)</f>
        <v>0</v>
      </c>
      <c r="P278" t="str">
        <f t="shared" ref="P278" si="656">IF(L278&lt;N278,"未達成（"&amp;N278-L278&amp;"）",IF(L278=N278,"達成","前倒し（"&amp;L278-N278&amp;"）"))</f>
        <v>未達成（2）</v>
      </c>
      <c r="Q278">
        <f t="shared" ref="Q278" si="657">IF(B278="",NA(),G278)</f>
        <v>9.9652777789742686E-3</v>
      </c>
    </row>
    <row r="279" spans="1:17">
      <c r="A279" s="3">
        <v>46064.317152777781</v>
      </c>
      <c r="B279">
        <v>55</v>
      </c>
      <c r="C279">
        <v>7</v>
      </c>
      <c r="D279">
        <v>0</v>
      </c>
      <c r="E279">
        <v>5</v>
      </c>
      <c r="F279">
        <v>0</v>
      </c>
      <c r="G279" s="5">
        <v>8.7384259313694201E-3</v>
      </c>
      <c r="H279" t="s">
        <v>612</v>
      </c>
      <c r="I279" t="s">
        <v>613</v>
      </c>
      <c r="J279">
        <v>0</v>
      </c>
      <c r="K279">
        <f t="shared" ref="K279" si="658">IF(A279&lt;DATEVALUE("2025/11/20")+TIMEVALUE("6:00"),1,IF(OR(B279&lt;&gt;60,SUM(D279:F279)&lt;&gt;0,G279&gt;=IF(A279&lt;DATEVALUE("2025/12/28")+TIMEVALUE("6:00"),20,18)/24/60),0,2-INT(G279*24*60/10)))</f>
        <v>0</v>
      </c>
      <c r="L279">
        <f t="shared" ref="L279" si="659">L278+K279</f>
        <v>341</v>
      </c>
      <c r="M279">
        <f t="shared" ref="M279" si="660">2+IF(A279&gt;=DATEVALUE("2025/11/30")+TIMEVALUE("6:00"),1,0)+IF(A279&gt;=DATEVALUE("2025/12/11")+TIMEVALUE("6:00"),1,0)</f>
        <v>4</v>
      </c>
      <c r="N279">
        <f t="shared" ref="N279" si="661">N278+M279*(INT(A279-6/24)-INT(A278-6/24))+O279</f>
        <v>343</v>
      </c>
      <c r="O279">
        <f t="shared" ref="O279" si="662">IF(A279&gt;=DATEVALUE("2025/11/8")+TIMEVALUE("6:00"),1,0)-IF(A278&gt;=DATEVALUE("2025/11/8")+TIMEVALUE("6:00"),1,0)
+IF(A279&gt;=DATEVALUE("2026/1/22")+TIMEVALUE("6:00"),3,0)-IF(A278&gt;=DATEVALUE("2026/1/22")+TIMEVALUE("6:00"),3,0)</f>
        <v>0</v>
      </c>
      <c r="P279" t="str">
        <f t="shared" ref="P279" si="663">IF(L279&lt;N279,"未達成（"&amp;N279-L279&amp;"）",IF(L279=N279,"達成","前倒し（"&amp;L279-N279&amp;"）"))</f>
        <v>未達成（2）</v>
      </c>
      <c r="Q279">
        <f t="shared" ref="Q279" si="664">IF(B279="",NA(),G279)</f>
        <v>8.7384259313694201E-3</v>
      </c>
    </row>
    <row r="280" spans="1:17">
      <c r="A280" s="3">
        <v>46064.323912037034</v>
      </c>
      <c r="B280">
        <v>60</v>
      </c>
      <c r="C280">
        <v>11</v>
      </c>
      <c r="D280">
        <v>0</v>
      </c>
      <c r="E280">
        <v>0</v>
      </c>
      <c r="F280">
        <v>0</v>
      </c>
      <c r="G280" s="5">
        <v>5.7175925903720781E-3</v>
      </c>
      <c r="H280" t="s">
        <v>614</v>
      </c>
      <c r="I280" t="s">
        <v>615</v>
      </c>
      <c r="J280">
        <v>0</v>
      </c>
      <c r="K280">
        <f t="shared" ref="K280" si="665">IF(A280&lt;DATEVALUE("2025/11/20")+TIMEVALUE("6:00"),1,IF(OR(B280&lt;&gt;60,SUM(D280:F280)&lt;&gt;0,G280&gt;=IF(A280&lt;DATEVALUE("2025/12/28")+TIMEVALUE("6:00"),20,18)/24/60),0,2-INT(G280*24*60/10)))</f>
        <v>2</v>
      </c>
      <c r="L280">
        <f t="shared" ref="L280" si="666">L279+K280</f>
        <v>343</v>
      </c>
      <c r="M280">
        <f t="shared" ref="M280" si="667">2+IF(A280&gt;=DATEVALUE("2025/11/30")+TIMEVALUE("6:00"),1,0)+IF(A280&gt;=DATEVALUE("2025/12/11")+TIMEVALUE("6:00"),1,0)</f>
        <v>4</v>
      </c>
      <c r="N280">
        <f t="shared" ref="N280" si="668">N279+M280*(INT(A280-6/24)-INT(A279-6/24))+O280</f>
        <v>343</v>
      </c>
      <c r="O280">
        <f t="shared" ref="O280" si="669">IF(A280&gt;=DATEVALUE("2025/11/8")+TIMEVALUE("6:00"),1,0)-IF(A279&gt;=DATEVALUE("2025/11/8")+TIMEVALUE("6:00"),1,0)
+IF(A280&gt;=DATEVALUE("2026/1/22")+TIMEVALUE("6:00"),3,0)-IF(A279&gt;=DATEVALUE("2026/1/22")+TIMEVALUE("6:00"),3,0)</f>
        <v>0</v>
      </c>
      <c r="P280" t="str">
        <f t="shared" ref="P280" si="670">IF(L280&lt;N280,"未達成（"&amp;N280-L280&amp;"）",IF(L280=N280,"達成","前倒し（"&amp;L280-N280&amp;"）"))</f>
        <v>達成</v>
      </c>
      <c r="Q280">
        <f t="shared" ref="Q280" si="671">IF(B280="",NA(),G280)</f>
        <v>5.7175925903720781E-3</v>
      </c>
    </row>
    <row r="281" spans="1:17">
      <c r="A281" s="3">
        <v>46065.287199074075</v>
      </c>
      <c r="B281">
        <v>60</v>
      </c>
      <c r="C281">
        <v>26</v>
      </c>
      <c r="D281">
        <v>0</v>
      </c>
      <c r="E281">
        <v>0</v>
      </c>
      <c r="F281">
        <v>0</v>
      </c>
      <c r="G281" s="5">
        <v>1.1863425927003846E-2</v>
      </c>
      <c r="H281" t="s">
        <v>616</v>
      </c>
      <c r="I281" t="s">
        <v>617</v>
      </c>
      <c r="J281">
        <v>0</v>
      </c>
      <c r="K281">
        <f t="shared" ref="K281" si="672">IF(A281&lt;DATEVALUE("2025/11/20")+TIMEVALUE("6:00"),1,IF(OR(B281&lt;&gt;60,SUM(D281:F281)&lt;&gt;0,G281&gt;=IF(A281&lt;DATEVALUE("2025/12/28")+TIMEVALUE("6:00"),20,18)/24/60),0,2-INT(G281*24*60/10)))</f>
        <v>1</v>
      </c>
      <c r="L281">
        <f t="shared" ref="L281" si="673">L280+K281</f>
        <v>344</v>
      </c>
      <c r="M281">
        <f t="shared" ref="M281" si="674">2+IF(A281&gt;=DATEVALUE("2025/11/30")+TIMEVALUE("6:00"),1,0)+IF(A281&gt;=DATEVALUE("2025/12/11")+TIMEVALUE("6:00"),1,0)</f>
        <v>4</v>
      </c>
      <c r="N281">
        <f t="shared" ref="N281" si="675">N280+M281*(INT(A281-6/24)-INT(A280-6/24))+O281</f>
        <v>347</v>
      </c>
      <c r="O281">
        <f t="shared" ref="O281" si="676">IF(A281&gt;=DATEVALUE("2025/11/8")+TIMEVALUE("6:00"),1,0)-IF(A280&gt;=DATEVALUE("2025/11/8")+TIMEVALUE("6:00"),1,0)
+IF(A281&gt;=DATEVALUE("2026/1/22")+TIMEVALUE("6:00"),3,0)-IF(A280&gt;=DATEVALUE("2026/1/22")+TIMEVALUE("6:00"),3,0)</f>
        <v>0</v>
      </c>
      <c r="P281" t="str">
        <f t="shared" ref="P281" si="677">IF(L281&lt;N281,"未達成（"&amp;N281-L281&amp;"）",IF(L281=N281,"達成","前倒し（"&amp;L281-N281&amp;"）"))</f>
        <v>未達成（3）</v>
      </c>
      <c r="Q281">
        <f t="shared" ref="Q281" si="678">IF(B281="",NA(),G281)</f>
        <v>1.1863425927003846E-2</v>
      </c>
    </row>
    <row r="282" spans="1:17">
      <c r="A282" s="3">
        <v>46065.298506944448</v>
      </c>
      <c r="B282">
        <v>60</v>
      </c>
      <c r="C282">
        <v>15</v>
      </c>
      <c r="D282">
        <v>0</v>
      </c>
      <c r="E282">
        <v>0</v>
      </c>
      <c r="F282">
        <v>0</v>
      </c>
      <c r="G282" s="5">
        <v>1.0497685187146999E-2</v>
      </c>
      <c r="H282" t="s">
        <v>618</v>
      </c>
      <c r="I282" t="s">
        <v>619</v>
      </c>
      <c r="J282">
        <v>0</v>
      </c>
      <c r="K282">
        <f t="shared" ref="K282" si="679">IF(A282&lt;DATEVALUE("2025/11/20")+TIMEVALUE("6:00"),1,IF(OR(B282&lt;&gt;60,SUM(D282:F282)&lt;&gt;0,G282&gt;=IF(A282&lt;DATEVALUE("2025/12/28")+TIMEVALUE("6:00"),20,18)/24/60),0,2-INT(G282*24*60/10)))</f>
        <v>1</v>
      </c>
      <c r="L282">
        <f t="shared" ref="L282" si="680">L281+K282</f>
        <v>345</v>
      </c>
      <c r="M282">
        <f t="shared" ref="M282" si="681">2+IF(A282&gt;=DATEVALUE("2025/11/30")+TIMEVALUE("6:00"),1,0)+IF(A282&gt;=DATEVALUE("2025/12/11")+TIMEVALUE("6:00"),1,0)</f>
        <v>4</v>
      </c>
      <c r="N282">
        <f t="shared" ref="N282" si="682">N281+M282*(INT(A282-6/24)-INT(A281-6/24))+O282</f>
        <v>347</v>
      </c>
      <c r="O282">
        <f t="shared" ref="O282" si="683">IF(A282&gt;=DATEVALUE("2025/11/8")+TIMEVALUE("6:00"),1,0)-IF(A281&gt;=DATEVALUE("2025/11/8")+TIMEVALUE("6:00"),1,0)
+IF(A282&gt;=DATEVALUE("2026/1/22")+TIMEVALUE("6:00"),3,0)-IF(A281&gt;=DATEVALUE("2026/1/22")+TIMEVALUE("6:00"),3,0)</f>
        <v>0</v>
      </c>
      <c r="P282" t="str">
        <f t="shared" ref="P282" si="684">IF(L282&lt;N282,"未達成（"&amp;N282-L282&amp;"）",IF(L282=N282,"達成","前倒し（"&amp;L282-N282&amp;"）"))</f>
        <v>未達成（2）</v>
      </c>
      <c r="Q282">
        <f t="shared" ref="Q282" si="685">IF(B282="",NA(),G282)</f>
        <v>1.0497685187146999E-2</v>
      </c>
    </row>
    <row r="283" spans="1:17">
      <c r="A283" s="3">
        <v>46065.31585648148</v>
      </c>
      <c r="B283">
        <v>60</v>
      </c>
      <c r="C283">
        <v>11</v>
      </c>
      <c r="D283">
        <v>0</v>
      </c>
      <c r="E283">
        <v>0</v>
      </c>
      <c r="F283">
        <v>0</v>
      </c>
      <c r="G283" s="5">
        <v>4.9537037048139609E-3</v>
      </c>
      <c r="H283" t="s">
        <v>620</v>
      </c>
      <c r="I283" t="s">
        <v>621</v>
      </c>
      <c r="J283">
        <v>0</v>
      </c>
      <c r="K283">
        <f t="shared" ref="K283" si="686">IF(A283&lt;DATEVALUE("2025/11/20")+TIMEVALUE("6:00"),1,IF(OR(B283&lt;&gt;60,SUM(D283:F283)&lt;&gt;0,G283&gt;=IF(A283&lt;DATEVALUE("2025/12/28")+TIMEVALUE("6:00"),20,18)/24/60),0,2-INT(G283*24*60/10)))</f>
        <v>2</v>
      </c>
      <c r="L283">
        <f t="shared" ref="L283" si="687">L282+K283</f>
        <v>347</v>
      </c>
      <c r="M283">
        <f t="shared" ref="M283" si="688">2+IF(A283&gt;=DATEVALUE("2025/11/30")+TIMEVALUE("6:00"),1,0)+IF(A283&gt;=DATEVALUE("2025/12/11")+TIMEVALUE("6:00"),1,0)</f>
        <v>4</v>
      </c>
      <c r="N283">
        <f t="shared" ref="N283" si="689">N282+M283*(INT(A283-6/24)-INT(A282-6/24))+O283</f>
        <v>347</v>
      </c>
      <c r="O283">
        <f t="shared" ref="O283" si="690">IF(A283&gt;=DATEVALUE("2025/11/8")+TIMEVALUE("6:00"),1,0)-IF(A282&gt;=DATEVALUE("2025/11/8")+TIMEVALUE("6:00"),1,0)
+IF(A283&gt;=DATEVALUE("2026/1/22")+TIMEVALUE("6:00"),3,0)-IF(A282&gt;=DATEVALUE("2026/1/22")+TIMEVALUE("6:00"),3,0)</f>
        <v>0</v>
      </c>
      <c r="P283" t="str">
        <f t="shared" ref="P283" si="691">IF(L283&lt;N283,"未達成（"&amp;N283-L283&amp;"）",IF(L283=N283,"達成","前倒し（"&amp;L283-N283&amp;"）"))</f>
        <v>達成</v>
      </c>
      <c r="Q283">
        <f t="shared" ref="Q283" si="692">IF(B283="",NA(),G283)</f>
        <v>4.9537037048139609E-3</v>
      </c>
    </row>
    <row r="284" spans="1:17">
      <c r="A284" s="3">
        <v>46066.28324074074</v>
      </c>
      <c r="B284">
        <v>60</v>
      </c>
      <c r="C284">
        <v>24</v>
      </c>
      <c r="D284">
        <v>0</v>
      </c>
      <c r="E284">
        <v>0</v>
      </c>
      <c r="F284">
        <v>0</v>
      </c>
      <c r="G284" s="5">
        <v>6.9907407378195785E-3</v>
      </c>
      <c r="H284" t="s">
        <v>622</v>
      </c>
      <c r="I284" t="s">
        <v>623</v>
      </c>
      <c r="J284">
        <v>0</v>
      </c>
      <c r="K284">
        <f t="shared" ref="K284" si="693">IF(A284&lt;DATEVALUE("2025/11/20")+TIMEVALUE("6:00"),1,IF(OR(B284&lt;&gt;60,SUM(D284:F284)&lt;&gt;0,G284&gt;=IF(A284&lt;DATEVALUE("2025/12/28")+TIMEVALUE("6:00"),20,18)/24/60),0,2-INT(G284*24*60/10)))</f>
        <v>1</v>
      </c>
      <c r="L284">
        <f t="shared" ref="L284" si="694">L283+K284</f>
        <v>348</v>
      </c>
      <c r="M284">
        <f t="shared" ref="M284" si="695">2+IF(A284&gt;=DATEVALUE("2025/11/30")+TIMEVALUE("6:00"),1,0)+IF(A284&gt;=DATEVALUE("2025/12/11")+TIMEVALUE("6:00"),1,0)</f>
        <v>4</v>
      </c>
      <c r="N284">
        <f t="shared" ref="N284" si="696">N283+M284*(INT(A284-6/24)-INT(A283-6/24))+O284</f>
        <v>351</v>
      </c>
      <c r="O284">
        <f t="shared" ref="O284" si="697">IF(A284&gt;=DATEVALUE("2025/11/8")+TIMEVALUE("6:00"),1,0)-IF(A283&gt;=DATEVALUE("2025/11/8")+TIMEVALUE("6:00"),1,0)
+IF(A284&gt;=DATEVALUE("2026/1/22")+TIMEVALUE("6:00"),3,0)-IF(A283&gt;=DATEVALUE("2026/1/22")+TIMEVALUE("6:00"),3,0)</f>
        <v>0</v>
      </c>
      <c r="P284" t="str">
        <f t="shared" ref="P284" si="698">IF(L284&lt;N284,"未達成（"&amp;N284-L284&amp;"）",IF(L284=N284,"達成","前倒し（"&amp;L284-N284&amp;"）"))</f>
        <v>未達成（3）</v>
      </c>
      <c r="Q284">
        <f t="shared" ref="Q284" si="699">IF(B284="",NA(),G284)</f>
        <v>6.9907407378195785E-3</v>
      </c>
    </row>
    <row r="285" spans="1:17">
      <c r="A285" s="3">
        <v>46066.288854166669</v>
      </c>
      <c r="B285">
        <v>60</v>
      </c>
      <c r="C285">
        <v>20</v>
      </c>
      <c r="D285">
        <v>0</v>
      </c>
      <c r="E285">
        <v>0</v>
      </c>
      <c r="F285">
        <v>0</v>
      </c>
      <c r="G285" s="5">
        <v>4.8611111124046147E-3</v>
      </c>
      <c r="H285" t="s">
        <v>624</v>
      </c>
      <c r="I285" t="s">
        <v>625</v>
      </c>
      <c r="J285">
        <v>0</v>
      </c>
      <c r="K285">
        <f t="shared" ref="K285" si="700">IF(A285&lt;DATEVALUE("2025/11/20")+TIMEVALUE("6:00"),1,IF(OR(B285&lt;&gt;60,SUM(D285:F285)&lt;&gt;0,G285&gt;=IF(A285&lt;DATEVALUE("2025/12/28")+TIMEVALUE("6:00"),20,18)/24/60),0,2-INT(G285*24*60/10)))</f>
        <v>2</v>
      </c>
      <c r="L285">
        <f t="shared" ref="L285" si="701">L284+K285</f>
        <v>350</v>
      </c>
      <c r="M285">
        <f t="shared" ref="M285" si="702">2+IF(A285&gt;=DATEVALUE("2025/11/30")+TIMEVALUE("6:00"),1,0)+IF(A285&gt;=DATEVALUE("2025/12/11")+TIMEVALUE("6:00"),1,0)</f>
        <v>4</v>
      </c>
      <c r="N285">
        <f t="shared" ref="N285" si="703">N284+M285*(INT(A285-6/24)-INT(A284-6/24))+O285</f>
        <v>351</v>
      </c>
      <c r="O285">
        <f t="shared" ref="O285" si="704">IF(A285&gt;=DATEVALUE("2025/11/8")+TIMEVALUE("6:00"),1,0)-IF(A284&gt;=DATEVALUE("2025/11/8")+TIMEVALUE("6:00"),1,0)
+IF(A285&gt;=DATEVALUE("2026/1/22")+TIMEVALUE("6:00"),3,0)-IF(A284&gt;=DATEVALUE("2026/1/22")+TIMEVALUE("6:00"),3,0)</f>
        <v>0</v>
      </c>
      <c r="P285" t="str">
        <f t="shared" ref="P285" si="705">IF(L285&lt;N285,"未達成（"&amp;N285-L285&amp;"）",IF(L285=N285,"達成","前倒し（"&amp;L285-N285&amp;"）"))</f>
        <v>未達成（1）</v>
      </c>
      <c r="Q285">
        <f t="shared" ref="Q285" si="706">IF(B285="",NA(),G285)</f>
        <v>4.8611111124046147E-3</v>
      </c>
    </row>
    <row r="286" spans="1:17">
      <c r="A286" s="3">
        <v>46066.301921296297</v>
      </c>
      <c r="B286">
        <v>60</v>
      </c>
      <c r="C286">
        <v>15</v>
      </c>
      <c r="D286">
        <v>0</v>
      </c>
      <c r="E286">
        <v>0</v>
      </c>
      <c r="F286">
        <v>0</v>
      </c>
      <c r="G286" s="5">
        <v>1.2199074073578231E-2</v>
      </c>
      <c r="H286" t="s">
        <v>626</v>
      </c>
      <c r="I286" t="s">
        <v>627</v>
      </c>
      <c r="J286">
        <v>0</v>
      </c>
      <c r="K286">
        <f t="shared" ref="K286" si="707">IF(A286&lt;DATEVALUE("2025/11/20")+TIMEVALUE("6:00"),1,IF(OR(B286&lt;&gt;60,SUM(D286:F286)&lt;&gt;0,G286&gt;=IF(A286&lt;DATEVALUE("2025/12/28")+TIMEVALUE("6:00"),20,18)/24/60),0,2-INT(G286*24*60/10)))</f>
        <v>1</v>
      </c>
      <c r="L286">
        <f t="shared" ref="L286" si="708">L285+K286</f>
        <v>351</v>
      </c>
      <c r="M286">
        <f t="shared" ref="M286" si="709">2+IF(A286&gt;=DATEVALUE("2025/11/30")+TIMEVALUE("6:00"),1,0)+IF(A286&gt;=DATEVALUE("2025/12/11")+TIMEVALUE("6:00"),1,0)</f>
        <v>4</v>
      </c>
      <c r="N286">
        <f t="shared" ref="N286" si="710">N285+M286*(INT(A286-6/24)-INT(A285-6/24))+O286</f>
        <v>351</v>
      </c>
      <c r="O286">
        <f t="shared" ref="O286" si="711">IF(A286&gt;=DATEVALUE("2025/11/8")+TIMEVALUE("6:00"),1,0)-IF(A285&gt;=DATEVALUE("2025/11/8")+TIMEVALUE("6:00"),1,0)
+IF(A286&gt;=DATEVALUE("2026/1/22")+TIMEVALUE("6:00"),3,0)-IF(A285&gt;=DATEVALUE("2026/1/22")+TIMEVALUE("6:00"),3,0)</f>
        <v>0</v>
      </c>
      <c r="P286" t="str">
        <f t="shared" ref="P286" si="712">IF(L286&lt;N286,"未達成（"&amp;N286-L286&amp;"）",IF(L286=N286,"達成","前倒し（"&amp;L286-N286&amp;"）"))</f>
        <v>達成</v>
      </c>
      <c r="Q286">
        <f t="shared" ref="Q286" si="713">IF(B286="",NA(),G286)</f>
        <v>1.2199074073578231E-2</v>
      </c>
    </row>
    <row r="287" spans="1:17">
      <c r="A287" s="3">
        <v>46067.296168981484</v>
      </c>
      <c r="B287">
        <v>60</v>
      </c>
      <c r="C287">
        <v>17</v>
      </c>
      <c r="D287">
        <v>0</v>
      </c>
      <c r="E287">
        <v>0</v>
      </c>
      <c r="F287">
        <v>0</v>
      </c>
      <c r="G287" s="5">
        <v>8.1250000002910383E-3</v>
      </c>
      <c r="H287" t="s">
        <v>628</v>
      </c>
      <c r="I287" t="s">
        <v>629</v>
      </c>
      <c r="J287">
        <v>0</v>
      </c>
      <c r="K287">
        <f t="shared" ref="K287" si="714">IF(A287&lt;DATEVALUE("2025/11/20")+TIMEVALUE("6:00"),1,IF(OR(B287&lt;&gt;60,SUM(D287:F287)&lt;&gt;0,G287&gt;=IF(A287&lt;DATEVALUE("2025/12/28")+TIMEVALUE("6:00"),20,18)/24/60),0,2-INT(G287*24*60/10)))</f>
        <v>1</v>
      </c>
      <c r="L287">
        <f t="shared" ref="L287" si="715">L286+K287</f>
        <v>352</v>
      </c>
      <c r="M287">
        <f t="shared" ref="M287" si="716">2+IF(A287&gt;=DATEVALUE("2025/11/30")+TIMEVALUE("6:00"),1,0)+IF(A287&gt;=DATEVALUE("2025/12/11")+TIMEVALUE("6:00"),1,0)</f>
        <v>4</v>
      </c>
      <c r="N287">
        <f t="shared" ref="N287" si="717">N286+M287*(INT(A287-6/24)-INT(A286-6/24))+O287</f>
        <v>355</v>
      </c>
      <c r="O287">
        <f t="shared" ref="O287" si="718">IF(A287&gt;=DATEVALUE("2025/11/8")+TIMEVALUE("6:00"),1,0)-IF(A286&gt;=DATEVALUE("2025/11/8")+TIMEVALUE("6:00"),1,0)
+IF(A287&gt;=DATEVALUE("2026/1/22")+TIMEVALUE("6:00"),3,0)-IF(A286&gt;=DATEVALUE("2026/1/22")+TIMEVALUE("6:00"),3,0)</f>
        <v>0</v>
      </c>
      <c r="P287" t="str">
        <f t="shared" ref="P287" si="719">IF(L287&lt;N287,"未達成（"&amp;N287-L287&amp;"）",IF(L287=N287,"達成","前倒し（"&amp;L287-N287&amp;"）"))</f>
        <v>未達成（3）</v>
      </c>
      <c r="Q287">
        <f t="shared" ref="Q287" si="720">IF(B287="",NA(),G287)</f>
        <v>8.1250000002910383E-3</v>
      </c>
    </row>
    <row r="288" spans="1:17">
      <c r="A288" s="3">
        <v>46067.302523148152</v>
      </c>
      <c r="B288">
        <v>57</v>
      </c>
      <c r="C288">
        <v>14</v>
      </c>
      <c r="D288">
        <v>0</v>
      </c>
      <c r="E288">
        <v>3</v>
      </c>
      <c r="F288">
        <v>0</v>
      </c>
      <c r="G288" s="5">
        <v>5.0810185202863067E-3</v>
      </c>
      <c r="H288" t="s">
        <v>630</v>
      </c>
      <c r="I288" t="s">
        <v>631</v>
      </c>
      <c r="J288">
        <v>0</v>
      </c>
      <c r="K288">
        <f t="shared" ref="K288" si="721">IF(A288&lt;DATEVALUE("2025/11/20")+TIMEVALUE("6:00"),1,IF(OR(B288&lt;&gt;60,SUM(D288:F288)&lt;&gt;0,G288&gt;=IF(A288&lt;DATEVALUE("2025/12/28")+TIMEVALUE("6:00"),20,18)/24/60),0,2-INT(G288*24*60/10)))</f>
        <v>0</v>
      </c>
      <c r="L288">
        <f t="shared" ref="L288" si="722">L287+K288</f>
        <v>352</v>
      </c>
      <c r="M288">
        <f t="shared" ref="M288" si="723">2+IF(A288&gt;=DATEVALUE("2025/11/30")+TIMEVALUE("6:00"),1,0)+IF(A288&gt;=DATEVALUE("2025/12/11")+TIMEVALUE("6:00"),1,0)</f>
        <v>4</v>
      </c>
      <c r="N288">
        <f t="shared" ref="N288" si="724">N287+M288*(INT(A288-6/24)-INT(A287-6/24))+O288</f>
        <v>355</v>
      </c>
      <c r="O288">
        <f t="shared" ref="O288" si="725">IF(A288&gt;=DATEVALUE("2025/11/8")+TIMEVALUE("6:00"),1,0)-IF(A287&gt;=DATEVALUE("2025/11/8")+TIMEVALUE("6:00"),1,0)
+IF(A288&gt;=DATEVALUE("2026/1/22")+TIMEVALUE("6:00"),3,0)-IF(A287&gt;=DATEVALUE("2026/1/22")+TIMEVALUE("6:00"),3,0)</f>
        <v>0</v>
      </c>
      <c r="P288" t="str">
        <f t="shared" ref="P288" si="726">IF(L288&lt;N288,"未達成（"&amp;N288-L288&amp;"）",IF(L288=N288,"達成","前倒し（"&amp;L288-N288&amp;"）"))</f>
        <v>未達成（3）</v>
      </c>
      <c r="Q288">
        <f t="shared" ref="Q288" si="727">IF(B288="",NA(),G288)</f>
        <v>5.0810185202863067E-3</v>
      </c>
    </row>
    <row r="289" spans="1:17">
      <c r="A289" s="3">
        <v>46067.313206018516</v>
      </c>
      <c r="B289">
        <v>55</v>
      </c>
      <c r="C289">
        <v>12</v>
      </c>
      <c r="D289">
        <v>0</v>
      </c>
      <c r="E289">
        <v>5</v>
      </c>
      <c r="F289">
        <v>0</v>
      </c>
      <c r="G289" s="5">
        <v>1.003472221782431E-2</v>
      </c>
      <c r="H289" t="s">
        <v>632</v>
      </c>
      <c r="I289" t="s">
        <v>633</v>
      </c>
      <c r="J289">
        <v>0</v>
      </c>
      <c r="K289">
        <f t="shared" ref="K289" si="728">IF(A289&lt;DATEVALUE("2025/11/20")+TIMEVALUE("6:00"),1,IF(OR(B289&lt;&gt;60,SUM(D289:F289)&lt;&gt;0,G289&gt;=IF(A289&lt;DATEVALUE("2025/12/28")+TIMEVALUE("6:00"),20,18)/24/60),0,2-INT(G289*24*60/10)))</f>
        <v>0</v>
      </c>
      <c r="L289">
        <f t="shared" ref="L289" si="729">L288+K289</f>
        <v>352</v>
      </c>
      <c r="M289">
        <f t="shared" ref="M289" si="730">2+IF(A289&gt;=DATEVALUE("2025/11/30")+TIMEVALUE("6:00"),1,0)+IF(A289&gt;=DATEVALUE("2025/12/11")+TIMEVALUE("6:00"),1,0)</f>
        <v>4</v>
      </c>
      <c r="N289">
        <f t="shared" ref="N289" si="731">N288+M289*(INT(A289-6/24)-INT(A288-6/24))+O289</f>
        <v>355</v>
      </c>
      <c r="O289">
        <f t="shared" ref="O289" si="732">IF(A289&gt;=DATEVALUE("2025/11/8")+TIMEVALUE("6:00"),1,0)-IF(A288&gt;=DATEVALUE("2025/11/8")+TIMEVALUE("6:00"),1,0)
+IF(A289&gt;=DATEVALUE("2026/1/22")+TIMEVALUE("6:00"),3,0)-IF(A288&gt;=DATEVALUE("2026/1/22")+TIMEVALUE("6:00"),3,0)</f>
        <v>0</v>
      </c>
      <c r="P289" t="str">
        <f t="shared" ref="P289" si="733">IF(L289&lt;N289,"未達成（"&amp;N289-L289&amp;"）",IF(L289=N289,"達成","前倒し（"&amp;L289-N289&amp;"）"))</f>
        <v>未達成（3）</v>
      </c>
      <c r="Q289">
        <f t="shared" ref="Q289" si="734">IF(B289="",NA(),G289)</f>
        <v>1.003472221782431E-2</v>
      </c>
    </row>
    <row r="290" spans="1:17">
      <c r="A290" s="3">
        <v>46067.319328703707</v>
      </c>
      <c r="B290">
        <v>60</v>
      </c>
      <c r="C290">
        <v>12</v>
      </c>
      <c r="D290">
        <v>0</v>
      </c>
      <c r="E290">
        <v>0</v>
      </c>
      <c r="F290">
        <v>0</v>
      </c>
      <c r="G290" s="5">
        <v>5.6828703745850362E-3</v>
      </c>
      <c r="H290" t="s">
        <v>634</v>
      </c>
      <c r="I290" t="s">
        <v>635</v>
      </c>
      <c r="J290">
        <v>0</v>
      </c>
      <c r="K290">
        <f t="shared" ref="K290" si="735">IF(A290&lt;DATEVALUE("2025/11/20")+TIMEVALUE("6:00"),1,IF(OR(B290&lt;&gt;60,SUM(D290:F290)&lt;&gt;0,G290&gt;=IF(A290&lt;DATEVALUE("2025/12/28")+TIMEVALUE("6:00"),20,18)/24/60),0,2-INT(G290*24*60/10)))</f>
        <v>2</v>
      </c>
      <c r="L290">
        <f t="shared" ref="L290" si="736">L289+K290</f>
        <v>354</v>
      </c>
      <c r="M290">
        <f t="shared" ref="M290" si="737">2+IF(A290&gt;=DATEVALUE("2025/11/30")+TIMEVALUE("6:00"),1,0)+IF(A290&gt;=DATEVALUE("2025/12/11")+TIMEVALUE("6:00"),1,0)</f>
        <v>4</v>
      </c>
      <c r="N290">
        <f t="shared" ref="N290" si="738">N289+M290*(INT(A290-6/24)-INT(A289-6/24))+O290</f>
        <v>355</v>
      </c>
      <c r="O290">
        <f t="shared" ref="O290" si="739">IF(A290&gt;=DATEVALUE("2025/11/8")+TIMEVALUE("6:00"),1,0)-IF(A289&gt;=DATEVALUE("2025/11/8")+TIMEVALUE("6:00"),1,0)
+IF(A290&gt;=DATEVALUE("2026/1/22")+TIMEVALUE("6:00"),3,0)-IF(A289&gt;=DATEVALUE("2026/1/22")+TIMEVALUE("6:00"),3,0)</f>
        <v>0</v>
      </c>
      <c r="P290" t="str">
        <f t="shared" ref="P290" si="740">IF(L290&lt;N290,"未達成（"&amp;N290-L290&amp;"）",IF(L290=N290,"達成","前倒し（"&amp;L290-N290&amp;"）"))</f>
        <v>未達成（1）</v>
      </c>
      <c r="Q290">
        <f t="shared" ref="Q290" si="741">IF(B290="",NA(),G290)</f>
        <v>5.6828703745850362E-3</v>
      </c>
    </row>
    <row r="291" spans="1:17">
      <c r="A291" s="3">
        <v>46067.367638888885</v>
      </c>
      <c r="G291" s="5">
        <v>1.5393518478958867E-3</v>
      </c>
      <c r="H291" t="s">
        <v>636</v>
      </c>
      <c r="I291" t="s">
        <v>637</v>
      </c>
      <c r="J291">
        <v>1</v>
      </c>
      <c r="K291">
        <f t="shared" ref="K291" si="742">IF(A291&lt;DATEVALUE("2025/11/20")+TIMEVALUE("6:00"),1,IF(OR(B291&lt;&gt;60,SUM(D291:F291)&lt;&gt;0,G291&gt;=IF(A291&lt;DATEVALUE("2025/12/28")+TIMEVALUE("6:00"),20,18)/24/60),0,2-INT(G291*24*60/10)))</f>
        <v>0</v>
      </c>
      <c r="L291">
        <f t="shared" ref="L291" si="743">L290+K291</f>
        <v>354</v>
      </c>
      <c r="M291">
        <f t="shared" ref="M291" si="744">2+IF(A291&gt;=DATEVALUE("2025/11/30")+TIMEVALUE("6:00"),1,0)+IF(A291&gt;=DATEVALUE("2025/12/11")+TIMEVALUE("6:00"),1,0)</f>
        <v>4</v>
      </c>
      <c r="N291">
        <f t="shared" ref="N291" si="745">N290+M291*(INT(A291-6/24)-INT(A290-6/24))+O291</f>
        <v>355</v>
      </c>
      <c r="O291">
        <f t="shared" ref="O291" si="746">IF(A291&gt;=DATEVALUE("2025/11/8")+TIMEVALUE("6:00"),1,0)-IF(A290&gt;=DATEVALUE("2025/11/8")+TIMEVALUE("6:00"),1,0)
+IF(A291&gt;=DATEVALUE("2026/1/22")+TIMEVALUE("6:00"),3,0)-IF(A290&gt;=DATEVALUE("2026/1/22")+TIMEVALUE("6:00"),3,0)</f>
        <v>0</v>
      </c>
      <c r="P291" t="str">
        <f t="shared" ref="P291" si="747">IF(L291&lt;N291,"未達成（"&amp;N291-L291&amp;"）",IF(L291=N291,"達成","前倒し（"&amp;L291-N291&amp;"）"))</f>
        <v>未達成（1）</v>
      </c>
      <c r="Q291" t="e">
        <f t="shared" ref="Q291" si="748">IF(B291="",NA(),G291)</f>
        <v>#N/A</v>
      </c>
    </row>
    <row r="292" spans="1:17">
      <c r="A292" s="3">
        <v>46067.445856481485</v>
      </c>
      <c r="B292">
        <v>60</v>
      </c>
      <c r="C292">
        <v>5</v>
      </c>
      <c r="D292">
        <v>0</v>
      </c>
      <c r="E292">
        <v>0</v>
      </c>
      <c r="F292">
        <v>0</v>
      </c>
      <c r="G292" s="5">
        <v>7.928240745968651E-3</v>
      </c>
      <c r="H292" t="s">
        <v>638</v>
      </c>
      <c r="I292" t="s">
        <v>639</v>
      </c>
      <c r="J292">
        <v>0</v>
      </c>
      <c r="K292">
        <f t="shared" ref="K292" si="749">IF(A292&lt;DATEVALUE("2025/11/20")+TIMEVALUE("6:00"),1,IF(OR(B292&lt;&gt;60,SUM(D292:F292)&lt;&gt;0,G292&gt;=IF(A292&lt;DATEVALUE("2025/12/28")+TIMEVALUE("6:00"),20,18)/24/60),0,2-INT(G292*24*60/10)))</f>
        <v>1</v>
      </c>
      <c r="L292">
        <f t="shared" ref="L292" si="750">L291+K292</f>
        <v>355</v>
      </c>
      <c r="M292">
        <f t="shared" ref="M292" si="751">2+IF(A292&gt;=DATEVALUE("2025/11/30")+TIMEVALUE("6:00"),1,0)+IF(A292&gt;=DATEVALUE("2025/12/11")+TIMEVALUE("6:00"),1,0)</f>
        <v>4</v>
      </c>
      <c r="N292">
        <f t="shared" ref="N292" si="752">N291+M292*(INT(A292-6/24)-INT(A291-6/24))+O292</f>
        <v>355</v>
      </c>
      <c r="O292">
        <f t="shared" ref="O292" si="753">IF(A292&gt;=DATEVALUE("2025/11/8")+TIMEVALUE("6:00"),1,0)-IF(A291&gt;=DATEVALUE("2025/11/8")+TIMEVALUE("6:00"),1,0)
+IF(A292&gt;=DATEVALUE("2026/1/22")+TIMEVALUE("6:00"),3,0)-IF(A291&gt;=DATEVALUE("2026/1/22")+TIMEVALUE("6:00"),3,0)</f>
        <v>0</v>
      </c>
      <c r="P292" t="str">
        <f t="shared" ref="P292" si="754">IF(L292&lt;N292,"未達成（"&amp;N292-L292&amp;"）",IF(L292=N292,"達成","前倒し（"&amp;L292-N292&amp;"）"))</f>
        <v>達成</v>
      </c>
      <c r="Q292">
        <f t="shared" ref="Q292" si="755">IF(B292="",NA(),G292)</f>
        <v>7.928240745968651E-3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46067.439479166664</v>
      </c>
      <c r="D3" s="25"/>
    </row>
    <row r="4" spans="1:4">
      <c r="A4" t="s">
        <v>338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2026-02-14T01:43:45Z</dcterms:modified>
</cp:coreProperties>
</file>
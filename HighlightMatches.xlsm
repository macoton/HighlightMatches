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5B73D15-B32A-4E24-8D7A-BD9F1B57A44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9" i="4" l="1"/>
  <c r="O359" i="4"/>
  <c r="M359" i="4"/>
  <c r="N359" i="4" s="1"/>
  <c r="K359" i="4"/>
  <c r="L359" i="4" s="1"/>
  <c r="Q358" i="4"/>
  <c r="O358" i="4"/>
  <c r="M358" i="4"/>
  <c r="N358" i="4" s="1"/>
  <c r="K358" i="4"/>
  <c r="L358" i="4" s="1"/>
  <c r="Q357" i="4"/>
  <c r="O357" i="4"/>
  <c r="M357" i="4"/>
  <c r="N357" i="4" s="1"/>
  <c r="K357" i="4"/>
  <c r="L357" i="4" s="1"/>
  <c r="P357" i="4" s="1"/>
  <c r="Q356" i="4"/>
  <c r="O356" i="4"/>
  <c r="M356" i="4"/>
  <c r="N356" i="4" s="1"/>
  <c r="K356" i="4"/>
  <c r="L356" i="4" s="1"/>
  <c r="Q355" i="4"/>
  <c r="O355" i="4"/>
  <c r="M355" i="4"/>
  <c r="N355" i="4" s="1"/>
  <c r="K355" i="4"/>
  <c r="L355" i="4" s="1"/>
  <c r="Q354" i="4"/>
  <c r="O354" i="4"/>
  <c r="M354" i="4"/>
  <c r="N354" i="4" s="1"/>
  <c r="K354" i="4"/>
  <c r="L354" i="4" s="1"/>
  <c r="Q353" i="4"/>
  <c r="O353" i="4"/>
  <c r="M353" i="4"/>
  <c r="N353" i="4" s="1"/>
  <c r="K353" i="4"/>
  <c r="L353" i="4" s="1"/>
  <c r="Q352" i="4"/>
  <c r="O352" i="4"/>
  <c r="M352" i="4"/>
  <c r="N352" i="4" s="1"/>
  <c r="K352" i="4"/>
  <c r="L352" i="4" s="1"/>
  <c r="P352" i="4" s="1"/>
  <c r="Q351" i="4"/>
  <c r="O351" i="4"/>
  <c r="M351" i="4"/>
  <c r="N351" i="4" s="1"/>
  <c r="K351" i="4"/>
  <c r="L351" i="4" s="1"/>
  <c r="P351" i="4" s="1"/>
  <c r="Q350" i="4"/>
  <c r="O350" i="4"/>
  <c r="M350" i="4"/>
  <c r="N350" i="4" s="1"/>
  <c r="K350" i="4"/>
  <c r="L350" i="4" s="1"/>
  <c r="P350" i="4" s="1"/>
  <c r="Q349" i="4"/>
  <c r="O349" i="4"/>
  <c r="M349" i="4"/>
  <c r="N349" i="4" s="1"/>
  <c r="K349" i="4"/>
  <c r="L349" i="4" s="1"/>
  <c r="Q348" i="4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59" i="4" l="1"/>
  <c r="P358" i="4"/>
  <c r="P356" i="4"/>
  <c r="P355" i="4"/>
  <c r="P354" i="4"/>
  <c r="P353" i="4"/>
  <c r="P349" i="4"/>
  <c r="P348" i="4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<sst xmlns="http://schemas.openxmlformats.org/spreadsheetml/2006/main" count="795" uniqueCount="774">
  <si>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</si>
  <si>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</si>
  <si>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</si>
  <si>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</si>
  <si>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</si>
  <si>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</si>
  <si>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</si>
  <si>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</si>
  <si>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</si>
  <si>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</si>
  <si>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</si>
  <si>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</si>
  <si>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</si>
  <si>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</si>
  <si>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</si>
  <si>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</si>
  <si>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</si>
  <si>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</si>
  <si>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</si>
  <si>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</si>
  <si>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</si>
  <si>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</si>
  <si>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</si>
  <si>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</si>
  <si>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</si>
  <si>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</si>
  <si>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</si>
  <si>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</si>
  <si>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</si>
  <si>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</si>
  <si>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</si>
  <si>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</si>
  <si>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</si>
  <si>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</si>
  <si>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</si>
  <si>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</si>
  <si>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</si>
  <si>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</si>
  <si>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</si>
  <si>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</si>
  <si>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</si>
  <si>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</si>
  <si>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</si>
  <si>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</si>
  <si>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</si>
  <si>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</si>
  <si>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</si>
  <si>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</si>
  <si>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</si>
  <si>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</si>
  <si>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</si>
  <si>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</si>
  <si>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</si>
  <si>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</si>
  <si>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</si>
  <si>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</si>
  <si>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</si>
  <si>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</si>
  <si>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</si>
  <si>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</si>
  <si>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</si>
  <si>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</si>
  <si>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</si>
  <si>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</si>
  <si>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</si>
  <si>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</si>
  <si>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</si>
  <si>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</si>
  <si>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</si>
  <si>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</si>
  <si>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</si>
  <si>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</si>
  <si>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</si>
  <si>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</si>
  <si>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</si>
  <si>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</si>
  <si>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</si>
  <si>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</si>
  <si>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</si>
  <si>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</si>
  <si>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</si>
  <si>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</si>
  <si>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</si>
  <si>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</si>
  <si>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</si>
  <si>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</si>
  <si>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</si>
  <si>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</si>
  <si>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</si>
  <si>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</si>
  <si>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</si>
  <si>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</si>
  <si>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</si>
  <si>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</si>
  <si>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</si>
  <si>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</si>
  <si>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</si>
  <si>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</si>
  <si>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</si>
  <si>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</si>
  <si>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</si>
  <si>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</si>
  <si>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</si>
  <si>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</si>
  <si>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</si>
  <si>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</si>
  <si>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</si>
  <si>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</si>
  <si>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</si>
  <si>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</si>
  <si>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</si>
  <si>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</si>
  <si>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</si>
  <si>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</si>
  <si>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</si>
  <si>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</si>
  <si>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</si>
  <si>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</si>
  <si>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</si>
  <si>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</si>
  <si>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</si>
  <si>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</si>
  <si>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</si>
  <si>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</si>
  <si>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</si>
  <si>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</si>
  <si>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</si>
  <si>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</si>
  <si>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</si>
  <si>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</si>
  <si>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</si>
  <si>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</si>
  <si>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</si>
  <si>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</si>
  <si>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</si>
  <si>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</si>
  <si>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</si>
  <si>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</si>
  <si>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</si>
  <si>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</si>
  <si>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</si>
  <si>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</si>
  <si>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</si>
  <si>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</si>
  <si>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</si>
  <si>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</si>
  <si>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</si>
  <si>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</si>
  <si>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</si>
  <si>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</si>
  <si>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</si>
  <si>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</si>
  <si>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</si>
  <si>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</si>
  <si>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</si>
  <si>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</si>
  <si>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</si>
  <si>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</si>
  <si>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</si>
  <si>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</si>
  <si>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</si>
  <si>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</si>
  <si>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</si>
  <si>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</si>
  <si>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</si>
  <si>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</si>
  <si>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</si>
  <si>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</si>
  <si>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</si>
  <si>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</si>
  <si>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</si>
  <si>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</si>
  <si>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</si>
  <si>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</si>
  <si>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</si>
  <si>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</si>
  <si>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</si>
  <si>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</si>
  <si>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</si>
  <si>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</si>
  <si>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</si>
  <si>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</si>
  <si>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</si>
  <si>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</si>
  <si>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</si>
  <si>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</si>
  <si>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</si>
  <si>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</si>
  <si>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</si>
  <si>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</si>
  <si>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</si>
  <si>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</si>
  <si>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</si>
  <si>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</si>
  <si>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</si>
  <si>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</si>
  <si>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</si>
  <si>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</si>
  <si>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</si>
  <si>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</si>
  <si>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</si>
  <si>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</si>
  <si>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</si>
  <si>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</si>
  <si>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</si>
  <si>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</si>
  <si>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</si>
  <si>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</si>
  <si>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</si>
  <si>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</si>
  <si>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</si>
  <si>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</si>
  <si>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</si>
  <si>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</si>
  <si>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</si>
  <si>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</si>
  <si>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</si>
  <si>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</si>
  <si>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</si>
  <si>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</si>
  <si>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</si>
  <si>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</si>
  <si>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</si>
  <si>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</si>
  <si>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</si>
  <si>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</si>
  <si>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</si>
  <si>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</si>
  <si>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</si>
  <si>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</si>
  <si>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</si>
  <si>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</si>
  <si>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</si>
  <si>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</si>
  <si>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</si>
  <si>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</si>
  <si>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</si>
  <si>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</si>
  <si>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</si>
  <si>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</si>
  <si>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</si>
  <si>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</si>
  <si>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</si>
  <si>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</si>
  <si>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</si>
  <si>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</si>
  <si>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</si>
  <si>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</si>
  <si>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</si>
  <si>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</si>
  <si>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</si>
  <si>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</si>
  <si>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</si>
  <si>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</si>
  <si>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</si>
  <si>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</si>
  <si>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</si>
  <si>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</si>
  <si>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</si>
  <si>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</si>
  <si>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</si>
  <si>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</si>
  <si>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</si>
  <si>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</si>
  <si>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</si>
  <si>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</si>
  <si>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</si>
  <si>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</si>
  <si>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</si>
  <si>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</si>
  <si>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</si>
  <si>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</si>
  <si>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</si>
  <si>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</si>
  <si>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</si>
  <si>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</si>
  <si>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</si>
  <si>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</si>
  <si>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</si>
  <si>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</si>
  <si>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</si>
  <si>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</si>
  <si>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</si>
  <si>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</si>
  <si>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</si>
  <si>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</si>
  <si>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</si>
  <si>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</si>
  <si>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</si>
  <si>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</si>
  <si>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</si>
  <si>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</si>
  <si>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</si>
  <si>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</si>
  <si>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</si>
  <si>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</si>
  <si>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</si>
  <si>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</si>
  <si>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</si>
  <si>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</si>
  <si>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</si>
  <si>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</si>
  <si>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</si>
  <si>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</si>
  <si>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</si>
  <si>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</si>
  <si>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</si>
  <si>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</si>
  <si>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</si>
  <si>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</si>
  <si>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</si>
  <si>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</si>
  <si>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</si>
  <si>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</si>
  <si>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</si>
  <si>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</si>
  <si>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</si>
  <si>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</si>
  <si>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</si>
  <si>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</si>
  <si>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</si>
  <si>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</si>
  <si>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</si>
  <si>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</si>
  <si>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</si>
  <si>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</si>
  <si>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</si>
  <si>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</si>
  <si>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</si>
  <si>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</si>
  <si>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</si>
  <si>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</si>
  <si>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</si>
  <si>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</si>
  <si>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</si>
  <si>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</si>
  <si>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</si>
  <si>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</si>
  <si>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</si>
  <si>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</si>
  <si>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</si>
  <si>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</si>
  <si>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</si>
  <si>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</si>
  <si>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</si>
  <si>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</si>
  <si>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</si>
  <si>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</si>
  <si>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</si>
  <si>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</si>
  <si>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</si>
  <si>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</si>
  <si>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</si>
  <si>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</si>
  <si>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</si>
  <si>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</si>
  <si>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</si>
  <si>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</si>
  <si>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</si>
  <si>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</si>
  <si>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</si>
  <si>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</si>
  <si>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</si>
  <si>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</si>
  <si>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</si>
  <si>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</si>
  <si>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</si>
  <si>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</si>
  <si>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</si>
  <si>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</si>
  <si>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</si>
  <si>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</si>
  <si>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</si>
  <si>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</si>
  <si>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</si>
  <si>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</si>
  <si>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</si>
  <si>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</si>
  <si>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</si>
  <si>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</si>
  <si>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</si>
  <si>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</si>
  <si>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</si>
  <si>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</si>
  <si>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</si>
  <si>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</si>
  <si>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</si>
  <si>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</si>
  <si>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</si>
  <si>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</si>
  <si>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</si>
  <si>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</si>
  <si>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</si>
  <si>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</si>
  <si>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</si>
  <si>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</si>
  <si>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</si>
  <si>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</si>
  <si>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</si>
  <si>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</si>
  <si>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</si>
  <si>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</si>
  <si>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</si>
  <si>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</si>
  <si>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</si>
  <si>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</si>
  <si>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</si>
  <si>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</si>
  <si>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</si>
  <si>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</si>
  <si>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</si>
  <si>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</si>
  <si>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</si>
  <si>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</si>
  <si>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</si>
  <si>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</si>
  <si>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</si>
  <si>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</si>
  <si>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</si>
  <si>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</si>
  <si>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</si>
  <si>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</si>
  <si>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</si>
  <si>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</si>
  <si>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</si>
  <si>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</si>
  <si>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</si>
  <si>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</si>
  <si>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</si>
  <si>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</si>
  <si>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</si>
  <si>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</si>
  <si>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</si>
  <si>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</si>
  <si>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</si>
  <si>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</si>
  <si>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</si>
  <si>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</si>
  <si>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</si>
  <si>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</si>
  <si>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</si>
  <si>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</si>
  <si>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</si>
  <si>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</si>
  <si>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</si>
  <si>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</si>
  <si>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</si>
  <si>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</si>
  <si>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</si>
  <si>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</si>
  <si>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</si>
  <si>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</si>
  <si>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</si>
  <si>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</si>
  <si>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</si>
  <si>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</si>
  <si>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</si>
  <si>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</si>
  <si>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</si>
  <si>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</si>
  <si>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</si>
  <si>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</si>
  <si>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</si>
  <si>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</si>
  <si>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</si>
  <si>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</si>
  <si>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</si>
  <si>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</si>
  <si>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</si>
  <si>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</si>
  <si>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</si>
  <si>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</si>
  <si>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</si>
  <si>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</si>
  <si>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</si>
  <si>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</si>
  <si>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</si>
  <si>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</si>
  <si>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</si>
  <si>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</si>
  <si>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</si>
  <si>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</si>
  <si>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</si>
  <si>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</si>
  <si>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</si>
  <si>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</si>
  <si>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</si>
  <si>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</si>
  <si>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</si>
  <si>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</si>
  <si>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</si>
  <si>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</si>
  <si>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</si>
  <si>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</si>
  <si>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</si>
  <si>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</si>
  <si>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</si>
  <si>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</si>
  <si>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</si>
  <si>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</si>
  <si>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</si>
  <si>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</si>
  <si>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</si>
  <si>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</si>
  <si>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</si>
  <si>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</si>
  <si>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</si>
  <si>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</si>
  <si>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</si>
  <si>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</si>
  <si>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</si>
  <si>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</si>
  <si>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</si>
  <si>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</si>
  <si>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</si>
  <si>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</si>
  <si>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</si>
  <si>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</si>
  <si>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</si>
  <si>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</si>
  <si>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</si>
  <si>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</si>
  <si>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</si>
  <si>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</si>
  <si>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</si>
  <si>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</si>
  <si>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</si>
  <si>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</si>
  <si>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</si>
  <si>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</si>
  <si>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</si>
  <si>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</si>
  <si>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</si>
  <si>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</si>
  <si>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</si>
  <si>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</si>
  <si>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</si>
  <si>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</si>
  <si>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</si>
  <si>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</si>
  <si>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</si>
  <si>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</si>
  <si>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</si>
  <si>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</si>
  <si>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</si>
  <si>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</si>
  <si>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</si>
  <si>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</si>
  <si>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</si>
  <si>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</si>
  <si>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</si>
  <si>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</si>
  <si>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</si>
  <si>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</si>
  <si>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</si>
  <si>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</si>
  <si>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</si>
  <si>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</si>
  <si>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</si>
  <si>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</si>
  <si>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</si>
  <si>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</si>
  <si>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</si>
  <si>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</si>
  <si>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</si>
  <si>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</si>
  <si>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</si>
  <si>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</si>
  <si>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</si>
  <si>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</si>
  <si>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</si>
  <si>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</si>
  <si>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</si>
  <si>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</si>
  <si>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</si>
  <si>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</si>
  <si>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</si>
  <si>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</si>
  <si>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</si>
  <si>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</si>
  <si>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</si>
  <si>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</si>
  <si>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</si>
  <si>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</si>
  <si>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</si>
  <si>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</si>
  <si>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</si>
  <si>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</si>
  <si>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</si>
  <si>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</si>
  <si>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</si>
  <si>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</si>
  <si>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</si>
  <si>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</si>
  <si>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</si>
  <si>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</si>
  <si>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</si>
  <si>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</si>
  <si>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</si>
  <si>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</si>
  <si>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</si>
  <si>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</si>
  <si>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</si>
  <si>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</si>
  <si>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</si>
  <si>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</si>
  <si>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</si>
  <si>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</si>
  <si>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</si>
  <si>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</si>
  <si>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</si>
  <si>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</si>
  <si>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</si>
  <si>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</si>
  <si>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</si>
  <si>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</si>
  <si>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</si>
  <si>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</si>
  <si>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</si>
  <si>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</si>
  <si>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</si>
  <si>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</si>
  <si>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</si>
  <si>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</si>
  <si>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</si>
  <si>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</si>
  <si>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</si>
  <si>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</si>
  <si>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</si>
  <si>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</si>
  <si>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</si>
  <si>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</si>
  <si>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</si>
  <si>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</si>
  <si>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</si>
  <si>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</si>
  <si>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</si>
  <si>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</si>
  <si>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</si>
  <si>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</si>
  <si>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</si>
  <si>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</si>
  <si>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</si>
  <si>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</si>
  <si>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</si>
  <si>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</si>
  <si>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</si>
  <si>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</si>
  <si>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</si>
  <si>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</si>
  <si>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</si>
  <si>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</si>
  <si>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</si>
  <si>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</si>
  <si>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</si>
  <si>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</si>
  <si>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</si>
  <si>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</si>
  <si>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</si>
  <si>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</si>
  <si>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</si>
  <si>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</si>
  <si>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</si>
  <si>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</si>
  <si>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</si>
  <si>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</si>
  <si>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</si>
  <si>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</si>
  <si>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</si>
  <si>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</si>
  <si>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</si>
  <si>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</si>
  <si>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</si>
  <si>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</si>
  <si>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</si>
  <si>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</si>
  <si>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</si>
  <si>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</si>
  <si>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</si>
  <si>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</si>
  <si>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</si>
  <si>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</si>
  <si>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</si>
  <si>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</si>
  <si>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</si>
  <si>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</si>
  <si>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</si>
  <si>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</si>
  <si>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</si>
  <si>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</si>
  <si>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</si>
  <si>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</si>
  <si>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</si>
  <si>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</si>
  <si>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</si>
  <si>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</si>
  <si>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</si>
  <si>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</si>
  <si>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</si>
  <si>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</si>
  <si>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</si>
  <si>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</si>
  <si>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</si>
  <si>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</si>
  <si>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</si>
  <si>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</si>
  <si>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</si>
  <si>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</si>
  <si>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</si>
  <si>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</si>
  <si>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</si>
  <si>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</si>
  <si>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</si>
  <si>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</si>
  <si>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</si>
  <si>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</si>
  <si>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</si>
  <si>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</si>
  <si>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</si>
  <si>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</si>
  <si>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</si>
  <si>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</si>
  <si>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</si>
  <si>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</si>
  <si>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</si>
  <si>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</si>
  <si>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</si>
  <si>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</si>
  <si>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</si>
  <si>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</si>
  <si>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</si>
  <si>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</si>
  <si>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</si>
  <si>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</si>
  <si>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</si>
  <si>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</si>
  <si>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</si>
  <si>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</si>
  <si>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</si>
  <si>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</si>
  <si>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</si>
  <si>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</si>
  <si>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</si>
  <si>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</si>
  <si>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</si>
  <si>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</si>
  <si>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</si>
  <si>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</si>
  <si>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</si>
  <si>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</si>
  <si>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</si>
  <si>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</si>
  <si>
    <t>(1,5,1,6,5,1,2,2,2,*3,8,5),(*5,1,*8,4,*2,*6,*7,*5,*1,*8,*9,6),(*6,7,*4,5,*8,6,7,5,5,4,3,*7),(*5,3,*9,6,*6,1,5,*1,*7,5,7,3),(*7,2,*4,1,*2,3,4,4,9,6,8,9),(*6,2,*2,9,*1,4,2,2,2,3,8,2),(*1,2,*8,5,*6,3,*5,2,8,*3,*9,*6),(7,2,*3,1,*9,*9,*2,*2,*7,*8,5,2),(9,*2,*4,*5,*6,7,*3,*4,*3,2,3,5),(8,5,1,8,1,7,*8,6,5,*3,8,8),(4,9,7,4,2,*5,*4,*4,*9,5,*3,9),(6,7,9,6,8,7,*2,*9,*6,*6,*2,9)</t>
  </si>
  <si>
    <t>397,99,832,71,52333,693,8494283,34,167565,61268,9445,2456,9815762,78,29662</t>
  </si>
  <si>
    <t>(5,5,2,1,4,*4,1,4,4,5,9,1),(4,*5,2,7,*8,4,4,*7,9,3,5,1),(1,*7,8,*6,5,3,3,*3,2,1,1,7),(9,*2,*7,4,6,9,3,*8,8,4,8,5),(2,*2,4,4,9,1,5,*8,*6,*3,1,*6),(8,*3,*6,6,*2,*1,3,*8,6,*4,*8,7),(8,*9,3,*7,8,5,6,*7,1,*5,9,9),(9,*1,6,2,*9,3,*1,*5,*6,7,6,8),(1,5,7,9,3,*7,6,*7,7,7,4,*5),(4,*3,*7,*8,*4,*9,*1,8,*4,1,2,*1),(9,8,5,9,9,7,5,*6,*7,*2,*7,*5),(1,3,7,7,2,*5,*4,*8,*1,*6,*9,*2)</t>
  </si>
  <si>
    <t>515,471,37849,63,43,7388875,7684,193227,2961845,64,7276,17976,275,21,68567</t>
  </si>
  <si>
    <t>(1,6,9,*9,4,4,3,7,8,2,3,2),(1,3,7,8,*3,5,2,3,6,2,6,*2),(9,1,7,2,8,*9,*4,8,7,3,9,*5),(9,1,*7,9,8,*2,1,*4,4,6,1,*1),(3,*5,6,*9,*2,8,1,*1,*8,*5,*4,*1),(9,*3,3,*1,*7,2,*3,*6,*3,*8,8,3),(9,*2,*8,4,1,*4,*4,*7,1,8,4,2),(3,*3,*5,9,3,*3,*7,8,*2,5,1,9),(*3,*5,5,1,*5,1,6,5,8,*2,9,5),(*4,*5,5,*7,3,6,2,5,*3,9,*2,4),(*7,*7,*2,9,8,4,5,*9,9,1,8,*9),(*5,*4,*4,*8,*8,*4,*3,*2,*9,4,3,8)</t>
  </si>
  <si>
    <t>393,58,14,922273,5743,939,8643572,38,54,1152,7553235,81224,79747,44884,923</t>
  </si>
  <si>
    <t>(*9,6,4,4,7,8,5,1,2,5,2,5),(*2,4,4,2,3,4,7,4,*7,5,5,2),(9,6,3,1,*6,8,7,2,*3,7,3,8),(*9,*8,5,*6,*1,9,5,2,*3,1,6,9),(*9,*7,*1,*9,*2,7,1,1,*9,3,4,6),(*8,*2,5,*9,*2,*8,5,6,*4,4,1,4),(*9,*4,9,9,*3,5,*3,*8,*5,*5,9,3),(*3,*8,3,7,7,*7,*8,*1,*9,6,5,1),(*1,*4,4,8,9,5,*4,8,3,4,2,4),(*6,*7,*5,3,7,*6,6,5,6,3,6,9),(3,*3,*1,*2,*5,*7,6,*8,*3,*5,*7,*5),(6,8,3,3,5,8,5,5,6,8,8,6)</t>
  </si>
  <si>
    <t>8724847,28,96,733945,19374,75213,138,6139899,92,6122,15,57538,641,7819,558</t>
  </si>
  <si>
    <t>(7,5,8,*5,*7,*6,*6,*6,*4,*2,5,2),(1,7,1,4,6,2,6,*9,6,*6,1,4),(5,*6,3,1,*9,2,5,2,1,*8,1,8),(8,*1,9,5,*5,8,7,3,6,*1,7,5),(4,*8,1,7,*4,*1,*1,*4,*7,*2,6,*3),(2,*4,3,5,*7,*9,*6,2,1,5,4,*9),(8,*4,5,6,*8,*2,8,9,3,8,7,*5),(8,*7,*9,*3,*9,*3,*7,*2,5,2,5,*3),(5,*6,6,4,9,*2,*4,*7,*5,*7,9,*5),(2,5,5,7,6,*1,*1,9,*2,*3,9,*8),(5,7,1,7,*3,9,7,*1,1,8,1,6),(8,4,9,*3,1,8,*4,1,9,1,4,6)</t>
  </si>
  <si>
    <t>214,24757,853593,95478,6184476,5766642,94,7411,352,17,2186,96,93937,62,133</t>
  </si>
  <si>
    <t>(*6,*5,*5,*4,*7,*7,*2,7,1,*6,5,9),(*2,*9,7,2,2,*4,9,7,*9,*4,3,6),(2,7,9,7,*5,5,3,*5,9,*9,7,8),(8,7,5,*5,3,9,*4,6,3,*3,*9,4),(9,4,*1,4,7,*7,4,9,4,4,*6,5),(8,*6,1,2,4,1,8,8,6,6,*5,2),(6,5,9,*9,*3,*8,*8,*3,*8,*9,*8,1),(6,*1,*7,*5,*7,1,6,*4,3,5,*2,6),(*7,*3,4,2,6,7,5,9,*9,*7,7,*1),(2,9,6,8,4,9,5,1,7,*6,4,*8),(7,5,*3,*9,*3,*3,*6,6,1,*3,1,7),(2,*6,*7,*2,*8,*2,*1,*4,7,2,6,9)</t>
  </si>
  <si>
    <t>6155,493,81,92,96582,948,9838839,74596,37,24,367,6728214,7571,39336,655477</t>
  </si>
  <si>
    <t>(*4,4,*5,4,8,5,7,1,8,6,9,*4),(*4,4,*3,1,2,9,2,*8,5,8,6,*5),(*8,8,*2,2,2,6,6,*5,3,3,4,*8),(*4,9,*9,5,2,3,4,*7,3,5,*8,*1),(8,8,*9,2,8,5,9,9,*8,2,*4,*7),(*6,7,*9,5,9,2,*9,*5,4,*6,*8,*9),(*7,3,*7,5,2,5,*4,6,1,1,*8,*1),(*5,1,*7,*2,*4,*3,3,5,4,7,*8,*4),(*2,1,3,7,5,4,2,7,7,8,*2,*4),(*7,2,5,5,9,9,2,3,6,7,9,*1),(5,*7,*6,*4,*6,*2,5,9,5,*1,*5,*6),(6,8,7,2,8,8,6,5,1,9,9,*4)</t>
  </si>
  <si>
    <t>3458,848882,67527,35,758,76462,7799923,59,427,68,89,4581791,156,44164,4844</t>
  </si>
  <si>
    <t>(6,8,9,9,9,*4,2,*1,9,8,4,8),(6,*6,2,*1,*6,9,*3,*5,3,3,1,1),(6,*8,6,*5,*2,6,2,*2,6,2,3,5),(1,*5,*6,*5,2,*8,1,*7,*6,1,4,6),(8,*5,6,*4,*1,*9,*8,2,1,*4,8,9),(8,*6,2,*8,3,*3,5,*8,*3,6,8,2),(3,*7,3,6,*4,2,*8,*8,2,3,7,2),(1,*1,9,*4,9,*5,*8,*7,2,3,3,4),(9,*6,*1,*1,*1,*1,*3,*9,*3,7,4,7),(6,3,4,8,*7,*6,8,*7,5,*4,8,8),(6,*9,6,*1,5,9,*6,*7,*6,3,5,9),(7,5,*9,3,7,4,5,*4,8,7,5,8)</t>
  </si>
  <si>
    <t>1718834,116,93,88821,45376,326,6855671,845,41664,98,7251,99,6564,437831,74</t>
  </si>
  <si>
    <t>(5,2,1,4,2,5,*7,*3,*2,7,9,1),(6,5,9,9,5,*1,9,1,9,7,1,9),(*2,9,1,5,3,*6,3,8,7,3,2,*8),(*6,8,*7,6,7,*5,*5,1,8,4,5,*4),(*8,7,9,*1,8,*3,6,*7,6,4,3,*3),(*1,2,7,3,*1,*2,6,*7,*9,8,4,*5),(*8,9,4,*5,3,*8,*9,6,*1,*2,*4,*6),(*6,*4,5,9,*9,*2,*3,*5,1,*8,*2,1),(*5,*1,7,2,7,*5,*4,6,*2,1,5,*1),(3,*7,2,6,6,*9,8,*8,5,1,3,3),(9,*8,5,6,9,7,*7,5,2,5,5,8),(7,*5,8,3,1,*5,9,8,6,9,2,7)</t>
  </si>
  <si>
    <t>578284,1653282,12297,595,1549,55,58714,711,98,83,2681865,237,84356,77,7691</t>
  </si>
  <si>
    <t>(7,8,3,3,3,8,4,*4,9,7,7,2),(*2,1,6,4,3,2,8,9,*5,4,4,8),(8,*5,*7,8,*5,9,7,8,1,*6,4,8),(6,9,*8,*7,4,*9,*3,5,6,1,*7,1),(2,5,5,*7,*3,*4,*3,6,8,6,8,*3),(8,2,1,*5,7,*2,9,*6,*7,*8,*7,1),(4,*9,*7,*2,*1,*6,*9,2,*3,8,6,3),(*1,1,1,6,6,9,7,*8,7,*6,5,9),(*8,1,2,2,1,4,6,3,*3,7,*1,1),(9,*7,4,3,4,6,7,1,6,*1,8,2),(*8,*6,*8,3,3,1,7,3,9,3,*4,7),(7,8,2,*4,7,*9,*2,*7,*8,*5,7,*5)</t>
  </si>
  <si>
    <t>92785,45673,34,2377,541389,33,61279,787,18,7852,1636395,487,1116697,868,57</t>
  </si>
  <si>
    <t>(8,9,6,2,2,5,6,1,6,1,7,9),(4,*3,4,*2,*5,*9,*4,*8,8,6,2,3),(7,1,*7,5,*5,9,9,2,*1,2,6,4),(4,3,2,1,7,*4,1,*6,7,*8,8,8),(5,1,4,2,1,*2,*2,*6,*6,*1,2,5),(*5,9,*7,*6,4,*3,9,*5,*8,4,8,7),(*1,*9,*9,3,6,6,*1,*9,8,4,5,9),(*7,*4,*2,8,9,*8,*1,9,5,3,*2,*1),(*5,*8,*5,1,*5,*1,4,5,6,5,*3,*2),(*8,*8,*1,*8,*8,7,2,*4,*2,3,*5,*3),(*3,*4,*3,*2,8,9,5,7,3,9,*6,9),(*5,1,9,6,2,2,6,1,9,4,*9,5)</t>
  </si>
  <si>
    <t>42,96532,54,2811981,48849,123,792513,37,858,226,25948,76,5175835,1568,1623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</si>
</sst>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データ!$A$3:$A$359</c:f>
              <c:numCache>
                <c:formatCode>m/d/yyyy\ h:mm</c:formatCode>
                <c:ptCount val="3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  <c:pt idx="352">
                  <c:v>46092.305324074077</c:v>
                </c:pt>
                <c:pt idx="353">
                  <c:v>46092.315555555557</c:v>
                </c:pt>
                <c:pt idx="354">
                  <c:v>46092.321053240739</c:v>
                </c:pt>
                <c:pt idx="355">
                  <c:v>46092.328298611108</c:v>
                </c:pt>
                <c:pt idx="356">
                  <c:v>46092.336712962962</c:v>
                </c:pt>
              </c:numCache>
            </c:numRef>
          </c:xVal>
          <c:yVal>
            <c:numRef>
              <c:f>データ!$B$3:$B$359</c:f>
              <c:numCache>
                <c:formatCode>General</c:formatCode>
                <c:ptCount val="35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56</c:v>
                </c:pt>
                <c:pt idx="355">
                  <c:v>53</c:v>
                </c:pt>
                <c:pt idx="35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2C-4B04-B384-B8C352E5391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42C-4B04-B384-B8C352E5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356640"/>
        <c:axId val="69036384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データ!$A$3:$A$359</c:f>
              <c:numCache>
                <c:formatCode>m/d/yyyy\ h:mm</c:formatCode>
                <c:ptCount val="3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  <c:pt idx="352">
                  <c:v>46092.305324074077</c:v>
                </c:pt>
                <c:pt idx="353">
                  <c:v>46092.315555555557</c:v>
                </c:pt>
                <c:pt idx="354">
                  <c:v>46092.321053240739</c:v>
                </c:pt>
                <c:pt idx="355">
                  <c:v>46092.328298611108</c:v>
                </c:pt>
                <c:pt idx="356">
                  <c:v>46092.336712962962</c:v>
                </c:pt>
              </c:numCache>
            </c:numRef>
          </c:xVal>
          <c:yVal>
            <c:numRef>
              <c:f>データ!$Q$3:$Q$359</c:f>
              <c:numCache>
                <c:formatCode>[h]:mm</c:formatCode>
                <c:ptCount val="35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  <c:pt idx="346" formatCode="General">
                  <c:v>5.9837962980964221E-3</c:v>
                </c:pt>
                <c:pt idx="347" formatCode="General">
                  <c:v>6.8981481526861899E-3</c:v>
                </c:pt>
                <c:pt idx="348" formatCode="General">
                  <c:v>6.2731481448281556E-3</c:v>
                </c:pt>
                <c:pt idx="349" formatCode="General">
                  <c:v>5.2083333284826949E-3</c:v>
                </c:pt>
                <c:pt idx="350" formatCode="General">
                  <c:v>5.3240740671753883E-3</c:v>
                </c:pt>
                <c:pt idx="351" formatCode="General">
                  <c:v>6.4583333369228058E-3</c:v>
                </c:pt>
                <c:pt idx="352" formatCode="General">
                  <c:v>6.8865740759065375E-3</c:v>
                </c:pt>
                <c:pt idx="353" formatCode="General">
                  <c:v>9.7222222248092294E-3</c:v>
                </c:pt>
                <c:pt idx="354" formatCode="General">
                  <c:v>5.1620370359160006E-3</c:v>
                </c:pt>
                <c:pt idx="355" formatCode="General">
                  <c:v>6.388888883520849E-3</c:v>
                </c:pt>
                <c:pt idx="356" formatCode="General">
                  <c:v>8.0324074078816921E-3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2C-4B04-B384-B8C352E5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359520"/>
        <c:axId val="690368640"/>
      </c:scatterChart>
      <c:valAx>
        <c:axId val="69035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0363840"/>
        <c:crosses val="autoZero"/>
        <c:crossBetween val="midCat"/>
      </c:valAx>
      <c:valAx>
        <c:axId val="6903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0356640"/>
        <c:crosses val="autoZero"/>
        <c:crossBetween val="midCat"/>
      </c:valAx>
      <c:valAx>
        <c:axId val="69036864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0359520"/>
        <c:crosses val="max"/>
        <c:crossBetween val="midCat"/>
      </c:valAx>
      <c:valAx>
        <c:axId val="6903595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03686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2749" name="Match0">
          <a:extLst>
            <a:ext uri="{FF2B5EF4-FFF2-40B4-BE49-F238E27FC236}">
              <a16:creationId xmlns:a16="http://schemas.microsoft.com/office/drawing/2014/main" id="{2AAFC401-0A5A-452C-5A52-AEBA3E7998C5}"/>
            </a:ext>
          </a:extLst>
        </xdr:cNvPr>
        <xdr:cNvCxnSpPr/>
      </xdr:nvCxnSpPr>
      <xdr:spPr>
        <a:xfrm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2750" name="Match1">
          <a:extLst>
            <a:ext uri="{FF2B5EF4-FFF2-40B4-BE49-F238E27FC236}">
              <a16:creationId xmlns:a16="http://schemas.microsoft.com/office/drawing/2014/main" id="{9BD4B06E-87C3-D25A-B99D-1EF6260C4879}"/>
            </a:ext>
          </a:extLst>
        </xdr:cNvPr>
        <xdr:cNvCxnSpPr/>
      </xdr:nvCxnSpPr>
      <xdr:spPr>
        <a:xfrm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2751" name="Match2">
          <a:extLst>
            <a:ext uri="{FF2B5EF4-FFF2-40B4-BE49-F238E27FC236}">
              <a16:creationId xmlns:a16="http://schemas.microsoft.com/office/drawing/2014/main" id="{9173DDD3-997C-A3D1-639D-252CAF91474D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752" name="Match3">
          <a:extLst>
            <a:ext uri="{FF2B5EF4-FFF2-40B4-BE49-F238E27FC236}">
              <a16:creationId xmlns:a16="http://schemas.microsoft.com/office/drawing/2014/main" id="{D5164A3B-E5B7-A254-9329-A84DA768E539}"/>
            </a:ext>
          </a:extLst>
        </xdr:cNvPr>
        <xdr:cNvCxnSpPr/>
      </xdr:nvCxnSpPr>
      <xdr:spPr>
        <a:xfrm flipH="1" flipV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2753" name="Match4">
          <a:extLst>
            <a:ext uri="{FF2B5EF4-FFF2-40B4-BE49-F238E27FC236}">
              <a16:creationId xmlns:a16="http://schemas.microsoft.com/office/drawing/2014/main" id="{FF2F23BF-A029-E27E-31D9-E8BDF5E89BB2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2754" name="Match5">
          <a:extLst>
            <a:ext uri="{FF2B5EF4-FFF2-40B4-BE49-F238E27FC236}">
              <a16:creationId xmlns:a16="http://schemas.microsoft.com/office/drawing/2014/main" id="{0CCFA962-9C97-0C49-1E49-590CD65B5BB5}"/>
            </a:ext>
          </a:extLst>
        </xdr:cNvPr>
        <xdr:cNvCxnSpPr/>
      </xdr:nvCxnSpPr>
      <xdr:spPr>
        <a:xfrm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2755" name="Match6">
          <a:extLst>
            <a:ext uri="{FF2B5EF4-FFF2-40B4-BE49-F238E27FC236}">
              <a16:creationId xmlns:a16="http://schemas.microsoft.com/office/drawing/2014/main" id="{2D3B3639-6032-EEAC-0CE4-404314C3DAA3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2756" name="Match7">
          <a:extLst>
            <a:ext uri="{FF2B5EF4-FFF2-40B4-BE49-F238E27FC236}">
              <a16:creationId xmlns:a16="http://schemas.microsoft.com/office/drawing/2014/main" id="{7E35C829-4F1E-3436-037B-7C7964832068}"/>
            </a:ext>
          </a:extLst>
        </xdr:cNvPr>
        <xdr:cNvCxnSpPr/>
      </xdr:nvCxnSpPr>
      <xdr:spPr>
        <a:xfrm flipV="1">
          <a:off x="108505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2757" name="Match8">
          <a:extLst>
            <a:ext uri="{FF2B5EF4-FFF2-40B4-BE49-F238E27FC236}">
              <a16:creationId xmlns:a16="http://schemas.microsoft.com/office/drawing/2014/main" id="{525D2ABD-8279-992C-8D97-28548E802C10}"/>
            </a:ext>
          </a:extLst>
        </xdr:cNvPr>
        <xdr:cNvCxnSpPr/>
      </xdr:nvCxnSpPr>
      <xdr:spPr>
        <a:xfrm flipH="1" flipV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2758" name="Match9">
          <a:extLst>
            <a:ext uri="{FF2B5EF4-FFF2-40B4-BE49-F238E27FC236}">
              <a16:creationId xmlns:a16="http://schemas.microsoft.com/office/drawing/2014/main" id="{587FCBF2-3C75-CA39-3386-22AE0CAD63D7}"/>
            </a:ext>
          </a:extLst>
        </xdr:cNvPr>
        <xdr:cNvCxnSpPr/>
      </xdr:nvCxnSpPr>
      <xdr:spPr>
        <a:xfrm flipV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2759" name="Match10">
          <a:extLst>
            <a:ext uri="{FF2B5EF4-FFF2-40B4-BE49-F238E27FC236}">
              <a16:creationId xmlns:a16="http://schemas.microsoft.com/office/drawing/2014/main" id="{524BED3E-6DD7-2EA2-E902-A13C1D63C6CB}"/>
            </a:ext>
          </a:extLst>
        </xdr:cNvPr>
        <xdr:cNvCxnSpPr/>
      </xdr:nvCxnSpPr>
      <xdr:spPr>
        <a:xfrm flipV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2760" name="Match11">
          <a:extLst>
            <a:ext uri="{FF2B5EF4-FFF2-40B4-BE49-F238E27FC236}">
              <a16:creationId xmlns:a16="http://schemas.microsoft.com/office/drawing/2014/main" id="{116BC0EC-BC4C-D9EC-0F71-B7E7168D3959}"/>
            </a:ext>
          </a:extLst>
        </xdr:cNvPr>
        <xdr:cNvCxnSpPr/>
      </xdr:nvCxnSpPr>
      <xdr:spPr>
        <a:xfrm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761" name="Match12">
          <a:extLst>
            <a:ext uri="{FF2B5EF4-FFF2-40B4-BE49-F238E27FC236}">
              <a16:creationId xmlns:a16="http://schemas.microsoft.com/office/drawing/2014/main" id="{B81E37D9-D68B-507B-766A-583C830AF891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2762" name="Match13">
          <a:extLst>
            <a:ext uri="{FF2B5EF4-FFF2-40B4-BE49-F238E27FC236}">
              <a16:creationId xmlns:a16="http://schemas.microsoft.com/office/drawing/2014/main" id="{3961B7A1-A3FC-C3ED-EF35-D31A802D3258}"/>
            </a:ext>
          </a:extLst>
        </xdr:cNvPr>
        <xdr:cNvCxnSpPr/>
      </xdr:nvCxnSpPr>
      <xdr:spPr>
        <a:xfrm>
          <a:off x="275510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2763" name="Match14">
          <a:extLst>
            <a:ext uri="{FF2B5EF4-FFF2-40B4-BE49-F238E27FC236}">
              <a16:creationId xmlns:a16="http://schemas.microsoft.com/office/drawing/2014/main" id="{ADC4FB39-0EFA-9F72-A578-85F4BC7E57D1}"/>
            </a:ext>
          </a:extLst>
        </xdr:cNvPr>
        <xdr:cNvCxnSpPr/>
      </xdr:nvCxnSpPr>
      <xdr:spPr>
        <a:xfrm>
          <a:off x="317896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9</xdr:row>
      <xdr:rowOff>203993</xdr:rowOff>
    </xdr:to>
    <xdr:cxnSp macro="">
      <xdr:nvCxnSpPr>
        <xdr:cNvPr id="2764" name="Match15">
          <a:extLst>
            <a:ext uri="{FF2B5EF4-FFF2-40B4-BE49-F238E27FC236}">
              <a16:creationId xmlns:a16="http://schemas.microsoft.com/office/drawing/2014/main" id="{CA4C615E-4BA2-FE35-1C73-272C8368DACD}"/>
            </a:ext>
          </a:extLst>
        </xdr:cNvPr>
        <xdr:cNvCxnSpPr/>
      </xdr:nvCxnSpPr>
      <xdr:spPr>
        <a:xfrm flipH="1">
          <a:off x="2780506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2765" name="Match16">
          <a:extLst>
            <a:ext uri="{FF2B5EF4-FFF2-40B4-BE49-F238E27FC236}">
              <a16:creationId xmlns:a16="http://schemas.microsoft.com/office/drawing/2014/main" id="{D1D3EF07-60E8-C1B9-FA9D-3543BBA51E99}"/>
            </a:ext>
          </a:extLst>
        </xdr:cNvPr>
        <xdr:cNvCxnSpPr/>
      </xdr:nvCxnSpPr>
      <xdr:spPr>
        <a:xfrm flipV="1">
          <a:off x="4450556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2766" name="Match17">
          <a:extLst>
            <a:ext uri="{FF2B5EF4-FFF2-40B4-BE49-F238E27FC236}">
              <a16:creationId xmlns:a16="http://schemas.microsoft.com/office/drawing/2014/main" id="{350F631C-BAEA-2E87-8A24-F035949221E6}"/>
            </a:ext>
          </a:extLst>
        </xdr:cNvPr>
        <xdr:cNvCxnSpPr/>
      </xdr:nvCxnSpPr>
      <xdr:spPr>
        <a:xfrm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2767" name="Match18">
          <a:extLst>
            <a:ext uri="{FF2B5EF4-FFF2-40B4-BE49-F238E27FC236}">
              <a16:creationId xmlns:a16="http://schemas.microsoft.com/office/drawing/2014/main" id="{E0EF5E4C-B2F5-BAF7-F02A-B50D9F5DD435}"/>
            </a:ext>
          </a:extLst>
        </xdr:cNvPr>
        <xdr:cNvCxnSpPr/>
      </xdr:nvCxnSpPr>
      <xdr:spPr>
        <a:xfrm flipH="1"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2768" name="Match19">
          <a:extLst>
            <a:ext uri="{FF2B5EF4-FFF2-40B4-BE49-F238E27FC236}">
              <a16:creationId xmlns:a16="http://schemas.microsoft.com/office/drawing/2014/main" id="{785BFD51-EA76-88E3-A099-8902C15D7A7C}"/>
            </a:ext>
          </a:extLst>
        </xdr:cNvPr>
        <xdr:cNvCxnSpPr/>
      </xdr:nvCxnSpPr>
      <xdr:spPr>
        <a:xfrm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2769" name="Match20">
          <a:extLst>
            <a:ext uri="{FF2B5EF4-FFF2-40B4-BE49-F238E27FC236}">
              <a16:creationId xmlns:a16="http://schemas.microsoft.com/office/drawing/2014/main" id="{A94AFBB6-A06C-BD5F-8210-19DF81FCEE05}"/>
            </a:ext>
          </a:extLst>
        </xdr:cNvPr>
        <xdr:cNvCxnSpPr/>
      </xdr:nvCxnSpPr>
      <xdr:spPr>
        <a:xfrm flipV="1"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2770" name="Match21">
          <a:extLst>
            <a:ext uri="{FF2B5EF4-FFF2-40B4-BE49-F238E27FC236}">
              <a16:creationId xmlns:a16="http://schemas.microsoft.com/office/drawing/2014/main" id="{9B23932F-265A-54D8-2293-C05EBE249A64}"/>
            </a:ext>
          </a:extLst>
        </xdr:cNvPr>
        <xdr:cNvCxnSpPr/>
      </xdr:nvCxnSpPr>
      <xdr:spPr>
        <a:xfrm flipH="1"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2771" name="Match22">
          <a:extLst>
            <a:ext uri="{FF2B5EF4-FFF2-40B4-BE49-F238E27FC236}">
              <a16:creationId xmlns:a16="http://schemas.microsoft.com/office/drawing/2014/main" id="{9F8CACA9-B077-9758-297D-A699E0FA57DF}"/>
            </a:ext>
          </a:extLst>
        </xdr:cNvPr>
        <xdr:cNvCxnSpPr/>
      </xdr:nvCxnSpPr>
      <xdr:spPr>
        <a:xfrm flipH="1" flipV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2772" name="Match23">
          <a:extLst>
            <a:ext uri="{FF2B5EF4-FFF2-40B4-BE49-F238E27FC236}">
              <a16:creationId xmlns:a16="http://schemas.microsoft.com/office/drawing/2014/main" id="{37C836D9-CC12-9116-7169-11B61ACD2396}"/>
            </a:ext>
          </a:extLst>
        </xdr:cNvPr>
        <xdr:cNvCxnSpPr/>
      </xdr:nvCxnSpPr>
      <xdr:spPr>
        <a:xfrm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2773" name="Match24">
          <a:extLst>
            <a:ext uri="{FF2B5EF4-FFF2-40B4-BE49-F238E27FC236}">
              <a16:creationId xmlns:a16="http://schemas.microsoft.com/office/drawing/2014/main" id="{F17C53E3-EB1E-FC3C-B238-AC020026F1E1}"/>
            </a:ext>
          </a:extLst>
        </xdr:cNvPr>
        <xdr:cNvCxnSpPr/>
      </xdr:nvCxnSpPr>
      <xdr:spPr>
        <a:xfrm flipV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2774" name="Match25">
          <a:extLst>
            <a:ext uri="{FF2B5EF4-FFF2-40B4-BE49-F238E27FC236}">
              <a16:creationId xmlns:a16="http://schemas.microsoft.com/office/drawing/2014/main" id="{D35FA064-6928-68CD-5A09-0F4C41191DBD}"/>
            </a:ext>
          </a:extLst>
        </xdr:cNvPr>
        <xdr:cNvCxnSpPr/>
      </xdr:nvCxnSpPr>
      <xdr:spPr>
        <a:xfrm flipH="1" flipV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2775" name="Match26">
          <a:extLst>
            <a:ext uri="{FF2B5EF4-FFF2-40B4-BE49-F238E27FC236}">
              <a16:creationId xmlns:a16="http://schemas.microsoft.com/office/drawing/2014/main" id="{1D5C6F00-A22A-1113-CFBA-46E37FFA52BA}"/>
            </a:ext>
          </a:extLst>
        </xdr:cNvPr>
        <xdr:cNvCxnSpPr/>
      </xdr:nvCxnSpPr>
      <xdr:spPr>
        <a:xfrm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8</xdr:row>
      <xdr:rowOff>203994</xdr:rowOff>
    </xdr:to>
    <xdr:cxnSp macro="">
      <xdr:nvCxnSpPr>
        <xdr:cNvPr id="2776" name="Match27">
          <a:extLst>
            <a:ext uri="{FF2B5EF4-FFF2-40B4-BE49-F238E27FC236}">
              <a16:creationId xmlns:a16="http://schemas.microsoft.com/office/drawing/2014/main" id="{08010DD2-1CFA-DD43-DF3B-04CBC4CEEB41}"/>
            </a:ext>
          </a:extLst>
        </xdr:cNvPr>
        <xdr:cNvCxnSpPr/>
      </xdr:nvCxnSpPr>
      <xdr:spPr>
        <a:xfrm flipH="1">
          <a:off x="278050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2777" name="Match28">
          <a:extLst>
            <a:ext uri="{FF2B5EF4-FFF2-40B4-BE49-F238E27FC236}">
              <a16:creationId xmlns:a16="http://schemas.microsoft.com/office/drawing/2014/main" id="{8135E9A6-7B81-2CD1-6A72-84B1C15609C7}"/>
            </a:ext>
          </a:extLst>
        </xdr:cNvPr>
        <xdr:cNvCxnSpPr/>
      </xdr:nvCxnSpPr>
      <xdr:spPr>
        <a:xfrm flipV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778" name="Match29">
          <a:extLst>
            <a:ext uri="{FF2B5EF4-FFF2-40B4-BE49-F238E27FC236}">
              <a16:creationId xmlns:a16="http://schemas.microsoft.com/office/drawing/2014/main" id="{41D41276-14B5-2F55-7242-8796B3DF69D6}"/>
            </a:ext>
          </a:extLst>
        </xdr:cNvPr>
        <xdr:cNvCxnSpPr/>
      </xdr:nvCxnSpPr>
      <xdr:spPr>
        <a:xfrm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2779" name="Match30">
          <a:extLst>
            <a:ext uri="{FF2B5EF4-FFF2-40B4-BE49-F238E27FC236}">
              <a16:creationId xmlns:a16="http://schemas.microsoft.com/office/drawing/2014/main" id="{B7F3B358-9DB4-A21F-4761-5B8980DE2682}"/>
            </a:ext>
          </a:extLst>
        </xdr:cNvPr>
        <xdr:cNvCxnSpPr/>
      </xdr:nvCxnSpPr>
      <xdr:spPr>
        <a:xfrm flipV="1">
          <a:off x="1483519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2780" name="Match31">
          <a:extLst>
            <a:ext uri="{FF2B5EF4-FFF2-40B4-BE49-F238E27FC236}">
              <a16:creationId xmlns:a16="http://schemas.microsoft.com/office/drawing/2014/main" id="{E45B8449-5404-58E4-E18D-4734D9B24A02}"/>
            </a:ext>
          </a:extLst>
        </xdr:cNvPr>
        <xdr:cNvCxnSpPr/>
      </xdr:nvCxnSpPr>
      <xdr:spPr>
        <a:xfrm flipV="1">
          <a:off x="635794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2781" name="Match32">
          <a:extLst>
            <a:ext uri="{FF2B5EF4-FFF2-40B4-BE49-F238E27FC236}">
              <a16:creationId xmlns:a16="http://schemas.microsoft.com/office/drawing/2014/main" id="{3396C117-3AC1-5913-0587-3B3DAE42C8FA}"/>
            </a:ext>
          </a:extLst>
        </xdr:cNvPr>
        <xdr:cNvCxnSpPr/>
      </xdr:nvCxnSpPr>
      <xdr:spPr>
        <a:xfrm flipH="1">
          <a:off x="635794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2782" name="Match33">
          <a:extLst>
            <a:ext uri="{FF2B5EF4-FFF2-40B4-BE49-F238E27FC236}">
              <a16:creationId xmlns:a16="http://schemas.microsoft.com/office/drawing/2014/main" id="{8E96FD4A-DAA9-91B3-85EC-6824CCF8A934}"/>
            </a:ext>
          </a:extLst>
        </xdr:cNvPr>
        <xdr:cNvCxnSpPr/>
      </xdr:nvCxnSpPr>
      <xdr:spPr>
        <a:xfrm>
          <a:off x="4874419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11</xdr:col>
      <xdr:colOff>237331</xdr:colOff>
      <xdr:row>7</xdr:row>
      <xdr:rowOff>203993</xdr:rowOff>
    </xdr:to>
    <xdr:cxnSp macro="">
      <xdr:nvCxnSpPr>
        <xdr:cNvPr id="2783" name="Match34">
          <a:extLst>
            <a:ext uri="{FF2B5EF4-FFF2-40B4-BE49-F238E27FC236}">
              <a16:creationId xmlns:a16="http://schemas.microsoft.com/office/drawing/2014/main" id="{9B3D6909-79C6-792C-D359-0D6B00297580}"/>
            </a:ext>
          </a:extLst>
        </xdr:cNvPr>
        <xdr:cNvCxnSpPr/>
      </xdr:nvCxnSpPr>
      <xdr:spPr>
        <a:xfrm flipH="1">
          <a:off x="4052094" y="270430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784" name="Match35">
          <a:extLst>
            <a:ext uri="{FF2B5EF4-FFF2-40B4-BE49-F238E27FC236}">
              <a16:creationId xmlns:a16="http://schemas.microsoft.com/office/drawing/2014/main" id="{6720E3C2-E425-AB4F-D729-BEB38833C33F}"/>
            </a:ext>
          </a:extLst>
        </xdr:cNvPr>
        <xdr:cNvCxnSpPr/>
      </xdr:nvCxnSpPr>
      <xdr:spPr>
        <a:xfrm>
          <a:off x="1059656" y="196453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2785" name="Match36">
          <a:extLst>
            <a:ext uri="{FF2B5EF4-FFF2-40B4-BE49-F238E27FC236}">
              <a16:creationId xmlns:a16="http://schemas.microsoft.com/office/drawing/2014/main" id="{3E2A1FB5-645A-FF29-E981-559A9A08150D}"/>
            </a:ext>
          </a:extLst>
        </xdr:cNvPr>
        <xdr:cNvCxnSpPr/>
      </xdr:nvCxnSpPr>
      <xdr:spPr>
        <a:xfrm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2786" name="Match37">
          <a:extLst>
            <a:ext uri="{FF2B5EF4-FFF2-40B4-BE49-F238E27FC236}">
              <a16:creationId xmlns:a16="http://schemas.microsoft.com/office/drawing/2014/main" id="{F195CE19-3D86-C94B-EF75-3499D8B40909}"/>
            </a:ext>
          </a:extLst>
        </xdr:cNvPr>
        <xdr:cNvCxnSpPr/>
      </xdr:nvCxnSpPr>
      <xdr:spPr>
        <a:xfrm flipH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2787" name="Match38">
          <a:extLst>
            <a:ext uri="{FF2B5EF4-FFF2-40B4-BE49-F238E27FC236}">
              <a16:creationId xmlns:a16="http://schemas.microsoft.com/office/drawing/2014/main" id="{B2515276-E48D-8601-FA81-A7A83D92C8DC}"/>
            </a:ext>
          </a:extLst>
        </xdr:cNvPr>
        <xdr:cNvCxnSpPr/>
      </xdr:nvCxnSpPr>
      <xdr:spPr>
        <a:xfrm flipH="1"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2788" name="Match39">
          <a:extLst>
            <a:ext uri="{FF2B5EF4-FFF2-40B4-BE49-F238E27FC236}">
              <a16:creationId xmlns:a16="http://schemas.microsoft.com/office/drawing/2014/main" id="{5106AFA7-5248-75A9-DDD6-8273123E48EA}"/>
            </a:ext>
          </a:extLst>
        </xdr:cNvPr>
        <xdr:cNvCxnSpPr/>
      </xdr:nvCxnSpPr>
      <xdr:spPr>
        <a:xfrm flipH="1" flipV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2789" name="Match40">
          <a:extLst>
            <a:ext uri="{FF2B5EF4-FFF2-40B4-BE49-F238E27FC236}">
              <a16:creationId xmlns:a16="http://schemas.microsoft.com/office/drawing/2014/main" id="{34C21AD2-E6C4-03E2-D447-BE6E424A7BA7}"/>
            </a:ext>
          </a:extLst>
        </xdr:cNvPr>
        <xdr:cNvCxnSpPr/>
      </xdr:nvCxnSpPr>
      <xdr:spPr>
        <a:xfrm flipV="1">
          <a:off x="6611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2790" name="Match41">
          <a:extLst>
            <a:ext uri="{FF2B5EF4-FFF2-40B4-BE49-F238E27FC236}">
              <a16:creationId xmlns:a16="http://schemas.microsoft.com/office/drawing/2014/main" id="{03AB36FD-6119-3D0D-C9D2-3F3AAC3758AB}"/>
            </a:ext>
          </a:extLst>
        </xdr:cNvPr>
        <xdr:cNvCxnSpPr/>
      </xdr:nvCxnSpPr>
      <xdr:spPr>
        <a:xfrm flipH="1"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791" name="Match42">
          <a:extLst>
            <a:ext uri="{FF2B5EF4-FFF2-40B4-BE49-F238E27FC236}">
              <a16:creationId xmlns:a16="http://schemas.microsoft.com/office/drawing/2014/main" id="{984B646C-C1DB-87F0-BDB0-D38147F5FED5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2792" name="Match43">
          <a:extLst>
            <a:ext uri="{FF2B5EF4-FFF2-40B4-BE49-F238E27FC236}">
              <a16:creationId xmlns:a16="http://schemas.microsoft.com/office/drawing/2014/main" id="{14CFF2DA-CE32-4EB9-3D59-250ECB868EFF}"/>
            </a:ext>
          </a:extLst>
        </xdr:cNvPr>
        <xdr:cNvCxnSpPr/>
      </xdr:nvCxnSpPr>
      <xdr:spPr>
        <a:xfrm flipH="1">
          <a:off x="6357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2793" name="Match44">
          <a:extLst>
            <a:ext uri="{FF2B5EF4-FFF2-40B4-BE49-F238E27FC236}">
              <a16:creationId xmlns:a16="http://schemas.microsoft.com/office/drawing/2014/main" id="{0265D36E-47A8-A7C8-1F05-0E641039F909}"/>
            </a:ext>
          </a:extLst>
        </xdr:cNvPr>
        <xdr:cNvCxnSpPr/>
      </xdr:nvCxnSpPr>
      <xdr:spPr>
        <a:xfrm flipH="1">
          <a:off x="148351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2794" name="Match45">
          <a:extLst>
            <a:ext uri="{FF2B5EF4-FFF2-40B4-BE49-F238E27FC236}">
              <a16:creationId xmlns:a16="http://schemas.microsoft.com/office/drawing/2014/main" id="{06641B65-D1D1-F387-C447-E988BFF69383}"/>
            </a:ext>
          </a:extLst>
        </xdr:cNvPr>
        <xdr:cNvCxnSpPr/>
      </xdr:nvCxnSpPr>
      <xdr:spPr>
        <a:xfrm flipV="1">
          <a:off x="6357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2795" name="Match46">
          <a:extLst>
            <a:ext uri="{FF2B5EF4-FFF2-40B4-BE49-F238E27FC236}">
              <a16:creationId xmlns:a16="http://schemas.microsoft.com/office/drawing/2014/main" id="{1C5EEEA0-F523-3F16-07F6-0DF062F88FC5}"/>
            </a:ext>
          </a:extLst>
        </xdr:cNvPr>
        <xdr:cNvCxnSpPr/>
      </xdr:nvCxnSpPr>
      <xdr:spPr>
        <a:xfrm flipV="1">
          <a:off x="148351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2796" name="Match47">
          <a:extLst>
            <a:ext uri="{FF2B5EF4-FFF2-40B4-BE49-F238E27FC236}">
              <a16:creationId xmlns:a16="http://schemas.microsoft.com/office/drawing/2014/main" id="{7E936433-1932-12F5-0F85-BF27E097D838}"/>
            </a:ext>
          </a:extLst>
        </xdr:cNvPr>
        <xdr:cNvCxnSpPr/>
      </xdr:nvCxnSpPr>
      <xdr:spPr>
        <a:xfrm flipH="1">
          <a:off x="1059656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2797" name="Match48">
          <a:extLst>
            <a:ext uri="{FF2B5EF4-FFF2-40B4-BE49-F238E27FC236}">
              <a16:creationId xmlns:a16="http://schemas.microsoft.com/office/drawing/2014/main" id="{C7032DE6-02E6-68D2-2632-6830814FB167}"/>
            </a:ext>
          </a:extLst>
        </xdr:cNvPr>
        <xdr:cNvCxnSpPr/>
      </xdr:nvCxnSpPr>
      <xdr:spPr>
        <a:xfrm>
          <a:off x="2331244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2798" name="Match49">
          <a:extLst>
            <a:ext uri="{FF2B5EF4-FFF2-40B4-BE49-F238E27FC236}">
              <a16:creationId xmlns:a16="http://schemas.microsoft.com/office/drawing/2014/main" id="{EBD07C63-0622-B82E-018F-A84890E1F83B}"/>
            </a:ext>
          </a:extLst>
        </xdr:cNvPr>
        <xdr:cNvCxnSpPr/>
      </xdr:nvCxnSpPr>
      <xdr:spPr>
        <a:xfrm>
          <a:off x="1907381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2799" name="Match50">
          <a:extLst>
            <a:ext uri="{FF2B5EF4-FFF2-40B4-BE49-F238E27FC236}">
              <a16:creationId xmlns:a16="http://schemas.microsoft.com/office/drawing/2014/main" id="{607B2839-0528-6FEC-0C08-9FFE0CAEFD0C}"/>
            </a:ext>
          </a:extLst>
        </xdr:cNvPr>
        <xdr:cNvCxnSpPr/>
      </xdr:nvCxnSpPr>
      <xdr:spPr>
        <a:xfrm flipH="1">
          <a:off x="1483519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800" name="Match51">
          <a:extLst>
            <a:ext uri="{FF2B5EF4-FFF2-40B4-BE49-F238E27FC236}">
              <a16:creationId xmlns:a16="http://schemas.microsoft.com/office/drawing/2014/main" id="{5C6D70DE-A14E-4450-A67C-8503E47ABAA7}"/>
            </a:ext>
          </a:extLst>
        </xdr:cNvPr>
        <xdr:cNvCxnSpPr/>
      </xdr:nvCxnSpPr>
      <xdr:spPr>
        <a:xfrm>
          <a:off x="1483519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2801" name="Match52">
          <a:extLst>
            <a:ext uri="{FF2B5EF4-FFF2-40B4-BE49-F238E27FC236}">
              <a16:creationId xmlns:a16="http://schemas.microsoft.com/office/drawing/2014/main" id="{989FD75C-B3F8-A834-2E6A-93F7B82579E2}"/>
            </a:ext>
          </a:extLst>
        </xdr:cNvPr>
        <xdr:cNvCxnSpPr/>
      </xdr:nvCxnSpPr>
      <xdr:spPr>
        <a:xfrm flipH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2802" name="Match53">
          <a:extLst>
            <a:ext uri="{FF2B5EF4-FFF2-40B4-BE49-F238E27FC236}">
              <a16:creationId xmlns:a16="http://schemas.microsoft.com/office/drawing/2014/main" id="{5DE45D28-12EC-16FB-257C-D6E82BAB8F17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2803" name="Match54">
          <a:extLst>
            <a:ext uri="{FF2B5EF4-FFF2-40B4-BE49-F238E27FC236}">
              <a16:creationId xmlns:a16="http://schemas.microsoft.com/office/drawing/2014/main" id="{62A69ADC-87E9-8117-1531-41EC8A882B44}"/>
            </a:ext>
          </a:extLst>
        </xdr:cNvPr>
        <xdr:cNvCxnSpPr/>
      </xdr:nvCxnSpPr>
      <xdr:spPr>
        <a:xfrm flipH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8</xdr:col>
      <xdr:colOff>262731</xdr:colOff>
      <xdr:row>3</xdr:row>
      <xdr:rowOff>229393</xdr:rowOff>
    </xdr:to>
    <xdr:cxnSp macro="">
      <xdr:nvCxnSpPr>
        <xdr:cNvPr id="2804" name="Match55">
          <a:extLst>
            <a:ext uri="{FF2B5EF4-FFF2-40B4-BE49-F238E27FC236}">
              <a16:creationId xmlns:a16="http://schemas.microsoft.com/office/drawing/2014/main" id="{E6EE733F-2DD3-35DE-33C7-78E182CA41CE}"/>
            </a:ext>
          </a:extLst>
        </xdr:cNvPr>
        <xdr:cNvCxnSpPr/>
      </xdr:nvCxnSpPr>
      <xdr:spPr>
        <a:xfrm flipH="1">
          <a:off x="3229769" y="13009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3</xdr:col>
      <xdr:colOff>237331</xdr:colOff>
      <xdr:row>5</xdr:row>
      <xdr:rowOff>203993</xdr:rowOff>
    </xdr:to>
    <xdr:cxnSp macro="">
      <xdr:nvCxnSpPr>
        <xdr:cNvPr id="2805" name="Match56">
          <a:extLst>
            <a:ext uri="{FF2B5EF4-FFF2-40B4-BE49-F238E27FC236}">
              <a16:creationId xmlns:a16="http://schemas.microsoft.com/office/drawing/2014/main" id="{E9D53F81-A17E-47F8-1315-F31039B182DE}"/>
            </a:ext>
          </a:extLst>
        </xdr:cNvPr>
        <xdr:cNvCxnSpPr/>
      </xdr:nvCxnSpPr>
      <xdr:spPr>
        <a:xfrm>
          <a:off x="1085056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806" name="Match57">
          <a:extLst>
            <a:ext uri="{FF2B5EF4-FFF2-40B4-BE49-F238E27FC236}">
              <a16:creationId xmlns:a16="http://schemas.microsoft.com/office/drawing/2014/main" id="{B8EEF45E-C5ED-D168-61CF-CF4D59306A53}"/>
            </a:ext>
          </a:extLst>
        </xdr:cNvPr>
        <xdr:cNvCxnSpPr/>
      </xdr:nvCxnSpPr>
      <xdr:spPr>
        <a:xfrm flipH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2807" name="Match58">
          <a:extLst>
            <a:ext uri="{FF2B5EF4-FFF2-40B4-BE49-F238E27FC236}">
              <a16:creationId xmlns:a16="http://schemas.microsoft.com/office/drawing/2014/main" id="{201C87A7-BEB3-AC09-7107-3B5A1B8D86DE}"/>
            </a:ext>
          </a:extLst>
        </xdr:cNvPr>
        <xdr:cNvCxnSpPr/>
      </xdr:nvCxnSpPr>
      <xdr:spPr>
        <a:xfrm>
          <a:off x="211931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2808" name="Match59">
          <a:extLst>
            <a:ext uri="{FF2B5EF4-FFF2-40B4-BE49-F238E27FC236}">
              <a16:creationId xmlns:a16="http://schemas.microsoft.com/office/drawing/2014/main" id="{4B17A1F1-E4E7-D1E4-BD32-45D5F2D0BB31}"/>
            </a:ext>
          </a:extLst>
        </xdr:cNvPr>
        <xdr:cNvCxnSpPr/>
      </xdr:nvCxnSpPr>
      <xdr:spPr>
        <a:xfrm flipV="1">
          <a:off x="2755106" y="125015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2809" name="Match60">
          <a:extLst>
            <a:ext uri="{FF2B5EF4-FFF2-40B4-BE49-F238E27FC236}">
              <a16:creationId xmlns:a16="http://schemas.microsoft.com/office/drawing/2014/main" id="{0625166C-9C99-98E9-6B6D-6B5CB45E828B}"/>
            </a:ext>
          </a:extLst>
        </xdr:cNvPr>
        <xdr:cNvCxnSpPr/>
      </xdr:nvCxnSpPr>
      <xdr:spPr>
        <a:xfrm flipH="1">
          <a:off x="2331244" y="89296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27AD65FE-4270-C258-BBFE-1E105163A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6" sqref="F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8</v>
      </c>
      <c r="B1" s="27">
        <v>9</v>
      </c>
      <c r="C1" s="23">
        <v>6</v>
      </c>
      <c r="D1" s="23">
        <v>2</v>
      </c>
      <c r="E1" s="23">
        <v>2</v>
      </c>
      <c r="F1" s="23">
        <v>5</v>
      </c>
      <c r="G1" s="27">
        <v>6</v>
      </c>
      <c r="H1" s="27">
        <v>1</v>
      </c>
      <c r="I1" s="27">
        <v>6</v>
      </c>
      <c r="J1" s="27">
        <v>1</v>
      </c>
      <c r="K1" s="23">
        <v>7</v>
      </c>
      <c r="L1" s="27">
        <v>9</v>
      </c>
      <c r="N1" s="2">
        <v>42</v>
      </c>
      <c r="O1" s="1">
        <v>16</v>
      </c>
    </row>
    <row r="2" spans="1:15" s="2" customFormat="1" ht="28.25" customHeight="1">
      <c r="A2" s="27">
        <v>4</v>
      </c>
      <c r="B2" s="22">
        <v>3</v>
      </c>
      <c r="C2" s="23">
        <v>4</v>
      </c>
      <c r="D2" s="22">
        <v>2</v>
      </c>
      <c r="E2" s="22">
        <v>5</v>
      </c>
      <c r="F2" s="22">
        <v>9</v>
      </c>
      <c r="G2" s="22">
        <v>4</v>
      </c>
      <c r="H2" s="22">
        <v>8</v>
      </c>
      <c r="I2" s="27">
        <v>8</v>
      </c>
      <c r="J2" s="23">
        <v>6</v>
      </c>
      <c r="K2" s="23">
        <v>2</v>
      </c>
      <c r="L2" s="23">
        <v>3</v>
      </c>
      <c r="N2" s="2">
        <v>96532</v>
      </c>
      <c r="O2" s="2">
        <v>1</v>
      </c>
    </row>
    <row r="3" spans="1:15" ht="28.25" customHeight="1">
      <c r="A3" s="23">
        <v>7</v>
      </c>
      <c r="B3" s="27">
        <v>1</v>
      </c>
      <c r="C3" s="22">
        <v>7</v>
      </c>
      <c r="D3" s="23">
        <v>5</v>
      </c>
      <c r="E3" s="22">
        <v>5</v>
      </c>
      <c r="F3" s="27">
        <v>9</v>
      </c>
      <c r="G3" s="27">
        <v>9</v>
      </c>
      <c r="H3" s="23">
        <v>2</v>
      </c>
      <c r="I3" s="22">
        <v>1</v>
      </c>
      <c r="J3" s="27">
        <v>2</v>
      </c>
      <c r="K3" s="27">
        <v>6</v>
      </c>
      <c r="L3" s="23">
        <v>4</v>
      </c>
      <c r="N3" s="2">
        <v>54</v>
      </c>
      <c r="O3" s="1">
        <v>13</v>
      </c>
    </row>
    <row r="4" spans="1:15" ht="28.25" customHeight="1">
      <c r="A4" s="23">
        <v>4</v>
      </c>
      <c r="B4" s="23">
        <v>3</v>
      </c>
      <c r="C4" s="23">
        <v>2</v>
      </c>
      <c r="D4" s="23">
        <v>1</v>
      </c>
      <c r="E4" s="27">
        <v>7</v>
      </c>
      <c r="F4" s="22">
        <v>4</v>
      </c>
      <c r="G4" s="27">
        <v>1</v>
      </c>
      <c r="H4" s="22">
        <v>6</v>
      </c>
      <c r="I4" s="23">
        <v>7</v>
      </c>
      <c r="J4" s="22">
        <v>8</v>
      </c>
      <c r="K4" s="27">
        <v>8</v>
      </c>
      <c r="L4" s="27">
        <v>8</v>
      </c>
      <c r="N4" s="2">
        <v>2811981</v>
      </c>
      <c r="O4" s="1">
        <v>1</v>
      </c>
    </row>
    <row r="5" spans="1:15" ht="28.25" customHeight="1">
      <c r="A5" s="23">
        <v>5</v>
      </c>
      <c r="B5" s="27">
        <v>1</v>
      </c>
      <c r="C5" s="23">
        <v>4</v>
      </c>
      <c r="D5" s="23">
        <v>2</v>
      </c>
      <c r="E5" s="27">
        <v>1</v>
      </c>
      <c r="F5" s="22">
        <v>2</v>
      </c>
      <c r="G5" s="22">
        <v>2</v>
      </c>
      <c r="H5" s="22">
        <v>6</v>
      </c>
      <c r="I5" s="22">
        <v>6</v>
      </c>
      <c r="J5" s="22">
        <v>1</v>
      </c>
      <c r="K5" s="23">
        <v>2</v>
      </c>
      <c r="L5" s="27">
        <v>5</v>
      </c>
      <c r="N5" s="2">
        <v>48849</v>
      </c>
      <c r="O5" s="1">
        <v>1</v>
      </c>
    </row>
    <row r="6" spans="1:15" ht="28.25" customHeight="1">
      <c r="A6" s="22">
        <v>5</v>
      </c>
      <c r="B6" s="27">
        <v>9</v>
      </c>
      <c r="C6" s="22">
        <v>7</v>
      </c>
      <c r="D6" s="22">
        <v>6</v>
      </c>
      <c r="E6" s="23">
        <v>4</v>
      </c>
      <c r="F6" s="22">
        <v>3</v>
      </c>
      <c r="G6" s="27">
        <v>9</v>
      </c>
      <c r="H6" s="22">
        <v>5</v>
      </c>
      <c r="I6" s="22">
        <v>8</v>
      </c>
      <c r="J6" s="23">
        <v>4</v>
      </c>
      <c r="K6" s="27">
        <v>8</v>
      </c>
      <c r="L6" s="27">
        <v>7</v>
      </c>
      <c r="N6" s="2">
        <v>123</v>
      </c>
      <c r="O6" s="1">
        <v>3</v>
      </c>
    </row>
    <row r="7" spans="1:15" ht="28.25" customHeight="1">
      <c r="A7" s="22">
        <v>1</v>
      </c>
      <c r="B7" s="22">
        <v>9</v>
      </c>
      <c r="C7" s="22">
        <v>9</v>
      </c>
      <c r="D7" s="23">
        <v>3</v>
      </c>
      <c r="E7" s="27">
        <v>6</v>
      </c>
      <c r="F7" s="27">
        <v>6</v>
      </c>
      <c r="G7" s="22">
        <v>1</v>
      </c>
      <c r="H7" s="22">
        <v>9</v>
      </c>
      <c r="I7" s="27">
        <v>8</v>
      </c>
      <c r="J7" s="23">
        <v>4</v>
      </c>
      <c r="K7" s="23">
        <v>5</v>
      </c>
      <c r="L7" s="27">
        <v>9</v>
      </c>
      <c r="N7" s="2">
        <v>792513</v>
      </c>
      <c r="O7" s="1">
        <v>1</v>
      </c>
    </row>
    <row r="8" spans="1:15" ht="28.25" customHeight="1">
      <c r="A8" s="22">
        <v>7</v>
      </c>
      <c r="B8" s="22">
        <v>4</v>
      </c>
      <c r="C8" s="22">
        <v>2</v>
      </c>
      <c r="D8" s="23">
        <v>8</v>
      </c>
      <c r="E8" s="27">
        <v>9</v>
      </c>
      <c r="F8" s="22">
        <v>8</v>
      </c>
      <c r="G8" s="22">
        <v>1</v>
      </c>
      <c r="H8" s="27">
        <v>9</v>
      </c>
      <c r="I8" s="23">
        <v>5</v>
      </c>
      <c r="J8" s="23">
        <v>3</v>
      </c>
      <c r="K8" s="22">
        <v>2</v>
      </c>
      <c r="L8" s="22">
        <v>1</v>
      </c>
      <c r="N8" s="2">
        <v>37</v>
      </c>
      <c r="O8" s="1">
        <v>7</v>
      </c>
    </row>
    <row r="9" spans="1:15" ht="28.25" customHeight="1">
      <c r="A9" s="22">
        <v>5</v>
      </c>
      <c r="B9" s="22">
        <v>8</v>
      </c>
      <c r="C9" s="22">
        <v>5</v>
      </c>
      <c r="D9" s="27">
        <v>1</v>
      </c>
      <c r="E9" s="22">
        <v>5</v>
      </c>
      <c r="F9" s="22">
        <v>1</v>
      </c>
      <c r="G9" s="23">
        <v>4</v>
      </c>
      <c r="H9" s="23">
        <v>5</v>
      </c>
      <c r="I9" s="27">
        <v>6</v>
      </c>
      <c r="J9" s="27">
        <v>5</v>
      </c>
      <c r="K9" s="22">
        <v>3</v>
      </c>
      <c r="L9" s="22">
        <v>2</v>
      </c>
      <c r="N9" s="2">
        <v>858</v>
      </c>
      <c r="O9" s="1">
        <v>4</v>
      </c>
    </row>
    <row r="10" spans="1:15" ht="28.25" customHeight="1">
      <c r="A10" s="22">
        <v>8</v>
      </c>
      <c r="B10" s="22">
        <v>8</v>
      </c>
      <c r="C10" s="22">
        <v>1</v>
      </c>
      <c r="D10" s="22">
        <v>8</v>
      </c>
      <c r="E10" s="22">
        <v>8</v>
      </c>
      <c r="F10" s="27">
        <v>7</v>
      </c>
      <c r="G10" s="23">
        <v>2</v>
      </c>
      <c r="H10" s="22">
        <v>4</v>
      </c>
      <c r="I10" s="22">
        <v>2</v>
      </c>
      <c r="J10" s="27">
        <v>3</v>
      </c>
      <c r="K10" s="22">
        <v>5</v>
      </c>
      <c r="L10" s="22">
        <v>3</v>
      </c>
      <c r="N10" s="2">
        <v>226</v>
      </c>
      <c r="O10" s="1">
        <v>4</v>
      </c>
    </row>
    <row r="11" spans="1:15" ht="28.25" customHeight="1">
      <c r="A11" s="22">
        <v>3</v>
      </c>
      <c r="B11" s="22">
        <v>4</v>
      </c>
      <c r="C11" s="22">
        <v>3</v>
      </c>
      <c r="D11" s="22">
        <v>2</v>
      </c>
      <c r="E11" s="27">
        <v>8</v>
      </c>
      <c r="F11" s="27">
        <v>9</v>
      </c>
      <c r="G11" s="23">
        <v>5</v>
      </c>
      <c r="H11" s="23">
        <v>7</v>
      </c>
      <c r="I11" s="23">
        <v>3</v>
      </c>
      <c r="J11" s="27">
        <v>9</v>
      </c>
      <c r="K11" s="22">
        <v>6</v>
      </c>
      <c r="L11" s="27">
        <v>9</v>
      </c>
      <c r="N11" s="2">
        <v>25948</v>
      </c>
      <c r="O11" s="1">
        <v>1</v>
      </c>
    </row>
    <row r="12" spans="1:15" ht="28.25" customHeight="1">
      <c r="A12" s="22">
        <v>5</v>
      </c>
      <c r="B12" s="27">
        <v>1</v>
      </c>
      <c r="C12" s="27">
        <v>9</v>
      </c>
      <c r="D12" s="23">
        <v>6</v>
      </c>
      <c r="E12" s="23">
        <v>2</v>
      </c>
      <c r="F12" s="23">
        <v>2</v>
      </c>
      <c r="G12" s="23">
        <v>6</v>
      </c>
      <c r="H12" s="27">
        <v>1</v>
      </c>
      <c r="I12" s="27">
        <v>9</v>
      </c>
      <c r="J12" s="27">
        <v>4</v>
      </c>
      <c r="K12" s="22">
        <v>9</v>
      </c>
      <c r="L12" s="27">
        <v>5</v>
      </c>
      <c r="N12" s="2">
        <v>76</v>
      </c>
      <c r="O12" s="1">
        <v>6</v>
      </c>
    </row>
    <row r="13" spans="1:15" ht="28.25" customHeight="1">
      <c r="N13" s="2">
        <v>5175835</v>
      </c>
      <c r="O13" s="1">
        <v>1</v>
      </c>
    </row>
    <row r="14" spans="1:15" ht="28.25" customHeight="1">
      <c r="N14" s="2">
        <v>1568</v>
      </c>
      <c r="O14" s="1">
        <v>1</v>
      </c>
    </row>
    <row r="15" spans="1:15" ht="28.25" customHeight="1">
      <c r="N15" s="2">
        <v>1623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59"/>
  <sheetViews>
    <sheetView tabSelected="1" zoomScaleNormal="100" workbookViewId="0">
      <pane ySplit="2" topLeftCell="A352" activePane="bottomLeft" state="frozen"/>
      <selection pane="bottomLeft" activeCell="A359" sqref="A35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  <row r="349" spans="1:17">
      <c r="A349" s="3">
        <v>46089.30673611111</v>
      </c>
      <c r="B349">
        <v>60</v>
      </c>
      <c r="C349">
        <v>13</v>
      </c>
      <c r="D349">
        <v>0</v>
      </c>
      <c r="E349">
        <v>0</v>
      </c>
      <c r="F349">
        <v>0</v>
      </c>
      <c r="G349" s="5">
        <v>5.9837962980964221E-3</v>
      </c>
      <c r="H349" t="s">
        <v>752</v>
      </c>
      <c r="I349" t="s">
        <v>753</v>
      </c>
      <c r="J349">
        <v>0</v>
      </c>
      <c r="K349">
        <f t="shared" ref="K349" si="1056">IF(A349&lt;DATEVALUE("2025/11/20")+TIMEVALUE("6:00"),1,IF(OR(B349&lt;&gt;60,SUM(D349:F349)&lt;&gt;0,G349&gt;=IF(A349&lt;DATEVALUE("2025/12/28")+TIMEVALUE("6:00"),20,18)/24/60),0,2-INT(G349*24*60/10)))</f>
        <v>2</v>
      </c>
      <c r="L349">
        <f t="shared" ref="L349" si="1057">L348+K349</f>
        <v>438</v>
      </c>
      <c r="M349">
        <f t="shared" ref="M349" si="1058">2+IF(A349&gt;=DATEVALUE("2025/11/30")+TIMEVALUE("6:00"),1,0)+IF(A349&gt;=DATEVALUE("2025/12/11")+TIMEVALUE("6:00"),1,0)</f>
        <v>4</v>
      </c>
      <c r="N349">
        <f t="shared" ref="N349" si="1059">N348+M349*(INT(A349-6/24)-INT(A348-6/24))+O349</f>
        <v>444</v>
      </c>
      <c r="O349">
        <f t="shared" ref="O349" si="1060">IF(A349&gt;=DATEVALUE("2025/11/8")+TIMEVALUE("6:00"),1,0)-IF(A348&gt;=DATEVALUE("2025/11/8")+TIMEVALUE("6:00"),1,0)
+IF(A349&gt;=DATEVALUE("2026/1/22")+TIMEVALUE("6:00"),3,0)-IF(A348&gt;=DATEVALUE("2026/1/22")+TIMEVALUE("6:00"),3,0)
+IF(A349&gt;=DATEVALUE("2026/2/21")+TIMEVALUE("6:00"),1,0)-IF(A348&gt;=DATEVALUE("2026/2/21")+TIMEVALUE("6:00"),1,0)</f>
        <v>0</v>
      </c>
      <c r="P349" t="str">
        <f t="shared" ref="P349" si="1061">IF(L349&lt;N349,"未達成（"&amp;N349-L349&amp;"）",IF(L349=N349,"達成","前倒し（"&amp;L349-N349&amp;"）"))</f>
        <v>未達成（6）</v>
      </c>
      <c r="Q349">
        <f t="shared" ref="Q349" si="1062">IF(B349="",NA(),G349)</f>
        <v>5.9837962980964221E-3</v>
      </c>
    </row>
    <row r="350" spans="1:17">
      <c r="A350" s="3">
        <v>46089.314247685186</v>
      </c>
      <c r="B350">
        <v>60</v>
      </c>
      <c r="C350">
        <v>20</v>
      </c>
      <c r="D350">
        <v>0</v>
      </c>
      <c r="E350">
        <v>0</v>
      </c>
      <c r="F350">
        <v>0</v>
      </c>
      <c r="G350" s="5">
        <v>6.8981481526861899E-3</v>
      </c>
      <c r="H350" t="s">
        <v>754</v>
      </c>
      <c r="I350" t="s">
        <v>755</v>
      </c>
      <c r="J350">
        <v>0</v>
      </c>
      <c r="K350">
        <f t="shared" ref="K350" si="1063">IF(A350&lt;DATEVALUE("2025/11/20")+TIMEVALUE("6:00"),1,IF(OR(B350&lt;&gt;60,SUM(D350:F350)&lt;&gt;0,G350&gt;=IF(A350&lt;DATEVALUE("2025/12/28")+TIMEVALUE("6:00"),20,18)/24/60),0,2-INT(G350*24*60/10)))</f>
        <v>2</v>
      </c>
      <c r="L350">
        <f t="shared" ref="L350" si="1064">L349+K350</f>
        <v>440</v>
      </c>
      <c r="M350">
        <f t="shared" ref="M350" si="1065">2+IF(A350&gt;=DATEVALUE("2025/11/30")+TIMEVALUE("6:00"),1,0)+IF(A350&gt;=DATEVALUE("2025/12/11")+TIMEVALUE("6:00"),1,0)</f>
        <v>4</v>
      </c>
      <c r="N350">
        <f t="shared" ref="N350" si="1066">N349+M350*(INT(A350-6/24)-INT(A349-6/24))+O350</f>
        <v>444</v>
      </c>
      <c r="O350">
        <f t="shared" ref="O350" si="1067">IF(A350&gt;=DATEVALUE("2025/11/8")+TIMEVALUE("6:00"),1,0)-IF(A349&gt;=DATEVALUE("2025/11/8")+TIMEVALUE("6:00"),1,0)
+IF(A350&gt;=DATEVALUE("2026/1/22")+TIMEVALUE("6:00"),3,0)-IF(A349&gt;=DATEVALUE("2026/1/22")+TIMEVALUE("6:00"),3,0)
+IF(A350&gt;=DATEVALUE("2026/2/21")+TIMEVALUE("6:00"),1,0)-IF(A349&gt;=DATEVALUE("2026/2/21")+TIMEVALUE("6:00"),1,0)</f>
        <v>0</v>
      </c>
      <c r="P350" t="str">
        <f t="shared" ref="P350" si="1068">IF(L350&lt;N350,"未達成（"&amp;N350-L350&amp;"）",IF(L350=N350,"達成","前倒し（"&amp;L350-N350&amp;"）"))</f>
        <v>未達成（4）</v>
      </c>
      <c r="Q350">
        <f t="shared" ref="Q350" si="1069">IF(B350="",NA(),G350)</f>
        <v>6.8981481526861899E-3</v>
      </c>
    </row>
    <row r="351" spans="1:17">
      <c r="A351" s="3">
        <v>46089.322013888886</v>
      </c>
      <c r="B351">
        <v>60</v>
      </c>
      <c r="C351">
        <v>26</v>
      </c>
      <c r="D351">
        <v>0</v>
      </c>
      <c r="E351">
        <v>0</v>
      </c>
      <c r="F351">
        <v>0</v>
      </c>
      <c r="G351" s="5">
        <v>6.2731481448281556E-3</v>
      </c>
      <c r="H351" t="s">
        <v>756</v>
      </c>
      <c r="I351" t="s">
        <v>757</v>
      </c>
      <c r="J351">
        <v>0</v>
      </c>
      <c r="K351">
        <f t="shared" ref="K351" si="1070">IF(A351&lt;DATEVALUE("2025/11/20")+TIMEVALUE("6:00"),1,IF(OR(B351&lt;&gt;60,SUM(D351:F351)&lt;&gt;0,G351&gt;=IF(A351&lt;DATEVALUE("2025/12/28")+TIMEVALUE("6:00"),20,18)/24/60),0,2-INT(G351*24*60/10)))</f>
        <v>2</v>
      </c>
      <c r="L351">
        <f t="shared" ref="L351" si="1071">L350+K351</f>
        <v>442</v>
      </c>
      <c r="M351">
        <f t="shared" ref="M351" si="1072">2+IF(A351&gt;=DATEVALUE("2025/11/30")+TIMEVALUE("6:00"),1,0)+IF(A351&gt;=DATEVALUE("2025/12/11")+TIMEVALUE("6:00"),1,0)</f>
        <v>4</v>
      </c>
      <c r="N351">
        <f t="shared" ref="N351" si="1073">N350+M351*(INT(A351-6/24)-INT(A350-6/24))+O351</f>
        <v>444</v>
      </c>
      <c r="O351">
        <f t="shared" ref="O351" si="1074">IF(A351&gt;=DATEVALUE("2025/11/8")+TIMEVALUE("6:00"),1,0)-IF(A350&gt;=DATEVALUE("2025/11/8")+TIMEVALUE("6:00"),1,0)
+IF(A351&gt;=DATEVALUE("2026/1/22")+TIMEVALUE("6:00"),3,0)-IF(A350&gt;=DATEVALUE("2026/1/22")+TIMEVALUE("6:00"),3,0)
+IF(A351&gt;=DATEVALUE("2026/2/21")+TIMEVALUE("6:00"),1,0)-IF(A350&gt;=DATEVALUE("2026/2/21")+TIMEVALUE("6:00"),1,0)</f>
        <v>0</v>
      </c>
      <c r="P351" t="str">
        <f t="shared" ref="P351" si="1075">IF(L351&lt;N351,"未達成（"&amp;N351-L351&amp;"）",IF(L351=N351,"達成","前倒し（"&amp;L351-N351&amp;"）"))</f>
        <v>未達成（2）</v>
      </c>
      <c r="Q351">
        <f t="shared" ref="Q351" si="1076">IF(B351="",NA(),G351)</f>
        <v>6.2731481448281556E-3</v>
      </c>
    </row>
    <row r="352" spans="1:17">
      <c r="A352" s="3">
        <v>46089.327835648146</v>
      </c>
      <c r="B352">
        <v>60</v>
      </c>
      <c r="C352">
        <v>18</v>
      </c>
      <c r="D352">
        <v>0</v>
      </c>
      <c r="E352">
        <v>0</v>
      </c>
      <c r="F352">
        <v>0</v>
      </c>
      <c r="G352" s="5">
        <v>5.2083333284826949E-3</v>
      </c>
      <c r="H352" t="s">
        <v>758</v>
      </c>
      <c r="I352" t="s">
        <v>759</v>
      </c>
      <c r="J352">
        <v>0</v>
      </c>
      <c r="K352">
        <f t="shared" ref="K352" si="1077">IF(A352&lt;DATEVALUE("2025/11/20")+TIMEVALUE("6:00"),1,IF(OR(B352&lt;&gt;60,SUM(D352:F352)&lt;&gt;0,G352&gt;=IF(A352&lt;DATEVALUE("2025/12/28")+TIMEVALUE("6:00"),20,18)/24/60),0,2-INT(G352*24*60/10)))</f>
        <v>2</v>
      </c>
      <c r="L352">
        <f t="shared" ref="L352" si="1078">L351+K352</f>
        <v>444</v>
      </c>
      <c r="M352">
        <f t="shared" ref="M352" si="1079">2+IF(A352&gt;=DATEVALUE("2025/11/30")+TIMEVALUE("6:00"),1,0)+IF(A352&gt;=DATEVALUE("2025/12/11")+TIMEVALUE("6:00"),1,0)</f>
        <v>4</v>
      </c>
      <c r="N352">
        <f t="shared" ref="N352" si="1080">N351+M352*(INT(A352-6/24)-INT(A351-6/24))+O352</f>
        <v>444</v>
      </c>
      <c r="O352">
        <f t="shared" ref="O352" si="1081">IF(A352&gt;=DATEVALUE("2025/11/8")+TIMEVALUE("6:00"),1,0)-IF(A351&gt;=DATEVALUE("2025/11/8")+TIMEVALUE("6:00"),1,0)
+IF(A352&gt;=DATEVALUE("2026/1/22")+TIMEVALUE("6:00"),3,0)-IF(A351&gt;=DATEVALUE("2026/1/22")+TIMEVALUE("6:00"),3,0)
+IF(A352&gt;=DATEVALUE("2026/2/21")+TIMEVALUE("6:00"),1,0)-IF(A351&gt;=DATEVALUE("2026/2/21")+TIMEVALUE("6:00"),1,0)</f>
        <v>0</v>
      </c>
      <c r="P352" t="str">
        <f t="shared" ref="P352" si="1082">IF(L352&lt;N352,"未達成（"&amp;N352-L352&amp;"）",IF(L352=N352,"達成","前倒し（"&amp;L352-N352&amp;"）"))</f>
        <v>達成</v>
      </c>
      <c r="Q352">
        <f t="shared" ref="Q352" si="1083">IF(B352="",NA(),G352)</f>
        <v>5.2083333284826949E-3</v>
      </c>
    </row>
    <row r="353" spans="1:17">
      <c r="A353" s="3">
        <v>46090.334085648145</v>
      </c>
      <c r="B353">
        <v>60</v>
      </c>
      <c r="C353">
        <v>16</v>
      </c>
      <c r="D353">
        <v>0</v>
      </c>
      <c r="E353">
        <v>0</v>
      </c>
      <c r="F353">
        <v>0</v>
      </c>
      <c r="G353" s="5">
        <v>5.3240740671753883E-3</v>
      </c>
      <c r="H353" t="s">
        <v>760</v>
      </c>
      <c r="I353" t="s">
        <v>761</v>
      </c>
      <c r="J353">
        <v>0</v>
      </c>
      <c r="K353">
        <f t="shared" ref="K353" si="1084">IF(A353&lt;DATEVALUE("2025/11/20")+TIMEVALUE("6:00"),1,IF(OR(B353&lt;&gt;60,SUM(D353:F353)&lt;&gt;0,G353&gt;=IF(A353&lt;DATEVALUE("2025/12/28")+TIMEVALUE("6:00"),20,18)/24/60),0,2-INT(G353*24*60/10)))</f>
        <v>2</v>
      </c>
      <c r="L353">
        <f t="shared" ref="L353" si="1085">L352+K353</f>
        <v>446</v>
      </c>
      <c r="M353">
        <f t="shared" ref="M353" si="1086">2+IF(A353&gt;=DATEVALUE("2025/11/30")+TIMEVALUE("6:00"),1,0)+IF(A353&gt;=DATEVALUE("2025/12/11")+TIMEVALUE("6:00"),1,0)</f>
        <v>4</v>
      </c>
      <c r="N353">
        <f t="shared" ref="N353" si="1087">N352+M353*(INT(A353-6/24)-INT(A352-6/24))+O353</f>
        <v>448</v>
      </c>
      <c r="O353">
        <f t="shared" ref="O353" si="1088">IF(A353&gt;=DATEVALUE("2025/11/8")+TIMEVALUE("6:00"),1,0)-IF(A352&gt;=DATEVALUE("2025/11/8")+TIMEVALUE("6:00"),1,0)
+IF(A353&gt;=DATEVALUE("2026/1/22")+TIMEVALUE("6:00"),3,0)-IF(A352&gt;=DATEVALUE("2026/1/22")+TIMEVALUE("6:00"),3,0)
+IF(A353&gt;=DATEVALUE("2026/2/21")+TIMEVALUE("6:00"),1,0)-IF(A352&gt;=DATEVALUE("2026/2/21")+TIMEVALUE("6:00"),1,0)</f>
        <v>0</v>
      </c>
      <c r="P353" t="str">
        <f t="shared" ref="P353" si="1089">IF(L353&lt;N353,"未達成（"&amp;N353-L353&amp;"）",IF(L353=N353,"達成","前倒し（"&amp;L353-N353&amp;"）"))</f>
        <v>未達成（2）</v>
      </c>
      <c r="Q353">
        <f t="shared" ref="Q353" si="1090">IF(B353="",NA(),G353)</f>
        <v>5.3240740671753883E-3</v>
      </c>
    </row>
    <row r="354" spans="1:17">
      <c r="A354" s="3">
        <v>46090.341053240743</v>
      </c>
      <c r="B354">
        <v>60</v>
      </c>
      <c r="C354">
        <v>10</v>
      </c>
      <c r="D354">
        <v>0</v>
      </c>
      <c r="E354">
        <v>0</v>
      </c>
      <c r="F354">
        <v>0</v>
      </c>
      <c r="G354" s="5">
        <v>6.4583333369228058E-3</v>
      </c>
      <c r="H354" t="s">
        <v>762</v>
      </c>
      <c r="I354" t="s">
        <v>763</v>
      </c>
      <c r="J354">
        <v>0</v>
      </c>
      <c r="K354">
        <f t="shared" ref="K354" si="1091">IF(A354&lt;DATEVALUE("2025/11/20")+TIMEVALUE("6:00"),1,IF(OR(B354&lt;&gt;60,SUM(D354:F354)&lt;&gt;0,G354&gt;=IF(A354&lt;DATEVALUE("2025/12/28")+TIMEVALUE("6:00"),20,18)/24/60),0,2-INT(G354*24*60/10)))</f>
        <v>2</v>
      </c>
      <c r="L354">
        <f t="shared" ref="L354" si="1092">L353+K354</f>
        <v>448</v>
      </c>
      <c r="M354">
        <f t="shared" ref="M354" si="1093">2+IF(A354&gt;=DATEVALUE("2025/11/30")+TIMEVALUE("6:00"),1,0)+IF(A354&gt;=DATEVALUE("2025/12/11")+TIMEVALUE("6:00"),1,0)</f>
        <v>4</v>
      </c>
      <c r="N354">
        <f t="shared" ref="N354" si="1094">N353+M354*(INT(A354-6/24)-INT(A353-6/24))+O354</f>
        <v>448</v>
      </c>
      <c r="O354">
        <f t="shared" ref="O354" si="1095">IF(A354&gt;=DATEVALUE("2025/11/8")+TIMEVALUE("6:00"),1,0)-IF(A353&gt;=DATEVALUE("2025/11/8")+TIMEVALUE("6:00"),1,0)
+IF(A354&gt;=DATEVALUE("2026/1/22")+TIMEVALUE("6:00"),3,0)-IF(A353&gt;=DATEVALUE("2026/1/22")+TIMEVALUE("6:00"),3,0)
+IF(A354&gt;=DATEVALUE("2026/2/21")+TIMEVALUE("6:00"),1,0)-IF(A353&gt;=DATEVALUE("2026/2/21")+TIMEVALUE("6:00"),1,0)</f>
        <v>0</v>
      </c>
      <c r="P354" t="str">
        <f t="shared" ref="P354" si="1096">IF(L354&lt;N354,"未達成（"&amp;N354-L354&amp;"）",IF(L354=N354,"達成","前倒し（"&amp;L354-N354&amp;"）"))</f>
        <v>達成</v>
      </c>
      <c r="Q354">
        <f t="shared" ref="Q354" si="1097">IF(B354="",NA(),G354)</f>
        <v>6.4583333369228058E-3</v>
      </c>
    </row>
    <row r="355" spans="1:17">
      <c r="A355" s="3">
        <v>46092.305324074077</v>
      </c>
      <c r="B355">
        <v>60</v>
      </c>
      <c r="C355">
        <v>6</v>
      </c>
      <c r="D355">
        <v>0</v>
      </c>
      <c r="E355">
        <v>0</v>
      </c>
      <c r="F355">
        <v>0</v>
      </c>
      <c r="G355" s="5">
        <v>6.8865740759065375E-3</v>
      </c>
      <c r="H355" t="s">
        <v>764</v>
      </c>
      <c r="I355" t="s">
        <v>765</v>
      </c>
      <c r="J355">
        <v>0</v>
      </c>
      <c r="K355">
        <f t="shared" ref="K355" si="1098">IF(A355&lt;DATEVALUE("2025/11/20")+TIMEVALUE("6:00"),1,IF(OR(B355&lt;&gt;60,SUM(D355:F355)&lt;&gt;0,G355&gt;=IF(A355&lt;DATEVALUE("2025/12/28")+TIMEVALUE("6:00"),20,18)/24/60),0,2-INT(G355*24*60/10)))</f>
        <v>2</v>
      </c>
      <c r="L355">
        <f t="shared" ref="L355" si="1099">L354+K355</f>
        <v>450</v>
      </c>
      <c r="M355">
        <f t="shared" ref="M355" si="1100">2+IF(A355&gt;=DATEVALUE("2025/11/30")+TIMEVALUE("6:00"),1,0)+IF(A355&gt;=DATEVALUE("2025/12/11")+TIMEVALUE("6:00"),1,0)</f>
        <v>4</v>
      </c>
      <c r="N355">
        <f t="shared" ref="N355" si="1101">N354+M355*(INT(A355-6/24)-INT(A354-6/24))+O355</f>
        <v>456</v>
      </c>
      <c r="O355">
        <f t="shared" ref="O355" si="1102">IF(A355&gt;=DATEVALUE("2025/11/8")+TIMEVALUE("6:00"),1,0)-IF(A354&gt;=DATEVALUE("2025/11/8")+TIMEVALUE("6:00"),1,0)
+IF(A355&gt;=DATEVALUE("2026/1/22")+TIMEVALUE("6:00"),3,0)-IF(A354&gt;=DATEVALUE("2026/1/22")+TIMEVALUE("6:00"),3,0)
+IF(A355&gt;=DATEVALUE("2026/2/21")+TIMEVALUE("6:00"),1,0)-IF(A354&gt;=DATEVALUE("2026/2/21")+TIMEVALUE("6:00"),1,0)</f>
        <v>0</v>
      </c>
      <c r="P355" t="str">
        <f t="shared" ref="P355" si="1103">IF(L355&lt;N355,"未達成（"&amp;N355-L355&amp;"）",IF(L355=N355,"達成","前倒し（"&amp;L355-N355&amp;"）"))</f>
        <v>未達成（6）</v>
      </c>
      <c r="Q355">
        <f t="shared" ref="Q355" si="1104">IF(B355="",NA(),G355)</f>
        <v>6.8865740759065375E-3</v>
      </c>
    </row>
    <row r="356" spans="1:17">
      <c r="A356" s="3">
        <v>46092.315555555557</v>
      </c>
      <c r="B356">
        <v>60</v>
      </c>
      <c r="C356">
        <v>13</v>
      </c>
      <c r="D356">
        <v>0</v>
      </c>
      <c r="E356">
        <v>0</v>
      </c>
      <c r="F356">
        <v>0</v>
      </c>
      <c r="G356" s="5">
        <v>9.7222222248092294E-3</v>
      </c>
      <c r="H356" t="s">
        <v>766</v>
      </c>
      <c r="I356" t="s">
        <v>767</v>
      </c>
      <c r="J356">
        <v>0</v>
      </c>
      <c r="K356">
        <f t="shared" ref="K356" si="1105">IF(A356&lt;DATEVALUE("2025/11/20")+TIMEVALUE("6:00"),1,IF(OR(B356&lt;&gt;60,SUM(D356:F356)&lt;&gt;0,G356&gt;=IF(A356&lt;DATEVALUE("2025/12/28")+TIMEVALUE("6:00"),20,18)/24/60),0,2-INT(G356*24*60/10)))</f>
        <v>1</v>
      </c>
      <c r="L356">
        <f t="shared" ref="L356" si="1106">L355+K356</f>
        <v>451</v>
      </c>
      <c r="M356">
        <f t="shared" ref="M356" si="1107">2+IF(A356&gt;=DATEVALUE("2025/11/30")+TIMEVALUE("6:00"),1,0)+IF(A356&gt;=DATEVALUE("2025/12/11")+TIMEVALUE("6:00"),1,0)</f>
        <v>4</v>
      </c>
      <c r="N356">
        <f t="shared" ref="N356" si="1108">N355+M356*(INT(A356-6/24)-INT(A355-6/24))+O356</f>
        <v>456</v>
      </c>
      <c r="O356">
        <f t="shared" ref="O356" si="1109">IF(A356&gt;=DATEVALUE("2025/11/8")+TIMEVALUE("6:00"),1,0)-IF(A355&gt;=DATEVALUE("2025/11/8")+TIMEVALUE("6:00"),1,0)
+IF(A356&gt;=DATEVALUE("2026/1/22")+TIMEVALUE("6:00"),3,0)-IF(A355&gt;=DATEVALUE("2026/1/22")+TIMEVALUE("6:00"),3,0)
+IF(A356&gt;=DATEVALUE("2026/2/21")+TIMEVALUE("6:00"),1,0)-IF(A355&gt;=DATEVALUE("2026/2/21")+TIMEVALUE("6:00"),1,0)</f>
        <v>0</v>
      </c>
      <c r="P356" t="str">
        <f t="shared" ref="P356" si="1110">IF(L356&lt;N356,"未達成（"&amp;N356-L356&amp;"）",IF(L356=N356,"達成","前倒し（"&amp;L356-N356&amp;"）"))</f>
        <v>未達成（5）</v>
      </c>
      <c r="Q356">
        <f t="shared" ref="Q356" si="1111">IF(B356="",NA(),G356)</f>
        <v>9.7222222248092294E-3</v>
      </c>
    </row>
    <row r="357" spans="1:17">
      <c r="A357" s="3">
        <v>46092.321053240739</v>
      </c>
      <c r="B357">
        <v>56</v>
      </c>
      <c r="C357">
        <v>9</v>
      </c>
      <c r="D357">
        <v>0</v>
      </c>
      <c r="E357">
        <v>4</v>
      </c>
      <c r="F357">
        <v>0</v>
      </c>
      <c r="G357" s="5">
        <v>5.1620370359160006E-3</v>
      </c>
      <c r="H357" t="s">
        <v>768</v>
      </c>
      <c r="I357" t="s">
        <v>769</v>
      </c>
      <c r="J357">
        <v>0</v>
      </c>
      <c r="K357">
        <f t="shared" ref="K357" si="1112">IF(A357&lt;DATEVALUE("2025/11/20")+TIMEVALUE("6:00"),1,IF(OR(B357&lt;&gt;60,SUM(D357:F357)&lt;&gt;0,G357&gt;=IF(A357&lt;DATEVALUE("2025/12/28")+TIMEVALUE("6:00"),20,18)/24/60),0,2-INT(G357*24*60/10)))</f>
        <v>0</v>
      </c>
      <c r="L357">
        <f t="shared" ref="L357" si="1113">L356+K357</f>
        <v>451</v>
      </c>
      <c r="M357">
        <f t="shared" ref="M357" si="1114">2+IF(A357&gt;=DATEVALUE("2025/11/30")+TIMEVALUE("6:00"),1,0)+IF(A357&gt;=DATEVALUE("2025/12/11")+TIMEVALUE("6:00"),1,0)</f>
        <v>4</v>
      </c>
      <c r="N357">
        <f t="shared" ref="N357" si="1115">N356+M357*(INT(A357-6/24)-INT(A356-6/24))+O357</f>
        <v>456</v>
      </c>
      <c r="O357">
        <f t="shared" ref="O357" si="1116">IF(A357&gt;=DATEVALUE("2025/11/8")+TIMEVALUE("6:00"),1,0)-IF(A356&gt;=DATEVALUE("2025/11/8")+TIMEVALUE("6:00"),1,0)
+IF(A357&gt;=DATEVALUE("2026/1/22")+TIMEVALUE("6:00"),3,0)-IF(A356&gt;=DATEVALUE("2026/1/22")+TIMEVALUE("6:00"),3,0)
+IF(A357&gt;=DATEVALUE("2026/2/21")+TIMEVALUE("6:00"),1,0)-IF(A356&gt;=DATEVALUE("2026/2/21")+TIMEVALUE("6:00"),1,0)</f>
        <v>0</v>
      </c>
      <c r="P357" t="str">
        <f t="shared" ref="P357" si="1117">IF(L357&lt;N357,"未達成（"&amp;N357-L357&amp;"）",IF(L357=N357,"達成","前倒し（"&amp;L357-N357&amp;"）"))</f>
        <v>未達成（5）</v>
      </c>
      <c r="Q357">
        <f t="shared" ref="Q357" si="1118">IF(B357="",NA(),G357)</f>
        <v>5.1620370359160006E-3</v>
      </c>
    </row>
    <row r="358" spans="1:17">
      <c r="A358" s="3">
        <v>46092.328298611108</v>
      </c>
      <c r="B358">
        <v>53</v>
      </c>
      <c r="C358">
        <v>18</v>
      </c>
      <c r="D358">
        <v>0</v>
      </c>
      <c r="E358">
        <v>7</v>
      </c>
      <c r="F358">
        <v>0</v>
      </c>
      <c r="G358" s="5">
        <v>6.388888883520849E-3</v>
      </c>
      <c r="H358" t="s">
        <v>770</v>
      </c>
      <c r="I358" t="s">
        <v>771</v>
      </c>
      <c r="J358">
        <v>0</v>
      </c>
      <c r="K358">
        <f t="shared" ref="K358" si="1119">IF(A358&lt;DATEVALUE("2025/11/20")+TIMEVALUE("6:00"),1,IF(OR(B358&lt;&gt;60,SUM(D358:F358)&lt;&gt;0,G358&gt;=IF(A358&lt;DATEVALUE("2025/12/28")+TIMEVALUE("6:00"),20,18)/24/60),0,2-INT(G358*24*60/10)))</f>
        <v>0</v>
      </c>
      <c r="L358">
        <f t="shared" ref="L358" si="1120">L357+K358</f>
        <v>451</v>
      </c>
      <c r="M358">
        <f t="shared" ref="M358" si="1121">2+IF(A358&gt;=DATEVALUE("2025/11/30")+TIMEVALUE("6:00"),1,0)+IF(A358&gt;=DATEVALUE("2025/12/11")+TIMEVALUE("6:00"),1,0)</f>
        <v>4</v>
      </c>
      <c r="N358">
        <f t="shared" ref="N358" si="1122">N357+M358*(INT(A358-6/24)-INT(A357-6/24))+O358</f>
        <v>456</v>
      </c>
      <c r="O358">
        <f t="shared" ref="O358" si="1123">IF(A358&gt;=DATEVALUE("2025/11/8")+TIMEVALUE("6:00"),1,0)-IF(A357&gt;=DATEVALUE("2025/11/8")+TIMEVALUE("6:00"),1,0)
+IF(A358&gt;=DATEVALUE("2026/1/22")+TIMEVALUE("6:00"),3,0)-IF(A357&gt;=DATEVALUE("2026/1/22")+TIMEVALUE("6:00"),3,0)
+IF(A358&gt;=DATEVALUE("2026/2/21")+TIMEVALUE("6:00"),1,0)-IF(A357&gt;=DATEVALUE("2026/2/21")+TIMEVALUE("6:00"),1,0)</f>
        <v>0</v>
      </c>
      <c r="P358" t="str">
        <f t="shared" ref="P358" si="1124">IF(L358&lt;N358,"未達成（"&amp;N358-L358&amp;"）",IF(L358=N358,"達成","前倒し（"&amp;L358-N358&amp;"）"))</f>
        <v>未達成（5）</v>
      </c>
      <c r="Q358">
        <f t="shared" ref="Q358" si="1125">IF(B358="",NA(),G358)</f>
        <v>6.388888883520849E-3</v>
      </c>
    </row>
    <row r="359" spans="1:17">
      <c r="A359" s="3">
        <v>46092.336712962962</v>
      </c>
      <c r="B359">
        <v>60</v>
      </c>
      <c r="C359">
        <v>15</v>
      </c>
      <c r="D359">
        <v>0</v>
      </c>
      <c r="E359">
        <v>0</v>
      </c>
      <c r="F359">
        <v>0</v>
      </c>
      <c r="G359" s="5">
        <v>8.0324074078816921E-3</v>
      </c>
      <c r="H359" t="s">
        <v>772</v>
      </c>
      <c r="I359" t="s">
        <v>773</v>
      </c>
      <c r="J359">
        <v>0</v>
      </c>
      <c r="K359">
        <f t="shared" ref="K359" si="1126">IF(A359&lt;DATEVALUE("2025/11/20")+TIMEVALUE("6:00"),1,IF(OR(B359&lt;&gt;60,SUM(D359:F359)&lt;&gt;0,G359&gt;=IF(A359&lt;DATEVALUE("2025/12/28")+TIMEVALUE("6:00"),20,18)/24/60),0,2-INT(G359*24*60/10)))</f>
        <v>1</v>
      </c>
      <c r="L359">
        <f t="shared" ref="L359" si="1127">L358+K359</f>
        <v>452</v>
      </c>
      <c r="M359">
        <f t="shared" ref="M359" si="1128">2+IF(A359&gt;=DATEVALUE("2025/11/30")+TIMEVALUE("6:00"),1,0)+IF(A359&gt;=DATEVALUE("2025/12/11")+TIMEVALUE("6:00"),1,0)</f>
        <v>4</v>
      </c>
      <c r="N359">
        <f t="shared" ref="N359" si="1129">N358+M359*(INT(A359-6/24)-INT(A358-6/24))+O359</f>
        <v>456</v>
      </c>
      <c r="O359">
        <f t="shared" ref="O359" si="1130">IF(A359&gt;=DATEVALUE("2025/11/8")+TIMEVALUE("6:00"),1,0)-IF(A358&gt;=DATEVALUE("2025/11/8")+TIMEVALUE("6:00"),1,0)
+IF(A359&gt;=DATEVALUE("2026/1/22")+TIMEVALUE("6:00"),3,0)-IF(A358&gt;=DATEVALUE("2026/1/22")+TIMEVALUE("6:00"),3,0)
+IF(A359&gt;=DATEVALUE("2026/2/21")+TIMEVALUE("6:00"),1,0)-IF(A358&gt;=DATEVALUE("2026/2/21")+TIMEVALUE("6:00"),1,0)</f>
        <v>0</v>
      </c>
      <c r="P359" t="str">
        <f t="shared" ref="P359" si="1131">IF(L359&lt;N359,"未達成（"&amp;N359-L359&amp;"）",IF(L359=N359,"達成","前倒し（"&amp;L359-N359&amp;"）"))</f>
        <v>未達成（4）</v>
      </c>
      <c r="Q359">
        <f t="shared" ref="Q359" si="1132">IF(B359="",NA(),G359)</f>
        <v>8.0324074078816921E-3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46092.328680555554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2026-03-10T23:05:21Z</dcterms:modified>
</cp:coreProperties>
</file>
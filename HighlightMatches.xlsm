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01607179-50D5-43D9-94D0-897A2CF4A154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0" i="4" l="1"/>
  <c r="O310" i="4"/>
  <c r="M310" i="4"/>
  <c r="N310" i="4" s="1"/>
  <c r="L310" i="4"/>
  <c r="K310" i="4"/>
  <c r="Q309" i="4"/>
  <c r="O309" i="4"/>
  <c r="M309" i="4"/>
  <c r="N309" i="4" s="1"/>
  <c r="K309" i="4"/>
  <c r="L309" i="4" s="1"/>
  <c r="Q308" i="4"/>
  <c r="O308" i="4"/>
  <c r="M308" i="4"/>
  <c r="N308" i="4" s="1"/>
  <c r="K308" i="4"/>
  <c r="L308" i="4" s="1"/>
  <c r="P308" i="4" s="1"/>
  <c r="Q307" i="4"/>
  <c r="O307" i="4"/>
  <c r="M307" i="4"/>
  <c r="N307" i="4" s="1"/>
  <c r="K307" i="4"/>
  <c r="L307" i="4" s="1"/>
  <c r="Q306" i="4"/>
  <c r="O306" i="4"/>
  <c r="M306" i="4"/>
  <c r="N306" i="4" s="1"/>
  <c r="K306" i="4"/>
  <c r="L306" i="4" s="1"/>
  <c r="Q305" i="4"/>
  <c r="O305" i="4"/>
  <c r="M305" i="4"/>
  <c r="N305" i="4" s="1"/>
  <c r="K305" i="4"/>
  <c r="L305" i="4" s="1"/>
  <c r="P305" i="4" s="1"/>
  <c r="Q304" i="4"/>
  <c r="O304" i="4"/>
  <c r="M304" i="4"/>
  <c r="N304" i="4" s="1"/>
  <c r="K304" i="4"/>
  <c r="L304" i="4" s="1"/>
  <c r="P304" i="4" s="1"/>
  <c r="Q303" i="4"/>
  <c r="O303" i="4"/>
  <c r="M303" i="4"/>
  <c r="N303" i="4" s="1"/>
  <c r="K303" i="4"/>
  <c r="L303" i="4" s="1"/>
  <c r="Q302" i="4"/>
  <c r="O302" i="4"/>
  <c r="M302" i="4"/>
  <c r="N302" i="4" s="1"/>
  <c r="K302" i="4"/>
  <c r="L302" i="4" s="1"/>
  <c r="Q301" i="4"/>
  <c r="O301" i="4"/>
  <c r="M301" i="4"/>
  <c r="N301" i="4" s="1"/>
  <c r="K301" i="4"/>
  <c r="L301" i="4" s="1"/>
  <c r="P301" i="4" s="1"/>
  <c r="Q300" i="4"/>
  <c r="O300" i="4"/>
  <c r="M300" i="4"/>
  <c r="N300" i="4" s="1"/>
  <c r="K300" i="4"/>
  <c r="L300" i="4" s="1"/>
  <c r="Q299" i="4"/>
  <c r="O299" i="4"/>
  <c r="M299" i="4"/>
  <c r="N299" i="4" s="1"/>
  <c r="K299" i="4"/>
  <c r="L299" i="4" s="1"/>
  <c r="P299" i="4" s="1"/>
  <c r="Q298" i="4"/>
  <c r="O298" i="4"/>
  <c r="M298" i="4"/>
  <c r="N298" i="4" s="1"/>
  <c r="K298" i="4"/>
  <c r="L298" i="4" s="1"/>
  <c r="Q297" i="4"/>
  <c r="O297" i="4"/>
  <c r="M297" i="4"/>
  <c r="N297" i="4" s="1"/>
  <c r="K297" i="4"/>
  <c r="L297" i="4" s="1"/>
  <c r="P297" i="4" s="1"/>
  <c r="Q296" i="4"/>
  <c r="O296" i="4"/>
  <c r="M296" i="4"/>
  <c r="N296" i="4" s="1"/>
  <c r="K296" i="4"/>
  <c r="L296" i="4" s="1"/>
  <c r="Q295" i="4"/>
  <c r="O295" i="4"/>
  <c r="M295" i="4"/>
  <c r="N295" i="4" s="1"/>
  <c r="K295" i="4"/>
  <c r="L295" i="4" s="1"/>
  <c r="Q294" i="4"/>
  <c r="O294" i="4"/>
  <c r="M294" i="4"/>
  <c r="N294" i="4" s="1"/>
  <c r="K294" i="4"/>
  <c r="L294" i="4" s="1"/>
  <c r="Q293" i="4"/>
  <c r="O293" i="4"/>
  <c r="M293" i="4"/>
  <c r="N293" i="4" s="1"/>
  <c r="K293" i="4"/>
  <c r="L293" i="4" s="1"/>
  <c r="P293" i="4" s="1"/>
  <c r="Q292" i="4"/>
  <c r="O292" i="4"/>
  <c r="M292" i="4"/>
  <c r="N292" i="4" s="1"/>
  <c r="K292" i="4"/>
  <c r="L292" i="4" s="1"/>
  <c r="P292" i="4" s="1"/>
  <c r="Q291" i="4"/>
  <c r="O291" i="4"/>
  <c r="M291" i="4"/>
  <c r="N291" i="4" s="1"/>
  <c r="K291" i="4"/>
  <c r="L291" i="4" s="1"/>
  <c r="Q290" i="4"/>
  <c r="O290" i="4"/>
  <c r="M290" i="4"/>
  <c r="N290" i="4" s="1"/>
  <c r="K290" i="4"/>
  <c r="L290" i="4" s="1"/>
  <c r="Q289" i="4"/>
  <c r="O289" i="4"/>
  <c r="N289" i="4"/>
  <c r="M289" i="4"/>
  <c r="K289" i="4"/>
  <c r="L289" i="4" s="1"/>
  <c r="P289" i="4" s="1"/>
  <c r="Q288" i="4"/>
  <c r="O288" i="4"/>
  <c r="M288" i="4"/>
  <c r="N288" i="4" s="1"/>
  <c r="K288" i="4"/>
  <c r="L288" i="4" s="1"/>
  <c r="Q287" i="4"/>
  <c r="O287" i="4"/>
  <c r="M287" i="4"/>
  <c r="K287" i="4"/>
  <c r="Q286" i="4"/>
  <c r="O286" i="4"/>
  <c r="M286" i="4"/>
  <c r="K286" i="4"/>
  <c r="Q285" i="4"/>
  <c r="O285" i="4"/>
  <c r="M285" i="4"/>
  <c r="K285" i="4"/>
  <c r="Q284" i="4"/>
  <c r="O284" i="4"/>
  <c r="M284" i="4"/>
  <c r="K284" i="4"/>
  <c r="Q283" i="4"/>
  <c r="O283" i="4"/>
  <c r="M283" i="4"/>
  <c r="K283" i="4"/>
  <c r="Q282" i="4"/>
  <c r="O282" i="4"/>
  <c r="M282" i="4"/>
  <c r="K282" i="4"/>
  <c r="Q281" i="4"/>
  <c r="O281" i="4"/>
  <c r="M281" i="4"/>
  <c r="K281" i="4"/>
  <c r="Q280" i="4"/>
  <c r="O280" i="4"/>
  <c r="M280" i="4"/>
  <c r="K280" i="4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10" i="4" l="1"/>
  <c r="P309" i="4"/>
  <c r="P307" i="4"/>
  <c r="P306" i="4"/>
  <c r="P303" i="4"/>
  <c r="P302" i="4"/>
  <c r="P300" i="4"/>
  <c r="P298" i="4"/>
  <c r="P296" i="4"/>
  <c r="P295" i="4"/>
  <c r="P294" i="4"/>
  <c r="P291" i="4"/>
  <c r="P290" i="4"/>
  <c r="P28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<sst xmlns="http://schemas.openxmlformats.org/spreadsheetml/2006/main" count="697" uniqueCount="676">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</sst>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データ!$A$3:$A$310</c:f>
              <c:numCache>
                <c:formatCode>m/d/yyyy\ h:mm</c:formatCode>
                <c:ptCount val="30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</c:numCache>
            </c:numRef>
          </c:xVal>
          <c:yVal>
            <c:numRef>
              <c:f>データ!$B$3:$B$310</c:f>
              <c:numCache>
                <c:formatCode>General</c:formatCode>
                <c:ptCount val="30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D-4DA5-9097-CC929CAC253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C4D-4DA5-9097-CC929CAC2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93535"/>
        <c:axId val="9700409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データ!$A$3:$A$310</c:f>
              <c:numCache>
                <c:formatCode>m/d/yyyy\ h:mm</c:formatCode>
                <c:ptCount val="30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</c:numCache>
            </c:numRef>
          </c:xVal>
          <c:yVal>
            <c:numRef>
              <c:f>データ!$Q$3:$Q$310</c:f>
              <c:numCache>
                <c:formatCode>[h]:mm</c:formatCode>
                <c:ptCount val="30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4D-4DA5-9097-CC929CAC2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52095"/>
        <c:axId val="96996895"/>
      </c:scatterChart>
      <c:valAx>
        <c:axId val="96993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004095"/>
        <c:crosses val="autoZero"/>
        <c:crossBetween val="midCat"/>
      </c:valAx>
      <c:valAx>
        <c:axId val="9700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993535"/>
        <c:crosses val="autoZero"/>
        <c:crossBetween val="midCat"/>
      </c:valAx>
      <c:valAx>
        <c:axId val="9699689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052095"/>
        <c:crosses val="max"/>
        <c:crossBetween val="midCat"/>
      </c:valAx>
      <c:valAx>
        <c:axId val="9705209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99689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047" name="Match0">
          <a:extLst>
            <a:ext uri="{FF2B5EF4-FFF2-40B4-BE49-F238E27FC236}">
              <a16:creationId xmlns:a16="http://schemas.microsoft.com/office/drawing/2014/main" id="{232DE67A-5BED-80EB-A0D6-E30A230ACC76}"/>
            </a:ext>
          </a:extLst>
        </xdr:cNvPr>
        <xdr:cNvCxnSpPr/>
      </xdr:nvCxnSpPr>
      <xdr:spPr>
        <a:xfrm flipH="1">
          <a:off x="1059656" y="3036094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048" name="Match1">
          <a:extLst>
            <a:ext uri="{FF2B5EF4-FFF2-40B4-BE49-F238E27FC236}">
              <a16:creationId xmlns:a16="http://schemas.microsoft.com/office/drawing/2014/main" id="{CE4CF7B8-FEAF-61C6-B0DA-F22EA8C39709}"/>
            </a:ext>
          </a:extLst>
        </xdr:cNvPr>
        <xdr:cNvCxnSpPr/>
      </xdr:nvCxnSpPr>
      <xdr:spPr>
        <a:xfrm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1049" name="Match2">
          <a:extLst>
            <a:ext uri="{FF2B5EF4-FFF2-40B4-BE49-F238E27FC236}">
              <a16:creationId xmlns:a16="http://schemas.microsoft.com/office/drawing/2014/main" id="{AE9A0BD9-4773-FB52-7455-802888AEFAF3}"/>
            </a:ext>
          </a:extLst>
        </xdr:cNvPr>
        <xdr:cNvCxnSpPr/>
      </xdr:nvCxnSpPr>
      <xdr:spPr>
        <a:xfrm>
          <a:off x="278050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055" name="Match3">
          <a:extLst>
            <a:ext uri="{FF2B5EF4-FFF2-40B4-BE49-F238E27FC236}">
              <a16:creationId xmlns:a16="http://schemas.microsoft.com/office/drawing/2014/main" id="{40ABD584-0FED-03BC-FC18-2D9975AAE105}"/>
            </a:ext>
          </a:extLst>
        </xdr:cNvPr>
        <xdr:cNvCxnSpPr/>
      </xdr:nvCxnSpPr>
      <xdr:spPr>
        <a:xfrm>
          <a:off x="233124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</xdr:row>
      <xdr:rowOff>203993</xdr:rowOff>
    </xdr:from>
    <xdr:to>
      <xdr:col>6</xdr:col>
      <xdr:colOff>237331</xdr:colOff>
      <xdr:row>2</xdr:row>
      <xdr:rowOff>203994</xdr:rowOff>
    </xdr:to>
    <xdr:cxnSp macro="">
      <xdr:nvCxnSpPr>
        <xdr:cNvPr id="1056" name="Match4">
          <a:extLst>
            <a:ext uri="{FF2B5EF4-FFF2-40B4-BE49-F238E27FC236}">
              <a16:creationId xmlns:a16="http://schemas.microsoft.com/office/drawing/2014/main" id="{CB5811E2-3582-745D-3753-C6079E05D0D2}"/>
            </a:ext>
          </a:extLst>
        </xdr:cNvPr>
        <xdr:cNvCxnSpPr/>
      </xdr:nvCxnSpPr>
      <xdr:spPr>
        <a:xfrm flipV="1">
          <a:off x="235664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057" name="Match5">
          <a:extLst>
            <a:ext uri="{FF2B5EF4-FFF2-40B4-BE49-F238E27FC236}">
              <a16:creationId xmlns:a16="http://schemas.microsoft.com/office/drawing/2014/main" id="{0E8BE1E0-DDEF-8F6C-7DD8-19B046FF47C0}"/>
            </a:ext>
          </a:extLst>
        </xdr:cNvPr>
        <xdr:cNvCxnSpPr/>
      </xdr:nvCxnSpPr>
      <xdr:spPr>
        <a:xfrm flipH="1" flipV="1"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1061" name="Match6">
          <a:extLst>
            <a:ext uri="{FF2B5EF4-FFF2-40B4-BE49-F238E27FC236}">
              <a16:creationId xmlns:a16="http://schemas.microsoft.com/office/drawing/2014/main" id="{C1D31FD9-ABC2-9D30-7F51-F9DC41444ADB}"/>
            </a:ext>
          </a:extLst>
        </xdr:cNvPr>
        <xdr:cNvCxnSpPr/>
      </xdr:nvCxnSpPr>
      <xdr:spPr>
        <a:xfrm flipV="1">
          <a:off x="3204369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064" name="Match7">
          <a:extLst>
            <a:ext uri="{FF2B5EF4-FFF2-40B4-BE49-F238E27FC236}">
              <a16:creationId xmlns:a16="http://schemas.microsoft.com/office/drawing/2014/main" id="{D5DEDFF4-4A5A-6322-9309-559E8124D142}"/>
            </a:ext>
          </a:extLst>
        </xdr:cNvPr>
        <xdr:cNvCxnSpPr/>
      </xdr:nvCxnSpPr>
      <xdr:spPr>
        <a:xfrm flipV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065" name="Match8">
          <a:extLst>
            <a:ext uri="{FF2B5EF4-FFF2-40B4-BE49-F238E27FC236}">
              <a16:creationId xmlns:a16="http://schemas.microsoft.com/office/drawing/2014/main" id="{F4A3F7A0-883B-FA41-C637-3150CA0DF1B0}"/>
            </a:ext>
          </a:extLst>
        </xdr:cNvPr>
        <xdr:cNvCxnSpPr/>
      </xdr:nvCxnSpPr>
      <xdr:spPr>
        <a:xfrm flipV="1">
          <a:off x="233124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066" name="Match9">
          <a:extLst>
            <a:ext uri="{FF2B5EF4-FFF2-40B4-BE49-F238E27FC236}">
              <a16:creationId xmlns:a16="http://schemas.microsoft.com/office/drawing/2014/main" id="{46A16425-AEA6-92B1-BF41-C261F607E7FA}"/>
            </a:ext>
          </a:extLst>
        </xdr:cNvPr>
        <xdr:cNvCxnSpPr/>
      </xdr:nvCxnSpPr>
      <xdr:spPr>
        <a:xfrm>
          <a:off x="40266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067" name="Match10">
          <a:extLst>
            <a:ext uri="{FF2B5EF4-FFF2-40B4-BE49-F238E27FC236}">
              <a16:creationId xmlns:a16="http://schemas.microsoft.com/office/drawing/2014/main" id="{BA4B1A7B-9E6E-1AA7-51BD-8812B8D7EF8A}"/>
            </a:ext>
          </a:extLst>
        </xdr:cNvPr>
        <xdr:cNvCxnSpPr/>
      </xdr:nvCxnSpPr>
      <xdr:spPr>
        <a:xfrm flipH="1"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068" name="Match11">
          <a:extLst>
            <a:ext uri="{FF2B5EF4-FFF2-40B4-BE49-F238E27FC236}">
              <a16:creationId xmlns:a16="http://schemas.microsoft.com/office/drawing/2014/main" id="{A467F1F8-6B1D-CD87-4EB9-F3B4F85D9CBC}"/>
            </a:ext>
          </a:extLst>
        </xdr:cNvPr>
        <xdr:cNvCxnSpPr/>
      </xdr:nvCxnSpPr>
      <xdr:spPr>
        <a:xfrm flipH="1" flipV="1">
          <a:off x="44505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069" name="Match12">
          <a:extLst>
            <a:ext uri="{FF2B5EF4-FFF2-40B4-BE49-F238E27FC236}">
              <a16:creationId xmlns:a16="http://schemas.microsoft.com/office/drawing/2014/main" id="{21B7849C-43A4-11DF-F0BB-1B4F29FAE824}"/>
            </a:ext>
          </a:extLst>
        </xdr:cNvPr>
        <xdr:cNvCxnSpPr/>
      </xdr:nvCxnSpPr>
      <xdr:spPr>
        <a:xfrm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070" name="Match13">
          <a:extLst>
            <a:ext uri="{FF2B5EF4-FFF2-40B4-BE49-F238E27FC236}">
              <a16:creationId xmlns:a16="http://schemas.microsoft.com/office/drawing/2014/main" id="{C74A255C-F88D-C3B7-6D5E-F0AF0000E4F7}"/>
            </a:ext>
          </a:extLst>
        </xdr:cNvPr>
        <xdr:cNvCxnSpPr/>
      </xdr:nvCxnSpPr>
      <xdr:spPr>
        <a:xfrm flipV="1">
          <a:off x="3178969" y="2321719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071" name="Match14">
          <a:extLst>
            <a:ext uri="{FF2B5EF4-FFF2-40B4-BE49-F238E27FC236}">
              <a16:creationId xmlns:a16="http://schemas.microsoft.com/office/drawing/2014/main" id="{6C42832A-CC02-C287-AC46-D5AD5D7AD72A}"/>
            </a:ext>
          </a:extLst>
        </xdr:cNvPr>
        <xdr:cNvCxnSpPr/>
      </xdr:nvCxnSpPr>
      <xdr:spPr>
        <a:xfrm>
          <a:off x="1059656" y="33932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1072" name="Match15">
          <a:extLst>
            <a:ext uri="{FF2B5EF4-FFF2-40B4-BE49-F238E27FC236}">
              <a16:creationId xmlns:a16="http://schemas.microsoft.com/office/drawing/2014/main" id="{35CD4A26-2245-8B17-E7B0-2980B0029514}"/>
            </a:ext>
          </a:extLst>
        </xdr:cNvPr>
        <xdr:cNvCxnSpPr/>
      </xdr:nvCxnSpPr>
      <xdr:spPr>
        <a:xfrm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073" name="Match16">
          <a:extLst>
            <a:ext uri="{FF2B5EF4-FFF2-40B4-BE49-F238E27FC236}">
              <a16:creationId xmlns:a16="http://schemas.microsoft.com/office/drawing/2014/main" id="{0B6585F9-C7BB-AE5F-14AC-DA2D72B51AD8}"/>
            </a:ext>
          </a:extLst>
        </xdr:cNvPr>
        <xdr:cNvCxnSpPr/>
      </xdr:nvCxnSpPr>
      <xdr:spPr>
        <a:xfrm>
          <a:off x="193278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0</xdr:row>
      <xdr:rowOff>229394</xdr:rowOff>
    </xdr:from>
    <xdr:to>
      <xdr:col>7</xdr:col>
      <xdr:colOff>262731</xdr:colOff>
      <xdr:row>0</xdr:row>
      <xdr:rowOff>229394</xdr:rowOff>
    </xdr:to>
    <xdr:cxnSp macro="">
      <xdr:nvCxnSpPr>
        <xdr:cNvPr id="1074" name="Match17">
          <a:extLst>
            <a:ext uri="{FF2B5EF4-FFF2-40B4-BE49-F238E27FC236}">
              <a16:creationId xmlns:a16="http://schemas.microsoft.com/office/drawing/2014/main" id="{59D23F71-4337-4225-04D1-A35A328F2999}"/>
            </a:ext>
          </a:extLst>
        </xdr:cNvPr>
        <xdr:cNvCxnSpPr/>
      </xdr:nvCxnSpPr>
      <xdr:spPr>
        <a:xfrm>
          <a:off x="2805906" y="229394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0</xdr:row>
      <xdr:rowOff>254794</xdr:rowOff>
    </xdr:from>
    <xdr:to>
      <xdr:col>6</xdr:col>
      <xdr:colOff>288131</xdr:colOff>
      <xdr:row>0</xdr:row>
      <xdr:rowOff>254794</xdr:rowOff>
    </xdr:to>
    <xdr:cxnSp macro="">
      <xdr:nvCxnSpPr>
        <xdr:cNvPr id="1075" name="Match18">
          <a:extLst>
            <a:ext uri="{FF2B5EF4-FFF2-40B4-BE49-F238E27FC236}">
              <a16:creationId xmlns:a16="http://schemas.microsoft.com/office/drawing/2014/main" id="{7C7FB8B0-5AA8-B7C0-ABF2-517F6B9FFA9F}"/>
            </a:ext>
          </a:extLst>
        </xdr:cNvPr>
        <xdr:cNvCxnSpPr/>
      </xdr:nvCxnSpPr>
      <xdr:spPr>
        <a:xfrm flipH="1">
          <a:off x="2407444" y="254794"/>
          <a:ext cx="423862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076" name="Match19">
          <a:extLst>
            <a:ext uri="{FF2B5EF4-FFF2-40B4-BE49-F238E27FC236}">
              <a16:creationId xmlns:a16="http://schemas.microsoft.com/office/drawing/2014/main" id="{D2DDB954-5606-D8A4-CAF5-90221BB061D4}"/>
            </a:ext>
          </a:extLst>
        </xdr:cNvPr>
        <xdr:cNvCxnSpPr/>
      </xdr:nvCxnSpPr>
      <xdr:spPr>
        <a:xfrm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077" name="Match20">
          <a:extLst>
            <a:ext uri="{FF2B5EF4-FFF2-40B4-BE49-F238E27FC236}">
              <a16:creationId xmlns:a16="http://schemas.microsoft.com/office/drawing/2014/main" id="{7CC43BA2-B94A-7034-6480-0EDE547E22B1}"/>
            </a:ext>
          </a:extLst>
        </xdr:cNvPr>
        <xdr:cNvCxnSpPr/>
      </xdr:nvCxnSpPr>
      <xdr:spPr>
        <a:xfrm flipV="1">
          <a:off x="66119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1</xdr:row>
      <xdr:rowOff>229393</xdr:rowOff>
    </xdr:from>
    <xdr:to>
      <xdr:col>5</xdr:col>
      <xdr:colOff>262731</xdr:colOff>
      <xdr:row>2</xdr:row>
      <xdr:rowOff>229394</xdr:rowOff>
    </xdr:to>
    <xdr:cxnSp macro="">
      <xdr:nvCxnSpPr>
        <xdr:cNvPr id="1078" name="Match21">
          <a:extLst>
            <a:ext uri="{FF2B5EF4-FFF2-40B4-BE49-F238E27FC236}">
              <a16:creationId xmlns:a16="http://schemas.microsoft.com/office/drawing/2014/main" id="{87F00179-5A68-DEAB-3309-F7E6B3A13866}"/>
            </a:ext>
          </a:extLst>
        </xdr:cNvPr>
        <xdr:cNvCxnSpPr/>
      </xdr:nvCxnSpPr>
      <xdr:spPr>
        <a:xfrm flipH="1" flipV="1">
          <a:off x="1958181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2</xdr:row>
      <xdr:rowOff>229394</xdr:rowOff>
    </xdr:from>
    <xdr:to>
      <xdr:col>7</xdr:col>
      <xdr:colOff>262731</xdr:colOff>
      <xdr:row>3</xdr:row>
      <xdr:rowOff>229393</xdr:rowOff>
    </xdr:to>
    <xdr:cxnSp macro="">
      <xdr:nvCxnSpPr>
        <xdr:cNvPr id="1079" name="Match22">
          <a:extLst>
            <a:ext uri="{FF2B5EF4-FFF2-40B4-BE49-F238E27FC236}">
              <a16:creationId xmlns:a16="http://schemas.microsoft.com/office/drawing/2014/main" id="{F5CB6FD4-32E9-292E-593E-0504E0354075}"/>
            </a:ext>
          </a:extLst>
        </xdr:cNvPr>
        <xdr:cNvCxnSpPr/>
      </xdr:nvCxnSpPr>
      <xdr:spPr>
        <a:xfrm>
          <a:off x="3229769" y="9437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080" name="Match23">
          <a:extLst>
            <a:ext uri="{FF2B5EF4-FFF2-40B4-BE49-F238E27FC236}">
              <a16:creationId xmlns:a16="http://schemas.microsoft.com/office/drawing/2014/main" id="{92EE078A-BD64-226F-BBA4-0BC810571BA2}"/>
            </a:ext>
          </a:extLst>
        </xdr:cNvPr>
        <xdr:cNvCxnSpPr/>
      </xdr:nvCxnSpPr>
      <xdr:spPr>
        <a:xfrm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081" name="Match24">
          <a:extLst>
            <a:ext uri="{FF2B5EF4-FFF2-40B4-BE49-F238E27FC236}">
              <a16:creationId xmlns:a16="http://schemas.microsoft.com/office/drawing/2014/main" id="{7BEDA8CD-981B-898C-4D26-962D9EBD5BE8}"/>
            </a:ext>
          </a:extLst>
        </xdr:cNvPr>
        <xdr:cNvCxnSpPr/>
      </xdr:nvCxnSpPr>
      <xdr:spPr>
        <a:xfrm>
          <a:off x="447595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082" name="Match25">
          <a:extLst>
            <a:ext uri="{FF2B5EF4-FFF2-40B4-BE49-F238E27FC236}">
              <a16:creationId xmlns:a16="http://schemas.microsoft.com/office/drawing/2014/main" id="{C9DB1815-853D-3AC9-7758-9A790C8F20DE}"/>
            </a:ext>
          </a:extLst>
        </xdr:cNvPr>
        <xdr:cNvCxnSpPr/>
      </xdr:nvCxnSpPr>
      <xdr:spPr>
        <a:xfrm>
          <a:off x="48744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11</xdr:col>
      <xdr:colOff>237331</xdr:colOff>
      <xdr:row>3</xdr:row>
      <xdr:rowOff>203993</xdr:rowOff>
    </xdr:to>
    <xdr:cxnSp macro="">
      <xdr:nvCxnSpPr>
        <xdr:cNvPr id="1083" name="Match26">
          <a:extLst>
            <a:ext uri="{FF2B5EF4-FFF2-40B4-BE49-F238E27FC236}">
              <a16:creationId xmlns:a16="http://schemas.microsoft.com/office/drawing/2014/main" id="{5AB81706-70C8-4370-8FAA-790131E7713E}"/>
            </a:ext>
          </a:extLst>
        </xdr:cNvPr>
        <xdr:cNvCxnSpPr/>
      </xdr:nvCxnSpPr>
      <xdr:spPr>
        <a:xfrm flipH="1">
          <a:off x="447595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084" name="Match27">
          <a:extLst>
            <a:ext uri="{FF2B5EF4-FFF2-40B4-BE49-F238E27FC236}">
              <a16:creationId xmlns:a16="http://schemas.microsoft.com/office/drawing/2014/main" id="{47E45DB9-5722-30E1-4488-E68028FFCDB5}"/>
            </a:ext>
          </a:extLst>
        </xdr:cNvPr>
        <xdr:cNvCxnSpPr/>
      </xdr:nvCxnSpPr>
      <xdr:spPr>
        <a:xfrm>
          <a:off x="6357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4</xdr:row>
      <xdr:rowOff>203994</xdr:rowOff>
    </xdr:to>
    <xdr:cxnSp macro="">
      <xdr:nvCxnSpPr>
        <xdr:cNvPr id="1085" name="Match28">
          <a:extLst>
            <a:ext uri="{FF2B5EF4-FFF2-40B4-BE49-F238E27FC236}">
              <a16:creationId xmlns:a16="http://schemas.microsoft.com/office/drawing/2014/main" id="{B33F296F-41E6-804E-E480-1AE604AF74D0}"/>
            </a:ext>
          </a:extLst>
        </xdr:cNvPr>
        <xdr:cNvCxnSpPr/>
      </xdr:nvCxnSpPr>
      <xdr:spPr>
        <a:xfrm>
          <a:off x="2356644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086" name="Match29">
          <a:extLst>
            <a:ext uri="{FF2B5EF4-FFF2-40B4-BE49-F238E27FC236}">
              <a16:creationId xmlns:a16="http://schemas.microsoft.com/office/drawing/2014/main" id="{5044C04D-6017-45A6-ECB8-E6D41055B28E}"/>
            </a:ext>
          </a:extLst>
        </xdr:cNvPr>
        <xdr:cNvCxnSpPr/>
      </xdr:nvCxnSpPr>
      <xdr:spPr>
        <a:xfrm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5</xdr:row>
      <xdr:rowOff>203993</xdr:rowOff>
    </xdr:from>
    <xdr:to>
      <xdr:col>3</xdr:col>
      <xdr:colOff>237331</xdr:colOff>
      <xdr:row>5</xdr:row>
      <xdr:rowOff>203993</xdr:rowOff>
    </xdr:to>
    <xdr:cxnSp macro="">
      <xdr:nvCxnSpPr>
        <xdr:cNvPr id="1087" name="Match30">
          <a:extLst>
            <a:ext uri="{FF2B5EF4-FFF2-40B4-BE49-F238E27FC236}">
              <a16:creationId xmlns:a16="http://schemas.microsoft.com/office/drawing/2014/main" id="{3CD21D28-42FC-33CD-02EF-1A5CB8B3B261}"/>
            </a:ext>
          </a:extLst>
        </xdr:cNvPr>
        <xdr:cNvCxnSpPr/>
      </xdr:nvCxnSpPr>
      <xdr:spPr>
        <a:xfrm flipH="1">
          <a:off x="1085056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9</xdr:col>
      <xdr:colOff>237331</xdr:colOff>
      <xdr:row>6</xdr:row>
      <xdr:rowOff>203994</xdr:rowOff>
    </xdr:to>
    <xdr:cxnSp macro="">
      <xdr:nvCxnSpPr>
        <xdr:cNvPr id="1664" name="Match31">
          <a:extLst>
            <a:ext uri="{FF2B5EF4-FFF2-40B4-BE49-F238E27FC236}">
              <a16:creationId xmlns:a16="http://schemas.microsoft.com/office/drawing/2014/main" id="{1F7F59C4-8946-2163-94D3-D438EFD7A5F9}"/>
            </a:ext>
          </a:extLst>
        </xdr:cNvPr>
        <xdr:cNvCxnSpPr/>
      </xdr:nvCxnSpPr>
      <xdr:spPr>
        <a:xfrm flipV="1">
          <a:off x="4052094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665" name="Match32">
          <a:extLst>
            <a:ext uri="{FF2B5EF4-FFF2-40B4-BE49-F238E27FC236}">
              <a16:creationId xmlns:a16="http://schemas.microsoft.com/office/drawing/2014/main" id="{F46D3AC0-C1FA-6B58-1959-B2D4E20D0F6B}"/>
            </a:ext>
          </a:extLst>
        </xdr:cNvPr>
        <xdr:cNvCxnSpPr/>
      </xdr:nvCxnSpPr>
      <xdr:spPr>
        <a:xfrm flipH="1"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666" name="Match33">
          <a:extLst>
            <a:ext uri="{FF2B5EF4-FFF2-40B4-BE49-F238E27FC236}">
              <a16:creationId xmlns:a16="http://schemas.microsoft.com/office/drawing/2014/main" id="{D14FF5BC-3AC5-BF7B-617C-8724B418A44D}"/>
            </a:ext>
          </a:extLst>
        </xdr:cNvPr>
        <xdr:cNvCxnSpPr/>
      </xdr:nvCxnSpPr>
      <xdr:spPr>
        <a:xfrm flipH="1">
          <a:off x="317896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667" name="Match34">
          <a:extLst>
            <a:ext uri="{FF2B5EF4-FFF2-40B4-BE49-F238E27FC236}">
              <a16:creationId xmlns:a16="http://schemas.microsoft.com/office/drawing/2014/main" id="{976D0E0A-E40D-0611-2DFE-3ADD52942B74}"/>
            </a:ext>
          </a:extLst>
        </xdr:cNvPr>
        <xdr:cNvCxnSpPr/>
      </xdr:nvCxnSpPr>
      <xdr:spPr>
        <a:xfrm flipV="1">
          <a:off x="48744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668" name="Match35">
          <a:extLst>
            <a:ext uri="{FF2B5EF4-FFF2-40B4-BE49-F238E27FC236}">
              <a16:creationId xmlns:a16="http://schemas.microsoft.com/office/drawing/2014/main" id="{E7149E54-6F62-B65C-DD2B-07554A636E74}"/>
            </a:ext>
          </a:extLst>
        </xdr:cNvPr>
        <xdr:cNvCxnSpPr/>
      </xdr:nvCxnSpPr>
      <xdr:spPr>
        <a:xfrm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669" name="Match36">
          <a:extLst>
            <a:ext uri="{FF2B5EF4-FFF2-40B4-BE49-F238E27FC236}">
              <a16:creationId xmlns:a16="http://schemas.microsoft.com/office/drawing/2014/main" id="{32FB8574-7905-DAB4-ADA6-149FC31E7680}"/>
            </a:ext>
          </a:extLst>
        </xdr:cNvPr>
        <xdr:cNvCxnSpPr/>
      </xdr:nvCxnSpPr>
      <xdr:spPr>
        <a:xfrm flipH="1"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9</xdr:col>
      <xdr:colOff>237331</xdr:colOff>
      <xdr:row>3</xdr:row>
      <xdr:rowOff>203993</xdr:rowOff>
    </xdr:to>
    <xdr:cxnSp macro="">
      <xdr:nvCxnSpPr>
        <xdr:cNvPr id="1670" name="Match37">
          <a:extLst>
            <a:ext uri="{FF2B5EF4-FFF2-40B4-BE49-F238E27FC236}">
              <a16:creationId xmlns:a16="http://schemas.microsoft.com/office/drawing/2014/main" id="{709F0D0E-532A-2392-5522-80067AD69399}"/>
            </a:ext>
          </a:extLst>
        </xdr:cNvPr>
        <xdr:cNvCxnSpPr/>
      </xdr:nvCxnSpPr>
      <xdr:spPr>
        <a:xfrm flipV="1">
          <a:off x="4052094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671" name="Match38">
          <a:extLst>
            <a:ext uri="{FF2B5EF4-FFF2-40B4-BE49-F238E27FC236}">
              <a16:creationId xmlns:a16="http://schemas.microsoft.com/office/drawing/2014/main" id="{0D063F53-C83B-6DC1-8F61-167489E28760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672" name="Match39">
          <a:extLst>
            <a:ext uri="{FF2B5EF4-FFF2-40B4-BE49-F238E27FC236}">
              <a16:creationId xmlns:a16="http://schemas.microsoft.com/office/drawing/2014/main" id="{FFDCBFA7-610A-1DA8-9359-7C1BA186E2A1}"/>
            </a:ext>
          </a:extLst>
        </xdr:cNvPr>
        <xdr:cNvCxnSpPr/>
      </xdr:nvCxnSpPr>
      <xdr:spPr>
        <a:xfrm flipH="1" flipV="1"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673" name="Match40">
          <a:extLst>
            <a:ext uri="{FF2B5EF4-FFF2-40B4-BE49-F238E27FC236}">
              <a16:creationId xmlns:a16="http://schemas.microsoft.com/office/drawing/2014/main" id="{5C210D8C-202B-1E76-8B23-01EE8C5E597A}"/>
            </a:ext>
          </a:extLst>
        </xdr:cNvPr>
        <xdr:cNvCxnSpPr/>
      </xdr:nvCxnSpPr>
      <xdr:spPr>
        <a:xfrm>
          <a:off x="317896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674" name="Match41">
          <a:extLst>
            <a:ext uri="{FF2B5EF4-FFF2-40B4-BE49-F238E27FC236}">
              <a16:creationId xmlns:a16="http://schemas.microsoft.com/office/drawing/2014/main" id="{98ED6B71-DBCA-97A7-AA83-3EBCD1B43091}"/>
            </a:ext>
          </a:extLst>
        </xdr:cNvPr>
        <xdr:cNvCxnSpPr/>
      </xdr:nvCxnSpPr>
      <xdr:spPr>
        <a:xfrm flipV="1"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675" name="Match42">
          <a:extLst>
            <a:ext uri="{FF2B5EF4-FFF2-40B4-BE49-F238E27FC236}">
              <a16:creationId xmlns:a16="http://schemas.microsoft.com/office/drawing/2014/main" id="{BFB0BA49-03C2-C6DF-3362-43A125E29E49}"/>
            </a:ext>
          </a:extLst>
        </xdr:cNvPr>
        <xdr:cNvCxnSpPr/>
      </xdr:nvCxnSpPr>
      <xdr:spPr>
        <a:xfrm flipH="1"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676" name="Match43">
          <a:extLst>
            <a:ext uri="{FF2B5EF4-FFF2-40B4-BE49-F238E27FC236}">
              <a16:creationId xmlns:a16="http://schemas.microsoft.com/office/drawing/2014/main" id="{AEB4FB7B-6979-3F9A-E02F-958882EBD83C}"/>
            </a:ext>
          </a:extLst>
        </xdr:cNvPr>
        <xdr:cNvCxnSpPr/>
      </xdr:nvCxnSpPr>
      <xdr:spPr>
        <a:xfrm flipV="1">
          <a:off x="3628231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677" name="Match44">
          <a:extLst>
            <a:ext uri="{FF2B5EF4-FFF2-40B4-BE49-F238E27FC236}">
              <a16:creationId xmlns:a16="http://schemas.microsoft.com/office/drawing/2014/main" id="{9DD90148-4DAE-3599-0417-E49B243A0F95}"/>
            </a:ext>
          </a:extLst>
        </xdr:cNvPr>
        <xdr:cNvCxnSpPr/>
      </xdr:nvCxnSpPr>
      <xdr:spPr>
        <a:xfrm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678" name="Match45">
          <a:extLst>
            <a:ext uri="{FF2B5EF4-FFF2-40B4-BE49-F238E27FC236}">
              <a16:creationId xmlns:a16="http://schemas.microsoft.com/office/drawing/2014/main" id="{6EA40AA4-A941-42A1-9568-BEC91DE9C227}"/>
            </a:ext>
          </a:extLst>
        </xdr:cNvPr>
        <xdr:cNvCxnSpPr/>
      </xdr:nvCxnSpPr>
      <xdr:spPr>
        <a:xfrm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679" name="Match46">
          <a:extLst>
            <a:ext uri="{FF2B5EF4-FFF2-40B4-BE49-F238E27FC236}">
              <a16:creationId xmlns:a16="http://schemas.microsoft.com/office/drawing/2014/main" id="{AB22874B-B227-E912-4E56-DCC87D175F0E}"/>
            </a:ext>
          </a:extLst>
        </xdr:cNvPr>
        <xdr:cNvCxnSpPr/>
      </xdr:nvCxnSpPr>
      <xdr:spPr>
        <a:xfrm flipH="1" flipV="1">
          <a:off x="2373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680" name="Match47">
          <a:extLst>
            <a:ext uri="{FF2B5EF4-FFF2-40B4-BE49-F238E27FC236}">
              <a16:creationId xmlns:a16="http://schemas.microsoft.com/office/drawing/2014/main" id="{178613E1-48AA-977B-86B5-79190CA24FDC}"/>
            </a:ext>
          </a:extLst>
        </xdr:cNvPr>
        <xdr:cNvCxnSpPr/>
      </xdr:nvCxnSpPr>
      <xdr:spPr>
        <a:xfrm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681" name="Match48">
          <a:extLst>
            <a:ext uri="{FF2B5EF4-FFF2-40B4-BE49-F238E27FC236}">
              <a16:creationId xmlns:a16="http://schemas.microsoft.com/office/drawing/2014/main" id="{1A493E93-2652-7AC8-1D0B-4C5E942A5331}"/>
            </a:ext>
          </a:extLst>
        </xdr:cNvPr>
        <xdr:cNvCxnSpPr/>
      </xdr:nvCxnSpPr>
      <xdr:spPr>
        <a:xfrm>
          <a:off x="40266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682" name="Match49">
          <a:extLst>
            <a:ext uri="{FF2B5EF4-FFF2-40B4-BE49-F238E27FC236}">
              <a16:creationId xmlns:a16="http://schemas.microsoft.com/office/drawing/2014/main" id="{2FAC5190-5BE0-3B1D-3A00-E6BF858C9381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683" name="Match50">
          <a:extLst>
            <a:ext uri="{FF2B5EF4-FFF2-40B4-BE49-F238E27FC236}">
              <a16:creationId xmlns:a16="http://schemas.microsoft.com/office/drawing/2014/main" id="{34B7FEDC-7FD3-1280-A2FC-8F8B2CBBE8E3}"/>
            </a:ext>
          </a:extLst>
        </xdr:cNvPr>
        <xdr:cNvCxnSpPr/>
      </xdr:nvCxnSpPr>
      <xdr:spPr>
        <a:xfrm flipV="1">
          <a:off x="10596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684" name="Match51">
          <a:extLst>
            <a:ext uri="{FF2B5EF4-FFF2-40B4-BE49-F238E27FC236}">
              <a16:creationId xmlns:a16="http://schemas.microsoft.com/office/drawing/2014/main" id="{FBF64B61-2AFC-D1DE-B088-C6945D465D77}"/>
            </a:ext>
          </a:extLst>
        </xdr:cNvPr>
        <xdr:cNvCxnSpPr/>
      </xdr:nvCxnSpPr>
      <xdr:spPr>
        <a:xfrm flipH="1" flipV="1"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1685" name="Match52">
          <a:extLst>
            <a:ext uri="{FF2B5EF4-FFF2-40B4-BE49-F238E27FC236}">
              <a16:creationId xmlns:a16="http://schemas.microsoft.com/office/drawing/2014/main" id="{AB130D07-1959-6108-BBAA-2AF3D3898DDE}"/>
            </a:ext>
          </a:extLst>
        </xdr:cNvPr>
        <xdr:cNvCxnSpPr/>
      </xdr:nvCxnSpPr>
      <xdr:spPr>
        <a:xfrm flipH="1">
          <a:off x="635794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686" name="Match53">
          <a:extLst>
            <a:ext uri="{FF2B5EF4-FFF2-40B4-BE49-F238E27FC236}">
              <a16:creationId xmlns:a16="http://schemas.microsoft.com/office/drawing/2014/main" id="{BA8781C8-D66C-3705-9563-72723ECBF49A}"/>
            </a:ext>
          </a:extLst>
        </xdr:cNvPr>
        <xdr:cNvCxnSpPr/>
      </xdr:nvCxnSpPr>
      <xdr:spPr>
        <a:xfrm flipH="1">
          <a:off x="1907381" y="12501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8</xdr:col>
      <xdr:colOff>237331</xdr:colOff>
      <xdr:row>7</xdr:row>
      <xdr:rowOff>203993</xdr:rowOff>
    </xdr:to>
    <xdr:cxnSp macro="">
      <xdr:nvCxnSpPr>
        <xdr:cNvPr id="1687" name="Match54">
          <a:extLst>
            <a:ext uri="{FF2B5EF4-FFF2-40B4-BE49-F238E27FC236}">
              <a16:creationId xmlns:a16="http://schemas.microsoft.com/office/drawing/2014/main" id="{3F02FEFA-91A9-B25A-44E9-D7C23D4E4BE3}"/>
            </a:ext>
          </a:extLst>
        </xdr:cNvPr>
        <xdr:cNvCxnSpPr/>
      </xdr:nvCxnSpPr>
      <xdr:spPr>
        <a:xfrm flipV="1">
          <a:off x="3628231" y="198993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10</xdr:col>
      <xdr:colOff>237331</xdr:colOff>
      <xdr:row>11</xdr:row>
      <xdr:rowOff>203993</xdr:rowOff>
    </xdr:to>
    <xdr:cxnSp macro="">
      <xdr:nvCxnSpPr>
        <xdr:cNvPr id="1688" name="Match55">
          <a:extLst>
            <a:ext uri="{FF2B5EF4-FFF2-40B4-BE49-F238E27FC236}">
              <a16:creationId xmlns:a16="http://schemas.microsoft.com/office/drawing/2014/main" id="{3344B00D-BC4C-4A1C-04C2-DAE5AD5E515E}"/>
            </a:ext>
          </a:extLst>
        </xdr:cNvPr>
        <xdr:cNvCxnSpPr/>
      </xdr:nvCxnSpPr>
      <xdr:spPr>
        <a:xfrm flipH="1">
          <a:off x="3628231" y="341868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752" name="Match56">
          <a:extLst>
            <a:ext uri="{FF2B5EF4-FFF2-40B4-BE49-F238E27FC236}">
              <a16:creationId xmlns:a16="http://schemas.microsoft.com/office/drawing/2014/main" id="{58203198-D0CA-6C09-645D-9C896A1355AC}"/>
            </a:ext>
          </a:extLst>
        </xdr:cNvPr>
        <xdr:cNvCxnSpPr/>
      </xdr:nvCxnSpPr>
      <xdr:spPr>
        <a:xfrm>
          <a:off x="211931" y="125015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753" name="Match57">
          <a:extLst>
            <a:ext uri="{FF2B5EF4-FFF2-40B4-BE49-F238E27FC236}">
              <a16:creationId xmlns:a16="http://schemas.microsoft.com/office/drawing/2014/main" id="{6B9CA8B7-88A7-30DF-60AD-9AC93595D8D0}"/>
            </a:ext>
          </a:extLst>
        </xdr:cNvPr>
        <xdr:cNvCxnSpPr/>
      </xdr:nvCxnSpPr>
      <xdr:spPr>
        <a:xfrm flipH="1" flipV="1">
          <a:off x="1907381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1</xdr:row>
      <xdr:rowOff>178593</xdr:rowOff>
    </xdr:to>
    <xdr:cxnSp macro="">
      <xdr:nvCxnSpPr>
        <xdr:cNvPr id="1754" name="Match58">
          <a:extLst>
            <a:ext uri="{FF2B5EF4-FFF2-40B4-BE49-F238E27FC236}">
              <a16:creationId xmlns:a16="http://schemas.microsoft.com/office/drawing/2014/main" id="{5F5DE44C-8CCA-51A7-AAAB-52470C09C1DC}"/>
            </a:ext>
          </a:extLst>
        </xdr:cNvPr>
        <xdr:cNvCxnSpPr/>
      </xdr:nvCxnSpPr>
      <xdr:spPr>
        <a:xfrm>
          <a:off x="2119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1</xdr:row>
      <xdr:rowOff>203993</xdr:rowOff>
    </xdr:to>
    <xdr:cxnSp macro="">
      <xdr:nvCxnSpPr>
        <xdr:cNvPr id="1755" name="Match59">
          <a:extLst>
            <a:ext uri="{FF2B5EF4-FFF2-40B4-BE49-F238E27FC236}">
              <a16:creationId xmlns:a16="http://schemas.microsoft.com/office/drawing/2014/main" id="{5D8B9E09-E9E3-5601-7E5B-35FE839BA5E1}"/>
            </a:ext>
          </a:extLst>
        </xdr:cNvPr>
        <xdr:cNvCxnSpPr/>
      </xdr:nvCxnSpPr>
      <xdr:spPr>
        <a:xfrm flipH="1">
          <a:off x="4475956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2</xdr:row>
      <xdr:rowOff>178594</xdr:rowOff>
    </xdr:to>
    <xdr:cxnSp macro="">
      <xdr:nvCxnSpPr>
        <xdr:cNvPr id="1756" name="Match60">
          <a:extLst>
            <a:ext uri="{FF2B5EF4-FFF2-40B4-BE49-F238E27FC236}">
              <a16:creationId xmlns:a16="http://schemas.microsoft.com/office/drawing/2014/main" id="{765A33A5-4A0C-0263-8072-F11E6456773D}"/>
            </a:ext>
          </a:extLst>
        </xdr:cNvPr>
        <xdr:cNvCxnSpPr/>
      </xdr:nvCxnSpPr>
      <xdr:spPr>
        <a:xfrm flipV="1">
          <a:off x="2119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5</xdr:row>
      <xdr:rowOff>229393</xdr:rowOff>
    </xdr:from>
    <xdr:to>
      <xdr:col>7</xdr:col>
      <xdr:colOff>262731</xdr:colOff>
      <xdr:row>5</xdr:row>
      <xdr:rowOff>229393</xdr:rowOff>
    </xdr:to>
    <xdr:cxnSp macro="">
      <xdr:nvCxnSpPr>
        <xdr:cNvPr id="1757" name="Match61">
          <a:extLst>
            <a:ext uri="{FF2B5EF4-FFF2-40B4-BE49-F238E27FC236}">
              <a16:creationId xmlns:a16="http://schemas.microsoft.com/office/drawing/2014/main" id="{064EF886-04AE-A74D-20BE-8863B3DF62E0}"/>
            </a:ext>
          </a:extLst>
        </xdr:cNvPr>
        <xdr:cNvCxnSpPr/>
      </xdr:nvCxnSpPr>
      <xdr:spPr>
        <a:xfrm flipH="1">
          <a:off x="2805906" y="201533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758" name="Match62">
          <a:extLst>
            <a:ext uri="{FF2B5EF4-FFF2-40B4-BE49-F238E27FC236}">
              <a16:creationId xmlns:a16="http://schemas.microsoft.com/office/drawing/2014/main" id="{6C17A128-0471-350A-025C-E47486568465}"/>
            </a:ext>
          </a:extLst>
        </xdr:cNvPr>
        <xdr:cNvCxnSpPr/>
      </xdr:nvCxnSpPr>
      <xdr:spPr>
        <a:xfrm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1759" name="Match63">
          <a:extLst>
            <a:ext uri="{FF2B5EF4-FFF2-40B4-BE49-F238E27FC236}">
              <a16:creationId xmlns:a16="http://schemas.microsoft.com/office/drawing/2014/main" id="{06AEDD51-F764-6EB3-B17A-3260F3A0F82A}"/>
            </a:ext>
          </a:extLst>
        </xdr:cNvPr>
        <xdr:cNvCxnSpPr/>
      </xdr:nvCxnSpPr>
      <xdr:spPr>
        <a:xfrm>
          <a:off x="447595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8</xdr:row>
      <xdr:rowOff>229394</xdr:rowOff>
    </xdr:from>
    <xdr:to>
      <xdr:col>1</xdr:col>
      <xdr:colOff>262731</xdr:colOff>
      <xdr:row>9</xdr:row>
      <xdr:rowOff>229393</xdr:rowOff>
    </xdr:to>
    <xdr:cxnSp macro="">
      <xdr:nvCxnSpPr>
        <xdr:cNvPr id="1760" name="Match64">
          <a:extLst>
            <a:ext uri="{FF2B5EF4-FFF2-40B4-BE49-F238E27FC236}">
              <a16:creationId xmlns:a16="http://schemas.microsoft.com/office/drawing/2014/main" id="{B385E937-F472-9493-DB0A-2B0FBCA48D6E}"/>
            </a:ext>
          </a:extLst>
        </xdr:cNvPr>
        <xdr:cNvCxnSpPr/>
      </xdr:nvCxnSpPr>
      <xdr:spPr>
        <a:xfrm flipH="1">
          <a:off x="262731" y="30868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8</xdr:row>
      <xdr:rowOff>203994</xdr:rowOff>
    </xdr:to>
    <xdr:cxnSp macro="">
      <xdr:nvCxnSpPr>
        <xdr:cNvPr id="1761" name="Match65">
          <a:extLst>
            <a:ext uri="{FF2B5EF4-FFF2-40B4-BE49-F238E27FC236}">
              <a16:creationId xmlns:a16="http://schemas.microsoft.com/office/drawing/2014/main" id="{FF2EA0DC-336A-D797-90E5-E46C74089339}"/>
            </a:ext>
          </a:extLst>
        </xdr:cNvPr>
        <xdr:cNvCxnSpPr/>
      </xdr:nvCxnSpPr>
      <xdr:spPr>
        <a:xfrm>
          <a:off x="40520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762" name="Match66">
          <a:extLst>
            <a:ext uri="{FF2B5EF4-FFF2-40B4-BE49-F238E27FC236}">
              <a16:creationId xmlns:a16="http://schemas.microsoft.com/office/drawing/2014/main" id="{84D1FC8D-8541-7D1C-9996-018D540809D6}"/>
            </a:ext>
          </a:extLst>
        </xdr:cNvPr>
        <xdr:cNvCxnSpPr/>
      </xdr:nvCxnSpPr>
      <xdr:spPr>
        <a:xfrm>
          <a:off x="190738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763" name="Match67">
          <a:extLst>
            <a:ext uri="{FF2B5EF4-FFF2-40B4-BE49-F238E27FC236}">
              <a16:creationId xmlns:a16="http://schemas.microsoft.com/office/drawing/2014/main" id="{FF5838B8-2584-B1EF-97AF-048C07D225D1}"/>
            </a:ext>
          </a:extLst>
        </xdr:cNvPr>
        <xdr:cNvCxnSpPr/>
      </xdr:nvCxnSpPr>
      <xdr:spPr>
        <a:xfrm flipH="1" flipV="1">
          <a:off x="150891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764" name="Match68">
          <a:extLst>
            <a:ext uri="{FF2B5EF4-FFF2-40B4-BE49-F238E27FC236}">
              <a16:creationId xmlns:a16="http://schemas.microsoft.com/office/drawing/2014/main" id="{FAAFC450-48A4-CD72-BABF-CE8963B65ADC}"/>
            </a:ext>
          </a:extLst>
        </xdr:cNvPr>
        <xdr:cNvCxnSpPr/>
      </xdr:nvCxnSpPr>
      <xdr:spPr>
        <a:xfrm flipH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765" name="Match69">
          <a:extLst>
            <a:ext uri="{FF2B5EF4-FFF2-40B4-BE49-F238E27FC236}">
              <a16:creationId xmlns:a16="http://schemas.microsoft.com/office/drawing/2014/main" id="{86A8335D-240F-60BB-648D-E6F8874739CC}"/>
            </a:ext>
          </a:extLst>
        </xdr:cNvPr>
        <xdr:cNvCxnSpPr/>
      </xdr:nvCxnSpPr>
      <xdr:spPr>
        <a:xfrm flipV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8</xdr:col>
      <xdr:colOff>237331</xdr:colOff>
      <xdr:row>2</xdr:row>
      <xdr:rowOff>203994</xdr:rowOff>
    </xdr:to>
    <xdr:cxnSp macro="">
      <xdr:nvCxnSpPr>
        <xdr:cNvPr id="1766" name="Match70">
          <a:extLst>
            <a:ext uri="{FF2B5EF4-FFF2-40B4-BE49-F238E27FC236}">
              <a16:creationId xmlns:a16="http://schemas.microsoft.com/office/drawing/2014/main" id="{43925A6B-FB09-1F96-DBCF-65F941A54C75}"/>
            </a:ext>
          </a:extLst>
        </xdr:cNvPr>
        <xdr:cNvCxnSpPr/>
      </xdr:nvCxnSpPr>
      <xdr:spPr>
        <a:xfrm flipH="1">
          <a:off x="2356644" y="918369"/>
          <a:ext cx="1271587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767" name="Match71">
          <a:extLst>
            <a:ext uri="{FF2B5EF4-FFF2-40B4-BE49-F238E27FC236}">
              <a16:creationId xmlns:a16="http://schemas.microsoft.com/office/drawing/2014/main" id="{C5BB69E1-921E-A0CB-2E35-C25FB7AEF3BC}"/>
            </a:ext>
          </a:extLst>
        </xdr:cNvPr>
        <xdr:cNvCxnSpPr/>
      </xdr:nvCxnSpPr>
      <xdr:spPr>
        <a:xfrm flipV="1">
          <a:off x="275510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768" name="Match72">
          <a:extLst>
            <a:ext uri="{FF2B5EF4-FFF2-40B4-BE49-F238E27FC236}">
              <a16:creationId xmlns:a16="http://schemas.microsoft.com/office/drawing/2014/main" id="{FAEE56AB-2114-CD47-90FC-5298F53F86FD}"/>
            </a:ext>
          </a:extLst>
        </xdr:cNvPr>
        <xdr:cNvCxnSpPr/>
      </xdr:nvCxnSpPr>
      <xdr:spPr>
        <a:xfrm>
          <a:off x="4026694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9</xdr:col>
      <xdr:colOff>237331</xdr:colOff>
      <xdr:row>2</xdr:row>
      <xdr:rowOff>203994</xdr:rowOff>
    </xdr:to>
    <xdr:cxnSp macro="">
      <xdr:nvCxnSpPr>
        <xdr:cNvPr id="1769" name="Match73">
          <a:extLst>
            <a:ext uri="{FF2B5EF4-FFF2-40B4-BE49-F238E27FC236}">
              <a16:creationId xmlns:a16="http://schemas.microsoft.com/office/drawing/2014/main" id="{95E43410-9289-C976-6BD9-FD2227B730A1}"/>
            </a:ext>
          </a:extLst>
        </xdr:cNvPr>
        <xdr:cNvCxnSpPr/>
      </xdr:nvCxnSpPr>
      <xdr:spPr>
        <a:xfrm>
          <a:off x="4052094" y="203994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770" name="Match74">
          <a:extLst>
            <a:ext uri="{FF2B5EF4-FFF2-40B4-BE49-F238E27FC236}">
              <a16:creationId xmlns:a16="http://schemas.microsoft.com/office/drawing/2014/main" id="{2F89D559-2AAF-187E-2BFB-2DF1FE52EB4A}"/>
            </a:ext>
          </a:extLst>
        </xdr:cNvPr>
        <xdr:cNvCxnSpPr/>
      </xdr:nvCxnSpPr>
      <xdr:spPr>
        <a:xfrm flipV="1">
          <a:off x="4874419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771" name="Match75">
          <a:extLst>
            <a:ext uri="{FF2B5EF4-FFF2-40B4-BE49-F238E27FC236}">
              <a16:creationId xmlns:a16="http://schemas.microsoft.com/office/drawing/2014/main" id="{505C21ED-0D6E-4931-37C7-0227745A9BA3}"/>
            </a:ext>
          </a:extLst>
        </xdr:cNvPr>
        <xdr:cNvCxnSpPr/>
      </xdr:nvCxnSpPr>
      <xdr:spPr>
        <a:xfrm>
          <a:off x="4874419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4E19E8EA-FA90-9BC7-542D-829F1989F1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8" sqref="L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3</v>
      </c>
      <c r="B1" s="27">
        <v>7</v>
      </c>
      <c r="C1" s="27">
        <v>1</v>
      </c>
      <c r="D1" s="27">
        <v>9</v>
      </c>
      <c r="E1" s="23">
        <v>6</v>
      </c>
      <c r="F1" s="23">
        <v>1</v>
      </c>
      <c r="G1" s="23">
        <v>6</v>
      </c>
      <c r="H1" s="23">
        <v>1</v>
      </c>
      <c r="I1" s="27">
        <v>4</v>
      </c>
      <c r="J1" s="23">
        <v>2</v>
      </c>
      <c r="K1" s="23">
        <v>8</v>
      </c>
      <c r="L1" s="23">
        <v>4</v>
      </c>
      <c r="N1" s="2">
        <v>3958</v>
      </c>
      <c r="O1" s="1">
        <v>1</v>
      </c>
    </row>
    <row r="2" spans="1:15" s="2" customFormat="1" ht="28.25" customHeight="1">
      <c r="A2" s="23">
        <v>5</v>
      </c>
      <c r="B2" s="22">
        <v>1</v>
      </c>
      <c r="C2" s="22">
        <v>8</v>
      </c>
      <c r="D2" s="22">
        <v>8</v>
      </c>
      <c r="E2" s="22">
        <v>1</v>
      </c>
      <c r="F2" s="22">
        <v>3</v>
      </c>
      <c r="G2" s="23">
        <v>2</v>
      </c>
      <c r="H2" s="23">
        <v>2</v>
      </c>
      <c r="I2" s="27">
        <v>8</v>
      </c>
      <c r="J2" s="23">
        <v>8</v>
      </c>
      <c r="K2" s="23">
        <v>5</v>
      </c>
      <c r="L2" s="23">
        <v>3</v>
      </c>
      <c r="N2" s="2">
        <v>62</v>
      </c>
      <c r="O2" s="2">
        <v>12</v>
      </c>
    </row>
    <row r="3" spans="1:15" ht="28.25" customHeight="1">
      <c r="A3" s="23">
        <v>3</v>
      </c>
      <c r="B3" s="23">
        <v>6</v>
      </c>
      <c r="C3" s="27">
        <v>4</v>
      </c>
      <c r="D3" s="27">
        <v>4</v>
      </c>
      <c r="E3" s="27">
        <v>7</v>
      </c>
      <c r="F3" s="22">
        <v>6</v>
      </c>
      <c r="G3" s="22">
        <v>7</v>
      </c>
      <c r="H3" s="22">
        <v>6</v>
      </c>
      <c r="I3" s="22">
        <v>3</v>
      </c>
      <c r="J3" s="23">
        <v>4</v>
      </c>
      <c r="K3" s="23">
        <v>6</v>
      </c>
      <c r="L3" s="23">
        <v>6</v>
      </c>
      <c r="N3" s="2">
        <v>179194</v>
      </c>
      <c r="O3" s="1">
        <v>1</v>
      </c>
    </row>
    <row r="4" spans="1:15" ht="28.25" customHeight="1">
      <c r="A4" s="22">
        <v>3</v>
      </c>
      <c r="B4" s="23">
        <v>6</v>
      </c>
      <c r="C4" s="23">
        <v>1</v>
      </c>
      <c r="D4" s="27">
        <v>9</v>
      </c>
      <c r="E4" s="22">
        <v>4</v>
      </c>
      <c r="F4" s="22">
        <v>2</v>
      </c>
      <c r="G4" s="22">
        <v>4</v>
      </c>
      <c r="H4" s="22">
        <v>1</v>
      </c>
      <c r="I4" s="22">
        <v>9</v>
      </c>
      <c r="J4" s="22">
        <v>3</v>
      </c>
      <c r="K4" s="22">
        <v>1</v>
      </c>
      <c r="L4" s="22">
        <v>1</v>
      </c>
      <c r="N4" s="2">
        <v>46331</v>
      </c>
      <c r="O4" s="1">
        <v>1</v>
      </c>
    </row>
    <row r="5" spans="1:15" ht="28.25" customHeight="1">
      <c r="A5" s="27">
        <v>9</v>
      </c>
      <c r="B5" s="22">
        <v>7</v>
      </c>
      <c r="C5" s="23">
        <v>3</v>
      </c>
      <c r="D5" s="23">
        <v>4</v>
      </c>
      <c r="E5" s="23">
        <v>6</v>
      </c>
      <c r="F5" s="22">
        <v>6</v>
      </c>
      <c r="G5" s="22">
        <v>1</v>
      </c>
      <c r="H5" s="27">
        <v>7</v>
      </c>
      <c r="I5" s="23">
        <v>4</v>
      </c>
      <c r="J5" s="27">
        <v>9</v>
      </c>
      <c r="K5" s="27">
        <v>1</v>
      </c>
      <c r="L5" s="22">
        <v>5</v>
      </c>
      <c r="N5" s="2">
        <v>61</v>
      </c>
      <c r="O5" s="1">
        <v>19</v>
      </c>
    </row>
    <row r="6" spans="1:15" ht="28.25" customHeight="1">
      <c r="A6" s="27">
        <v>9</v>
      </c>
      <c r="B6" s="27">
        <v>2</v>
      </c>
      <c r="C6" s="22">
        <v>1</v>
      </c>
      <c r="D6" s="23">
        <v>6</v>
      </c>
      <c r="E6" s="23">
        <v>3</v>
      </c>
      <c r="F6" s="27">
        <v>8</v>
      </c>
      <c r="G6" s="22">
        <v>5</v>
      </c>
      <c r="H6" s="22">
        <v>3</v>
      </c>
      <c r="I6" s="22">
        <v>3</v>
      </c>
      <c r="J6" s="23">
        <v>1</v>
      </c>
      <c r="K6" s="27">
        <v>7</v>
      </c>
      <c r="L6" s="22">
        <v>5</v>
      </c>
      <c r="N6" s="2">
        <v>34</v>
      </c>
      <c r="O6" s="1">
        <v>18</v>
      </c>
    </row>
    <row r="7" spans="1:15" ht="28.25" customHeight="1">
      <c r="A7" s="27">
        <v>4</v>
      </c>
      <c r="B7" s="27">
        <v>8</v>
      </c>
      <c r="C7" s="27">
        <v>8</v>
      </c>
      <c r="D7" s="22">
        <v>3</v>
      </c>
      <c r="E7" s="23">
        <v>1</v>
      </c>
      <c r="F7" s="27">
        <v>9</v>
      </c>
      <c r="G7" s="22">
        <v>9</v>
      </c>
      <c r="H7" s="22">
        <v>4</v>
      </c>
      <c r="I7" s="22">
        <v>9</v>
      </c>
      <c r="J7" s="23">
        <v>6</v>
      </c>
      <c r="K7" s="23">
        <v>2</v>
      </c>
      <c r="L7" s="22">
        <v>6</v>
      </c>
      <c r="N7" s="2">
        <v>31881</v>
      </c>
      <c r="O7" s="1">
        <v>1</v>
      </c>
    </row>
    <row r="8" spans="1:15" ht="28.25" customHeight="1">
      <c r="A8" s="23">
        <v>4</v>
      </c>
      <c r="B8" s="23">
        <v>1</v>
      </c>
      <c r="C8" s="23">
        <v>6</v>
      </c>
      <c r="D8" s="27">
        <v>9</v>
      </c>
      <c r="E8" s="22">
        <v>8</v>
      </c>
      <c r="F8" s="27">
        <v>9</v>
      </c>
      <c r="G8" s="22">
        <v>2</v>
      </c>
      <c r="H8" s="22">
        <v>9</v>
      </c>
      <c r="I8" s="22">
        <v>6</v>
      </c>
      <c r="J8" s="23">
        <v>3</v>
      </c>
      <c r="K8" s="23">
        <v>3</v>
      </c>
      <c r="L8" s="22">
        <v>6</v>
      </c>
      <c r="N8" s="2">
        <v>1391424</v>
      </c>
      <c r="O8" s="1">
        <v>1</v>
      </c>
    </row>
    <row r="9" spans="1:15" ht="28.25" customHeight="1">
      <c r="A9" s="27">
        <v>9</v>
      </c>
      <c r="B9" s="23">
        <v>3</v>
      </c>
      <c r="C9" s="22">
        <v>8</v>
      </c>
      <c r="D9" s="22">
        <v>5</v>
      </c>
      <c r="E9" s="22">
        <v>9</v>
      </c>
      <c r="F9" s="22">
        <v>3</v>
      </c>
      <c r="G9" s="27">
        <v>9</v>
      </c>
      <c r="H9" s="22">
        <v>1</v>
      </c>
      <c r="I9" s="23">
        <v>3</v>
      </c>
      <c r="J9" s="23">
        <v>3</v>
      </c>
      <c r="K9" s="23">
        <v>5</v>
      </c>
      <c r="L9" s="22">
        <v>4</v>
      </c>
      <c r="N9" s="2">
        <v>693</v>
      </c>
      <c r="O9" s="1">
        <v>2</v>
      </c>
    </row>
    <row r="10" spans="1:15" ht="28.25" customHeight="1">
      <c r="A10" s="23">
        <v>5</v>
      </c>
      <c r="B10" s="27">
        <v>8</v>
      </c>
      <c r="C10" s="22">
        <v>4</v>
      </c>
      <c r="D10" s="22">
        <v>6</v>
      </c>
      <c r="E10" s="22">
        <v>3</v>
      </c>
      <c r="F10" s="22">
        <v>3</v>
      </c>
      <c r="G10" s="22">
        <v>1</v>
      </c>
      <c r="H10" s="22">
        <v>9</v>
      </c>
      <c r="I10" s="23">
        <v>3</v>
      </c>
      <c r="J10" s="23">
        <v>4</v>
      </c>
      <c r="K10" s="23">
        <v>6</v>
      </c>
      <c r="L10" s="22">
        <v>8</v>
      </c>
      <c r="N10" s="2">
        <v>37138</v>
      </c>
      <c r="O10" s="1">
        <v>2</v>
      </c>
    </row>
    <row r="11" spans="1:15" ht="28.25" customHeight="1">
      <c r="A11" s="27">
        <v>7</v>
      </c>
      <c r="B11" s="27">
        <v>8</v>
      </c>
      <c r="C11" s="23">
        <v>3</v>
      </c>
      <c r="D11" s="27">
        <v>7</v>
      </c>
      <c r="E11" s="23">
        <v>5</v>
      </c>
      <c r="F11" s="27">
        <v>1</v>
      </c>
      <c r="G11" s="27">
        <v>7</v>
      </c>
      <c r="H11" s="22">
        <v>7</v>
      </c>
      <c r="I11" s="27">
        <v>7</v>
      </c>
      <c r="J11" s="23">
        <v>9</v>
      </c>
      <c r="K11" s="23">
        <v>3</v>
      </c>
      <c r="L11" s="22">
        <v>2</v>
      </c>
      <c r="N11" s="2">
        <v>35</v>
      </c>
      <c r="O11" s="1">
        <v>12</v>
      </c>
    </row>
    <row r="12" spans="1:15" ht="28.25" customHeight="1">
      <c r="A12" s="27">
        <v>1</v>
      </c>
      <c r="B12" s="27">
        <v>7</v>
      </c>
      <c r="C12" s="27">
        <v>9</v>
      </c>
      <c r="D12" s="23">
        <v>3</v>
      </c>
      <c r="E12" s="27">
        <v>8</v>
      </c>
      <c r="F12" s="27">
        <v>5</v>
      </c>
      <c r="G12" s="27">
        <v>4</v>
      </c>
      <c r="H12" s="22">
        <v>1</v>
      </c>
      <c r="I12" s="23">
        <v>3</v>
      </c>
      <c r="J12" s="27">
        <v>1</v>
      </c>
      <c r="K12" s="27">
        <v>8</v>
      </c>
      <c r="L12" s="27">
        <v>9</v>
      </c>
      <c r="N12" s="2">
        <v>3676</v>
      </c>
      <c r="O12" s="1">
        <v>1</v>
      </c>
    </row>
    <row r="13" spans="1:15" ht="28.25" customHeight="1">
      <c r="N13" s="2">
        <v>295</v>
      </c>
      <c r="O13" s="1">
        <v>1</v>
      </c>
    </row>
    <row r="14" spans="1:15" ht="28.25" customHeight="1">
      <c r="N14" s="2">
        <v>284</v>
      </c>
      <c r="O14" s="1">
        <v>3</v>
      </c>
    </row>
    <row r="15" spans="1:15" ht="28.25" customHeight="1">
      <c r="N15" s="2">
        <v>1556648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10"/>
  <sheetViews>
    <sheetView tabSelected="1" zoomScaleNormal="100" workbookViewId="0">
      <pane ySplit="2" topLeftCell="A305" activePane="bottomLeft" state="frozen"/>
      <selection pane="bottomLeft" activeCell="A310" sqref="A31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628</v>
      </c>
      <c r="I287" t="s">
        <v>629</v>
      </c>
      <c r="J287">
        <v>0</v>
      </c>
      <c r="K287">
        <f t="shared" ref="K287" si="714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715">L286+K287</f>
        <v>352</v>
      </c>
      <c r="M287">
        <f t="shared" ref="M287" si="716">2+IF(A287&gt;=DATEVALUE("2025/11/30")+TIMEVALUE("6:00"),1,0)+IF(A287&gt;=DATEVALUE("2025/12/11")+TIMEVALUE("6:00"),1,0)</f>
        <v>4</v>
      </c>
      <c r="N287">
        <f t="shared" ref="N287" si="717">N286+M287*(INT(A287-6/24)-INT(A286-6/24))+O287</f>
        <v>355</v>
      </c>
      <c r="O287">
        <f t="shared" ref="O287" si="718">IF(A287&gt;=DATEVALUE("2025/11/8")+TIMEVALUE("6:00"),1,0)-IF(A286&gt;=DATEVALUE("2025/11/8")+TIMEVALUE("6:00"),1,0)
+IF(A287&gt;=DATEVALUE("2026/1/22")+TIMEVALUE("6:00"),3,0)-IF(A286&gt;=DATEVALUE("2026/1/22")+TIMEVALUE("6:00"),3,0)</f>
        <v>0</v>
      </c>
      <c r="P287" t="str">
        <f t="shared" ref="P287" si="719">IF(L287&lt;N287,"未達成（"&amp;N287-L287&amp;"）",IF(L287=N287,"達成","前倒し（"&amp;L287-N287&amp;"）"))</f>
        <v>未達成（3）</v>
      </c>
      <c r="Q287">
        <f t="shared" ref="Q287" si="720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630</v>
      </c>
      <c r="I288" t="s">
        <v>631</v>
      </c>
      <c r="J288">
        <v>0</v>
      </c>
      <c r="K288">
        <f t="shared" ref="K288" si="721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722">L287+K288</f>
        <v>352</v>
      </c>
      <c r="M288">
        <f t="shared" ref="M288" si="723">2+IF(A288&gt;=DATEVALUE("2025/11/30")+TIMEVALUE("6:00"),1,0)+IF(A288&gt;=DATEVALUE("2025/12/11")+TIMEVALUE("6:00"),1,0)</f>
        <v>4</v>
      </c>
      <c r="N288">
        <f t="shared" ref="N288" si="724">N287+M288*(INT(A288-6/24)-INT(A287-6/24))+O288</f>
        <v>355</v>
      </c>
      <c r="O288">
        <f t="shared" ref="O288" si="725">IF(A288&gt;=DATEVALUE("2025/11/8")+TIMEVALUE("6:00"),1,0)-IF(A287&gt;=DATEVALUE("2025/11/8")+TIMEVALUE("6:00"),1,0)
+IF(A288&gt;=DATEVALUE("2026/1/22")+TIMEVALUE("6:00"),3,0)-IF(A287&gt;=DATEVALUE("2026/1/22")+TIMEVALUE("6:00"),3,0)</f>
        <v>0</v>
      </c>
      <c r="P288" t="str">
        <f t="shared" ref="P288" si="726">IF(L288&lt;N288,"未達成（"&amp;N288-L288&amp;"）",IF(L288=N288,"達成","前倒し（"&amp;L288-N288&amp;"）"))</f>
        <v>未達成（3）</v>
      </c>
      <c r="Q288">
        <f t="shared" ref="Q288" si="72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632</v>
      </c>
      <c r="I289" t="s">
        <v>633</v>
      </c>
      <c r="J289">
        <v>0</v>
      </c>
      <c r="K289">
        <f t="shared" ref="K289" si="72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729">L288+K289</f>
        <v>352</v>
      </c>
      <c r="M289">
        <f t="shared" ref="M289" si="730">2+IF(A289&gt;=DATEVALUE("2025/11/30")+TIMEVALUE("6:00"),1,0)+IF(A289&gt;=DATEVALUE("2025/12/11")+TIMEVALUE("6:00"),1,0)</f>
        <v>4</v>
      </c>
      <c r="N289">
        <f t="shared" ref="N289" si="731">N288+M289*(INT(A289-6/24)-INT(A288-6/24))+O289</f>
        <v>355</v>
      </c>
      <c r="O289">
        <f t="shared" ref="O289" si="732">IF(A289&gt;=DATEVALUE("2025/11/8")+TIMEVALUE("6:00"),1,0)-IF(A288&gt;=DATEVALUE("2025/11/8")+TIMEVALUE("6:00"),1,0)
+IF(A289&gt;=DATEVALUE("2026/1/22")+TIMEVALUE("6:00"),3,0)-IF(A288&gt;=DATEVALUE("2026/1/22")+TIMEVALUE("6:00"),3,0)</f>
        <v>0</v>
      </c>
      <c r="P289" t="str">
        <f t="shared" ref="P289" si="733">IF(L289&lt;N289,"未達成（"&amp;N289-L289&amp;"）",IF(L289=N289,"達成","前倒し（"&amp;L289-N289&amp;"）"))</f>
        <v>未達成（3）</v>
      </c>
      <c r="Q289">
        <f t="shared" ref="Q289" si="734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634</v>
      </c>
      <c r="I290" t="s">
        <v>635</v>
      </c>
      <c r="J290">
        <v>0</v>
      </c>
      <c r="K290">
        <f t="shared" ref="K290" si="735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736">L289+K290</f>
        <v>354</v>
      </c>
      <c r="M290">
        <f t="shared" ref="M290" si="737">2+IF(A290&gt;=DATEVALUE("2025/11/30")+TIMEVALUE("6:00"),1,0)+IF(A290&gt;=DATEVALUE("2025/12/11")+TIMEVALUE("6:00"),1,0)</f>
        <v>4</v>
      </c>
      <c r="N290">
        <f t="shared" ref="N290" si="738">N289+M290*(INT(A290-6/24)-INT(A289-6/24))+O290</f>
        <v>355</v>
      </c>
      <c r="O290">
        <f t="shared" ref="O290" si="739">IF(A290&gt;=DATEVALUE("2025/11/8")+TIMEVALUE("6:00"),1,0)-IF(A289&gt;=DATEVALUE("2025/11/8")+TIMEVALUE("6:00"),1,0)
+IF(A290&gt;=DATEVALUE("2026/1/22")+TIMEVALUE("6:00"),3,0)-IF(A289&gt;=DATEVALUE("2026/1/22")+TIMEVALUE("6:00"),3,0)</f>
        <v>0</v>
      </c>
      <c r="P290" t="str">
        <f t="shared" ref="P290" si="740">IF(L290&lt;N290,"未達成（"&amp;N290-L290&amp;"）",IF(L290=N290,"達成","前倒し（"&amp;L290-N290&amp;"）"))</f>
        <v>未達成（1）</v>
      </c>
      <c r="Q290">
        <f t="shared" ref="Q290" si="741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636</v>
      </c>
      <c r="I291" t="s">
        <v>637</v>
      </c>
      <c r="J291">
        <v>1</v>
      </c>
      <c r="K291">
        <f t="shared" ref="K291" si="742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743">L290+K291</f>
        <v>354</v>
      </c>
      <c r="M291">
        <f t="shared" ref="M291" si="744">2+IF(A291&gt;=DATEVALUE("2025/11/30")+TIMEVALUE("6:00"),1,0)+IF(A291&gt;=DATEVALUE("2025/12/11")+TIMEVALUE("6:00"),1,0)</f>
        <v>4</v>
      </c>
      <c r="N291">
        <f t="shared" ref="N291" si="745">N290+M291*(INT(A291-6/24)-INT(A290-6/24))+O291</f>
        <v>355</v>
      </c>
      <c r="O291">
        <f t="shared" ref="O291" si="746">IF(A291&gt;=DATEVALUE("2025/11/8")+TIMEVALUE("6:00"),1,0)-IF(A290&gt;=DATEVALUE("2025/11/8")+TIMEVALUE("6:00"),1,0)
+IF(A291&gt;=DATEVALUE("2026/1/22")+TIMEVALUE("6:00"),3,0)-IF(A290&gt;=DATEVALUE("2026/1/22")+TIMEVALUE("6:00"),3,0)</f>
        <v>0</v>
      </c>
      <c r="P291" t="str">
        <f t="shared" ref="P291" si="747">IF(L291&lt;N291,"未達成（"&amp;N291-L291&amp;"）",IF(L291=N291,"達成","前倒し（"&amp;L291-N291&amp;"）"))</f>
        <v>未達成（1）</v>
      </c>
      <c r="Q291" t="e">
        <f t="shared" ref="Q291" si="748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638</v>
      </c>
      <c r="I292" t="s">
        <v>639</v>
      </c>
      <c r="J292">
        <v>0</v>
      </c>
      <c r="K292">
        <f t="shared" ref="K292" si="749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750">L291+K292</f>
        <v>355</v>
      </c>
      <c r="M292">
        <f t="shared" ref="M292" si="751">2+IF(A292&gt;=DATEVALUE("2025/11/30")+TIMEVALUE("6:00"),1,0)+IF(A292&gt;=DATEVALUE("2025/12/11")+TIMEVALUE("6:00"),1,0)</f>
        <v>4</v>
      </c>
      <c r="N292">
        <f t="shared" ref="N292" si="752">N291+M292*(INT(A292-6/24)-INT(A291-6/24))+O292</f>
        <v>355</v>
      </c>
      <c r="O292">
        <f t="shared" ref="O292" si="753">IF(A292&gt;=DATEVALUE("2025/11/8")+TIMEVALUE("6:00"),1,0)-IF(A291&gt;=DATEVALUE("2025/11/8")+TIMEVALUE("6:00"),1,0)
+IF(A292&gt;=DATEVALUE("2026/1/22")+TIMEVALUE("6:00"),3,0)-IF(A291&gt;=DATEVALUE("2026/1/22")+TIMEVALUE("6:00"),3,0)</f>
        <v>0</v>
      </c>
      <c r="P292" t="str">
        <f t="shared" ref="P292" si="754">IF(L292&lt;N292,"未達成（"&amp;N292-L292&amp;"）",IF(L292=N292,"達成","前倒し（"&amp;L292-N292&amp;"）"))</f>
        <v>達成</v>
      </c>
      <c r="Q292">
        <f t="shared" ref="Q292" si="755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640</v>
      </c>
      <c r="I293" t="s">
        <v>641</v>
      </c>
      <c r="J293">
        <v>0</v>
      </c>
      <c r="K293">
        <f t="shared" ref="K293" si="756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757">L292+K293</f>
        <v>357</v>
      </c>
      <c r="M293">
        <f t="shared" ref="M293" si="758">2+IF(A293&gt;=DATEVALUE("2025/11/30")+TIMEVALUE("6:00"),1,0)+IF(A293&gt;=DATEVALUE("2025/12/11")+TIMEVALUE("6:00"),1,0)</f>
        <v>4</v>
      </c>
      <c r="N293">
        <f t="shared" ref="N293" si="759">N292+M293*(INT(A293-6/24)-INT(A292-6/24))+O293</f>
        <v>359</v>
      </c>
      <c r="O293">
        <f t="shared" ref="O293" si="760">IF(A293&gt;=DATEVALUE("2025/11/8")+TIMEVALUE("6:00"),1,0)-IF(A292&gt;=DATEVALUE("2025/11/8")+TIMEVALUE("6:00"),1,0)
+IF(A293&gt;=DATEVALUE("2026/1/22")+TIMEVALUE("6:00"),3,0)-IF(A292&gt;=DATEVALUE("2026/1/22")+TIMEVALUE("6:00"),3,0)</f>
        <v>0</v>
      </c>
      <c r="P293" t="str">
        <f t="shared" ref="P293" si="761">IF(L293&lt;N293,"未達成（"&amp;N293-L293&amp;"）",IF(L293=N293,"達成","前倒し（"&amp;L293-N293&amp;"）"))</f>
        <v>未達成（2）</v>
      </c>
      <c r="Q293">
        <f t="shared" ref="Q293" si="762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642</v>
      </c>
      <c r="I294" t="s">
        <v>643</v>
      </c>
      <c r="J294">
        <v>0</v>
      </c>
      <c r="K294">
        <f t="shared" ref="K294" si="763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764">L293+K294</f>
        <v>359</v>
      </c>
      <c r="M294">
        <f t="shared" ref="M294" si="765">2+IF(A294&gt;=DATEVALUE("2025/11/30")+TIMEVALUE("6:00"),1,0)+IF(A294&gt;=DATEVALUE("2025/12/11")+TIMEVALUE("6:00"),1,0)</f>
        <v>4</v>
      </c>
      <c r="N294">
        <f t="shared" ref="N294" si="766">N293+M294*(INT(A294-6/24)-INT(A293-6/24))+O294</f>
        <v>359</v>
      </c>
      <c r="O294">
        <f t="shared" ref="O294" si="767">IF(A294&gt;=DATEVALUE("2025/11/8")+TIMEVALUE("6:00"),1,0)-IF(A293&gt;=DATEVALUE("2025/11/8")+TIMEVALUE("6:00"),1,0)
+IF(A294&gt;=DATEVALUE("2026/1/22")+TIMEVALUE("6:00"),3,0)-IF(A293&gt;=DATEVALUE("2026/1/22")+TIMEVALUE("6:00"),3,0)</f>
        <v>0</v>
      </c>
      <c r="P294" t="str">
        <f t="shared" ref="P294" si="768">IF(L294&lt;N294,"未達成（"&amp;N294-L294&amp;"）",IF(L294=N294,"達成","前倒し（"&amp;L294-N294&amp;"）"))</f>
        <v>達成</v>
      </c>
      <c r="Q294">
        <f t="shared" ref="Q294" si="769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644</v>
      </c>
      <c r="I295" t="s">
        <v>645</v>
      </c>
      <c r="J295">
        <v>0</v>
      </c>
      <c r="K295">
        <f t="shared" ref="K295" si="770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771">L294+K295</f>
        <v>360</v>
      </c>
      <c r="M295">
        <f t="shared" ref="M295" si="772">2+IF(A295&gt;=DATEVALUE("2025/11/30")+TIMEVALUE("6:00"),1,0)+IF(A295&gt;=DATEVALUE("2025/12/11")+TIMEVALUE("6:00"),1,0)</f>
        <v>4</v>
      </c>
      <c r="N295">
        <f t="shared" ref="N295" si="773">N294+M295*(INT(A295-6/24)-INT(A294-6/24))+O295</f>
        <v>363</v>
      </c>
      <c r="O295">
        <f t="shared" ref="O295" si="774">IF(A295&gt;=DATEVALUE("2025/11/8")+TIMEVALUE("6:00"),1,0)-IF(A294&gt;=DATEVALUE("2025/11/8")+TIMEVALUE("6:00"),1,0)
+IF(A295&gt;=DATEVALUE("2026/1/22")+TIMEVALUE("6:00"),3,0)-IF(A294&gt;=DATEVALUE("2026/1/22")+TIMEVALUE("6:00"),3,0)</f>
        <v>0</v>
      </c>
      <c r="P295" t="str">
        <f t="shared" ref="P295" si="775">IF(L295&lt;N295,"未達成（"&amp;N295-L295&amp;"）",IF(L295=N295,"達成","前倒し（"&amp;L295-N295&amp;"）"))</f>
        <v>未達成（3）</v>
      </c>
      <c r="Q295">
        <f t="shared" ref="Q295" si="776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646</v>
      </c>
      <c r="I296" t="s">
        <v>647</v>
      </c>
      <c r="J296">
        <v>0</v>
      </c>
      <c r="K296">
        <f t="shared" ref="K296" si="777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78">L295+K296</f>
        <v>362</v>
      </c>
      <c r="M296">
        <f t="shared" ref="M296" si="779">2+IF(A296&gt;=DATEVALUE("2025/11/30")+TIMEVALUE("6:00"),1,0)+IF(A296&gt;=DATEVALUE("2025/12/11")+TIMEVALUE("6:00"),1,0)</f>
        <v>4</v>
      </c>
      <c r="N296">
        <f t="shared" ref="N296" si="780">N295+M296*(INT(A296-6/24)-INT(A295-6/24))+O296</f>
        <v>363</v>
      </c>
      <c r="O296">
        <f t="shared" ref="O296" si="781">IF(A296&gt;=DATEVALUE("2025/11/8")+TIMEVALUE("6:00"),1,0)-IF(A295&gt;=DATEVALUE("2025/11/8")+TIMEVALUE("6:00"),1,0)
+IF(A296&gt;=DATEVALUE("2026/1/22")+TIMEVALUE("6:00"),3,0)-IF(A295&gt;=DATEVALUE("2026/1/22")+TIMEVALUE("6:00"),3,0)</f>
        <v>0</v>
      </c>
      <c r="P296" t="str">
        <f t="shared" ref="P296" si="782">IF(L296&lt;N296,"未達成（"&amp;N296-L296&amp;"）",IF(L296=N296,"達成","前倒し（"&amp;L296-N296&amp;"）"))</f>
        <v>未達成（1）</v>
      </c>
      <c r="Q296">
        <f t="shared" ref="Q296" si="783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648</v>
      </c>
      <c r="I297" t="s">
        <v>649</v>
      </c>
      <c r="J297">
        <v>0</v>
      </c>
      <c r="K297">
        <f t="shared" ref="K297" si="784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85">L296+K297</f>
        <v>363</v>
      </c>
      <c r="M297">
        <f t="shared" ref="M297" si="786">2+IF(A297&gt;=DATEVALUE("2025/11/30")+TIMEVALUE("6:00"),1,0)+IF(A297&gt;=DATEVALUE("2025/12/11")+TIMEVALUE("6:00"),1,0)</f>
        <v>4</v>
      </c>
      <c r="N297">
        <f t="shared" ref="N297" si="787">N296+M297*(INT(A297-6/24)-INT(A296-6/24))+O297</f>
        <v>363</v>
      </c>
      <c r="O297">
        <f t="shared" ref="O297" si="788">IF(A297&gt;=DATEVALUE("2025/11/8")+TIMEVALUE("6:00"),1,0)-IF(A296&gt;=DATEVALUE("2025/11/8")+TIMEVALUE("6:00"),1,0)
+IF(A297&gt;=DATEVALUE("2026/1/22")+TIMEVALUE("6:00"),3,0)-IF(A296&gt;=DATEVALUE("2026/1/22")+TIMEVALUE("6:00"),3,0)</f>
        <v>0</v>
      </c>
      <c r="P297" t="str">
        <f t="shared" ref="P297" si="789">IF(L297&lt;N297,"未達成（"&amp;N297-L297&amp;"）",IF(L297=N297,"達成","前倒し（"&amp;L297-N297&amp;"）"))</f>
        <v>達成</v>
      </c>
      <c r="Q297">
        <f t="shared" ref="Q297" si="790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650</v>
      </c>
      <c r="I298" t="s">
        <v>651</v>
      </c>
      <c r="J298">
        <v>0</v>
      </c>
      <c r="K298">
        <f t="shared" ref="K298" si="791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92">L297+K298</f>
        <v>365</v>
      </c>
      <c r="M298">
        <f t="shared" ref="M298" si="793">2+IF(A298&gt;=DATEVALUE("2025/11/30")+TIMEVALUE("6:00"),1,0)+IF(A298&gt;=DATEVALUE("2025/12/11")+TIMEVALUE("6:00"),1,0)</f>
        <v>4</v>
      </c>
      <c r="N298">
        <f t="shared" ref="N298" si="794">N297+M298*(INT(A298-6/24)-INT(A297-6/24))+O298</f>
        <v>367</v>
      </c>
      <c r="O298">
        <f t="shared" ref="O298" si="795">IF(A298&gt;=DATEVALUE("2025/11/8")+TIMEVALUE("6:00"),1,0)-IF(A297&gt;=DATEVALUE("2025/11/8")+TIMEVALUE("6:00"),1,0)
+IF(A298&gt;=DATEVALUE("2026/1/22")+TIMEVALUE("6:00"),3,0)-IF(A297&gt;=DATEVALUE("2026/1/22")+TIMEVALUE("6:00"),3,0)</f>
        <v>0</v>
      </c>
      <c r="P298" t="str">
        <f t="shared" ref="P298" si="796">IF(L298&lt;N298,"未達成（"&amp;N298-L298&amp;"）",IF(L298=N298,"達成","前倒し（"&amp;L298-N298&amp;"）"))</f>
        <v>未達成（2）</v>
      </c>
      <c r="Q298">
        <f t="shared" ref="Q298" si="79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652</v>
      </c>
      <c r="I299" t="s">
        <v>653</v>
      </c>
      <c r="J299">
        <v>0</v>
      </c>
      <c r="K299">
        <f t="shared" ref="K299" si="79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99">L298+K299</f>
        <v>367</v>
      </c>
      <c r="M299">
        <f t="shared" ref="M299" si="800">2+IF(A299&gt;=DATEVALUE("2025/11/30")+TIMEVALUE("6:00"),1,0)+IF(A299&gt;=DATEVALUE("2025/12/11")+TIMEVALUE("6:00"),1,0)</f>
        <v>4</v>
      </c>
      <c r="N299">
        <f t="shared" ref="N299" si="801">N298+M299*(INT(A299-6/24)-INT(A298-6/24))+O299</f>
        <v>367</v>
      </c>
      <c r="O299">
        <f t="shared" ref="O299" si="802">IF(A299&gt;=DATEVALUE("2025/11/8")+TIMEVALUE("6:00"),1,0)-IF(A298&gt;=DATEVALUE("2025/11/8")+TIMEVALUE("6:00"),1,0)
+IF(A299&gt;=DATEVALUE("2026/1/22")+TIMEVALUE("6:00"),3,0)-IF(A298&gt;=DATEVALUE("2026/1/22")+TIMEVALUE("6:00"),3,0)</f>
        <v>0</v>
      </c>
      <c r="P299" t="str">
        <f t="shared" ref="P299" si="803">IF(L299&lt;N299,"未達成（"&amp;N299-L299&amp;"）",IF(L299=N299,"達成","前倒し（"&amp;L299-N299&amp;"）"))</f>
        <v>達成</v>
      </c>
      <c r="Q299">
        <f t="shared" ref="Q299" si="804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654</v>
      </c>
      <c r="I300" t="s">
        <v>655</v>
      </c>
      <c r="J300">
        <v>0</v>
      </c>
      <c r="K300">
        <f t="shared" ref="K300" si="805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806">L299+K300</f>
        <v>368</v>
      </c>
      <c r="M300">
        <f t="shared" ref="M300" si="807">2+IF(A300&gt;=DATEVALUE("2025/11/30")+TIMEVALUE("6:00"),1,0)+IF(A300&gt;=DATEVALUE("2025/12/11")+TIMEVALUE("6:00"),1,0)</f>
        <v>4</v>
      </c>
      <c r="N300">
        <f t="shared" ref="N300" si="808">N299+M300*(INT(A300-6/24)-INT(A299-6/24))+O300</f>
        <v>371</v>
      </c>
      <c r="O300">
        <f t="shared" ref="O300" si="809">IF(A300&gt;=DATEVALUE("2025/11/8")+TIMEVALUE("6:00"),1,0)-IF(A299&gt;=DATEVALUE("2025/11/8")+TIMEVALUE("6:00"),1,0)
+IF(A300&gt;=DATEVALUE("2026/1/22")+TIMEVALUE("6:00"),3,0)-IF(A299&gt;=DATEVALUE("2026/1/22")+TIMEVALUE("6:00"),3,0)</f>
        <v>0</v>
      </c>
      <c r="P300" t="str">
        <f t="shared" ref="P300" si="810">IF(L300&lt;N300,"未達成（"&amp;N300-L300&amp;"）",IF(L300=N300,"達成","前倒し（"&amp;L300-N300&amp;"）"))</f>
        <v>未達成（3）</v>
      </c>
      <c r="Q300">
        <f t="shared" ref="Q300" si="811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656</v>
      </c>
      <c r="I301" t="s">
        <v>657</v>
      </c>
      <c r="J301">
        <v>0</v>
      </c>
      <c r="K301">
        <f t="shared" ref="K301" si="812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813">L300+K301</f>
        <v>370</v>
      </c>
      <c r="M301">
        <f t="shared" ref="M301" si="814">2+IF(A301&gt;=DATEVALUE("2025/11/30")+TIMEVALUE("6:00"),1,0)+IF(A301&gt;=DATEVALUE("2025/12/11")+TIMEVALUE("6:00"),1,0)</f>
        <v>4</v>
      </c>
      <c r="N301">
        <f t="shared" ref="N301" si="815">N300+M301*(INT(A301-6/24)-INT(A300-6/24))+O301</f>
        <v>371</v>
      </c>
      <c r="O301">
        <f t="shared" ref="O301" si="816">IF(A301&gt;=DATEVALUE("2025/11/8")+TIMEVALUE("6:00"),1,0)-IF(A300&gt;=DATEVALUE("2025/11/8")+TIMEVALUE("6:00"),1,0)
+IF(A301&gt;=DATEVALUE("2026/1/22")+TIMEVALUE("6:00"),3,0)-IF(A300&gt;=DATEVALUE("2026/1/22")+TIMEVALUE("6:00"),3,0)</f>
        <v>0</v>
      </c>
      <c r="P301" t="str">
        <f t="shared" ref="P301" si="817">IF(L301&lt;N301,"未達成（"&amp;N301-L301&amp;"）",IF(L301=N301,"達成","前倒し（"&amp;L301-N301&amp;"）"))</f>
        <v>未達成（1）</v>
      </c>
      <c r="Q301">
        <f t="shared" ref="Q301" si="818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658</v>
      </c>
      <c r="I302" t="s">
        <v>659</v>
      </c>
      <c r="J302">
        <v>0</v>
      </c>
      <c r="K302">
        <f t="shared" ref="K302" si="819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820">L301+K302</f>
        <v>370</v>
      </c>
      <c r="M302">
        <f t="shared" ref="M302" si="821">2+IF(A302&gt;=DATEVALUE("2025/11/30")+TIMEVALUE("6:00"),1,0)+IF(A302&gt;=DATEVALUE("2025/12/11")+TIMEVALUE("6:00"),1,0)</f>
        <v>4</v>
      </c>
      <c r="N302">
        <f t="shared" ref="N302" si="822">N301+M302*(INT(A302-6/24)-INT(A301-6/24))+O302</f>
        <v>371</v>
      </c>
      <c r="O302">
        <f t="shared" ref="O302" si="823">IF(A302&gt;=DATEVALUE("2025/11/8")+TIMEVALUE("6:00"),1,0)-IF(A301&gt;=DATEVALUE("2025/11/8")+TIMEVALUE("6:00"),1,0)
+IF(A302&gt;=DATEVALUE("2026/1/22")+TIMEVALUE("6:00"),3,0)-IF(A301&gt;=DATEVALUE("2026/1/22")+TIMEVALUE("6:00"),3,0)</f>
        <v>0</v>
      </c>
      <c r="P302" t="str">
        <f t="shared" ref="P302" si="824">IF(L302&lt;N302,"未達成（"&amp;N302-L302&amp;"）",IF(L302=N302,"達成","前倒し（"&amp;L302-N302&amp;"）"))</f>
        <v>未達成（1）</v>
      </c>
      <c r="Q302">
        <f t="shared" ref="Q302" si="825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660</v>
      </c>
      <c r="I303" t="s">
        <v>661</v>
      </c>
      <c r="J303">
        <v>0</v>
      </c>
      <c r="K303">
        <f t="shared" ref="K303" si="826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827">L302+K303</f>
        <v>372</v>
      </c>
      <c r="M303">
        <f t="shared" ref="M303" si="828">2+IF(A303&gt;=DATEVALUE("2025/11/30")+TIMEVALUE("6:00"),1,0)+IF(A303&gt;=DATEVALUE("2025/12/11")+TIMEVALUE("6:00"),1,0)</f>
        <v>4</v>
      </c>
      <c r="N303">
        <f t="shared" ref="N303" si="829">N302+M303*(INT(A303-6/24)-INT(A302-6/24))+O303</f>
        <v>371</v>
      </c>
      <c r="O303">
        <f t="shared" ref="O303" si="830">IF(A303&gt;=DATEVALUE("2025/11/8")+TIMEVALUE("6:00"),1,0)-IF(A302&gt;=DATEVALUE("2025/11/8")+TIMEVALUE("6:00"),1,0)
+IF(A303&gt;=DATEVALUE("2026/1/22")+TIMEVALUE("6:00"),3,0)-IF(A302&gt;=DATEVALUE("2026/1/22")+TIMEVALUE("6:00"),3,0)</f>
        <v>0</v>
      </c>
      <c r="P303" t="str">
        <f t="shared" ref="P303" si="831">IF(L303&lt;N303,"未達成（"&amp;N303-L303&amp;"）",IF(L303=N303,"達成","前倒し（"&amp;L303-N303&amp;"）"))</f>
        <v>前倒し（1）</v>
      </c>
      <c r="Q303">
        <f t="shared" ref="Q303" si="832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662</v>
      </c>
      <c r="I304" t="s">
        <v>663</v>
      </c>
      <c r="J304">
        <v>0</v>
      </c>
      <c r="K304">
        <f t="shared" ref="K304" si="833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834">L303+K304</f>
        <v>373</v>
      </c>
      <c r="M304">
        <f t="shared" ref="M304" si="835">2+IF(A304&gt;=DATEVALUE("2025/11/30")+TIMEVALUE("6:00"),1,0)+IF(A304&gt;=DATEVALUE("2025/12/11")+TIMEVALUE("6:00"),1,0)</f>
        <v>4</v>
      </c>
      <c r="N304">
        <f t="shared" ref="N304" si="836">N303+M304*(INT(A304-6/24)-INT(A303-6/24))+O304</f>
        <v>375</v>
      </c>
      <c r="O304">
        <f t="shared" ref="O304" si="837">IF(A304&gt;=DATEVALUE("2025/11/8")+TIMEVALUE("6:00"),1,0)-IF(A303&gt;=DATEVALUE("2025/11/8")+TIMEVALUE("6:00"),1,0)
+IF(A304&gt;=DATEVALUE("2026/1/22")+TIMEVALUE("6:00"),3,0)-IF(A303&gt;=DATEVALUE("2026/1/22")+TIMEVALUE("6:00"),3,0)</f>
        <v>0</v>
      </c>
      <c r="P304" t="str">
        <f t="shared" ref="P304" si="838">IF(L304&lt;N304,"未達成（"&amp;N304-L304&amp;"）",IF(L304=N304,"達成","前倒し（"&amp;L304-N304&amp;"）"))</f>
        <v>未達成（2）</v>
      </c>
      <c r="Q304">
        <f t="shared" ref="Q304" si="839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664</v>
      </c>
      <c r="I305" t="s">
        <v>665</v>
      </c>
      <c r="J305">
        <v>0</v>
      </c>
      <c r="K305">
        <f t="shared" ref="K305" si="840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841">L304+K305</f>
        <v>375</v>
      </c>
      <c r="M305">
        <f t="shared" ref="M305" si="842">2+IF(A305&gt;=DATEVALUE("2025/11/30")+TIMEVALUE("6:00"),1,0)+IF(A305&gt;=DATEVALUE("2025/12/11")+TIMEVALUE("6:00"),1,0)</f>
        <v>4</v>
      </c>
      <c r="N305">
        <f t="shared" ref="N305" si="843">N304+M305*(INT(A305-6/24)-INT(A304-6/24))+O305</f>
        <v>375</v>
      </c>
      <c r="O305">
        <f t="shared" ref="O305" si="844">IF(A305&gt;=DATEVALUE("2025/11/8")+TIMEVALUE("6:00"),1,0)-IF(A304&gt;=DATEVALUE("2025/11/8")+TIMEVALUE("6:00"),1,0)
+IF(A305&gt;=DATEVALUE("2026/1/22")+TIMEVALUE("6:00"),3,0)-IF(A304&gt;=DATEVALUE("2026/1/22")+TIMEVALUE("6:00"),3,0)</f>
        <v>0</v>
      </c>
      <c r="P305" t="str">
        <f t="shared" ref="P305" si="845">IF(L305&lt;N305,"未達成（"&amp;N305-L305&amp;"）",IF(L305=N305,"達成","前倒し（"&amp;L305-N305&amp;"）"))</f>
        <v>達成</v>
      </c>
      <c r="Q305">
        <f t="shared" ref="Q305" si="846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666</v>
      </c>
      <c r="I306" t="s">
        <v>667</v>
      </c>
      <c r="J306">
        <v>0</v>
      </c>
      <c r="K306">
        <f t="shared" ref="K306" si="847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848">L305+K306</f>
        <v>377</v>
      </c>
      <c r="M306">
        <f t="shared" ref="M306" si="849">2+IF(A306&gt;=DATEVALUE("2025/11/30")+TIMEVALUE("6:00"),1,0)+IF(A306&gt;=DATEVALUE("2025/12/11")+TIMEVALUE("6:00"),1,0)</f>
        <v>4</v>
      </c>
      <c r="N306">
        <f t="shared" ref="N306" si="850">N305+M306*(INT(A306-6/24)-INT(A305-6/24))+O306</f>
        <v>379</v>
      </c>
      <c r="O306">
        <f t="shared" ref="O306" si="851">IF(A306&gt;=DATEVALUE("2025/11/8")+TIMEVALUE("6:00"),1,0)-IF(A305&gt;=DATEVALUE("2025/11/8")+TIMEVALUE("6:00"),1,0)
+IF(A306&gt;=DATEVALUE("2026/1/22")+TIMEVALUE("6:00"),3,0)-IF(A305&gt;=DATEVALUE("2026/1/22")+TIMEVALUE("6:00"),3,0)</f>
        <v>0</v>
      </c>
      <c r="P306" t="str">
        <f t="shared" ref="P306" si="852">IF(L306&lt;N306,"未達成（"&amp;N306-L306&amp;"）",IF(L306=N306,"達成","前倒し（"&amp;L306-N306&amp;"）"))</f>
        <v>未達成（2）</v>
      </c>
      <c r="Q306">
        <f t="shared" ref="Q306" si="853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668</v>
      </c>
      <c r="I307" t="s">
        <v>669</v>
      </c>
      <c r="J307">
        <v>0</v>
      </c>
      <c r="K307">
        <f t="shared" ref="K307" si="854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855">L306+K307</f>
        <v>378</v>
      </c>
      <c r="M307">
        <f t="shared" ref="M307" si="856">2+IF(A307&gt;=DATEVALUE("2025/11/30")+TIMEVALUE("6:00"),1,0)+IF(A307&gt;=DATEVALUE("2025/12/11")+TIMEVALUE("6:00"),1,0)</f>
        <v>4</v>
      </c>
      <c r="N307">
        <f t="shared" ref="N307" si="857">N306+M307*(INT(A307-6/24)-INT(A306-6/24))+O307</f>
        <v>379</v>
      </c>
      <c r="O307">
        <f t="shared" ref="O307" si="858">IF(A307&gt;=DATEVALUE("2025/11/8")+TIMEVALUE("6:00"),1,0)-IF(A306&gt;=DATEVALUE("2025/11/8")+TIMEVALUE("6:00"),1,0)
+IF(A307&gt;=DATEVALUE("2026/1/22")+TIMEVALUE("6:00"),3,0)-IF(A306&gt;=DATEVALUE("2026/1/22")+TIMEVALUE("6:00"),3,0)</f>
        <v>0</v>
      </c>
      <c r="P307" t="str">
        <f t="shared" ref="P307" si="859">IF(L307&lt;N307,"未達成（"&amp;N307-L307&amp;"）",IF(L307=N307,"達成","前倒し（"&amp;L307-N307&amp;"）"))</f>
        <v>未達成（1）</v>
      </c>
      <c r="Q307">
        <f t="shared" ref="Q307" si="860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670</v>
      </c>
      <c r="I308" t="s">
        <v>671</v>
      </c>
      <c r="J308">
        <v>0</v>
      </c>
      <c r="K308">
        <f t="shared" ref="K308" si="861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862">L307+K308</f>
        <v>380</v>
      </c>
      <c r="M308">
        <f t="shared" ref="M308" si="863">2+IF(A308&gt;=DATEVALUE("2025/11/30")+TIMEVALUE("6:00"),1,0)+IF(A308&gt;=DATEVALUE("2025/12/11")+TIMEVALUE("6:00"),1,0)</f>
        <v>4</v>
      </c>
      <c r="N308">
        <f t="shared" ref="N308" si="864">N307+M308*(INT(A308-6/24)-INT(A307-6/24))+O308</f>
        <v>379</v>
      </c>
      <c r="O308">
        <f t="shared" ref="O308" si="865">IF(A308&gt;=DATEVALUE("2025/11/8")+TIMEVALUE("6:00"),1,0)-IF(A307&gt;=DATEVALUE("2025/11/8")+TIMEVALUE("6:00"),1,0)
+IF(A308&gt;=DATEVALUE("2026/1/22")+TIMEVALUE("6:00"),3,0)-IF(A307&gt;=DATEVALUE("2026/1/22")+TIMEVALUE("6:00"),3,0)</f>
        <v>0</v>
      </c>
      <c r="P308" t="str">
        <f t="shared" ref="P308" si="866">IF(L308&lt;N308,"未達成（"&amp;N308-L308&amp;"）",IF(L308=N308,"達成","前倒し（"&amp;L308-N308&amp;"）"))</f>
        <v>前倒し（1）</v>
      </c>
      <c r="Q308">
        <f t="shared" ref="Q308" si="86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672</v>
      </c>
      <c r="I309" t="s">
        <v>673</v>
      </c>
      <c r="J309">
        <v>0</v>
      </c>
      <c r="K309">
        <f t="shared" ref="K309" si="86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869">L308+K309</f>
        <v>382</v>
      </c>
      <c r="M309">
        <f t="shared" ref="M309" si="870">2+IF(A309&gt;=DATEVALUE("2025/11/30")+TIMEVALUE("6:00"),1,0)+IF(A309&gt;=DATEVALUE("2025/12/11")+TIMEVALUE("6:00"),1,0)</f>
        <v>4</v>
      </c>
      <c r="N309">
        <f t="shared" ref="N309" si="871">N308+M309*(INT(A309-6/24)-INT(A308-6/24))+O309</f>
        <v>383</v>
      </c>
      <c r="O309">
        <f t="shared" ref="O309" si="872">IF(A309&gt;=DATEVALUE("2025/11/8")+TIMEVALUE("6:00"),1,0)-IF(A308&gt;=DATEVALUE("2025/11/8")+TIMEVALUE("6:00"),1,0)
+IF(A309&gt;=DATEVALUE("2026/1/22")+TIMEVALUE("6:00"),3,0)-IF(A308&gt;=DATEVALUE("2026/1/22")+TIMEVALUE("6:00"),3,0)</f>
        <v>0</v>
      </c>
      <c r="P309" t="str">
        <f t="shared" ref="P309" si="873">IF(L309&lt;N309,"未達成（"&amp;N309-L309&amp;"）",IF(L309=N309,"達成","前倒し（"&amp;L309-N309&amp;"）"))</f>
        <v>未達成（1）</v>
      </c>
      <c r="Q309">
        <f t="shared" ref="Q309" si="874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674</v>
      </c>
      <c r="I310" t="s">
        <v>675</v>
      </c>
      <c r="J310">
        <v>0</v>
      </c>
      <c r="K310">
        <f t="shared" ref="K310" si="875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876">L309+K310</f>
        <v>384</v>
      </c>
      <c r="M310">
        <f t="shared" ref="M310" si="877">2+IF(A310&gt;=DATEVALUE("2025/11/30")+TIMEVALUE("6:00"),1,0)+IF(A310&gt;=DATEVALUE("2025/12/11")+TIMEVALUE("6:00"),1,0)</f>
        <v>4</v>
      </c>
      <c r="N310">
        <f t="shared" ref="N310" si="878">N309+M310*(INT(A310-6/24)-INT(A309-6/24))+O310</f>
        <v>383</v>
      </c>
      <c r="O310">
        <f t="shared" ref="O310" si="879">IF(A310&gt;=DATEVALUE("2025/11/8")+TIMEVALUE("6:00"),1,0)-IF(A309&gt;=DATEVALUE("2025/11/8")+TIMEVALUE("6:00"),1,0)
+IF(A310&gt;=DATEVALUE("2026/1/22")+TIMEVALUE("6:00"),3,0)-IF(A309&gt;=DATEVALUE("2026/1/22")+TIMEVALUE("6:00"),3,0)</f>
        <v>0</v>
      </c>
      <c r="P310" t="str">
        <f t="shared" ref="P310" si="880">IF(L310&lt;N310,"未達成（"&amp;N310-L310&amp;"）",IF(L310=N310,"達成","前倒し（"&amp;L310-N310&amp;"）"))</f>
        <v>前倒し（1）</v>
      </c>
      <c r="Q310">
        <f t="shared" ref="Q310" si="881">IF(B310="",NA(),G310)</f>
        <v>6.2152777754818089E-3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46074.309861111113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2026-02-20T22:35:19Z</dcterms:modified>
</cp:coreProperties>
</file>
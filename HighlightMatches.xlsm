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C8354626-702D-4FD2-BBCD-1A5706BC98B9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54" i="4" l="1"/>
  <c r="O254" i="4"/>
  <c r="M254" i="4"/>
  <c r="N254" i="4" s="1"/>
  <c r="K254" i="4"/>
  <c r="L254" i="4" s="1"/>
  <c r="P254" i="4" s="1"/>
  <c r="Q253" i="4"/>
  <c r="O253" i="4"/>
  <c r="M253" i="4"/>
  <c r="K253" i="4"/>
  <c r="Q252" i="4"/>
  <c r="O252" i="4"/>
  <c r="M252" i="4"/>
  <c r="K252" i="4"/>
  <c r="Q251" i="4"/>
  <c r="O251" i="4"/>
  <c r="M251" i="4"/>
  <c r="K251" i="4"/>
  <c r="Q250" i="4"/>
  <c r="O250" i="4"/>
  <c r="M250" i="4"/>
  <c r="K250" i="4"/>
  <c r="Q249" i="4"/>
  <c r="O249" i="4"/>
  <c r="M249" i="4"/>
  <c r="K249" i="4"/>
  <c r="Q248" i="4"/>
  <c r="O248" i="4"/>
  <c r="M248" i="4"/>
  <c r="K248" i="4"/>
  <c r="Q247" i="4"/>
  <c r="O247" i="4"/>
  <c r="M247" i="4"/>
  <c r="K247" i="4"/>
  <c r="Q246" i="4"/>
  <c r="O246" i="4"/>
  <c r="M246" i="4"/>
  <c r="K246" i="4"/>
  <c r="Q245" i="4"/>
  <c r="O245" i="4"/>
  <c r="M245" i="4"/>
  <c r="K245" i="4"/>
  <c r="Q244" i="4"/>
  <c r="O244" i="4"/>
  <c r="M244" i="4"/>
  <c r="K244" i="4"/>
  <c r="Q243" i="4"/>
  <c r="O243" i="4"/>
  <c r="M243" i="4"/>
  <c r="K243" i="4"/>
  <c r="Q242" i="4"/>
  <c r="O242" i="4"/>
  <c r="M242" i="4"/>
  <c r="K242" i="4"/>
  <c r="Q241" i="4"/>
  <c r="O241" i="4"/>
  <c r="M241" i="4"/>
  <c r="K241" i="4"/>
  <c r="Q240" i="4"/>
  <c r="O240" i="4"/>
  <c r="M240" i="4"/>
  <c r="K240" i="4"/>
  <c r="Q239" i="4"/>
  <c r="O239" i="4"/>
  <c r="M239" i="4"/>
  <c r="K239" i="4"/>
  <c r="Q238" i="4"/>
  <c r="O238" i="4"/>
  <c r="M238" i="4"/>
  <c r="K238" i="4"/>
  <c r="Q237" i="4"/>
  <c r="O237" i="4"/>
  <c r="M237" i="4"/>
  <c r="K237" i="4"/>
  <c r="Q236" i="4"/>
  <c r="O236" i="4"/>
  <c r="M236" i="4"/>
  <c r="K236" i="4"/>
  <c r="Q235" i="4"/>
  <c r="O235" i="4"/>
  <c r="M235" i="4"/>
  <c r="K235" i="4"/>
  <c r="Q234" i="4"/>
  <c r="O234" i="4"/>
  <c r="M234" i="4"/>
  <c r="K234" i="4"/>
  <c r="Q233" i="4"/>
  <c r="O233" i="4"/>
  <c r="M233" i="4"/>
  <c r="K233" i="4"/>
  <c r="Q232" i="4"/>
  <c r="O232" i="4"/>
  <c r="M232" i="4"/>
  <c r="K232" i="4"/>
  <c r="Q231" i="4"/>
  <c r="O231" i="4"/>
  <c r="M231" i="4"/>
  <c r="K231" i="4"/>
  <c r="Q230" i="4"/>
  <c r="O230" i="4"/>
  <c r="M230" i="4"/>
  <c r="K230" i="4"/>
  <c r="Q229" i="4"/>
  <c r="O229" i="4"/>
  <c r="M229" i="4"/>
  <c r="K229" i="4"/>
  <c r="Q228" i="4"/>
  <c r="O228" i="4"/>
  <c r="M228" i="4"/>
  <c r="K228" i="4"/>
  <c r="Q227" i="4"/>
  <c r="O227" i="4"/>
  <c r="M227" i="4"/>
  <c r="K227" i="4"/>
  <c r="Q226" i="4"/>
  <c r="O226" i="4"/>
  <c r="M226" i="4"/>
  <c r="K226" i="4"/>
  <c r="Q225" i="4"/>
  <c r="O225" i="4"/>
  <c r="M225" i="4"/>
  <c r="K225" i="4"/>
  <c r="Q224" i="4"/>
  <c r="O224" i="4"/>
  <c r="M224" i="4"/>
  <c r="K224" i="4"/>
  <c r="Q223" i="4"/>
  <c r="O223" i="4"/>
  <c r="M223" i="4"/>
  <c r="K223" i="4"/>
  <c r="Q222" i="4"/>
  <c r="O222" i="4"/>
  <c r="M222" i="4"/>
  <c r="K222" i="4"/>
  <c r="Q221" i="4"/>
  <c r="O221" i="4"/>
  <c r="M221" i="4"/>
  <c r="K221" i="4"/>
  <c r="Q220" i="4"/>
  <c r="O220" i="4"/>
  <c r="M220" i="4"/>
  <c r="K220" i="4"/>
  <c r="Q219" i="4"/>
  <c r="O219" i="4"/>
  <c r="M219" i="4"/>
  <c r="K219" i="4"/>
  <c r="Q218" i="4"/>
  <c r="O218" i="4"/>
  <c r="M218" i="4"/>
  <c r="K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L18" i="4" l="1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L54" i="4"/>
  <c r="P53" i="4"/>
  <c r="L55" i="4" l="1"/>
  <c r="P54" i="4"/>
  <c r="L56" i="4" l="1"/>
  <c r="P55" i="4"/>
  <c r="P56" i="4" l="1"/>
  <c r="L57" i="4"/>
  <c r="L58" i="4" l="1"/>
  <c r="P57" i="4"/>
  <c r="L59" i="4" l="1"/>
  <c r="P58" i="4"/>
  <c r="L60" i="4" l="1"/>
  <c r="P59" i="4"/>
  <c r="P60" i="4" l="1"/>
  <c r="L61" i="4"/>
  <c r="L62" i="4" l="1"/>
  <c r="P61" i="4"/>
  <c r="L63" i="4" l="1"/>
  <c r="P62" i="4"/>
  <c r="L64" i="4" l="1"/>
  <c r="P63" i="4"/>
  <c r="P64" i="4" l="1"/>
  <c r="L65" i="4"/>
  <c r="L66" i="4" l="1"/>
  <c r="P65" i="4"/>
  <c r="L67" i="4" l="1"/>
  <c r="P66" i="4"/>
  <c r="L68" i="4" l="1"/>
  <c r="P67" i="4"/>
  <c r="P68" i="4" l="1"/>
  <c r="L69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P253" i="4" l="1"/>
</calcChain>
</file>

<file path=xl/sharedStrings.xml><?xml version="1.0" encoding="utf-8"?>
<sst xmlns="http://schemas.openxmlformats.org/spreadsheetml/2006/main" count="585" uniqueCount="564">
  <si>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</si>
  <si>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</si>
  <si>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</si>
  <si>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</si>
  <si>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</si>
  <si>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</si>
  <si>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</si>
  <si>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</si>
  <si>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</si>
  <si>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</si>
  <si>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</si>
  <si>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</si>
  <si>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</si>
  <si>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</si>
  <si>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</si>
  <si>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</si>
  <si>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</si>
  <si>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</si>
  <si>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</si>
  <si>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</si>
  <si>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</si>
  <si>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</si>
  <si>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</si>
  <si>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</si>
  <si>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</si>
  <si>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</si>
  <si>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</si>
  <si>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</si>
  <si>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</si>
  <si>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</si>
  <si>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</si>
  <si>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</si>
  <si>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</si>
  <si>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</si>
  <si>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</si>
  <si>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</si>
  <si>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</si>
  <si>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</si>
  <si>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</si>
  <si>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</si>
  <si>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</si>
  <si>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</si>
  <si>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</si>
  <si>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</si>
  <si>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</si>
  <si>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</si>
  <si>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</si>
  <si>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</si>
  <si>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</si>
  <si>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</si>
  <si>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</si>
  <si>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</si>
  <si>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</si>
  <si>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</si>
  <si>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</si>
  <si>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</si>
  <si>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</si>
  <si>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</si>
  <si>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</si>
  <si>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</si>
  <si>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</si>
  <si>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</si>
  <si>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</si>
  <si>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</si>
  <si>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</si>
  <si>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</si>
  <si>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</si>
  <si>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</si>
  <si>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</si>
  <si>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</si>
  <si>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</si>
  <si>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</si>
  <si>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</si>
  <si>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</si>
  <si>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</si>
  <si>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</si>
  <si>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</si>
  <si>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</si>
  <si>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</si>
  <si>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</si>
  <si>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</si>
  <si>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</si>
  <si>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</si>
  <si>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</si>
  <si>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</si>
  <si>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</si>
  <si>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</si>
  <si>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</si>
  <si>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</si>
  <si>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</si>
  <si>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</si>
  <si>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</si>
  <si>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</si>
  <si>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</si>
  <si>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</si>
  <si>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</si>
  <si>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</si>
  <si>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</si>
  <si>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</si>
  <si>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</si>
  <si>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</si>
  <si>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</si>
  <si>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</si>
  <si>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</si>
  <si>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</si>
  <si>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</si>
  <si>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</si>
  <si>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</si>
  <si>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</si>
  <si>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</si>
  <si>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</si>
  <si>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</si>
  <si>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</si>
  <si>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</si>
  <si>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</si>
  <si>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</si>
  <si>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</si>
  <si>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</si>
  <si>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</si>
  <si>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</si>
  <si>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</si>
  <si>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</si>
  <si>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</si>
  <si>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</si>
  <si>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</si>
  <si>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</si>
  <si>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</si>
  <si>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</si>
  <si>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</si>
  <si>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</si>
  <si>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</si>
  <si>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</si>
  <si>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</si>
  <si>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</si>
  <si>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</si>
  <si>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</si>
  <si>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</si>
  <si>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</si>
  <si>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</si>
  <si>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</si>
  <si>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</si>
  <si>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</si>
  <si>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</si>
  <si>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</si>
  <si>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</si>
  <si>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</si>
  <si>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</si>
  <si>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</si>
  <si>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</si>
  <si>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</si>
  <si>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</si>
  <si>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</si>
  <si>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</si>
  <si>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</si>
  <si>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</si>
  <si>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</si>
  <si>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</si>
  <si>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</si>
  <si>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</si>
  <si>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</si>
  <si>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</si>
  <si>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</si>
  <si>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</si>
  <si>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</si>
  <si>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</si>
  <si>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</si>
  <si>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</si>
  <si>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</si>
  <si>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</si>
  <si>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</si>
  <si>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</si>
  <si>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</si>
  <si>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</si>
  <si>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</si>
  <si>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</si>
  <si>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</si>
  <si>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</si>
  <si>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</si>
  <si>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</si>
  <si>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</si>
  <si>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</si>
  <si>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</si>
  <si>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</si>
  <si>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</si>
  <si>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</si>
  <si>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</si>
  <si>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</si>
  <si>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</si>
  <si>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</si>
  <si>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</si>
  <si>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</si>
  <si>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</si>
  <si>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</si>
  <si>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</si>
  <si>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</si>
  <si>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</si>
  <si>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</si>
  <si>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</si>
  <si>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</si>
  <si>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</si>
  <si>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</si>
  <si>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</si>
  <si>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</si>
  <si>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</si>
  <si>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</si>
  <si>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</si>
  <si>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</si>
  <si>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</si>
  <si>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</si>
  <si>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</si>
  <si>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</si>
  <si>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</si>
  <si>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</si>
  <si>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</si>
  <si>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</si>
  <si>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</si>
  <si>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</si>
  <si>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</si>
  <si>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</si>
  <si>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</si>
  <si>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</si>
  <si>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</si>
  <si>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</si>
  <si>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</si>
  <si>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</si>
  <si>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</si>
  <si>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</si>
  <si>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</si>
  <si>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</si>
  <si>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</si>
  <si>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</si>
  <si>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</si>
  <si>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</si>
  <si>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</si>
  <si>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</si>
  <si>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</si>
  <si>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</si>
  <si>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</si>
  <si>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</si>
  <si>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</si>
  <si>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</si>
  <si>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</si>
  <si>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</si>
  <si>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</si>
  <si>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</si>
  <si>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</si>
  <si>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</si>
  <si>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</si>
  <si>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</si>
  <si>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</si>
  <si>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</si>
  <si>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</si>
  <si>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</si>
  <si>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</si>
  <si>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</si>
  <si>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</si>
  <si>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</si>
  <si>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</si>
  <si>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</si>
  <si>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</si>
  <si>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</si>
  <si>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</si>
  <si>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</si>
  <si>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</si>
  <si>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</si>
  <si>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</si>
  <si>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</si>
  <si>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</si>
  <si>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</si>
  <si>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</si>
  <si>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</si>
  <si>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</si>
  <si>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</si>
  <si>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</si>
  <si>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</si>
  <si>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</si>
  <si>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</si>
  <si>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</si>
  <si>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</si>
  <si>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</si>
  <si>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</si>
  <si>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</si>
  <si>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</si>
  <si>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</si>
  <si>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</si>
  <si>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</si>
  <si>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</si>
  <si>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</si>
  <si>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</si>
  <si>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</si>
  <si>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</si>
  <si>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</si>
  <si>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</si>
  <si>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</si>
  <si>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</si>
  <si>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</si>
  <si>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</si>
  <si>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</si>
  <si>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</si>
  <si>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</si>
  <si>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</si>
  <si>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</si>
  <si>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</si>
  <si>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</si>
  <si>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</si>
  <si>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</si>
  <si>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</si>
  <si>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</si>
  <si>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</si>
  <si>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</si>
  <si>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</si>
  <si>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</si>
  <si>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</si>
  <si>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</si>
  <si>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</si>
  <si>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</si>
  <si>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</si>
  <si>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</si>
  <si>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</si>
  <si>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</si>
  <si>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</si>
  <si>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</si>
  <si>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</si>
  <si>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</si>
  <si>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</si>
  <si>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</si>
  <si>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</si>
  <si>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</si>
  <si>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</si>
  <si>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</si>
  <si>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</si>
  <si>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</si>
  <si>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</si>
  <si>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</si>
  <si>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</si>
  <si>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</si>
  <si>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</si>
  <si>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</si>
  <si>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</si>
  <si>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</si>
  <si>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</si>
  <si>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</si>
  <si>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</si>
  <si>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</si>
  <si>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</si>
  <si>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</si>
  <si>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</si>
  <si>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</si>
  <si>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</si>
  <si>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</si>
  <si>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</si>
  <si>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</si>
  <si>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</si>
  <si>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</si>
  <si>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</si>
  <si>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</si>
  <si>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</si>
  <si>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</si>
  <si>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</si>
  <si>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</si>
  <si>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</si>
  <si>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</si>
  <si>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</si>
  <si>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</si>
  <si>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</si>
  <si>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</si>
  <si>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</si>
  <si>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</si>
  <si>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</si>
  <si>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</si>
  <si>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</si>
  <si>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</si>
  <si>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</si>
  <si>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</si>
  <si>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</si>
  <si>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</si>
  <si>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</si>
  <si>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</si>
  <si>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</si>
  <si>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</si>
  <si>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</si>
  <si>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</si>
  <si>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</si>
  <si>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</si>
  <si>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</si>
  <si>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</si>
  <si>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</si>
  <si>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</si>
  <si>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</si>
  <si>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</si>
  <si>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</si>
  <si>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</si>
  <si>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</si>
  <si>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</si>
  <si>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</si>
  <si>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</si>
  <si>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</si>
  <si>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</si>
  <si>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</si>
  <si>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</si>
  <si>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</si>
  <si>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</si>
  <si>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</si>
  <si>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</si>
  <si>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</si>
  <si>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</si>
  <si>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</si>
  <si>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</si>
  <si>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</si>
  <si>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</si>
  <si>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</si>
  <si>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</si>
  <si>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</si>
  <si>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</si>
  <si>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</si>
  <si>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</si>
  <si>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</si>
  <si>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</si>
  <si>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</si>
  <si>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</si>
  <si>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</si>
  <si>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</si>
  <si>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</si>
  <si>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</si>
  <si>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</si>
  <si>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</si>
  <si>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</si>
  <si>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</si>
  <si>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</si>
  <si>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</si>
  <si>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</si>
  <si>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</si>
  <si>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</si>
  <si>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</si>
  <si>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</si>
  <si>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</si>
  <si>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</si>
  <si>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</si>
  <si>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</si>
  <si>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</si>
  <si>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</si>
  <si>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</si>
  <si>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</si>
  <si>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</si>
  <si>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</si>
  <si>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</si>
  <si>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</si>
  <si>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</si>
  <si>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</si>
  <si>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</si>
  <si>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</si>
  <si>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</si>
  <si>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</si>
  <si>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</si>
  <si>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</si>
  <si>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</si>
  <si>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</si>
  <si>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</si>
  <si>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</si>
  <si>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</si>
  <si>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</si>
  <si>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</si>
  <si>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</si>
  <si>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</si>
  <si>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</si>
  <si>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</si>
  <si>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</si>
  <si>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</si>
  <si>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</si>
  <si>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</si>
  <si>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</si>
  <si>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</si>
  <si>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</si>
  <si>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</si>
  <si>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</si>
  <si>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</si>
  <si>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</si>
  <si>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</si>
  <si>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</si>
  <si>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</si>
  <si>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</si>
  <si>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</si>
  <si>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</si>
  <si>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</si>
  <si>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</si>
  <si>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</si>
  <si>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</si>
  <si>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罰（2025/11/8は１、2026/1/22は３）</t>
    <phoneticPr fontId="1"/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</si>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</sst>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データ!$A$3:$A$254</c:f>
              <c:numCache>
                <c:formatCode>m/d/yyyy\ h:mm</c:formatCode>
                <c:ptCount val="25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</c:numCache>
            </c:numRef>
          </c:xVal>
          <c:yVal>
            <c:numRef>
              <c:f>データ!$B$3:$B$254</c:f>
              <c:numCache>
                <c:formatCode>General</c:formatCode>
                <c:ptCount val="252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6-44CD-BAF6-ABB007ACE62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706-44CD-BAF6-ABB007ACE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021855"/>
        <c:axId val="180099689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データ!$A$3:$A$254</c:f>
              <c:numCache>
                <c:formatCode>m/d/yyyy\ h:mm</c:formatCode>
                <c:ptCount val="252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</c:numCache>
            </c:numRef>
          </c:xVal>
          <c:yVal>
            <c:numRef>
              <c:f>データ!$Q$3:$Q$254</c:f>
              <c:numCache>
                <c:formatCode>[h]:mm</c:formatCode>
                <c:ptCount val="252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06-44CD-BAF6-ABB007ACE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010335"/>
        <c:axId val="1801020415"/>
      </c:scatterChart>
      <c:valAx>
        <c:axId val="1801021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0996895"/>
        <c:crosses val="autoZero"/>
        <c:crossBetween val="midCat"/>
      </c:valAx>
      <c:valAx>
        <c:axId val="180099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1021855"/>
        <c:crosses val="autoZero"/>
        <c:crossBetween val="midCat"/>
      </c:valAx>
      <c:valAx>
        <c:axId val="180102041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1010335"/>
        <c:crosses val="max"/>
        <c:crossBetween val="midCat"/>
      </c:valAx>
      <c:valAx>
        <c:axId val="180101033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0102041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211931</xdr:colOff>
      <xdr:row>1</xdr:row>
      <xdr:rowOff>178593</xdr:rowOff>
    </xdr:from>
    <xdr:to>
      <xdr:col>8</xdr:col>
      <xdr:colOff>211931</xdr:colOff>
      <xdr:row>3</xdr:row>
      <xdr:rowOff>178593</xdr:rowOff>
    </xdr:to>
    <xdr:cxnSp macro="">
      <xdr:nvCxnSpPr>
        <xdr:cNvPr id="5" name="Match0">
          <a:extLst>
            <a:ext uri="{FF2B5EF4-FFF2-40B4-BE49-F238E27FC236}">
              <a16:creationId xmlns:a16="http://schemas.microsoft.com/office/drawing/2014/main" id="{CD3F12D3-AD5C-035A-DC55-D994DCE02C64}"/>
            </a:ext>
          </a:extLst>
        </xdr:cNvPr>
        <xdr:cNvCxnSpPr/>
      </xdr:nvCxnSpPr>
      <xdr:spPr>
        <a:xfrm>
          <a:off x="3602831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2</xdr:col>
      <xdr:colOff>211931</xdr:colOff>
      <xdr:row>7</xdr:row>
      <xdr:rowOff>178593</xdr:rowOff>
    </xdr:to>
    <xdr:cxnSp macro="">
      <xdr:nvCxnSpPr>
        <xdr:cNvPr id="6" name="Match1">
          <a:extLst>
            <a:ext uri="{FF2B5EF4-FFF2-40B4-BE49-F238E27FC236}">
              <a16:creationId xmlns:a16="http://schemas.microsoft.com/office/drawing/2014/main" id="{0DE6447A-AAAB-1B52-B2C9-53ACDA9CCC69}"/>
            </a:ext>
          </a:extLst>
        </xdr:cNvPr>
        <xdr:cNvCxnSpPr/>
      </xdr:nvCxnSpPr>
      <xdr:spPr>
        <a:xfrm flipV="1">
          <a:off x="1059656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7" name="Match2">
          <a:extLst>
            <a:ext uri="{FF2B5EF4-FFF2-40B4-BE49-F238E27FC236}">
              <a16:creationId xmlns:a16="http://schemas.microsoft.com/office/drawing/2014/main" id="{6AEDBC9B-4EE8-206A-5D49-5F71DFCCAFA0}"/>
            </a:ext>
          </a:extLst>
        </xdr:cNvPr>
        <xdr:cNvCxnSpPr/>
      </xdr:nvCxnSpPr>
      <xdr:spPr>
        <a:xfrm flipH="1">
          <a:off x="3178969" y="303609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1</xdr:row>
      <xdr:rowOff>178593</xdr:rowOff>
    </xdr:to>
    <xdr:cxnSp macro="">
      <xdr:nvCxnSpPr>
        <xdr:cNvPr id="8" name="Match3">
          <a:extLst>
            <a:ext uri="{FF2B5EF4-FFF2-40B4-BE49-F238E27FC236}">
              <a16:creationId xmlns:a16="http://schemas.microsoft.com/office/drawing/2014/main" id="{A3AD1AE4-904D-A68A-570B-058B3B58E819}"/>
            </a:ext>
          </a:extLst>
        </xdr:cNvPr>
        <xdr:cNvCxnSpPr/>
      </xdr:nvCxnSpPr>
      <xdr:spPr>
        <a:xfrm flipV="1">
          <a:off x="487441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9" name="Match4">
          <a:extLst>
            <a:ext uri="{FF2B5EF4-FFF2-40B4-BE49-F238E27FC236}">
              <a16:creationId xmlns:a16="http://schemas.microsoft.com/office/drawing/2014/main" id="{F4C7F8D1-91EE-517C-393D-600E64E858A7}"/>
            </a:ext>
          </a:extLst>
        </xdr:cNvPr>
        <xdr:cNvCxnSpPr/>
      </xdr:nvCxnSpPr>
      <xdr:spPr>
        <a:xfrm>
          <a:off x="275510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10" name="Match5">
          <a:extLst>
            <a:ext uri="{FF2B5EF4-FFF2-40B4-BE49-F238E27FC236}">
              <a16:creationId xmlns:a16="http://schemas.microsoft.com/office/drawing/2014/main" id="{16C7DC01-BAF7-ED69-B183-192C1C90A2B8}"/>
            </a:ext>
          </a:extLst>
        </xdr:cNvPr>
        <xdr:cNvCxnSpPr/>
      </xdr:nvCxnSpPr>
      <xdr:spPr>
        <a:xfrm flipH="1">
          <a:off x="317896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1" name="Match6">
          <a:extLst>
            <a:ext uri="{FF2B5EF4-FFF2-40B4-BE49-F238E27FC236}">
              <a16:creationId xmlns:a16="http://schemas.microsoft.com/office/drawing/2014/main" id="{CFCB567E-A86E-40AA-3CCD-664A0E3C7D2F}"/>
            </a:ext>
          </a:extLst>
        </xdr:cNvPr>
        <xdr:cNvCxnSpPr/>
      </xdr:nvCxnSpPr>
      <xdr:spPr>
        <a:xfrm flipH="1" flipV="1">
          <a:off x="148351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12" name="Match7">
          <a:extLst>
            <a:ext uri="{FF2B5EF4-FFF2-40B4-BE49-F238E27FC236}">
              <a16:creationId xmlns:a16="http://schemas.microsoft.com/office/drawing/2014/main" id="{703AD11B-7E36-216D-281C-034D710580F5}"/>
            </a:ext>
          </a:extLst>
        </xdr:cNvPr>
        <xdr:cNvCxnSpPr/>
      </xdr:nvCxnSpPr>
      <xdr:spPr>
        <a:xfrm flipV="1">
          <a:off x="1932781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3" name="Match8">
          <a:extLst>
            <a:ext uri="{FF2B5EF4-FFF2-40B4-BE49-F238E27FC236}">
              <a16:creationId xmlns:a16="http://schemas.microsoft.com/office/drawing/2014/main" id="{49EFDAE7-DBF7-2059-1F8D-7775E8783EB0}"/>
            </a:ext>
          </a:extLst>
        </xdr:cNvPr>
        <xdr:cNvCxnSpPr/>
      </xdr:nvCxnSpPr>
      <xdr:spPr>
        <a:xfrm>
          <a:off x="3178969" y="160734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5</xdr:row>
      <xdr:rowOff>203993</xdr:rowOff>
    </xdr:to>
    <xdr:cxnSp macro="">
      <xdr:nvCxnSpPr>
        <xdr:cNvPr id="14" name="Match9">
          <a:extLst>
            <a:ext uri="{FF2B5EF4-FFF2-40B4-BE49-F238E27FC236}">
              <a16:creationId xmlns:a16="http://schemas.microsoft.com/office/drawing/2014/main" id="{806B6D79-49C7-E3A9-5FA0-453E463E5EAE}"/>
            </a:ext>
          </a:extLst>
        </xdr:cNvPr>
        <xdr:cNvCxnSpPr/>
      </xdr:nvCxnSpPr>
      <xdr:spPr>
        <a:xfrm>
          <a:off x="3204369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5" name="Match10">
          <a:extLst>
            <a:ext uri="{FF2B5EF4-FFF2-40B4-BE49-F238E27FC236}">
              <a16:creationId xmlns:a16="http://schemas.microsoft.com/office/drawing/2014/main" id="{138878B6-8FCB-5315-740D-E59663882D53}"/>
            </a:ext>
          </a:extLst>
        </xdr:cNvPr>
        <xdr:cNvCxnSpPr/>
      </xdr:nvCxnSpPr>
      <xdr:spPr>
        <a:xfrm flipH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4</xdr:row>
      <xdr:rowOff>203994</xdr:rowOff>
    </xdr:from>
    <xdr:to>
      <xdr:col>9</xdr:col>
      <xdr:colOff>237331</xdr:colOff>
      <xdr:row>4</xdr:row>
      <xdr:rowOff>203994</xdr:rowOff>
    </xdr:to>
    <xdr:cxnSp macro="">
      <xdr:nvCxnSpPr>
        <xdr:cNvPr id="16" name="Match11">
          <a:extLst>
            <a:ext uri="{FF2B5EF4-FFF2-40B4-BE49-F238E27FC236}">
              <a16:creationId xmlns:a16="http://schemas.microsoft.com/office/drawing/2014/main" id="{E8B51DE9-8EAA-23ED-0FE8-05FDAB3CE78B}"/>
            </a:ext>
          </a:extLst>
        </xdr:cNvPr>
        <xdr:cNvCxnSpPr/>
      </xdr:nvCxnSpPr>
      <xdr:spPr>
        <a:xfrm flipH="1">
          <a:off x="3628231" y="163274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7" name="Match12">
          <a:extLst>
            <a:ext uri="{FF2B5EF4-FFF2-40B4-BE49-F238E27FC236}">
              <a16:creationId xmlns:a16="http://schemas.microsoft.com/office/drawing/2014/main" id="{262473CC-8662-6F77-A89C-CF35ABFB2AE5}"/>
            </a:ext>
          </a:extLst>
        </xdr:cNvPr>
        <xdr:cNvCxnSpPr/>
      </xdr:nvCxnSpPr>
      <xdr:spPr>
        <a:xfrm flipV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6</xdr:row>
      <xdr:rowOff>178594</xdr:rowOff>
    </xdr:from>
    <xdr:to>
      <xdr:col>3</xdr:col>
      <xdr:colOff>211931</xdr:colOff>
      <xdr:row>7</xdr:row>
      <xdr:rowOff>178593</xdr:rowOff>
    </xdr:to>
    <xdr:cxnSp macro="">
      <xdr:nvCxnSpPr>
        <xdr:cNvPr id="18" name="Match13">
          <a:extLst>
            <a:ext uri="{FF2B5EF4-FFF2-40B4-BE49-F238E27FC236}">
              <a16:creationId xmlns:a16="http://schemas.microsoft.com/office/drawing/2014/main" id="{F3C179EA-5A02-3846-7DBD-8487B4E89BF9}"/>
            </a:ext>
          </a:extLst>
        </xdr:cNvPr>
        <xdr:cNvCxnSpPr/>
      </xdr:nvCxnSpPr>
      <xdr:spPr>
        <a:xfrm>
          <a:off x="10596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5</xdr:row>
      <xdr:rowOff>203993</xdr:rowOff>
    </xdr:from>
    <xdr:to>
      <xdr:col>2</xdr:col>
      <xdr:colOff>237331</xdr:colOff>
      <xdr:row>6</xdr:row>
      <xdr:rowOff>203994</xdr:rowOff>
    </xdr:to>
    <xdr:cxnSp macro="">
      <xdr:nvCxnSpPr>
        <xdr:cNvPr id="19" name="Match14">
          <a:extLst>
            <a:ext uri="{FF2B5EF4-FFF2-40B4-BE49-F238E27FC236}">
              <a16:creationId xmlns:a16="http://schemas.microsoft.com/office/drawing/2014/main" id="{05F5E058-9944-595C-9550-74118E7E31EE}"/>
            </a:ext>
          </a:extLst>
        </xdr:cNvPr>
        <xdr:cNvCxnSpPr/>
      </xdr:nvCxnSpPr>
      <xdr:spPr>
        <a:xfrm flipH="1" flipV="1">
          <a:off x="6611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20" name="Match15">
          <a:extLst>
            <a:ext uri="{FF2B5EF4-FFF2-40B4-BE49-F238E27FC236}">
              <a16:creationId xmlns:a16="http://schemas.microsoft.com/office/drawing/2014/main" id="{5BB6241F-07C1-FEBB-E559-02A95AD70BCD}"/>
            </a:ext>
          </a:extLst>
        </xdr:cNvPr>
        <xdr:cNvCxnSpPr/>
      </xdr:nvCxnSpPr>
      <xdr:spPr>
        <a:xfrm>
          <a:off x="360283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6</xdr:row>
      <xdr:rowOff>203994</xdr:rowOff>
    </xdr:to>
    <xdr:cxnSp macro="">
      <xdr:nvCxnSpPr>
        <xdr:cNvPr id="21" name="Match16">
          <a:extLst>
            <a:ext uri="{FF2B5EF4-FFF2-40B4-BE49-F238E27FC236}">
              <a16:creationId xmlns:a16="http://schemas.microsoft.com/office/drawing/2014/main" id="{79831D30-0ED0-B751-72F5-B7727573EF5C}"/>
            </a:ext>
          </a:extLst>
        </xdr:cNvPr>
        <xdr:cNvCxnSpPr/>
      </xdr:nvCxnSpPr>
      <xdr:spPr>
        <a:xfrm flipH="1">
          <a:off x="3204369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5</xdr:row>
      <xdr:rowOff>229393</xdr:rowOff>
    </xdr:from>
    <xdr:to>
      <xdr:col>8</xdr:col>
      <xdr:colOff>262731</xdr:colOff>
      <xdr:row>6</xdr:row>
      <xdr:rowOff>229394</xdr:rowOff>
    </xdr:to>
    <xdr:cxnSp macro="">
      <xdr:nvCxnSpPr>
        <xdr:cNvPr id="22" name="Match17">
          <a:extLst>
            <a:ext uri="{FF2B5EF4-FFF2-40B4-BE49-F238E27FC236}">
              <a16:creationId xmlns:a16="http://schemas.microsoft.com/office/drawing/2014/main" id="{719A1A53-4862-D74D-6F6C-F70558BF3510}"/>
            </a:ext>
          </a:extLst>
        </xdr:cNvPr>
        <xdr:cNvCxnSpPr/>
      </xdr:nvCxnSpPr>
      <xdr:spPr>
        <a:xfrm flipV="1">
          <a:off x="3653631" y="201533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23" name="Match18">
          <a:extLst>
            <a:ext uri="{FF2B5EF4-FFF2-40B4-BE49-F238E27FC236}">
              <a16:creationId xmlns:a16="http://schemas.microsoft.com/office/drawing/2014/main" id="{303619A9-F06F-0000-E4BA-543E700FF280}"/>
            </a:ext>
          </a:extLst>
        </xdr:cNvPr>
        <xdr:cNvCxnSpPr/>
      </xdr:nvCxnSpPr>
      <xdr:spPr>
        <a:xfrm>
          <a:off x="317896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7</xdr:col>
      <xdr:colOff>237331</xdr:colOff>
      <xdr:row>7</xdr:row>
      <xdr:rowOff>203993</xdr:rowOff>
    </xdr:to>
    <xdr:cxnSp macro="">
      <xdr:nvCxnSpPr>
        <xdr:cNvPr id="24" name="Match19">
          <a:extLst>
            <a:ext uri="{FF2B5EF4-FFF2-40B4-BE49-F238E27FC236}">
              <a16:creationId xmlns:a16="http://schemas.microsoft.com/office/drawing/2014/main" id="{32055B98-9165-7A99-D0DB-71579AF11AAE}"/>
            </a:ext>
          </a:extLst>
        </xdr:cNvPr>
        <xdr:cNvCxnSpPr/>
      </xdr:nvCxnSpPr>
      <xdr:spPr>
        <a:xfrm flipV="1">
          <a:off x="320436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25" name="Match20">
          <a:extLst>
            <a:ext uri="{FF2B5EF4-FFF2-40B4-BE49-F238E27FC236}">
              <a16:creationId xmlns:a16="http://schemas.microsoft.com/office/drawing/2014/main" id="{C6B6D821-E46C-CC45-4010-F2DF910EDC26}"/>
            </a:ext>
          </a:extLst>
        </xdr:cNvPr>
        <xdr:cNvCxnSpPr/>
      </xdr:nvCxnSpPr>
      <xdr:spPr>
        <a:xfrm flipV="1">
          <a:off x="36028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26" name="Match21">
          <a:extLst>
            <a:ext uri="{FF2B5EF4-FFF2-40B4-BE49-F238E27FC236}">
              <a16:creationId xmlns:a16="http://schemas.microsoft.com/office/drawing/2014/main" id="{85411C66-7D20-731D-269B-9BDCB4970B63}"/>
            </a:ext>
          </a:extLst>
        </xdr:cNvPr>
        <xdr:cNvCxnSpPr/>
      </xdr:nvCxnSpPr>
      <xdr:spPr>
        <a:xfrm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10</xdr:row>
      <xdr:rowOff>203994</xdr:rowOff>
    </xdr:from>
    <xdr:to>
      <xdr:col>11</xdr:col>
      <xdr:colOff>237331</xdr:colOff>
      <xdr:row>11</xdr:row>
      <xdr:rowOff>203993</xdr:rowOff>
    </xdr:to>
    <xdr:cxnSp macro="">
      <xdr:nvCxnSpPr>
        <xdr:cNvPr id="27" name="Match22">
          <a:extLst>
            <a:ext uri="{FF2B5EF4-FFF2-40B4-BE49-F238E27FC236}">
              <a16:creationId xmlns:a16="http://schemas.microsoft.com/office/drawing/2014/main" id="{98CFC3D1-D69F-CA14-FE65-9CCC9AA02110}"/>
            </a:ext>
          </a:extLst>
        </xdr:cNvPr>
        <xdr:cNvCxnSpPr/>
      </xdr:nvCxnSpPr>
      <xdr:spPr>
        <a:xfrm flipV="1">
          <a:off x="4475956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28" name="Match23">
          <a:extLst>
            <a:ext uri="{FF2B5EF4-FFF2-40B4-BE49-F238E27FC236}">
              <a16:creationId xmlns:a16="http://schemas.microsoft.com/office/drawing/2014/main" id="{CC7783CA-E2B9-300D-1DB5-A23C9778967A}"/>
            </a:ext>
          </a:extLst>
        </xdr:cNvPr>
        <xdr:cNvCxnSpPr/>
      </xdr:nvCxnSpPr>
      <xdr:spPr>
        <a:xfrm>
          <a:off x="1059656" y="178594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29" name="Match24">
          <a:extLst>
            <a:ext uri="{FF2B5EF4-FFF2-40B4-BE49-F238E27FC236}">
              <a16:creationId xmlns:a16="http://schemas.microsoft.com/office/drawing/2014/main" id="{350C8264-76D1-7F69-907D-C49E2DF9F046}"/>
            </a:ext>
          </a:extLst>
        </xdr:cNvPr>
        <xdr:cNvCxnSpPr/>
      </xdr:nvCxnSpPr>
      <xdr:spPr>
        <a:xfrm flipV="1">
          <a:off x="278050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30" name="Match25">
          <a:extLst>
            <a:ext uri="{FF2B5EF4-FFF2-40B4-BE49-F238E27FC236}">
              <a16:creationId xmlns:a16="http://schemas.microsoft.com/office/drawing/2014/main" id="{66543E0B-50C2-CA1A-8DF6-5792046C330F}"/>
            </a:ext>
          </a:extLst>
        </xdr:cNvPr>
        <xdr:cNvCxnSpPr/>
      </xdr:nvCxnSpPr>
      <xdr:spPr>
        <a:xfrm flipH="1" flipV="1">
          <a:off x="3204369" y="5611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4</xdr:row>
      <xdr:rowOff>229394</xdr:rowOff>
    </xdr:from>
    <xdr:to>
      <xdr:col>9</xdr:col>
      <xdr:colOff>262731</xdr:colOff>
      <xdr:row>5</xdr:row>
      <xdr:rowOff>229393</xdr:rowOff>
    </xdr:to>
    <xdr:cxnSp macro="">
      <xdr:nvCxnSpPr>
        <xdr:cNvPr id="31" name="Match26">
          <a:extLst>
            <a:ext uri="{FF2B5EF4-FFF2-40B4-BE49-F238E27FC236}">
              <a16:creationId xmlns:a16="http://schemas.microsoft.com/office/drawing/2014/main" id="{5CCBE246-2C2F-08DC-4EBA-B8F5D2005984}"/>
            </a:ext>
          </a:extLst>
        </xdr:cNvPr>
        <xdr:cNvCxnSpPr/>
      </xdr:nvCxnSpPr>
      <xdr:spPr>
        <a:xfrm>
          <a:off x="4077494" y="165814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10</xdr:col>
      <xdr:colOff>237331</xdr:colOff>
      <xdr:row>5</xdr:row>
      <xdr:rowOff>203993</xdr:rowOff>
    </xdr:to>
    <xdr:cxnSp macro="">
      <xdr:nvCxnSpPr>
        <xdr:cNvPr id="32" name="Match27">
          <a:extLst>
            <a:ext uri="{FF2B5EF4-FFF2-40B4-BE49-F238E27FC236}">
              <a16:creationId xmlns:a16="http://schemas.microsoft.com/office/drawing/2014/main" id="{15F426BC-F899-6B36-AF22-1B4830C2ED82}"/>
            </a:ext>
          </a:extLst>
        </xdr:cNvPr>
        <xdr:cNvCxnSpPr/>
      </xdr:nvCxnSpPr>
      <xdr:spPr>
        <a:xfrm flipH="1">
          <a:off x="40520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6</xdr:row>
      <xdr:rowOff>254794</xdr:rowOff>
    </xdr:from>
    <xdr:to>
      <xdr:col>9</xdr:col>
      <xdr:colOff>288131</xdr:colOff>
      <xdr:row>7</xdr:row>
      <xdr:rowOff>254793</xdr:rowOff>
    </xdr:to>
    <xdr:cxnSp macro="">
      <xdr:nvCxnSpPr>
        <xdr:cNvPr id="33" name="Match28">
          <a:extLst>
            <a:ext uri="{FF2B5EF4-FFF2-40B4-BE49-F238E27FC236}">
              <a16:creationId xmlns:a16="http://schemas.microsoft.com/office/drawing/2014/main" id="{AC8B49D0-34EB-54D9-4428-5CEAF7FC2D74}"/>
            </a:ext>
          </a:extLst>
        </xdr:cNvPr>
        <xdr:cNvCxnSpPr/>
      </xdr:nvCxnSpPr>
      <xdr:spPr>
        <a:xfrm>
          <a:off x="3679031" y="239791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313531</xdr:colOff>
      <xdr:row>5</xdr:row>
      <xdr:rowOff>280193</xdr:rowOff>
    </xdr:from>
    <xdr:to>
      <xdr:col>9</xdr:col>
      <xdr:colOff>313531</xdr:colOff>
      <xdr:row>6</xdr:row>
      <xdr:rowOff>280194</xdr:rowOff>
    </xdr:to>
    <xdr:cxnSp macro="">
      <xdr:nvCxnSpPr>
        <xdr:cNvPr id="34" name="Match29">
          <a:extLst>
            <a:ext uri="{FF2B5EF4-FFF2-40B4-BE49-F238E27FC236}">
              <a16:creationId xmlns:a16="http://schemas.microsoft.com/office/drawing/2014/main" id="{7B0CB63D-0D6A-AADD-E981-31CBB3D427E3}"/>
            </a:ext>
          </a:extLst>
        </xdr:cNvPr>
        <xdr:cNvCxnSpPr/>
      </xdr:nvCxnSpPr>
      <xdr:spPr>
        <a:xfrm flipV="1">
          <a:off x="3704431" y="2066131"/>
          <a:ext cx="423863" cy="357188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6</xdr:row>
      <xdr:rowOff>229394</xdr:rowOff>
    </xdr:from>
    <xdr:to>
      <xdr:col>7</xdr:col>
      <xdr:colOff>262731</xdr:colOff>
      <xdr:row>7</xdr:row>
      <xdr:rowOff>229393</xdr:rowOff>
    </xdr:to>
    <xdr:cxnSp macro="">
      <xdr:nvCxnSpPr>
        <xdr:cNvPr id="35" name="Match30">
          <a:extLst>
            <a:ext uri="{FF2B5EF4-FFF2-40B4-BE49-F238E27FC236}">
              <a16:creationId xmlns:a16="http://schemas.microsoft.com/office/drawing/2014/main" id="{35D194A7-045F-B163-3EDD-F8C878E87AB0}"/>
            </a:ext>
          </a:extLst>
        </xdr:cNvPr>
        <xdr:cNvCxnSpPr/>
      </xdr:nvCxnSpPr>
      <xdr:spPr>
        <a:xfrm flipH="1" flipV="1">
          <a:off x="280590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9</xdr:col>
      <xdr:colOff>237331</xdr:colOff>
      <xdr:row>8</xdr:row>
      <xdr:rowOff>203994</xdr:rowOff>
    </xdr:to>
    <xdr:cxnSp macro="">
      <xdr:nvCxnSpPr>
        <xdr:cNvPr id="36" name="Match31">
          <a:extLst>
            <a:ext uri="{FF2B5EF4-FFF2-40B4-BE49-F238E27FC236}">
              <a16:creationId xmlns:a16="http://schemas.microsoft.com/office/drawing/2014/main" id="{667C5758-26D3-88D8-1548-62C49204447A}"/>
            </a:ext>
          </a:extLst>
        </xdr:cNvPr>
        <xdr:cNvCxnSpPr/>
      </xdr:nvCxnSpPr>
      <xdr:spPr>
        <a:xfrm flipV="1">
          <a:off x="36282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7</xdr:row>
      <xdr:rowOff>203993</xdr:rowOff>
    </xdr:from>
    <xdr:to>
      <xdr:col>6</xdr:col>
      <xdr:colOff>237331</xdr:colOff>
      <xdr:row>7</xdr:row>
      <xdr:rowOff>203993</xdr:rowOff>
    </xdr:to>
    <xdr:cxnSp macro="">
      <xdr:nvCxnSpPr>
        <xdr:cNvPr id="37" name="Match32">
          <a:extLst>
            <a:ext uri="{FF2B5EF4-FFF2-40B4-BE49-F238E27FC236}">
              <a16:creationId xmlns:a16="http://schemas.microsoft.com/office/drawing/2014/main" id="{AFE8DF57-653A-D9BF-F80D-62589229EF32}"/>
            </a:ext>
          </a:extLst>
        </xdr:cNvPr>
        <xdr:cNvCxnSpPr/>
      </xdr:nvCxnSpPr>
      <xdr:spPr>
        <a:xfrm>
          <a:off x="1085056" y="2704306"/>
          <a:ext cx="1695450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0</xdr:row>
      <xdr:rowOff>178594</xdr:rowOff>
    </xdr:from>
    <xdr:to>
      <xdr:col>11</xdr:col>
      <xdr:colOff>211931</xdr:colOff>
      <xdr:row>0</xdr:row>
      <xdr:rowOff>178594</xdr:rowOff>
    </xdr:to>
    <xdr:cxnSp macro="">
      <xdr:nvCxnSpPr>
        <xdr:cNvPr id="38" name="Match33">
          <a:extLst>
            <a:ext uri="{FF2B5EF4-FFF2-40B4-BE49-F238E27FC236}">
              <a16:creationId xmlns:a16="http://schemas.microsoft.com/office/drawing/2014/main" id="{E3B32BF0-4A85-2837-DAD5-1A248C2DDEED}"/>
            </a:ext>
          </a:extLst>
        </xdr:cNvPr>
        <xdr:cNvCxnSpPr/>
      </xdr:nvCxnSpPr>
      <xdr:spPr>
        <a:xfrm>
          <a:off x="44505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39" name="Match34">
          <a:extLst>
            <a:ext uri="{FF2B5EF4-FFF2-40B4-BE49-F238E27FC236}">
              <a16:creationId xmlns:a16="http://schemas.microsoft.com/office/drawing/2014/main" id="{A1F884AB-7C25-74ED-FDD7-13D10A3D3163}"/>
            </a:ext>
          </a:extLst>
        </xdr:cNvPr>
        <xdr:cNvCxnSpPr/>
      </xdr:nvCxnSpPr>
      <xdr:spPr>
        <a:xfrm>
          <a:off x="148351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2</xdr:row>
      <xdr:rowOff>203994</xdr:rowOff>
    </xdr:from>
    <xdr:to>
      <xdr:col>3</xdr:col>
      <xdr:colOff>237331</xdr:colOff>
      <xdr:row>3</xdr:row>
      <xdr:rowOff>203993</xdr:rowOff>
    </xdr:to>
    <xdr:cxnSp macro="">
      <xdr:nvCxnSpPr>
        <xdr:cNvPr id="40" name="Match35">
          <a:extLst>
            <a:ext uri="{FF2B5EF4-FFF2-40B4-BE49-F238E27FC236}">
              <a16:creationId xmlns:a16="http://schemas.microsoft.com/office/drawing/2014/main" id="{9101258D-7C78-4E5D-3F55-31ADCC803D35}"/>
            </a:ext>
          </a:extLst>
        </xdr:cNvPr>
        <xdr:cNvCxnSpPr/>
      </xdr:nvCxnSpPr>
      <xdr:spPr>
        <a:xfrm>
          <a:off x="150891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2</xdr:row>
      <xdr:rowOff>229394</xdr:rowOff>
    </xdr:from>
    <xdr:to>
      <xdr:col>3</xdr:col>
      <xdr:colOff>262731</xdr:colOff>
      <xdr:row>3</xdr:row>
      <xdr:rowOff>229393</xdr:rowOff>
    </xdr:to>
    <xdr:cxnSp macro="">
      <xdr:nvCxnSpPr>
        <xdr:cNvPr id="41" name="Match36">
          <a:extLst>
            <a:ext uri="{FF2B5EF4-FFF2-40B4-BE49-F238E27FC236}">
              <a16:creationId xmlns:a16="http://schemas.microsoft.com/office/drawing/2014/main" id="{6AA81571-49EE-DFF2-1A50-7EB0528CDEEF}"/>
            </a:ext>
          </a:extLst>
        </xdr:cNvPr>
        <xdr:cNvCxnSpPr/>
      </xdr:nvCxnSpPr>
      <xdr:spPr>
        <a:xfrm flipH="1">
          <a:off x="1110456" y="9437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3</xdr:row>
      <xdr:rowOff>178593</xdr:rowOff>
    </xdr:to>
    <xdr:cxnSp macro="">
      <xdr:nvCxnSpPr>
        <xdr:cNvPr id="42" name="Match37">
          <a:extLst>
            <a:ext uri="{FF2B5EF4-FFF2-40B4-BE49-F238E27FC236}">
              <a16:creationId xmlns:a16="http://schemas.microsoft.com/office/drawing/2014/main" id="{9A56E030-1D47-63F0-1F72-73A4CEE3E85B}"/>
            </a:ext>
          </a:extLst>
        </xdr:cNvPr>
        <xdr:cNvCxnSpPr/>
      </xdr:nvCxnSpPr>
      <xdr:spPr>
        <a:xfrm>
          <a:off x="4874419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43" name="Match38">
          <a:extLst>
            <a:ext uri="{FF2B5EF4-FFF2-40B4-BE49-F238E27FC236}">
              <a16:creationId xmlns:a16="http://schemas.microsoft.com/office/drawing/2014/main" id="{6D120EEB-D895-4418-8C18-4146EDBFE970}"/>
            </a:ext>
          </a:extLst>
        </xdr:cNvPr>
        <xdr:cNvCxnSpPr/>
      </xdr:nvCxnSpPr>
      <xdr:spPr>
        <a:xfrm>
          <a:off x="3178969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7</xdr:col>
      <xdr:colOff>237331</xdr:colOff>
      <xdr:row>3</xdr:row>
      <xdr:rowOff>203993</xdr:rowOff>
    </xdr:to>
    <xdr:cxnSp macro="">
      <xdr:nvCxnSpPr>
        <xdr:cNvPr id="44" name="Match39">
          <a:extLst>
            <a:ext uri="{FF2B5EF4-FFF2-40B4-BE49-F238E27FC236}">
              <a16:creationId xmlns:a16="http://schemas.microsoft.com/office/drawing/2014/main" id="{A88F088F-6C9F-1228-8FE9-D1CF12615ECD}"/>
            </a:ext>
          </a:extLst>
        </xdr:cNvPr>
        <xdr:cNvCxnSpPr/>
      </xdr:nvCxnSpPr>
      <xdr:spPr>
        <a:xfrm flipV="1">
          <a:off x="3204369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45" name="Match40">
          <a:extLst>
            <a:ext uri="{FF2B5EF4-FFF2-40B4-BE49-F238E27FC236}">
              <a16:creationId xmlns:a16="http://schemas.microsoft.com/office/drawing/2014/main" id="{7A9D7DEE-7F28-5E92-1350-D71435A0199D}"/>
            </a:ext>
          </a:extLst>
        </xdr:cNvPr>
        <xdr:cNvCxnSpPr/>
      </xdr:nvCxnSpPr>
      <xdr:spPr>
        <a:xfrm>
          <a:off x="2119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11</xdr:row>
      <xdr:rowOff>178593</xdr:rowOff>
    </xdr:to>
    <xdr:cxnSp macro="">
      <xdr:nvCxnSpPr>
        <xdr:cNvPr id="46" name="Match41">
          <a:extLst>
            <a:ext uri="{FF2B5EF4-FFF2-40B4-BE49-F238E27FC236}">
              <a16:creationId xmlns:a16="http://schemas.microsoft.com/office/drawing/2014/main" id="{85F3491D-0774-1B5C-8F04-56522A378313}"/>
            </a:ext>
          </a:extLst>
        </xdr:cNvPr>
        <xdr:cNvCxnSpPr/>
      </xdr:nvCxnSpPr>
      <xdr:spPr>
        <a:xfrm flipV="1">
          <a:off x="190738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6</xdr:col>
      <xdr:colOff>211931</xdr:colOff>
      <xdr:row>4</xdr:row>
      <xdr:rowOff>178594</xdr:rowOff>
    </xdr:to>
    <xdr:cxnSp macro="">
      <xdr:nvCxnSpPr>
        <xdr:cNvPr id="47" name="Match42">
          <a:extLst>
            <a:ext uri="{FF2B5EF4-FFF2-40B4-BE49-F238E27FC236}">
              <a16:creationId xmlns:a16="http://schemas.microsoft.com/office/drawing/2014/main" id="{A6B8C073-3BE2-7FA1-498A-F4592A3C7F92}"/>
            </a:ext>
          </a:extLst>
        </xdr:cNvPr>
        <xdr:cNvCxnSpPr/>
      </xdr:nvCxnSpPr>
      <xdr:spPr>
        <a:xfrm>
          <a:off x="1483519" y="535781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48" name="Match43">
          <a:extLst>
            <a:ext uri="{FF2B5EF4-FFF2-40B4-BE49-F238E27FC236}">
              <a16:creationId xmlns:a16="http://schemas.microsoft.com/office/drawing/2014/main" id="{397A3276-5291-971B-7B9B-8F1F413D541F}"/>
            </a:ext>
          </a:extLst>
        </xdr:cNvPr>
        <xdr:cNvCxnSpPr/>
      </xdr:nvCxnSpPr>
      <xdr:spPr>
        <a:xfrm flipH="1">
          <a:off x="211931" y="1250156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10</xdr:col>
      <xdr:colOff>211931</xdr:colOff>
      <xdr:row>9</xdr:row>
      <xdr:rowOff>178593</xdr:rowOff>
    </xdr:to>
    <xdr:cxnSp macro="">
      <xdr:nvCxnSpPr>
        <xdr:cNvPr id="49" name="Match44">
          <a:extLst>
            <a:ext uri="{FF2B5EF4-FFF2-40B4-BE49-F238E27FC236}">
              <a16:creationId xmlns:a16="http://schemas.microsoft.com/office/drawing/2014/main" id="{4C1801C0-022C-D367-38A2-F99FE43CCE03}"/>
            </a:ext>
          </a:extLst>
        </xdr:cNvPr>
        <xdr:cNvCxnSpPr/>
      </xdr:nvCxnSpPr>
      <xdr:spPr>
        <a:xfrm flipV="1">
          <a:off x="4450556" y="232171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50" name="Match45">
          <a:extLst>
            <a:ext uri="{FF2B5EF4-FFF2-40B4-BE49-F238E27FC236}">
              <a16:creationId xmlns:a16="http://schemas.microsoft.com/office/drawing/2014/main" id="{F9F8EAAB-7835-4635-17AE-B29DF530B6AE}"/>
            </a:ext>
          </a:extLst>
        </xdr:cNvPr>
        <xdr:cNvCxnSpPr/>
      </xdr:nvCxnSpPr>
      <xdr:spPr>
        <a:xfrm flipH="1">
          <a:off x="1907381" y="196453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10</xdr:col>
      <xdr:colOff>211931</xdr:colOff>
      <xdr:row>6</xdr:row>
      <xdr:rowOff>178594</xdr:rowOff>
    </xdr:to>
    <xdr:cxnSp macro="">
      <xdr:nvCxnSpPr>
        <xdr:cNvPr id="51" name="Match46">
          <a:extLst>
            <a:ext uri="{FF2B5EF4-FFF2-40B4-BE49-F238E27FC236}">
              <a16:creationId xmlns:a16="http://schemas.microsoft.com/office/drawing/2014/main" id="{9A5719BA-8709-710B-B2E3-B0E1C9FFA08F}"/>
            </a:ext>
          </a:extLst>
        </xdr:cNvPr>
        <xdr:cNvCxnSpPr/>
      </xdr:nvCxnSpPr>
      <xdr:spPr>
        <a:xfrm flipH="1" flipV="1">
          <a:off x="360283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52" name="Match47">
          <a:extLst>
            <a:ext uri="{FF2B5EF4-FFF2-40B4-BE49-F238E27FC236}">
              <a16:creationId xmlns:a16="http://schemas.microsoft.com/office/drawing/2014/main" id="{CCB1DC01-4F8D-5A9B-FBCD-7B01DD0CFA08}"/>
            </a:ext>
          </a:extLst>
        </xdr:cNvPr>
        <xdr:cNvCxnSpPr/>
      </xdr:nvCxnSpPr>
      <xdr:spPr>
        <a:xfrm flipV="1">
          <a:off x="1059656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288131</xdr:colOff>
      <xdr:row>4</xdr:row>
      <xdr:rowOff>254794</xdr:rowOff>
    </xdr:from>
    <xdr:to>
      <xdr:col>10</xdr:col>
      <xdr:colOff>288131</xdr:colOff>
      <xdr:row>4</xdr:row>
      <xdr:rowOff>254794</xdr:rowOff>
    </xdr:to>
    <xdr:cxnSp macro="">
      <xdr:nvCxnSpPr>
        <xdr:cNvPr id="53" name="Match48">
          <a:extLst>
            <a:ext uri="{FF2B5EF4-FFF2-40B4-BE49-F238E27FC236}">
              <a16:creationId xmlns:a16="http://schemas.microsoft.com/office/drawing/2014/main" id="{CB0CC083-3456-3F8A-048A-74DCE7322AC4}"/>
            </a:ext>
          </a:extLst>
        </xdr:cNvPr>
        <xdr:cNvCxnSpPr/>
      </xdr:nvCxnSpPr>
      <xdr:spPr>
        <a:xfrm>
          <a:off x="4102894" y="1683544"/>
          <a:ext cx="423862" cy="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4</xdr:row>
      <xdr:rowOff>229394</xdr:rowOff>
    </xdr:from>
    <xdr:to>
      <xdr:col>10</xdr:col>
      <xdr:colOff>262731</xdr:colOff>
      <xdr:row>4</xdr:row>
      <xdr:rowOff>229394</xdr:rowOff>
    </xdr:to>
    <xdr:cxnSp macro="">
      <xdr:nvCxnSpPr>
        <xdr:cNvPr id="54" name="Match49">
          <a:extLst>
            <a:ext uri="{FF2B5EF4-FFF2-40B4-BE49-F238E27FC236}">
              <a16:creationId xmlns:a16="http://schemas.microsoft.com/office/drawing/2014/main" id="{6D75AF41-F037-B4AC-BB38-CF532FEF5DC0}"/>
            </a:ext>
          </a:extLst>
        </xdr:cNvPr>
        <xdr:cNvCxnSpPr/>
      </xdr:nvCxnSpPr>
      <xdr:spPr>
        <a:xfrm flipH="1">
          <a:off x="4077494" y="1658144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338931</xdr:colOff>
      <xdr:row>6</xdr:row>
      <xdr:rowOff>305594</xdr:rowOff>
    </xdr:from>
    <xdr:to>
      <xdr:col>8</xdr:col>
      <xdr:colOff>338931</xdr:colOff>
      <xdr:row>7</xdr:row>
      <xdr:rowOff>305593</xdr:rowOff>
    </xdr:to>
    <xdr:cxnSp macro="">
      <xdr:nvCxnSpPr>
        <xdr:cNvPr id="55" name="Match50">
          <a:extLst>
            <a:ext uri="{FF2B5EF4-FFF2-40B4-BE49-F238E27FC236}">
              <a16:creationId xmlns:a16="http://schemas.microsoft.com/office/drawing/2014/main" id="{34B5F0BD-2379-D1D0-F64B-B1D8396FACE6}"/>
            </a:ext>
          </a:extLst>
        </xdr:cNvPr>
        <xdr:cNvCxnSpPr/>
      </xdr:nvCxnSpPr>
      <xdr:spPr>
        <a:xfrm flipH="1">
          <a:off x="3305969" y="2448719"/>
          <a:ext cx="423862" cy="357187"/>
        </a:xfrm>
        <a:prstGeom prst="line">
          <a:avLst/>
        </a:prstGeom>
        <a:ln w="25400">
          <a:solidFill>
            <a:srgbClr val="9B96C8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288131</xdr:colOff>
      <xdr:row>7</xdr:row>
      <xdr:rowOff>254793</xdr:rowOff>
    </xdr:from>
    <xdr:to>
      <xdr:col>8</xdr:col>
      <xdr:colOff>288131</xdr:colOff>
      <xdr:row>8</xdr:row>
      <xdr:rowOff>254794</xdr:rowOff>
    </xdr:to>
    <xdr:cxnSp macro="">
      <xdr:nvCxnSpPr>
        <xdr:cNvPr id="56" name="Match51">
          <a:extLst>
            <a:ext uri="{FF2B5EF4-FFF2-40B4-BE49-F238E27FC236}">
              <a16:creationId xmlns:a16="http://schemas.microsoft.com/office/drawing/2014/main" id="{09704351-7C50-0D1E-8A80-D01F10E68081}"/>
            </a:ext>
          </a:extLst>
        </xdr:cNvPr>
        <xdr:cNvCxnSpPr/>
      </xdr:nvCxnSpPr>
      <xdr:spPr>
        <a:xfrm>
          <a:off x="3255169" y="2755106"/>
          <a:ext cx="423862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313531</xdr:colOff>
      <xdr:row>6</xdr:row>
      <xdr:rowOff>280194</xdr:rowOff>
    </xdr:from>
    <xdr:to>
      <xdr:col>8</xdr:col>
      <xdr:colOff>313531</xdr:colOff>
      <xdr:row>7</xdr:row>
      <xdr:rowOff>280193</xdr:rowOff>
    </xdr:to>
    <xdr:cxnSp macro="">
      <xdr:nvCxnSpPr>
        <xdr:cNvPr id="57" name="Match52">
          <a:extLst>
            <a:ext uri="{FF2B5EF4-FFF2-40B4-BE49-F238E27FC236}">
              <a16:creationId xmlns:a16="http://schemas.microsoft.com/office/drawing/2014/main" id="{9FEAE3D6-2A7D-9653-A2E4-625C8E1BD283}"/>
            </a:ext>
          </a:extLst>
        </xdr:cNvPr>
        <xdr:cNvCxnSpPr/>
      </xdr:nvCxnSpPr>
      <xdr:spPr>
        <a:xfrm flipV="1">
          <a:off x="3280569" y="2423319"/>
          <a:ext cx="423862" cy="357187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7</xdr:row>
      <xdr:rowOff>229393</xdr:rowOff>
    </xdr:from>
    <xdr:to>
      <xdr:col>8</xdr:col>
      <xdr:colOff>262731</xdr:colOff>
      <xdr:row>8</xdr:row>
      <xdr:rowOff>229394</xdr:rowOff>
    </xdr:to>
    <xdr:cxnSp macro="">
      <xdr:nvCxnSpPr>
        <xdr:cNvPr id="58" name="Match53">
          <a:extLst>
            <a:ext uri="{FF2B5EF4-FFF2-40B4-BE49-F238E27FC236}">
              <a16:creationId xmlns:a16="http://schemas.microsoft.com/office/drawing/2014/main" id="{30FFEB93-777E-D84C-32F8-FABEA7B20AF0}"/>
            </a:ext>
          </a:extLst>
        </xdr:cNvPr>
        <xdr:cNvCxnSpPr/>
      </xdr:nvCxnSpPr>
      <xdr:spPr>
        <a:xfrm flipH="1" flipV="1">
          <a:off x="3229769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0</xdr:col>
      <xdr:colOff>211931</xdr:colOff>
      <xdr:row>3</xdr:row>
      <xdr:rowOff>178593</xdr:rowOff>
    </xdr:to>
    <xdr:cxnSp macro="">
      <xdr:nvCxnSpPr>
        <xdr:cNvPr id="59" name="Match54">
          <a:extLst>
            <a:ext uri="{FF2B5EF4-FFF2-40B4-BE49-F238E27FC236}">
              <a16:creationId xmlns:a16="http://schemas.microsoft.com/office/drawing/2014/main" id="{5BAF95CF-C21E-417D-7C69-2ED7858F5EFB}"/>
            </a:ext>
          </a:extLst>
        </xdr:cNvPr>
        <xdr:cNvCxnSpPr/>
      </xdr:nvCxnSpPr>
      <xdr:spPr>
        <a:xfrm>
          <a:off x="211931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5</xdr:row>
      <xdr:rowOff>178593</xdr:rowOff>
    </xdr:from>
    <xdr:to>
      <xdr:col>11</xdr:col>
      <xdr:colOff>211931</xdr:colOff>
      <xdr:row>7</xdr:row>
      <xdr:rowOff>178593</xdr:rowOff>
    </xdr:to>
    <xdr:cxnSp macro="">
      <xdr:nvCxnSpPr>
        <xdr:cNvPr id="60" name="Match55">
          <a:extLst>
            <a:ext uri="{FF2B5EF4-FFF2-40B4-BE49-F238E27FC236}">
              <a16:creationId xmlns:a16="http://schemas.microsoft.com/office/drawing/2014/main" id="{271F6DCE-4B50-94FA-437D-E99224AFD4DA}"/>
            </a:ext>
          </a:extLst>
        </xdr:cNvPr>
        <xdr:cNvCxnSpPr/>
      </xdr:nvCxnSpPr>
      <xdr:spPr>
        <a:xfrm>
          <a:off x="4874419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11</xdr:col>
      <xdr:colOff>237331</xdr:colOff>
      <xdr:row>8</xdr:row>
      <xdr:rowOff>203994</xdr:rowOff>
    </xdr:to>
    <xdr:cxnSp macro="">
      <xdr:nvCxnSpPr>
        <xdr:cNvPr id="61" name="Match56">
          <a:extLst>
            <a:ext uri="{FF2B5EF4-FFF2-40B4-BE49-F238E27FC236}">
              <a16:creationId xmlns:a16="http://schemas.microsoft.com/office/drawing/2014/main" id="{68BA3C8B-B677-8EB8-2DD3-0502B15F9658}"/>
            </a:ext>
          </a:extLst>
        </xdr:cNvPr>
        <xdr:cNvCxnSpPr/>
      </xdr:nvCxnSpPr>
      <xdr:spPr>
        <a:xfrm>
          <a:off x="4052094" y="3061494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62" name="Match57">
          <a:extLst>
            <a:ext uri="{FF2B5EF4-FFF2-40B4-BE49-F238E27FC236}">
              <a16:creationId xmlns:a16="http://schemas.microsoft.com/office/drawing/2014/main" id="{F1F076C1-4DE7-E5EF-722E-DFCECC612B00}"/>
            </a:ext>
          </a:extLst>
        </xdr:cNvPr>
        <xdr:cNvCxnSpPr/>
      </xdr:nvCxnSpPr>
      <xdr:spPr>
        <a:xfrm flipH="1">
          <a:off x="1059656" y="4107656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63" name="Match58">
          <a:extLst>
            <a:ext uri="{FF2B5EF4-FFF2-40B4-BE49-F238E27FC236}">
              <a16:creationId xmlns:a16="http://schemas.microsoft.com/office/drawing/2014/main" id="{95248C5B-C787-7232-D9CC-997A59C6B011}"/>
            </a:ext>
          </a:extLst>
        </xdr:cNvPr>
        <xdr:cNvCxnSpPr/>
      </xdr:nvCxnSpPr>
      <xdr:spPr>
        <a:xfrm flipV="1">
          <a:off x="2331244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AEF16073-51B3-0576-53BA-DD34B0F68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5" sqref="L5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5</v>
      </c>
      <c r="B1" s="27">
        <v>8</v>
      </c>
      <c r="C1" s="22">
        <v>3</v>
      </c>
      <c r="D1" s="22">
        <v>8</v>
      </c>
      <c r="E1" s="22">
        <v>2</v>
      </c>
      <c r="F1" s="22">
        <v>8</v>
      </c>
      <c r="G1" s="22">
        <v>5</v>
      </c>
      <c r="H1" s="22">
        <v>7</v>
      </c>
      <c r="I1" s="27">
        <v>7</v>
      </c>
      <c r="J1" s="27">
        <v>8</v>
      </c>
      <c r="K1" s="23">
        <v>6</v>
      </c>
      <c r="L1" s="23">
        <v>7</v>
      </c>
      <c r="N1" s="2">
        <v>241</v>
      </c>
      <c r="O1" s="1">
        <v>3</v>
      </c>
    </row>
    <row r="2" spans="1:15" s="2" customFormat="1" ht="28.25" customHeight="1">
      <c r="A2" s="22">
        <v>2</v>
      </c>
      <c r="B2" s="27">
        <v>7</v>
      </c>
      <c r="C2" s="27">
        <v>3</v>
      </c>
      <c r="D2" s="22">
        <v>2</v>
      </c>
      <c r="E2" s="27">
        <v>2</v>
      </c>
      <c r="F2" s="27">
        <v>9</v>
      </c>
      <c r="G2" s="27">
        <v>9</v>
      </c>
      <c r="H2" s="22">
        <v>5</v>
      </c>
      <c r="I2" s="22">
        <v>2</v>
      </c>
      <c r="J2" s="27">
        <v>2</v>
      </c>
      <c r="K2" s="27">
        <v>1</v>
      </c>
      <c r="L2" s="23">
        <v>4</v>
      </c>
      <c r="N2" s="2">
        <v>47</v>
      </c>
      <c r="O2" s="2">
        <v>20</v>
      </c>
    </row>
    <row r="3" spans="1:15" ht="28.25" customHeight="1">
      <c r="A3" s="22">
        <v>5</v>
      </c>
      <c r="B3" s="27">
        <v>7</v>
      </c>
      <c r="C3" s="27">
        <v>1</v>
      </c>
      <c r="D3" s="22">
        <v>6</v>
      </c>
      <c r="E3" s="22">
        <v>8</v>
      </c>
      <c r="F3" s="27">
        <v>3</v>
      </c>
      <c r="G3" s="22">
        <v>4</v>
      </c>
      <c r="H3" s="22">
        <v>7</v>
      </c>
      <c r="I3" s="22">
        <v>4</v>
      </c>
      <c r="J3" s="27">
        <v>6</v>
      </c>
      <c r="K3" s="27">
        <v>2</v>
      </c>
      <c r="L3" s="23">
        <v>6</v>
      </c>
      <c r="N3" s="2">
        <v>382857</v>
      </c>
      <c r="O3" s="1">
        <v>1</v>
      </c>
    </row>
    <row r="4" spans="1:15" ht="28.25" customHeight="1">
      <c r="A4" s="22">
        <v>8</v>
      </c>
      <c r="B4" s="27">
        <v>9</v>
      </c>
      <c r="C4" s="23">
        <v>7</v>
      </c>
      <c r="D4" s="22">
        <v>7</v>
      </c>
      <c r="E4" s="22">
        <v>7</v>
      </c>
      <c r="F4" s="22">
        <v>1</v>
      </c>
      <c r="G4" s="27">
        <v>9</v>
      </c>
      <c r="H4" s="23">
        <v>6</v>
      </c>
      <c r="I4" s="22">
        <v>1</v>
      </c>
      <c r="J4" s="27">
        <v>8</v>
      </c>
      <c r="K4" s="27">
        <v>3</v>
      </c>
      <c r="L4" s="23">
        <v>7</v>
      </c>
      <c r="N4" s="2">
        <v>45</v>
      </c>
      <c r="O4" s="1">
        <v>8</v>
      </c>
    </row>
    <row r="5" spans="1:15" ht="28.25" customHeight="1">
      <c r="A5" s="27">
        <v>1</v>
      </c>
      <c r="B5" s="27">
        <v>8</v>
      </c>
      <c r="C5" s="27">
        <v>1</v>
      </c>
      <c r="D5" s="22">
        <v>3</v>
      </c>
      <c r="E5" s="23">
        <v>4</v>
      </c>
      <c r="F5" s="27">
        <v>8</v>
      </c>
      <c r="G5" s="22">
        <v>3</v>
      </c>
      <c r="H5" s="23">
        <v>4</v>
      </c>
      <c r="I5" s="23">
        <v>7</v>
      </c>
      <c r="J5" s="23">
        <v>4</v>
      </c>
      <c r="K5" s="23">
        <v>4</v>
      </c>
      <c r="L5" s="22">
        <v>1</v>
      </c>
      <c r="N5" s="2">
        <v>27981</v>
      </c>
      <c r="O5" s="1">
        <v>1</v>
      </c>
    </row>
    <row r="6" spans="1:15" ht="28.25" customHeight="1">
      <c r="A6" s="23">
        <v>6</v>
      </c>
      <c r="B6" s="23">
        <v>7</v>
      </c>
      <c r="C6" s="22">
        <v>1</v>
      </c>
      <c r="D6" s="27">
        <v>1</v>
      </c>
      <c r="E6" s="22">
        <v>9</v>
      </c>
      <c r="F6" s="22">
        <v>1</v>
      </c>
      <c r="G6" s="22">
        <v>9</v>
      </c>
      <c r="H6" s="22">
        <v>9</v>
      </c>
      <c r="I6" s="22">
        <v>7</v>
      </c>
      <c r="J6" s="23">
        <v>5</v>
      </c>
      <c r="K6" s="22">
        <v>8</v>
      </c>
      <c r="L6" s="23">
        <v>2</v>
      </c>
      <c r="N6" s="2">
        <v>67</v>
      </c>
      <c r="O6" s="1">
        <v>9</v>
      </c>
    </row>
    <row r="7" spans="1:15" ht="28.25" customHeight="1">
      <c r="A7" s="27">
        <v>1</v>
      </c>
      <c r="B7" s="22">
        <v>9</v>
      </c>
      <c r="C7" s="23">
        <v>4</v>
      </c>
      <c r="D7" s="27">
        <v>3</v>
      </c>
      <c r="E7" s="27">
        <v>9</v>
      </c>
      <c r="F7" s="27">
        <v>5</v>
      </c>
      <c r="G7" s="23">
        <v>5</v>
      </c>
      <c r="H7" s="23">
        <v>7</v>
      </c>
      <c r="I7" s="23">
        <v>4</v>
      </c>
      <c r="J7" s="22">
        <v>1</v>
      </c>
      <c r="K7" s="22">
        <v>2</v>
      </c>
      <c r="L7" s="23">
        <v>5</v>
      </c>
      <c r="N7" s="2">
        <v>2813</v>
      </c>
      <c r="O7" s="1">
        <v>1</v>
      </c>
    </row>
    <row r="8" spans="1:15" ht="28.25" customHeight="1">
      <c r="A8" s="22">
        <v>4</v>
      </c>
      <c r="B8" s="27">
        <v>6</v>
      </c>
      <c r="C8" s="22">
        <v>2</v>
      </c>
      <c r="D8" s="22">
        <v>7</v>
      </c>
      <c r="E8" s="22">
        <v>9</v>
      </c>
      <c r="F8" s="22">
        <v>8</v>
      </c>
      <c r="G8" s="22">
        <v>1</v>
      </c>
      <c r="H8" s="22">
        <v>4</v>
      </c>
      <c r="I8" s="22">
        <v>7</v>
      </c>
      <c r="J8" s="23">
        <v>5</v>
      </c>
      <c r="K8" s="22">
        <v>5</v>
      </c>
      <c r="L8" s="23">
        <v>8</v>
      </c>
      <c r="N8" s="2">
        <v>73194</v>
      </c>
      <c r="O8" s="1">
        <v>1</v>
      </c>
    </row>
    <row r="9" spans="1:15" ht="28.25" customHeight="1">
      <c r="A9" s="27">
        <v>6</v>
      </c>
      <c r="B9" s="27">
        <v>8</v>
      </c>
      <c r="C9" s="27">
        <v>5</v>
      </c>
      <c r="D9" s="27">
        <v>8</v>
      </c>
      <c r="E9" s="22">
        <v>7</v>
      </c>
      <c r="F9" s="27">
        <v>5</v>
      </c>
      <c r="G9" s="27">
        <v>6</v>
      </c>
      <c r="H9" s="22">
        <v>1</v>
      </c>
      <c r="I9" s="22">
        <v>4</v>
      </c>
      <c r="J9" s="23">
        <v>2</v>
      </c>
      <c r="K9" s="22">
        <v>5</v>
      </c>
      <c r="L9" s="23">
        <v>8</v>
      </c>
      <c r="N9" s="2">
        <v>9552</v>
      </c>
      <c r="O9" s="1">
        <v>1</v>
      </c>
    </row>
    <row r="10" spans="1:15" ht="28.25" customHeight="1">
      <c r="A10" s="27">
        <v>2</v>
      </c>
      <c r="B10" s="27">
        <v>1</v>
      </c>
      <c r="C10" s="27">
        <v>9</v>
      </c>
      <c r="D10" s="22">
        <v>5</v>
      </c>
      <c r="E10" s="27">
        <v>5</v>
      </c>
      <c r="F10" s="27">
        <v>3</v>
      </c>
      <c r="G10" s="22">
        <v>2</v>
      </c>
      <c r="H10" s="27">
        <v>9</v>
      </c>
      <c r="I10" s="27">
        <v>6</v>
      </c>
      <c r="J10" s="27">
        <v>9</v>
      </c>
      <c r="K10" s="22">
        <v>9</v>
      </c>
      <c r="L10" s="27">
        <v>7</v>
      </c>
      <c r="N10" s="2">
        <v>79919</v>
      </c>
      <c r="O10" s="1">
        <v>1</v>
      </c>
    </row>
    <row r="11" spans="1:15" ht="28.25" customHeight="1">
      <c r="A11" s="27">
        <v>9</v>
      </c>
      <c r="B11" s="27">
        <v>2</v>
      </c>
      <c r="C11" s="22">
        <v>2</v>
      </c>
      <c r="D11" s="27">
        <v>6</v>
      </c>
      <c r="E11" s="27">
        <v>9</v>
      </c>
      <c r="F11" s="22">
        <v>7</v>
      </c>
      <c r="G11" s="27">
        <v>5</v>
      </c>
      <c r="H11" s="27">
        <v>3</v>
      </c>
      <c r="I11" s="27">
        <v>4</v>
      </c>
      <c r="J11" s="27">
        <v>1</v>
      </c>
      <c r="K11" s="27">
        <v>9</v>
      </c>
      <c r="L11" s="23">
        <v>7</v>
      </c>
      <c r="N11" s="2">
        <v>257</v>
      </c>
      <c r="O11" s="1">
        <v>2</v>
      </c>
    </row>
    <row r="12" spans="1:15" ht="28.25" customHeight="1">
      <c r="A12" s="27">
        <v>9</v>
      </c>
      <c r="B12" s="27">
        <v>6</v>
      </c>
      <c r="C12" s="22">
        <v>4</v>
      </c>
      <c r="D12" s="22">
        <v>9</v>
      </c>
      <c r="E12" s="22">
        <v>6</v>
      </c>
      <c r="F12" s="22">
        <v>8</v>
      </c>
      <c r="G12" s="22">
        <v>2</v>
      </c>
      <c r="H12" s="22">
        <v>3</v>
      </c>
      <c r="I12" s="22">
        <v>3</v>
      </c>
      <c r="J12" s="27">
        <v>9</v>
      </c>
      <c r="K12" s="23">
        <v>4</v>
      </c>
      <c r="L12" s="23">
        <v>7</v>
      </c>
      <c r="N12" s="2">
        <v>44</v>
      </c>
      <c r="O12" s="1">
        <v>6</v>
      </c>
    </row>
    <row r="13" spans="1:15" ht="28.25" customHeight="1">
      <c r="N13" s="2">
        <v>258</v>
      </c>
      <c r="O13" s="1">
        <v>3</v>
      </c>
    </row>
    <row r="14" spans="1:15" ht="28.25" customHeight="1">
      <c r="N14" s="2">
        <v>3328694</v>
      </c>
      <c r="O14" s="1">
        <v>1</v>
      </c>
    </row>
    <row r="15" spans="1:15" ht="28.25" customHeight="1">
      <c r="N15" s="2">
        <v>7217181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254"/>
  <sheetViews>
    <sheetView tabSelected="1" zoomScaleNormal="100" workbookViewId="0">
      <pane ySplit="2" topLeftCell="A246" activePane="bottomLeft" state="frozen"/>
      <selection pane="bottomLeft" activeCell="A254" sqref="A254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487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510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17" si="192">IF(A211&gt;=DATEVALUE("2025/11/8")+TIMEVALUE("6:00"),1,0)-IF(A210&gt;=DATEVALUE("2025/11/8")+TIMEVALUE("6:00"),1,0)
+IF(A211&gt;=DATEVALUE("2026/1/22")+TIMEVALUE("6:00"),3,0)-IF(A210&gt;=DATEVALUE("2026/1/22")+TIMEVALUE("6:00"),3,0)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511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511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488</v>
      </c>
      <c r="I218" t="s">
        <v>489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ref="O218" si="235">IF(A218&gt;=DATEVALUE("2025/11/8")+TIMEVALUE("6:00"),1,0)-IF(A217&gt;=DATEVALUE("2025/11/8")+TIMEVALUE("6:00"),1,0)
+IF(A218&gt;=DATEVALUE("2026/1/22")+TIMEVALUE("6:00"),3,0)-IF(A217&gt;=DATEVALUE("2026/1/22")+TIMEVALUE("6:00"),3,0)</f>
        <v>0</v>
      </c>
      <c r="P218" t="str">
        <f t="shared" ref="P218" si="236">IF(L218&lt;N218,"未達成（"&amp;N218-L218&amp;"）",IF(L218=N218,"達成","前倒し（"&amp;L218-N218&amp;"）"))</f>
        <v>未達成（4）</v>
      </c>
      <c r="Q218">
        <f t="shared" ref="Q218" si="237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490</v>
      </c>
      <c r="I219" t="s">
        <v>491</v>
      </c>
      <c r="J219">
        <v>0</v>
      </c>
      <c r="K219">
        <f t="shared" ref="K219" si="238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9">L218+K219</f>
        <v>261</v>
      </c>
      <c r="M219">
        <f t="shared" ref="M219" si="240">2+IF(A219&gt;=DATEVALUE("2025/11/30")+TIMEVALUE("6:00"),1,0)+IF(A219&gt;=DATEVALUE("2025/12/11")+TIMEVALUE("6:00"),1,0)</f>
        <v>4</v>
      </c>
      <c r="N219">
        <f t="shared" ref="N219" si="241">N218+M219*(INT(A219-6/24)-INT(A218-6/24))+O219</f>
        <v>263</v>
      </c>
      <c r="O219">
        <f t="shared" ref="O219" si="242">IF(A219&gt;=DATEVALUE("2025/11/8")+TIMEVALUE("6:00"),1,0)-IF(A218&gt;=DATEVALUE("2025/11/8")+TIMEVALUE("6:00"),1,0)
+IF(A219&gt;=DATEVALUE("2026/1/22")+TIMEVALUE("6:00"),3,0)-IF(A218&gt;=DATEVALUE("2026/1/22")+TIMEVALUE("6:00"),3,0)</f>
        <v>0</v>
      </c>
      <c r="P219" t="str">
        <f t="shared" ref="P219" si="243">IF(L219&lt;N219,"未達成（"&amp;N219-L219&amp;"）",IF(L219=N219,"達成","前倒し（"&amp;L219-N219&amp;"）"))</f>
        <v>未達成（2）</v>
      </c>
      <c r="Q219">
        <f t="shared" ref="Q219" si="244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492</v>
      </c>
      <c r="I220" t="s">
        <v>493</v>
      </c>
      <c r="J220">
        <v>0</v>
      </c>
      <c r="K220">
        <f t="shared" ref="K220" si="245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6">L219+K220</f>
        <v>263</v>
      </c>
      <c r="M220">
        <f t="shared" ref="M220" si="247">2+IF(A220&gt;=DATEVALUE("2025/11/30")+TIMEVALUE("6:00"),1,0)+IF(A220&gt;=DATEVALUE("2025/12/11")+TIMEVALUE("6:00"),1,0)</f>
        <v>4</v>
      </c>
      <c r="N220">
        <f t="shared" ref="N220" si="248">N219+M220*(INT(A220-6/24)-INT(A219-6/24))+O220</f>
        <v>263</v>
      </c>
      <c r="O220">
        <f t="shared" ref="O220" si="249">IF(A220&gt;=DATEVALUE("2025/11/8")+TIMEVALUE("6:00"),1,0)-IF(A219&gt;=DATEVALUE("2025/11/8")+TIMEVALUE("6:00"),1,0)
+IF(A220&gt;=DATEVALUE("2026/1/22")+TIMEVALUE("6:00"),3,0)-IF(A219&gt;=DATEVALUE("2026/1/22")+TIMEVALUE("6:00"),3,0)</f>
        <v>0</v>
      </c>
      <c r="P220" t="str">
        <f t="shared" ref="P220" si="250">IF(L220&lt;N220,"未達成（"&amp;N220-L220&amp;"）",IF(L220=N220,"達成","前倒し（"&amp;L220-N220&amp;"）"))</f>
        <v>達成</v>
      </c>
      <c r="Q220">
        <f t="shared" ref="Q220" si="251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494</v>
      </c>
      <c r="I221" t="s">
        <v>495</v>
      </c>
      <c r="J221">
        <v>0</v>
      </c>
      <c r="K221">
        <f t="shared" ref="K221" si="252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3">L220+K221</f>
        <v>265</v>
      </c>
      <c r="M221">
        <f t="shared" ref="M221" si="254">2+IF(A221&gt;=DATEVALUE("2025/11/30")+TIMEVALUE("6:00"),1,0)+IF(A221&gt;=DATEVALUE("2025/12/11")+TIMEVALUE("6:00"),1,0)</f>
        <v>4</v>
      </c>
      <c r="N221">
        <f t="shared" ref="N221" si="255">N220+M221*(INT(A221-6/24)-INT(A220-6/24))+O221</f>
        <v>267</v>
      </c>
      <c r="O221">
        <f t="shared" ref="O221" si="256">IF(A221&gt;=DATEVALUE("2025/11/8")+TIMEVALUE("6:00"),1,0)-IF(A220&gt;=DATEVALUE("2025/11/8")+TIMEVALUE("6:00"),1,0)
+IF(A221&gt;=DATEVALUE("2026/1/22")+TIMEVALUE("6:00"),3,0)-IF(A220&gt;=DATEVALUE("2026/1/22")+TIMEVALUE("6:00"),3,0)</f>
        <v>0</v>
      </c>
      <c r="P221" t="str">
        <f t="shared" ref="P221" si="257">IF(L221&lt;N221,"未達成（"&amp;N221-L221&amp;"）",IF(L221=N221,"達成","前倒し（"&amp;L221-N221&amp;"）"))</f>
        <v>未達成（2）</v>
      </c>
      <c r="Q221">
        <f t="shared" ref="Q221" si="258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496</v>
      </c>
      <c r="I222" t="s">
        <v>497</v>
      </c>
      <c r="J222">
        <v>0</v>
      </c>
      <c r="K222">
        <f t="shared" ref="K222" si="259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60">L221+K222</f>
        <v>267</v>
      </c>
      <c r="M222">
        <f t="shared" ref="M222" si="261">2+IF(A222&gt;=DATEVALUE("2025/11/30")+TIMEVALUE("6:00"),1,0)+IF(A222&gt;=DATEVALUE("2025/12/11")+TIMEVALUE("6:00"),1,0)</f>
        <v>4</v>
      </c>
      <c r="N222">
        <f t="shared" ref="N222" si="262">N221+M222*(INT(A222-6/24)-INT(A221-6/24))+O222</f>
        <v>267</v>
      </c>
      <c r="O222">
        <f t="shared" ref="O222" si="263">IF(A222&gt;=DATEVALUE("2025/11/8")+TIMEVALUE("6:00"),1,0)-IF(A221&gt;=DATEVALUE("2025/11/8")+TIMEVALUE("6:00"),1,0)
+IF(A222&gt;=DATEVALUE("2026/1/22")+TIMEVALUE("6:00"),3,0)-IF(A221&gt;=DATEVALUE("2026/1/22")+TIMEVALUE("6:00"),3,0)</f>
        <v>0</v>
      </c>
      <c r="P222" t="str">
        <f t="shared" ref="P222" si="264">IF(L222&lt;N222,"未達成（"&amp;N222-L222&amp;"）",IF(L222=N222,"達成","前倒し（"&amp;L222-N222&amp;"）"))</f>
        <v>達成</v>
      </c>
      <c r="Q222">
        <f t="shared" ref="Q222" si="265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498</v>
      </c>
      <c r="I223" t="s">
        <v>499</v>
      </c>
      <c r="J223">
        <v>0</v>
      </c>
      <c r="K223">
        <f t="shared" ref="K223" si="266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7">L222+K223</f>
        <v>268</v>
      </c>
      <c r="M223">
        <f t="shared" ref="M223" si="268">2+IF(A223&gt;=DATEVALUE("2025/11/30")+TIMEVALUE("6:00"),1,0)+IF(A223&gt;=DATEVALUE("2025/12/11")+TIMEVALUE("6:00"),1,0)</f>
        <v>4</v>
      </c>
      <c r="N223">
        <f t="shared" ref="N223" si="269">N222+M223*(INT(A223-6/24)-INT(A222-6/24))+O223</f>
        <v>271</v>
      </c>
      <c r="O223">
        <f t="shared" ref="O223" si="270">IF(A223&gt;=DATEVALUE("2025/11/8")+TIMEVALUE("6:00"),1,0)-IF(A222&gt;=DATEVALUE("2025/11/8")+TIMEVALUE("6:00"),1,0)
+IF(A223&gt;=DATEVALUE("2026/1/22")+TIMEVALUE("6:00"),3,0)-IF(A222&gt;=DATEVALUE("2026/1/22")+TIMEVALUE("6:00"),3,0)</f>
        <v>0</v>
      </c>
      <c r="P223" t="str">
        <f t="shared" ref="P223" si="271">IF(L223&lt;N223,"未達成（"&amp;N223-L223&amp;"）",IF(L223=N223,"達成","前倒し（"&amp;L223-N223&amp;"）"))</f>
        <v>未達成（3）</v>
      </c>
      <c r="Q223">
        <f t="shared" ref="Q223" si="272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500</v>
      </c>
      <c r="I224" t="s">
        <v>501</v>
      </c>
      <c r="J224">
        <v>0</v>
      </c>
      <c r="K224">
        <f t="shared" ref="K224" si="273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74">L223+K224</f>
        <v>270</v>
      </c>
      <c r="M224">
        <f t="shared" ref="M224" si="275">2+IF(A224&gt;=DATEVALUE("2025/11/30")+TIMEVALUE("6:00"),1,0)+IF(A224&gt;=DATEVALUE("2025/12/11")+TIMEVALUE("6:00"),1,0)</f>
        <v>4</v>
      </c>
      <c r="N224">
        <f t="shared" ref="N224" si="276">N223+M224*(INT(A224-6/24)-INT(A223-6/24))+O224</f>
        <v>271</v>
      </c>
      <c r="O224">
        <f t="shared" ref="O224" si="277">IF(A224&gt;=DATEVALUE("2025/11/8")+TIMEVALUE("6:00"),1,0)-IF(A223&gt;=DATEVALUE("2025/11/8")+TIMEVALUE("6:00"),1,0)
+IF(A224&gt;=DATEVALUE("2026/1/22")+TIMEVALUE("6:00"),3,0)-IF(A223&gt;=DATEVALUE("2026/1/22")+TIMEVALUE("6:00"),3,0)</f>
        <v>0</v>
      </c>
      <c r="P224" t="str">
        <f t="shared" ref="P224" si="278">IF(L224&lt;N224,"未達成（"&amp;N224-L224&amp;"）",IF(L224=N224,"達成","前倒し（"&amp;L224-N224&amp;"）"))</f>
        <v>未達成（1）</v>
      </c>
      <c r="Q224">
        <f t="shared" ref="Q224" si="279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502</v>
      </c>
      <c r="I225" t="s">
        <v>503</v>
      </c>
      <c r="J225">
        <v>0</v>
      </c>
      <c r="K225">
        <f t="shared" ref="K225" si="280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81">L224+K225</f>
        <v>271</v>
      </c>
      <c r="M225">
        <f t="shared" ref="M225" si="282">2+IF(A225&gt;=DATEVALUE("2025/11/30")+TIMEVALUE("6:00"),1,0)+IF(A225&gt;=DATEVALUE("2025/12/11")+TIMEVALUE("6:00"),1,0)</f>
        <v>4</v>
      </c>
      <c r="N225">
        <f t="shared" ref="N225" si="283">N224+M225*(INT(A225-6/24)-INT(A224-6/24))+O225</f>
        <v>271</v>
      </c>
      <c r="O225">
        <f t="shared" ref="O225" si="284">IF(A225&gt;=DATEVALUE("2025/11/8")+TIMEVALUE("6:00"),1,0)-IF(A224&gt;=DATEVALUE("2025/11/8")+TIMEVALUE("6:00"),1,0)
+IF(A225&gt;=DATEVALUE("2026/1/22")+TIMEVALUE("6:00"),3,0)-IF(A224&gt;=DATEVALUE("2026/1/22")+TIMEVALUE("6:00"),3,0)</f>
        <v>0</v>
      </c>
      <c r="P225" t="str">
        <f t="shared" ref="P225" si="285">IF(L225&lt;N225,"未達成（"&amp;N225-L225&amp;"）",IF(L225=N225,"達成","前倒し（"&amp;L225-N225&amp;"）"))</f>
        <v>達成</v>
      </c>
      <c r="Q225">
        <f t="shared" ref="Q225" si="286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504</v>
      </c>
      <c r="I226" t="s">
        <v>505</v>
      </c>
      <c r="J226">
        <v>0</v>
      </c>
      <c r="K226">
        <f t="shared" ref="K226" si="287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8">L225+K226</f>
        <v>272</v>
      </c>
      <c r="M226">
        <f t="shared" ref="M226" si="289">2+IF(A226&gt;=DATEVALUE("2025/11/30")+TIMEVALUE("6:00"),1,0)+IF(A226&gt;=DATEVALUE("2025/12/11")+TIMEVALUE("6:00"),1,0)</f>
        <v>4</v>
      </c>
      <c r="N226">
        <f t="shared" ref="N226" si="290">N225+M226*(INT(A226-6/24)-INT(A225-6/24))+O226</f>
        <v>275</v>
      </c>
      <c r="O226">
        <f t="shared" ref="O226" si="291">IF(A226&gt;=DATEVALUE("2025/11/8")+TIMEVALUE("6:00"),1,0)-IF(A225&gt;=DATEVALUE("2025/11/8")+TIMEVALUE("6:00"),1,0)
+IF(A226&gt;=DATEVALUE("2026/1/22")+TIMEVALUE("6:00"),3,0)-IF(A225&gt;=DATEVALUE("2026/1/22")+TIMEVALUE("6:00"),3,0)</f>
        <v>0</v>
      </c>
      <c r="P226" t="str">
        <f t="shared" ref="P226" si="292">IF(L226&lt;N226,"未達成（"&amp;N226-L226&amp;"）",IF(L226=N226,"達成","前倒し（"&amp;L226-N226&amp;"）"))</f>
        <v>未達成（3）</v>
      </c>
      <c r="Q226">
        <f t="shared" ref="Q226" si="293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506</v>
      </c>
      <c r="I227" t="s">
        <v>507</v>
      </c>
      <c r="J227">
        <v>0</v>
      </c>
      <c r="K227">
        <f t="shared" ref="K227" si="294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95">L226+K227</f>
        <v>274</v>
      </c>
      <c r="M227">
        <f t="shared" ref="M227" si="296">2+IF(A227&gt;=DATEVALUE("2025/11/30")+TIMEVALUE("6:00"),1,0)+IF(A227&gt;=DATEVALUE("2025/12/11")+TIMEVALUE("6:00"),1,0)</f>
        <v>4</v>
      </c>
      <c r="N227">
        <f t="shared" ref="N227" si="297">N226+M227*(INT(A227-6/24)-INT(A226-6/24))+O227</f>
        <v>275</v>
      </c>
      <c r="O227">
        <f t="shared" ref="O227" si="298">IF(A227&gt;=DATEVALUE("2025/11/8")+TIMEVALUE("6:00"),1,0)-IF(A226&gt;=DATEVALUE("2025/11/8")+TIMEVALUE("6:00"),1,0)
+IF(A227&gt;=DATEVALUE("2026/1/22")+TIMEVALUE("6:00"),3,0)-IF(A226&gt;=DATEVALUE("2026/1/22")+TIMEVALUE("6:00"),3,0)</f>
        <v>0</v>
      </c>
      <c r="P227" t="str">
        <f t="shared" ref="P227" si="299">IF(L227&lt;N227,"未達成（"&amp;N227-L227&amp;"）",IF(L227=N227,"達成","前倒し（"&amp;L227-N227&amp;"）"))</f>
        <v>未達成（1）</v>
      </c>
      <c r="Q227">
        <f t="shared" ref="Q227" si="30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508</v>
      </c>
      <c r="I228" t="s">
        <v>512</v>
      </c>
      <c r="J228">
        <v>1</v>
      </c>
      <c r="K228">
        <f t="shared" ref="K228" si="30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302">L227+K228</f>
        <v>274</v>
      </c>
      <c r="M228">
        <f t="shared" ref="M228" si="303">2+IF(A228&gt;=DATEVALUE("2025/11/30")+TIMEVALUE("6:00"),1,0)+IF(A228&gt;=DATEVALUE("2025/12/11")+TIMEVALUE("6:00"),1,0)</f>
        <v>4</v>
      </c>
      <c r="N228">
        <f t="shared" ref="N228" si="304">N227+M228*(INT(A228-6/24)-INT(A227-6/24))+O228</f>
        <v>275</v>
      </c>
      <c r="O228">
        <f t="shared" ref="O228" si="305">IF(A228&gt;=DATEVALUE("2025/11/8")+TIMEVALUE("6:00"),1,0)-IF(A227&gt;=DATEVALUE("2025/11/8")+TIMEVALUE("6:00"),1,0)
+IF(A228&gt;=DATEVALUE("2026/1/22")+TIMEVALUE("6:00"),3,0)-IF(A227&gt;=DATEVALUE("2026/1/22")+TIMEVALUE("6:00"),3,0)</f>
        <v>0</v>
      </c>
      <c r="P228" t="str">
        <f t="shared" ref="P228" si="306">IF(L228&lt;N228,"未達成（"&amp;N228-L228&amp;"）",IF(L228=N228,"達成","前倒し（"&amp;L228-N228&amp;"）"))</f>
        <v>未達成（1）</v>
      </c>
      <c r="Q228" t="e">
        <f t="shared" ref="Q228" si="307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513</v>
      </c>
      <c r="I229" t="s">
        <v>509</v>
      </c>
      <c r="J229">
        <v>0</v>
      </c>
      <c r="K229">
        <f t="shared" ref="K229" si="308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309">L228+K229</f>
        <v>275</v>
      </c>
      <c r="M229">
        <f t="shared" ref="M229" si="310">2+IF(A229&gt;=DATEVALUE("2025/11/30")+TIMEVALUE("6:00"),1,0)+IF(A229&gt;=DATEVALUE("2025/12/11")+TIMEVALUE("6:00"),1,0)</f>
        <v>4</v>
      </c>
      <c r="N229">
        <f t="shared" ref="N229" si="311">N228+M229*(INT(A229-6/24)-INT(A228-6/24))+O229</f>
        <v>275</v>
      </c>
      <c r="O229">
        <f t="shared" ref="O229" si="312">IF(A229&gt;=DATEVALUE("2025/11/8")+TIMEVALUE("6:00"),1,0)-IF(A228&gt;=DATEVALUE("2025/11/8")+TIMEVALUE("6:00"),1,0)
+IF(A229&gt;=DATEVALUE("2026/1/22")+TIMEVALUE("6:00"),3,0)-IF(A228&gt;=DATEVALUE("2026/1/22")+TIMEVALUE("6:00"),3,0)</f>
        <v>0</v>
      </c>
      <c r="P229" t="str">
        <f t="shared" ref="P229" si="313">IF(L229&lt;N229,"未達成（"&amp;N229-L229&amp;"）",IF(L229=N229,"達成","前倒し（"&amp;L229-N229&amp;"）"))</f>
        <v>達成</v>
      </c>
      <c r="Q229">
        <f t="shared" ref="Q229" si="314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514</v>
      </c>
      <c r="I230" t="s">
        <v>515</v>
      </c>
      <c r="J230">
        <v>0</v>
      </c>
      <c r="K230">
        <f t="shared" ref="K230" si="315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16">L229+K230</f>
        <v>276</v>
      </c>
      <c r="M230">
        <f t="shared" ref="M230" si="317">2+IF(A230&gt;=DATEVALUE("2025/11/30")+TIMEVALUE("6:00"),1,0)+IF(A230&gt;=DATEVALUE("2025/12/11")+TIMEVALUE("6:00"),1,0)</f>
        <v>4</v>
      </c>
      <c r="N230">
        <f t="shared" ref="N230" si="318">N229+M230*(INT(A230-6/24)-INT(A229-6/24))+O230</f>
        <v>279</v>
      </c>
      <c r="O230">
        <f t="shared" ref="O230" si="319">IF(A230&gt;=DATEVALUE("2025/11/8")+TIMEVALUE("6:00"),1,0)-IF(A229&gt;=DATEVALUE("2025/11/8")+TIMEVALUE("6:00"),1,0)
+IF(A230&gt;=DATEVALUE("2026/1/22")+TIMEVALUE("6:00"),3,0)-IF(A229&gt;=DATEVALUE("2026/1/22")+TIMEVALUE("6:00"),3,0)</f>
        <v>0</v>
      </c>
      <c r="P230" t="str">
        <f t="shared" ref="P230" si="320">IF(L230&lt;N230,"未達成（"&amp;N230-L230&amp;"）",IF(L230=N230,"達成","前倒し（"&amp;L230-N230&amp;"）"))</f>
        <v>未達成（3）</v>
      </c>
      <c r="Q230">
        <f t="shared" ref="Q230" si="321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516</v>
      </c>
      <c r="I231" t="s">
        <v>517</v>
      </c>
      <c r="J231">
        <v>0</v>
      </c>
      <c r="K231">
        <f t="shared" ref="K231" si="322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23">L230+K231</f>
        <v>278</v>
      </c>
      <c r="M231">
        <f t="shared" ref="M231" si="324">2+IF(A231&gt;=DATEVALUE("2025/11/30")+TIMEVALUE("6:00"),1,0)+IF(A231&gt;=DATEVALUE("2025/12/11")+TIMEVALUE("6:00"),1,0)</f>
        <v>4</v>
      </c>
      <c r="N231">
        <f t="shared" ref="N231" si="325">N230+M231*(INT(A231-6/24)-INT(A230-6/24))+O231</f>
        <v>279</v>
      </c>
      <c r="O231">
        <f t="shared" ref="O231" si="326">IF(A231&gt;=DATEVALUE("2025/11/8")+TIMEVALUE("6:00"),1,0)-IF(A230&gt;=DATEVALUE("2025/11/8")+TIMEVALUE("6:00"),1,0)
+IF(A231&gt;=DATEVALUE("2026/1/22")+TIMEVALUE("6:00"),3,0)-IF(A230&gt;=DATEVALUE("2026/1/22")+TIMEVALUE("6:00"),3,0)</f>
        <v>0</v>
      </c>
      <c r="P231" t="str">
        <f t="shared" ref="P231" si="327">IF(L231&lt;N231,"未達成（"&amp;N231-L231&amp;"）",IF(L231=N231,"達成","前倒し（"&amp;L231-N231&amp;"）"))</f>
        <v>未達成（1）</v>
      </c>
      <c r="Q231">
        <f t="shared" ref="Q231" si="328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518</v>
      </c>
      <c r="I232" t="s">
        <v>519</v>
      </c>
      <c r="J232">
        <v>0</v>
      </c>
      <c r="K232">
        <f t="shared" ref="K232" si="329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30">L231+K232</f>
        <v>280</v>
      </c>
      <c r="M232">
        <f t="shared" ref="M232" si="331">2+IF(A232&gt;=DATEVALUE("2025/11/30")+TIMEVALUE("6:00"),1,0)+IF(A232&gt;=DATEVALUE("2025/12/11")+TIMEVALUE("6:00"),1,0)</f>
        <v>4</v>
      </c>
      <c r="N232">
        <f t="shared" ref="N232" si="332">N231+M232*(INT(A232-6/24)-INT(A231-6/24))+O232</f>
        <v>279</v>
      </c>
      <c r="O232">
        <f t="shared" ref="O232" si="333">IF(A232&gt;=DATEVALUE("2025/11/8")+TIMEVALUE("6:00"),1,0)-IF(A231&gt;=DATEVALUE("2025/11/8")+TIMEVALUE("6:00"),1,0)
+IF(A232&gt;=DATEVALUE("2026/1/22")+TIMEVALUE("6:00"),3,0)-IF(A231&gt;=DATEVALUE("2026/1/22")+TIMEVALUE("6:00"),3,0)</f>
        <v>0</v>
      </c>
      <c r="P232" t="str">
        <f t="shared" ref="P232" si="334">IF(L232&lt;N232,"未達成（"&amp;N232-L232&amp;"）",IF(L232=N232,"達成","前倒し（"&amp;L232-N232&amp;"）"))</f>
        <v>前倒し（1）</v>
      </c>
      <c r="Q232">
        <f t="shared" ref="Q232" si="335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520</v>
      </c>
      <c r="I233" t="s">
        <v>521</v>
      </c>
      <c r="J233">
        <v>0</v>
      </c>
      <c r="K233">
        <f t="shared" ref="K233" si="336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37">L232+K233</f>
        <v>282</v>
      </c>
      <c r="M233">
        <f t="shared" ref="M233" si="338">2+IF(A233&gt;=DATEVALUE("2025/11/30")+TIMEVALUE("6:00"),1,0)+IF(A233&gt;=DATEVALUE("2025/12/11")+TIMEVALUE("6:00"),1,0)</f>
        <v>4</v>
      </c>
      <c r="N233">
        <f t="shared" ref="N233" si="339">N232+M233*(INT(A233-6/24)-INT(A232-6/24))+O233</f>
        <v>283</v>
      </c>
      <c r="O233">
        <f t="shared" ref="O233" si="340">IF(A233&gt;=DATEVALUE("2025/11/8")+TIMEVALUE("6:00"),1,0)-IF(A232&gt;=DATEVALUE("2025/11/8")+TIMEVALUE("6:00"),1,0)
+IF(A233&gt;=DATEVALUE("2026/1/22")+TIMEVALUE("6:00"),3,0)-IF(A232&gt;=DATEVALUE("2026/1/22")+TIMEVALUE("6:00"),3,0)</f>
        <v>0</v>
      </c>
      <c r="P233" t="str">
        <f t="shared" ref="P233" si="341">IF(L233&lt;N233,"未達成（"&amp;N233-L233&amp;"）",IF(L233=N233,"達成","前倒し（"&amp;L233-N233&amp;"）"))</f>
        <v>未達成（1）</v>
      </c>
      <c r="Q233">
        <f t="shared" ref="Q233" si="342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522</v>
      </c>
      <c r="I234" t="s">
        <v>523</v>
      </c>
      <c r="J234">
        <v>0</v>
      </c>
      <c r="K234">
        <f t="shared" ref="K234" si="343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44">L233+K234</f>
        <v>283</v>
      </c>
      <c r="M234">
        <f t="shared" ref="M234" si="345">2+IF(A234&gt;=DATEVALUE("2025/11/30")+TIMEVALUE("6:00"),1,0)+IF(A234&gt;=DATEVALUE("2025/12/11")+TIMEVALUE("6:00"),1,0)</f>
        <v>4</v>
      </c>
      <c r="N234">
        <f t="shared" ref="N234" si="346">N233+M234*(INT(A234-6/24)-INT(A233-6/24))+O234</f>
        <v>283</v>
      </c>
      <c r="O234">
        <f t="shared" ref="O234" si="347">IF(A234&gt;=DATEVALUE("2025/11/8")+TIMEVALUE("6:00"),1,0)-IF(A233&gt;=DATEVALUE("2025/11/8")+TIMEVALUE("6:00"),1,0)
+IF(A234&gt;=DATEVALUE("2026/1/22")+TIMEVALUE("6:00"),3,0)-IF(A233&gt;=DATEVALUE("2026/1/22")+TIMEVALUE("6:00"),3,0)</f>
        <v>0</v>
      </c>
      <c r="P234" t="str">
        <f t="shared" ref="P234" si="348">IF(L234&lt;N234,"未達成（"&amp;N234-L234&amp;"）",IF(L234=N234,"達成","前倒し（"&amp;L234-N234&amp;"）"))</f>
        <v>達成</v>
      </c>
      <c r="Q234">
        <f t="shared" ref="Q234" si="349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524</v>
      </c>
      <c r="I235" t="s">
        <v>525</v>
      </c>
      <c r="J235">
        <v>0</v>
      </c>
      <c r="K235">
        <f t="shared" ref="K235" si="350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51">L234+K235</f>
        <v>284</v>
      </c>
      <c r="M235">
        <f t="shared" ref="M235" si="352">2+IF(A235&gt;=DATEVALUE("2025/11/30")+TIMEVALUE("6:00"),1,0)+IF(A235&gt;=DATEVALUE("2025/12/11")+TIMEVALUE("6:00"),1,0)</f>
        <v>4</v>
      </c>
      <c r="N235">
        <f t="shared" ref="N235" si="353">N234+M235*(INT(A235-6/24)-INT(A234-6/24))+O235</f>
        <v>287</v>
      </c>
      <c r="O235">
        <f t="shared" ref="O235" si="354">IF(A235&gt;=DATEVALUE("2025/11/8")+TIMEVALUE("6:00"),1,0)-IF(A234&gt;=DATEVALUE("2025/11/8")+TIMEVALUE("6:00"),1,0)
+IF(A235&gt;=DATEVALUE("2026/1/22")+TIMEVALUE("6:00"),3,0)-IF(A234&gt;=DATEVALUE("2026/1/22")+TIMEVALUE("6:00"),3,0)</f>
        <v>0</v>
      </c>
      <c r="P235" t="str">
        <f t="shared" ref="P235" si="355">IF(L235&lt;N235,"未達成（"&amp;N235-L235&amp;"）",IF(L235=N235,"達成","前倒し（"&amp;L235-N235&amp;"）"))</f>
        <v>未達成（3）</v>
      </c>
      <c r="Q235">
        <f t="shared" ref="Q235" si="356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526</v>
      </c>
      <c r="I236" t="s">
        <v>527</v>
      </c>
      <c r="J236">
        <v>0</v>
      </c>
      <c r="K236">
        <f t="shared" ref="K236" si="357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58">L235+K236</f>
        <v>284</v>
      </c>
      <c r="M236">
        <f t="shared" ref="M236" si="359">2+IF(A236&gt;=DATEVALUE("2025/11/30")+TIMEVALUE("6:00"),1,0)+IF(A236&gt;=DATEVALUE("2025/12/11")+TIMEVALUE("6:00"),1,0)</f>
        <v>4</v>
      </c>
      <c r="N236">
        <f t="shared" ref="N236" si="360">N235+M236*(INT(A236-6/24)-INT(A235-6/24))+O236</f>
        <v>287</v>
      </c>
      <c r="O236">
        <f t="shared" ref="O236" si="361">IF(A236&gt;=DATEVALUE("2025/11/8")+TIMEVALUE("6:00"),1,0)-IF(A235&gt;=DATEVALUE("2025/11/8")+TIMEVALUE("6:00"),1,0)
+IF(A236&gt;=DATEVALUE("2026/1/22")+TIMEVALUE("6:00"),3,0)-IF(A235&gt;=DATEVALUE("2026/1/22")+TIMEVALUE("6:00"),3,0)</f>
        <v>0</v>
      </c>
      <c r="P236" t="str">
        <f t="shared" ref="P236" si="362">IF(L236&lt;N236,"未達成（"&amp;N236-L236&amp;"）",IF(L236=N236,"達成","前倒し（"&amp;L236-N236&amp;"）"))</f>
        <v>未達成（3）</v>
      </c>
      <c r="Q236">
        <f t="shared" ref="Q236" si="363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528</v>
      </c>
      <c r="I237" t="s">
        <v>529</v>
      </c>
      <c r="J237">
        <v>0</v>
      </c>
      <c r="K237">
        <f t="shared" ref="K237" si="364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65">L236+K237</f>
        <v>285</v>
      </c>
      <c r="M237">
        <f t="shared" ref="M237" si="366">2+IF(A237&gt;=DATEVALUE("2025/11/30")+TIMEVALUE("6:00"),1,0)+IF(A237&gt;=DATEVALUE("2025/12/11")+TIMEVALUE("6:00"),1,0)</f>
        <v>4</v>
      </c>
      <c r="N237">
        <f t="shared" ref="N237" si="367">N236+M237*(INT(A237-6/24)-INT(A236-6/24))+O237</f>
        <v>287</v>
      </c>
      <c r="O237">
        <f t="shared" ref="O237" si="368">IF(A237&gt;=DATEVALUE("2025/11/8")+TIMEVALUE("6:00"),1,0)-IF(A236&gt;=DATEVALUE("2025/11/8")+TIMEVALUE("6:00"),1,0)
+IF(A237&gt;=DATEVALUE("2026/1/22")+TIMEVALUE("6:00"),3,0)-IF(A236&gt;=DATEVALUE("2026/1/22")+TIMEVALUE("6:00"),3,0)</f>
        <v>0</v>
      </c>
      <c r="P237" t="str">
        <f t="shared" ref="P237" si="369">IF(L237&lt;N237,"未達成（"&amp;N237-L237&amp;"）",IF(L237=N237,"達成","前倒し（"&amp;L237-N237&amp;"）"))</f>
        <v>未達成（2）</v>
      </c>
      <c r="Q237">
        <f t="shared" ref="Q237" si="37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530</v>
      </c>
      <c r="I238" t="s">
        <v>531</v>
      </c>
      <c r="J238">
        <v>0</v>
      </c>
      <c r="K238">
        <f t="shared" ref="K238" si="37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72">L237+K238</f>
        <v>285</v>
      </c>
      <c r="M238">
        <f t="shared" ref="M238" si="373">2+IF(A238&gt;=DATEVALUE("2025/11/30")+TIMEVALUE("6:00"),1,0)+IF(A238&gt;=DATEVALUE("2025/12/11")+TIMEVALUE("6:00"),1,0)</f>
        <v>4</v>
      </c>
      <c r="N238">
        <f t="shared" ref="N238" si="374">N237+M238*(INT(A238-6/24)-INT(A237-6/24))+O238</f>
        <v>287</v>
      </c>
      <c r="O238">
        <f t="shared" ref="O238" si="375">IF(A238&gt;=DATEVALUE("2025/11/8")+TIMEVALUE("6:00"),1,0)-IF(A237&gt;=DATEVALUE("2025/11/8")+TIMEVALUE("6:00"),1,0)
+IF(A238&gt;=DATEVALUE("2026/1/22")+TIMEVALUE("6:00"),3,0)-IF(A237&gt;=DATEVALUE("2026/1/22")+TIMEVALUE("6:00"),3,0)</f>
        <v>0</v>
      </c>
      <c r="P238" t="str">
        <f t="shared" ref="P238" si="376">IF(L238&lt;N238,"未達成（"&amp;N238-L238&amp;"）",IF(L238=N238,"達成","前倒し（"&amp;L238-N238&amp;"）"))</f>
        <v>未達成（2）</v>
      </c>
      <c r="Q238">
        <f t="shared" ref="Q238" si="377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532</v>
      </c>
      <c r="I239" t="s">
        <v>533</v>
      </c>
      <c r="J239">
        <v>0</v>
      </c>
      <c r="K239">
        <f t="shared" ref="K239" si="378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79">L238+K239</f>
        <v>287</v>
      </c>
      <c r="M239">
        <f t="shared" ref="M239" si="380">2+IF(A239&gt;=DATEVALUE("2025/11/30")+TIMEVALUE("6:00"),1,0)+IF(A239&gt;=DATEVALUE("2025/12/11")+TIMEVALUE("6:00"),1,0)</f>
        <v>4</v>
      </c>
      <c r="N239">
        <f t="shared" ref="N239" si="381">N238+M239*(INT(A239-6/24)-INT(A238-6/24))+O239</f>
        <v>287</v>
      </c>
      <c r="O239">
        <f t="shared" ref="O239" si="382">IF(A239&gt;=DATEVALUE("2025/11/8")+TIMEVALUE("6:00"),1,0)-IF(A238&gt;=DATEVALUE("2025/11/8")+TIMEVALUE("6:00"),1,0)
+IF(A239&gt;=DATEVALUE("2026/1/22")+TIMEVALUE("6:00"),3,0)-IF(A238&gt;=DATEVALUE("2026/1/22")+TIMEVALUE("6:00"),3,0)</f>
        <v>0</v>
      </c>
      <c r="P239" t="str">
        <f t="shared" ref="P239" si="383">IF(L239&lt;N239,"未達成（"&amp;N239-L239&amp;"）",IF(L239=N239,"達成","前倒し（"&amp;L239-N239&amp;"）"))</f>
        <v>達成</v>
      </c>
      <c r="Q239">
        <f t="shared" ref="Q239" si="384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534</v>
      </c>
      <c r="I240" t="s">
        <v>535</v>
      </c>
      <c r="J240">
        <v>0</v>
      </c>
      <c r="K240">
        <f t="shared" ref="K240" si="385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86">L239+K240</f>
        <v>288</v>
      </c>
      <c r="M240">
        <f t="shared" ref="M240" si="387">2+IF(A240&gt;=DATEVALUE("2025/11/30")+TIMEVALUE("6:00"),1,0)+IF(A240&gt;=DATEVALUE("2025/12/11")+TIMEVALUE("6:00"),1,0)</f>
        <v>4</v>
      </c>
      <c r="N240">
        <f t="shared" ref="N240" si="388">N239+M240*(INT(A240-6/24)-INT(A239-6/24))+O240</f>
        <v>291</v>
      </c>
      <c r="O240">
        <f t="shared" ref="O240" si="389">IF(A240&gt;=DATEVALUE("2025/11/8")+TIMEVALUE("6:00"),1,0)-IF(A239&gt;=DATEVALUE("2025/11/8")+TIMEVALUE("6:00"),1,0)
+IF(A240&gt;=DATEVALUE("2026/1/22")+TIMEVALUE("6:00"),3,0)-IF(A239&gt;=DATEVALUE("2026/1/22")+TIMEVALUE("6:00"),3,0)</f>
        <v>0</v>
      </c>
      <c r="P240" t="str">
        <f t="shared" ref="P240" si="390">IF(L240&lt;N240,"未達成（"&amp;N240-L240&amp;"）",IF(L240=N240,"達成","前倒し（"&amp;L240-N240&amp;"）"))</f>
        <v>未達成（3）</v>
      </c>
      <c r="Q240">
        <f t="shared" ref="Q240" si="391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536</v>
      </c>
      <c r="I241" t="s">
        <v>537</v>
      </c>
      <c r="J241">
        <v>0</v>
      </c>
      <c r="K241">
        <f t="shared" ref="K241" si="392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93">L240+K241</f>
        <v>290</v>
      </c>
      <c r="M241">
        <f t="shared" ref="M241" si="394">2+IF(A241&gt;=DATEVALUE("2025/11/30")+TIMEVALUE("6:00"),1,0)+IF(A241&gt;=DATEVALUE("2025/12/11")+TIMEVALUE("6:00"),1,0)</f>
        <v>4</v>
      </c>
      <c r="N241">
        <f t="shared" ref="N241" si="395">N240+M241*(INT(A241-6/24)-INT(A240-6/24))+O241</f>
        <v>291</v>
      </c>
      <c r="O241">
        <f t="shared" ref="O241" si="396">IF(A241&gt;=DATEVALUE("2025/11/8")+TIMEVALUE("6:00"),1,0)-IF(A240&gt;=DATEVALUE("2025/11/8")+TIMEVALUE("6:00"),1,0)
+IF(A241&gt;=DATEVALUE("2026/1/22")+TIMEVALUE("6:00"),3,0)-IF(A240&gt;=DATEVALUE("2026/1/22")+TIMEVALUE("6:00"),3,0)</f>
        <v>0</v>
      </c>
      <c r="P241" t="str">
        <f t="shared" ref="P241" si="397">IF(L241&lt;N241,"未達成（"&amp;N241-L241&amp;"）",IF(L241=N241,"達成","前倒し（"&amp;L241-N241&amp;"）"))</f>
        <v>未達成（1）</v>
      </c>
      <c r="Q241">
        <f t="shared" ref="Q241" si="398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538</v>
      </c>
      <c r="I242" t="s">
        <v>539</v>
      </c>
      <c r="J242">
        <v>0</v>
      </c>
      <c r="K242">
        <f t="shared" ref="K242" si="399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400">L241+K242</f>
        <v>292</v>
      </c>
      <c r="M242">
        <f t="shared" ref="M242" si="401">2+IF(A242&gt;=DATEVALUE("2025/11/30")+TIMEVALUE("6:00"),1,0)+IF(A242&gt;=DATEVALUE("2025/12/11")+TIMEVALUE("6:00"),1,0)</f>
        <v>4</v>
      </c>
      <c r="N242">
        <f t="shared" ref="N242" si="402">N241+M242*(INT(A242-6/24)-INT(A241-6/24))+O242</f>
        <v>291</v>
      </c>
      <c r="O242">
        <f t="shared" ref="O242" si="403">IF(A242&gt;=DATEVALUE("2025/11/8")+TIMEVALUE("6:00"),1,0)-IF(A241&gt;=DATEVALUE("2025/11/8")+TIMEVALUE("6:00"),1,0)
+IF(A242&gt;=DATEVALUE("2026/1/22")+TIMEVALUE("6:00"),3,0)-IF(A241&gt;=DATEVALUE("2026/1/22")+TIMEVALUE("6:00"),3,0)</f>
        <v>0</v>
      </c>
      <c r="P242" t="str">
        <f t="shared" ref="P242" si="404">IF(L242&lt;N242,"未達成（"&amp;N242-L242&amp;"）",IF(L242=N242,"達成","前倒し（"&amp;L242-N242&amp;"）"))</f>
        <v>前倒し（1）</v>
      </c>
      <c r="Q242">
        <f t="shared" ref="Q242" si="405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540</v>
      </c>
      <c r="I243" t="s">
        <v>541</v>
      </c>
      <c r="J243">
        <v>0</v>
      </c>
      <c r="K243">
        <f t="shared" ref="K243" si="406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407">L242+K243</f>
        <v>292</v>
      </c>
      <c r="M243">
        <f t="shared" ref="M243" si="408">2+IF(A243&gt;=DATEVALUE("2025/11/30")+TIMEVALUE("6:00"),1,0)+IF(A243&gt;=DATEVALUE("2025/12/11")+TIMEVALUE("6:00"),1,0)</f>
        <v>4</v>
      </c>
      <c r="N243">
        <f t="shared" ref="N243" si="409">N242+M243*(INT(A243-6/24)-INT(A242-6/24))+O243</f>
        <v>295</v>
      </c>
      <c r="O243">
        <f t="shared" ref="O243" si="410">IF(A243&gt;=DATEVALUE("2025/11/8")+TIMEVALUE("6:00"),1,0)-IF(A242&gt;=DATEVALUE("2025/11/8")+TIMEVALUE("6:00"),1,0)
+IF(A243&gt;=DATEVALUE("2026/1/22")+TIMEVALUE("6:00"),3,0)-IF(A242&gt;=DATEVALUE("2026/1/22")+TIMEVALUE("6:00"),3,0)</f>
        <v>0</v>
      </c>
      <c r="P243" t="str">
        <f t="shared" ref="P243" si="411">IF(L243&lt;N243,"未達成（"&amp;N243-L243&amp;"）",IF(L243=N243,"達成","前倒し（"&amp;L243-N243&amp;"）"))</f>
        <v>未達成（3）</v>
      </c>
      <c r="Q243">
        <f t="shared" ref="Q243" si="412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542</v>
      </c>
      <c r="I244" t="s">
        <v>544</v>
      </c>
      <c r="J244">
        <v>1</v>
      </c>
      <c r="K244">
        <f t="shared" ref="K244" si="413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414">L243+K244</f>
        <v>292</v>
      </c>
      <c r="M244">
        <f t="shared" ref="M244" si="415">2+IF(A244&gt;=DATEVALUE("2025/11/30")+TIMEVALUE("6:00"),1,0)+IF(A244&gt;=DATEVALUE("2025/12/11")+TIMEVALUE("6:00"),1,0)</f>
        <v>4</v>
      </c>
      <c r="N244">
        <f t="shared" ref="N244" si="416">N243+M244*(INT(A244-6/24)-INT(A243-6/24))+O244</f>
        <v>295</v>
      </c>
      <c r="O244">
        <f t="shared" ref="O244" si="417">IF(A244&gt;=DATEVALUE("2025/11/8")+TIMEVALUE("6:00"),1,0)-IF(A243&gt;=DATEVALUE("2025/11/8")+TIMEVALUE("6:00"),1,0)
+IF(A244&gt;=DATEVALUE("2026/1/22")+TIMEVALUE("6:00"),3,0)-IF(A243&gt;=DATEVALUE("2026/1/22")+TIMEVALUE("6:00"),3,0)</f>
        <v>0</v>
      </c>
      <c r="P244" t="str">
        <f t="shared" ref="P244" si="418">IF(L244&lt;N244,"未達成（"&amp;N244-L244&amp;"）",IF(L244=N244,"達成","前倒し（"&amp;L244-N244&amp;"）"))</f>
        <v>未達成（3）</v>
      </c>
      <c r="Q244" t="e">
        <f t="shared" ref="Q244" si="419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545</v>
      </c>
      <c r="I245" t="s">
        <v>543</v>
      </c>
      <c r="J245">
        <v>0</v>
      </c>
      <c r="K245">
        <f t="shared" ref="K245" si="420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421">L244+K245</f>
        <v>294</v>
      </c>
      <c r="M245">
        <f t="shared" ref="M245" si="422">2+IF(A245&gt;=DATEVALUE("2025/11/30")+TIMEVALUE("6:00"),1,0)+IF(A245&gt;=DATEVALUE("2025/12/11")+TIMEVALUE("6:00"),1,0)</f>
        <v>4</v>
      </c>
      <c r="N245">
        <f t="shared" ref="N245" si="423">N244+M245*(INT(A245-6/24)-INT(A244-6/24))+O245</f>
        <v>295</v>
      </c>
      <c r="O245">
        <f t="shared" ref="O245" si="424">IF(A245&gt;=DATEVALUE("2025/11/8")+TIMEVALUE("6:00"),1,0)-IF(A244&gt;=DATEVALUE("2025/11/8")+TIMEVALUE("6:00"),1,0)
+IF(A245&gt;=DATEVALUE("2026/1/22")+TIMEVALUE("6:00"),3,0)-IF(A244&gt;=DATEVALUE("2026/1/22")+TIMEVALUE("6:00"),3,0)</f>
        <v>0</v>
      </c>
      <c r="P245" t="str">
        <f t="shared" ref="P245" si="425">IF(L245&lt;N245,"未達成（"&amp;N245-L245&amp;"）",IF(L245=N245,"達成","前倒し（"&amp;L245-N245&amp;"）"))</f>
        <v>未達成（1）</v>
      </c>
      <c r="Q245">
        <f t="shared" ref="Q245" si="426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546</v>
      </c>
      <c r="I246" t="s">
        <v>547</v>
      </c>
      <c r="J246">
        <v>0</v>
      </c>
      <c r="K246">
        <f t="shared" ref="K246" si="427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28">L245+K246</f>
        <v>296</v>
      </c>
      <c r="M246">
        <f t="shared" ref="M246" si="429">2+IF(A246&gt;=DATEVALUE("2025/11/30")+TIMEVALUE("6:00"),1,0)+IF(A246&gt;=DATEVALUE("2025/12/11")+TIMEVALUE("6:00"),1,0)</f>
        <v>4</v>
      </c>
      <c r="N246">
        <f t="shared" ref="N246" si="430">N245+M246*(INT(A246-6/24)-INT(A245-6/24))+O246</f>
        <v>295</v>
      </c>
      <c r="O246">
        <f t="shared" ref="O246" si="431">IF(A246&gt;=DATEVALUE("2025/11/8")+TIMEVALUE("6:00"),1,0)-IF(A245&gt;=DATEVALUE("2025/11/8")+TIMEVALUE("6:00"),1,0)
+IF(A246&gt;=DATEVALUE("2026/1/22")+TIMEVALUE("6:00"),3,0)-IF(A245&gt;=DATEVALUE("2026/1/22")+TIMEVALUE("6:00"),3,0)</f>
        <v>0</v>
      </c>
      <c r="P246" t="str">
        <f t="shared" ref="P246" si="432">IF(L246&lt;N246,"未達成（"&amp;N246-L246&amp;"）",IF(L246=N246,"達成","前倒し（"&amp;L246-N246&amp;"）"))</f>
        <v>前倒し（1）</v>
      </c>
      <c r="Q246">
        <f t="shared" ref="Q246" si="433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548</v>
      </c>
      <c r="I247" t="s">
        <v>549</v>
      </c>
      <c r="J247">
        <v>0</v>
      </c>
      <c r="K247">
        <f t="shared" ref="K247" si="434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35">L246+K247</f>
        <v>298</v>
      </c>
      <c r="M247">
        <f t="shared" ref="M247" si="436">2+IF(A247&gt;=DATEVALUE("2025/11/30")+TIMEVALUE("6:00"),1,0)+IF(A247&gt;=DATEVALUE("2025/12/11")+TIMEVALUE("6:00"),1,0)</f>
        <v>4</v>
      </c>
      <c r="N247">
        <f t="shared" ref="N247" si="437">N246+M247*(INT(A247-6/24)-INT(A246-6/24))+O247</f>
        <v>299</v>
      </c>
      <c r="O247">
        <f t="shared" ref="O247" si="438">IF(A247&gt;=DATEVALUE("2025/11/8")+TIMEVALUE("6:00"),1,0)-IF(A246&gt;=DATEVALUE("2025/11/8")+TIMEVALUE("6:00"),1,0)
+IF(A247&gt;=DATEVALUE("2026/1/22")+TIMEVALUE("6:00"),3,0)-IF(A246&gt;=DATEVALUE("2026/1/22")+TIMEVALUE("6:00"),3,0)</f>
        <v>0</v>
      </c>
      <c r="P247" t="str">
        <f t="shared" ref="P247" si="439">IF(L247&lt;N247,"未達成（"&amp;N247-L247&amp;"）",IF(L247=N247,"達成","前倒し（"&amp;L247-N247&amp;"）"))</f>
        <v>未達成（1）</v>
      </c>
      <c r="Q247">
        <f t="shared" ref="Q247" si="44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550</v>
      </c>
      <c r="I248" t="s">
        <v>551</v>
      </c>
      <c r="J248">
        <v>0</v>
      </c>
      <c r="K248">
        <f t="shared" ref="K248" si="44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42">L247+K248</f>
        <v>300</v>
      </c>
      <c r="M248">
        <f t="shared" ref="M248" si="443">2+IF(A248&gt;=DATEVALUE("2025/11/30")+TIMEVALUE("6:00"),1,0)+IF(A248&gt;=DATEVALUE("2025/12/11")+TIMEVALUE("6:00"),1,0)</f>
        <v>4</v>
      </c>
      <c r="N248">
        <f t="shared" ref="N248" si="444">N247+M248*(INT(A248-6/24)-INT(A247-6/24))+O248</f>
        <v>299</v>
      </c>
      <c r="O248">
        <f t="shared" ref="O248" si="445">IF(A248&gt;=DATEVALUE("2025/11/8")+TIMEVALUE("6:00"),1,0)-IF(A247&gt;=DATEVALUE("2025/11/8")+TIMEVALUE("6:00"),1,0)
+IF(A248&gt;=DATEVALUE("2026/1/22")+TIMEVALUE("6:00"),3,0)-IF(A247&gt;=DATEVALUE("2026/1/22")+TIMEVALUE("6:00"),3,0)</f>
        <v>0</v>
      </c>
      <c r="P248" t="str">
        <f t="shared" ref="P248" si="446">IF(L248&lt;N248,"未達成（"&amp;N248-L248&amp;"）",IF(L248=N248,"達成","前倒し（"&amp;L248-N248&amp;"）"))</f>
        <v>前倒し（1）</v>
      </c>
      <c r="Q248">
        <f t="shared" ref="Q248" si="447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552</v>
      </c>
      <c r="I249" t="s">
        <v>553</v>
      </c>
      <c r="J249">
        <v>0</v>
      </c>
      <c r="K249">
        <f t="shared" ref="K249" si="448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49">L248+K249</f>
        <v>301</v>
      </c>
      <c r="M249">
        <f t="shared" ref="M249" si="450">2+IF(A249&gt;=DATEVALUE("2025/11/30")+TIMEVALUE("6:00"),1,0)+IF(A249&gt;=DATEVALUE("2025/12/11")+TIMEVALUE("6:00"),1,0)</f>
        <v>4</v>
      </c>
      <c r="N249">
        <f t="shared" ref="N249" si="451">N248+M249*(INT(A249-6/24)-INT(A248-6/24))+O249</f>
        <v>303</v>
      </c>
      <c r="O249">
        <f t="shared" ref="O249" si="452">IF(A249&gt;=DATEVALUE("2025/11/8")+TIMEVALUE("6:00"),1,0)-IF(A248&gt;=DATEVALUE("2025/11/8")+TIMEVALUE("6:00"),1,0)
+IF(A249&gt;=DATEVALUE("2026/1/22")+TIMEVALUE("6:00"),3,0)-IF(A248&gt;=DATEVALUE("2026/1/22")+TIMEVALUE("6:00"),3,0)</f>
        <v>0</v>
      </c>
      <c r="P249" t="str">
        <f t="shared" ref="P249" si="453">IF(L249&lt;N249,"未達成（"&amp;N249-L249&amp;"）",IF(L249=N249,"達成","前倒し（"&amp;L249-N249&amp;"）"))</f>
        <v>未達成（2）</v>
      </c>
      <c r="Q249">
        <f t="shared" ref="Q249" si="454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554</v>
      </c>
      <c r="I250" t="s">
        <v>555</v>
      </c>
      <c r="J250">
        <v>0</v>
      </c>
      <c r="K250">
        <f t="shared" ref="K250" si="455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56">L249+K250</f>
        <v>303</v>
      </c>
      <c r="M250">
        <f t="shared" ref="M250" si="457">2+IF(A250&gt;=DATEVALUE("2025/11/30")+TIMEVALUE("6:00"),1,0)+IF(A250&gt;=DATEVALUE("2025/12/11")+TIMEVALUE("6:00"),1,0)</f>
        <v>4</v>
      </c>
      <c r="N250">
        <f t="shared" ref="N250" si="458">N249+M250*(INT(A250-6/24)-INT(A249-6/24))+O250</f>
        <v>303</v>
      </c>
      <c r="O250">
        <f t="shared" ref="O250" si="459">IF(A250&gt;=DATEVALUE("2025/11/8")+TIMEVALUE("6:00"),1,0)-IF(A249&gt;=DATEVALUE("2025/11/8")+TIMEVALUE("6:00"),1,0)
+IF(A250&gt;=DATEVALUE("2026/1/22")+TIMEVALUE("6:00"),3,0)-IF(A249&gt;=DATEVALUE("2026/1/22")+TIMEVALUE("6:00"),3,0)</f>
        <v>0</v>
      </c>
      <c r="P250" t="str">
        <f t="shared" ref="P250" si="460">IF(L250&lt;N250,"未達成（"&amp;N250-L250&amp;"）",IF(L250=N250,"達成","前倒し（"&amp;L250-N250&amp;"）"))</f>
        <v>達成</v>
      </c>
      <c r="Q250">
        <f t="shared" ref="Q250" si="461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556</v>
      </c>
      <c r="I251" t="s">
        <v>557</v>
      </c>
      <c r="J251">
        <v>0</v>
      </c>
      <c r="K251">
        <f t="shared" ref="K251" si="462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63">L250+K251</f>
        <v>305</v>
      </c>
      <c r="M251">
        <f t="shared" ref="M251" si="464">2+IF(A251&gt;=DATEVALUE("2025/11/30")+TIMEVALUE("6:00"),1,0)+IF(A251&gt;=DATEVALUE("2025/12/11")+TIMEVALUE("6:00"),1,0)</f>
        <v>4</v>
      </c>
      <c r="N251">
        <f t="shared" ref="N251" si="465">N250+M251*(INT(A251-6/24)-INT(A250-6/24))+O251</f>
        <v>307</v>
      </c>
      <c r="O251">
        <f t="shared" ref="O251" si="466">IF(A251&gt;=DATEVALUE("2025/11/8")+TIMEVALUE("6:00"),1,0)-IF(A250&gt;=DATEVALUE("2025/11/8")+TIMEVALUE("6:00"),1,0)
+IF(A251&gt;=DATEVALUE("2026/1/22")+TIMEVALUE("6:00"),3,0)-IF(A250&gt;=DATEVALUE("2026/1/22")+TIMEVALUE("6:00"),3,0)</f>
        <v>0</v>
      </c>
      <c r="P251" t="str">
        <f t="shared" ref="P251" si="467">IF(L251&lt;N251,"未達成（"&amp;N251-L251&amp;"）",IF(L251=N251,"達成","前倒し（"&amp;L251-N251&amp;"）"))</f>
        <v>未達成（2）</v>
      </c>
      <c r="Q251">
        <f t="shared" ref="Q251" si="468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558</v>
      </c>
      <c r="I252" t="s">
        <v>561</v>
      </c>
      <c r="J252">
        <v>1</v>
      </c>
      <c r="K252">
        <f t="shared" ref="K252" si="469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70">L251+K252</f>
        <v>305</v>
      </c>
      <c r="M252">
        <f t="shared" ref="M252" si="471">2+IF(A252&gt;=DATEVALUE("2025/11/30")+TIMEVALUE("6:00"),1,0)+IF(A252&gt;=DATEVALUE("2025/12/11")+TIMEVALUE("6:00"),1,0)</f>
        <v>4</v>
      </c>
      <c r="N252">
        <f t="shared" ref="N252" si="472">N251+M252*(INT(A252-6/24)-INT(A251-6/24))+O252</f>
        <v>307</v>
      </c>
      <c r="O252">
        <f t="shared" ref="O252" si="473">IF(A252&gt;=DATEVALUE("2025/11/8")+TIMEVALUE("6:00"),1,0)-IF(A251&gt;=DATEVALUE("2025/11/8")+TIMEVALUE("6:00"),1,0)
+IF(A252&gt;=DATEVALUE("2026/1/22")+TIMEVALUE("6:00"),3,0)-IF(A251&gt;=DATEVALUE("2026/1/22")+TIMEVALUE("6:00"),3,0)</f>
        <v>0</v>
      </c>
      <c r="P252" t="str">
        <f t="shared" ref="P252" si="474">IF(L252&lt;N252,"未達成（"&amp;N252-L252&amp;"）",IF(L252=N252,"達成","前倒し（"&amp;L252-N252&amp;"）"))</f>
        <v>未達成（2）</v>
      </c>
      <c r="Q252" t="e">
        <f t="shared" ref="Q252" si="475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559</v>
      </c>
      <c r="I253" t="s">
        <v>560</v>
      </c>
      <c r="J253">
        <v>1</v>
      </c>
      <c r="K253">
        <f t="shared" ref="K253" si="476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77">L252+K253</f>
        <v>305</v>
      </c>
      <c r="M253">
        <f t="shared" ref="M253" si="478">2+IF(A253&gt;=DATEVALUE("2025/11/30")+TIMEVALUE("6:00"),1,0)+IF(A253&gt;=DATEVALUE("2025/12/11")+TIMEVALUE("6:00"),1,0)</f>
        <v>4</v>
      </c>
      <c r="N253">
        <f t="shared" ref="N253" si="479">N252+M253*(INT(A253-6/24)-INT(A252-6/24))+O253</f>
        <v>307</v>
      </c>
      <c r="O253">
        <f t="shared" ref="O253" si="480">IF(A253&gt;=DATEVALUE("2025/11/8")+TIMEVALUE("6:00"),1,0)-IF(A252&gt;=DATEVALUE("2025/11/8")+TIMEVALUE("6:00"),1,0)
+IF(A253&gt;=DATEVALUE("2026/1/22")+TIMEVALUE("6:00"),3,0)-IF(A252&gt;=DATEVALUE("2026/1/22")+TIMEVALUE("6:00"),3,0)</f>
        <v>0</v>
      </c>
      <c r="P253" t="str">
        <f t="shared" ref="P253" si="481">IF(L253&lt;N253,"未達成（"&amp;N253-L253&amp;"）",IF(L253=N253,"達成","前倒し（"&amp;L253-N253&amp;"）"))</f>
        <v>未達成（2）</v>
      </c>
      <c r="Q253" t="e">
        <f t="shared" ref="Q253" si="482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562</v>
      </c>
      <c r="I254" t="s">
        <v>563</v>
      </c>
      <c r="J254">
        <v>0</v>
      </c>
      <c r="K254">
        <f t="shared" ref="K254" si="483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84">L253+K254</f>
        <v>307</v>
      </c>
      <c r="M254">
        <f t="shared" ref="M254" si="485">2+IF(A254&gt;=DATEVALUE("2025/11/30")+TIMEVALUE("6:00"),1,0)+IF(A254&gt;=DATEVALUE("2025/12/11")+TIMEVALUE("6:00"),1,0)</f>
        <v>4</v>
      </c>
      <c r="N254">
        <f t="shared" ref="N254" si="486">N253+M254*(INT(A254-6/24)-INT(A253-6/24))+O254</f>
        <v>307</v>
      </c>
      <c r="O254">
        <f t="shared" ref="O254" si="487">IF(A254&gt;=DATEVALUE("2025/11/8")+TIMEVALUE("6:00"),1,0)-IF(A253&gt;=DATEVALUE("2025/11/8")+TIMEVALUE("6:00"),1,0)
+IF(A254&gt;=DATEVALUE("2026/1/22")+TIMEVALUE("6:00"),3,0)-IF(A253&gt;=DATEVALUE("2026/1/22")+TIMEVALUE("6:00"),3,0)</f>
        <v>0</v>
      </c>
      <c r="P254" t="str">
        <f t="shared" ref="P254" si="488">IF(L254&lt;N254,"未達成（"&amp;N254-L254&amp;"）",IF(L254=N254,"達成","前倒し（"&amp;L254-N254&amp;"）"))</f>
        <v>達成</v>
      </c>
      <c r="Q254">
        <f t="shared" ref="Q254" si="489">IF(B254="",NA(),G254)</f>
        <v>6.6203703681821935E-3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CreateChart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/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2026-02-02T21:51:43Z</dcterms:modified>
</cp:coreProperties>
</file>
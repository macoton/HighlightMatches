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4D8807D-98E7-4F5F-9CF0-F9412752EA11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0" i="4" l="1"/>
  <c r="O200" i="4"/>
  <c r="M200" i="4"/>
  <c r="N200" i="4" s="1"/>
  <c r="K200" i="4"/>
  <c r="L200" i="4" s="1"/>
  <c r="Q199" i="4"/>
  <c r="O199" i="4"/>
  <c r="M199" i="4"/>
  <c r="N199" i="4" s="1"/>
  <c r="K199" i="4"/>
  <c r="L199" i="4" s="1"/>
  <c r="P199" i="4" s="1"/>
  <c r="Q198" i="4"/>
  <c r="O198" i="4"/>
  <c r="M198" i="4"/>
  <c r="N198" i="4" s="1"/>
  <c r="K198" i="4"/>
  <c r="L198" i="4" s="1"/>
  <c r="Q197" i="4"/>
  <c r="O197" i="4"/>
  <c r="M197" i="4"/>
  <c r="N197" i="4" s="1"/>
  <c r="K197" i="4"/>
  <c r="L197" i="4" s="1"/>
  <c r="P197" i="4" s="1"/>
  <c r="Q196" i="4"/>
  <c r="O196" i="4"/>
  <c r="M196" i="4"/>
  <c r="N196" i="4" s="1"/>
  <c r="K196" i="4"/>
  <c r="L196" i="4" s="1"/>
  <c r="P196" i="4" s="1"/>
  <c r="Q195" i="4"/>
  <c r="O195" i="4"/>
  <c r="M195" i="4"/>
  <c r="N195" i="4" s="1"/>
  <c r="K195" i="4"/>
  <c r="L195" i="4" s="1"/>
  <c r="P195" i="4" s="1"/>
  <c r="Q194" i="4"/>
  <c r="O194" i="4"/>
  <c r="M194" i="4"/>
  <c r="N194" i="4" s="1"/>
  <c r="K194" i="4"/>
  <c r="L194" i="4" s="1"/>
  <c r="P194" i="4" s="1"/>
  <c r="Q193" i="4"/>
  <c r="O193" i="4"/>
  <c r="M193" i="4"/>
  <c r="N193" i="4" s="1"/>
  <c r="K193" i="4"/>
  <c r="L193" i="4" s="1"/>
  <c r="P193" i="4" s="1"/>
  <c r="Q192" i="4"/>
  <c r="O192" i="4"/>
  <c r="M192" i="4"/>
  <c r="N192" i="4" s="1"/>
  <c r="K192" i="4"/>
  <c r="L192" i="4" s="1"/>
  <c r="Q191" i="4"/>
  <c r="O191" i="4"/>
  <c r="M191" i="4"/>
  <c r="N191" i="4" s="1"/>
  <c r="K191" i="4"/>
  <c r="L191" i="4" s="1"/>
  <c r="P191" i="4" s="1"/>
  <c r="Q190" i="4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200" i="4" l="1"/>
  <c r="P198" i="4"/>
  <c r="P192" i="4"/>
  <c r="P189" i="4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<sst xmlns="http://schemas.openxmlformats.org/spreadsheetml/2006/main" count="477" uniqueCount="457">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</sst>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データ!$A$3:$A$200</c:f>
              <c:numCache>
                <c:formatCode>m/d/yyyy\ h:mm</c:formatCode>
                <c:ptCount val="19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</c:numCache>
            </c:numRef>
          </c:xVal>
          <c:yVal>
            <c:numRef>
              <c:f>データ!$B$3:$B$200</c:f>
              <c:numCache>
                <c:formatCode>General</c:formatCode>
                <c:ptCount val="19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F4-43D3-A75E-92026250C1C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2F4-43D3-A75E-92026250C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242607"/>
        <c:axId val="39622868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データ!$A$3:$A$200</c:f>
              <c:numCache>
                <c:formatCode>m/d/yyyy\ h:mm</c:formatCode>
                <c:ptCount val="19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</c:numCache>
            </c:numRef>
          </c:xVal>
          <c:yVal>
            <c:numRef>
              <c:f>データ!$Q$3:$Q$200</c:f>
              <c:numCache>
                <c:formatCode>[h]:mm</c:formatCode>
                <c:ptCount val="19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F4-43D3-A75E-92026250C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235887"/>
        <c:axId val="396242608"/>
      </c:scatterChart>
      <c:valAx>
        <c:axId val="396242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228687"/>
        <c:crosses val="autoZero"/>
        <c:crossBetween val="midCat"/>
      </c:valAx>
      <c:valAx>
        <c:axId val="39622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242607"/>
        <c:crosses val="autoZero"/>
        <c:crossBetween val="midCat"/>
      </c:valAx>
      <c:valAx>
        <c:axId val="39624260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235887"/>
        <c:crosses val="max"/>
        <c:crossBetween val="midCat"/>
      </c:valAx>
      <c:valAx>
        <c:axId val="39623588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24260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211931</xdr:colOff>
      <xdr:row>3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688" name="Match0">
          <a:extLst>
            <a:ext uri="{FF2B5EF4-FFF2-40B4-BE49-F238E27FC236}">
              <a16:creationId xmlns:a16="http://schemas.microsoft.com/office/drawing/2014/main" id="{156D15C3-C2F3-E613-B297-4BF91FF6494B}"/>
            </a:ext>
          </a:extLst>
        </xdr:cNvPr>
        <xdr:cNvCxnSpPr/>
      </xdr:nvCxnSpPr>
      <xdr:spPr>
        <a:xfrm flipV="1">
          <a:off x="2331244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689" name="Match1">
          <a:extLst>
            <a:ext uri="{FF2B5EF4-FFF2-40B4-BE49-F238E27FC236}">
              <a16:creationId xmlns:a16="http://schemas.microsoft.com/office/drawing/2014/main" id="{91B9B38F-7A2A-DF5F-B627-5D5B09A03681}"/>
            </a:ext>
          </a:extLst>
        </xdr:cNvPr>
        <xdr:cNvCxnSpPr/>
      </xdr:nvCxnSpPr>
      <xdr:spPr>
        <a:xfrm flipV="1">
          <a:off x="4026694" y="1250156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690" name="Match2">
          <a:extLst>
            <a:ext uri="{FF2B5EF4-FFF2-40B4-BE49-F238E27FC236}">
              <a16:creationId xmlns:a16="http://schemas.microsoft.com/office/drawing/2014/main" id="{A2A57BFB-AD98-985D-72DA-8A0A4F978494}"/>
            </a:ext>
          </a:extLst>
        </xdr:cNvPr>
        <xdr:cNvCxnSpPr/>
      </xdr:nvCxnSpPr>
      <xdr:spPr>
        <a:xfrm flipV="1">
          <a:off x="1059656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691" name="Match3">
          <a:extLst>
            <a:ext uri="{FF2B5EF4-FFF2-40B4-BE49-F238E27FC236}">
              <a16:creationId xmlns:a16="http://schemas.microsoft.com/office/drawing/2014/main" id="{05F4C92D-F4EE-7556-02D0-2A08B3EA95D7}"/>
            </a:ext>
          </a:extLst>
        </xdr:cNvPr>
        <xdr:cNvCxnSpPr/>
      </xdr:nvCxnSpPr>
      <xdr:spPr>
        <a:xfrm flipV="1">
          <a:off x="4450556" y="17859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692" name="Match4">
          <a:extLst>
            <a:ext uri="{FF2B5EF4-FFF2-40B4-BE49-F238E27FC236}">
              <a16:creationId xmlns:a16="http://schemas.microsoft.com/office/drawing/2014/main" id="{5A0EF65A-55CD-D945-72A9-357A587B2A2C}"/>
            </a:ext>
          </a:extLst>
        </xdr:cNvPr>
        <xdr:cNvCxnSpPr/>
      </xdr:nvCxnSpPr>
      <xdr:spPr>
        <a:xfrm>
          <a:off x="1483519" y="232171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3</xdr:col>
      <xdr:colOff>237331</xdr:colOff>
      <xdr:row>6</xdr:row>
      <xdr:rowOff>203994</xdr:rowOff>
    </xdr:to>
    <xdr:cxnSp macro="">
      <xdr:nvCxnSpPr>
        <xdr:cNvPr id="1693" name="Match5">
          <a:extLst>
            <a:ext uri="{FF2B5EF4-FFF2-40B4-BE49-F238E27FC236}">
              <a16:creationId xmlns:a16="http://schemas.microsoft.com/office/drawing/2014/main" id="{286AB092-47EF-28C0-74CB-B8A308D04C9C}"/>
            </a:ext>
          </a:extLst>
        </xdr:cNvPr>
        <xdr:cNvCxnSpPr/>
      </xdr:nvCxnSpPr>
      <xdr:spPr>
        <a:xfrm flipV="1">
          <a:off x="1508919" y="1632744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694" name="Match6">
          <a:extLst>
            <a:ext uri="{FF2B5EF4-FFF2-40B4-BE49-F238E27FC236}">
              <a16:creationId xmlns:a16="http://schemas.microsoft.com/office/drawing/2014/main" id="{C3C3B0A4-5F9B-1B33-7BE6-8B548ECBEFBC}"/>
            </a:ext>
          </a:extLst>
        </xdr:cNvPr>
        <xdr:cNvCxnSpPr/>
      </xdr:nvCxnSpPr>
      <xdr:spPr>
        <a:xfrm>
          <a:off x="3178969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0</xdr:col>
      <xdr:colOff>211931</xdr:colOff>
      <xdr:row>3</xdr:row>
      <xdr:rowOff>178593</xdr:rowOff>
    </xdr:to>
    <xdr:cxnSp macro="">
      <xdr:nvCxnSpPr>
        <xdr:cNvPr id="1695" name="Match7">
          <a:extLst>
            <a:ext uri="{FF2B5EF4-FFF2-40B4-BE49-F238E27FC236}">
              <a16:creationId xmlns:a16="http://schemas.microsoft.com/office/drawing/2014/main" id="{F68E127E-EEBF-27F2-21F0-39EDF07088A6}"/>
            </a:ext>
          </a:extLst>
        </xdr:cNvPr>
        <xdr:cNvCxnSpPr/>
      </xdr:nvCxnSpPr>
      <xdr:spPr>
        <a:xfrm>
          <a:off x="2119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696" name="Match8">
          <a:extLst>
            <a:ext uri="{FF2B5EF4-FFF2-40B4-BE49-F238E27FC236}">
              <a16:creationId xmlns:a16="http://schemas.microsoft.com/office/drawing/2014/main" id="{C22633BA-2F56-C22B-A76D-A78DF366D063}"/>
            </a:ext>
          </a:extLst>
        </xdr:cNvPr>
        <xdr:cNvCxnSpPr/>
      </xdr:nvCxnSpPr>
      <xdr:spPr>
        <a:xfrm>
          <a:off x="3602831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4</xdr:row>
      <xdr:rowOff>203994</xdr:rowOff>
    </xdr:to>
    <xdr:cxnSp macro="">
      <xdr:nvCxnSpPr>
        <xdr:cNvPr id="1697" name="Match9">
          <a:extLst>
            <a:ext uri="{FF2B5EF4-FFF2-40B4-BE49-F238E27FC236}">
              <a16:creationId xmlns:a16="http://schemas.microsoft.com/office/drawing/2014/main" id="{97B3FDBD-2EB6-1E99-D4C6-3BC359560998}"/>
            </a:ext>
          </a:extLst>
        </xdr:cNvPr>
        <xdr:cNvCxnSpPr/>
      </xdr:nvCxnSpPr>
      <xdr:spPr>
        <a:xfrm flipH="1" flipV="1">
          <a:off x="320436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698" name="Match10">
          <a:extLst>
            <a:ext uri="{FF2B5EF4-FFF2-40B4-BE49-F238E27FC236}">
              <a16:creationId xmlns:a16="http://schemas.microsoft.com/office/drawing/2014/main" id="{62D29C3E-1B53-03C3-A45F-24562F0D23C5}"/>
            </a:ext>
          </a:extLst>
        </xdr:cNvPr>
        <xdr:cNvCxnSpPr/>
      </xdr:nvCxnSpPr>
      <xdr:spPr>
        <a:xfrm flipH="1" flipV="1"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699" name="Match11">
          <a:extLst>
            <a:ext uri="{FF2B5EF4-FFF2-40B4-BE49-F238E27FC236}">
              <a16:creationId xmlns:a16="http://schemas.microsoft.com/office/drawing/2014/main" id="{AAC081FC-2FE2-D486-0919-657568579A2D}"/>
            </a:ext>
          </a:extLst>
        </xdr:cNvPr>
        <xdr:cNvCxnSpPr/>
      </xdr:nvCxnSpPr>
      <xdr:spPr>
        <a:xfrm>
          <a:off x="6357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1</xdr:col>
      <xdr:colOff>237331</xdr:colOff>
      <xdr:row>9</xdr:row>
      <xdr:rowOff>203993</xdr:rowOff>
    </xdr:to>
    <xdr:cxnSp macro="">
      <xdr:nvCxnSpPr>
        <xdr:cNvPr id="1700" name="Match12">
          <a:extLst>
            <a:ext uri="{FF2B5EF4-FFF2-40B4-BE49-F238E27FC236}">
              <a16:creationId xmlns:a16="http://schemas.microsoft.com/office/drawing/2014/main" id="{6B0BCB58-ECBD-2713-474C-C1068A4DACE6}"/>
            </a:ext>
          </a:extLst>
        </xdr:cNvPr>
        <xdr:cNvCxnSpPr/>
      </xdr:nvCxnSpPr>
      <xdr:spPr>
        <a:xfrm flipV="1">
          <a:off x="6611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8</xdr:row>
      <xdr:rowOff>229394</xdr:rowOff>
    </xdr:from>
    <xdr:to>
      <xdr:col>2</xdr:col>
      <xdr:colOff>262731</xdr:colOff>
      <xdr:row>9</xdr:row>
      <xdr:rowOff>229393</xdr:rowOff>
    </xdr:to>
    <xdr:cxnSp macro="">
      <xdr:nvCxnSpPr>
        <xdr:cNvPr id="1701" name="Match13">
          <a:extLst>
            <a:ext uri="{FF2B5EF4-FFF2-40B4-BE49-F238E27FC236}">
              <a16:creationId xmlns:a16="http://schemas.microsoft.com/office/drawing/2014/main" id="{75583353-58A6-1A0F-CA79-BF554AACDAC0}"/>
            </a:ext>
          </a:extLst>
        </xdr:cNvPr>
        <xdr:cNvCxnSpPr/>
      </xdr:nvCxnSpPr>
      <xdr:spPr>
        <a:xfrm flipV="1">
          <a:off x="686594" y="30868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702" name="Match14">
          <a:extLst>
            <a:ext uri="{FF2B5EF4-FFF2-40B4-BE49-F238E27FC236}">
              <a16:creationId xmlns:a16="http://schemas.microsoft.com/office/drawing/2014/main" id="{4708ECFA-8E10-B5D6-A950-B3C09C78F978}"/>
            </a:ext>
          </a:extLst>
        </xdr:cNvPr>
        <xdr:cNvCxnSpPr/>
      </xdr:nvCxnSpPr>
      <xdr:spPr>
        <a:xfrm>
          <a:off x="402669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703" name="Match15">
          <a:extLst>
            <a:ext uri="{FF2B5EF4-FFF2-40B4-BE49-F238E27FC236}">
              <a16:creationId xmlns:a16="http://schemas.microsoft.com/office/drawing/2014/main" id="{40B17391-F326-5A65-A748-0EBB2676A1A1}"/>
            </a:ext>
          </a:extLst>
        </xdr:cNvPr>
        <xdr:cNvCxnSpPr/>
      </xdr:nvCxnSpPr>
      <xdr:spPr>
        <a:xfrm flipV="1">
          <a:off x="2755106" y="17859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2</xdr:row>
      <xdr:rowOff>178594</xdr:rowOff>
    </xdr:to>
    <xdr:cxnSp macro="">
      <xdr:nvCxnSpPr>
        <xdr:cNvPr id="1704" name="Match16">
          <a:extLst>
            <a:ext uri="{FF2B5EF4-FFF2-40B4-BE49-F238E27FC236}">
              <a16:creationId xmlns:a16="http://schemas.microsoft.com/office/drawing/2014/main" id="{0FD637D8-1860-6C87-22A8-13EBDC431D77}"/>
            </a:ext>
          </a:extLst>
        </xdr:cNvPr>
        <xdr:cNvCxnSpPr/>
      </xdr:nvCxnSpPr>
      <xdr:spPr>
        <a:xfrm>
          <a:off x="2119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705" name="Match17">
          <a:extLst>
            <a:ext uri="{FF2B5EF4-FFF2-40B4-BE49-F238E27FC236}">
              <a16:creationId xmlns:a16="http://schemas.microsoft.com/office/drawing/2014/main" id="{4780B8C9-377A-2A20-A17B-16C81E337761}"/>
            </a:ext>
          </a:extLst>
        </xdr:cNvPr>
        <xdr:cNvCxnSpPr/>
      </xdr:nvCxnSpPr>
      <xdr:spPr>
        <a:xfrm flipV="1"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706" name="Match18">
          <a:extLst>
            <a:ext uri="{FF2B5EF4-FFF2-40B4-BE49-F238E27FC236}">
              <a16:creationId xmlns:a16="http://schemas.microsoft.com/office/drawing/2014/main" id="{7B9C405D-D81B-E674-EBE1-58CA1ACC190C}"/>
            </a:ext>
          </a:extLst>
        </xdr:cNvPr>
        <xdr:cNvCxnSpPr/>
      </xdr:nvCxnSpPr>
      <xdr:spPr>
        <a:xfrm>
          <a:off x="36028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707" name="Match19">
          <a:extLst>
            <a:ext uri="{FF2B5EF4-FFF2-40B4-BE49-F238E27FC236}">
              <a16:creationId xmlns:a16="http://schemas.microsoft.com/office/drawing/2014/main" id="{93F2E975-9B04-AC9B-9044-8DC3DAB105DF}"/>
            </a:ext>
          </a:extLst>
        </xdr:cNvPr>
        <xdr:cNvCxnSpPr/>
      </xdr:nvCxnSpPr>
      <xdr:spPr>
        <a:xfrm flipH="1"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708" name="Match20">
          <a:extLst>
            <a:ext uri="{FF2B5EF4-FFF2-40B4-BE49-F238E27FC236}">
              <a16:creationId xmlns:a16="http://schemas.microsoft.com/office/drawing/2014/main" id="{68010703-3A01-BF50-B2C8-85D389824A3A}"/>
            </a:ext>
          </a:extLst>
        </xdr:cNvPr>
        <xdr:cNvCxnSpPr/>
      </xdr:nvCxnSpPr>
      <xdr:spPr>
        <a:xfrm flipV="1"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709" name="Match21">
          <a:extLst>
            <a:ext uri="{FF2B5EF4-FFF2-40B4-BE49-F238E27FC236}">
              <a16:creationId xmlns:a16="http://schemas.microsoft.com/office/drawing/2014/main" id="{FA10C6B1-6470-AABB-C014-4CE3C6D9CB55}"/>
            </a:ext>
          </a:extLst>
        </xdr:cNvPr>
        <xdr:cNvCxnSpPr/>
      </xdr:nvCxnSpPr>
      <xdr:spPr>
        <a:xfrm flipH="1"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8</xdr:col>
      <xdr:colOff>237331</xdr:colOff>
      <xdr:row>7</xdr:row>
      <xdr:rowOff>203993</xdr:rowOff>
    </xdr:to>
    <xdr:cxnSp macro="">
      <xdr:nvCxnSpPr>
        <xdr:cNvPr id="1710" name="Match22">
          <a:extLst>
            <a:ext uri="{FF2B5EF4-FFF2-40B4-BE49-F238E27FC236}">
              <a16:creationId xmlns:a16="http://schemas.microsoft.com/office/drawing/2014/main" id="{02EA649E-BA5C-EEEF-3926-5195986D1E78}"/>
            </a:ext>
          </a:extLst>
        </xdr:cNvPr>
        <xdr:cNvCxnSpPr/>
      </xdr:nvCxnSpPr>
      <xdr:spPr>
        <a:xfrm>
          <a:off x="3204369" y="270430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711" name="Match23">
          <a:extLst>
            <a:ext uri="{FF2B5EF4-FFF2-40B4-BE49-F238E27FC236}">
              <a16:creationId xmlns:a16="http://schemas.microsoft.com/office/drawing/2014/main" id="{777DE297-DBE3-ED1E-3FBF-84E5D1815509}"/>
            </a:ext>
          </a:extLst>
        </xdr:cNvPr>
        <xdr:cNvCxnSpPr/>
      </xdr:nvCxnSpPr>
      <xdr:spPr>
        <a:xfrm flipV="1">
          <a:off x="233124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712" name="Match24">
          <a:extLst>
            <a:ext uri="{FF2B5EF4-FFF2-40B4-BE49-F238E27FC236}">
              <a16:creationId xmlns:a16="http://schemas.microsoft.com/office/drawing/2014/main" id="{EB267DF3-53DF-2BB7-CCA2-8813FCC9EC7B}"/>
            </a:ext>
          </a:extLst>
        </xdr:cNvPr>
        <xdr:cNvCxnSpPr/>
      </xdr:nvCxnSpPr>
      <xdr:spPr>
        <a:xfrm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8</xdr:col>
      <xdr:colOff>237331</xdr:colOff>
      <xdr:row>8</xdr:row>
      <xdr:rowOff>203994</xdr:rowOff>
    </xdr:to>
    <xdr:cxnSp macro="">
      <xdr:nvCxnSpPr>
        <xdr:cNvPr id="1713" name="Match25">
          <a:extLst>
            <a:ext uri="{FF2B5EF4-FFF2-40B4-BE49-F238E27FC236}">
              <a16:creationId xmlns:a16="http://schemas.microsoft.com/office/drawing/2014/main" id="{321A88F2-19B9-6CD7-70BF-C843BB3AE3CD}"/>
            </a:ext>
          </a:extLst>
        </xdr:cNvPr>
        <xdr:cNvCxnSpPr/>
      </xdr:nvCxnSpPr>
      <xdr:spPr>
        <a:xfrm flipV="1">
          <a:off x="3628231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7</xdr:row>
      <xdr:rowOff>229393</xdr:rowOff>
    </xdr:from>
    <xdr:to>
      <xdr:col>9</xdr:col>
      <xdr:colOff>262731</xdr:colOff>
      <xdr:row>8</xdr:row>
      <xdr:rowOff>229394</xdr:rowOff>
    </xdr:to>
    <xdr:cxnSp macro="">
      <xdr:nvCxnSpPr>
        <xdr:cNvPr id="1714" name="Match26">
          <a:extLst>
            <a:ext uri="{FF2B5EF4-FFF2-40B4-BE49-F238E27FC236}">
              <a16:creationId xmlns:a16="http://schemas.microsoft.com/office/drawing/2014/main" id="{2668396D-C78F-BF34-25B1-A78F3286F483}"/>
            </a:ext>
          </a:extLst>
        </xdr:cNvPr>
        <xdr:cNvCxnSpPr/>
      </xdr:nvCxnSpPr>
      <xdr:spPr>
        <a:xfrm flipV="1">
          <a:off x="3653631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1715" name="Match27">
          <a:extLst>
            <a:ext uri="{FF2B5EF4-FFF2-40B4-BE49-F238E27FC236}">
              <a16:creationId xmlns:a16="http://schemas.microsoft.com/office/drawing/2014/main" id="{118CE7EA-BCAF-73AD-8F60-4C09021878BB}"/>
            </a:ext>
          </a:extLst>
        </xdr:cNvPr>
        <xdr:cNvCxnSpPr/>
      </xdr:nvCxnSpPr>
      <xdr:spPr>
        <a:xfrm flipV="1">
          <a:off x="1059656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1</xdr:row>
      <xdr:rowOff>203993</xdr:rowOff>
    </xdr:from>
    <xdr:to>
      <xdr:col>11</xdr:col>
      <xdr:colOff>237331</xdr:colOff>
      <xdr:row>5</xdr:row>
      <xdr:rowOff>203993</xdr:rowOff>
    </xdr:to>
    <xdr:cxnSp macro="">
      <xdr:nvCxnSpPr>
        <xdr:cNvPr id="1716" name="Match28">
          <a:extLst>
            <a:ext uri="{FF2B5EF4-FFF2-40B4-BE49-F238E27FC236}">
              <a16:creationId xmlns:a16="http://schemas.microsoft.com/office/drawing/2014/main" id="{A502620C-5F71-FC1B-28DE-D774E23B5599}"/>
            </a:ext>
          </a:extLst>
        </xdr:cNvPr>
        <xdr:cNvCxnSpPr/>
      </xdr:nvCxnSpPr>
      <xdr:spPr>
        <a:xfrm flipV="1">
          <a:off x="4899819" y="561181"/>
          <a:ext cx="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717" name="Match29">
          <a:extLst>
            <a:ext uri="{FF2B5EF4-FFF2-40B4-BE49-F238E27FC236}">
              <a16:creationId xmlns:a16="http://schemas.microsoft.com/office/drawing/2014/main" id="{52C43885-464C-3C7E-7829-AEAC4CD3588E}"/>
            </a:ext>
          </a:extLst>
        </xdr:cNvPr>
        <xdr:cNvCxnSpPr/>
      </xdr:nvCxnSpPr>
      <xdr:spPr>
        <a:xfrm>
          <a:off x="1907381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1718" name="Match30">
          <a:extLst>
            <a:ext uri="{FF2B5EF4-FFF2-40B4-BE49-F238E27FC236}">
              <a16:creationId xmlns:a16="http://schemas.microsoft.com/office/drawing/2014/main" id="{1B1D4BBE-22BB-DB22-D3B0-89824542F482}"/>
            </a:ext>
          </a:extLst>
        </xdr:cNvPr>
        <xdr:cNvCxnSpPr/>
      </xdr:nvCxnSpPr>
      <xdr:spPr>
        <a:xfrm flipV="1">
          <a:off x="1483519" y="232171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719" name="Match31">
          <a:extLst>
            <a:ext uri="{FF2B5EF4-FFF2-40B4-BE49-F238E27FC236}">
              <a16:creationId xmlns:a16="http://schemas.microsoft.com/office/drawing/2014/main" id="{7EB84E21-EA68-3907-0A2D-B58ECEA5E2A3}"/>
            </a:ext>
          </a:extLst>
        </xdr:cNvPr>
        <xdr:cNvCxnSpPr/>
      </xdr:nvCxnSpPr>
      <xdr:spPr>
        <a:xfrm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720" name="Match32">
          <a:extLst>
            <a:ext uri="{FF2B5EF4-FFF2-40B4-BE49-F238E27FC236}">
              <a16:creationId xmlns:a16="http://schemas.microsoft.com/office/drawing/2014/main" id="{4DF8EE6F-6525-F3FE-79B0-3CC0EEB3001E}"/>
            </a:ext>
          </a:extLst>
        </xdr:cNvPr>
        <xdr:cNvCxnSpPr/>
      </xdr:nvCxnSpPr>
      <xdr:spPr>
        <a:xfrm flipH="1" flipV="1"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1721" name="Match33">
          <a:extLst>
            <a:ext uri="{FF2B5EF4-FFF2-40B4-BE49-F238E27FC236}">
              <a16:creationId xmlns:a16="http://schemas.microsoft.com/office/drawing/2014/main" id="{7625938E-E963-4559-EDD9-81F48D83BD98}"/>
            </a:ext>
          </a:extLst>
        </xdr:cNvPr>
        <xdr:cNvCxnSpPr/>
      </xdr:nvCxnSpPr>
      <xdr:spPr>
        <a:xfrm>
          <a:off x="3178969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1722" name="Match34">
          <a:extLst>
            <a:ext uri="{FF2B5EF4-FFF2-40B4-BE49-F238E27FC236}">
              <a16:creationId xmlns:a16="http://schemas.microsoft.com/office/drawing/2014/main" id="{C9F3BE0E-6796-C78C-0D6C-9B6CED05BB11}"/>
            </a:ext>
          </a:extLst>
        </xdr:cNvPr>
        <xdr:cNvCxnSpPr/>
      </xdr:nvCxnSpPr>
      <xdr:spPr>
        <a:xfrm>
          <a:off x="36028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1</xdr:row>
      <xdr:rowOff>203993</xdr:rowOff>
    </xdr:to>
    <xdr:cxnSp macro="">
      <xdr:nvCxnSpPr>
        <xdr:cNvPr id="1723" name="Match35">
          <a:extLst>
            <a:ext uri="{FF2B5EF4-FFF2-40B4-BE49-F238E27FC236}">
              <a16:creationId xmlns:a16="http://schemas.microsoft.com/office/drawing/2014/main" id="{A7733EA3-8439-BADB-FECA-AA1E9CAB06E8}"/>
            </a:ext>
          </a:extLst>
        </xdr:cNvPr>
        <xdr:cNvCxnSpPr/>
      </xdr:nvCxnSpPr>
      <xdr:spPr>
        <a:xfrm flipH="1">
          <a:off x="3204369" y="5611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724" name="Match36">
          <a:extLst>
            <a:ext uri="{FF2B5EF4-FFF2-40B4-BE49-F238E27FC236}">
              <a16:creationId xmlns:a16="http://schemas.microsoft.com/office/drawing/2014/main" id="{C72284D8-754E-B617-31D6-CA4EE9AE3D97}"/>
            </a:ext>
          </a:extLst>
        </xdr:cNvPr>
        <xdr:cNvCxnSpPr/>
      </xdr:nvCxnSpPr>
      <xdr:spPr>
        <a:xfrm>
          <a:off x="40266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9</xdr:col>
      <xdr:colOff>237331</xdr:colOff>
      <xdr:row>1</xdr:row>
      <xdr:rowOff>203993</xdr:rowOff>
    </xdr:to>
    <xdr:cxnSp macro="">
      <xdr:nvCxnSpPr>
        <xdr:cNvPr id="1725" name="Match37">
          <a:extLst>
            <a:ext uri="{FF2B5EF4-FFF2-40B4-BE49-F238E27FC236}">
              <a16:creationId xmlns:a16="http://schemas.microsoft.com/office/drawing/2014/main" id="{0BAC8AB8-C85A-0990-E168-EFF39A02B7FE}"/>
            </a:ext>
          </a:extLst>
        </xdr:cNvPr>
        <xdr:cNvCxnSpPr/>
      </xdr:nvCxnSpPr>
      <xdr:spPr>
        <a:xfrm flipH="1">
          <a:off x="3628231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726" name="Match38">
          <a:extLst>
            <a:ext uri="{FF2B5EF4-FFF2-40B4-BE49-F238E27FC236}">
              <a16:creationId xmlns:a16="http://schemas.microsoft.com/office/drawing/2014/main" id="{7C186D1D-2ACA-B347-2CDC-C8D5B1E69755}"/>
            </a:ext>
          </a:extLst>
        </xdr:cNvPr>
        <xdr:cNvCxnSpPr/>
      </xdr:nvCxnSpPr>
      <xdr:spPr>
        <a:xfrm flipH="1">
          <a:off x="40266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727" name="Match39">
          <a:extLst>
            <a:ext uri="{FF2B5EF4-FFF2-40B4-BE49-F238E27FC236}">
              <a16:creationId xmlns:a16="http://schemas.microsoft.com/office/drawing/2014/main" id="{11E25476-7318-8EF6-0A6A-4657DEC52C63}"/>
            </a:ext>
          </a:extLst>
        </xdr:cNvPr>
        <xdr:cNvCxnSpPr/>
      </xdr:nvCxnSpPr>
      <xdr:spPr>
        <a:xfrm flipH="1">
          <a:off x="235664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728" name="Match40">
          <a:extLst>
            <a:ext uri="{FF2B5EF4-FFF2-40B4-BE49-F238E27FC236}">
              <a16:creationId xmlns:a16="http://schemas.microsoft.com/office/drawing/2014/main" id="{8DC5AD5D-BF0F-74B8-CB74-B392F340F430}"/>
            </a:ext>
          </a:extLst>
        </xdr:cNvPr>
        <xdr:cNvCxnSpPr/>
      </xdr:nvCxnSpPr>
      <xdr:spPr>
        <a:xfrm>
          <a:off x="44505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729" name="Match41">
          <a:extLst>
            <a:ext uri="{FF2B5EF4-FFF2-40B4-BE49-F238E27FC236}">
              <a16:creationId xmlns:a16="http://schemas.microsoft.com/office/drawing/2014/main" id="{316944C5-9779-F649-EAF3-9D1228F34513}"/>
            </a:ext>
          </a:extLst>
        </xdr:cNvPr>
        <xdr:cNvCxnSpPr/>
      </xdr:nvCxnSpPr>
      <xdr:spPr>
        <a:xfrm flipH="1">
          <a:off x="44505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730" name="Match42">
          <a:extLst>
            <a:ext uri="{FF2B5EF4-FFF2-40B4-BE49-F238E27FC236}">
              <a16:creationId xmlns:a16="http://schemas.microsoft.com/office/drawing/2014/main" id="{57DBB4A4-120D-33FD-53C5-485A71ADD082}"/>
            </a:ext>
          </a:extLst>
        </xdr:cNvPr>
        <xdr:cNvCxnSpPr/>
      </xdr:nvCxnSpPr>
      <xdr:spPr>
        <a:xfrm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731" name="Match43">
          <a:extLst>
            <a:ext uri="{FF2B5EF4-FFF2-40B4-BE49-F238E27FC236}">
              <a16:creationId xmlns:a16="http://schemas.microsoft.com/office/drawing/2014/main" id="{CDF15216-28F9-44B7-52B5-8B69CA386C3D}"/>
            </a:ext>
          </a:extLst>
        </xdr:cNvPr>
        <xdr:cNvCxnSpPr/>
      </xdr:nvCxnSpPr>
      <xdr:spPr>
        <a:xfrm flipH="1">
          <a:off x="190738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732" name="Match44">
          <a:extLst>
            <a:ext uri="{FF2B5EF4-FFF2-40B4-BE49-F238E27FC236}">
              <a16:creationId xmlns:a16="http://schemas.microsoft.com/office/drawing/2014/main" id="{2AC8D4C3-89C2-3365-2816-1E111A73AADB}"/>
            </a:ext>
          </a:extLst>
        </xdr:cNvPr>
        <xdr:cNvCxnSpPr/>
      </xdr:nvCxnSpPr>
      <xdr:spPr>
        <a:xfrm flipV="1">
          <a:off x="235664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733" name="Match45">
          <a:extLst>
            <a:ext uri="{FF2B5EF4-FFF2-40B4-BE49-F238E27FC236}">
              <a16:creationId xmlns:a16="http://schemas.microsoft.com/office/drawing/2014/main" id="{9F236509-ABEE-0CFA-5713-686FF7784E31}"/>
            </a:ext>
          </a:extLst>
        </xdr:cNvPr>
        <xdr:cNvCxnSpPr/>
      </xdr:nvCxnSpPr>
      <xdr:spPr>
        <a:xfrm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4</xdr:col>
      <xdr:colOff>237331</xdr:colOff>
      <xdr:row>6</xdr:row>
      <xdr:rowOff>203994</xdr:rowOff>
    </xdr:to>
    <xdr:cxnSp macro="">
      <xdr:nvCxnSpPr>
        <xdr:cNvPr id="1734" name="Match46">
          <a:extLst>
            <a:ext uri="{FF2B5EF4-FFF2-40B4-BE49-F238E27FC236}">
              <a16:creationId xmlns:a16="http://schemas.microsoft.com/office/drawing/2014/main" id="{B7C306CE-23B8-E156-D534-960367670C5D}"/>
            </a:ext>
          </a:extLst>
        </xdr:cNvPr>
        <xdr:cNvCxnSpPr/>
      </xdr:nvCxnSpPr>
      <xdr:spPr>
        <a:xfrm flipH="1" flipV="1">
          <a:off x="1508919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5</xdr:row>
      <xdr:rowOff>229393</xdr:rowOff>
    </xdr:from>
    <xdr:to>
      <xdr:col>5</xdr:col>
      <xdr:colOff>262731</xdr:colOff>
      <xdr:row>6</xdr:row>
      <xdr:rowOff>229394</xdr:rowOff>
    </xdr:to>
    <xdr:cxnSp macro="">
      <xdr:nvCxnSpPr>
        <xdr:cNvPr id="1735" name="Match47">
          <a:extLst>
            <a:ext uri="{FF2B5EF4-FFF2-40B4-BE49-F238E27FC236}">
              <a16:creationId xmlns:a16="http://schemas.microsoft.com/office/drawing/2014/main" id="{D7963C39-70F4-000C-6A43-A498F0A11717}"/>
            </a:ext>
          </a:extLst>
        </xdr:cNvPr>
        <xdr:cNvCxnSpPr/>
      </xdr:nvCxnSpPr>
      <xdr:spPr>
        <a:xfrm flipV="1">
          <a:off x="1958181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4</xdr:col>
      <xdr:colOff>237331</xdr:colOff>
      <xdr:row>7</xdr:row>
      <xdr:rowOff>203993</xdr:rowOff>
    </xdr:to>
    <xdr:cxnSp macro="">
      <xdr:nvCxnSpPr>
        <xdr:cNvPr id="1736" name="Match48">
          <a:extLst>
            <a:ext uri="{FF2B5EF4-FFF2-40B4-BE49-F238E27FC236}">
              <a16:creationId xmlns:a16="http://schemas.microsoft.com/office/drawing/2014/main" id="{5B852517-8463-D8CB-3761-6BFD8D052D72}"/>
            </a:ext>
          </a:extLst>
        </xdr:cNvPr>
        <xdr:cNvCxnSpPr/>
      </xdr:nvCxnSpPr>
      <xdr:spPr>
        <a:xfrm flipV="1">
          <a:off x="193278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737" name="Match49">
          <a:extLst>
            <a:ext uri="{FF2B5EF4-FFF2-40B4-BE49-F238E27FC236}">
              <a16:creationId xmlns:a16="http://schemas.microsoft.com/office/drawing/2014/main" id="{37B0E4FD-268C-910E-A314-C91918B444FE}"/>
            </a:ext>
          </a:extLst>
        </xdr:cNvPr>
        <xdr:cNvCxnSpPr/>
      </xdr:nvCxnSpPr>
      <xdr:spPr>
        <a:xfrm>
          <a:off x="10596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9</xdr:row>
      <xdr:rowOff>203993</xdr:rowOff>
    </xdr:from>
    <xdr:to>
      <xdr:col>3</xdr:col>
      <xdr:colOff>237331</xdr:colOff>
      <xdr:row>9</xdr:row>
      <xdr:rowOff>203993</xdr:rowOff>
    </xdr:to>
    <xdr:cxnSp macro="">
      <xdr:nvCxnSpPr>
        <xdr:cNvPr id="1738" name="Match50">
          <a:extLst>
            <a:ext uri="{FF2B5EF4-FFF2-40B4-BE49-F238E27FC236}">
              <a16:creationId xmlns:a16="http://schemas.microsoft.com/office/drawing/2014/main" id="{6BA076F2-E667-F031-FB24-03B1BA3E43EB}"/>
            </a:ext>
          </a:extLst>
        </xdr:cNvPr>
        <xdr:cNvCxnSpPr/>
      </xdr:nvCxnSpPr>
      <xdr:spPr>
        <a:xfrm flipH="1">
          <a:off x="1085056" y="34186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739" name="Match51">
          <a:extLst>
            <a:ext uri="{FF2B5EF4-FFF2-40B4-BE49-F238E27FC236}">
              <a16:creationId xmlns:a16="http://schemas.microsoft.com/office/drawing/2014/main" id="{3A728100-312E-766C-C03F-D7CAC7D0D1C4}"/>
            </a:ext>
          </a:extLst>
        </xdr:cNvPr>
        <xdr:cNvCxnSpPr/>
      </xdr:nvCxnSpPr>
      <xdr:spPr>
        <a:xfrm>
          <a:off x="1483519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740" name="Match52">
          <a:extLst>
            <a:ext uri="{FF2B5EF4-FFF2-40B4-BE49-F238E27FC236}">
              <a16:creationId xmlns:a16="http://schemas.microsoft.com/office/drawing/2014/main" id="{F95A7BF4-4584-314C-5598-BFA0C00983EB}"/>
            </a:ext>
          </a:extLst>
        </xdr:cNvPr>
        <xdr:cNvCxnSpPr/>
      </xdr:nvCxnSpPr>
      <xdr:spPr>
        <a:xfrm flipV="1">
          <a:off x="1483519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3</xdr:row>
      <xdr:rowOff>203993</xdr:rowOff>
    </xdr:to>
    <xdr:cxnSp macro="">
      <xdr:nvCxnSpPr>
        <xdr:cNvPr id="1741" name="Match53">
          <a:extLst>
            <a:ext uri="{FF2B5EF4-FFF2-40B4-BE49-F238E27FC236}">
              <a16:creationId xmlns:a16="http://schemas.microsoft.com/office/drawing/2014/main" id="{C04827D1-FECF-54B0-4E2B-F6CB52D46DE4}"/>
            </a:ext>
          </a:extLst>
        </xdr:cNvPr>
        <xdr:cNvCxnSpPr/>
      </xdr:nvCxnSpPr>
      <xdr:spPr>
        <a:xfrm flipH="1">
          <a:off x="3204369" y="12755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8</xdr:col>
      <xdr:colOff>237331</xdr:colOff>
      <xdr:row>5</xdr:row>
      <xdr:rowOff>203993</xdr:rowOff>
    </xdr:to>
    <xdr:cxnSp macro="">
      <xdr:nvCxnSpPr>
        <xdr:cNvPr id="1742" name="Match54">
          <a:extLst>
            <a:ext uri="{FF2B5EF4-FFF2-40B4-BE49-F238E27FC236}">
              <a16:creationId xmlns:a16="http://schemas.microsoft.com/office/drawing/2014/main" id="{22485C80-415F-984D-EC93-A6217413A465}"/>
            </a:ext>
          </a:extLst>
        </xdr:cNvPr>
        <xdr:cNvCxnSpPr/>
      </xdr:nvCxnSpPr>
      <xdr:spPr>
        <a:xfrm>
          <a:off x="3204369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5</xdr:row>
      <xdr:rowOff>229393</xdr:rowOff>
    </xdr:from>
    <xdr:to>
      <xdr:col>7</xdr:col>
      <xdr:colOff>262731</xdr:colOff>
      <xdr:row>6</xdr:row>
      <xdr:rowOff>229394</xdr:rowOff>
    </xdr:to>
    <xdr:cxnSp macro="">
      <xdr:nvCxnSpPr>
        <xdr:cNvPr id="1743" name="Match55">
          <a:extLst>
            <a:ext uri="{FF2B5EF4-FFF2-40B4-BE49-F238E27FC236}">
              <a16:creationId xmlns:a16="http://schemas.microsoft.com/office/drawing/2014/main" id="{71721FAC-D8E8-8BB0-9DF6-28C5E6C1B727}"/>
            </a:ext>
          </a:extLst>
        </xdr:cNvPr>
        <xdr:cNvCxnSpPr/>
      </xdr:nvCxnSpPr>
      <xdr:spPr>
        <a:xfrm>
          <a:off x="3229769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5</xdr:row>
      <xdr:rowOff>229393</xdr:rowOff>
    </xdr:from>
    <xdr:to>
      <xdr:col>3</xdr:col>
      <xdr:colOff>262731</xdr:colOff>
      <xdr:row>6</xdr:row>
      <xdr:rowOff>229394</xdr:rowOff>
    </xdr:to>
    <xdr:cxnSp macro="">
      <xdr:nvCxnSpPr>
        <xdr:cNvPr id="1744" name="Match56">
          <a:extLst>
            <a:ext uri="{FF2B5EF4-FFF2-40B4-BE49-F238E27FC236}">
              <a16:creationId xmlns:a16="http://schemas.microsoft.com/office/drawing/2014/main" id="{3E9F20F2-1C72-77A2-2F94-F3718867378D}"/>
            </a:ext>
          </a:extLst>
        </xdr:cNvPr>
        <xdr:cNvCxnSpPr/>
      </xdr:nvCxnSpPr>
      <xdr:spPr>
        <a:xfrm flipH="1" flipV="1">
          <a:off x="1110456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745" name="Match57">
          <a:extLst>
            <a:ext uri="{FF2B5EF4-FFF2-40B4-BE49-F238E27FC236}">
              <a16:creationId xmlns:a16="http://schemas.microsoft.com/office/drawing/2014/main" id="{215A86ED-FC68-5C70-B179-79E1C9BC928B}"/>
            </a:ext>
          </a:extLst>
        </xdr:cNvPr>
        <xdr:cNvCxnSpPr/>
      </xdr:nvCxnSpPr>
      <xdr:spPr>
        <a:xfrm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746" name="Match58">
          <a:extLst>
            <a:ext uri="{FF2B5EF4-FFF2-40B4-BE49-F238E27FC236}">
              <a16:creationId xmlns:a16="http://schemas.microsoft.com/office/drawing/2014/main" id="{430F43F5-66D8-4E2C-72A9-9B69021A8EB1}"/>
            </a:ext>
          </a:extLst>
        </xdr:cNvPr>
        <xdr:cNvCxnSpPr/>
      </xdr:nvCxnSpPr>
      <xdr:spPr>
        <a:xfrm>
          <a:off x="66119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747" name="Match59">
          <a:extLst>
            <a:ext uri="{FF2B5EF4-FFF2-40B4-BE49-F238E27FC236}">
              <a16:creationId xmlns:a16="http://schemas.microsoft.com/office/drawing/2014/main" id="{F8423A2F-6760-60A6-829E-9E47148BBF2B}"/>
            </a:ext>
          </a:extLst>
        </xdr:cNvPr>
        <xdr:cNvCxnSpPr/>
      </xdr:nvCxnSpPr>
      <xdr:spPr>
        <a:xfrm flipH="1"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6</xdr:row>
      <xdr:rowOff>229394</xdr:rowOff>
    </xdr:from>
    <xdr:to>
      <xdr:col>7</xdr:col>
      <xdr:colOff>262731</xdr:colOff>
      <xdr:row>7</xdr:row>
      <xdr:rowOff>229393</xdr:rowOff>
    </xdr:to>
    <xdr:cxnSp macro="">
      <xdr:nvCxnSpPr>
        <xdr:cNvPr id="1748" name="Match60">
          <a:extLst>
            <a:ext uri="{FF2B5EF4-FFF2-40B4-BE49-F238E27FC236}">
              <a16:creationId xmlns:a16="http://schemas.microsoft.com/office/drawing/2014/main" id="{4B9960B0-6937-3111-0D85-8BE705C2E8EB}"/>
            </a:ext>
          </a:extLst>
        </xdr:cNvPr>
        <xdr:cNvCxnSpPr/>
      </xdr:nvCxnSpPr>
      <xdr:spPr>
        <a:xfrm flipV="1">
          <a:off x="3229769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749" name="Match61">
          <a:extLst>
            <a:ext uri="{FF2B5EF4-FFF2-40B4-BE49-F238E27FC236}">
              <a16:creationId xmlns:a16="http://schemas.microsoft.com/office/drawing/2014/main" id="{F46C3F5D-930A-DA42-5024-48DB5DBCB78F}"/>
            </a:ext>
          </a:extLst>
        </xdr:cNvPr>
        <xdr:cNvCxnSpPr/>
      </xdr:nvCxnSpPr>
      <xdr:spPr>
        <a:xfrm flipH="1" flipV="1"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6EB8D94-AF75-BBC2-C472-9412772432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D8" sqref="D8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5</v>
      </c>
      <c r="B1" s="27">
        <v>4</v>
      </c>
      <c r="C1" s="23">
        <v>8</v>
      </c>
      <c r="D1" s="27">
        <v>7</v>
      </c>
      <c r="E1" s="27">
        <v>1</v>
      </c>
      <c r="F1" s="27">
        <v>7</v>
      </c>
      <c r="G1" s="22">
        <v>8</v>
      </c>
      <c r="H1" s="27">
        <v>6</v>
      </c>
      <c r="I1" s="27">
        <v>7</v>
      </c>
      <c r="J1" s="27">
        <v>6</v>
      </c>
      <c r="K1" s="22">
        <v>7</v>
      </c>
      <c r="L1" s="27">
        <v>4</v>
      </c>
      <c r="N1" s="2">
        <v>1472</v>
      </c>
      <c r="O1" s="1">
        <v>1</v>
      </c>
    </row>
    <row r="2" spans="1:15" s="2" customFormat="1" ht="28.25" customHeight="1">
      <c r="A2" s="23">
        <v>2</v>
      </c>
      <c r="B2" s="23">
        <v>5</v>
      </c>
      <c r="C2" s="22">
        <v>2</v>
      </c>
      <c r="D2" s="27">
        <v>5</v>
      </c>
      <c r="E2" s="27">
        <v>4</v>
      </c>
      <c r="F2" s="27">
        <v>5</v>
      </c>
      <c r="G2" s="22">
        <v>7</v>
      </c>
      <c r="H2" s="23">
        <v>5</v>
      </c>
      <c r="I2" s="23">
        <v>5</v>
      </c>
      <c r="J2" s="23">
        <v>5</v>
      </c>
      <c r="K2" s="22">
        <v>5</v>
      </c>
      <c r="L2" s="22">
        <v>1</v>
      </c>
      <c r="N2" s="2">
        <v>686442</v>
      </c>
      <c r="O2" s="2">
        <v>1</v>
      </c>
    </row>
    <row r="3" spans="1:15" ht="28.25" customHeight="1">
      <c r="A3" s="23">
        <v>8</v>
      </c>
      <c r="B3" s="27">
        <v>4</v>
      </c>
      <c r="C3" s="22">
        <v>4</v>
      </c>
      <c r="D3" s="22">
        <v>1</v>
      </c>
      <c r="E3" s="27">
        <v>4</v>
      </c>
      <c r="F3" s="27">
        <v>9</v>
      </c>
      <c r="G3" s="22">
        <v>1</v>
      </c>
      <c r="H3" s="27">
        <v>7</v>
      </c>
      <c r="I3" s="27">
        <v>3</v>
      </c>
      <c r="J3" s="27">
        <v>1</v>
      </c>
      <c r="K3" s="22">
        <v>7</v>
      </c>
      <c r="L3" s="22">
        <v>6</v>
      </c>
      <c r="N3" s="2">
        <v>1796442</v>
      </c>
      <c r="O3" s="1">
        <v>1</v>
      </c>
    </row>
    <row r="4" spans="1:15" ht="28.25" customHeight="1">
      <c r="A4" s="23">
        <v>9</v>
      </c>
      <c r="B4" s="27">
        <v>4</v>
      </c>
      <c r="C4" s="22">
        <v>4</v>
      </c>
      <c r="D4" s="22">
        <v>2</v>
      </c>
      <c r="E4" s="27">
        <v>7</v>
      </c>
      <c r="F4" s="27">
        <v>6</v>
      </c>
      <c r="G4" s="22">
        <v>1</v>
      </c>
      <c r="H4" s="23">
        <v>9</v>
      </c>
      <c r="I4" s="22">
        <v>2</v>
      </c>
      <c r="J4" s="22">
        <v>2</v>
      </c>
      <c r="K4" s="22">
        <v>7</v>
      </c>
      <c r="L4" s="22">
        <v>9</v>
      </c>
      <c r="N4" s="2">
        <v>8657757</v>
      </c>
      <c r="O4" s="1">
        <v>1</v>
      </c>
    </row>
    <row r="5" spans="1:15" ht="28.25" customHeight="1">
      <c r="A5" s="27">
        <v>4</v>
      </c>
      <c r="B5" s="27">
        <v>5</v>
      </c>
      <c r="C5" s="22">
        <v>6</v>
      </c>
      <c r="D5" s="22">
        <v>1</v>
      </c>
      <c r="E5" s="27">
        <v>1</v>
      </c>
      <c r="F5" s="27">
        <v>7</v>
      </c>
      <c r="G5" s="22">
        <v>5</v>
      </c>
      <c r="H5" s="22">
        <v>7</v>
      </c>
      <c r="I5" s="23">
        <v>8</v>
      </c>
      <c r="J5" s="22">
        <v>4</v>
      </c>
      <c r="K5" s="22">
        <v>5</v>
      </c>
      <c r="L5" s="22">
        <v>5</v>
      </c>
      <c r="N5" s="2">
        <v>251</v>
      </c>
      <c r="O5" s="1">
        <v>3</v>
      </c>
    </row>
    <row r="6" spans="1:15" ht="28.25" customHeight="1">
      <c r="A6" s="27">
        <v>8</v>
      </c>
      <c r="B6" s="27">
        <v>3</v>
      </c>
      <c r="C6" s="22">
        <v>9</v>
      </c>
      <c r="D6" s="23">
        <v>5</v>
      </c>
      <c r="E6" s="27">
        <v>7</v>
      </c>
      <c r="F6" s="23">
        <v>5</v>
      </c>
      <c r="G6" s="22">
        <v>4</v>
      </c>
      <c r="H6" s="22">
        <v>2</v>
      </c>
      <c r="I6" s="23">
        <v>9</v>
      </c>
      <c r="J6" s="22">
        <v>4</v>
      </c>
      <c r="K6" s="22">
        <v>6</v>
      </c>
      <c r="L6" s="22">
        <v>2</v>
      </c>
      <c r="N6" s="2">
        <v>89</v>
      </c>
      <c r="O6" s="1">
        <v>8</v>
      </c>
    </row>
    <row r="7" spans="1:15" ht="28.25" customHeight="1">
      <c r="A7" s="27">
        <v>3</v>
      </c>
      <c r="B7" s="27">
        <v>1</v>
      </c>
      <c r="C7" s="22">
        <v>7</v>
      </c>
      <c r="D7" s="22">
        <v>2</v>
      </c>
      <c r="E7" s="22">
        <v>5</v>
      </c>
      <c r="F7" s="22">
        <v>1</v>
      </c>
      <c r="G7" s="27">
        <v>7</v>
      </c>
      <c r="H7" s="22">
        <v>9</v>
      </c>
      <c r="I7" s="27">
        <v>4</v>
      </c>
      <c r="J7" s="22">
        <v>6</v>
      </c>
      <c r="K7" s="22">
        <v>8</v>
      </c>
      <c r="L7" s="27">
        <v>7</v>
      </c>
      <c r="N7" s="2">
        <v>51178</v>
      </c>
      <c r="O7" s="1">
        <v>1</v>
      </c>
    </row>
    <row r="8" spans="1:15" ht="28.25" customHeight="1">
      <c r="A8" s="27">
        <v>5</v>
      </c>
      <c r="B8" s="23">
        <v>2</v>
      </c>
      <c r="C8" s="22">
        <v>1</v>
      </c>
      <c r="D8" s="22">
        <v>2</v>
      </c>
      <c r="E8" s="22">
        <v>5</v>
      </c>
      <c r="F8" s="23">
        <v>8</v>
      </c>
      <c r="G8" s="27">
        <v>6</v>
      </c>
      <c r="H8" s="22">
        <v>2</v>
      </c>
      <c r="I8" s="22">
        <v>8</v>
      </c>
      <c r="J8" s="22">
        <v>8</v>
      </c>
      <c r="K8" s="27">
        <v>5</v>
      </c>
      <c r="L8" s="27">
        <v>6</v>
      </c>
      <c r="N8" s="2">
        <v>28</v>
      </c>
      <c r="O8" s="1">
        <v>11</v>
      </c>
    </row>
    <row r="9" spans="1:15" ht="28.25" customHeight="1">
      <c r="A9" s="27">
        <v>7</v>
      </c>
      <c r="B9" s="23">
        <v>9</v>
      </c>
      <c r="C9" s="23">
        <v>9</v>
      </c>
      <c r="D9" s="22">
        <v>4</v>
      </c>
      <c r="E9" s="27">
        <v>6</v>
      </c>
      <c r="F9" s="22">
        <v>2</v>
      </c>
      <c r="G9" s="27">
        <v>3</v>
      </c>
      <c r="H9" s="23">
        <v>5</v>
      </c>
      <c r="I9" s="23">
        <v>2</v>
      </c>
      <c r="J9" s="22">
        <v>6</v>
      </c>
      <c r="K9" s="27">
        <v>7</v>
      </c>
      <c r="L9" s="27">
        <v>6</v>
      </c>
      <c r="N9" s="2">
        <v>936</v>
      </c>
      <c r="O9" s="1">
        <v>1</v>
      </c>
    </row>
    <row r="10" spans="1:15" ht="28.25" customHeight="1">
      <c r="A10" s="27">
        <v>5</v>
      </c>
      <c r="B10" s="23">
        <v>8</v>
      </c>
      <c r="C10" s="22">
        <v>5</v>
      </c>
      <c r="D10" s="22">
        <v>5</v>
      </c>
      <c r="E10" s="22">
        <v>6</v>
      </c>
      <c r="F10" s="27">
        <v>5</v>
      </c>
      <c r="G10" s="22">
        <v>3</v>
      </c>
      <c r="H10" s="23">
        <v>1</v>
      </c>
      <c r="I10" s="27">
        <v>6</v>
      </c>
      <c r="J10" s="23">
        <v>8</v>
      </c>
      <c r="K10" s="23">
        <v>9</v>
      </c>
      <c r="L10" s="27">
        <v>1</v>
      </c>
      <c r="N10" s="2">
        <v>25961</v>
      </c>
      <c r="O10" s="1">
        <v>1</v>
      </c>
    </row>
    <row r="11" spans="1:15" ht="28.25" customHeight="1">
      <c r="A11" s="27">
        <v>7</v>
      </c>
      <c r="B11" s="23">
        <v>9</v>
      </c>
      <c r="C11" s="27">
        <v>7</v>
      </c>
      <c r="D11" s="22">
        <v>3</v>
      </c>
      <c r="E11" s="27">
        <v>4</v>
      </c>
      <c r="F11" s="27">
        <v>9</v>
      </c>
      <c r="G11" s="27">
        <v>6</v>
      </c>
      <c r="H11" s="22">
        <v>7</v>
      </c>
      <c r="I11" s="27">
        <v>8</v>
      </c>
      <c r="J11" s="27">
        <v>4</v>
      </c>
      <c r="K11" s="27">
        <v>4</v>
      </c>
      <c r="L11" s="23">
        <v>2</v>
      </c>
      <c r="N11" s="2">
        <v>52373</v>
      </c>
      <c r="O11" s="1">
        <v>1</v>
      </c>
    </row>
    <row r="12" spans="1:15" ht="28.25" customHeight="1">
      <c r="A12" s="27">
        <v>1</v>
      </c>
      <c r="B12" s="27">
        <v>5</v>
      </c>
      <c r="C12" s="22">
        <v>9</v>
      </c>
      <c r="D12" s="27">
        <v>4</v>
      </c>
      <c r="E12" s="27">
        <v>6</v>
      </c>
      <c r="F12" s="27">
        <v>3</v>
      </c>
      <c r="G12" s="27">
        <v>5</v>
      </c>
      <c r="H12" s="27">
        <v>8</v>
      </c>
      <c r="I12" s="22">
        <v>3</v>
      </c>
      <c r="J12" s="27">
        <v>8</v>
      </c>
      <c r="K12" s="27">
        <v>4</v>
      </c>
      <c r="L12" s="27">
        <v>3</v>
      </c>
      <c r="N12" s="2">
        <v>5422</v>
      </c>
      <c r="O12" s="1">
        <v>1</v>
      </c>
    </row>
    <row r="13" spans="1:15" ht="28.25" customHeight="1">
      <c r="N13" s="2">
        <v>55</v>
      </c>
      <c r="O13" s="1">
        <v>20</v>
      </c>
    </row>
    <row r="14" spans="1:15" ht="28.25" customHeight="1">
      <c r="N14" s="2">
        <v>121</v>
      </c>
      <c r="O14" s="1">
        <v>2</v>
      </c>
    </row>
    <row r="15" spans="1:15" ht="28.25" customHeight="1">
      <c r="N15" s="2">
        <v>29</v>
      </c>
      <c r="O15" s="1">
        <v>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00"/>
  <sheetViews>
    <sheetView tabSelected="1" zoomScaleNormal="100" workbookViewId="0">
      <pane ySplit="2" topLeftCell="A194" activePane="bottomLeft" state="frozen"/>
      <selection pane="bottomLeft" activeCell="A200" sqref="A20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438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425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404</v>
      </c>
      <c r="I175" t="s">
        <v>405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407</v>
      </c>
      <c r="I176" t="s">
        <v>406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408</v>
      </c>
      <c r="I177" t="s">
        <v>409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410</v>
      </c>
      <c r="I178" t="s">
        <v>411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412</v>
      </c>
      <c r="I179" t="s">
        <v>413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415</v>
      </c>
      <c r="I180" t="s">
        <v>414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417</v>
      </c>
      <c r="I181" t="s">
        <v>416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418</v>
      </c>
      <c r="I182" t="s">
        <v>419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420</v>
      </c>
      <c r="I183" t="s">
        <v>421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422</v>
      </c>
      <c r="I184" t="s">
        <v>421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423</v>
      </c>
      <c r="I185" t="s">
        <v>424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426</v>
      </c>
      <c r="I186" t="s">
        <v>427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 s="5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428</v>
      </c>
      <c r="I187" t="s">
        <v>429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 s="5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430</v>
      </c>
      <c r="I188" t="s">
        <v>431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 s="5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432</v>
      </c>
      <c r="I189" t="s">
        <v>433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 s="5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434</v>
      </c>
      <c r="I190" t="s">
        <v>435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 s="5">
        <f t="shared" ref="Q190" si="75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436</v>
      </c>
      <c r="I191" t="s">
        <v>437</v>
      </c>
      <c r="J191">
        <v>0</v>
      </c>
      <c r="K191">
        <f t="shared" ref="K191" si="76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77">L190+K191</f>
        <v>219</v>
      </c>
      <c r="M191">
        <f t="shared" ref="M191" si="78">2+IF(A191&gt;=DATEVALUE("2025/11/30")+TIMEVALUE("6:00"),1,0)+IF(A191&gt;=DATEVALUE("2025/12/11")+TIMEVALUE("6:00"),1,0)</f>
        <v>4</v>
      </c>
      <c r="N191">
        <f t="shared" ref="N191" si="79">N190+M191*(INT(A191-6/24)-INT(A190-6/24))+O191</f>
        <v>220</v>
      </c>
      <c r="O191">
        <f t="shared" ref="O191" si="80">IF(A191&gt;=DATEVALUE("2025/11/8")+TIMEVALUE("6:00"),1,0)-IF(A190&gt;=DATEVALUE("2025/11/8")+TIMEVALUE("6:00"),1,0)</f>
        <v>0</v>
      </c>
      <c r="P191" t="str">
        <f t="shared" ref="P191" si="81">IF(L191&lt;N191,"未達成（"&amp;N191-L191&amp;"）",IF(L191=N191,"達成","前倒し（"&amp;L191-N191&amp;"）"))</f>
        <v>未達成（1）</v>
      </c>
      <c r="Q191" s="5">
        <f t="shared" ref="Q191" si="82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439</v>
      </c>
      <c r="I192" t="s">
        <v>440</v>
      </c>
      <c r="J192">
        <v>0</v>
      </c>
      <c r="K192">
        <f t="shared" ref="K192" si="83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84">L191+K192</f>
        <v>220</v>
      </c>
      <c r="M192">
        <f t="shared" ref="M192" si="85">2+IF(A192&gt;=DATEVALUE("2025/11/30")+TIMEVALUE("6:00"),1,0)+IF(A192&gt;=DATEVALUE("2025/12/11")+TIMEVALUE("6:00"),1,0)</f>
        <v>4</v>
      </c>
      <c r="N192">
        <f t="shared" ref="N192" si="86">N191+M192*(INT(A192-6/24)-INT(A191-6/24))+O192</f>
        <v>220</v>
      </c>
      <c r="O192">
        <f t="shared" ref="O192" si="87">IF(A192&gt;=DATEVALUE("2025/11/8")+TIMEVALUE("6:00"),1,0)-IF(A191&gt;=DATEVALUE("2025/11/8")+TIMEVALUE("6:00"),1,0)</f>
        <v>0</v>
      </c>
      <c r="P192" t="str">
        <f t="shared" ref="P192" si="88">IF(L192&lt;N192,"未達成（"&amp;N192-L192&amp;"）",IF(L192=N192,"達成","前倒し（"&amp;L192-N192&amp;"）"))</f>
        <v>達成</v>
      </c>
      <c r="Q192">
        <f t="shared" ref="Q192" si="8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441</v>
      </c>
      <c r="I193" t="s">
        <v>442</v>
      </c>
      <c r="J193">
        <v>0</v>
      </c>
      <c r="K193">
        <f t="shared" ref="K193" si="9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91">L192+K193</f>
        <v>221</v>
      </c>
      <c r="M193">
        <f t="shared" ref="M193" si="92">2+IF(A193&gt;=DATEVALUE("2025/11/30")+TIMEVALUE("6:00"),1,0)+IF(A193&gt;=DATEVALUE("2025/12/11")+TIMEVALUE("6:00"),1,0)</f>
        <v>4</v>
      </c>
      <c r="N193">
        <f t="shared" ref="N193" si="93">N192+M193*(INT(A193-6/24)-INT(A192-6/24))+O193</f>
        <v>224</v>
      </c>
      <c r="O193">
        <f t="shared" ref="O193" si="94">IF(A193&gt;=DATEVALUE("2025/11/8")+TIMEVALUE("6:00"),1,0)-IF(A192&gt;=DATEVALUE("2025/11/8")+TIMEVALUE("6:00"),1,0)</f>
        <v>0</v>
      </c>
      <c r="P193" t="str">
        <f t="shared" ref="P193" si="95">IF(L193&lt;N193,"未達成（"&amp;N193-L193&amp;"）",IF(L193=N193,"達成","前倒し（"&amp;L193-N193&amp;"）"))</f>
        <v>未達成（3）</v>
      </c>
      <c r="Q193">
        <f t="shared" ref="Q193" si="96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443</v>
      </c>
      <c r="I194" t="s">
        <v>444</v>
      </c>
      <c r="J194">
        <v>0</v>
      </c>
      <c r="K194">
        <f t="shared" ref="K194" si="97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98">L193+K194</f>
        <v>223</v>
      </c>
      <c r="M194">
        <f t="shared" ref="M194" si="99">2+IF(A194&gt;=DATEVALUE("2025/11/30")+TIMEVALUE("6:00"),1,0)+IF(A194&gt;=DATEVALUE("2025/12/11")+TIMEVALUE("6:00"),1,0)</f>
        <v>4</v>
      </c>
      <c r="N194">
        <f t="shared" ref="N194" si="100">N193+M194*(INT(A194-6/24)-INT(A193-6/24))+O194</f>
        <v>224</v>
      </c>
      <c r="O194">
        <f t="shared" ref="O194" si="101">IF(A194&gt;=DATEVALUE("2025/11/8")+TIMEVALUE("6:00"),1,0)-IF(A193&gt;=DATEVALUE("2025/11/8")+TIMEVALUE("6:00"),1,0)</f>
        <v>0</v>
      </c>
      <c r="P194" t="str">
        <f t="shared" ref="P194" si="102">IF(L194&lt;N194,"未達成（"&amp;N194-L194&amp;"）",IF(L194=N194,"達成","前倒し（"&amp;L194-N194&amp;"）"))</f>
        <v>未達成（1）</v>
      </c>
      <c r="Q194">
        <f t="shared" ref="Q194" si="103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445</v>
      </c>
      <c r="I195" t="s">
        <v>446</v>
      </c>
      <c r="J195">
        <v>0</v>
      </c>
      <c r="K195">
        <f t="shared" ref="K195" si="104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105">L194+K195</f>
        <v>225</v>
      </c>
      <c r="M195">
        <f t="shared" ref="M195" si="106">2+IF(A195&gt;=DATEVALUE("2025/11/30")+TIMEVALUE("6:00"),1,0)+IF(A195&gt;=DATEVALUE("2025/12/11")+TIMEVALUE("6:00"),1,0)</f>
        <v>4</v>
      </c>
      <c r="N195">
        <f t="shared" ref="N195" si="107">N194+M195*(INT(A195-6/24)-INT(A194-6/24))+O195</f>
        <v>224</v>
      </c>
      <c r="O195">
        <f t="shared" ref="O195" si="108">IF(A195&gt;=DATEVALUE("2025/11/8")+TIMEVALUE("6:00"),1,0)-IF(A194&gt;=DATEVALUE("2025/11/8")+TIMEVALUE("6:00"),1,0)</f>
        <v>0</v>
      </c>
      <c r="P195" t="str">
        <f t="shared" ref="P195" si="109">IF(L195&lt;N195,"未達成（"&amp;N195-L195&amp;"）",IF(L195=N195,"達成","前倒し（"&amp;L195-N195&amp;"）"))</f>
        <v>前倒し（1）</v>
      </c>
      <c r="Q195">
        <f t="shared" ref="Q195" si="110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447</v>
      </c>
      <c r="I196" t="s">
        <v>448</v>
      </c>
      <c r="J196">
        <v>0</v>
      </c>
      <c r="K196">
        <f t="shared" ref="K196" si="111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112">L195+K196</f>
        <v>227</v>
      </c>
      <c r="M196">
        <f t="shared" ref="M196" si="113">2+IF(A196&gt;=DATEVALUE("2025/11/30")+TIMEVALUE("6:00"),1,0)+IF(A196&gt;=DATEVALUE("2025/12/11")+TIMEVALUE("6:00"),1,0)</f>
        <v>4</v>
      </c>
      <c r="N196">
        <f t="shared" ref="N196" si="114">N195+M196*(INT(A196-6/24)-INT(A195-6/24))+O196</f>
        <v>228</v>
      </c>
      <c r="O196">
        <f t="shared" ref="O196" si="115">IF(A196&gt;=DATEVALUE("2025/11/8")+TIMEVALUE("6:00"),1,0)-IF(A195&gt;=DATEVALUE("2025/11/8")+TIMEVALUE("6:00"),1,0)</f>
        <v>0</v>
      </c>
      <c r="P196" t="str">
        <f t="shared" ref="P196" si="116">IF(L196&lt;N196,"未達成（"&amp;N196-L196&amp;"）",IF(L196=N196,"達成","前倒し（"&amp;L196-N196&amp;"）"))</f>
        <v>未達成（1）</v>
      </c>
      <c r="Q196">
        <f t="shared" ref="Q196" si="117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449</v>
      </c>
      <c r="I197" t="s">
        <v>450</v>
      </c>
      <c r="J197">
        <v>0</v>
      </c>
      <c r="K197">
        <f t="shared" ref="K197" si="118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19">L196+K197</f>
        <v>229</v>
      </c>
      <c r="M197">
        <f t="shared" ref="M197" si="120">2+IF(A197&gt;=DATEVALUE("2025/11/30")+TIMEVALUE("6:00"),1,0)+IF(A197&gt;=DATEVALUE("2025/12/11")+TIMEVALUE("6:00"),1,0)</f>
        <v>4</v>
      </c>
      <c r="N197">
        <f t="shared" ref="N197" si="121">N196+M197*(INT(A197-6/24)-INT(A196-6/24))+O197</f>
        <v>228</v>
      </c>
      <c r="O197">
        <f t="shared" ref="O197" si="122">IF(A197&gt;=DATEVALUE("2025/11/8")+TIMEVALUE("6:00"),1,0)-IF(A196&gt;=DATEVALUE("2025/11/8")+TIMEVALUE("6:00"),1,0)</f>
        <v>0</v>
      </c>
      <c r="P197" t="str">
        <f t="shared" ref="P197" si="123">IF(L197&lt;N197,"未達成（"&amp;N197-L197&amp;"）",IF(L197=N197,"達成","前倒し（"&amp;L197-N197&amp;"）"))</f>
        <v>前倒し（1）</v>
      </c>
      <c r="Q197">
        <f t="shared" ref="Q197" si="124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451</v>
      </c>
      <c r="I198" t="s">
        <v>452</v>
      </c>
      <c r="J198">
        <v>0</v>
      </c>
      <c r="K198">
        <f t="shared" ref="K198" si="125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26">L197+K198</f>
        <v>230</v>
      </c>
      <c r="M198">
        <f t="shared" ref="M198" si="127">2+IF(A198&gt;=DATEVALUE("2025/11/30")+TIMEVALUE("6:00"),1,0)+IF(A198&gt;=DATEVALUE("2025/12/11")+TIMEVALUE("6:00"),1,0)</f>
        <v>4</v>
      </c>
      <c r="N198">
        <f t="shared" ref="N198" si="128">N197+M198*(INT(A198-6/24)-INT(A197-6/24))+O198</f>
        <v>232</v>
      </c>
      <c r="O198">
        <f t="shared" ref="O198" si="129">IF(A198&gt;=DATEVALUE("2025/11/8")+TIMEVALUE("6:00"),1,0)-IF(A197&gt;=DATEVALUE("2025/11/8")+TIMEVALUE("6:00"),1,0)</f>
        <v>0</v>
      </c>
      <c r="P198" t="str">
        <f t="shared" ref="P198" si="130">IF(L198&lt;N198,"未達成（"&amp;N198-L198&amp;"）",IF(L198=N198,"達成","前倒し（"&amp;L198-N198&amp;"）"))</f>
        <v>未達成（2）</v>
      </c>
      <c r="Q198">
        <f t="shared" ref="Q198" si="131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453</v>
      </c>
      <c r="I199" t="s">
        <v>454</v>
      </c>
      <c r="J199">
        <v>0</v>
      </c>
      <c r="K199">
        <f t="shared" ref="K199" si="132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33">L198+K199</f>
        <v>231</v>
      </c>
      <c r="M199">
        <f t="shared" ref="M199" si="134">2+IF(A199&gt;=DATEVALUE("2025/11/30")+TIMEVALUE("6:00"),1,0)+IF(A199&gt;=DATEVALUE("2025/12/11")+TIMEVALUE("6:00"),1,0)</f>
        <v>4</v>
      </c>
      <c r="N199">
        <f t="shared" ref="N199" si="135">N198+M199*(INT(A199-6/24)-INT(A198-6/24))+O199</f>
        <v>232</v>
      </c>
      <c r="O199">
        <f t="shared" ref="O199" si="136">IF(A199&gt;=DATEVALUE("2025/11/8")+TIMEVALUE("6:00"),1,0)-IF(A198&gt;=DATEVALUE("2025/11/8")+TIMEVALUE("6:00"),1,0)</f>
        <v>0</v>
      </c>
      <c r="P199" t="str">
        <f t="shared" ref="P199" si="137">IF(L199&lt;N199,"未達成（"&amp;N199-L199&amp;"）",IF(L199=N199,"達成","前倒し（"&amp;L199-N199&amp;"）"))</f>
        <v>未達成（1）</v>
      </c>
      <c r="Q199">
        <f t="shared" ref="Q199" si="138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455</v>
      </c>
      <c r="I200" t="s">
        <v>456</v>
      </c>
      <c r="J200">
        <v>0</v>
      </c>
      <c r="K200">
        <f t="shared" ref="K200" si="139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40">L199+K200</f>
        <v>233</v>
      </c>
      <c r="M200">
        <f t="shared" ref="M200" si="141">2+IF(A200&gt;=DATEVALUE("2025/11/30")+TIMEVALUE("6:00"),1,0)+IF(A200&gt;=DATEVALUE("2025/12/11")+TIMEVALUE("6:00"),1,0)</f>
        <v>4</v>
      </c>
      <c r="N200">
        <f t="shared" ref="N200" si="142">N199+M200*(INT(A200-6/24)-INT(A199-6/24))+O200</f>
        <v>232</v>
      </c>
      <c r="O200">
        <f t="shared" ref="O200" si="143">IF(A200&gt;=DATEVALUE("2025/11/8")+TIMEVALUE("6:00"),1,0)-IF(A199&gt;=DATEVALUE("2025/11/8")+TIMEVALUE("6:00"),1,0)</f>
        <v>0</v>
      </c>
      <c r="P200" t="str">
        <f t="shared" ref="P200" si="144">IF(L200&lt;N200,"未達成（"&amp;N200-L200&amp;"）",IF(L200=N200,"達成","前倒し（"&amp;L200-N200&amp;"）"))</f>
        <v>前倒し（1）</v>
      </c>
      <c r="Q200">
        <f t="shared" ref="Q200" si="145">IF(B200="",NA(),G200)</f>
        <v>5.3472222207346931E-3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46037.310543981483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2026-01-14T22:35:36Z</dcterms:modified>
</cp:coreProperties>
</file>
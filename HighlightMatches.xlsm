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7F9CCDE-2ED3-4F50-BF73-B5669539C0F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8" i="4" l="1"/>
  <c r="M138" i="4"/>
  <c r="N138" i="4" s="1"/>
  <c r="K138" i="4"/>
  <c r="L138" i="4" s="1"/>
  <c r="O137" i="4"/>
  <c r="M137" i="4"/>
  <c r="N137" i="4" s="1"/>
  <c r="K137" i="4"/>
  <c r="L137" i="4" s="1"/>
  <c r="P137" i="4" s="1"/>
  <c r="O136" i="4"/>
  <c r="M136" i="4"/>
  <c r="N136" i="4" s="1"/>
  <c r="K136" i="4"/>
  <c r="L136" i="4" s="1"/>
  <c r="P136" i="4" s="1"/>
  <c r="O135" i="4"/>
  <c r="M135" i="4"/>
  <c r="N135" i="4" s="1"/>
  <c r="K135" i="4"/>
  <c r="L135" i="4" s="1"/>
  <c r="O134" i="4"/>
  <c r="M134" i="4"/>
  <c r="N134" i="4" s="1"/>
  <c r="K134" i="4"/>
  <c r="L134" i="4" s="1"/>
  <c r="O133" i="4"/>
  <c r="M133" i="4"/>
  <c r="N133" i="4" s="1"/>
  <c r="L133" i="4"/>
  <c r="K133" i="4"/>
  <c r="O132" i="4"/>
  <c r="M132" i="4"/>
  <c r="N132" i="4" s="1"/>
  <c r="K132" i="4"/>
  <c r="L132" i="4" s="1"/>
  <c r="P132" i="4" s="1"/>
  <c r="O131" i="4"/>
  <c r="M131" i="4"/>
  <c r="N131" i="4" s="1"/>
  <c r="K131" i="4"/>
  <c r="L131" i="4" s="1"/>
  <c r="P131" i="4" s="1"/>
  <c r="O130" i="4"/>
  <c r="M130" i="4"/>
  <c r="N130" i="4" s="1"/>
  <c r="K130" i="4"/>
  <c r="L130" i="4" s="1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38" i="4" l="1"/>
  <c r="P135" i="4"/>
  <c r="P134" i="4"/>
  <c r="P133" i="4"/>
  <c r="P130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l="1"/>
  <c r="N125" i="4" s="1"/>
  <c r="N126" i="4" s="1"/>
  <c r="N127" i="4" s="1"/>
  <c r="N128" i="4" s="1"/>
  <c r="N129" i="4" s="1"/>
  <c r="L19" i="4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L116" i="4" l="1"/>
  <c r="P115" i="4"/>
  <c r="P116" i="4" l="1"/>
  <c r="L117" i="4"/>
  <c r="L118" i="4" l="1"/>
  <c r="P117" i="4"/>
  <c r="L119" i="4" l="1"/>
  <c r="P118" i="4"/>
  <c r="L120" i="4" l="1"/>
  <c r="P119" i="4"/>
  <c r="P120" i="4" l="1"/>
  <c r="L121" i="4"/>
  <c r="P121" i="4" l="1"/>
  <c r="L122" i="4"/>
  <c r="P122" i="4" l="1"/>
  <c r="L123" i="4"/>
  <c r="L124" i="4" l="1"/>
  <c r="P123" i="4"/>
  <c r="P124" i="4" l="1"/>
  <c r="L125" i="4"/>
  <c r="L126" i="4" l="1"/>
  <c r="P125" i="4"/>
  <c r="L127" i="4" l="1"/>
  <c r="P126" i="4"/>
  <c r="L128" i="4" l="1"/>
  <c r="P127" i="4"/>
  <c r="P128" i="4" l="1"/>
  <c r="L129" i="4"/>
  <c r="P129" i="4" s="1"/>
</calcChain>
</file>

<file path=xl/sharedStrings.xml><?xml version="1.0" encoding="utf-8"?>
<sst xmlns="http://schemas.openxmlformats.org/spreadsheetml/2006/main" count="353" uniqueCount="334">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</sst>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データ!$P$1:$P$137</c:f>
              <c:strCache>
                <c:ptCount val="137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データ!$A$2:$A$138</c:f>
              <c:numCache>
                <c:formatCode>m/d/yyyy\ h:mm</c:formatCode>
                <c:ptCount val="13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</c:numCache>
            </c:numRef>
          </c:xVal>
          <c:yVal>
            <c:numRef>
              <c:f>データ!$B$2:$B$138</c:f>
              <c:numCache>
                <c:formatCode>General</c:formatCode>
                <c:ptCount val="13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B-4D4D-AFAD-7AC701E55D6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7DB-4D4D-AFAD-7AC701E55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324736"/>
        <c:axId val="167331705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データ!$A$2:$A$138</c:f>
              <c:numCache>
                <c:formatCode>m/d/yyyy\ h:mm</c:formatCode>
                <c:ptCount val="13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</c:numCache>
            </c:numRef>
          </c:xVal>
          <c:yVal>
            <c:numRef>
              <c:f>データ!$G$2:$G$138</c:f>
              <c:numCache>
                <c:formatCode>[h]:mm</c:formatCode>
                <c:ptCount val="13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DB-4D4D-AFAD-7AC701E55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346336"/>
        <c:axId val="1673300256"/>
      </c:scatterChart>
      <c:valAx>
        <c:axId val="16733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3317056"/>
        <c:crosses val="autoZero"/>
        <c:crossBetween val="midCat"/>
      </c:valAx>
      <c:valAx>
        <c:axId val="16733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3324736"/>
        <c:crosses val="autoZero"/>
        <c:crossBetween val="midCat"/>
      </c:valAx>
      <c:valAx>
        <c:axId val="167330025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3346336"/>
        <c:crosses val="max"/>
        <c:crossBetween val="midCat"/>
      </c:valAx>
      <c:valAx>
        <c:axId val="167334633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330025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586" name="Match0">
          <a:extLst>
            <a:ext uri="{FF2B5EF4-FFF2-40B4-BE49-F238E27FC236}">
              <a16:creationId xmlns:a16="http://schemas.microsoft.com/office/drawing/2014/main" id="{189AA496-3F62-691C-693A-2D7C51623560}"/>
            </a:ext>
          </a:extLst>
        </xdr:cNvPr>
        <xdr:cNvCxnSpPr/>
      </xdr:nvCxnSpPr>
      <xdr:spPr>
        <a:xfrm flipH="1">
          <a:off x="211931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587" name="Match1">
          <a:extLst>
            <a:ext uri="{FF2B5EF4-FFF2-40B4-BE49-F238E27FC236}">
              <a16:creationId xmlns:a16="http://schemas.microsoft.com/office/drawing/2014/main" id="{5CBA5F3D-9D5F-72A6-B5BB-4B58D8F82F93}"/>
            </a:ext>
          </a:extLst>
        </xdr:cNvPr>
        <xdr:cNvCxnSpPr/>
      </xdr:nvCxnSpPr>
      <xdr:spPr>
        <a:xfrm flipV="1">
          <a:off x="3602831" y="196453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588" name="Match2">
          <a:extLst>
            <a:ext uri="{FF2B5EF4-FFF2-40B4-BE49-F238E27FC236}">
              <a16:creationId xmlns:a16="http://schemas.microsoft.com/office/drawing/2014/main" id="{03E36C1C-8799-08BD-659D-C30A6119D26F}"/>
            </a:ext>
          </a:extLst>
        </xdr:cNvPr>
        <xdr:cNvCxnSpPr/>
      </xdr:nvCxnSpPr>
      <xdr:spPr>
        <a:xfrm>
          <a:off x="211931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589" name="Match3">
          <a:extLst>
            <a:ext uri="{FF2B5EF4-FFF2-40B4-BE49-F238E27FC236}">
              <a16:creationId xmlns:a16="http://schemas.microsoft.com/office/drawing/2014/main" id="{EC7E126E-CF2E-B400-7B0C-896D6FD08DDB}"/>
            </a:ext>
          </a:extLst>
        </xdr:cNvPr>
        <xdr:cNvCxnSpPr/>
      </xdr:nvCxnSpPr>
      <xdr:spPr>
        <a:xfrm flipH="1">
          <a:off x="4026694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590" name="Match4">
          <a:extLst>
            <a:ext uri="{FF2B5EF4-FFF2-40B4-BE49-F238E27FC236}">
              <a16:creationId xmlns:a16="http://schemas.microsoft.com/office/drawing/2014/main" id="{C7E24A5E-F575-BF0B-0499-147C85BC4137}"/>
            </a:ext>
          </a:extLst>
        </xdr:cNvPr>
        <xdr:cNvCxnSpPr/>
      </xdr:nvCxnSpPr>
      <xdr:spPr>
        <a:xfrm flipV="1">
          <a:off x="233124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591" name="Match5">
          <a:extLst>
            <a:ext uri="{FF2B5EF4-FFF2-40B4-BE49-F238E27FC236}">
              <a16:creationId xmlns:a16="http://schemas.microsoft.com/office/drawing/2014/main" id="{00B0A7A0-EAFC-7320-3E78-76EB3DF07BC2}"/>
            </a:ext>
          </a:extLst>
        </xdr:cNvPr>
        <xdr:cNvCxnSpPr/>
      </xdr:nvCxnSpPr>
      <xdr:spPr>
        <a:xfrm flipV="1">
          <a:off x="4450556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592" name="Match6">
          <a:extLst>
            <a:ext uri="{FF2B5EF4-FFF2-40B4-BE49-F238E27FC236}">
              <a16:creationId xmlns:a16="http://schemas.microsoft.com/office/drawing/2014/main" id="{2B0D7C09-C2A0-0C0B-C980-AF037C8A0E91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593" name="Match7">
          <a:extLst>
            <a:ext uri="{FF2B5EF4-FFF2-40B4-BE49-F238E27FC236}">
              <a16:creationId xmlns:a16="http://schemas.microsoft.com/office/drawing/2014/main" id="{4779DE8C-2593-B761-531B-8A0AB17AC7D2}"/>
            </a:ext>
          </a:extLst>
        </xdr:cNvPr>
        <xdr:cNvCxnSpPr/>
      </xdr:nvCxnSpPr>
      <xdr:spPr>
        <a:xfrm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594" name="Match8">
          <a:extLst>
            <a:ext uri="{FF2B5EF4-FFF2-40B4-BE49-F238E27FC236}">
              <a16:creationId xmlns:a16="http://schemas.microsoft.com/office/drawing/2014/main" id="{B557230B-36E7-EF84-6DDE-87B273E0DA20}"/>
            </a:ext>
          </a:extLst>
        </xdr:cNvPr>
        <xdr:cNvCxnSpPr/>
      </xdr:nvCxnSpPr>
      <xdr:spPr>
        <a:xfrm flipV="1">
          <a:off x="6357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595" name="Match9">
          <a:extLst>
            <a:ext uri="{FF2B5EF4-FFF2-40B4-BE49-F238E27FC236}">
              <a16:creationId xmlns:a16="http://schemas.microsoft.com/office/drawing/2014/main" id="{54BC1D89-FED2-18D2-7CF9-68F5835520EC}"/>
            </a:ext>
          </a:extLst>
        </xdr:cNvPr>
        <xdr:cNvCxnSpPr/>
      </xdr:nvCxnSpPr>
      <xdr:spPr>
        <a:xfrm>
          <a:off x="148351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596" name="Match10">
          <a:extLst>
            <a:ext uri="{FF2B5EF4-FFF2-40B4-BE49-F238E27FC236}">
              <a16:creationId xmlns:a16="http://schemas.microsoft.com/office/drawing/2014/main" id="{2620AF9E-9840-0642-6584-4ECFA2106DBD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597" name="Match11">
          <a:extLst>
            <a:ext uri="{FF2B5EF4-FFF2-40B4-BE49-F238E27FC236}">
              <a16:creationId xmlns:a16="http://schemas.microsoft.com/office/drawing/2014/main" id="{A2D16B8E-E665-DF8C-38D9-C6CC3786123D}"/>
            </a:ext>
          </a:extLst>
        </xdr:cNvPr>
        <xdr:cNvCxnSpPr/>
      </xdr:nvCxnSpPr>
      <xdr:spPr>
        <a:xfrm>
          <a:off x="63579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8</xdr:row>
      <xdr:rowOff>229394</xdr:rowOff>
    </xdr:from>
    <xdr:to>
      <xdr:col>6</xdr:col>
      <xdr:colOff>262731</xdr:colOff>
      <xdr:row>8</xdr:row>
      <xdr:rowOff>229394</xdr:rowOff>
    </xdr:to>
    <xdr:cxnSp macro="">
      <xdr:nvCxnSpPr>
        <xdr:cNvPr id="1598" name="Match12">
          <a:extLst>
            <a:ext uri="{FF2B5EF4-FFF2-40B4-BE49-F238E27FC236}">
              <a16:creationId xmlns:a16="http://schemas.microsoft.com/office/drawing/2014/main" id="{2F99067E-A1AF-17D6-11C0-86A9A66D0DED}"/>
            </a:ext>
          </a:extLst>
        </xdr:cNvPr>
        <xdr:cNvCxnSpPr/>
      </xdr:nvCxnSpPr>
      <xdr:spPr>
        <a:xfrm flipH="1">
          <a:off x="1110456" y="3086894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599" name="Match13">
          <a:extLst>
            <a:ext uri="{FF2B5EF4-FFF2-40B4-BE49-F238E27FC236}">
              <a16:creationId xmlns:a16="http://schemas.microsoft.com/office/drawing/2014/main" id="{E1C1BED1-0686-8E30-D80D-D6FE5F3847C5}"/>
            </a:ext>
          </a:extLst>
        </xdr:cNvPr>
        <xdr:cNvCxnSpPr/>
      </xdr:nvCxnSpPr>
      <xdr:spPr>
        <a:xfrm>
          <a:off x="2331244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600" name="Match14">
          <a:extLst>
            <a:ext uri="{FF2B5EF4-FFF2-40B4-BE49-F238E27FC236}">
              <a16:creationId xmlns:a16="http://schemas.microsoft.com/office/drawing/2014/main" id="{BAE6C331-3356-7975-5EA7-AB5DA07B34CD}"/>
            </a:ext>
          </a:extLst>
        </xdr:cNvPr>
        <xdr:cNvCxnSpPr/>
      </xdr:nvCxnSpPr>
      <xdr:spPr>
        <a:xfrm>
          <a:off x="233124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601" name="Match15">
          <a:extLst>
            <a:ext uri="{FF2B5EF4-FFF2-40B4-BE49-F238E27FC236}">
              <a16:creationId xmlns:a16="http://schemas.microsoft.com/office/drawing/2014/main" id="{D7C151FE-ECD6-E5F5-67B7-E9BF0166F81D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602" name="Match16">
          <a:extLst>
            <a:ext uri="{FF2B5EF4-FFF2-40B4-BE49-F238E27FC236}">
              <a16:creationId xmlns:a16="http://schemas.microsoft.com/office/drawing/2014/main" id="{8D855776-8C94-2FB2-CA09-99FE0B00A0FE}"/>
            </a:ext>
          </a:extLst>
        </xdr:cNvPr>
        <xdr:cNvCxnSpPr/>
      </xdr:nvCxnSpPr>
      <xdr:spPr>
        <a:xfrm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603" name="Match17">
          <a:extLst>
            <a:ext uri="{FF2B5EF4-FFF2-40B4-BE49-F238E27FC236}">
              <a16:creationId xmlns:a16="http://schemas.microsoft.com/office/drawing/2014/main" id="{93F51D7C-01CB-13CA-8DBB-0E93FB82858F}"/>
            </a:ext>
          </a:extLst>
        </xdr:cNvPr>
        <xdr:cNvCxnSpPr/>
      </xdr:nvCxnSpPr>
      <xdr:spPr>
        <a:xfrm flipV="1"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7</xdr:row>
      <xdr:rowOff>254793</xdr:rowOff>
    </xdr:from>
    <xdr:to>
      <xdr:col>6</xdr:col>
      <xdr:colOff>288131</xdr:colOff>
      <xdr:row>8</xdr:row>
      <xdr:rowOff>254794</xdr:rowOff>
    </xdr:to>
    <xdr:cxnSp macro="">
      <xdr:nvCxnSpPr>
        <xdr:cNvPr id="1604" name="Match18">
          <a:extLst>
            <a:ext uri="{FF2B5EF4-FFF2-40B4-BE49-F238E27FC236}">
              <a16:creationId xmlns:a16="http://schemas.microsoft.com/office/drawing/2014/main" id="{35420F01-ADD8-6F17-A5A5-CBE94CFCD375}"/>
            </a:ext>
          </a:extLst>
        </xdr:cNvPr>
        <xdr:cNvCxnSpPr/>
      </xdr:nvCxnSpPr>
      <xdr:spPr>
        <a:xfrm flipH="1" flipV="1">
          <a:off x="2407444" y="2755106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313531</xdr:colOff>
      <xdr:row>7</xdr:row>
      <xdr:rowOff>280193</xdr:rowOff>
    </xdr:from>
    <xdr:to>
      <xdr:col>7</xdr:col>
      <xdr:colOff>313531</xdr:colOff>
      <xdr:row>8</xdr:row>
      <xdr:rowOff>280194</xdr:rowOff>
    </xdr:to>
    <xdr:cxnSp macro="">
      <xdr:nvCxnSpPr>
        <xdr:cNvPr id="1605" name="Match19">
          <a:extLst>
            <a:ext uri="{FF2B5EF4-FFF2-40B4-BE49-F238E27FC236}">
              <a16:creationId xmlns:a16="http://schemas.microsoft.com/office/drawing/2014/main" id="{3B3F81C0-8642-1F33-7B5C-799931DA16E5}"/>
            </a:ext>
          </a:extLst>
        </xdr:cNvPr>
        <xdr:cNvCxnSpPr/>
      </xdr:nvCxnSpPr>
      <xdr:spPr>
        <a:xfrm flipV="1">
          <a:off x="2856706" y="2780506"/>
          <a:ext cx="423863" cy="357188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606" name="Match20">
          <a:extLst>
            <a:ext uri="{FF2B5EF4-FFF2-40B4-BE49-F238E27FC236}">
              <a16:creationId xmlns:a16="http://schemas.microsoft.com/office/drawing/2014/main" id="{C8C84E49-97AC-472E-D6FB-F8F2E3DCE142}"/>
            </a:ext>
          </a:extLst>
        </xdr:cNvPr>
        <xdr:cNvCxnSpPr/>
      </xdr:nvCxnSpPr>
      <xdr:spPr>
        <a:xfrm>
          <a:off x="15089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607" name="Match21">
          <a:extLst>
            <a:ext uri="{FF2B5EF4-FFF2-40B4-BE49-F238E27FC236}">
              <a16:creationId xmlns:a16="http://schemas.microsoft.com/office/drawing/2014/main" id="{6B3C169E-F2C6-66B3-17EB-63F7E2B09072}"/>
            </a:ext>
          </a:extLst>
        </xdr:cNvPr>
        <xdr:cNvCxnSpPr/>
      </xdr:nvCxnSpPr>
      <xdr:spPr>
        <a:xfrm>
          <a:off x="63579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608" name="Match22">
          <a:extLst>
            <a:ext uri="{FF2B5EF4-FFF2-40B4-BE49-F238E27FC236}">
              <a16:creationId xmlns:a16="http://schemas.microsoft.com/office/drawing/2014/main" id="{C0162902-0A36-7DC1-66D2-4789041EEBF9}"/>
            </a:ext>
          </a:extLst>
        </xdr:cNvPr>
        <xdr:cNvCxnSpPr/>
      </xdr:nvCxnSpPr>
      <xdr:spPr>
        <a:xfrm flipH="1">
          <a:off x="233124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609" name="Match23">
          <a:extLst>
            <a:ext uri="{FF2B5EF4-FFF2-40B4-BE49-F238E27FC236}">
              <a16:creationId xmlns:a16="http://schemas.microsoft.com/office/drawing/2014/main" id="{87265A50-9280-AE45-EAEA-77D6D13C8EDB}"/>
            </a:ext>
          </a:extLst>
        </xdr:cNvPr>
        <xdr:cNvCxnSpPr/>
      </xdr:nvCxnSpPr>
      <xdr:spPr>
        <a:xfrm flipH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1</xdr:col>
      <xdr:colOff>262731</xdr:colOff>
      <xdr:row>2</xdr:row>
      <xdr:rowOff>229394</xdr:rowOff>
    </xdr:to>
    <xdr:cxnSp macro="">
      <xdr:nvCxnSpPr>
        <xdr:cNvPr id="1610" name="Match24">
          <a:extLst>
            <a:ext uri="{FF2B5EF4-FFF2-40B4-BE49-F238E27FC236}">
              <a16:creationId xmlns:a16="http://schemas.microsoft.com/office/drawing/2014/main" id="{717A639F-5309-1C41-4ED5-F24A6D6860AA}"/>
            </a:ext>
          </a:extLst>
        </xdr:cNvPr>
        <xdr:cNvCxnSpPr/>
      </xdr:nvCxnSpPr>
      <xdr:spPr>
        <a:xfrm flipH="1" flipV="1">
          <a:off x="2627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1611" name="Match25">
          <a:extLst>
            <a:ext uri="{FF2B5EF4-FFF2-40B4-BE49-F238E27FC236}">
              <a16:creationId xmlns:a16="http://schemas.microsoft.com/office/drawing/2014/main" id="{C87C0147-7D69-E07D-EB1E-9E0D510867AC}"/>
            </a:ext>
          </a:extLst>
        </xdr:cNvPr>
        <xdr:cNvCxnSpPr/>
      </xdr:nvCxnSpPr>
      <xdr:spPr>
        <a:xfrm>
          <a:off x="320436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7</xdr:col>
      <xdr:colOff>262731</xdr:colOff>
      <xdr:row>2</xdr:row>
      <xdr:rowOff>229394</xdr:rowOff>
    </xdr:to>
    <xdr:cxnSp macro="">
      <xdr:nvCxnSpPr>
        <xdr:cNvPr id="1612" name="Match26">
          <a:extLst>
            <a:ext uri="{FF2B5EF4-FFF2-40B4-BE49-F238E27FC236}">
              <a16:creationId xmlns:a16="http://schemas.microsoft.com/office/drawing/2014/main" id="{A6248770-D49E-821C-56E2-491A087B7307}"/>
            </a:ext>
          </a:extLst>
        </xdr:cNvPr>
        <xdr:cNvCxnSpPr/>
      </xdr:nvCxnSpPr>
      <xdr:spPr>
        <a:xfrm flipV="1">
          <a:off x="3229769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613" name="Match27">
          <a:extLst>
            <a:ext uri="{FF2B5EF4-FFF2-40B4-BE49-F238E27FC236}">
              <a16:creationId xmlns:a16="http://schemas.microsoft.com/office/drawing/2014/main" id="{4C0CA090-9D42-D68E-A84D-EC33E42BD009}"/>
            </a:ext>
          </a:extLst>
        </xdr:cNvPr>
        <xdr:cNvCxnSpPr/>
      </xdr:nvCxnSpPr>
      <xdr:spPr>
        <a:xfrm flipH="1" flipV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614" name="Match28">
          <a:extLst>
            <a:ext uri="{FF2B5EF4-FFF2-40B4-BE49-F238E27FC236}">
              <a16:creationId xmlns:a16="http://schemas.microsoft.com/office/drawing/2014/main" id="{DCB20777-8944-52CF-7E8E-4CE2C33CEB97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3</xdr:row>
      <xdr:rowOff>203993</xdr:rowOff>
    </xdr:to>
    <xdr:cxnSp macro="">
      <xdr:nvCxnSpPr>
        <xdr:cNvPr id="1615" name="Match29">
          <a:extLst>
            <a:ext uri="{FF2B5EF4-FFF2-40B4-BE49-F238E27FC236}">
              <a16:creationId xmlns:a16="http://schemas.microsoft.com/office/drawing/2014/main" id="{A0C84038-6B9C-22AF-B1D0-099376E6CEFE}"/>
            </a:ext>
          </a:extLst>
        </xdr:cNvPr>
        <xdr:cNvCxnSpPr/>
      </xdr:nvCxnSpPr>
      <xdr:spPr>
        <a:xfrm flipH="1">
          <a:off x="3204369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616" name="Match30">
          <a:extLst>
            <a:ext uri="{FF2B5EF4-FFF2-40B4-BE49-F238E27FC236}">
              <a16:creationId xmlns:a16="http://schemas.microsoft.com/office/drawing/2014/main" id="{601EC983-7140-E6E0-18B8-FEDEDC2FA644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617" name="Match31">
          <a:extLst>
            <a:ext uri="{FF2B5EF4-FFF2-40B4-BE49-F238E27FC236}">
              <a16:creationId xmlns:a16="http://schemas.microsoft.com/office/drawing/2014/main" id="{B73A15CE-68AC-6261-A7C3-25374B3E485B}"/>
            </a:ext>
          </a:extLst>
        </xdr:cNvPr>
        <xdr:cNvCxnSpPr/>
      </xdr:nvCxnSpPr>
      <xdr:spPr>
        <a:xfrm flipH="1" flipV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618" name="Match32">
          <a:extLst>
            <a:ext uri="{FF2B5EF4-FFF2-40B4-BE49-F238E27FC236}">
              <a16:creationId xmlns:a16="http://schemas.microsoft.com/office/drawing/2014/main" id="{25893095-0899-B828-515A-7B2B03DDC0AA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619" name="Match33">
          <a:extLst>
            <a:ext uri="{FF2B5EF4-FFF2-40B4-BE49-F238E27FC236}">
              <a16:creationId xmlns:a16="http://schemas.microsoft.com/office/drawing/2014/main" id="{EAF7FB44-207B-8F95-3724-F00D7C358C23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620" name="Match34">
          <a:extLst>
            <a:ext uri="{FF2B5EF4-FFF2-40B4-BE49-F238E27FC236}">
              <a16:creationId xmlns:a16="http://schemas.microsoft.com/office/drawing/2014/main" id="{18336F1A-0E49-B5EE-E804-8F8FEC0A2BA0}"/>
            </a:ext>
          </a:extLst>
        </xdr:cNvPr>
        <xdr:cNvCxnSpPr/>
      </xdr:nvCxnSpPr>
      <xdr:spPr>
        <a:xfrm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621" name="Match35">
          <a:extLst>
            <a:ext uri="{FF2B5EF4-FFF2-40B4-BE49-F238E27FC236}">
              <a16:creationId xmlns:a16="http://schemas.microsoft.com/office/drawing/2014/main" id="{C102BE48-A295-B22F-93A9-1FF719FB4CFA}"/>
            </a:ext>
          </a:extLst>
        </xdr:cNvPr>
        <xdr:cNvCxnSpPr/>
      </xdr:nvCxnSpPr>
      <xdr:spPr>
        <a:xfrm flipV="1">
          <a:off x="235664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622" name="Match36">
          <a:extLst>
            <a:ext uri="{FF2B5EF4-FFF2-40B4-BE49-F238E27FC236}">
              <a16:creationId xmlns:a16="http://schemas.microsoft.com/office/drawing/2014/main" id="{4972C111-D4FA-DB1B-1FC1-4D5F9A44EA2A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623" name="Match37">
          <a:extLst>
            <a:ext uri="{FF2B5EF4-FFF2-40B4-BE49-F238E27FC236}">
              <a16:creationId xmlns:a16="http://schemas.microsoft.com/office/drawing/2014/main" id="{A359C4AC-7A1F-F3EC-113A-BE8F1A37B11E}"/>
            </a:ext>
          </a:extLst>
        </xdr:cNvPr>
        <xdr:cNvCxnSpPr/>
      </xdr:nvCxnSpPr>
      <xdr:spPr>
        <a:xfrm flipH="1" flipV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624" name="Match38">
          <a:extLst>
            <a:ext uri="{FF2B5EF4-FFF2-40B4-BE49-F238E27FC236}">
              <a16:creationId xmlns:a16="http://schemas.microsoft.com/office/drawing/2014/main" id="{22B6E630-ECC2-EC55-1B81-82B5E649F504}"/>
            </a:ext>
          </a:extLst>
        </xdr:cNvPr>
        <xdr:cNvCxnSpPr/>
      </xdr:nvCxnSpPr>
      <xdr:spPr>
        <a:xfrm>
          <a:off x="6357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625" name="Match39">
          <a:extLst>
            <a:ext uri="{FF2B5EF4-FFF2-40B4-BE49-F238E27FC236}">
              <a16:creationId xmlns:a16="http://schemas.microsoft.com/office/drawing/2014/main" id="{6220D7E4-6C87-C7B1-6B6C-4E9142BEB57B}"/>
            </a:ext>
          </a:extLst>
        </xdr:cNvPr>
        <xdr:cNvCxnSpPr/>
      </xdr:nvCxnSpPr>
      <xdr:spPr>
        <a:xfrm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626" name="Match40">
          <a:extLst>
            <a:ext uri="{FF2B5EF4-FFF2-40B4-BE49-F238E27FC236}">
              <a16:creationId xmlns:a16="http://schemas.microsoft.com/office/drawing/2014/main" id="{9CA5FAA2-995F-3307-CB76-CCCBE8110ECF}"/>
            </a:ext>
          </a:extLst>
        </xdr:cNvPr>
        <xdr:cNvCxnSpPr/>
      </xdr:nvCxnSpPr>
      <xdr:spPr>
        <a:xfrm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627" name="Match41">
          <a:extLst>
            <a:ext uri="{FF2B5EF4-FFF2-40B4-BE49-F238E27FC236}">
              <a16:creationId xmlns:a16="http://schemas.microsoft.com/office/drawing/2014/main" id="{6FC763A8-CAD2-6EE0-95A6-2C55B6D785F1}"/>
            </a:ext>
          </a:extLst>
        </xdr:cNvPr>
        <xdr:cNvCxnSpPr/>
      </xdr:nvCxnSpPr>
      <xdr:spPr>
        <a:xfrm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1628" name="Match42">
          <a:extLst>
            <a:ext uri="{FF2B5EF4-FFF2-40B4-BE49-F238E27FC236}">
              <a16:creationId xmlns:a16="http://schemas.microsoft.com/office/drawing/2014/main" id="{BAB64721-86B5-7780-A681-750D9099E118}"/>
            </a:ext>
          </a:extLst>
        </xdr:cNvPr>
        <xdr:cNvCxnSpPr/>
      </xdr:nvCxnSpPr>
      <xdr:spPr>
        <a:xfrm flipV="1"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629" name="Match43">
          <a:extLst>
            <a:ext uri="{FF2B5EF4-FFF2-40B4-BE49-F238E27FC236}">
              <a16:creationId xmlns:a16="http://schemas.microsoft.com/office/drawing/2014/main" id="{3D68465A-03B9-5D0C-2DF0-18A5DD584A46}"/>
            </a:ext>
          </a:extLst>
        </xdr:cNvPr>
        <xdr:cNvCxnSpPr/>
      </xdr:nvCxnSpPr>
      <xdr:spPr>
        <a:xfrm flipV="1">
          <a:off x="233124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630" name="Match44">
          <a:extLst>
            <a:ext uri="{FF2B5EF4-FFF2-40B4-BE49-F238E27FC236}">
              <a16:creationId xmlns:a16="http://schemas.microsoft.com/office/drawing/2014/main" id="{215985C5-A406-F24B-F598-55B87270B295}"/>
            </a:ext>
          </a:extLst>
        </xdr:cNvPr>
        <xdr:cNvCxnSpPr/>
      </xdr:nvCxnSpPr>
      <xdr:spPr>
        <a:xfrm>
          <a:off x="3178969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631" name="Match45">
          <a:extLst>
            <a:ext uri="{FF2B5EF4-FFF2-40B4-BE49-F238E27FC236}">
              <a16:creationId xmlns:a16="http://schemas.microsoft.com/office/drawing/2014/main" id="{40A1A21E-1BB2-EF48-C47B-89BEED0405E4}"/>
            </a:ext>
          </a:extLst>
        </xdr:cNvPr>
        <xdr:cNvCxnSpPr/>
      </xdr:nvCxnSpPr>
      <xdr:spPr>
        <a:xfrm flipH="1">
          <a:off x="211931" y="160734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632" name="Match46">
          <a:extLst>
            <a:ext uri="{FF2B5EF4-FFF2-40B4-BE49-F238E27FC236}">
              <a16:creationId xmlns:a16="http://schemas.microsoft.com/office/drawing/2014/main" id="{A0BCAD9D-2596-6ECE-66A5-5791BFFE7AD1}"/>
            </a:ext>
          </a:extLst>
        </xdr:cNvPr>
        <xdr:cNvCxnSpPr/>
      </xdr:nvCxnSpPr>
      <xdr:spPr>
        <a:xfrm flipH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1633" name="Match47">
          <a:extLst>
            <a:ext uri="{FF2B5EF4-FFF2-40B4-BE49-F238E27FC236}">
              <a16:creationId xmlns:a16="http://schemas.microsoft.com/office/drawing/2014/main" id="{BE8911C7-8F1E-0D1C-9B86-5D6EAB137486}"/>
            </a:ext>
          </a:extLst>
        </xdr:cNvPr>
        <xdr:cNvCxnSpPr/>
      </xdr:nvCxnSpPr>
      <xdr:spPr>
        <a:xfrm flipH="1"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634" name="Match48">
          <a:extLst>
            <a:ext uri="{FF2B5EF4-FFF2-40B4-BE49-F238E27FC236}">
              <a16:creationId xmlns:a16="http://schemas.microsoft.com/office/drawing/2014/main" id="{32901581-008F-8294-2F85-3A70064AE1B0}"/>
            </a:ext>
          </a:extLst>
        </xdr:cNvPr>
        <xdr:cNvCxnSpPr/>
      </xdr:nvCxnSpPr>
      <xdr:spPr>
        <a:xfrm flipH="1">
          <a:off x="317896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1635" name="Match49">
          <a:extLst>
            <a:ext uri="{FF2B5EF4-FFF2-40B4-BE49-F238E27FC236}">
              <a16:creationId xmlns:a16="http://schemas.microsoft.com/office/drawing/2014/main" id="{8EE62DC1-D12C-21FA-7A58-BCD7480586A5}"/>
            </a:ext>
          </a:extLst>
        </xdr:cNvPr>
        <xdr:cNvCxnSpPr/>
      </xdr:nvCxnSpPr>
      <xdr:spPr>
        <a:xfrm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0</xdr:col>
      <xdr:colOff>237331</xdr:colOff>
      <xdr:row>2</xdr:row>
      <xdr:rowOff>203994</xdr:rowOff>
    </xdr:to>
    <xdr:cxnSp macro="">
      <xdr:nvCxnSpPr>
        <xdr:cNvPr id="1636" name="Match50">
          <a:extLst>
            <a:ext uri="{FF2B5EF4-FFF2-40B4-BE49-F238E27FC236}">
              <a16:creationId xmlns:a16="http://schemas.microsoft.com/office/drawing/2014/main" id="{173C9E49-D7C6-3106-8ED4-02D4CFDA62C3}"/>
            </a:ext>
          </a:extLst>
        </xdr:cNvPr>
        <xdr:cNvCxnSpPr/>
      </xdr:nvCxnSpPr>
      <xdr:spPr>
        <a:xfrm flipV="1">
          <a:off x="2373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637" name="Match51">
          <a:extLst>
            <a:ext uri="{FF2B5EF4-FFF2-40B4-BE49-F238E27FC236}">
              <a16:creationId xmlns:a16="http://schemas.microsoft.com/office/drawing/2014/main" id="{63D5424D-207F-10F9-C4AF-A1BBB4B83577}"/>
            </a:ext>
          </a:extLst>
        </xdr:cNvPr>
        <xdr:cNvCxnSpPr/>
      </xdr:nvCxnSpPr>
      <xdr:spPr>
        <a:xfrm flipV="1"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638" name="Match52">
          <a:extLst>
            <a:ext uri="{FF2B5EF4-FFF2-40B4-BE49-F238E27FC236}">
              <a16:creationId xmlns:a16="http://schemas.microsoft.com/office/drawing/2014/main" id="{B89363F1-B4B3-0A0E-B5FD-18256C68DE6E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639" name="Match53">
          <a:extLst>
            <a:ext uri="{FF2B5EF4-FFF2-40B4-BE49-F238E27FC236}">
              <a16:creationId xmlns:a16="http://schemas.microsoft.com/office/drawing/2014/main" id="{8E9B5632-93ED-2B6B-1208-6AAF6037FE01}"/>
            </a:ext>
          </a:extLst>
        </xdr:cNvPr>
        <xdr:cNvCxnSpPr/>
      </xdr:nvCxnSpPr>
      <xdr:spPr>
        <a:xfrm flipH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8</xdr:col>
      <xdr:colOff>262731</xdr:colOff>
      <xdr:row>2</xdr:row>
      <xdr:rowOff>229394</xdr:rowOff>
    </xdr:to>
    <xdr:cxnSp macro="">
      <xdr:nvCxnSpPr>
        <xdr:cNvPr id="1640" name="Match54">
          <a:extLst>
            <a:ext uri="{FF2B5EF4-FFF2-40B4-BE49-F238E27FC236}">
              <a16:creationId xmlns:a16="http://schemas.microsoft.com/office/drawing/2014/main" id="{C2553A47-0AF8-52BE-01B9-45769D77D30E}"/>
            </a:ext>
          </a:extLst>
        </xdr:cNvPr>
        <xdr:cNvCxnSpPr/>
      </xdr:nvCxnSpPr>
      <xdr:spPr>
        <a:xfrm flipH="1" flipV="1">
          <a:off x="3229769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641" name="Match55">
          <a:extLst>
            <a:ext uri="{FF2B5EF4-FFF2-40B4-BE49-F238E27FC236}">
              <a16:creationId xmlns:a16="http://schemas.microsoft.com/office/drawing/2014/main" id="{356D91D2-ACAF-80B1-09A6-8FCE14EA4B76}"/>
            </a:ext>
          </a:extLst>
        </xdr:cNvPr>
        <xdr:cNvCxnSpPr/>
      </xdr:nvCxnSpPr>
      <xdr:spPr>
        <a:xfrm>
          <a:off x="235664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642" name="Match56">
          <a:extLst>
            <a:ext uri="{FF2B5EF4-FFF2-40B4-BE49-F238E27FC236}">
              <a16:creationId xmlns:a16="http://schemas.microsoft.com/office/drawing/2014/main" id="{05BFC35A-8699-7B23-6285-4B444749AF5F}"/>
            </a:ext>
          </a:extLst>
        </xdr:cNvPr>
        <xdr:cNvCxnSpPr/>
      </xdr:nvCxnSpPr>
      <xdr:spPr>
        <a:xfrm flipH="1"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643" name="Match57">
          <a:extLst>
            <a:ext uri="{FF2B5EF4-FFF2-40B4-BE49-F238E27FC236}">
              <a16:creationId xmlns:a16="http://schemas.microsoft.com/office/drawing/2014/main" id="{5127C5D8-3264-5C15-B6D4-4F8E3471CD0A}"/>
            </a:ext>
          </a:extLst>
        </xdr:cNvPr>
        <xdr:cNvCxnSpPr/>
      </xdr:nvCxnSpPr>
      <xdr:spPr>
        <a:xfrm flipH="1"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644" name="Match58">
          <a:extLst>
            <a:ext uri="{FF2B5EF4-FFF2-40B4-BE49-F238E27FC236}">
              <a16:creationId xmlns:a16="http://schemas.microsoft.com/office/drawing/2014/main" id="{1A2CB5B3-C885-D187-F809-72905FC0FAE8}"/>
            </a:ext>
          </a:extLst>
        </xdr:cNvPr>
        <xdr:cNvCxnSpPr/>
      </xdr:nvCxnSpPr>
      <xdr:spPr>
        <a:xfrm flipH="1">
          <a:off x="10596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ED849A-78D0-1EE6-376F-4489D7008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5" sqref="A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1</v>
      </c>
      <c r="B1" s="23">
        <v>7</v>
      </c>
      <c r="C1" s="23">
        <v>5</v>
      </c>
      <c r="D1" s="26">
        <v>1</v>
      </c>
      <c r="E1" s="26">
        <v>1</v>
      </c>
      <c r="F1" s="22">
        <v>4</v>
      </c>
      <c r="G1" s="26">
        <v>4</v>
      </c>
      <c r="H1" s="26">
        <v>2</v>
      </c>
      <c r="I1" s="23">
        <v>8</v>
      </c>
      <c r="J1" s="26">
        <v>7</v>
      </c>
      <c r="K1" s="26">
        <v>7</v>
      </c>
      <c r="L1" s="26">
        <v>7</v>
      </c>
      <c r="N1" s="2">
        <v>5889276</v>
      </c>
      <c r="O1" s="1">
        <v>1</v>
      </c>
    </row>
    <row r="2" spans="1:15" ht="28.25" customHeight="1">
      <c r="A2" s="23">
        <v>6</v>
      </c>
      <c r="B2" s="23">
        <v>8</v>
      </c>
      <c r="C2" s="23">
        <v>9</v>
      </c>
      <c r="D2" s="23">
        <v>6</v>
      </c>
      <c r="E2" s="26">
        <v>9</v>
      </c>
      <c r="F2" s="26">
        <v>1</v>
      </c>
      <c r="G2" s="22">
        <v>7</v>
      </c>
      <c r="H2" s="23">
        <v>6</v>
      </c>
      <c r="I2" s="23">
        <v>8</v>
      </c>
      <c r="J2" s="26">
        <v>7</v>
      </c>
      <c r="K2" s="22">
        <v>6</v>
      </c>
      <c r="L2" s="26">
        <v>2</v>
      </c>
      <c r="N2" s="2">
        <v>1413</v>
      </c>
      <c r="O2" s="1">
        <v>1</v>
      </c>
    </row>
    <row r="3" spans="1:15" ht="28.25" customHeight="1">
      <c r="A3" s="23">
        <v>8</v>
      </c>
      <c r="B3" s="22">
        <v>3</v>
      </c>
      <c r="C3" s="22">
        <v>5</v>
      </c>
      <c r="D3" s="22">
        <v>8</v>
      </c>
      <c r="E3" s="26">
        <v>9</v>
      </c>
      <c r="F3" s="26">
        <v>8</v>
      </c>
      <c r="G3" s="26">
        <v>7</v>
      </c>
      <c r="H3" s="22">
        <v>3</v>
      </c>
      <c r="I3" s="23">
        <v>8</v>
      </c>
      <c r="J3" s="26">
        <v>2</v>
      </c>
      <c r="K3" s="22">
        <v>2</v>
      </c>
      <c r="L3" s="23">
        <v>3</v>
      </c>
      <c r="N3" s="2">
        <v>175</v>
      </c>
      <c r="O3" s="1">
        <v>2</v>
      </c>
    </row>
    <row r="4" spans="1:15" ht="28.25" customHeight="1">
      <c r="A4" s="22">
        <v>6</v>
      </c>
      <c r="B4" s="22">
        <v>7</v>
      </c>
      <c r="C4" s="22">
        <v>2</v>
      </c>
      <c r="D4" s="22">
        <v>9</v>
      </c>
      <c r="E4" s="22">
        <v>8</v>
      </c>
      <c r="F4" s="22">
        <v>8</v>
      </c>
      <c r="G4" s="22">
        <v>5</v>
      </c>
      <c r="H4" s="23">
        <v>6</v>
      </c>
      <c r="I4" s="22">
        <v>3</v>
      </c>
      <c r="J4" s="23">
        <v>6</v>
      </c>
      <c r="K4" s="22">
        <v>3</v>
      </c>
      <c r="L4" s="26">
        <v>3</v>
      </c>
      <c r="N4" s="2">
        <v>938</v>
      </c>
      <c r="O4" s="1">
        <v>1</v>
      </c>
    </row>
    <row r="5" spans="1:15" ht="28.25" customHeight="1">
      <c r="A5" s="22">
        <v>6</v>
      </c>
      <c r="B5" s="22">
        <v>6</v>
      </c>
      <c r="C5" s="22">
        <v>4</v>
      </c>
      <c r="D5" s="22">
        <v>7</v>
      </c>
      <c r="E5" s="22">
        <v>1</v>
      </c>
      <c r="F5" s="22">
        <v>8</v>
      </c>
      <c r="G5" s="26">
        <v>5</v>
      </c>
      <c r="H5" s="26">
        <v>7</v>
      </c>
      <c r="I5" s="26">
        <v>4</v>
      </c>
      <c r="J5" s="22">
        <v>7</v>
      </c>
      <c r="K5" s="22">
        <v>2</v>
      </c>
      <c r="L5" s="26">
        <v>2</v>
      </c>
      <c r="N5" s="2">
        <v>82326</v>
      </c>
      <c r="O5" s="1">
        <v>1</v>
      </c>
    </row>
    <row r="6" spans="1:15" ht="28.25" customHeight="1">
      <c r="A6" s="26">
        <v>4</v>
      </c>
      <c r="B6" s="26">
        <v>7</v>
      </c>
      <c r="C6" s="23">
        <v>3</v>
      </c>
      <c r="D6" s="26">
        <v>7</v>
      </c>
      <c r="E6" s="23">
        <v>3</v>
      </c>
      <c r="F6" s="23">
        <v>6</v>
      </c>
      <c r="G6" s="26">
        <v>1</v>
      </c>
      <c r="H6" s="22">
        <v>8</v>
      </c>
      <c r="I6" s="26">
        <v>2</v>
      </c>
      <c r="J6" s="26">
        <v>9</v>
      </c>
      <c r="K6" s="22">
        <v>8</v>
      </c>
      <c r="L6" s="22">
        <v>3</v>
      </c>
      <c r="N6" s="2">
        <v>54</v>
      </c>
      <c r="O6" s="1">
        <v>6</v>
      </c>
    </row>
    <row r="7" spans="1:15" ht="28.25" customHeight="1">
      <c r="A7" s="26">
        <v>9</v>
      </c>
      <c r="B7" s="23">
        <v>3</v>
      </c>
      <c r="C7" s="26">
        <v>4</v>
      </c>
      <c r="D7" s="23">
        <v>8</v>
      </c>
      <c r="E7" s="26">
        <v>2</v>
      </c>
      <c r="F7" s="23">
        <v>3</v>
      </c>
      <c r="G7" s="22">
        <v>3</v>
      </c>
      <c r="H7" s="22">
        <v>1</v>
      </c>
      <c r="I7" s="26">
        <v>2</v>
      </c>
      <c r="J7" s="23">
        <v>6</v>
      </c>
      <c r="K7" s="22">
        <v>1</v>
      </c>
      <c r="L7" s="26">
        <v>4</v>
      </c>
      <c r="N7" s="2">
        <v>57372</v>
      </c>
      <c r="O7" s="1">
        <v>1</v>
      </c>
    </row>
    <row r="8" spans="1:15" ht="28.25" customHeight="1">
      <c r="A8" s="26">
        <v>2</v>
      </c>
      <c r="B8" s="23">
        <v>3</v>
      </c>
      <c r="C8" s="22">
        <v>6</v>
      </c>
      <c r="D8" s="22">
        <v>8</v>
      </c>
      <c r="E8" s="26">
        <v>1</v>
      </c>
      <c r="F8" s="22">
        <v>9</v>
      </c>
      <c r="G8" s="23">
        <v>6</v>
      </c>
      <c r="H8" s="22">
        <v>9</v>
      </c>
      <c r="I8" s="23">
        <v>3</v>
      </c>
      <c r="J8" s="22">
        <v>4</v>
      </c>
      <c r="K8" s="26">
        <v>9</v>
      </c>
      <c r="L8" s="26">
        <v>1</v>
      </c>
      <c r="N8" s="2">
        <v>47337</v>
      </c>
      <c r="O8" s="1">
        <v>1</v>
      </c>
    </row>
    <row r="9" spans="1:15" ht="28.25" customHeight="1">
      <c r="A9" s="26">
        <v>1</v>
      </c>
      <c r="B9" s="22">
        <v>4</v>
      </c>
      <c r="C9" s="22">
        <v>2</v>
      </c>
      <c r="D9" s="22">
        <v>7</v>
      </c>
      <c r="E9" s="22">
        <v>3</v>
      </c>
      <c r="F9" s="22">
        <v>7</v>
      </c>
      <c r="G9" s="22">
        <v>5</v>
      </c>
      <c r="H9" s="22">
        <v>4</v>
      </c>
      <c r="I9" s="22">
        <v>1</v>
      </c>
      <c r="J9" s="26">
        <v>1</v>
      </c>
      <c r="K9" s="26">
        <v>6</v>
      </c>
      <c r="L9" s="26">
        <v>4</v>
      </c>
      <c r="N9" s="2">
        <v>4299198</v>
      </c>
      <c r="O9" s="1">
        <v>1</v>
      </c>
    </row>
    <row r="10" spans="1:15" ht="28.25" customHeight="1">
      <c r="A10" s="23">
        <v>6</v>
      </c>
      <c r="B10" s="22">
        <v>5</v>
      </c>
      <c r="C10" s="26">
        <v>2</v>
      </c>
      <c r="D10" s="22">
        <v>5</v>
      </c>
      <c r="E10" s="26">
        <v>7</v>
      </c>
      <c r="F10" s="23">
        <v>6</v>
      </c>
      <c r="G10" s="26">
        <v>7</v>
      </c>
      <c r="H10" s="22">
        <v>4</v>
      </c>
      <c r="I10" s="26">
        <v>1</v>
      </c>
      <c r="J10" s="22">
        <v>5</v>
      </c>
      <c r="K10" s="22">
        <v>7</v>
      </c>
      <c r="L10" s="22">
        <v>1</v>
      </c>
      <c r="N10" s="2">
        <v>59</v>
      </c>
      <c r="O10" s="1">
        <v>6</v>
      </c>
    </row>
    <row r="11" spans="1:15" ht="28.25" customHeight="1">
      <c r="A11" s="23">
        <v>3</v>
      </c>
      <c r="B11" s="23">
        <v>5</v>
      </c>
      <c r="C11" s="26">
        <v>1</v>
      </c>
      <c r="D11" s="22">
        <v>9</v>
      </c>
      <c r="E11" s="23">
        <v>4</v>
      </c>
      <c r="F11" s="23">
        <v>3</v>
      </c>
      <c r="G11" s="26">
        <v>9</v>
      </c>
      <c r="H11" s="26">
        <v>2</v>
      </c>
      <c r="I11" s="26">
        <v>7</v>
      </c>
      <c r="J11" s="26">
        <v>3</v>
      </c>
      <c r="K11" s="26">
        <v>8</v>
      </c>
      <c r="L11" s="26">
        <v>1</v>
      </c>
      <c r="N11" s="2">
        <v>358</v>
      </c>
      <c r="O11" s="1">
        <v>2</v>
      </c>
    </row>
    <row r="12" spans="1:15" ht="28.25" customHeight="1">
      <c r="A12" s="23">
        <v>6</v>
      </c>
      <c r="B12" s="23">
        <v>5</v>
      </c>
      <c r="C12" s="23">
        <v>4</v>
      </c>
      <c r="D12" s="26">
        <v>3</v>
      </c>
      <c r="E12" s="26">
        <v>9</v>
      </c>
      <c r="F12" s="22">
        <v>4</v>
      </c>
      <c r="G12" s="22">
        <v>2</v>
      </c>
      <c r="H12" s="22">
        <v>9</v>
      </c>
      <c r="I12" s="22">
        <v>9</v>
      </c>
      <c r="J12" s="22">
        <v>1</v>
      </c>
      <c r="K12" s="22">
        <v>9</v>
      </c>
      <c r="L12" s="22">
        <v>8</v>
      </c>
      <c r="N12" s="2">
        <v>36</v>
      </c>
      <c r="O12" s="1">
        <v>21</v>
      </c>
    </row>
    <row r="13" spans="1:15" ht="28.25" customHeight="1">
      <c r="N13" s="2">
        <v>1944</v>
      </c>
      <c r="O13" s="1">
        <v>1</v>
      </c>
    </row>
    <row r="14" spans="1:15" ht="28.25" customHeight="1">
      <c r="N14" s="2">
        <v>817466</v>
      </c>
      <c r="O14" s="1">
        <v>1</v>
      </c>
    </row>
    <row r="15" spans="1:15" ht="28.25" customHeight="1">
      <c r="N15" s="2">
        <v>86</v>
      </c>
      <c r="O15" s="1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38"/>
  <sheetViews>
    <sheetView tabSelected="1" zoomScaleNormal="100" workbookViewId="0">
      <pane ySplit="1" topLeftCell="A131" activePane="bottomLeft" state="frozen"/>
      <selection pane="bottomLeft" activeCell="A138" sqref="A13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  <row r="127" spans="1:16">
      <c r="A127" s="3">
        <v>46011.279826388891</v>
      </c>
      <c r="B127">
        <v>60</v>
      </c>
      <c r="C127">
        <v>16</v>
      </c>
      <c r="D127">
        <v>0</v>
      </c>
      <c r="E127">
        <v>0</v>
      </c>
      <c r="F127">
        <v>0</v>
      </c>
      <c r="G127" s="5">
        <v>8.0208333383779973E-3</v>
      </c>
      <c r="H127" t="s">
        <v>310</v>
      </c>
      <c r="I127" t="s">
        <v>311</v>
      </c>
      <c r="J127">
        <v>0</v>
      </c>
      <c r="K127">
        <f t="shared" ref="K127" si="188">IF(A127&lt;DATEVALUE("2025/11/20")+TIMEVALUE("6:00"),1,IF(B127-SUM(D127:F127)&lt;&gt;60,0,MAX(2-INT(G127*24*60/10),0)))</f>
        <v>1</v>
      </c>
      <c r="L127">
        <f t="shared" ref="L127" si="189">L126+K127</f>
        <v>125</v>
      </c>
      <c r="M127">
        <f t="shared" ref="M127" si="190">2+IF(A127&gt;=DATEVALUE("2025/11/30")+TIMEVALUE("6:00"),1,0)+IF(A127&gt;=DATEVALUE("2025/12/11")+TIMEVALUE("6:00"),1,0)</f>
        <v>4</v>
      </c>
      <c r="N127">
        <f t="shared" ref="N127" si="191">N126+M127*(INT(A127-6/24)-INT(A126-6/24))+O127</f>
        <v>128</v>
      </c>
      <c r="O127">
        <f t="shared" ref="O127" si="192">IF(A127&gt;=DATEVALUE("2025/11/8")+TIMEVALUE("6:00"),1,0)-IF(A126&gt;=DATEVALUE("2025/11/8")+TIMEVALUE("6:00"),1,0)</f>
        <v>0</v>
      </c>
      <c r="P127" t="str">
        <f t="shared" ref="P127" si="193">IF(L127&lt;N127,"未達成（"&amp;N127-L127&amp;"）",IF(L127=N127,"達成","前倒し（"&amp;L127-N127&amp;"）"))</f>
        <v>未達成（3）</v>
      </c>
    </row>
    <row r="128" spans="1:16">
      <c r="A128" s="3">
        <v>46011.312511574077</v>
      </c>
      <c r="B128">
        <v>60</v>
      </c>
      <c r="C128">
        <v>20</v>
      </c>
      <c r="D128">
        <v>0</v>
      </c>
      <c r="E128">
        <v>0</v>
      </c>
      <c r="F128">
        <v>0</v>
      </c>
      <c r="G128" s="5">
        <v>5.9722222213167697E-3</v>
      </c>
      <c r="H128" t="s">
        <v>312</v>
      </c>
      <c r="I128" t="s">
        <v>313</v>
      </c>
      <c r="J128">
        <v>0</v>
      </c>
      <c r="K128">
        <f t="shared" ref="K128" si="194">IF(A128&lt;DATEVALUE("2025/11/20")+TIMEVALUE("6:00"),1,IF(B128-SUM(D128:F128)&lt;&gt;60,0,MAX(2-INT(G128*24*60/10),0)))</f>
        <v>2</v>
      </c>
      <c r="L128">
        <f t="shared" ref="L128" si="195">L127+K128</f>
        <v>127</v>
      </c>
      <c r="M128">
        <f t="shared" ref="M128" si="196">2+IF(A128&gt;=DATEVALUE("2025/11/30")+TIMEVALUE("6:00"),1,0)+IF(A128&gt;=DATEVALUE("2025/12/11")+TIMEVALUE("6:00"),1,0)</f>
        <v>4</v>
      </c>
      <c r="N128">
        <f t="shared" ref="N128" si="197">N127+M128*(INT(A128-6/24)-INT(A127-6/24))+O128</f>
        <v>128</v>
      </c>
      <c r="O128">
        <f t="shared" ref="O128" si="198">IF(A128&gt;=DATEVALUE("2025/11/8")+TIMEVALUE("6:00"),1,0)-IF(A127&gt;=DATEVALUE("2025/11/8")+TIMEVALUE("6:00"),1,0)</f>
        <v>0</v>
      </c>
      <c r="P128" t="str">
        <f t="shared" ref="P128" si="199">IF(L128&lt;N128,"未達成（"&amp;N128-L128&amp;"）",IF(L128=N128,"達成","前倒し（"&amp;L128-N128&amp;"）"))</f>
        <v>未達成（1）</v>
      </c>
    </row>
    <row r="129" spans="1:16">
      <c r="A129" s="3">
        <v>46011.325300925928</v>
      </c>
      <c r="B129">
        <v>60</v>
      </c>
      <c r="C129">
        <v>24</v>
      </c>
      <c r="D129">
        <v>0</v>
      </c>
      <c r="E129">
        <v>0</v>
      </c>
      <c r="F129">
        <v>0</v>
      </c>
      <c r="G129" s="5">
        <v>9.0625000011641532E-3</v>
      </c>
      <c r="H129" t="s">
        <v>314</v>
      </c>
      <c r="I129" t="s">
        <v>315</v>
      </c>
      <c r="J129">
        <v>0</v>
      </c>
      <c r="K129">
        <f t="shared" ref="K129" si="200">IF(A129&lt;DATEVALUE("2025/11/20")+TIMEVALUE("6:00"),1,IF(B129-SUM(D129:F129)&lt;&gt;60,0,MAX(2-INT(G129*24*60/10),0)))</f>
        <v>1</v>
      </c>
      <c r="L129">
        <f t="shared" ref="L129" si="201">L128+K129</f>
        <v>128</v>
      </c>
      <c r="M129">
        <f t="shared" ref="M129" si="202">2+IF(A129&gt;=DATEVALUE("2025/11/30")+TIMEVALUE("6:00"),1,0)+IF(A129&gt;=DATEVALUE("2025/12/11")+TIMEVALUE("6:00"),1,0)</f>
        <v>4</v>
      </c>
      <c r="N129">
        <f t="shared" ref="N129" si="203">N128+M129*(INT(A129-6/24)-INT(A128-6/24))+O129</f>
        <v>128</v>
      </c>
      <c r="O129">
        <f t="shared" ref="O129" si="204">IF(A129&gt;=DATEVALUE("2025/11/8")+TIMEVALUE("6:00"),1,0)-IF(A128&gt;=DATEVALUE("2025/11/8")+TIMEVALUE("6:00"),1,0)</f>
        <v>0</v>
      </c>
      <c r="P129" t="str">
        <f t="shared" ref="P129" si="205">IF(L129&lt;N129,"未達成（"&amp;N129-L129&amp;"）",IF(L129=N129,"達成","前倒し（"&amp;L129-N129&amp;"）"))</f>
        <v>達成</v>
      </c>
    </row>
    <row r="130" spans="1:16">
      <c r="A130" s="3">
        <v>46012.306608796294</v>
      </c>
      <c r="B130">
        <v>60</v>
      </c>
      <c r="C130">
        <v>13</v>
      </c>
      <c r="D130">
        <v>0</v>
      </c>
      <c r="E130">
        <v>0</v>
      </c>
      <c r="F130">
        <v>0</v>
      </c>
      <c r="G130" s="5">
        <v>6.5162036989931948E-3</v>
      </c>
      <c r="H130" t="s">
        <v>316</v>
      </c>
      <c r="I130" t="s">
        <v>317</v>
      </c>
      <c r="J130">
        <v>0</v>
      </c>
      <c r="K130">
        <f t="shared" ref="K130" si="206">IF(A130&lt;DATEVALUE("2025/11/20")+TIMEVALUE("6:00"),1,IF(B130-SUM(D130:F130)&lt;&gt;60,0,MAX(2-INT(G130*24*60/10),0)))</f>
        <v>2</v>
      </c>
      <c r="L130">
        <f t="shared" ref="L130" si="207">L129+K130</f>
        <v>130</v>
      </c>
      <c r="M130">
        <f t="shared" ref="M130" si="208">2+IF(A130&gt;=DATEVALUE("2025/11/30")+TIMEVALUE("6:00"),1,0)+IF(A130&gt;=DATEVALUE("2025/12/11")+TIMEVALUE("6:00"),1,0)</f>
        <v>4</v>
      </c>
      <c r="N130">
        <f t="shared" ref="N130" si="209">N129+M130*(INT(A130-6/24)-INT(A129-6/24))+O130</f>
        <v>132</v>
      </c>
      <c r="O130">
        <f t="shared" ref="O130" si="210">IF(A130&gt;=DATEVALUE("2025/11/8")+TIMEVALUE("6:00"),1,0)-IF(A129&gt;=DATEVALUE("2025/11/8")+TIMEVALUE("6:00"),1,0)</f>
        <v>0</v>
      </c>
      <c r="P130" t="str">
        <f t="shared" ref="P130" si="211">IF(L130&lt;N130,"未達成（"&amp;N130-L130&amp;"）",IF(L130=N130,"達成","前倒し（"&amp;L130-N130&amp;"）"))</f>
        <v>未達成（2）</v>
      </c>
    </row>
    <row r="131" spans="1:16">
      <c r="A131" s="3">
        <v>46012.318067129629</v>
      </c>
      <c r="B131">
        <v>60</v>
      </c>
      <c r="C131">
        <v>24</v>
      </c>
      <c r="D131">
        <v>0</v>
      </c>
      <c r="E131">
        <v>0</v>
      </c>
      <c r="F131">
        <v>0</v>
      </c>
      <c r="G131" s="5">
        <v>6.8634259223472327E-3</v>
      </c>
      <c r="H131" t="s">
        <v>318</v>
      </c>
      <c r="I131" t="s">
        <v>319</v>
      </c>
      <c r="J131">
        <v>0</v>
      </c>
      <c r="K131">
        <f t="shared" ref="K131" si="212">IF(A131&lt;DATEVALUE("2025/11/20")+TIMEVALUE("6:00"),1,IF(B131-SUM(D131:F131)&lt;&gt;60,0,MAX(2-INT(G131*24*60/10),0)))</f>
        <v>2</v>
      </c>
      <c r="L131">
        <f t="shared" ref="L131" si="213">L130+K131</f>
        <v>132</v>
      </c>
      <c r="M131">
        <f t="shared" ref="M131" si="214">2+IF(A131&gt;=DATEVALUE("2025/11/30")+TIMEVALUE("6:00"),1,0)+IF(A131&gt;=DATEVALUE("2025/12/11")+TIMEVALUE("6:00"),1,0)</f>
        <v>4</v>
      </c>
      <c r="N131">
        <f t="shared" ref="N131" si="215">N130+M131*(INT(A131-6/24)-INT(A130-6/24))+O131</f>
        <v>132</v>
      </c>
      <c r="O131">
        <f t="shared" ref="O131" si="216">IF(A131&gt;=DATEVALUE("2025/11/8")+TIMEVALUE("6:00"),1,0)-IF(A130&gt;=DATEVALUE("2025/11/8")+TIMEVALUE("6:00"),1,0)</f>
        <v>0</v>
      </c>
      <c r="P131" t="str">
        <f t="shared" ref="P131" si="217">IF(L131&lt;N131,"未達成（"&amp;N131-L131&amp;"）",IF(L131=N131,"達成","前倒し（"&amp;L131-N131&amp;"）"))</f>
        <v>達成</v>
      </c>
    </row>
    <row r="132" spans="1:16">
      <c r="A132" s="3">
        <v>46013.314039351855</v>
      </c>
      <c r="B132">
        <v>60</v>
      </c>
      <c r="C132">
        <v>18</v>
      </c>
      <c r="D132">
        <v>0</v>
      </c>
      <c r="E132">
        <v>0</v>
      </c>
      <c r="F132">
        <v>0</v>
      </c>
      <c r="G132" s="5">
        <v>7.6967592613073066E-3</v>
      </c>
      <c r="H132" t="s">
        <v>320</v>
      </c>
      <c r="I132" t="s">
        <v>321</v>
      </c>
      <c r="J132">
        <v>0</v>
      </c>
      <c r="K132">
        <f t="shared" ref="K132" si="218">IF(A132&lt;DATEVALUE("2025/11/20")+TIMEVALUE("6:00"),1,IF(B132-SUM(D132:F132)&lt;&gt;60,0,MAX(2-INT(G132*24*60/10),0)))</f>
        <v>1</v>
      </c>
      <c r="L132">
        <f t="shared" ref="L132" si="219">L131+K132</f>
        <v>133</v>
      </c>
      <c r="M132">
        <f t="shared" ref="M132" si="220">2+IF(A132&gt;=DATEVALUE("2025/11/30")+TIMEVALUE("6:00"),1,0)+IF(A132&gt;=DATEVALUE("2025/12/11")+TIMEVALUE("6:00"),1,0)</f>
        <v>4</v>
      </c>
      <c r="N132">
        <f t="shared" ref="N132" si="221">N131+M132*(INT(A132-6/24)-INT(A131-6/24))+O132</f>
        <v>136</v>
      </c>
      <c r="O132">
        <f t="shared" ref="O132" si="222">IF(A132&gt;=DATEVALUE("2025/11/8")+TIMEVALUE("6:00"),1,0)-IF(A131&gt;=DATEVALUE("2025/11/8")+TIMEVALUE("6:00"),1,0)</f>
        <v>0</v>
      </c>
      <c r="P132" t="str">
        <f t="shared" ref="P132" si="223">IF(L132&lt;N132,"未達成（"&amp;N132-L132&amp;"）",IF(L132=N132,"達成","前倒し（"&amp;L132-N132&amp;"）"))</f>
        <v>未達成（3）</v>
      </c>
    </row>
    <row r="133" spans="1:16">
      <c r="A133" s="3">
        <v>46013.368958333333</v>
      </c>
      <c r="B133">
        <v>55</v>
      </c>
      <c r="C133">
        <v>7</v>
      </c>
      <c r="D133">
        <v>0</v>
      </c>
      <c r="E133">
        <v>5</v>
      </c>
      <c r="F133">
        <v>0</v>
      </c>
      <c r="G133" s="5">
        <v>8.599537039117422E-3</v>
      </c>
      <c r="H133" t="s">
        <v>322</v>
      </c>
      <c r="I133" t="s">
        <v>323</v>
      </c>
      <c r="J133">
        <v>0</v>
      </c>
      <c r="K133">
        <f t="shared" ref="K133" si="224">IF(A133&lt;DATEVALUE("2025/11/20")+TIMEVALUE("6:00"),1,IF(B133-SUM(D133:F133)&lt;&gt;60,0,MAX(2-INT(G133*24*60/10),0)))</f>
        <v>0</v>
      </c>
      <c r="L133">
        <f t="shared" ref="L133" si="225">L132+K133</f>
        <v>133</v>
      </c>
      <c r="M133">
        <f t="shared" ref="M133" si="226">2+IF(A133&gt;=DATEVALUE("2025/11/30")+TIMEVALUE("6:00"),1,0)+IF(A133&gt;=DATEVALUE("2025/12/11")+TIMEVALUE("6:00"),1,0)</f>
        <v>4</v>
      </c>
      <c r="N133">
        <f t="shared" ref="N133" si="227">N132+M133*(INT(A133-6/24)-INT(A132-6/24))+O133</f>
        <v>136</v>
      </c>
      <c r="O133">
        <f t="shared" ref="O133" si="228">IF(A133&gt;=DATEVALUE("2025/11/8")+TIMEVALUE("6:00"),1,0)-IF(A132&gt;=DATEVALUE("2025/11/8")+TIMEVALUE("6:00"),1,0)</f>
        <v>0</v>
      </c>
      <c r="P133" t="str">
        <f t="shared" ref="P133" si="229">IF(L133&lt;N133,"未達成（"&amp;N133-L133&amp;"）",IF(L133=N133,"達成","前倒し（"&amp;L133-N133&amp;"）"))</f>
        <v>未達成（3）</v>
      </c>
    </row>
    <row r="134" spans="1:16">
      <c r="A134" s="3">
        <v>46013.860532407409</v>
      </c>
      <c r="B134">
        <v>60</v>
      </c>
      <c r="C134">
        <v>2</v>
      </c>
      <c r="D134">
        <v>0</v>
      </c>
      <c r="E134">
        <v>0</v>
      </c>
      <c r="F134">
        <v>0</v>
      </c>
      <c r="G134" s="5">
        <v>1.0312500002328306E-2</v>
      </c>
      <c r="H134" t="s">
        <v>324</v>
      </c>
      <c r="I134" t="s">
        <v>325</v>
      </c>
      <c r="J134">
        <v>0</v>
      </c>
      <c r="K134">
        <f t="shared" ref="K134" si="230">IF(A134&lt;DATEVALUE("2025/11/20")+TIMEVALUE("6:00"),1,IF(B134-SUM(D134:F134)&lt;&gt;60,0,MAX(2-INT(G134*24*60/10),0)))</f>
        <v>1</v>
      </c>
      <c r="L134">
        <f t="shared" ref="L134" si="231">L133+K134</f>
        <v>134</v>
      </c>
      <c r="M134">
        <f t="shared" ref="M134" si="232">2+IF(A134&gt;=DATEVALUE("2025/11/30")+TIMEVALUE("6:00"),1,0)+IF(A134&gt;=DATEVALUE("2025/12/11")+TIMEVALUE("6:00"),1,0)</f>
        <v>4</v>
      </c>
      <c r="N134">
        <f t="shared" ref="N134" si="233">N133+M134*(INT(A134-6/24)-INT(A133-6/24))+O134</f>
        <v>136</v>
      </c>
      <c r="O134">
        <f t="shared" ref="O134" si="234">IF(A134&gt;=DATEVALUE("2025/11/8")+TIMEVALUE("6:00"),1,0)-IF(A133&gt;=DATEVALUE("2025/11/8")+TIMEVALUE("6:00"),1,0)</f>
        <v>0</v>
      </c>
      <c r="P134" t="str">
        <f t="shared" ref="P134" si="235">IF(L134&lt;N134,"未達成（"&amp;N134-L134&amp;"）",IF(L134=N134,"達成","前倒し（"&amp;L134-N134&amp;"）"))</f>
        <v>未達成（2）</v>
      </c>
    </row>
    <row r="135" spans="1:16">
      <c r="A135" s="3">
        <v>46013.8671412037</v>
      </c>
      <c r="B135">
        <v>60</v>
      </c>
      <c r="C135">
        <v>18</v>
      </c>
      <c r="D135">
        <v>0</v>
      </c>
      <c r="E135">
        <v>0</v>
      </c>
      <c r="F135">
        <v>0</v>
      </c>
      <c r="G135" s="5">
        <v>6.2731481448281556E-3</v>
      </c>
      <c r="H135" t="s">
        <v>326</v>
      </c>
      <c r="I135" t="s">
        <v>327</v>
      </c>
      <c r="J135">
        <v>0</v>
      </c>
      <c r="K135">
        <f t="shared" ref="K135" si="236">IF(A135&lt;DATEVALUE("2025/11/20")+TIMEVALUE("6:00"),1,IF(B135-SUM(D135:F135)&lt;&gt;60,0,MAX(2-INT(G135*24*60/10),0)))</f>
        <v>2</v>
      </c>
      <c r="L135">
        <f t="shared" ref="L135" si="237">L134+K135</f>
        <v>136</v>
      </c>
      <c r="M135">
        <f t="shared" ref="M135" si="238">2+IF(A135&gt;=DATEVALUE("2025/11/30")+TIMEVALUE("6:00"),1,0)+IF(A135&gt;=DATEVALUE("2025/12/11")+TIMEVALUE("6:00"),1,0)</f>
        <v>4</v>
      </c>
      <c r="N135">
        <f t="shared" ref="N135" si="239">N134+M135*(INT(A135-6/24)-INT(A134-6/24))+O135</f>
        <v>136</v>
      </c>
      <c r="O135">
        <f t="shared" ref="O135" si="240">IF(A135&gt;=DATEVALUE("2025/11/8")+TIMEVALUE("6:00"),1,0)-IF(A134&gt;=DATEVALUE("2025/11/8")+TIMEVALUE("6:00"),1,0)</f>
        <v>0</v>
      </c>
      <c r="P135" t="str">
        <f t="shared" ref="P135" si="241">IF(L135&lt;N135,"未達成（"&amp;N135-L135&amp;"）",IF(L135=N135,"達成","前倒し（"&amp;L135-N135&amp;"）"))</f>
        <v>達成</v>
      </c>
    </row>
    <row r="136" spans="1:16">
      <c r="A136" s="3">
        <v>46014.288958333331</v>
      </c>
      <c r="B136">
        <v>60</v>
      </c>
      <c r="C136">
        <v>8</v>
      </c>
      <c r="D136">
        <v>0</v>
      </c>
      <c r="E136">
        <v>0</v>
      </c>
      <c r="F136">
        <v>0</v>
      </c>
      <c r="G136" s="5">
        <v>6.5624999988358468E-3</v>
      </c>
      <c r="H136" t="s">
        <v>328</v>
      </c>
      <c r="I136" t="s">
        <v>329</v>
      </c>
      <c r="J136">
        <v>0</v>
      </c>
      <c r="K136">
        <f t="shared" ref="K136" si="242">IF(A136&lt;DATEVALUE("2025/11/20")+TIMEVALUE("6:00"),1,IF(B136-SUM(D136:F136)&lt;&gt;60,0,MAX(2-INT(G136*24*60/10),0)))</f>
        <v>2</v>
      </c>
      <c r="L136">
        <f t="shared" ref="L136" si="243">L135+K136</f>
        <v>138</v>
      </c>
      <c r="M136">
        <f t="shared" ref="M136" si="244">2+IF(A136&gt;=DATEVALUE("2025/11/30")+TIMEVALUE("6:00"),1,0)+IF(A136&gt;=DATEVALUE("2025/12/11")+TIMEVALUE("6:00"),1,0)</f>
        <v>4</v>
      </c>
      <c r="N136">
        <f t="shared" ref="N136" si="245">N135+M136*(INT(A136-6/24)-INT(A135-6/24))+O136</f>
        <v>140</v>
      </c>
      <c r="O136">
        <f t="shared" ref="O136" si="246">IF(A136&gt;=DATEVALUE("2025/11/8")+TIMEVALUE("6:00"),1,0)-IF(A135&gt;=DATEVALUE("2025/11/8")+TIMEVALUE("6:00"),1,0)</f>
        <v>0</v>
      </c>
      <c r="P136" t="str">
        <f t="shared" ref="P136" si="247">IF(L136&lt;N136,"未達成（"&amp;N136-L136&amp;"）",IF(L136=N136,"達成","前倒し（"&amp;L136-N136&amp;"）"))</f>
        <v>未達成（2）</v>
      </c>
    </row>
    <row r="137" spans="1:16">
      <c r="A137" s="3">
        <v>46014.308854166666</v>
      </c>
      <c r="B137">
        <v>60</v>
      </c>
      <c r="C137">
        <v>19</v>
      </c>
      <c r="D137">
        <v>0</v>
      </c>
      <c r="E137">
        <v>0</v>
      </c>
      <c r="F137">
        <v>0</v>
      </c>
      <c r="G137" s="5">
        <v>1.8229166664241347E-2</v>
      </c>
      <c r="H137" t="s">
        <v>330</v>
      </c>
      <c r="I137" t="s">
        <v>331</v>
      </c>
      <c r="J137">
        <v>0</v>
      </c>
      <c r="K137">
        <f t="shared" ref="K137" si="248">IF(A137&lt;DATEVALUE("2025/11/20")+TIMEVALUE("6:00"),1,IF(B137-SUM(D137:F137)&lt;&gt;60,0,MAX(2-INT(G137*24*60/10),0)))</f>
        <v>0</v>
      </c>
      <c r="L137">
        <f t="shared" ref="L137" si="249">L136+K137</f>
        <v>138</v>
      </c>
      <c r="M137">
        <f t="shared" ref="M137" si="250">2+IF(A137&gt;=DATEVALUE("2025/11/30")+TIMEVALUE("6:00"),1,0)+IF(A137&gt;=DATEVALUE("2025/12/11")+TIMEVALUE("6:00"),1,0)</f>
        <v>4</v>
      </c>
      <c r="N137">
        <f t="shared" ref="N137" si="251">N136+M137*(INT(A137-6/24)-INT(A136-6/24))+O137</f>
        <v>140</v>
      </c>
      <c r="O137">
        <f t="shared" ref="O137" si="252">IF(A137&gt;=DATEVALUE("2025/11/8")+TIMEVALUE("6:00"),1,0)-IF(A136&gt;=DATEVALUE("2025/11/8")+TIMEVALUE("6:00"),1,0)</f>
        <v>0</v>
      </c>
      <c r="P137" t="str">
        <f t="shared" ref="P137" si="253">IF(L137&lt;N137,"未達成（"&amp;N137-L137&amp;"）",IF(L137=N137,"達成","前倒し（"&amp;L137-N137&amp;"）"))</f>
        <v>未達成（2）</v>
      </c>
    </row>
    <row r="138" spans="1:16">
      <c r="A138" s="3">
        <v>46014.316064814811</v>
      </c>
      <c r="B138">
        <v>60</v>
      </c>
      <c r="C138">
        <v>13</v>
      </c>
      <c r="D138">
        <v>0</v>
      </c>
      <c r="E138">
        <v>0</v>
      </c>
      <c r="F138">
        <v>0</v>
      </c>
      <c r="G138" s="5">
        <v>6.0532407369464636E-3</v>
      </c>
      <c r="H138" t="s">
        <v>332</v>
      </c>
      <c r="I138" t="s">
        <v>333</v>
      </c>
      <c r="J138">
        <v>0</v>
      </c>
      <c r="K138">
        <f t="shared" ref="K138" si="254">IF(A138&lt;DATEVALUE("2025/11/20")+TIMEVALUE("6:00"),1,IF(B138-SUM(D138:F138)&lt;&gt;60,0,MAX(2-INT(G138*24*60/10),0)))</f>
        <v>2</v>
      </c>
      <c r="L138">
        <f t="shared" ref="L138" si="255">L137+K138</f>
        <v>140</v>
      </c>
      <c r="M138">
        <f t="shared" ref="M138" si="256">2+IF(A138&gt;=DATEVALUE("2025/11/30")+TIMEVALUE("6:00"),1,0)+IF(A138&gt;=DATEVALUE("2025/12/11")+TIMEVALUE("6:00"),1,0)</f>
        <v>4</v>
      </c>
      <c r="N138">
        <f t="shared" ref="N138" si="257">N137+M138*(INT(A138-6/24)-INT(A137-6/24))+O138</f>
        <v>140</v>
      </c>
      <c r="O138">
        <f t="shared" ref="O138" si="258">IF(A138&gt;=DATEVALUE("2025/11/8")+TIMEVALUE("6:00"),1,0)-IF(A137&gt;=DATEVALUE("2025/11/8")+TIMEVALUE("6:00"),1,0)</f>
        <v>0</v>
      </c>
      <c r="P138" t="str">
        <f t="shared" ref="P138" si="259">IF(L138&lt;N138,"未達成（"&amp;N138-L138&amp;"）",IF(L138=N138,"達成","前倒し（"&amp;L138-N138&amp;"）"))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46014.310011574074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2025-12-22T22:36:50Z</dcterms:modified>
</cp:coreProperties>
</file>
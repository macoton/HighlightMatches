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646440A8-EFCB-4E02-B39D-9F43358383A7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eta.CHAR" hidden="1" xlm="1">#NAME?</definedName>
    <definedName name="_xleta.DATEVALUE" hidden="1" xlm="1">#NAME?</definedName>
    <definedName name="_xleta.N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156" i="4" l="1"/>
  <c r="M156" i="4"/>
  <c r="N156" i="4" s="1"/>
  <c r="K156" i="4"/>
  <c r="L156" i="4" s="1"/>
  <c r="O155" i="4"/>
  <c r="M155" i="4"/>
  <c r="N155" i="4" s="1"/>
  <c r="K155" i="4"/>
  <c r="L155" i="4" s="1"/>
  <c r="O154" i="4"/>
  <c r="M154" i="4"/>
  <c r="N154" i="4" s="1"/>
  <c r="K154" i="4"/>
  <c r="L154" i="4" s="1"/>
  <c r="O153" i="4"/>
  <c r="M153" i="4"/>
  <c r="N153" i="4" s="1"/>
  <c r="K153" i="4"/>
  <c r="L153" i="4" s="1"/>
  <c r="O152" i="4"/>
  <c r="M152" i="4"/>
  <c r="N152" i="4" s="1"/>
  <c r="K152" i="4"/>
  <c r="L152" i="4" s="1"/>
  <c r="P152" i="4" s="1"/>
  <c r="O151" i="4"/>
  <c r="M151" i="4"/>
  <c r="N151" i="4" s="1"/>
  <c r="K151" i="4"/>
  <c r="L151" i="4" s="1"/>
  <c r="O150" i="4"/>
  <c r="M150" i="4"/>
  <c r="N150" i="4" s="1"/>
  <c r="K150" i="4"/>
  <c r="L150" i="4" s="1"/>
  <c r="O149" i="4"/>
  <c r="M149" i="4"/>
  <c r="N149" i="4" s="1"/>
  <c r="K149" i="4"/>
  <c r="L149" i="4" s="1"/>
  <c r="O148" i="4"/>
  <c r="M148" i="4"/>
  <c r="N148" i="4" s="1"/>
  <c r="K148" i="4"/>
  <c r="L148" i="4" s="1"/>
  <c r="P148" i="4" s="1"/>
  <c r="O147" i="4"/>
  <c r="M147" i="4"/>
  <c r="N147" i="4" s="1"/>
  <c r="K147" i="4"/>
  <c r="L147" i="4" s="1"/>
  <c r="O146" i="4"/>
  <c r="M146" i="4"/>
  <c r="N146" i="4" s="1"/>
  <c r="K146" i="4"/>
  <c r="L146" i="4" s="1"/>
  <c r="P146" i="4" s="1"/>
  <c r="O145" i="4"/>
  <c r="M145" i="4"/>
  <c r="N145" i="4" s="1"/>
  <c r="K145" i="4"/>
  <c r="L145" i="4" s="1"/>
  <c r="O144" i="4"/>
  <c r="M144" i="4"/>
  <c r="N144" i="4" s="1"/>
  <c r="K144" i="4"/>
  <c r="L144" i="4" s="1"/>
  <c r="O143" i="4"/>
  <c r="M143" i="4"/>
  <c r="N143" i="4" s="1"/>
  <c r="K143" i="4"/>
  <c r="L143" i="4" s="1"/>
  <c r="P143" i="4" s="1"/>
  <c r="O142" i="4"/>
  <c r="M142" i="4"/>
  <c r="K142" i="4"/>
  <c r="O141" i="4"/>
  <c r="M141" i="4"/>
  <c r="K141" i="4"/>
  <c r="O140" i="4"/>
  <c r="M140" i="4"/>
  <c r="K140" i="4"/>
  <c r="O139" i="4"/>
  <c r="M139" i="4"/>
  <c r="K139" i="4"/>
  <c r="O138" i="4"/>
  <c r="M138" i="4"/>
  <c r="K138" i="4"/>
  <c r="O137" i="4"/>
  <c r="M137" i="4"/>
  <c r="K137" i="4"/>
  <c r="O136" i="4"/>
  <c r="M136" i="4"/>
  <c r="K136" i="4"/>
  <c r="O135" i="4"/>
  <c r="M135" i="4"/>
  <c r="K135" i="4"/>
  <c r="O134" i="4"/>
  <c r="M134" i="4"/>
  <c r="K134" i="4"/>
  <c r="O133" i="4"/>
  <c r="M133" i="4"/>
  <c r="K133" i="4"/>
  <c r="O132" i="4"/>
  <c r="M132" i="4"/>
  <c r="K132" i="4"/>
  <c r="O131" i="4"/>
  <c r="M131" i="4"/>
  <c r="K131" i="4"/>
  <c r="O130" i="4"/>
  <c r="M130" i="4"/>
  <c r="K130" i="4"/>
  <c r="O129" i="4"/>
  <c r="M129" i="4"/>
  <c r="K129" i="4"/>
  <c r="O128" i="4"/>
  <c r="M128" i="4"/>
  <c r="K128" i="4"/>
  <c r="O127" i="4"/>
  <c r="M127" i="4"/>
  <c r="K127" i="4"/>
  <c r="O126" i="4"/>
  <c r="M126" i="4"/>
  <c r="K126" i="4"/>
  <c r="O125" i="4"/>
  <c r="M125" i="4"/>
  <c r="K125" i="4"/>
  <c r="O124" i="4"/>
  <c r="M124" i="4"/>
  <c r="K124" i="4"/>
  <c r="O123" i="4"/>
  <c r="M123" i="4"/>
  <c r="K123" i="4"/>
  <c r="O122" i="4"/>
  <c r="M122" i="4"/>
  <c r="K122" i="4"/>
  <c r="O121" i="4"/>
  <c r="M121" i="4"/>
  <c r="K121" i="4"/>
  <c r="O120" i="4"/>
  <c r="M120" i="4"/>
  <c r="K120" i="4"/>
  <c r="O119" i="4"/>
  <c r="M119" i="4"/>
  <c r="K119" i="4"/>
  <c r="O118" i="4"/>
  <c r="M118" i="4"/>
  <c r="K118" i="4"/>
  <c r="O117" i="4"/>
  <c r="M117" i="4"/>
  <c r="K117" i="4"/>
  <c r="O116" i="4"/>
  <c r="M116" i="4"/>
  <c r="K116" i="4"/>
  <c r="O115" i="4"/>
  <c r="M115" i="4"/>
  <c r="K115" i="4"/>
  <c r="O114" i="4"/>
  <c r="M114" i="4"/>
  <c r="K114" i="4"/>
  <c r="O113" i="4"/>
  <c r="M113" i="4"/>
  <c r="K113" i="4"/>
  <c r="O112" i="4"/>
  <c r="M112" i="4"/>
  <c r="K112" i="4"/>
  <c r="O111" i="4"/>
  <c r="M111" i="4"/>
  <c r="K111" i="4"/>
  <c r="O110" i="4"/>
  <c r="M110" i="4"/>
  <c r="K110" i="4"/>
  <c r="O109" i="4"/>
  <c r="M109" i="4"/>
  <c r="K109" i="4"/>
  <c r="O108" i="4"/>
  <c r="M108" i="4"/>
  <c r="K108" i="4"/>
  <c r="O107" i="4"/>
  <c r="M107" i="4"/>
  <c r="K107" i="4"/>
  <c r="O106" i="4"/>
  <c r="M106" i="4"/>
  <c r="K106" i="4"/>
  <c r="O105" i="4"/>
  <c r="M105" i="4"/>
  <c r="K105" i="4"/>
  <c r="O104" i="4"/>
  <c r="M104" i="4"/>
  <c r="K104" i="4"/>
  <c r="O103" i="4"/>
  <c r="M103" i="4"/>
  <c r="K103" i="4"/>
  <c r="O102" i="4"/>
  <c r="M102" i="4"/>
  <c r="K102" i="4"/>
  <c r="O101" i="4"/>
  <c r="M101" i="4"/>
  <c r="K101" i="4"/>
  <c r="O100" i="4"/>
  <c r="M100" i="4"/>
  <c r="K100" i="4"/>
  <c r="O99" i="4"/>
  <c r="M99" i="4"/>
  <c r="K99" i="4"/>
  <c r="O98" i="4"/>
  <c r="M98" i="4"/>
  <c r="K98" i="4"/>
  <c r="O97" i="4"/>
  <c r="M97" i="4"/>
  <c r="K97" i="4"/>
  <c r="O96" i="4"/>
  <c r="M96" i="4"/>
  <c r="K96" i="4"/>
  <c r="O95" i="4"/>
  <c r="M95" i="4"/>
  <c r="K95" i="4"/>
  <c r="O94" i="4"/>
  <c r="M94" i="4"/>
  <c r="K94" i="4"/>
  <c r="O93" i="4"/>
  <c r="M93" i="4"/>
  <c r="K93" i="4"/>
  <c r="O92" i="4"/>
  <c r="M92" i="4"/>
  <c r="K92" i="4"/>
  <c r="O91" i="4"/>
  <c r="M91" i="4"/>
  <c r="K91" i="4"/>
  <c r="O90" i="4"/>
  <c r="M90" i="4"/>
  <c r="K90" i="4"/>
  <c r="O89" i="4"/>
  <c r="M89" i="4"/>
  <c r="K89" i="4"/>
  <c r="O88" i="4"/>
  <c r="M88" i="4"/>
  <c r="K88" i="4"/>
  <c r="O87" i="4"/>
  <c r="M87" i="4"/>
  <c r="K87" i="4"/>
  <c r="O86" i="4"/>
  <c r="M86" i="4"/>
  <c r="K86" i="4"/>
  <c r="O85" i="4"/>
  <c r="M85" i="4"/>
  <c r="K85" i="4"/>
  <c r="O84" i="4"/>
  <c r="M84" i="4"/>
  <c r="K84" i="4"/>
  <c r="O83" i="4"/>
  <c r="M83" i="4"/>
  <c r="K83" i="4"/>
  <c r="O82" i="4"/>
  <c r="M82" i="4"/>
  <c r="K82" i="4"/>
  <c r="O81" i="4"/>
  <c r="M81" i="4"/>
  <c r="K81" i="4"/>
  <c r="O80" i="4"/>
  <c r="M80" i="4"/>
  <c r="K80" i="4"/>
  <c r="O79" i="4"/>
  <c r="M79" i="4"/>
  <c r="K79" i="4"/>
  <c r="O78" i="4"/>
  <c r="M78" i="4"/>
  <c r="K78" i="4"/>
  <c r="O77" i="4"/>
  <c r="M77" i="4"/>
  <c r="K77" i="4"/>
  <c r="O76" i="4"/>
  <c r="M76" i="4"/>
  <c r="K76" i="4"/>
  <c r="O75" i="4"/>
  <c r="M75" i="4"/>
  <c r="K75" i="4"/>
  <c r="O74" i="4"/>
  <c r="M74" i="4"/>
  <c r="K74" i="4"/>
  <c r="O73" i="4"/>
  <c r="M73" i="4"/>
  <c r="K73" i="4"/>
  <c r="O72" i="4"/>
  <c r="M72" i="4"/>
  <c r="K72" i="4"/>
  <c r="O71" i="4"/>
  <c r="M71" i="4"/>
  <c r="K71" i="4"/>
  <c r="O70" i="4"/>
  <c r="M70" i="4"/>
  <c r="K70" i="4"/>
  <c r="O69" i="4"/>
  <c r="M69" i="4"/>
  <c r="K69" i="4"/>
  <c r="O68" i="4"/>
  <c r="M68" i="4"/>
  <c r="K68" i="4"/>
  <c r="O67" i="4"/>
  <c r="M67" i="4"/>
  <c r="K67" i="4"/>
  <c r="O66" i="4"/>
  <c r="M66" i="4"/>
  <c r="K66" i="4"/>
  <c r="O65" i="4"/>
  <c r="M65" i="4"/>
  <c r="K65" i="4"/>
  <c r="O64" i="4"/>
  <c r="M64" i="4"/>
  <c r="K64" i="4"/>
  <c r="O63" i="4"/>
  <c r="M63" i="4"/>
  <c r="K63" i="4"/>
  <c r="O62" i="4"/>
  <c r="M62" i="4"/>
  <c r="K62" i="4"/>
  <c r="O61" i="4"/>
  <c r="M61" i="4"/>
  <c r="K61" i="4"/>
  <c r="O60" i="4"/>
  <c r="M60" i="4"/>
  <c r="K60" i="4"/>
  <c r="O59" i="4"/>
  <c r="M59" i="4"/>
  <c r="K59" i="4"/>
  <c r="O58" i="4"/>
  <c r="M58" i="4"/>
  <c r="K58" i="4"/>
  <c r="O57" i="4"/>
  <c r="M57" i="4"/>
  <c r="K57" i="4"/>
  <c r="O56" i="4"/>
  <c r="M56" i="4"/>
  <c r="K56" i="4"/>
  <c r="O55" i="4"/>
  <c r="M55" i="4"/>
  <c r="K55" i="4"/>
  <c r="O54" i="4"/>
  <c r="M54" i="4"/>
  <c r="K54" i="4"/>
  <c r="O53" i="4"/>
  <c r="M53" i="4"/>
  <c r="K53" i="4"/>
  <c r="O52" i="4"/>
  <c r="M52" i="4"/>
  <c r="K52" i="4"/>
  <c r="O51" i="4"/>
  <c r="M51" i="4"/>
  <c r="K51" i="4"/>
  <c r="O50" i="4"/>
  <c r="M50" i="4"/>
  <c r="K50" i="4"/>
  <c r="O49" i="4"/>
  <c r="M49" i="4"/>
  <c r="K49" i="4"/>
  <c r="O48" i="4"/>
  <c r="M48" i="4"/>
  <c r="K48" i="4"/>
  <c r="O47" i="4"/>
  <c r="M47" i="4"/>
  <c r="K47" i="4"/>
  <c r="O46" i="4"/>
  <c r="M46" i="4"/>
  <c r="K46" i="4"/>
  <c r="O45" i="4"/>
  <c r="M45" i="4"/>
  <c r="K45" i="4"/>
  <c r="O44" i="4"/>
  <c r="M44" i="4"/>
  <c r="K44" i="4"/>
  <c r="O43" i="4"/>
  <c r="M43" i="4"/>
  <c r="K43" i="4"/>
  <c r="O42" i="4"/>
  <c r="M42" i="4"/>
  <c r="K42" i="4"/>
  <c r="O41" i="4"/>
  <c r="M41" i="4"/>
  <c r="K41" i="4"/>
  <c r="O40" i="4"/>
  <c r="M40" i="4"/>
  <c r="K40" i="4"/>
  <c r="O39" i="4"/>
  <c r="M39" i="4"/>
  <c r="K39" i="4"/>
  <c r="O38" i="4"/>
  <c r="M38" i="4"/>
  <c r="K38" i="4"/>
  <c r="O37" i="4"/>
  <c r="M37" i="4"/>
  <c r="K37" i="4"/>
  <c r="O36" i="4"/>
  <c r="M36" i="4"/>
  <c r="K36" i="4"/>
  <c r="O35" i="4"/>
  <c r="M35" i="4"/>
  <c r="K35" i="4"/>
  <c r="O34" i="4"/>
  <c r="M34" i="4"/>
  <c r="K34" i="4"/>
  <c r="O33" i="4"/>
  <c r="M33" i="4"/>
  <c r="K33" i="4"/>
  <c r="O32" i="4"/>
  <c r="M32" i="4"/>
  <c r="K32" i="4"/>
  <c r="O31" i="4"/>
  <c r="M31" i="4"/>
  <c r="K31" i="4"/>
  <c r="O30" i="4"/>
  <c r="M30" i="4"/>
  <c r="K30" i="4"/>
  <c r="O29" i="4"/>
  <c r="M29" i="4"/>
  <c r="K29" i="4"/>
  <c r="O28" i="4"/>
  <c r="M28" i="4"/>
  <c r="K28" i="4"/>
  <c r="O27" i="4"/>
  <c r="M27" i="4"/>
  <c r="K27" i="4"/>
  <c r="O26" i="4"/>
  <c r="M26" i="4"/>
  <c r="K26" i="4"/>
  <c r="O25" i="4"/>
  <c r="M25" i="4"/>
  <c r="K25" i="4"/>
  <c r="O24" i="4"/>
  <c r="M24" i="4"/>
  <c r="K24" i="4"/>
  <c r="O23" i="4"/>
  <c r="M23" i="4"/>
  <c r="K23" i="4"/>
  <c r="O22" i="4"/>
  <c r="M22" i="4"/>
  <c r="K22" i="4"/>
  <c r="O21" i="4"/>
  <c r="M21" i="4"/>
  <c r="K21" i="4"/>
  <c r="O20" i="4"/>
  <c r="M20" i="4"/>
  <c r="K20" i="4"/>
  <c r="O19" i="4"/>
  <c r="M19" i="4"/>
  <c r="K19" i="4"/>
  <c r="O18" i="4"/>
  <c r="M18" i="4"/>
  <c r="K18" i="4"/>
  <c r="P156" i="4" l="1"/>
  <c r="P155" i="4"/>
  <c r="P154" i="4"/>
  <c r="P153" i="4"/>
  <c r="P151" i="4"/>
  <c r="P150" i="4"/>
  <c r="P149" i="4"/>
  <c r="P147" i="4"/>
  <c r="P145" i="4"/>
  <c r="P144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l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L21" i="4" l="1"/>
  <c r="P20" i="4"/>
  <c r="T2" i="5"/>
  <c r="T3" i="5"/>
  <c r="T4" i="3"/>
  <c r="S5" i="3"/>
  <c r="L22" i="4" l="1"/>
  <c r="P21" i="4"/>
  <c r="T4" i="5"/>
  <c r="S6" i="3"/>
  <c r="T6" i="3" s="1"/>
  <c r="T5" i="3"/>
  <c r="P22" i="4" l="1"/>
  <c r="L23" i="4"/>
  <c r="T6" i="5"/>
  <c r="T5" i="5"/>
  <c r="L24" i="4" l="1"/>
  <c r="P23" i="4"/>
  <c r="P18" i="4"/>
  <c r="L25" i="4" l="1"/>
  <c r="P24" i="4"/>
  <c r="L26" i="4" l="1"/>
  <c r="P25" i="4"/>
  <c r="P26" i="4" l="1"/>
  <c r="L27" i="4"/>
  <c r="L28" i="4" l="1"/>
  <c r="P27" i="4"/>
  <c r="L29" i="4" l="1"/>
  <c r="P28" i="4"/>
  <c r="L30" i="4" l="1"/>
  <c r="P29" i="4"/>
  <c r="P30" i="4" l="1"/>
  <c r="L31" i="4"/>
  <c r="L32" i="4" l="1"/>
  <c r="P31" i="4"/>
  <c r="L33" i="4" l="1"/>
  <c r="P32" i="4"/>
  <c r="L34" i="4" l="1"/>
  <c r="P33" i="4"/>
  <c r="P34" i="4" l="1"/>
  <c r="L35" i="4"/>
  <c r="L36" i="4" l="1"/>
  <c r="P35" i="4"/>
  <c r="L37" i="4" l="1"/>
  <c r="P36" i="4"/>
  <c r="L38" i="4" l="1"/>
  <c r="P37" i="4"/>
  <c r="P38" i="4" l="1"/>
  <c r="L39" i="4"/>
  <c r="L40" i="4" l="1"/>
  <c r="P39" i="4"/>
  <c r="L41" i="4" l="1"/>
  <c r="P40" i="4"/>
  <c r="L42" i="4" l="1"/>
  <c r="P41" i="4"/>
  <c r="P42" i="4" l="1"/>
  <c r="L43" i="4"/>
  <c r="L44" i="4" l="1"/>
  <c r="P43" i="4"/>
  <c r="L45" i="4" l="1"/>
  <c r="P44" i="4"/>
  <c r="L46" i="4" l="1"/>
  <c r="P45" i="4"/>
  <c r="P46" i="4" l="1"/>
  <c r="L47" i="4"/>
  <c r="L48" i="4" l="1"/>
  <c r="P47" i="4"/>
  <c r="L49" i="4" l="1"/>
  <c r="P48" i="4"/>
  <c r="L50" i="4" l="1"/>
  <c r="P49" i="4"/>
  <c r="P50" i="4" l="1"/>
  <c r="L51" i="4"/>
  <c r="L52" i="4" l="1"/>
  <c r="P51" i="4"/>
  <c r="L53" i="4" l="1"/>
  <c r="P52" i="4"/>
  <c r="L54" i="4" l="1"/>
  <c r="P53" i="4"/>
  <c r="P54" i="4" l="1"/>
  <c r="L55" i="4"/>
  <c r="L56" i="4" l="1"/>
  <c r="P55" i="4"/>
  <c r="L57" i="4" l="1"/>
  <c r="P56" i="4"/>
  <c r="L58" i="4" l="1"/>
  <c r="P57" i="4"/>
  <c r="P58" i="4" l="1"/>
  <c r="L59" i="4"/>
  <c r="L60" i="4" l="1"/>
  <c r="P59" i="4"/>
  <c r="L61" i="4" l="1"/>
  <c r="P60" i="4"/>
  <c r="L62" i="4" l="1"/>
  <c r="P61" i="4"/>
  <c r="P62" i="4" l="1"/>
  <c r="L63" i="4"/>
  <c r="L64" i="4" l="1"/>
  <c r="P63" i="4"/>
  <c r="L65" i="4" l="1"/>
  <c r="P64" i="4"/>
  <c r="L66" i="4" l="1"/>
  <c r="P65" i="4"/>
  <c r="P66" i="4" l="1"/>
  <c r="L67" i="4"/>
  <c r="L68" i="4" l="1"/>
  <c r="P67" i="4"/>
  <c r="L69" i="4" l="1"/>
  <c r="P68" i="4"/>
  <c r="L70" i="4" l="1"/>
  <c r="P69" i="4"/>
  <c r="P70" i="4" l="1"/>
  <c r="L71" i="4"/>
  <c r="L72" i="4" l="1"/>
  <c r="P71" i="4"/>
  <c r="L73" i="4" l="1"/>
  <c r="P72" i="4"/>
  <c r="L74" i="4" l="1"/>
  <c r="P73" i="4"/>
  <c r="P74" i="4" l="1"/>
  <c r="L75" i="4"/>
  <c r="L76" i="4" l="1"/>
  <c r="P75" i="4"/>
  <c r="L77" i="4" l="1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P99" i="4" l="1"/>
  <c r="L100" i="4"/>
  <c r="P100" i="4" l="1"/>
  <c r="L101" i="4"/>
  <c r="P101" i="4" l="1"/>
  <c r="L102" i="4"/>
  <c r="P102" i="4" l="1"/>
  <c r="L103" i="4"/>
  <c r="P103" i="4" l="1"/>
  <c r="L104" i="4"/>
  <c r="P104" i="4" l="1"/>
  <c r="L105" i="4"/>
  <c r="L106" i="4" l="1"/>
  <c r="P105" i="4"/>
  <c r="P106" i="4" l="1"/>
  <c r="L107" i="4"/>
  <c r="P107" i="4" l="1"/>
  <c r="L108" i="4"/>
  <c r="L109" i="4" l="1"/>
  <c r="P108" i="4"/>
  <c r="P109" i="4" l="1"/>
  <c r="L110" i="4"/>
  <c r="P110" i="4" l="1"/>
  <c r="L111" i="4"/>
  <c r="P111" i="4" l="1"/>
  <c r="L112" i="4"/>
  <c r="P112" i="4" l="1"/>
  <c r="L113" i="4"/>
  <c r="P113" i="4" l="1"/>
  <c r="L114" i="4"/>
  <c r="P114" i="4" l="1"/>
  <c r="L115" i="4"/>
  <c r="P115" i="4" l="1"/>
  <c r="L116" i="4"/>
  <c r="L117" i="4" l="1"/>
  <c r="P116" i="4"/>
  <c r="P117" i="4" l="1"/>
  <c r="L118" i="4"/>
  <c r="L119" i="4" l="1"/>
  <c r="P118" i="4"/>
  <c r="L120" i="4" l="1"/>
  <c r="P119" i="4"/>
  <c r="L121" i="4" l="1"/>
  <c r="P120" i="4"/>
  <c r="P121" i="4" l="1"/>
  <c r="L122" i="4"/>
  <c r="P122" i="4" l="1"/>
  <c r="L123" i="4"/>
  <c r="P123" i="4" l="1"/>
  <c r="L124" i="4"/>
  <c r="L125" i="4" l="1"/>
  <c r="P124" i="4"/>
  <c r="P125" i="4" l="1"/>
  <c r="L126" i="4"/>
  <c r="L127" i="4" l="1"/>
  <c r="P126" i="4"/>
  <c r="L128" i="4" l="1"/>
  <c r="P127" i="4"/>
  <c r="L129" i="4" l="1"/>
  <c r="P128" i="4"/>
  <c r="P129" i="4" l="1"/>
  <c r="L130" i="4"/>
  <c r="P130" i="4" l="1"/>
  <c r="L131" i="4"/>
  <c r="P131" i="4" l="1"/>
  <c r="L132" i="4"/>
  <c r="P132" i="4" l="1"/>
  <c r="L133" i="4"/>
  <c r="P133" i="4" l="1"/>
  <c r="L134" i="4"/>
  <c r="P134" i="4" l="1"/>
  <c r="L135" i="4"/>
  <c r="L136" i="4" l="1"/>
  <c r="P135" i="4"/>
  <c r="L137" i="4" l="1"/>
  <c r="P136" i="4"/>
  <c r="P137" i="4" l="1"/>
  <c r="L138" i="4"/>
  <c r="P138" i="4" l="1"/>
  <c r="L139" i="4"/>
  <c r="L140" i="4" s="1"/>
  <c r="P140" i="4" l="1"/>
  <c r="L141" i="4"/>
  <c r="L142" i="4" s="1"/>
  <c r="P139" i="4"/>
  <c r="P142" i="4" l="1"/>
  <c r="P141" i="4"/>
</calcChain>
</file>

<file path=xl/sharedStrings.xml><?xml version="1.0" encoding="utf-8"?>
<sst xmlns="http://schemas.openxmlformats.org/spreadsheetml/2006/main" count="388" uniqueCount="369">
  <si>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</si>
  <si>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</si>
  <si>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</si>
  <si>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</si>
  <si>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</si>
  <si>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</si>
  <si>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</si>
  <si>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</si>
  <si>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</si>
  <si>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</si>
  <si>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</si>
  <si>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</si>
  <si>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</si>
  <si>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</si>
  <si>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</si>
  <si>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</si>
  <si>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</si>
  <si>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</si>
  <si>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</si>
  <si>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</si>
  <si>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</si>
  <si>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</si>
  <si>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</si>
  <si>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</si>
  <si>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</si>
  <si>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</si>
  <si>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</si>
  <si>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</si>
  <si>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</si>
  <si>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</si>
  <si>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</si>
  <si>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</si>
  <si>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</si>
  <si>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</si>
  <si>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</si>
  <si>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</si>
  <si>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</si>
  <si>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</si>
  <si>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</si>
  <si>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</si>
  <si>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</si>
  <si>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</si>
  <si>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</si>
  <si>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</si>
  <si>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</si>
  <si>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</si>
  <si>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</si>
  <si>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</si>
  <si>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</si>
  <si>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</si>
  <si>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</si>
  <si>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</si>
  <si>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</si>
  <si>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</si>
  <si>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</si>
  <si>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</si>
  <si>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</si>
  <si>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</si>
  <si>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</si>
  <si>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</si>
  <si>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</si>
  <si>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</si>
  <si>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</si>
  <si>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</si>
  <si>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</si>
  <si>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</si>
  <si>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</si>
  <si>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</si>
  <si>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</si>
  <si>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</si>
  <si>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</si>
  <si>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</si>
  <si>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</si>
  <si>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</si>
  <si>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</si>
  <si>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</si>
  <si>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</si>
  <si>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</si>
  <si>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</si>
  <si>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</si>
  <si>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</si>
  <si>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</si>
  <si>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</si>
  <si>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</si>
  <si>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</si>
  <si>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</si>
  <si>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</si>
  <si>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</si>
  <si>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</si>
  <si>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</si>
  <si>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</si>
  <si>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</si>
  <si>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</si>
  <si>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</si>
  <si>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</si>
  <si>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</si>
  <si>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</si>
  <si>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</si>
  <si>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</si>
  <si>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</si>
  <si>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</si>
  <si>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</si>
  <si>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</si>
  <si>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</si>
  <si>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</si>
  <si>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</si>
  <si>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</si>
  <si>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</si>
  <si>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</si>
  <si>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</si>
  <si>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</si>
  <si>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</si>
  <si>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</si>
  <si>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</si>
  <si>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</si>
  <si>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</si>
  <si>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</si>
  <si>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</si>
  <si>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</si>
  <si>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</si>
  <si>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</si>
  <si>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</si>
  <si>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</si>
  <si>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</si>
  <si>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</si>
  <si>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</si>
  <si>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</si>
  <si>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</si>
  <si>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</si>
  <si>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</si>
  <si>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</si>
  <si>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</si>
  <si>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</si>
  <si>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</si>
  <si>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</si>
  <si>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</si>
  <si>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</si>
  <si>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</si>
  <si>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</si>
  <si>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</si>
  <si>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</si>
  <si>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</si>
  <si>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</si>
  <si>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</si>
  <si>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</si>
  <si>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</si>
  <si>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</si>
  <si>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</si>
  <si>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</si>
  <si>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</si>
  <si>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</si>
  <si>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</si>
  <si>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</si>
  <si>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</si>
  <si>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</si>
  <si>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</si>
  <si>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</si>
  <si>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</si>
  <si>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</si>
  <si>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</si>
  <si>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</si>
  <si>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</si>
  <si>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</si>
  <si>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</si>
  <si>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</si>
  <si>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</si>
  <si>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</si>
  <si>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</si>
  <si>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</si>
  <si>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</si>
  <si>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</si>
  <si>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</si>
  <si>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</si>
  <si>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</si>
  <si>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</si>
  <si>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</si>
  <si>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</si>
  <si>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</si>
  <si>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</si>
  <si>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ポイント
（2025/11/20未満は１、2025/11/20以上は得点１が６０点、減点全てが０点に限り、１０分台が１、0分台が２）</t>
    <rPh sb="16" eb="18">
      <t>ミマン</t>
    </rPh>
    <rPh sb="31" eb="33">
      <t>イジョウ</t>
    </rPh>
    <rPh sb="34" eb="36">
      <t>トクテン</t>
    </rPh>
    <rPh sb="40" eb="41">
      <t>テン</t>
    </rPh>
    <rPh sb="42" eb="44">
      <t>ゲンテン</t>
    </rPh>
    <rPh sb="44" eb="45">
      <t>スベ</t>
    </rPh>
    <rPh sb="48" eb="49">
      <t>テン</t>
    </rPh>
    <rPh sb="50" eb="51">
      <t>カギ</t>
    </rPh>
    <rPh sb="55" eb="57">
      <t>フンダイ</t>
    </rPh>
    <rPh sb="61" eb="63">
      <t>フンダイ</t>
    </rPh>
    <phoneticPr fontId="1"/>
  </si>
  <si>
    <t>罰（2025/11/8は１）</t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</si>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</sst>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3" fillId="2" borderId="0" xfId="0" applyFont="1" applyFill="1">
      <alignment vertical="center"/>
    </xf>
    <xf numFmtId="0" fontId="6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データ!$P$2:$P$155</c:f>
              <c:strCache>
                <c:ptCount val="154"/>
                <c:pt idx="0">
                  <c:v>目標達成／目標未達</c:v>
                </c:pt>
                <c:pt idx="16">
                  <c:v>未達成（1）</c:v>
                </c:pt>
                <c:pt idx="17">
                  <c:v>達成</c:v>
                </c:pt>
                <c:pt idx="18">
                  <c:v>未達成（1）</c:v>
                </c:pt>
                <c:pt idx="19">
                  <c:v>達成</c:v>
                </c:pt>
                <c:pt idx="20">
                  <c:v>未達成（1）</c:v>
                </c:pt>
                <c:pt idx="21">
                  <c:v>達成</c:v>
                </c:pt>
                <c:pt idx="22">
                  <c:v>未達成（1）</c:v>
                </c:pt>
                <c:pt idx="23">
                  <c:v>達成</c:v>
                </c:pt>
                <c:pt idx="24">
                  <c:v>未達成（1）</c:v>
                </c:pt>
                <c:pt idx="25">
                  <c:v>達成</c:v>
                </c:pt>
                <c:pt idx="26">
                  <c:v>未達成（2）</c:v>
                </c:pt>
                <c:pt idx="27">
                  <c:v>未達成（1）</c:v>
                </c:pt>
                <c:pt idx="28">
                  <c:v>達成</c:v>
                </c:pt>
                <c:pt idx="29">
                  <c:v>未達成（1）</c:v>
                </c:pt>
                <c:pt idx="30">
                  <c:v>達成</c:v>
                </c:pt>
                <c:pt idx="31">
                  <c:v>未達成（1）</c:v>
                </c:pt>
                <c:pt idx="32">
                  <c:v>達成</c:v>
                </c:pt>
                <c:pt idx="33">
                  <c:v>未達成（1）</c:v>
                </c:pt>
                <c:pt idx="34">
                  <c:v>達成</c:v>
                </c:pt>
                <c:pt idx="35">
                  <c:v>未達成（1）</c:v>
                </c:pt>
                <c:pt idx="36">
                  <c:v>達成</c:v>
                </c:pt>
                <c:pt idx="37">
                  <c:v>未達成（3）</c:v>
                </c:pt>
                <c:pt idx="38">
                  <c:v>未達成（2）</c:v>
                </c:pt>
                <c:pt idx="39">
                  <c:v>未達成（3）</c:v>
                </c:pt>
                <c:pt idx="40">
                  <c:v>未達成（2）</c:v>
                </c:pt>
                <c:pt idx="41">
                  <c:v>未達成（3）</c:v>
                </c:pt>
                <c:pt idx="42">
                  <c:v>未達成（2）</c:v>
                </c:pt>
                <c:pt idx="43">
                  <c:v>未達成（1）</c:v>
                </c:pt>
                <c:pt idx="44">
                  <c:v>達成</c:v>
                </c:pt>
                <c:pt idx="45">
                  <c:v>前倒し（1）</c:v>
                </c:pt>
                <c:pt idx="46">
                  <c:v>前倒し（2）</c:v>
                </c:pt>
                <c:pt idx="47">
                  <c:v>前倒し（1）</c:v>
                </c:pt>
                <c:pt idx="48">
                  <c:v>前倒し（2）</c:v>
                </c:pt>
                <c:pt idx="49">
                  <c:v>前倒し（3）</c:v>
                </c:pt>
                <c:pt idx="50">
                  <c:v>前倒し（4）</c:v>
                </c:pt>
                <c:pt idx="51">
                  <c:v>前倒し（1）</c:v>
                </c:pt>
                <c:pt idx="52">
                  <c:v>前倒し（2）</c:v>
                </c:pt>
                <c:pt idx="53">
                  <c:v>前倒し（1）</c:v>
                </c:pt>
                <c:pt idx="54">
                  <c:v>前倒し（1）</c:v>
                </c:pt>
                <c:pt idx="55">
                  <c:v>達成</c:v>
                </c:pt>
                <c:pt idx="56">
                  <c:v>未達成（1）</c:v>
                </c:pt>
                <c:pt idx="57">
                  <c:v>達成</c:v>
                </c:pt>
                <c:pt idx="58">
                  <c:v>未達成（3）</c:v>
                </c:pt>
                <c:pt idx="59">
                  <c:v>未達成（3）</c:v>
                </c:pt>
                <c:pt idx="60">
                  <c:v>未達成（3）</c:v>
                </c:pt>
                <c:pt idx="61">
                  <c:v>未達成（2）</c:v>
                </c:pt>
                <c:pt idx="62">
                  <c:v>達成</c:v>
                </c:pt>
                <c:pt idx="63">
                  <c:v>達成</c:v>
                </c:pt>
                <c:pt idx="64">
                  <c:v>未達成（2）</c:v>
                </c:pt>
                <c:pt idx="65">
                  <c:v>達成</c:v>
                </c:pt>
                <c:pt idx="66">
                  <c:v>未達成（1）</c:v>
                </c:pt>
                <c:pt idx="67">
                  <c:v>未達成（1）</c:v>
                </c:pt>
                <c:pt idx="68">
                  <c:v>達成</c:v>
                </c:pt>
                <c:pt idx="69">
                  <c:v>未達成（2）</c:v>
                </c:pt>
                <c:pt idx="70">
                  <c:v>未達成（1）</c:v>
                </c:pt>
                <c:pt idx="71">
                  <c:v>達成</c:v>
                </c:pt>
                <c:pt idx="72">
                  <c:v>未達成（1）</c:v>
                </c:pt>
                <c:pt idx="73">
                  <c:v>達成</c:v>
                </c:pt>
                <c:pt idx="74">
                  <c:v>未達成（1）</c:v>
                </c:pt>
                <c:pt idx="75">
                  <c:v>前倒し（1）</c:v>
                </c:pt>
                <c:pt idx="76">
                  <c:v>未達成（1）</c:v>
                </c:pt>
                <c:pt idx="77">
                  <c:v>前倒し（1）</c:v>
                </c:pt>
                <c:pt idx="78">
                  <c:v>未達成（2）</c:v>
                </c:pt>
                <c:pt idx="79">
                  <c:v>達成</c:v>
                </c:pt>
                <c:pt idx="80">
                  <c:v>未達成（2）</c:v>
                </c:pt>
                <c:pt idx="81">
                  <c:v>未達成（1）</c:v>
                </c:pt>
                <c:pt idx="82">
                  <c:v>達成</c:v>
                </c:pt>
                <c:pt idx="83">
                  <c:v>未達成（2）</c:v>
                </c:pt>
                <c:pt idx="84">
                  <c:v>未達成（1）</c:v>
                </c:pt>
                <c:pt idx="85">
                  <c:v>前倒し（1）</c:v>
                </c:pt>
                <c:pt idx="86">
                  <c:v>未達成（1）</c:v>
                </c:pt>
                <c:pt idx="87">
                  <c:v>達成</c:v>
                </c:pt>
                <c:pt idx="88">
                  <c:v>未達成（1）</c:v>
                </c:pt>
                <c:pt idx="89">
                  <c:v>前倒し（1）</c:v>
                </c:pt>
                <c:pt idx="90">
                  <c:v>達成</c:v>
                </c:pt>
                <c:pt idx="91">
                  <c:v>未達成（2）</c:v>
                </c:pt>
                <c:pt idx="92">
                  <c:v>未達成（1）</c:v>
                </c:pt>
                <c:pt idx="93">
                  <c:v>前倒し（1）</c:v>
                </c:pt>
                <c:pt idx="94">
                  <c:v>未達成（1）</c:v>
                </c:pt>
                <c:pt idx="95">
                  <c:v>前倒し（1）</c:v>
                </c:pt>
                <c:pt idx="96">
                  <c:v>達成</c:v>
                </c:pt>
                <c:pt idx="97">
                  <c:v>未達成（3）</c:v>
                </c:pt>
                <c:pt idx="98">
                  <c:v>未達成（3）</c:v>
                </c:pt>
                <c:pt idx="99">
                  <c:v>未達成（2）</c:v>
                </c:pt>
                <c:pt idx="100">
                  <c:v>未達成（1）</c:v>
                </c:pt>
                <c:pt idx="101">
                  <c:v>達成</c:v>
                </c:pt>
                <c:pt idx="102">
                  <c:v>未達成（2）</c:v>
                </c:pt>
                <c:pt idx="103">
                  <c:v>未達成（1）</c:v>
                </c:pt>
                <c:pt idx="104">
                  <c:v>前倒し（1）</c:v>
                </c:pt>
                <c:pt idx="105">
                  <c:v>未達成（2）</c:v>
                </c:pt>
                <c:pt idx="106">
                  <c:v>達成</c:v>
                </c:pt>
                <c:pt idx="107">
                  <c:v>未達成（3）</c:v>
                </c:pt>
                <c:pt idx="108">
                  <c:v>未達成（1）</c:v>
                </c:pt>
                <c:pt idx="109">
                  <c:v>前倒し（1）</c:v>
                </c:pt>
                <c:pt idx="110">
                  <c:v>未達成（1）</c:v>
                </c:pt>
                <c:pt idx="111">
                  <c:v>達成</c:v>
                </c:pt>
                <c:pt idx="112">
                  <c:v>未達成（2）</c:v>
                </c:pt>
                <c:pt idx="113">
                  <c:v>未達成（1）</c:v>
                </c:pt>
                <c:pt idx="114">
                  <c:v>達成</c:v>
                </c:pt>
                <c:pt idx="115">
                  <c:v>未達成（3）</c:v>
                </c:pt>
                <c:pt idx="116">
                  <c:v>未達成（3）</c:v>
                </c:pt>
                <c:pt idx="117">
                  <c:v>未達成（2）</c:v>
                </c:pt>
                <c:pt idx="118">
                  <c:v>達成</c:v>
                </c:pt>
                <c:pt idx="119">
                  <c:v>未達成（3）</c:v>
                </c:pt>
                <c:pt idx="120">
                  <c:v>未達成（2）</c:v>
                </c:pt>
                <c:pt idx="121">
                  <c:v>未達成（2）</c:v>
                </c:pt>
                <c:pt idx="122">
                  <c:v>達成</c:v>
                </c:pt>
                <c:pt idx="123">
                  <c:v>未達成（3）</c:v>
                </c:pt>
                <c:pt idx="124">
                  <c:v>未達成（1）</c:v>
                </c:pt>
                <c:pt idx="125">
                  <c:v>達成</c:v>
                </c:pt>
                <c:pt idx="126">
                  <c:v>未達成（3）</c:v>
                </c:pt>
                <c:pt idx="127">
                  <c:v>未達成（1）</c:v>
                </c:pt>
                <c:pt idx="128">
                  <c:v>達成</c:v>
                </c:pt>
                <c:pt idx="129">
                  <c:v>未達成（2）</c:v>
                </c:pt>
                <c:pt idx="130">
                  <c:v>達成</c:v>
                </c:pt>
                <c:pt idx="131">
                  <c:v>未達成（3）</c:v>
                </c:pt>
                <c:pt idx="132">
                  <c:v>未達成（3）</c:v>
                </c:pt>
                <c:pt idx="133">
                  <c:v>未達成（2）</c:v>
                </c:pt>
                <c:pt idx="134">
                  <c:v>達成</c:v>
                </c:pt>
                <c:pt idx="135">
                  <c:v>未達成（2）</c:v>
                </c:pt>
                <c:pt idx="136">
                  <c:v>未達成（2）</c:v>
                </c:pt>
                <c:pt idx="137">
                  <c:v>達成</c:v>
                </c:pt>
                <c:pt idx="138">
                  <c:v>未達成（3）</c:v>
                </c:pt>
                <c:pt idx="139">
                  <c:v>未達成（1）</c:v>
                </c:pt>
                <c:pt idx="140">
                  <c:v>達成</c:v>
                </c:pt>
                <c:pt idx="141">
                  <c:v>未達成（3）</c:v>
                </c:pt>
                <c:pt idx="142">
                  <c:v>未達成（2）</c:v>
                </c:pt>
                <c:pt idx="143">
                  <c:v>達成</c:v>
                </c:pt>
                <c:pt idx="144">
                  <c:v>未達成（3）</c:v>
                </c:pt>
                <c:pt idx="145">
                  <c:v>未達成（2）</c:v>
                </c:pt>
                <c:pt idx="146">
                  <c:v>達成</c:v>
                </c:pt>
                <c:pt idx="147">
                  <c:v>未達成（3）</c:v>
                </c:pt>
                <c:pt idx="148">
                  <c:v>未達成（1）</c:v>
                </c:pt>
                <c:pt idx="149">
                  <c:v>達成</c:v>
                </c:pt>
                <c:pt idx="150">
                  <c:v>未達成（2）</c:v>
                </c:pt>
                <c:pt idx="151">
                  <c:v>達成</c:v>
                </c:pt>
                <c:pt idx="152">
                  <c:v>未達成（3）</c:v>
                </c:pt>
                <c:pt idx="153">
                  <c:v>未達成（1）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データ!$A$3:$A$156</c:f>
              <c:numCache>
                <c:formatCode>m/d/yyyy\ h:mm</c:formatCode>
                <c:ptCount val="15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</c:numCache>
            </c:numRef>
          </c:xVal>
          <c:yVal>
            <c:numRef>
              <c:f>データ!$B$3:$B$156</c:f>
              <c:numCache>
                <c:formatCode>General</c:formatCode>
                <c:ptCount val="154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D8-43E0-8C3F-008F6797789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82D8-43E0-8C3F-008F67977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820319"/>
        <c:axId val="1066807839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データ!$A$3:$A$156</c:f>
              <c:numCache>
                <c:formatCode>m/d/yyyy\ h:mm</c:formatCode>
                <c:ptCount val="154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</c:numCache>
            </c:numRef>
          </c:xVal>
          <c:yVal>
            <c:numRef>
              <c:f>データ!$G$3:$G$156</c:f>
              <c:numCache>
                <c:formatCode>[h]:mm</c:formatCode>
                <c:ptCount val="154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D8-43E0-8C3F-008F679778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815039"/>
        <c:axId val="1066805439"/>
      </c:scatterChart>
      <c:valAx>
        <c:axId val="1066820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807839"/>
        <c:crosses val="autoZero"/>
        <c:crossBetween val="midCat"/>
      </c:valAx>
      <c:valAx>
        <c:axId val="106680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820319"/>
        <c:crosses val="autoZero"/>
        <c:crossBetween val="midCat"/>
      </c:valAx>
      <c:valAx>
        <c:axId val="1066805439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815039"/>
        <c:crosses val="max"/>
        <c:crossBetween val="midCat"/>
      </c:valAx>
      <c:valAx>
        <c:axId val="1066815039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805439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211931</xdr:colOff>
      <xdr:row>2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1249" name="Match0">
          <a:extLst>
            <a:ext uri="{FF2B5EF4-FFF2-40B4-BE49-F238E27FC236}">
              <a16:creationId xmlns:a16="http://schemas.microsoft.com/office/drawing/2014/main" id="{C350698A-94F1-7A60-E80C-F9795F94227F}"/>
            </a:ext>
          </a:extLst>
        </xdr:cNvPr>
        <xdr:cNvCxnSpPr/>
      </xdr:nvCxnSpPr>
      <xdr:spPr>
        <a:xfrm>
          <a:off x="1483519" y="892969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2</xdr:row>
      <xdr:rowOff>178594</xdr:rowOff>
    </xdr:from>
    <xdr:to>
      <xdr:col>9</xdr:col>
      <xdr:colOff>211931</xdr:colOff>
      <xdr:row>5</xdr:row>
      <xdr:rowOff>178593</xdr:rowOff>
    </xdr:to>
    <xdr:cxnSp macro="">
      <xdr:nvCxnSpPr>
        <xdr:cNvPr id="1250" name="Match1">
          <a:extLst>
            <a:ext uri="{FF2B5EF4-FFF2-40B4-BE49-F238E27FC236}">
              <a16:creationId xmlns:a16="http://schemas.microsoft.com/office/drawing/2014/main" id="{592A3BCD-D8E4-B248-3E59-6A06FF397FFE}"/>
            </a:ext>
          </a:extLst>
        </xdr:cNvPr>
        <xdr:cNvCxnSpPr/>
      </xdr:nvCxnSpPr>
      <xdr:spPr>
        <a:xfrm flipH="1" flipV="1">
          <a:off x="2755106" y="892969"/>
          <a:ext cx="1271588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5</xdr:col>
      <xdr:colOff>211931</xdr:colOff>
      <xdr:row>9</xdr:row>
      <xdr:rowOff>178593</xdr:rowOff>
    </xdr:to>
    <xdr:cxnSp macro="">
      <xdr:nvCxnSpPr>
        <xdr:cNvPr id="1251" name="Match2">
          <a:extLst>
            <a:ext uri="{FF2B5EF4-FFF2-40B4-BE49-F238E27FC236}">
              <a16:creationId xmlns:a16="http://schemas.microsoft.com/office/drawing/2014/main" id="{4E2E2664-674B-83B2-4E79-570E8D9F570A}"/>
            </a:ext>
          </a:extLst>
        </xdr:cNvPr>
        <xdr:cNvCxnSpPr/>
      </xdr:nvCxnSpPr>
      <xdr:spPr>
        <a:xfrm flipV="1">
          <a:off x="2331244" y="267890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252" name="Match3">
          <a:extLst>
            <a:ext uri="{FF2B5EF4-FFF2-40B4-BE49-F238E27FC236}">
              <a16:creationId xmlns:a16="http://schemas.microsoft.com/office/drawing/2014/main" id="{18652419-B8A7-8442-A39C-32C5C49835E4}"/>
            </a:ext>
          </a:extLst>
        </xdr:cNvPr>
        <xdr:cNvCxnSpPr/>
      </xdr:nvCxnSpPr>
      <xdr:spPr>
        <a:xfrm flipH="1" flipV="1">
          <a:off x="4026694" y="303609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4</xdr:row>
      <xdr:rowOff>178594</xdr:rowOff>
    </xdr:from>
    <xdr:to>
      <xdr:col>1</xdr:col>
      <xdr:colOff>211931</xdr:colOff>
      <xdr:row>8</xdr:row>
      <xdr:rowOff>178594</xdr:rowOff>
    </xdr:to>
    <xdr:cxnSp macro="">
      <xdr:nvCxnSpPr>
        <xdr:cNvPr id="1253" name="Match4">
          <a:extLst>
            <a:ext uri="{FF2B5EF4-FFF2-40B4-BE49-F238E27FC236}">
              <a16:creationId xmlns:a16="http://schemas.microsoft.com/office/drawing/2014/main" id="{1D263065-BA33-1784-CB83-7C85CD846310}"/>
            </a:ext>
          </a:extLst>
        </xdr:cNvPr>
        <xdr:cNvCxnSpPr/>
      </xdr:nvCxnSpPr>
      <xdr:spPr>
        <a:xfrm flipV="1">
          <a:off x="635794" y="1607344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3</xdr:row>
      <xdr:rowOff>178593</xdr:rowOff>
    </xdr:from>
    <xdr:to>
      <xdr:col>3</xdr:col>
      <xdr:colOff>211931</xdr:colOff>
      <xdr:row>5</xdr:row>
      <xdr:rowOff>178593</xdr:rowOff>
    </xdr:to>
    <xdr:cxnSp macro="">
      <xdr:nvCxnSpPr>
        <xdr:cNvPr id="1254" name="Match5">
          <a:extLst>
            <a:ext uri="{FF2B5EF4-FFF2-40B4-BE49-F238E27FC236}">
              <a16:creationId xmlns:a16="http://schemas.microsoft.com/office/drawing/2014/main" id="{8A5EE564-53AD-F8D9-2A00-FEE02FB45BC3}"/>
            </a:ext>
          </a:extLst>
        </xdr:cNvPr>
        <xdr:cNvCxnSpPr/>
      </xdr:nvCxnSpPr>
      <xdr:spPr>
        <a:xfrm flipV="1">
          <a:off x="1483519" y="1250156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5</xdr:row>
      <xdr:rowOff>178593</xdr:rowOff>
    </xdr:from>
    <xdr:to>
      <xdr:col>9</xdr:col>
      <xdr:colOff>211931</xdr:colOff>
      <xdr:row>7</xdr:row>
      <xdr:rowOff>178593</xdr:rowOff>
    </xdr:to>
    <xdr:cxnSp macro="">
      <xdr:nvCxnSpPr>
        <xdr:cNvPr id="1255" name="Match6">
          <a:extLst>
            <a:ext uri="{FF2B5EF4-FFF2-40B4-BE49-F238E27FC236}">
              <a16:creationId xmlns:a16="http://schemas.microsoft.com/office/drawing/2014/main" id="{6CB8273A-4EFD-6F20-6F07-D33A83B0F1E1}"/>
            </a:ext>
          </a:extLst>
        </xdr:cNvPr>
        <xdr:cNvCxnSpPr/>
      </xdr:nvCxnSpPr>
      <xdr:spPr>
        <a:xfrm>
          <a:off x="3178969" y="1964531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8</xdr:row>
      <xdr:rowOff>178594</xdr:rowOff>
    </xdr:from>
    <xdr:to>
      <xdr:col>2</xdr:col>
      <xdr:colOff>211931</xdr:colOff>
      <xdr:row>11</xdr:row>
      <xdr:rowOff>178593</xdr:rowOff>
    </xdr:to>
    <xdr:cxnSp macro="">
      <xdr:nvCxnSpPr>
        <xdr:cNvPr id="1256" name="Match7">
          <a:extLst>
            <a:ext uri="{FF2B5EF4-FFF2-40B4-BE49-F238E27FC236}">
              <a16:creationId xmlns:a16="http://schemas.microsoft.com/office/drawing/2014/main" id="{09B9A584-D3A0-F0A6-D7A8-7FF19D52866B}"/>
            </a:ext>
          </a:extLst>
        </xdr:cNvPr>
        <xdr:cNvCxnSpPr/>
      </xdr:nvCxnSpPr>
      <xdr:spPr>
        <a:xfrm>
          <a:off x="1059656" y="3036094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3</xdr:col>
      <xdr:colOff>211931</xdr:colOff>
      <xdr:row>9</xdr:row>
      <xdr:rowOff>178593</xdr:rowOff>
    </xdr:to>
    <xdr:cxnSp macro="">
      <xdr:nvCxnSpPr>
        <xdr:cNvPr id="1257" name="Match8">
          <a:extLst>
            <a:ext uri="{FF2B5EF4-FFF2-40B4-BE49-F238E27FC236}">
              <a16:creationId xmlns:a16="http://schemas.microsoft.com/office/drawing/2014/main" id="{8C78D00A-F96B-EC4B-C6D4-EB5EA1910A0C}"/>
            </a:ext>
          </a:extLst>
        </xdr:cNvPr>
        <xdr:cNvCxnSpPr/>
      </xdr:nvCxnSpPr>
      <xdr:spPr>
        <a:xfrm flipV="1">
          <a:off x="1483519" y="2321719"/>
          <a:ext cx="0" cy="1071562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7</xdr:row>
      <xdr:rowOff>178593</xdr:rowOff>
    </xdr:from>
    <xdr:to>
      <xdr:col>2</xdr:col>
      <xdr:colOff>211931</xdr:colOff>
      <xdr:row>10</xdr:row>
      <xdr:rowOff>178594</xdr:rowOff>
    </xdr:to>
    <xdr:cxnSp macro="">
      <xdr:nvCxnSpPr>
        <xdr:cNvPr id="1258" name="Match9">
          <a:extLst>
            <a:ext uri="{FF2B5EF4-FFF2-40B4-BE49-F238E27FC236}">
              <a16:creationId xmlns:a16="http://schemas.microsoft.com/office/drawing/2014/main" id="{FF6CFDA0-73E5-9DBC-FA0E-DB4BB154111F}"/>
            </a:ext>
          </a:extLst>
        </xdr:cNvPr>
        <xdr:cNvCxnSpPr/>
      </xdr:nvCxnSpPr>
      <xdr:spPr>
        <a:xfrm flipV="1">
          <a:off x="1059656" y="2678906"/>
          <a:ext cx="0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0</xdr:row>
      <xdr:rowOff>178594</xdr:rowOff>
    </xdr:from>
    <xdr:to>
      <xdr:col>2</xdr:col>
      <xdr:colOff>211931</xdr:colOff>
      <xdr:row>1</xdr:row>
      <xdr:rowOff>178593</xdr:rowOff>
    </xdr:to>
    <xdr:cxnSp macro="">
      <xdr:nvCxnSpPr>
        <xdr:cNvPr id="1259" name="Match10">
          <a:extLst>
            <a:ext uri="{FF2B5EF4-FFF2-40B4-BE49-F238E27FC236}">
              <a16:creationId xmlns:a16="http://schemas.microsoft.com/office/drawing/2014/main" id="{5D0AA927-D1BC-3D14-6923-B5CBCA5A3379}"/>
            </a:ext>
          </a:extLst>
        </xdr:cNvPr>
        <xdr:cNvCxnSpPr/>
      </xdr:nvCxnSpPr>
      <xdr:spPr>
        <a:xfrm>
          <a:off x="1059656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2</xdr:col>
      <xdr:colOff>211931</xdr:colOff>
      <xdr:row>2</xdr:row>
      <xdr:rowOff>178594</xdr:rowOff>
    </xdr:to>
    <xdr:cxnSp macro="">
      <xdr:nvCxnSpPr>
        <xdr:cNvPr id="1260" name="Match11">
          <a:extLst>
            <a:ext uri="{FF2B5EF4-FFF2-40B4-BE49-F238E27FC236}">
              <a16:creationId xmlns:a16="http://schemas.microsoft.com/office/drawing/2014/main" id="{03EC8956-E280-4BD5-37DF-8AAD544CF3F1}"/>
            </a:ext>
          </a:extLst>
        </xdr:cNvPr>
        <xdr:cNvCxnSpPr/>
      </xdr:nvCxnSpPr>
      <xdr:spPr>
        <a:xfrm flipV="1">
          <a:off x="6357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261" name="Match12">
          <a:extLst>
            <a:ext uri="{FF2B5EF4-FFF2-40B4-BE49-F238E27FC236}">
              <a16:creationId xmlns:a16="http://schemas.microsoft.com/office/drawing/2014/main" id="{CC0E2143-504A-4038-389E-6EBDD54D5227}"/>
            </a:ext>
          </a:extLst>
        </xdr:cNvPr>
        <xdr:cNvCxnSpPr/>
      </xdr:nvCxnSpPr>
      <xdr:spPr>
        <a:xfrm>
          <a:off x="3178969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262" name="Match13">
          <a:extLst>
            <a:ext uri="{FF2B5EF4-FFF2-40B4-BE49-F238E27FC236}">
              <a16:creationId xmlns:a16="http://schemas.microsoft.com/office/drawing/2014/main" id="{146E175F-C393-2A28-66A4-1F812F8331F5}"/>
            </a:ext>
          </a:extLst>
        </xdr:cNvPr>
        <xdr:cNvCxnSpPr/>
      </xdr:nvCxnSpPr>
      <xdr:spPr>
        <a:xfrm>
          <a:off x="4026694" y="8929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2</xdr:row>
      <xdr:rowOff>203994</xdr:rowOff>
    </xdr:from>
    <xdr:to>
      <xdr:col>9</xdr:col>
      <xdr:colOff>237331</xdr:colOff>
      <xdr:row>3</xdr:row>
      <xdr:rowOff>203993</xdr:rowOff>
    </xdr:to>
    <xdr:cxnSp macro="">
      <xdr:nvCxnSpPr>
        <xdr:cNvPr id="1263" name="Match14">
          <a:extLst>
            <a:ext uri="{FF2B5EF4-FFF2-40B4-BE49-F238E27FC236}">
              <a16:creationId xmlns:a16="http://schemas.microsoft.com/office/drawing/2014/main" id="{2816F24F-9B11-F5A8-AA3E-AB7E2F55E42B}"/>
            </a:ext>
          </a:extLst>
        </xdr:cNvPr>
        <xdr:cNvCxnSpPr/>
      </xdr:nvCxnSpPr>
      <xdr:spPr>
        <a:xfrm flipH="1">
          <a:off x="36282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5</xdr:col>
      <xdr:colOff>211931</xdr:colOff>
      <xdr:row>7</xdr:row>
      <xdr:rowOff>178593</xdr:rowOff>
    </xdr:to>
    <xdr:cxnSp macro="">
      <xdr:nvCxnSpPr>
        <xdr:cNvPr id="1264" name="Match15">
          <a:extLst>
            <a:ext uri="{FF2B5EF4-FFF2-40B4-BE49-F238E27FC236}">
              <a16:creationId xmlns:a16="http://schemas.microsoft.com/office/drawing/2014/main" id="{97B1C2C1-C363-766B-ACE8-45A0E5E3F6E3}"/>
            </a:ext>
          </a:extLst>
        </xdr:cNvPr>
        <xdr:cNvCxnSpPr/>
      </xdr:nvCxnSpPr>
      <xdr:spPr>
        <a:xfrm>
          <a:off x="190738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1265" name="Match16">
          <a:extLst>
            <a:ext uri="{FF2B5EF4-FFF2-40B4-BE49-F238E27FC236}">
              <a16:creationId xmlns:a16="http://schemas.microsoft.com/office/drawing/2014/main" id="{70540C90-54B4-6BF7-2C4F-116113662001}"/>
            </a:ext>
          </a:extLst>
        </xdr:cNvPr>
        <xdr:cNvCxnSpPr/>
      </xdr:nvCxnSpPr>
      <xdr:spPr>
        <a:xfrm flipH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0</xdr:col>
      <xdr:colOff>211931</xdr:colOff>
      <xdr:row>8</xdr:row>
      <xdr:rowOff>178594</xdr:rowOff>
    </xdr:to>
    <xdr:cxnSp macro="">
      <xdr:nvCxnSpPr>
        <xdr:cNvPr id="1266" name="Match17">
          <a:extLst>
            <a:ext uri="{FF2B5EF4-FFF2-40B4-BE49-F238E27FC236}">
              <a16:creationId xmlns:a16="http://schemas.microsoft.com/office/drawing/2014/main" id="{5E329749-38A3-B37C-3A8D-49F56C0894E6}"/>
            </a:ext>
          </a:extLst>
        </xdr:cNvPr>
        <xdr:cNvCxnSpPr/>
      </xdr:nvCxnSpPr>
      <xdr:spPr>
        <a:xfrm>
          <a:off x="211931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7</xdr:row>
      <xdr:rowOff>178593</xdr:rowOff>
    </xdr:from>
    <xdr:to>
      <xdr:col>9</xdr:col>
      <xdr:colOff>211931</xdr:colOff>
      <xdr:row>8</xdr:row>
      <xdr:rowOff>178594</xdr:rowOff>
    </xdr:to>
    <xdr:cxnSp macro="">
      <xdr:nvCxnSpPr>
        <xdr:cNvPr id="1267" name="Match18">
          <a:extLst>
            <a:ext uri="{FF2B5EF4-FFF2-40B4-BE49-F238E27FC236}">
              <a16:creationId xmlns:a16="http://schemas.microsoft.com/office/drawing/2014/main" id="{D7097516-2A3E-4AEC-B2A5-1008211EAF36}"/>
            </a:ext>
          </a:extLst>
        </xdr:cNvPr>
        <xdr:cNvCxnSpPr/>
      </xdr:nvCxnSpPr>
      <xdr:spPr>
        <a:xfrm>
          <a:off x="4026694" y="267890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6</xdr:row>
      <xdr:rowOff>203994</xdr:rowOff>
    </xdr:from>
    <xdr:to>
      <xdr:col>10</xdr:col>
      <xdr:colOff>237331</xdr:colOff>
      <xdr:row>7</xdr:row>
      <xdr:rowOff>203993</xdr:rowOff>
    </xdr:to>
    <xdr:cxnSp macro="">
      <xdr:nvCxnSpPr>
        <xdr:cNvPr id="1268" name="Match19">
          <a:extLst>
            <a:ext uri="{FF2B5EF4-FFF2-40B4-BE49-F238E27FC236}">
              <a16:creationId xmlns:a16="http://schemas.microsoft.com/office/drawing/2014/main" id="{3C41CDB2-F93F-49F7-3DF7-5492C35D6746}"/>
            </a:ext>
          </a:extLst>
        </xdr:cNvPr>
        <xdr:cNvCxnSpPr/>
      </xdr:nvCxnSpPr>
      <xdr:spPr>
        <a:xfrm flipV="1">
          <a:off x="4052094" y="234711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6</xdr:row>
      <xdr:rowOff>178594</xdr:rowOff>
    </xdr:from>
    <xdr:to>
      <xdr:col>11</xdr:col>
      <xdr:colOff>211931</xdr:colOff>
      <xdr:row>7</xdr:row>
      <xdr:rowOff>178593</xdr:rowOff>
    </xdr:to>
    <xdr:cxnSp macro="">
      <xdr:nvCxnSpPr>
        <xdr:cNvPr id="1269" name="Match20">
          <a:extLst>
            <a:ext uri="{FF2B5EF4-FFF2-40B4-BE49-F238E27FC236}">
              <a16:creationId xmlns:a16="http://schemas.microsoft.com/office/drawing/2014/main" id="{E5A425E1-7274-3932-D7D6-8F366C2D75F3}"/>
            </a:ext>
          </a:extLst>
        </xdr:cNvPr>
        <xdr:cNvCxnSpPr/>
      </xdr:nvCxnSpPr>
      <xdr:spPr>
        <a:xfrm flipH="1" flipV="1">
          <a:off x="4450556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7</xdr:row>
      <xdr:rowOff>178593</xdr:rowOff>
    </xdr:from>
    <xdr:to>
      <xdr:col>6</xdr:col>
      <xdr:colOff>211931</xdr:colOff>
      <xdr:row>8</xdr:row>
      <xdr:rowOff>178594</xdr:rowOff>
    </xdr:to>
    <xdr:cxnSp macro="">
      <xdr:nvCxnSpPr>
        <xdr:cNvPr id="1270" name="Match21">
          <a:extLst>
            <a:ext uri="{FF2B5EF4-FFF2-40B4-BE49-F238E27FC236}">
              <a16:creationId xmlns:a16="http://schemas.microsoft.com/office/drawing/2014/main" id="{836AF7EA-90B3-532C-0B4A-6A99E19025DF}"/>
            </a:ext>
          </a:extLst>
        </xdr:cNvPr>
        <xdr:cNvCxnSpPr/>
      </xdr:nvCxnSpPr>
      <xdr:spPr>
        <a:xfrm flipH="1" flipV="1">
          <a:off x="2331244" y="2678906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8</xdr:row>
      <xdr:rowOff>178594</xdr:rowOff>
    </xdr:from>
    <xdr:to>
      <xdr:col>10</xdr:col>
      <xdr:colOff>211931</xdr:colOff>
      <xdr:row>8</xdr:row>
      <xdr:rowOff>178594</xdr:rowOff>
    </xdr:to>
    <xdr:cxnSp macro="">
      <xdr:nvCxnSpPr>
        <xdr:cNvPr id="1271" name="Match22">
          <a:extLst>
            <a:ext uri="{FF2B5EF4-FFF2-40B4-BE49-F238E27FC236}">
              <a16:creationId xmlns:a16="http://schemas.microsoft.com/office/drawing/2014/main" id="{7D3DEB43-37E0-FAFA-3926-E5BAB1680611}"/>
            </a:ext>
          </a:extLst>
        </xdr:cNvPr>
        <xdr:cNvCxnSpPr/>
      </xdr:nvCxnSpPr>
      <xdr:spPr>
        <a:xfrm flipH="1">
          <a:off x="402669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7</xdr:col>
      <xdr:colOff>211931</xdr:colOff>
      <xdr:row>10</xdr:row>
      <xdr:rowOff>178594</xdr:rowOff>
    </xdr:to>
    <xdr:cxnSp macro="">
      <xdr:nvCxnSpPr>
        <xdr:cNvPr id="1272" name="Match23">
          <a:extLst>
            <a:ext uri="{FF2B5EF4-FFF2-40B4-BE49-F238E27FC236}">
              <a16:creationId xmlns:a16="http://schemas.microsoft.com/office/drawing/2014/main" id="{EB13E4A6-7D60-A447-C84C-23DA1F38148F}"/>
            </a:ext>
          </a:extLst>
        </xdr:cNvPr>
        <xdr:cNvCxnSpPr/>
      </xdr:nvCxnSpPr>
      <xdr:spPr>
        <a:xfrm>
          <a:off x="2755106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9</xdr:row>
      <xdr:rowOff>203993</xdr:rowOff>
    </xdr:from>
    <xdr:to>
      <xdr:col>6</xdr:col>
      <xdr:colOff>237331</xdr:colOff>
      <xdr:row>10</xdr:row>
      <xdr:rowOff>203994</xdr:rowOff>
    </xdr:to>
    <xdr:cxnSp macro="">
      <xdr:nvCxnSpPr>
        <xdr:cNvPr id="1273" name="Match24">
          <a:extLst>
            <a:ext uri="{FF2B5EF4-FFF2-40B4-BE49-F238E27FC236}">
              <a16:creationId xmlns:a16="http://schemas.microsoft.com/office/drawing/2014/main" id="{3F5F6CDE-B6E9-5F70-B2AA-65D86274C8C5}"/>
            </a:ext>
          </a:extLst>
        </xdr:cNvPr>
        <xdr:cNvCxnSpPr/>
      </xdr:nvCxnSpPr>
      <xdr:spPr>
        <a:xfrm>
          <a:off x="2780506" y="34186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9</xdr:row>
      <xdr:rowOff>178593</xdr:rowOff>
    </xdr:from>
    <xdr:to>
      <xdr:col>8</xdr:col>
      <xdr:colOff>211931</xdr:colOff>
      <xdr:row>10</xdr:row>
      <xdr:rowOff>178594</xdr:rowOff>
    </xdr:to>
    <xdr:cxnSp macro="">
      <xdr:nvCxnSpPr>
        <xdr:cNvPr id="1274" name="Match25">
          <a:extLst>
            <a:ext uri="{FF2B5EF4-FFF2-40B4-BE49-F238E27FC236}">
              <a16:creationId xmlns:a16="http://schemas.microsoft.com/office/drawing/2014/main" id="{DC87522B-F545-D3C0-E360-FE6E690D557A}"/>
            </a:ext>
          </a:extLst>
        </xdr:cNvPr>
        <xdr:cNvCxnSpPr/>
      </xdr:nvCxnSpPr>
      <xdr:spPr>
        <a:xfrm flipH="1">
          <a:off x="3178969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9</xdr:col>
      <xdr:colOff>237331</xdr:colOff>
      <xdr:row>9</xdr:row>
      <xdr:rowOff>203993</xdr:rowOff>
    </xdr:to>
    <xdr:cxnSp macro="">
      <xdr:nvCxnSpPr>
        <xdr:cNvPr id="1275" name="Match26">
          <a:extLst>
            <a:ext uri="{FF2B5EF4-FFF2-40B4-BE49-F238E27FC236}">
              <a16:creationId xmlns:a16="http://schemas.microsoft.com/office/drawing/2014/main" id="{550EE3EC-1B84-3407-F569-A0D9F567C3FF}"/>
            </a:ext>
          </a:extLst>
        </xdr:cNvPr>
        <xdr:cNvCxnSpPr/>
      </xdr:nvCxnSpPr>
      <xdr:spPr>
        <a:xfrm flipV="1">
          <a:off x="3628231" y="3061494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11</xdr:row>
      <xdr:rowOff>178593</xdr:rowOff>
    </xdr:from>
    <xdr:to>
      <xdr:col>8</xdr:col>
      <xdr:colOff>211931</xdr:colOff>
      <xdr:row>11</xdr:row>
      <xdr:rowOff>178593</xdr:rowOff>
    </xdr:to>
    <xdr:cxnSp macro="">
      <xdr:nvCxnSpPr>
        <xdr:cNvPr id="1276" name="Match27">
          <a:extLst>
            <a:ext uri="{FF2B5EF4-FFF2-40B4-BE49-F238E27FC236}">
              <a16:creationId xmlns:a16="http://schemas.microsoft.com/office/drawing/2014/main" id="{9D6CC2F3-E502-B274-7926-6C54C934730D}"/>
            </a:ext>
          </a:extLst>
        </xdr:cNvPr>
        <xdr:cNvCxnSpPr/>
      </xdr:nvCxnSpPr>
      <xdr:spPr>
        <a:xfrm flipH="1">
          <a:off x="3178969" y="41076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10</xdr:row>
      <xdr:rowOff>203994</xdr:rowOff>
    </xdr:from>
    <xdr:to>
      <xdr:col>8</xdr:col>
      <xdr:colOff>237331</xdr:colOff>
      <xdr:row>11</xdr:row>
      <xdr:rowOff>203993</xdr:rowOff>
    </xdr:to>
    <xdr:cxnSp macro="">
      <xdr:nvCxnSpPr>
        <xdr:cNvPr id="1277" name="Match28">
          <a:extLst>
            <a:ext uri="{FF2B5EF4-FFF2-40B4-BE49-F238E27FC236}">
              <a16:creationId xmlns:a16="http://schemas.microsoft.com/office/drawing/2014/main" id="{2DC1A883-C319-7C16-CF97-9FD3F1FCC545}"/>
            </a:ext>
          </a:extLst>
        </xdr:cNvPr>
        <xdr:cNvCxnSpPr/>
      </xdr:nvCxnSpPr>
      <xdr:spPr>
        <a:xfrm flipH="1" flipV="1">
          <a:off x="3204369" y="37758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11</xdr:col>
      <xdr:colOff>211931</xdr:colOff>
      <xdr:row>10</xdr:row>
      <xdr:rowOff>178594</xdr:rowOff>
    </xdr:to>
    <xdr:cxnSp macro="">
      <xdr:nvCxnSpPr>
        <xdr:cNvPr id="1278" name="Match29">
          <a:extLst>
            <a:ext uri="{FF2B5EF4-FFF2-40B4-BE49-F238E27FC236}">
              <a16:creationId xmlns:a16="http://schemas.microsoft.com/office/drawing/2014/main" id="{C73FB752-06B0-793C-2EEC-46446EA727F3}"/>
            </a:ext>
          </a:extLst>
        </xdr:cNvPr>
        <xdr:cNvCxnSpPr/>
      </xdr:nvCxnSpPr>
      <xdr:spPr>
        <a:xfrm>
          <a:off x="3178969" y="3750469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0</xdr:row>
      <xdr:rowOff>178594</xdr:rowOff>
    </xdr:from>
    <xdr:to>
      <xdr:col>6</xdr:col>
      <xdr:colOff>211931</xdr:colOff>
      <xdr:row>0</xdr:row>
      <xdr:rowOff>178594</xdr:rowOff>
    </xdr:to>
    <xdr:cxnSp macro="">
      <xdr:nvCxnSpPr>
        <xdr:cNvPr id="1279" name="Match30">
          <a:extLst>
            <a:ext uri="{FF2B5EF4-FFF2-40B4-BE49-F238E27FC236}">
              <a16:creationId xmlns:a16="http://schemas.microsoft.com/office/drawing/2014/main" id="{B546BA35-E56A-6337-B572-7B854008452F}"/>
            </a:ext>
          </a:extLst>
        </xdr:cNvPr>
        <xdr:cNvCxnSpPr/>
      </xdr:nvCxnSpPr>
      <xdr:spPr>
        <a:xfrm>
          <a:off x="211931" y="178594"/>
          <a:ext cx="2543175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280" name="Match31">
          <a:extLst>
            <a:ext uri="{FF2B5EF4-FFF2-40B4-BE49-F238E27FC236}">
              <a16:creationId xmlns:a16="http://schemas.microsoft.com/office/drawing/2014/main" id="{0505F86B-F3C2-D9C8-C0A5-839275CE10BD}"/>
            </a:ext>
          </a:extLst>
        </xdr:cNvPr>
        <xdr:cNvCxnSpPr/>
      </xdr:nvCxnSpPr>
      <xdr:spPr>
        <a:xfrm>
          <a:off x="3602831" y="17859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</xdr:row>
      <xdr:rowOff>178593</xdr:rowOff>
    </xdr:from>
    <xdr:to>
      <xdr:col>1</xdr:col>
      <xdr:colOff>211931</xdr:colOff>
      <xdr:row>2</xdr:row>
      <xdr:rowOff>178594</xdr:rowOff>
    </xdr:to>
    <xdr:cxnSp macro="">
      <xdr:nvCxnSpPr>
        <xdr:cNvPr id="1281" name="Match32">
          <a:extLst>
            <a:ext uri="{FF2B5EF4-FFF2-40B4-BE49-F238E27FC236}">
              <a16:creationId xmlns:a16="http://schemas.microsoft.com/office/drawing/2014/main" id="{92362D3B-AD65-4A48-D929-8C05E62483B9}"/>
            </a:ext>
          </a:extLst>
        </xdr:cNvPr>
        <xdr:cNvCxnSpPr/>
      </xdr:nvCxnSpPr>
      <xdr:spPr>
        <a:xfrm>
          <a:off x="2119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1</xdr:col>
      <xdr:colOff>211931</xdr:colOff>
      <xdr:row>2</xdr:row>
      <xdr:rowOff>178594</xdr:rowOff>
    </xdr:to>
    <xdr:cxnSp macro="">
      <xdr:nvCxnSpPr>
        <xdr:cNvPr id="1282" name="Match33">
          <a:extLst>
            <a:ext uri="{FF2B5EF4-FFF2-40B4-BE49-F238E27FC236}">
              <a16:creationId xmlns:a16="http://schemas.microsoft.com/office/drawing/2014/main" id="{E92BDB6A-F469-B1B6-4B50-640E79740F8A}"/>
            </a:ext>
          </a:extLst>
        </xdr:cNvPr>
        <xdr:cNvCxnSpPr/>
      </xdr:nvCxnSpPr>
      <xdr:spPr>
        <a:xfrm>
          <a:off x="211931" y="892969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3</xdr:row>
      <xdr:rowOff>178593</xdr:rowOff>
    </xdr:from>
    <xdr:to>
      <xdr:col>0</xdr:col>
      <xdr:colOff>211931</xdr:colOff>
      <xdr:row>4</xdr:row>
      <xdr:rowOff>178594</xdr:rowOff>
    </xdr:to>
    <xdr:cxnSp macro="">
      <xdr:nvCxnSpPr>
        <xdr:cNvPr id="1283" name="Match34">
          <a:extLst>
            <a:ext uri="{FF2B5EF4-FFF2-40B4-BE49-F238E27FC236}">
              <a16:creationId xmlns:a16="http://schemas.microsoft.com/office/drawing/2014/main" id="{307ACA79-5C69-83F1-9B8E-7AB5DD6CE4D6}"/>
            </a:ext>
          </a:extLst>
        </xdr:cNvPr>
        <xdr:cNvCxnSpPr/>
      </xdr:nvCxnSpPr>
      <xdr:spPr>
        <a:xfrm>
          <a:off x="211931" y="1250156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3</xdr:row>
      <xdr:rowOff>203993</xdr:rowOff>
    </xdr:to>
    <xdr:cxnSp macro="">
      <xdr:nvCxnSpPr>
        <xdr:cNvPr id="1284" name="Match35">
          <a:extLst>
            <a:ext uri="{FF2B5EF4-FFF2-40B4-BE49-F238E27FC236}">
              <a16:creationId xmlns:a16="http://schemas.microsoft.com/office/drawing/2014/main" id="{9E75D43A-5854-AA9D-444A-B345E02A9A60}"/>
            </a:ext>
          </a:extLst>
        </xdr:cNvPr>
        <xdr:cNvCxnSpPr/>
      </xdr:nvCxnSpPr>
      <xdr:spPr>
        <a:xfrm flipV="1">
          <a:off x="237331" y="9183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5</xdr:col>
      <xdr:colOff>211931</xdr:colOff>
      <xdr:row>5</xdr:row>
      <xdr:rowOff>178593</xdr:rowOff>
    </xdr:to>
    <xdr:cxnSp macro="">
      <xdr:nvCxnSpPr>
        <xdr:cNvPr id="1285" name="Match36">
          <a:extLst>
            <a:ext uri="{FF2B5EF4-FFF2-40B4-BE49-F238E27FC236}">
              <a16:creationId xmlns:a16="http://schemas.microsoft.com/office/drawing/2014/main" id="{4DC6ADF3-B1C1-9C46-63AD-6A05C9AAA8B9}"/>
            </a:ext>
          </a:extLst>
        </xdr:cNvPr>
        <xdr:cNvCxnSpPr/>
      </xdr:nvCxnSpPr>
      <xdr:spPr>
        <a:xfrm>
          <a:off x="1907381" y="1607344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4</xdr:row>
      <xdr:rowOff>203994</xdr:rowOff>
    </xdr:from>
    <xdr:to>
      <xdr:col>4</xdr:col>
      <xdr:colOff>237331</xdr:colOff>
      <xdr:row>5</xdr:row>
      <xdr:rowOff>203993</xdr:rowOff>
    </xdr:to>
    <xdr:cxnSp macro="">
      <xdr:nvCxnSpPr>
        <xdr:cNvPr id="1286" name="Match37">
          <a:extLst>
            <a:ext uri="{FF2B5EF4-FFF2-40B4-BE49-F238E27FC236}">
              <a16:creationId xmlns:a16="http://schemas.microsoft.com/office/drawing/2014/main" id="{9CB8E986-D71D-CE45-8A5F-ED6BC429A3D5}"/>
            </a:ext>
          </a:extLst>
        </xdr:cNvPr>
        <xdr:cNvCxnSpPr/>
      </xdr:nvCxnSpPr>
      <xdr:spPr>
        <a:xfrm>
          <a:off x="1932781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262731</xdr:colOff>
      <xdr:row>3</xdr:row>
      <xdr:rowOff>229393</xdr:rowOff>
    </xdr:from>
    <xdr:to>
      <xdr:col>4</xdr:col>
      <xdr:colOff>262731</xdr:colOff>
      <xdr:row>4</xdr:row>
      <xdr:rowOff>229394</xdr:rowOff>
    </xdr:to>
    <xdr:cxnSp macro="">
      <xdr:nvCxnSpPr>
        <xdr:cNvPr id="1287" name="Match38">
          <a:extLst>
            <a:ext uri="{FF2B5EF4-FFF2-40B4-BE49-F238E27FC236}">
              <a16:creationId xmlns:a16="http://schemas.microsoft.com/office/drawing/2014/main" id="{920D99E2-344A-A0CF-AFE0-64B28236FF53}"/>
            </a:ext>
          </a:extLst>
        </xdr:cNvPr>
        <xdr:cNvCxnSpPr/>
      </xdr:nvCxnSpPr>
      <xdr:spPr>
        <a:xfrm flipH="1" flipV="1">
          <a:off x="1534319" y="1300956"/>
          <a:ext cx="423862" cy="357188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288" name="Match39">
          <a:extLst>
            <a:ext uri="{FF2B5EF4-FFF2-40B4-BE49-F238E27FC236}">
              <a16:creationId xmlns:a16="http://schemas.microsoft.com/office/drawing/2014/main" id="{5B58009F-3614-12C0-546B-A7FDF102AD0B}"/>
            </a:ext>
          </a:extLst>
        </xdr:cNvPr>
        <xdr:cNvCxnSpPr/>
      </xdr:nvCxnSpPr>
      <xdr:spPr>
        <a:xfrm flipV="1">
          <a:off x="1483519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6</xdr:row>
      <xdr:rowOff>178594</xdr:rowOff>
    </xdr:from>
    <xdr:to>
      <xdr:col>4</xdr:col>
      <xdr:colOff>211931</xdr:colOff>
      <xdr:row>7</xdr:row>
      <xdr:rowOff>178593</xdr:rowOff>
    </xdr:to>
    <xdr:cxnSp macro="">
      <xdr:nvCxnSpPr>
        <xdr:cNvPr id="1289" name="Match40">
          <a:extLst>
            <a:ext uri="{FF2B5EF4-FFF2-40B4-BE49-F238E27FC236}">
              <a16:creationId xmlns:a16="http://schemas.microsoft.com/office/drawing/2014/main" id="{ED89936F-B655-ACDE-8BD3-130FD765BEB3}"/>
            </a:ext>
          </a:extLst>
        </xdr:cNvPr>
        <xdr:cNvCxnSpPr/>
      </xdr:nvCxnSpPr>
      <xdr:spPr>
        <a:xfrm flipV="1">
          <a:off x="1907381" y="232171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7</xdr:row>
      <xdr:rowOff>178593</xdr:rowOff>
    </xdr:from>
    <xdr:to>
      <xdr:col>7</xdr:col>
      <xdr:colOff>211931</xdr:colOff>
      <xdr:row>7</xdr:row>
      <xdr:rowOff>178593</xdr:rowOff>
    </xdr:to>
    <xdr:cxnSp macro="">
      <xdr:nvCxnSpPr>
        <xdr:cNvPr id="1290" name="Match41">
          <a:extLst>
            <a:ext uri="{FF2B5EF4-FFF2-40B4-BE49-F238E27FC236}">
              <a16:creationId xmlns:a16="http://schemas.microsoft.com/office/drawing/2014/main" id="{9A34BDF7-FDBF-6D3D-C1D8-5D72582CB5CC}"/>
            </a:ext>
          </a:extLst>
        </xdr:cNvPr>
        <xdr:cNvCxnSpPr/>
      </xdr:nvCxnSpPr>
      <xdr:spPr>
        <a:xfrm>
          <a:off x="2755106" y="267890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7</xdr:row>
      <xdr:rowOff>203993</xdr:rowOff>
    </xdr:from>
    <xdr:to>
      <xdr:col>6</xdr:col>
      <xdr:colOff>237331</xdr:colOff>
      <xdr:row>8</xdr:row>
      <xdr:rowOff>203994</xdr:rowOff>
    </xdr:to>
    <xdr:cxnSp macro="">
      <xdr:nvCxnSpPr>
        <xdr:cNvPr id="1291" name="Match42">
          <a:extLst>
            <a:ext uri="{FF2B5EF4-FFF2-40B4-BE49-F238E27FC236}">
              <a16:creationId xmlns:a16="http://schemas.microsoft.com/office/drawing/2014/main" id="{2C34BEE1-065E-6B81-5CFF-486A7BB717C1}"/>
            </a:ext>
          </a:extLst>
        </xdr:cNvPr>
        <xdr:cNvCxnSpPr/>
      </xdr:nvCxnSpPr>
      <xdr:spPr>
        <a:xfrm>
          <a:off x="2780506" y="2704306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262731</xdr:colOff>
      <xdr:row>6</xdr:row>
      <xdr:rowOff>229394</xdr:rowOff>
    </xdr:from>
    <xdr:to>
      <xdr:col>6</xdr:col>
      <xdr:colOff>262731</xdr:colOff>
      <xdr:row>7</xdr:row>
      <xdr:rowOff>229393</xdr:rowOff>
    </xdr:to>
    <xdr:cxnSp macro="">
      <xdr:nvCxnSpPr>
        <xdr:cNvPr id="1292" name="Match43">
          <a:extLst>
            <a:ext uri="{FF2B5EF4-FFF2-40B4-BE49-F238E27FC236}">
              <a16:creationId xmlns:a16="http://schemas.microsoft.com/office/drawing/2014/main" id="{C28397B8-7A76-8297-AF4D-C125F8802115}"/>
            </a:ext>
          </a:extLst>
        </xdr:cNvPr>
        <xdr:cNvCxnSpPr/>
      </xdr:nvCxnSpPr>
      <xdr:spPr>
        <a:xfrm flipV="1">
          <a:off x="2805906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288131</xdr:colOff>
      <xdr:row>6</xdr:row>
      <xdr:rowOff>254794</xdr:rowOff>
    </xdr:from>
    <xdr:to>
      <xdr:col>7</xdr:col>
      <xdr:colOff>288131</xdr:colOff>
      <xdr:row>7</xdr:row>
      <xdr:rowOff>254793</xdr:rowOff>
    </xdr:to>
    <xdr:cxnSp macro="">
      <xdr:nvCxnSpPr>
        <xdr:cNvPr id="1293" name="Match44">
          <a:extLst>
            <a:ext uri="{FF2B5EF4-FFF2-40B4-BE49-F238E27FC236}">
              <a16:creationId xmlns:a16="http://schemas.microsoft.com/office/drawing/2014/main" id="{308282EE-14FA-FE8C-3AD3-8D5CD74F61ED}"/>
            </a:ext>
          </a:extLst>
        </xdr:cNvPr>
        <xdr:cNvCxnSpPr/>
      </xdr:nvCxnSpPr>
      <xdr:spPr>
        <a:xfrm flipV="1">
          <a:off x="2831306" y="2397919"/>
          <a:ext cx="423863" cy="357187"/>
        </a:xfrm>
        <a:prstGeom prst="line">
          <a:avLst/>
        </a:prstGeom>
        <a:ln w="25400">
          <a:solidFill>
            <a:srgbClr val="C382B4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8</xdr:row>
      <xdr:rowOff>178594</xdr:rowOff>
    </xdr:from>
    <xdr:to>
      <xdr:col>6</xdr:col>
      <xdr:colOff>211931</xdr:colOff>
      <xdr:row>8</xdr:row>
      <xdr:rowOff>178594</xdr:rowOff>
    </xdr:to>
    <xdr:cxnSp macro="">
      <xdr:nvCxnSpPr>
        <xdr:cNvPr id="1294" name="Match45">
          <a:extLst>
            <a:ext uri="{FF2B5EF4-FFF2-40B4-BE49-F238E27FC236}">
              <a16:creationId xmlns:a16="http://schemas.microsoft.com/office/drawing/2014/main" id="{4F89C698-D2FA-2B01-1D6D-D04D05F065EA}"/>
            </a:ext>
          </a:extLst>
        </xdr:cNvPr>
        <xdr:cNvCxnSpPr/>
      </xdr:nvCxnSpPr>
      <xdr:spPr>
        <a:xfrm>
          <a:off x="2331244" y="3036094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6</xdr:col>
      <xdr:colOff>237331</xdr:colOff>
      <xdr:row>9</xdr:row>
      <xdr:rowOff>203993</xdr:rowOff>
    </xdr:to>
    <xdr:cxnSp macro="">
      <xdr:nvCxnSpPr>
        <xdr:cNvPr id="1295" name="Match46">
          <a:extLst>
            <a:ext uri="{FF2B5EF4-FFF2-40B4-BE49-F238E27FC236}">
              <a16:creationId xmlns:a16="http://schemas.microsoft.com/office/drawing/2014/main" id="{4E5A1261-D27D-3FD7-091A-9DD6BCD2AA26}"/>
            </a:ext>
          </a:extLst>
        </xdr:cNvPr>
        <xdr:cNvCxnSpPr/>
      </xdr:nvCxnSpPr>
      <xdr:spPr>
        <a:xfrm>
          <a:off x="2356644" y="3061494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1296" name="Match47">
          <a:extLst>
            <a:ext uri="{FF2B5EF4-FFF2-40B4-BE49-F238E27FC236}">
              <a16:creationId xmlns:a16="http://schemas.microsoft.com/office/drawing/2014/main" id="{65EB355B-7ACA-6869-64B1-3A8E972D9A9D}"/>
            </a:ext>
          </a:extLst>
        </xdr:cNvPr>
        <xdr:cNvCxnSpPr/>
      </xdr:nvCxnSpPr>
      <xdr:spPr>
        <a:xfrm>
          <a:off x="4450556" y="33932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237331</xdr:colOff>
      <xdr:row>8</xdr:row>
      <xdr:rowOff>203994</xdr:rowOff>
    </xdr:from>
    <xdr:to>
      <xdr:col>10</xdr:col>
      <xdr:colOff>237331</xdr:colOff>
      <xdr:row>9</xdr:row>
      <xdr:rowOff>203993</xdr:rowOff>
    </xdr:to>
    <xdr:cxnSp macro="">
      <xdr:nvCxnSpPr>
        <xdr:cNvPr id="1297" name="Match48">
          <a:extLst>
            <a:ext uri="{FF2B5EF4-FFF2-40B4-BE49-F238E27FC236}">
              <a16:creationId xmlns:a16="http://schemas.microsoft.com/office/drawing/2014/main" id="{9BF2A9F7-DB43-1F0E-08C5-29BA914AED68}"/>
            </a:ext>
          </a:extLst>
        </xdr:cNvPr>
        <xdr:cNvCxnSpPr/>
      </xdr:nvCxnSpPr>
      <xdr:spPr>
        <a:xfrm flipV="1">
          <a:off x="4475956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1298" name="Match49">
          <a:extLst>
            <a:ext uri="{FF2B5EF4-FFF2-40B4-BE49-F238E27FC236}">
              <a16:creationId xmlns:a16="http://schemas.microsoft.com/office/drawing/2014/main" id="{8E9B068B-FF7B-4504-81D8-F55E08133217}"/>
            </a:ext>
          </a:extLst>
        </xdr:cNvPr>
        <xdr:cNvCxnSpPr/>
      </xdr:nvCxnSpPr>
      <xdr:spPr>
        <a:xfrm>
          <a:off x="1483519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4</xdr:col>
      <xdr:colOff>211931</xdr:colOff>
      <xdr:row>2</xdr:row>
      <xdr:rowOff>178594</xdr:rowOff>
    </xdr:to>
    <xdr:cxnSp macro="">
      <xdr:nvCxnSpPr>
        <xdr:cNvPr id="1299" name="Match50">
          <a:extLst>
            <a:ext uri="{FF2B5EF4-FFF2-40B4-BE49-F238E27FC236}">
              <a16:creationId xmlns:a16="http://schemas.microsoft.com/office/drawing/2014/main" id="{24B800D3-8A66-9002-2A33-2A02D72C5EBA}"/>
            </a:ext>
          </a:extLst>
        </xdr:cNvPr>
        <xdr:cNvCxnSpPr/>
      </xdr:nvCxnSpPr>
      <xdr:spPr>
        <a:xfrm>
          <a:off x="1907381" y="53578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1</xdr:row>
      <xdr:rowOff>178593</xdr:rowOff>
    </xdr:from>
    <xdr:to>
      <xdr:col>5</xdr:col>
      <xdr:colOff>211931</xdr:colOff>
      <xdr:row>2</xdr:row>
      <xdr:rowOff>178594</xdr:rowOff>
    </xdr:to>
    <xdr:cxnSp macro="">
      <xdr:nvCxnSpPr>
        <xdr:cNvPr id="1300" name="Match51">
          <a:extLst>
            <a:ext uri="{FF2B5EF4-FFF2-40B4-BE49-F238E27FC236}">
              <a16:creationId xmlns:a16="http://schemas.microsoft.com/office/drawing/2014/main" id="{643B33DD-0058-E77C-715A-FCFC20F6766E}"/>
            </a:ext>
          </a:extLst>
        </xdr:cNvPr>
        <xdr:cNvCxnSpPr/>
      </xdr:nvCxnSpPr>
      <xdr:spPr>
        <a:xfrm flipH="1">
          <a:off x="190738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301" name="Match52">
          <a:extLst>
            <a:ext uri="{FF2B5EF4-FFF2-40B4-BE49-F238E27FC236}">
              <a16:creationId xmlns:a16="http://schemas.microsoft.com/office/drawing/2014/main" id="{0CB6647C-B609-9A90-50B1-E1F11C03F32D}"/>
            </a:ext>
          </a:extLst>
        </xdr:cNvPr>
        <xdr:cNvCxnSpPr/>
      </xdr:nvCxnSpPr>
      <xdr:spPr>
        <a:xfrm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2</xdr:row>
      <xdr:rowOff>203994</xdr:rowOff>
    </xdr:from>
    <xdr:to>
      <xdr:col>8</xdr:col>
      <xdr:colOff>237331</xdr:colOff>
      <xdr:row>3</xdr:row>
      <xdr:rowOff>203993</xdr:rowOff>
    </xdr:to>
    <xdr:cxnSp macro="">
      <xdr:nvCxnSpPr>
        <xdr:cNvPr id="1302" name="Match53">
          <a:extLst>
            <a:ext uri="{FF2B5EF4-FFF2-40B4-BE49-F238E27FC236}">
              <a16:creationId xmlns:a16="http://schemas.microsoft.com/office/drawing/2014/main" id="{7AFD7804-464F-493E-4934-0DA2A3274168}"/>
            </a:ext>
          </a:extLst>
        </xdr:cNvPr>
        <xdr:cNvCxnSpPr/>
      </xdr:nvCxnSpPr>
      <xdr:spPr>
        <a:xfrm flipH="1">
          <a:off x="3204369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3</xdr:row>
      <xdr:rowOff>178593</xdr:rowOff>
    </xdr:from>
    <xdr:to>
      <xdr:col>2</xdr:col>
      <xdr:colOff>211931</xdr:colOff>
      <xdr:row>3</xdr:row>
      <xdr:rowOff>178593</xdr:rowOff>
    </xdr:to>
    <xdr:cxnSp macro="">
      <xdr:nvCxnSpPr>
        <xdr:cNvPr id="1303" name="Match54">
          <a:extLst>
            <a:ext uri="{FF2B5EF4-FFF2-40B4-BE49-F238E27FC236}">
              <a16:creationId xmlns:a16="http://schemas.microsoft.com/office/drawing/2014/main" id="{90D61D4D-14B0-3E29-0ABE-B453FA43DA99}"/>
            </a:ext>
          </a:extLst>
        </xdr:cNvPr>
        <xdr:cNvCxnSpPr/>
      </xdr:nvCxnSpPr>
      <xdr:spPr>
        <a:xfrm flipH="1">
          <a:off x="635794" y="125015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2</xdr:row>
      <xdr:rowOff>178594</xdr:rowOff>
    </xdr:from>
    <xdr:to>
      <xdr:col>4</xdr:col>
      <xdr:colOff>211931</xdr:colOff>
      <xdr:row>3</xdr:row>
      <xdr:rowOff>178593</xdr:rowOff>
    </xdr:to>
    <xdr:cxnSp macro="">
      <xdr:nvCxnSpPr>
        <xdr:cNvPr id="1304" name="Match55">
          <a:extLst>
            <a:ext uri="{FF2B5EF4-FFF2-40B4-BE49-F238E27FC236}">
              <a16:creationId xmlns:a16="http://schemas.microsoft.com/office/drawing/2014/main" id="{BD9E072A-3C49-C3BA-7590-6574D4DB8004}"/>
            </a:ext>
          </a:extLst>
        </xdr:cNvPr>
        <xdr:cNvCxnSpPr/>
      </xdr:nvCxnSpPr>
      <xdr:spPr>
        <a:xfrm flipV="1">
          <a:off x="190738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4</xdr:row>
      <xdr:rowOff>178594</xdr:rowOff>
    </xdr:from>
    <xdr:to>
      <xdr:col>11</xdr:col>
      <xdr:colOff>211931</xdr:colOff>
      <xdr:row>4</xdr:row>
      <xdr:rowOff>178594</xdr:rowOff>
    </xdr:to>
    <xdr:cxnSp macro="">
      <xdr:nvCxnSpPr>
        <xdr:cNvPr id="1305" name="Match56">
          <a:extLst>
            <a:ext uri="{FF2B5EF4-FFF2-40B4-BE49-F238E27FC236}">
              <a16:creationId xmlns:a16="http://schemas.microsoft.com/office/drawing/2014/main" id="{D488D7BF-A9FC-FB46-3055-91CDFA669FE9}"/>
            </a:ext>
          </a:extLst>
        </xdr:cNvPr>
        <xdr:cNvCxnSpPr/>
      </xdr:nvCxnSpPr>
      <xdr:spPr>
        <a:xfrm>
          <a:off x="4450556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3</xdr:row>
      <xdr:rowOff>203993</xdr:rowOff>
    </xdr:from>
    <xdr:to>
      <xdr:col>10</xdr:col>
      <xdr:colOff>237331</xdr:colOff>
      <xdr:row>4</xdr:row>
      <xdr:rowOff>203994</xdr:rowOff>
    </xdr:to>
    <xdr:cxnSp macro="">
      <xdr:nvCxnSpPr>
        <xdr:cNvPr id="1306" name="Match57">
          <a:extLst>
            <a:ext uri="{FF2B5EF4-FFF2-40B4-BE49-F238E27FC236}">
              <a16:creationId xmlns:a16="http://schemas.microsoft.com/office/drawing/2014/main" id="{3F7A6D02-7351-3CCF-4AAD-0DE93150872E}"/>
            </a:ext>
          </a:extLst>
        </xdr:cNvPr>
        <xdr:cNvCxnSpPr/>
      </xdr:nvCxnSpPr>
      <xdr:spPr>
        <a:xfrm flipH="1" flipV="1">
          <a:off x="4052094" y="1275556"/>
          <a:ext cx="423862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11</xdr:row>
      <xdr:rowOff>178593</xdr:rowOff>
    </xdr:to>
    <xdr:cxnSp macro="">
      <xdr:nvCxnSpPr>
        <xdr:cNvPr id="1307" name="Match58">
          <a:extLst>
            <a:ext uri="{FF2B5EF4-FFF2-40B4-BE49-F238E27FC236}">
              <a16:creationId xmlns:a16="http://schemas.microsoft.com/office/drawing/2014/main" id="{82EE4CAB-C321-83E3-CF37-DC325B0F10B8}"/>
            </a:ext>
          </a:extLst>
        </xdr:cNvPr>
        <xdr:cNvCxnSpPr/>
      </xdr:nvCxnSpPr>
      <xdr:spPr>
        <a:xfrm>
          <a:off x="2331244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308" name="Match59">
          <a:extLst>
            <a:ext uri="{FF2B5EF4-FFF2-40B4-BE49-F238E27FC236}">
              <a16:creationId xmlns:a16="http://schemas.microsoft.com/office/drawing/2014/main" id="{21CFCAB5-F3C8-4FDE-514B-34E81A876DAE}"/>
            </a:ext>
          </a:extLst>
        </xdr:cNvPr>
        <xdr:cNvCxnSpPr/>
      </xdr:nvCxnSpPr>
      <xdr:spPr>
        <a:xfrm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10</xdr:row>
      <xdr:rowOff>203994</xdr:rowOff>
    </xdr:from>
    <xdr:to>
      <xdr:col>0</xdr:col>
      <xdr:colOff>237331</xdr:colOff>
      <xdr:row>11</xdr:row>
      <xdr:rowOff>203993</xdr:rowOff>
    </xdr:to>
    <xdr:cxnSp macro="">
      <xdr:nvCxnSpPr>
        <xdr:cNvPr id="1309" name="Match60">
          <a:extLst>
            <a:ext uri="{FF2B5EF4-FFF2-40B4-BE49-F238E27FC236}">
              <a16:creationId xmlns:a16="http://schemas.microsoft.com/office/drawing/2014/main" id="{F8843105-977A-D4A0-07C8-9EABBD24FE56}"/>
            </a:ext>
          </a:extLst>
        </xdr:cNvPr>
        <xdr:cNvCxnSpPr/>
      </xdr:nvCxnSpPr>
      <xdr:spPr>
        <a:xfrm flipV="1">
          <a:off x="237331" y="377586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3</xdr:row>
      <xdr:rowOff>178593</xdr:rowOff>
    </xdr:from>
    <xdr:to>
      <xdr:col>8</xdr:col>
      <xdr:colOff>211931</xdr:colOff>
      <xdr:row>5</xdr:row>
      <xdr:rowOff>178593</xdr:rowOff>
    </xdr:to>
    <xdr:cxnSp macro="">
      <xdr:nvCxnSpPr>
        <xdr:cNvPr id="1310" name="Match61">
          <a:extLst>
            <a:ext uri="{FF2B5EF4-FFF2-40B4-BE49-F238E27FC236}">
              <a16:creationId xmlns:a16="http://schemas.microsoft.com/office/drawing/2014/main" id="{43E9E816-02AB-1910-6AA3-CFD9ABF3CCA2}"/>
            </a:ext>
          </a:extLst>
        </xdr:cNvPr>
        <xdr:cNvCxnSpPr/>
      </xdr:nvCxnSpPr>
      <xdr:spPr>
        <a:xfrm>
          <a:off x="2755106" y="1250156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3</xdr:row>
      <xdr:rowOff>203993</xdr:rowOff>
    </xdr:from>
    <xdr:to>
      <xdr:col>6</xdr:col>
      <xdr:colOff>237331</xdr:colOff>
      <xdr:row>5</xdr:row>
      <xdr:rowOff>203993</xdr:rowOff>
    </xdr:to>
    <xdr:cxnSp macro="">
      <xdr:nvCxnSpPr>
        <xdr:cNvPr id="1311" name="Match62">
          <a:extLst>
            <a:ext uri="{FF2B5EF4-FFF2-40B4-BE49-F238E27FC236}">
              <a16:creationId xmlns:a16="http://schemas.microsoft.com/office/drawing/2014/main" id="{764BD294-D304-FF57-671E-A4E412392F70}"/>
            </a:ext>
          </a:extLst>
        </xdr:cNvPr>
        <xdr:cNvCxnSpPr/>
      </xdr:nvCxnSpPr>
      <xdr:spPr>
        <a:xfrm>
          <a:off x="2780506" y="1275556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4</xdr:row>
      <xdr:rowOff>178594</xdr:rowOff>
    </xdr:from>
    <xdr:to>
      <xdr:col>7</xdr:col>
      <xdr:colOff>211931</xdr:colOff>
      <xdr:row>6</xdr:row>
      <xdr:rowOff>178594</xdr:rowOff>
    </xdr:to>
    <xdr:cxnSp macro="">
      <xdr:nvCxnSpPr>
        <xdr:cNvPr id="1312" name="Match63">
          <a:extLst>
            <a:ext uri="{FF2B5EF4-FFF2-40B4-BE49-F238E27FC236}">
              <a16:creationId xmlns:a16="http://schemas.microsoft.com/office/drawing/2014/main" id="{4F9B890F-C3ED-FE70-732E-8BF20BFB83C8}"/>
            </a:ext>
          </a:extLst>
        </xdr:cNvPr>
        <xdr:cNvCxnSpPr/>
      </xdr:nvCxnSpPr>
      <xdr:spPr>
        <a:xfrm flipV="1">
          <a:off x="2331244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0</xdr:row>
      <xdr:rowOff>178594</xdr:rowOff>
    </xdr:from>
    <xdr:to>
      <xdr:col>11</xdr:col>
      <xdr:colOff>211931</xdr:colOff>
      <xdr:row>5</xdr:row>
      <xdr:rowOff>178593</xdr:rowOff>
    </xdr:to>
    <xdr:cxnSp macro="">
      <xdr:nvCxnSpPr>
        <xdr:cNvPr id="1313" name="Match64">
          <a:extLst>
            <a:ext uri="{FF2B5EF4-FFF2-40B4-BE49-F238E27FC236}">
              <a16:creationId xmlns:a16="http://schemas.microsoft.com/office/drawing/2014/main" id="{ECA0B9BA-8AA9-15F4-D888-5E7337D999A3}"/>
            </a:ext>
          </a:extLst>
        </xdr:cNvPr>
        <xdr:cNvCxnSpPr/>
      </xdr:nvCxnSpPr>
      <xdr:spPr>
        <a:xfrm flipV="1">
          <a:off x="4874419" y="178594"/>
          <a:ext cx="0" cy="178593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314" name="Match65">
          <a:extLst>
            <a:ext uri="{FF2B5EF4-FFF2-40B4-BE49-F238E27FC236}">
              <a16:creationId xmlns:a16="http://schemas.microsoft.com/office/drawing/2014/main" id="{8ED5EA04-ABA1-4FE1-EFF2-C4735CDFB6D4}"/>
            </a:ext>
          </a:extLst>
        </xdr:cNvPr>
        <xdr:cNvCxnSpPr/>
      </xdr:nvCxnSpPr>
      <xdr:spPr>
        <a:xfrm flipV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2</xdr:row>
      <xdr:rowOff>203994</xdr:rowOff>
    </xdr:from>
    <xdr:to>
      <xdr:col>7</xdr:col>
      <xdr:colOff>237331</xdr:colOff>
      <xdr:row>2</xdr:row>
      <xdr:rowOff>203994</xdr:rowOff>
    </xdr:to>
    <xdr:cxnSp macro="">
      <xdr:nvCxnSpPr>
        <xdr:cNvPr id="1315" name="Match66">
          <a:extLst>
            <a:ext uri="{FF2B5EF4-FFF2-40B4-BE49-F238E27FC236}">
              <a16:creationId xmlns:a16="http://schemas.microsoft.com/office/drawing/2014/main" id="{83E5EA8E-74AA-A1DA-0343-0DBE93E63B2B}"/>
            </a:ext>
          </a:extLst>
        </xdr:cNvPr>
        <xdr:cNvCxnSpPr/>
      </xdr:nvCxnSpPr>
      <xdr:spPr>
        <a:xfrm flipH="1">
          <a:off x="2780506" y="9183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3</xdr:row>
      <xdr:rowOff>178593</xdr:rowOff>
    </xdr:from>
    <xdr:to>
      <xdr:col>3</xdr:col>
      <xdr:colOff>211931</xdr:colOff>
      <xdr:row>4</xdr:row>
      <xdr:rowOff>178594</xdr:rowOff>
    </xdr:to>
    <xdr:cxnSp macro="">
      <xdr:nvCxnSpPr>
        <xdr:cNvPr id="1316" name="Match67">
          <a:extLst>
            <a:ext uri="{FF2B5EF4-FFF2-40B4-BE49-F238E27FC236}">
              <a16:creationId xmlns:a16="http://schemas.microsoft.com/office/drawing/2014/main" id="{FEE917AA-68F5-DDFD-F6A2-9DC5CBE8F423}"/>
            </a:ext>
          </a:extLst>
        </xdr:cNvPr>
        <xdr:cNvCxnSpPr/>
      </xdr:nvCxnSpPr>
      <xdr:spPr>
        <a:xfrm flipH="1">
          <a:off x="1059656" y="125015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4</xdr:row>
      <xdr:rowOff>178594</xdr:rowOff>
    </xdr:from>
    <xdr:to>
      <xdr:col>1</xdr:col>
      <xdr:colOff>211931</xdr:colOff>
      <xdr:row>4</xdr:row>
      <xdr:rowOff>178594</xdr:rowOff>
    </xdr:to>
    <xdr:cxnSp macro="">
      <xdr:nvCxnSpPr>
        <xdr:cNvPr id="1317" name="Match68">
          <a:extLst>
            <a:ext uri="{FF2B5EF4-FFF2-40B4-BE49-F238E27FC236}">
              <a16:creationId xmlns:a16="http://schemas.microsoft.com/office/drawing/2014/main" id="{C7B06FAA-7AFB-85A5-1AD3-8DE7A9561DB0}"/>
            </a:ext>
          </a:extLst>
        </xdr:cNvPr>
        <xdr:cNvCxnSpPr/>
      </xdr:nvCxnSpPr>
      <xdr:spPr>
        <a:xfrm>
          <a:off x="211931" y="160734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5</xdr:row>
      <xdr:rowOff>178593</xdr:rowOff>
    </xdr:from>
    <xdr:to>
      <xdr:col>4</xdr:col>
      <xdr:colOff>211931</xdr:colOff>
      <xdr:row>6</xdr:row>
      <xdr:rowOff>178594</xdr:rowOff>
    </xdr:to>
    <xdr:cxnSp macro="">
      <xdr:nvCxnSpPr>
        <xdr:cNvPr id="1318" name="Match69">
          <a:extLst>
            <a:ext uri="{FF2B5EF4-FFF2-40B4-BE49-F238E27FC236}">
              <a16:creationId xmlns:a16="http://schemas.microsoft.com/office/drawing/2014/main" id="{B82129FB-7B4A-BCAC-105A-5DE9FBC2797C}"/>
            </a:ext>
          </a:extLst>
        </xdr:cNvPr>
        <xdr:cNvCxnSpPr/>
      </xdr:nvCxnSpPr>
      <xdr:spPr>
        <a:xfrm flipH="1">
          <a:off x="1483519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6</xdr:row>
      <xdr:rowOff>203994</xdr:rowOff>
    </xdr:from>
    <xdr:to>
      <xdr:col>4</xdr:col>
      <xdr:colOff>237331</xdr:colOff>
      <xdr:row>6</xdr:row>
      <xdr:rowOff>203994</xdr:rowOff>
    </xdr:to>
    <xdr:cxnSp macro="">
      <xdr:nvCxnSpPr>
        <xdr:cNvPr id="1319" name="Match70">
          <a:extLst>
            <a:ext uri="{FF2B5EF4-FFF2-40B4-BE49-F238E27FC236}">
              <a16:creationId xmlns:a16="http://schemas.microsoft.com/office/drawing/2014/main" id="{19B54ABF-F1B5-E24F-A26D-520CF2B4E473}"/>
            </a:ext>
          </a:extLst>
        </xdr:cNvPr>
        <xdr:cNvCxnSpPr/>
      </xdr:nvCxnSpPr>
      <xdr:spPr>
        <a:xfrm flipH="1">
          <a:off x="1508919" y="2347119"/>
          <a:ext cx="423862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7</xdr:row>
      <xdr:rowOff>203993</xdr:rowOff>
    </xdr:from>
    <xdr:to>
      <xdr:col>1</xdr:col>
      <xdr:colOff>237331</xdr:colOff>
      <xdr:row>7</xdr:row>
      <xdr:rowOff>203993</xdr:rowOff>
    </xdr:to>
    <xdr:cxnSp macro="">
      <xdr:nvCxnSpPr>
        <xdr:cNvPr id="1320" name="Match71">
          <a:extLst>
            <a:ext uri="{FF2B5EF4-FFF2-40B4-BE49-F238E27FC236}">
              <a16:creationId xmlns:a16="http://schemas.microsoft.com/office/drawing/2014/main" id="{76D18D2A-529E-A1D7-FF2B-9E5C375F8B41}"/>
            </a:ext>
          </a:extLst>
        </xdr:cNvPr>
        <xdr:cNvCxnSpPr/>
      </xdr:nvCxnSpPr>
      <xdr:spPr>
        <a:xfrm>
          <a:off x="237331" y="2704306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262731</xdr:colOff>
      <xdr:row>6</xdr:row>
      <xdr:rowOff>229394</xdr:rowOff>
    </xdr:from>
    <xdr:to>
      <xdr:col>1</xdr:col>
      <xdr:colOff>262731</xdr:colOff>
      <xdr:row>7</xdr:row>
      <xdr:rowOff>229393</xdr:rowOff>
    </xdr:to>
    <xdr:cxnSp macro="">
      <xdr:nvCxnSpPr>
        <xdr:cNvPr id="1321" name="Match72">
          <a:extLst>
            <a:ext uri="{FF2B5EF4-FFF2-40B4-BE49-F238E27FC236}">
              <a16:creationId xmlns:a16="http://schemas.microsoft.com/office/drawing/2014/main" id="{C02A9CCE-1961-0420-02E9-82EB37BAA0AC}"/>
            </a:ext>
          </a:extLst>
        </xdr:cNvPr>
        <xdr:cNvCxnSpPr/>
      </xdr:nvCxnSpPr>
      <xdr:spPr>
        <a:xfrm flipV="1">
          <a:off x="262731" y="2372519"/>
          <a:ext cx="423863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262731</xdr:colOff>
      <xdr:row>6</xdr:row>
      <xdr:rowOff>229394</xdr:rowOff>
    </xdr:from>
    <xdr:to>
      <xdr:col>9</xdr:col>
      <xdr:colOff>262731</xdr:colOff>
      <xdr:row>7</xdr:row>
      <xdr:rowOff>229393</xdr:rowOff>
    </xdr:to>
    <xdr:cxnSp macro="">
      <xdr:nvCxnSpPr>
        <xdr:cNvPr id="1322" name="Match73">
          <a:extLst>
            <a:ext uri="{FF2B5EF4-FFF2-40B4-BE49-F238E27FC236}">
              <a16:creationId xmlns:a16="http://schemas.microsoft.com/office/drawing/2014/main" id="{21BBDA14-FEE4-08B5-5DB8-CD18B8009458}"/>
            </a:ext>
          </a:extLst>
        </xdr:cNvPr>
        <xdr:cNvCxnSpPr/>
      </xdr:nvCxnSpPr>
      <xdr:spPr>
        <a:xfrm flipV="1">
          <a:off x="4077494" y="2372519"/>
          <a:ext cx="0" cy="357187"/>
        </a:xfrm>
        <a:prstGeom prst="line">
          <a:avLst/>
        </a:prstGeom>
        <a:ln w="25400">
          <a:solidFill>
            <a:srgbClr val="D778AA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3</xdr:col>
      <xdr:colOff>211931</xdr:colOff>
      <xdr:row>11</xdr:row>
      <xdr:rowOff>178593</xdr:rowOff>
    </xdr:to>
    <xdr:cxnSp macro="">
      <xdr:nvCxnSpPr>
        <xdr:cNvPr id="1323" name="Match74">
          <a:extLst>
            <a:ext uri="{FF2B5EF4-FFF2-40B4-BE49-F238E27FC236}">
              <a16:creationId xmlns:a16="http://schemas.microsoft.com/office/drawing/2014/main" id="{76E50770-8481-DC9D-E19D-74290AC8AF32}"/>
            </a:ext>
          </a:extLst>
        </xdr:cNvPr>
        <xdr:cNvCxnSpPr/>
      </xdr:nvCxnSpPr>
      <xdr:spPr>
        <a:xfrm flipV="1">
          <a:off x="1483519" y="2678906"/>
          <a:ext cx="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6" name="Chart 3">
          <a:extLst>
            <a:ext uri="{FF2B5EF4-FFF2-40B4-BE49-F238E27FC236}">
              <a16:creationId xmlns:a16="http://schemas.microsoft.com/office/drawing/2014/main" id="{96A9EA46-1D95-2314-548C-46A6D64D77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>
      <selection activeCell="D8" sqref="D8"/>
    </sheetView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3">
        <v>2</v>
      </c>
      <c r="B1" s="23">
        <v>4</v>
      </c>
      <c r="C1" s="23">
        <v>3</v>
      </c>
      <c r="D1" s="23">
        <v>8</v>
      </c>
      <c r="E1" s="23">
        <v>8</v>
      </c>
      <c r="F1" s="23">
        <v>3</v>
      </c>
      <c r="G1" s="23">
        <v>4</v>
      </c>
      <c r="H1" s="27">
        <v>5</v>
      </c>
      <c r="I1" s="22">
        <v>5</v>
      </c>
      <c r="J1" s="27">
        <v>4</v>
      </c>
      <c r="K1" s="22">
        <v>2</v>
      </c>
      <c r="L1" s="23">
        <v>6</v>
      </c>
      <c r="N1" s="2">
        <v>4149317</v>
      </c>
      <c r="O1" s="1">
        <v>1</v>
      </c>
    </row>
    <row r="2" spans="1:15" s="2" customFormat="1" ht="28.25" customHeight="1">
      <c r="A2" s="22">
        <v>5</v>
      </c>
      <c r="B2" s="27">
        <v>6</v>
      </c>
      <c r="C2" s="22">
        <v>7</v>
      </c>
      <c r="D2" s="22">
        <v>1</v>
      </c>
      <c r="E2" s="22">
        <v>1</v>
      </c>
      <c r="F2" s="22">
        <v>1</v>
      </c>
      <c r="G2" s="27">
        <v>8</v>
      </c>
      <c r="H2" s="27">
        <v>8</v>
      </c>
      <c r="I2" s="27">
        <v>1</v>
      </c>
      <c r="J2" s="22">
        <v>3</v>
      </c>
      <c r="K2" s="27">
        <v>9</v>
      </c>
      <c r="L2" s="23">
        <v>7</v>
      </c>
      <c r="N2" s="2">
        <v>4792</v>
      </c>
      <c r="O2" s="2">
        <v>1</v>
      </c>
    </row>
    <row r="3" spans="1:15" ht="28.25" customHeight="1">
      <c r="A3" s="22">
        <v>5</v>
      </c>
      <c r="B3" s="22">
        <v>3</v>
      </c>
      <c r="C3" s="27">
        <v>4</v>
      </c>
      <c r="D3" s="23">
        <v>4</v>
      </c>
      <c r="E3" s="22">
        <v>9</v>
      </c>
      <c r="F3" s="27">
        <v>5</v>
      </c>
      <c r="G3" s="23">
        <v>2</v>
      </c>
      <c r="H3" s="22">
        <v>3</v>
      </c>
      <c r="I3" s="22">
        <v>1</v>
      </c>
      <c r="J3" s="22">
        <v>3</v>
      </c>
      <c r="K3" s="27">
        <v>8</v>
      </c>
      <c r="L3" s="23">
        <v>7</v>
      </c>
      <c r="N3" s="2">
        <v>657</v>
      </c>
      <c r="O3" s="1">
        <v>2</v>
      </c>
    </row>
    <row r="4" spans="1:15" ht="28.25" customHeight="1">
      <c r="A4" s="22">
        <v>5</v>
      </c>
      <c r="B4" s="22">
        <v>9</v>
      </c>
      <c r="C4" s="22">
        <v>1</v>
      </c>
      <c r="D4" s="23">
        <v>3</v>
      </c>
      <c r="E4" s="23">
        <v>1</v>
      </c>
      <c r="F4" s="27">
        <v>4</v>
      </c>
      <c r="G4" s="22">
        <v>6</v>
      </c>
      <c r="H4" s="23">
        <v>9</v>
      </c>
      <c r="I4" s="22">
        <v>7</v>
      </c>
      <c r="J4" s="22">
        <v>9</v>
      </c>
      <c r="K4" s="22">
        <v>7</v>
      </c>
      <c r="L4" s="23">
        <v>5</v>
      </c>
      <c r="N4" s="2">
        <v>12212</v>
      </c>
      <c r="O4" s="1">
        <v>1</v>
      </c>
    </row>
    <row r="5" spans="1:15" ht="28.25" customHeight="1">
      <c r="A5" s="22">
        <v>3</v>
      </c>
      <c r="B5" s="23">
        <v>2</v>
      </c>
      <c r="C5" s="22">
        <v>2</v>
      </c>
      <c r="D5" s="23">
        <v>8</v>
      </c>
      <c r="E5" s="22">
        <v>5</v>
      </c>
      <c r="F5" s="23">
        <v>4</v>
      </c>
      <c r="G5" s="22">
        <v>9</v>
      </c>
      <c r="H5" s="23">
        <v>9</v>
      </c>
      <c r="I5" s="23">
        <v>7</v>
      </c>
      <c r="J5" s="27">
        <v>6</v>
      </c>
      <c r="K5" s="23">
        <v>1</v>
      </c>
      <c r="L5" s="23">
        <v>9</v>
      </c>
      <c r="N5" s="2">
        <v>983</v>
      </c>
      <c r="O5" s="1">
        <v>2</v>
      </c>
    </row>
    <row r="6" spans="1:15" ht="28.25" customHeight="1">
      <c r="A6" s="27">
        <v>1</v>
      </c>
      <c r="B6" s="23">
        <v>1</v>
      </c>
      <c r="C6" s="27">
        <v>8</v>
      </c>
      <c r="D6" s="23">
        <v>9</v>
      </c>
      <c r="E6" s="22">
        <v>3</v>
      </c>
      <c r="F6" s="22">
        <v>3</v>
      </c>
      <c r="G6" s="23">
        <v>9</v>
      </c>
      <c r="H6" s="22">
        <v>9</v>
      </c>
      <c r="I6" s="22">
        <v>9</v>
      </c>
      <c r="J6" s="23">
        <v>4</v>
      </c>
      <c r="K6" s="27">
        <v>4</v>
      </c>
      <c r="L6" s="23">
        <v>8</v>
      </c>
      <c r="N6" s="2">
        <v>5652</v>
      </c>
      <c r="O6" s="1">
        <v>3</v>
      </c>
    </row>
    <row r="7" spans="1:15" ht="28.25" customHeight="1">
      <c r="A7" s="27">
        <v>8</v>
      </c>
      <c r="B7" s="23">
        <v>2</v>
      </c>
      <c r="C7" s="27">
        <v>5</v>
      </c>
      <c r="D7" s="23">
        <v>2</v>
      </c>
      <c r="E7" s="23">
        <v>3</v>
      </c>
      <c r="F7" s="23">
        <v>6</v>
      </c>
      <c r="G7" s="22">
        <v>3</v>
      </c>
      <c r="H7" s="23">
        <v>3</v>
      </c>
      <c r="I7" s="22">
        <v>8</v>
      </c>
      <c r="J7" s="22">
        <v>2</v>
      </c>
      <c r="K7" s="22">
        <v>7</v>
      </c>
      <c r="L7" s="27">
        <v>4</v>
      </c>
      <c r="N7" s="2">
        <v>37</v>
      </c>
      <c r="O7" s="1">
        <v>19</v>
      </c>
    </row>
    <row r="8" spans="1:15" ht="28.25" customHeight="1">
      <c r="A8" s="22">
        <v>3</v>
      </c>
      <c r="B8" s="23">
        <v>2</v>
      </c>
      <c r="C8" s="23">
        <v>2</v>
      </c>
      <c r="D8" s="23">
        <v>5</v>
      </c>
      <c r="E8" s="22">
        <v>5</v>
      </c>
      <c r="F8" s="23">
        <v>7</v>
      </c>
      <c r="G8" s="22">
        <v>5</v>
      </c>
      <c r="H8" s="22">
        <v>3</v>
      </c>
      <c r="I8" s="23">
        <v>1</v>
      </c>
      <c r="J8" s="22">
        <v>3</v>
      </c>
      <c r="K8" s="27">
        <v>4</v>
      </c>
      <c r="L8" s="22">
        <v>3</v>
      </c>
      <c r="N8" s="2">
        <v>71136</v>
      </c>
      <c r="O8" s="1">
        <v>1</v>
      </c>
    </row>
    <row r="9" spans="1:15" ht="28.25" customHeight="1">
      <c r="A9" s="22">
        <v>7</v>
      </c>
      <c r="B9" s="23">
        <v>1</v>
      </c>
      <c r="C9" s="23">
        <v>5</v>
      </c>
      <c r="D9" s="23">
        <v>6</v>
      </c>
      <c r="E9" s="27">
        <v>9</v>
      </c>
      <c r="F9" s="23">
        <v>5</v>
      </c>
      <c r="G9" s="22">
        <v>3</v>
      </c>
      <c r="H9" s="27">
        <v>4</v>
      </c>
      <c r="I9" s="27">
        <v>6</v>
      </c>
      <c r="J9" s="23">
        <v>7</v>
      </c>
      <c r="K9" s="23">
        <v>3</v>
      </c>
      <c r="L9" s="27">
        <v>4</v>
      </c>
      <c r="N9" s="2">
        <v>2438834</v>
      </c>
      <c r="O9" s="1">
        <v>1</v>
      </c>
    </row>
    <row r="10" spans="1:15" ht="28.25" customHeight="1">
      <c r="A10" s="27">
        <v>7</v>
      </c>
      <c r="B10" s="27">
        <v>8</v>
      </c>
      <c r="C10" s="23">
        <v>6</v>
      </c>
      <c r="D10" s="23">
        <v>5</v>
      </c>
      <c r="E10" s="27">
        <v>6</v>
      </c>
      <c r="F10" s="23">
        <v>6</v>
      </c>
      <c r="G10" s="23">
        <v>3</v>
      </c>
      <c r="H10" s="27">
        <v>1</v>
      </c>
      <c r="I10" s="22">
        <v>3</v>
      </c>
      <c r="J10" s="27">
        <v>8</v>
      </c>
      <c r="K10" s="23">
        <v>5</v>
      </c>
      <c r="L10" s="27">
        <v>9</v>
      </c>
      <c r="N10" s="2">
        <v>53</v>
      </c>
      <c r="O10" s="1">
        <v>18</v>
      </c>
    </row>
    <row r="11" spans="1:15" ht="28.25" customHeight="1">
      <c r="A11" s="22">
        <v>9</v>
      </c>
      <c r="B11" s="27">
        <v>4</v>
      </c>
      <c r="C11" s="23">
        <v>5</v>
      </c>
      <c r="D11" s="23">
        <v>9</v>
      </c>
      <c r="E11" s="27">
        <v>5</v>
      </c>
      <c r="F11" s="22">
        <v>1</v>
      </c>
      <c r="G11" s="23">
        <v>7</v>
      </c>
      <c r="H11" s="23">
        <v>7</v>
      </c>
      <c r="I11" s="23">
        <v>1</v>
      </c>
      <c r="J11" s="23">
        <v>1</v>
      </c>
      <c r="K11" s="23">
        <v>3</v>
      </c>
      <c r="L11" s="23">
        <v>6</v>
      </c>
      <c r="N11" s="2">
        <v>19</v>
      </c>
      <c r="O11" s="1">
        <v>12</v>
      </c>
    </row>
    <row r="12" spans="1:15" ht="28.25" customHeight="1">
      <c r="A12" s="22">
        <v>1</v>
      </c>
      <c r="B12" s="22">
        <v>9</v>
      </c>
      <c r="C12" s="22">
        <v>2</v>
      </c>
      <c r="D12" s="23">
        <v>8</v>
      </c>
      <c r="E12" s="27">
        <v>2</v>
      </c>
      <c r="F12" s="27">
        <v>2</v>
      </c>
      <c r="G12" s="22">
        <v>9</v>
      </c>
      <c r="H12" s="22">
        <v>7</v>
      </c>
      <c r="I12" s="22">
        <v>3</v>
      </c>
      <c r="J12" s="27">
        <v>3</v>
      </c>
      <c r="K12" s="27">
        <v>6</v>
      </c>
      <c r="L12" s="27">
        <v>9</v>
      </c>
      <c r="N12" s="2">
        <v>699</v>
      </c>
      <c r="O12" s="1">
        <v>3</v>
      </c>
    </row>
    <row r="13" spans="1:15" ht="28.25" customHeight="1">
      <c r="N13" s="2">
        <v>895776</v>
      </c>
      <c r="O13" s="1">
        <v>1</v>
      </c>
    </row>
    <row r="14" spans="1:15" ht="28.25" customHeight="1">
      <c r="N14" s="2">
        <v>32</v>
      </c>
      <c r="O14" s="1">
        <v>9</v>
      </c>
    </row>
    <row r="15" spans="1:15" ht="28.25" customHeight="1">
      <c r="N15" s="2">
        <v>89565</v>
      </c>
      <c r="O15" s="1">
        <v>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156"/>
  <sheetViews>
    <sheetView tabSelected="1" zoomScaleNormal="100" workbookViewId="0">
      <pane ySplit="2" topLeftCell="A149" activePane="bottomLeft" state="frozen"/>
      <selection pane="bottomLeft" activeCell="A156" sqref="A156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179</v>
      </c>
      <c r="L2" s="4" t="s">
        <v>163</v>
      </c>
      <c r="M2" s="4" t="s">
        <v>251</v>
      </c>
      <c r="N2" s="4" t="s">
        <v>178</v>
      </c>
      <c r="O2" s="4" t="s">
        <v>180</v>
      </c>
      <c r="P2" s="4" t="s">
        <v>170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</row>
    <row r="17" spans="1:16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</row>
    <row r="18" spans="1:16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IF(A18&lt;DATEVALUE("2025/11/20")+TIMEVALUE("6:00"),1,IF(B18-SUM(D18:F18)&lt;&gt;60,0,MAX(2-INT(G18*24*60/10),0)))</f>
        <v>1</v>
      </c>
      <c r="L18">
        <f>L17+K18</f>
        <v>1</v>
      </c>
      <c r="M18">
        <f t="shared" ref="M18" si="0">2+IF(A18&gt;=DATEVALUE("2025/11/30")+TIMEVALUE("6:00"),1,0)+IF(A18&gt;=DATEVALUE("2025/12/11")+TIMEVALUE("6:00"),1,0)</f>
        <v>2</v>
      </c>
      <c r="N18">
        <f t="shared" ref="N18" si="1">N17+M18*(INT(A18-6/24)-INT(A17-6/24))+O18</f>
        <v>2</v>
      </c>
      <c r="O18">
        <f>IF(A18&gt;=DATEVALUE("2025/11/8")+TIMEVALUE("6:00"),1,0)-IF(A17&gt;=DATEVALUE("2025/11/8")+TIMEVALUE("6:00"),1,0)</f>
        <v>0</v>
      </c>
      <c r="P18" t="str">
        <f>IF(L18&lt;N18,"未達成（"&amp;N18-L18&amp;"）",IF(L18=N18,"達成","前倒し（"&amp;L18-N18&amp;"）"))</f>
        <v>未達成（1）</v>
      </c>
    </row>
    <row r="19" spans="1:16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2">IF(A19&lt;DATEVALUE("2025/11/20")+TIMEVALUE("6:00"),1,IF(B19-SUM(D19:F19)&lt;&gt;60,0,MAX(2-INT(G19*24*60/10),0)))</f>
        <v>1</v>
      </c>
      <c r="L19">
        <f t="shared" ref="L19:L82" si="3">L18+K19</f>
        <v>2</v>
      </c>
      <c r="M19">
        <f t="shared" ref="M19:M82" si="4">2+IF(A19&gt;=DATEVALUE("2025/11/30")+TIMEVALUE("6:00"),1,0)+IF(A19&gt;=DATEVALUE("2025/12/11")+TIMEVALUE("6:00"),1,0)</f>
        <v>2</v>
      </c>
      <c r="N19">
        <f t="shared" ref="N19:N82" si="5">N18+M19*(INT(A19-6/24)-INT(A18-6/24))+O19</f>
        <v>2</v>
      </c>
      <c r="O19">
        <f t="shared" ref="O19:O82" si="6">IF(A19&gt;=DATEVALUE("2025/11/8")+TIMEVALUE("6:00"),1,0)-IF(A18&gt;=DATEVALUE("2025/11/8")+TIMEVALUE("6:00"),1,0)</f>
        <v>0</v>
      </c>
      <c r="P19" t="str">
        <f t="shared" ref="P19:P82" si="7">IF(L19&lt;N19,"未達成（"&amp;N19-L19&amp;"）",IF(L19=N19,"達成","前倒し（"&amp;L19-N19&amp;"）"))</f>
        <v>達成</v>
      </c>
    </row>
    <row r="20" spans="1:16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2"/>
        <v>1</v>
      </c>
      <c r="L20">
        <f t="shared" si="3"/>
        <v>3</v>
      </c>
      <c r="M20">
        <f t="shared" si="4"/>
        <v>2</v>
      </c>
      <c r="N20">
        <f t="shared" si="5"/>
        <v>4</v>
      </c>
      <c r="O20">
        <f t="shared" si="6"/>
        <v>0</v>
      </c>
      <c r="P20" t="str">
        <f t="shared" si="7"/>
        <v>未達成（1）</v>
      </c>
    </row>
    <row r="21" spans="1:16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2"/>
        <v>1</v>
      </c>
      <c r="L21">
        <f t="shared" si="3"/>
        <v>4</v>
      </c>
      <c r="M21">
        <f t="shared" si="4"/>
        <v>2</v>
      </c>
      <c r="N21">
        <f t="shared" si="5"/>
        <v>4</v>
      </c>
      <c r="O21">
        <f t="shared" si="6"/>
        <v>0</v>
      </c>
      <c r="P21" t="str">
        <f t="shared" si="7"/>
        <v>達成</v>
      </c>
    </row>
    <row r="22" spans="1:16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2"/>
        <v>1</v>
      </c>
      <c r="L22">
        <f t="shared" si="3"/>
        <v>5</v>
      </c>
      <c r="M22">
        <f t="shared" si="4"/>
        <v>2</v>
      </c>
      <c r="N22">
        <f t="shared" si="5"/>
        <v>6</v>
      </c>
      <c r="O22">
        <f t="shared" si="6"/>
        <v>0</v>
      </c>
      <c r="P22" t="str">
        <f t="shared" si="7"/>
        <v>未達成（1）</v>
      </c>
    </row>
    <row r="23" spans="1:16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2"/>
        <v>1</v>
      </c>
      <c r="L23">
        <f t="shared" si="3"/>
        <v>6</v>
      </c>
      <c r="M23">
        <f t="shared" si="4"/>
        <v>2</v>
      </c>
      <c r="N23">
        <f t="shared" si="5"/>
        <v>6</v>
      </c>
      <c r="O23">
        <f t="shared" si="6"/>
        <v>0</v>
      </c>
      <c r="P23" t="str">
        <f t="shared" si="7"/>
        <v>達成</v>
      </c>
    </row>
    <row r="24" spans="1:16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2"/>
        <v>1</v>
      </c>
      <c r="L24">
        <f t="shared" si="3"/>
        <v>7</v>
      </c>
      <c r="M24">
        <f t="shared" si="4"/>
        <v>2</v>
      </c>
      <c r="N24">
        <f t="shared" si="5"/>
        <v>8</v>
      </c>
      <c r="O24">
        <f t="shared" si="6"/>
        <v>0</v>
      </c>
      <c r="P24" t="str">
        <f t="shared" si="7"/>
        <v>未達成（1）</v>
      </c>
    </row>
    <row r="25" spans="1:16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2"/>
        <v>1</v>
      </c>
      <c r="L25">
        <f t="shared" si="3"/>
        <v>8</v>
      </c>
      <c r="M25">
        <f t="shared" si="4"/>
        <v>2</v>
      </c>
      <c r="N25">
        <f t="shared" si="5"/>
        <v>8</v>
      </c>
      <c r="O25">
        <f t="shared" si="6"/>
        <v>0</v>
      </c>
      <c r="P25" t="str">
        <f t="shared" si="7"/>
        <v>達成</v>
      </c>
    </row>
    <row r="26" spans="1:16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2"/>
        <v>1</v>
      </c>
      <c r="L26">
        <f t="shared" si="3"/>
        <v>9</v>
      </c>
      <c r="M26">
        <f t="shared" si="4"/>
        <v>2</v>
      </c>
      <c r="N26">
        <f t="shared" si="5"/>
        <v>10</v>
      </c>
      <c r="O26">
        <f t="shared" si="6"/>
        <v>0</v>
      </c>
      <c r="P26" t="str">
        <f t="shared" si="7"/>
        <v>未達成（1）</v>
      </c>
    </row>
    <row r="27" spans="1:16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2"/>
        <v>1</v>
      </c>
      <c r="L27">
        <f t="shared" si="3"/>
        <v>10</v>
      </c>
      <c r="M27">
        <f t="shared" si="4"/>
        <v>2</v>
      </c>
      <c r="N27">
        <f t="shared" si="5"/>
        <v>10</v>
      </c>
      <c r="O27">
        <f t="shared" si="6"/>
        <v>0</v>
      </c>
      <c r="P27" t="str">
        <f t="shared" si="7"/>
        <v>達成</v>
      </c>
    </row>
    <row r="28" spans="1:16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2"/>
        <v>1</v>
      </c>
      <c r="L28">
        <f t="shared" si="3"/>
        <v>11</v>
      </c>
      <c r="M28">
        <f t="shared" si="4"/>
        <v>2</v>
      </c>
      <c r="N28">
        <f t="shared" si="5"/>
        <v>13</v>
      </c>
      <c r="O28">
        <f t="shared" si="6"/>
        <v>1</v>
      </c>
      <c r="P28" t="str">
        <f t="shared" si="7"/>
        <v>未達成（2）</v>
      </c>
    </row>
    <row r="29" spans="1:16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2"/>
        <v>1</v>
      </c>
      <c r="L29">
        <f t="shared" si="3"/>
        <v>12</v>
      </c>
      <c r="M29">
        <f t="shared" si="4"/>
        <v>2</v>
      </c>
      <c r="N29">
        <f t="shared" si="5"/>
        <v>13</v>
      </c>
      <c r="O29">
        <f t="shared" si="6"/>
        <v>0</v>
      </c>
      <c r="P29" t="str">
        <f t="shared" si="7"/>
        <v>未達成（1）</v>
      </c>
    </row>
    <row r="30" spans="1:16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2"/>
        <v>1</v>
      </c>
      <c r="L30">
        <f t="shared" si="3"/>
        <v>13</v>
      </c>
      <c r="M30">
        <f t="shared" si="4"/>
        <v>2</v>
      </c>
      <c r="N30">
        <f t="shared" si="5"/>
        <v>13</v>
      </c>
      <c r="O30">
        <f t="shared" si="6"/>
        <v>0</v>
      </c>
      <c r="P30" t="str">
        <f t="shared" si="7"/>
        <v>達成</v>
      </c>
    </row>
    <row r="31" spans="1:16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2"/>
        <v>1</v>
      </c>
      <c r="L31">
        <f t="shared" si="3"/>
        <v>14</v>
      </c>
      <c r="M31">
        <f t="shared" si="4"/>
        <v>2</v>
      </c>
      <c r="N31">
        <f t="shared" si="5"/>
        <v>15</v>
      </c>
      <c r="O31">
        <f t="shared" si="6"/>
        <v>0</v>
      </c>
      <c r="P31" t="str">
        <f t="shared" si="7"/>
        <v>未達成（1）</v>
      </c>
    </row>
    <row r="32" spans="1:16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2"/>
        <v>1</v>
      </c>
      <c r="L32">
        <f t="shared" si="3"/>
        <v>15</v>
      </c>
      <c r="M32">
        <f t="shared" si="4"/>
        <v>2</v>
      </c>
      <c r="N32">
        <f t="shared" si="5"/>
        <v>15</v>
      </c>
      <c r="O32">
        <f t="shared" si="6"/>
        <v>0</v>
      </c>
      <c r="P32" t="str">
        <f t="shared" si="7"/>
        <v>達成</v>
      </c>
    </row>
    <row r="33" spans="1:16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2"/>
        <v>1</v>
      </c>
      <c r="L33">
        <f t="shared" si="3"/>
        <v>16</v>
      </c>
      <c r="M33">
        <f t="shared" si="4"/>
        <v>2</v>
      </c>
      <c r="N33">
        <f t="shared" si="5"/>
        <v>17</v>
      </c>
      <c r="O33">
        <f t="shared" si="6"/>
        <v>0</v>
      </c>
      <c r="P33" t="str">
        <f t="shared" si="7"/>
        <v>未達成（1）</v>
      </c>
    </row>
    <row r="34" spans="1:16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2"/>
        <v>1</v>
      </c>
      <c r="L34">
        <f t="shared" si="3"/>
        <v>17</v>
      </c>
      <c r="M34">
        <f t="shared" si="4"/>
        <v>2</v>
      </c>
      <c r="N34">
        <f t="shared" si="5"/>
        <v>17</v>
      </c>
      <c r="O34">
        <f t="shared" si="6"/>
        <v>0</v>
      </c>
      <c r="P34" t="str">
        <f t="shared" si="7"/>
        <v>達成</v>
      </c>
    </row>
    <row r="35" spans="1:16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2"/>
        <v>1</v>
      </c>
      <c r="L35">
        <f t="shared" si="3"/>
        <v>18</v>
      </c>
      <c r="M35">
        <f t="shared" si="4"/>
        <v>2</v>
      </c>
      <c r="N35">
        <f t="shared" si="5"/>
        <v>19</v>
      </c>
      <c r="O35">
        <f t="shared" si="6"/>
        <v>0</v>
      </c>
      <c r="P35" t="str">
        <f t="shared" si="7"/>
        <v>未達成（1）</v>
      </c>
    </row>
    <row r="36" spans="1:16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2"/>
        <v>1</v>
      </c>
      <c r="L36">
        <f t="shared" si="3"/>
        <v>19</v>
      </c>
      <c r="M36">
        <f t="shared" si="4"/>
        <v>2</v>
      </c>
      <c r="N36">
        <f t="shared" si="5"/>
        <v>19</v>
      </c>
      <c r="O36">
        <f t="shared" si="6"/>
        <v>0</v>
      </c>
      <c r="P36" t="str">
        <f t="shared" si="7"/>
        <v>達成</v>
      </c>
    </row>
    <row r="37" spans="1:16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2"/>
        <v>1</v>
      </c>
      <c r="L37">
        <f t="shared" si="3"/>
        <v>20</v>
      </c>
      <c r="M37">
        <f t="shared" si="4"/>
        <v>2</v>
      </c>
      <c r="N37">
        <f t="shared" si="5"/>
        <v>21</v>
      </c>
      <c r="O37">
        <f t="shared" si="6"/>
        <v>0</v>
      </c>
      <c r="P37" t="str">
        <f t="shared" si="7"/>
        <v>未達成（1）</v>
      </c>
    </row>
    <row r="38" spans="1:16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2"/>
        <v>1</v>
      </c>
      <c r="L38">
        <f t="shared" si="3"/>
        <v>21</v>
      </c>
      <c r="M38">
        <f t="shared" si="4"/>
        <v>2</v>
      </c>
      <c r="N38">
        <f t="shared" si="5"/>
        <v>21</v>
      </c>
      <c r="O38">
        <f t="shared" si="6"/>
        <v>0</v>
      </c>
      <c r="P38" t="str">
        <f t="shared" si="7"/>
        <v>達成</v>
      </c>
    </row>
    <row r="39" spans="1:16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2"/>
        <v>1</v>
      </c>
      <c r="L39">
        <f t="shared" si="3"/>
        <v>22</v>
      </c>
      <c r="M39">
        <f t="shared" si="4"/>
        <v>2</v>
      </c>
      <c r="N39">
        <f t="shared" si="5"/>
        <v>25</v>
      </c>
      <c r="O39">
        <f t="shared" si="6"/>
        <v>0</v>
      </c>
      <c r="P39" t="str">
        <f t="shared" si="7"/>
        <v>未達成（3）</v>
      </c>
    </row>
    <row r="40" spans="1:16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2"/>
        <v>1</v>
      </c>
      <c r="L40">
        <f t="shared" si="3"/>
        <v>23</v>
      </c>
      <c r="M40">
        <f t="shared" si="4"/>
        <v>2</v>
      </c>
      <c r="N40">
        <f t="shared" si="5"/>
        <v>25</v>
      </c>
      <c r="O40">
        <f t="shared" si="6"/>
        <v>0</v>
      </c>
      <c r="P40" t="str">
        <f t="shared" si="7"/>
        <v>未達成（2）</v>
      </c>
    </row>
    <row r="41" spans="1:16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2"/>
        <v>1</v>
      </c>
      <c r="L41">
        <f t="shared" si="3"/>
        <v>24</v>
      </c>
      <c r="M41">
        <f t="shared" si="4"/>
        <v>2</v>
      </c>
      <c r="N41">
        <f t="shared" si="5"/>
        <v>27</v>
      </c>
      <c r="O41">
        <f t="shared" si="6"/>
        <v>0</v>
      </c>
      <c r="P41" t="str">
        <f t="shared" si="7"/>
        <v>未達成（3）</v>
      </c>
    </row>
    <row r="42" spans="1:16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2"/>
        <v>1</v>
      </c>
      <c r="L42">
        <f t="shared" si="3"/>
        <v>25</v>
      </c>
      <c r="M42">
        <f t="shared" si="4"/>
        <v>2</v>
      </c>
      <c r="N42">
        <f t="shared" si="5"/>
        <v>27</v>
      </c>
      <c r="O42">
        <f t="shared" si="6"/>
        <v>0</v>
      </c>
      <c r="P42" t="str">
        <f t="shared" si="7"/>
        <v>未達成（2）</v>
      </c>
    </row>
    <row r="43" spans="1:16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2"/>
        <v>1</v>
      </c>
      <c r="L43">
        <f t="shared" si="3"/>
        <v>26</v>
      </c>
      <c r="M43">
        <f t="shared" si="4"/>
        <v>2</v>
      </c>
      <c r="N43">
        <f t="shared" si="5"/>
        <v>29</v>
      </c>
      <c r="O43">
        <f t="shared" si="6"/>
        <v>0</v>
      </c>
      <c r="P43" t="str">
        <f t="shared" si="7"/>
        <v>未達成（3）</v>
      </c>
    </row>
    <row r="44" spans="1:16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2"/>
        <v>1</v>
      </c>
      <c r="L44">
        <f t="shared" si="3"/>
        <v>27</v>
      </c>
      <c r="M44">
        <f t="shared" si="4"/>
        <v>2</v>
      </c>
      <c r="N44">
        <f t="shared" si="5"/>
        <v>29</v>
      </c>
      <c r="O44">
        <f t="shared" si="6"/>
        <v>0</v>
      </c>
      <c r="P44" t="str">
        <f t="shared" si="7"/>
        <v>未達成（2）</v>
      </c>
    </row>
    <row r="45" spans="1:16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2"/>
        <v>1</v>
      </c>
      <c r="L45">
        <f t="shared" si="3"/>
        <v>28</v>
      </c>
      <c r="M45">
        <f t="shared" si="4"/>
        <v>2</v>
      </c>
      <c r="N45">
        <f t="shared" si="5"/>
        <v>29</v>
      </c>
      <c r="O45">
        <f t="shared" si="6"/>
        <v>0</v>
      </c>
      <c r="P45" t="str">
        <f t="shared" si="7"/>
        <v>未達成（1）</v>
      </c>
    </row>
    <row r="46" spans="1:16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2"/>
        <v>1</v>
      </c>
      <c r="L46">
        <f t="shared" si="3"/>
        <v>29</v>
      </c>
      <c r="M46">
        <f t="shared" si="4"/>
        <v>2</v>
      </c>
      <c r="N46">
        <f t="shared" si="5"/>
        <v>29</v>
      </c>
      <c r="O46">
        <f t="shared" si="6"/>
        <v>0</v>
      </c>
      <c r="P46" t="str">
        <f t="shared" si="7"/>
        <v>達成</v>
      </c>
    </row>
    <row r="47" spans="1:16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2"/>
        <v>1</v>
      </c>
      <c r="L47">
        <f t="shared" si="3"/>
        <v>30</v>
      </c>
      <c r="M47">
        <f t="shared" si="4"/>
        <v>2</v>
      </c>
      <c r="N47">
        <f t="shared" si="5"/>
        <v>29</v>
      </c>
      <c r="O47">
        <f t="shared" si="6"/>
        <v>0</v>
      </c>
      <c r="P47" t="str">
        <f t="shared" si="7"/>
        <v>前倒し（1）</v>
      </c>
    </row>
    <row r="48" spans="1:16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2"/>
        <v>1</v>
      </c>
      <c r="L48">
        <f t="shared" si="3"/>
        <v>31</v>
      </c>
      <c r="M48">
        <f t="shared" si="4"/>
        <v>2</v>
      </c>
      <c r="N48">
        <f t="shared" si="5"/>
        <v>29</v>
      </c>
      <c r="O48">
        <f t="shared" si="6"/>
        <v>0</v>
      </c>
      <c r="P48" t="str">
        <f t="shared" si="7"/>
        <v>前倒し（2）</v>
      </c>
    </row>
    <row r="49" spans="1:16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2"/>
        <v>1</v>
      </c>
      <c r="L49">
        <f t="shared" si="3"/>
        <v>32</v>
      </c>
      <c r="M49">
        <f t="shared" si="4"/>
        <v>2</v>
      </c>
      <c r="N49">
        <f t="shared" si="5"/>
        <v>31</v>
      </c>
      <c r="O49">
        <f t="shared" si="6"/>
        <v>0</v>
      </c>
      <c r="P49" t="str">
        <f t="shared" si="7"/>
        <v>前倒し（1）</v>
      </c>
    </row>
    <row r="50" spans="1:16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2"/>
        <v>1</v>
      </c>
      <c r="L50">
        <f t="shared" si="3"/>
        <v>33</v>
      </c>
      <c r="M50">
        <f t="shared" si="4"/>
        <v>2</v>
      </c>
      <c r="N50">
        <f t="shared" si="5"/>
        <v>31</v>
      </c>
      <c r="O50">
        <f t="shared" si="6"/>
        <v>0</v>
      </c>
      <c r="P50" t="str">
        <f t="shared" si="7"/>
        <v>前倒し（2）</v>
      </c>
    </row>
    <row r="51" spans="1:16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2"/>
        <v>1</v>
      </c>
      <c r="L51">
        <f t="shared" si="3"/>
        <v>34</v>
      </c>
      <c r="M51">
        <f t="shared" si="4"/>
        <v>2</v>
      </c>
      <c r="N51">
        <f t="shared" si="5"/>
        <v>31</v>
      </c>
      <c r="O51">
        <f t="shared" si="6"/>
        <v>0</v>
      </c>
      <c r="P51" t="str">
        <f t="shared" si="7"/>
        <v>前倒し（3）</v>
      </c>
    </row>
    <row r="52" spans="1:16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2"/>
        <v>1</v>
      </c>
      <c r="L52">
        <f t="shared" si="3"/>
        <v>35</v>
      </c>
      <c r="M52">
        <f t="shared" si="4"/>
        <v>2</v>
      </c>
      <c r="N52">
        <f t="shared" si="5"/>
        <v>31</v>
      </c>
      <c r="O52">
        <f t="shared" si="6"/>
        <v>0</v>
      </c>
      <c r="P52" t="str">
        <f t="shared" si="7"/>
        <v>前倒し（4）</v>
      </c>
    </row>
    <row r="53" spans="1:16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2"/>
        <v>1</v>
      </c>
      <c r="L53">
        <f t="shared" si="3"/>
        <v>36</v>
      </c>
      <c r="M53">
        <f t="shared" si="4"/>
        <v>2</v>
      </c>
      <c r="N53">
        <f t="shared" si="5"/>
        <v>35</v>
      </c>
      <c r="O53">
        <f t="shared" si="6"/>
        <v>0</v>
      </c>
      <c r="P53" t="str">
        <f t="shared" si="7"/>
        <v>前倒し（1）</v>
      </c>
    </row>
    <row r="54" spans="1:16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2"/>
        <v>1</v>
      </c>
      <c r="L54">
        <f t="shared" si="3"/>
        <v>37</v>
      </c>
      <c r="M54">
        <f t="shared" si="4"/>
        <v>2</v>
      </c>
      <c r="N54">
        <f t="shared" si="5"/>
        <v>35</v>
      </c>
      <c r="O54">
        <f t="shared" si="6"/>
        <v>0</v>
      </c>
      <c r="P54" t="str">
        <f t="shared" si="7"/>
        <v>前倒し（2）</v>
      </c>
    </row>
    <row r="55" spans="1:16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2"/>
        <v>1</v>
      </c>
      <c r="L55">
        <f t="shared" si="3"/>
        <v>38</v>
      </c>
      <c r="M55">
        <f t="shared" si="4"/>
        <v>2</v>
      </c>
      <c r="N55">
        <f t="shared" si="5"/>
        <v>37</v>
      </c>
      <c r="O55">
        <f t="shared" si="6"/>
        <v>0</v>
      </c>
      <c r="P55" t="str">
        <f t="shared" si="7"/>
        <v>前倒し（1）</v>
      </c>
    </row>
    <row r="56" spans="1:16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2"/>
        <v>0</v>
      </c>
      <c r="L56">
        <f t="shared" si="3"/>
        <v>38</v>
      </c>
      <c r="M56">
        <f t="shared" si="4"/>
        <v>2</v>
      </c>
      <c r="N56">
        <f t="shared" si="5"/>
        <v>37</v>
      </c>
      <c r="O56">
        <f t="shared" si="6"/>
        <v>0</v>
      </c>
      <c r="P56" t="str">
        <f t="shared" si="7"/>
        <v>前倒し（1）</v>
      </c>
    </row>
    <row r="57" spans="1:16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2"/>
        <v>1</v>
      </c>
      <c r="L57">
        <f t="shared" si="3"/>
        <v>39</v>
      </c>
      <c r="M57">
        <f t="shared" si="4"/>
        <v>2</v>
      </c>
      <c r="N57">
        <f t="shared" si="5"/>
        <v>39</v>
      </c>
      <c r="O57">
        <f t="shared" si="6"/>
        <v>0</v>
      </c>
      <c r="P57" t="str">
        <f t="shared" si="7"/>
        <v>達成</v>
      </c>
    </row>
    <row r="58" spans="1:16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2"/>
        <v>1</v>
      </c>
      <c r="L58">
        <f t="shared" si="3"/>
        <v>40</v>
      </c>
      <c r="M58">
        <f t="shared" si="4"/>
        <v>2</v>
      </c>
      <c r="N58">
        <f t="shared" si="5"/>
        <v>41</v>
      </c>
      <c r="O58">
        <f t="shared" si="6"/>
        <v>0</v>
      </c>
      <c r="P58" t="str">
        <f t="shared" si="7"/>
        <v>未達成（1）</v>
      </c>
    </row>
    <row r="59" spans="1:16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2"/>
        <v>1</v>
      </c>
      <c r="L59">
        <f t="shared" si="3"/>
        <v>41</v>
      </c>
      <c r="M59">
        <f t="shared" si="4"/>
        <v>2</v>
      </c>
      <c r="N59">
        <f t="shared" si="5"/>
        <v>41</v>
      </c>
      <c r="O59">
        <f t="shared" si="6"/>
        <v>0</v>
      </c>
      <c r="P59" t="str">
        <f t="shared" si="7"/>
        <v>達成</v>
      </c>
    </row>
    <row r="60" spans="1:16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2"/>
        <v>1</v>
      </c>
      <c r="L60">
        <f t="shared" si="3"/>
        <v>42</v>
      </c>
      <c r="M60">
        <f t="shared" si="4"/>
        <v>2</v>
      </c>
      <c r="N60">
        <f t="shared" si="5"/>
        <v>45</v>
      </c>
      <c r="O60">
        <f t="shared" si="6"/>
        <v>0</v>
      </c>
      <c r="P60" t="str">
        <f t="shared" si="7"/>
        <v>未達成（3）</v>
      </c>
    </row>
    <row r="61" spans="1:16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2"/>
        <v>0</v>
      </c>
      <c r="L61">
        <f t="shared" si="3"/>
        <v>42</v>
      </c>
      <c r="M61">
        <f t="shared" si="4"/>
        <v>2</v>
      </c>
      <c r="N61">
        <f t="shared" si="5"/>
        <v>45</v>
      </c>
      <c r="O61">
        <f t="shared" si="6"/>
        <v>0</v>
      </c>
      <c r="P61" t="str">
        <f t="shared" si="7"/>
        <v>未達成（3）</v>
      </c>
    </row>
    <row r="62" spans="1:16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2"/>
        <v>0</v>
      </c>
      <c r="L62">
        <f t="shared" si="3"/>
        <v>42</v>
      </c>
      <c r="M62">
        <f t="shared" si="4"/>
        <v>2</v>
      </c>
      <c r="N62">
        <f t="shared" si="5"/>
        <v>45</v>
      </c>
      <c r="O62">
        <f t="shared" si="6"/>
        <v>0</v>
      </c>
      <c r="P62" t="str">
        <f t="shared" si="7"/>
        <v>未達成（3）</v>
      </c>
    </row>
    <row r="63" spans="1:16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2"/>
        <v>1</v>
      </c>
      <c r="L63">
        <f t="shared" si="3"/>
        <v>43</v>
      </c>
      <c r="M63">
        <f t="shared" si="4"/>
        <v>2</v>
      </c>
      <c r="N63">
        <f t="shared" si="5"/>
        <v>45</v>
      </c>
      <c r="O63">
        <f t="shared" si="6"/>
        <v>0</v>
      </c>
      <c r="P63" t="str">
        <f t="shared" si="7"/>
        <v>未達成（2）</v>
      </c>
    </row>
    <row r="64" spans="1:16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181</v>
      </c>
      <c r="I64" t="s">
        <v>182</v>
      </c>
      <c r="J64">
        <v>0</v>
      </c>
      <c r="K64">
        <f t="shared" si="2"/>
        <v>2</v>
      </c>
      <c r="L64">
        <f t="shared" si="3"/>
        <v>45</v>
      </c>
      <c r="M64">
        <f t="shared" si="4"/>
        <v>2</v>
      </c>
      <c r="N64">
        <f t="shared" si="5"/>
        <v>45</v>
      </c>
      <c r="O64">
        <f t="shared" si="6"/>
        <v>0</v>
      </c>
      <c r="P64" t="str">
        <f t="shared" si="7"/>
        <v>達成</v>
      </c>
    </row>
    <row r="65" spans="1:16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183</v>
      </c>
      <c r="I65" t="s">
        <v>184</v>
      </c>
      <c r="J65">
        <v>0</v>
      </c>
      <c r="K65">
        <f t="shared" si="2"/>
        <v>2</v>
      </c>
      <c r="L65">
        <f t="shared" si="3"/>
        <v>47</v>
      </c>
      <c r="M65">
        <f t="shared" si="4"/>
        <v>2</v>
      </c>
      <c r="N65">
        <f t="shared" si="5"/>
        <v>47</v>
      </c>
      <c r="O65">
        <f t="shared" si="6"/>
        <v>0</v>
      </c>
      <c r="P65" t="str">
        <f t="shared" si="7"/>
        <v>達成</v>
      </c>
    </row>
    <row r="66" spans="1:16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185</v>
      </c>
      <c r="I66" t="s">
        <v>186</v>
      </c>
      <c r="J66">
        <v>0</v>
      </c>
      <c r="K66">
        <f t="shared" si="2"/>
        <v>0</v>
      </c>
      <c r="L66">
        <f t="shared" si="3"/>
        <v>47</v>
      </c>
      <c r="M66">
        <f t="shared" si="4"/>
        <v>2</v>
      </c>
      <c r="N66">
        <f t="shared" si="5"/>
        <v>49</v>
      </c>
      <c r="O66">
        <f t="shared" si="6"/>
        <v>0</v>
      </c>
      <c r="P66" t="str">
        <f t="shared" si="7"/>
        <v>未達成（2）</v>
      </c>
    </row>
    <row r="67" spans="1:16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187</v>
      </c>
      <c r="I67" t="s">
        <v>188</v>
      </c>
      <c r="J67">
        <v>0</v>
      </c>
      <c r="K67">
        <f t="shared" si="2"/>
        <v>2</v>
      </c>
      <c r="L67">
        <f t="shared" si="3"/>
        <v>49</v>
      </c>
      <c r="M67">
        <f t="shared" si="4"/>
        <v>2</v>
      </c>
      <c r="N67">
        <f t="shared" si="5"/>
        <v>49</v>
      </c>
      <c r="O67">
        <f t="shared" si="6"/>
        <v>0</v>
      </c>
      <c r="P67" t="str">
        <f t="shared" si="7"/>
        <v>達成</v>
      </c>
    </row>
    <row r="68" spans="1:16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189</v>
      </c>
      <c r="I68" t="s">
        <v>190</v>
      </c>
      <c r="J68">
        <v>0</v>
      </c>
      <c r="K68">
        <f t="shared" si="2"/>
        <v>1</v>
      </c>
      <c r="L68">
        <f t="shared" si="3"/>
        <v>50</v>
      </c>
      <c r="M68">
        <f t="shared" si="4"/>
        <v>2</v>
      </c>
      <c r="N68">
        <f t="shared" si="5"/>
        <v>51</v>
      </c>
      <c r="O68">
        <f t="shared" si="6"/>
        <v>0</v>
      </c>
      <c r="P68" t="str">
        <f t="shared" si="7"/>
        <v>未達成（1）</v>
      </c>
    </row>
    <row r="69" spans="1:16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191</v>
      </c>
      <c r="I69" t="s">
        <v>192</v>
      </c>
      <c r="J69">
        <v>0</v>
      </c>
      <c r="K69">
        <f t="shared" si="2"/>
        <v>0</v>
      </c>
      <c r="L69">
        <f t="shared" si="3"/>
        <v>50</v>
      </c>
      <c r="M69">
        <f t="shared" si="4"/>
        <v>2</v>
      </c>
      <c r="N69">
        <f t="shared" si="5"/>
        <v>51</v>
      </c>
      <c r="O69">
        <f t="shared" si="6"/>
        <v>0</v>
      </c>
      <c r="P69" t="str">
        <f t="shared" si="7"/>
        <v>未達成（1）</v>
      </c>
    </row>
    <row r="70" spans="1:16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193</v>
      </c>
      <c r="I70" t="s">
        <v>194</v>
      </c>
      <c r="J70">
        <v>0</v>
      </c>
      <c r="K70">
        <f t="shared" si="2"/>
        <v>1</v>
      </c>
      <c r="L70">
        <f t="shared" si="3"/>
        <v>51</v>
      </c>
      <c r="M70">
        <f t="shared" si="4"/>
        <v>2</v>
      </c>
      <c r="N70">
        <f t="shared" si="5"/>
        <v>51</v>
      </c>
      <c r="O70">
        <f t="shared" si="6"/>
        <v>0</v>
      </c>
      <c r="P70" t="str">
        <f t="shared" si="7"/>
        <v>達成</v>
      </c>
    </row>
    <row r="71" spans="1:16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195</v>
      </c>
      <c r="I71" t="s">
        <v>196</v>
      </c>
      <c r="J71">
        <v>0</v>
      </c>
      <c r="K71">
        <f t="shared" si="2"/>
        <v>0</v>
      </c>
      <c r="L71">
        <f t="shared" si="3"/>
        <v>51</v>
      </c>
      <c r="M71">
        <f t="shared" si="4"/>
        <v>2</v>
      </c>
      <c r="N71">
        <f t="shared" si="5"/>
        <v>53</v>
      </c>
      <c r="O71">
        <f t="shared" si="6"/>
        <v>0</v>
      </c>
      <c r="P71" t="str">
        <f t="shared" si="7"/>
        <v>未達成（2）</v>
      </c>
    </row>
    <row r="72" spans="1:16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197</v>
      </c>
      <c r="I72" t="s">
        <v>198</v>
      </c>
      <c r="J72">
        <v>0</v>
      </c>
      <c r="K72">
        <f t="shared" si="2"/>
        <v>1</v>
      </c>
      <c r="L72">
        <f t="shared" si="3"/>
        <v>52</v>
      </c>
      <c r="M72">
        <f t="shared" si="4"/>
        <v>2</v>
      </c>
      <c r="N72">
        <f t="shared" si="5"/>
        <v>53</v>
      </c>
      <c r="O72">
        <f t="shared" si="6"/>
        <v>0</v>
      </c>
      <c r="P72" t="str">
        <f t="shared" si="7"/>
        <v>未達成（1）</v>
      </c>
    </row>
    <row r="73" spans="1:16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199</v>
      </c>
      <c r="I73" t="s">
        <v>200</v>
      </c>
      <c r="J73">
        <v>0</v>
      </c>
      <c r="K73">
        <f t="shared" si="2"/>
        <v>1</v>
      </c>
      <c r="L73">
        <f t="shared" si="3"/>
        <v>53</v>
      </c>
      <c r="M73">
        <f t="shared" si="4"/>
        <v>2</v>
      </c>
      <c r="N73">
        <f t="shared" si="5"/>
        <v>53</v>
      </c>
      <c r="O73">
        <f t="shared" si="6"/>
        <v>0</v>
      </c>
      <c r="P73" t="str">
        <f t="shared" si="7"/>
        <v>達成</v>
      </c>
    </row>
    <row r="74" spans="1:16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201</v>
      </c>
      <c r="I74" t="s">
        <v>202</v>
      </c>
      <c r="J74">
        <v>0</v>
      </c>
      <c r="K74">
        <f t="shared" si="2"/>
        <v>1</v>
      </c>
      <c r="L74">
        <f t="shared" si="3"/>
        <v>54</v>
      </c>
      <c r="M74">
        <f t="shared" si="4"/>
        <v>2</v>
      </c>
      <c r="N74">
        <f t="shared" si="5"/>
        <v>55</v>
      </c>
      <c r="O74">
        <f t="shared" si="6"/>
        <v>0</v>
      </c>
      <c r="P74" t="str">
        <f t="shared" si="7"/>
        <v>未達成（1）</v>
      </c>
    </row>
    <row r="75" spans="1:16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203</v>
      </c>
      <c r="I75" t="s">
        <v>204</v>
      </c>
      <c r="J75">
        <v>0</v>
      </c>
      <c r="K75">
        <f t="shared" si="2"/>
        <v>1</v>
      </c>
      <c r="L75">
        <f t="shared" si="3"/>
        <v>55</v>
      </c>
      <c r="M75">
        <f t="shared" si="4"/>
        <v>2</v>
      </c>
      <c r="N75">
        <f t="shared" si="5"/>
        <v>55</v>
      </c>
      <c r="O75">
        <f t="shared" si="6"/>
        <v>0</v>
      </c>
      <c r="P75" t="str">
        <f t="shared" si="7"/>
        <v>達成</v>
      </c>
    </row>
    <row r="76" spans="1:16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205</v>
      </c>
      <c r="I76" t="s">
        <v>206</v>
      </c>
      <c r="J76">
        <v>0</v>
      </c>
      <c r="K76">
        <f t="shared" si="2"/>
        <v>2</v>
      </c>
      <c r="L76">
        <f t="shared" si="3"/>
        <v>57</v>
      </c>
      <c r="M76">
        <f t="shared" si="4"/>
        <v>3</v>
      </c>
      <c r="N76">
        <f t="shared" si="5"/>
        <v>58</v>
      </c>
      <c r="O76">
        <f t="shared" si="6"/>
        <v>0</v>
      </c>
      <c r="P76" t="str">
        <f t="shared" si="7"/>
        <v>未達成（1）</v>
      </c>
    </row>
    <row r="77" spans="1:16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207</v>
      </c>
      <c r="I77" t="s">
        <v>208</v>
      </c>
      <c r="J77">
        <v>0</v>
      </c>
      <c r="K77">
        <f t="shared" si="2"/>
        <v>2</v>
      </c>
      <c r="L77">
        <f t="shared" si="3"/>
        <v>59</v>
      </c>
      <c r="M77">
        <f t="shared" si="4"/>
        <v>3</v>
      </c>
      <c r="N77">
        <f t="shared" si="5"/>
        <v>58</v>
      </c>
      <c r="O77">
        <f t="shared" si="6"/>
        <v>0</v>
      </c>
      <c r="P77" t="str">
        <f t="shared" si="7"/>
        <v>前倒し（1）</v>
      </c>
    </row>
    <row r="78" spans="1:16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209</v>
      </c>
      <c r="I78" t="s">
        <v>210</v>
      </c>
      <c r="J78">
        <v>0</v>
      </c>
      <c r="K78">
        <f t="shared" si="2"/>
        <v>1</v>
      </c>
      <c r="L78">
        <f t="shared" si="3"/>
        <v>60</v>
      </c>
      <c r="M78">
        <f t="shared" si="4"/>
        <v>3</v>
      </c>
      <c r="N78">
        <f t="shared" si="5"/>
        <v>61</v>
      </c>
      <c r="O78">
        <f t="shared" si="6"/>
        <v>0</v>
      </c>
      <c r="P78" t="str">
        <f t="shared" si="7"/>
        <v>未達成（1）</v>
      </c>
    </row>
    <row r="79" spans="1:16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211</v>
      </c>
      <c r="I79" t="s">
        <v>212</v>
      </c>
      <c r="J79">
        <v>0</v>
      </c>
      <c r="K79">
        <f t="shared" si="2"/>
        <v>2</v>
      </c>
      <c r="L79">
        <f t="shared" si="3"/>
        <v>62</v>
      </c>
      <c r="M79">
        <f t="shared" si="4"/>
        <v>3</v>
      </c>
      <c r="N79">
        <f t="shared" si="5"/>
        <v>61</v>
      </c>
      <c r="O79">
        <f t="shared" si="6"/>
        <v>0</v>
      </c>
      <c r="P79" t="str">
        <f t="shared" si="7"/>
        <v>前倒し（1）</v>
      </c>
    </row>
    <row r="80" spans="1:16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213</v>
      </c>
      <c r="I80" t="s">
        <v>214</v>
      </c>
      <c r="J80">
        <v>0</v>
      </c>
      <c r="K80">
        <f t="shared" si="2"/>
        <v>0</v>
      </c>
      <c r="L80">
        <f t="shared" si="3"/>
        <v>62</v>
      </c>
      <c r="M80">
        <f t="shared" si="4"/>
        <v>3</v>
      </c>
      <c r="N80">
        <f t="shared" si="5"/>
        <v>64</v>
      </c>
      <c r="O80">
        <f t="shared" si="6"/>
        <v>0</v>
      </c>
      <c r="P80" t="str">
        <f t="shared" si="7"/>
        <v>未達成（2）</v>
      </c>
    </row>
    <row r="81" spans="1:16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217</v>
      </c>
      <c r="I81" t="s">
        <v>218</v>
      </c>
      <c r="J81">
        <v>0</v>
      </c>
      <c r="K81">
        <f t="shared" si="2"/>
        <v>2</v>
      </c>
      <c r="L81">
        <f t="shared" si="3"/>
        <v>64</v>
      </c>
      <c r="M81">
        <f t="shared" si="4"/>
        <v>3</v>
      </c>
      <c r="N81">
        <f t="shared" si="5"/>
        <v>64</v>
      </c>
      <c r="O81">
        <f t="shared" si="6"/>
        <v>0</v>
      </c>
      <c r="P81" t="str">
        <f t="shared" si="7"/>
        <v>達成</v>
      </c>
    </row>
    <row r="82" spans="1:16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215</v>
      </c>
      <c r="I82" t="s">
        <v>216</v>
      </c>
      <c r="J82">
        <v>0</v>
      </c>
      <c r="K82">
        <f t="shared" si="2"/>
        <v>1</v>
      </c>
      <c r="L82">
        <f t="shared" si="3"/>
        <v>65</v>
      </c>
      <c r="M82">
        <f t="shared" si="4"/>
        <v>3</v>
      </c>
      <c r="N82">
        <f t="shared" si="5"/>
        <v>67</v>
      </c>
      <c r="O82">
        <f t="shared" si="6"/>
        <v>0</v>
      </c>
      <c r="P82" t="str">
        <f t="shared" si="7"/>
        <v>未達成（2）</v>
      </c>
    </row>
    <row r="83" spans="1:16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219</v>
      </c>
      <c r="I83" t="s">
        <v>220</v>
      </c>
      <c r="J83">
        <v>0</v>
      </c>
      <c r="K83">
        <f t="shared" ref="K83:K98" si="8">IF(A83&lt;DATEVALUE("2025/11/20")+TIMEVALUE("6:00"),1,IF(B83-SUM(D83:F83)&lt;&gt;60,0,MAX(2-INT(G83*24*60/10),0)))</f>
        <v>1</v>
      </c>
      <c r="L83">
        <f t="shared" ref="L83:L98" si="9">L82+K83</f>
        <v>66</v>
      </c>
      <c r="M83">
        <f t="shared" ref="M83:M98" si="10">2+IF(A83&gt;=DATEVALUE("2025/11/30")+TIMEVALUE("6:00"),1,0)+IF(A83&gt;=DATEVALUE("2025/12/11")+TIMEVALUE("6:00"),1,0)</f>
        <v>3</v>
      </c>
      <c r="N83">
        <f t="shared" ref="N83:N98" si="11">N82+M83*(INT(A83-6/24)-INT(A82-6/24))+O83</f>
        <v>67</v>
      </c>
      <c r="O83">
        <f t="shared" ref="O83:O98" si="12">IF(A83&gt;=DATEVALUE("2025/11/8")+TIMEVALUE("6:00"),1,0)-IF(A82&gt;=DATEVALUE("2025/11/8")+TIMEVALUE("6:00"),1,0)</f>
        <v>0</v>
      </c>
      <c r="P83" t="str">
        <f t="shared" ref="P83:P98" si="13">IF(L83&lt;N83,"未達成（"&amp;N83-L83&amp;"）",IF(L83=N83,"達成","前倒し（"&amp;L83-N83&amp;"）"))</f>
        <v>未達成（1）</v>
      </c>
    </row>
    <row r="84" spans="1:16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221</v>
      </c>
      <c r="I84" t="s">
        <v>222</v>
      </c>
      <c r="J84">
        <v>0</v>
      </c>
      <c r="K84">
        <f t="shared" si="8"/>
        <v>1</v>
      </c>
      <c r="L84">
        <f t="shared" si="9"/>
        <v>67</v>
      </c>
      <c r="M84">
        <f t="shared" si="10"/>
        <v>3</v>
      </c>
      <c r="N84">
        <f t="shared" si="11"/>
        <v>67</v>
      </c>
      <c r="O84">
        <f t="shared" si="12"/>
        <v>0</v>
      </c>
      <c r="P84" t="str">
        <f t="shared" si="13"/>
        <v>達成</v>
      </c>
    </row>
    <row r="85" spans="1:16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223</v>
      </c>
      <c r="I85" t="s">
        <v>224</v>
      </c>
      <c r="J85">
        <v>0</v>
      </c>
      <c r="K85">
        <f t="shared" si="8"/>
        <v>1</v>
      </c>
      <c r="L85">
        <f t="shared" si="9"/>
        <v>68</v>
      </c>
      <c r="M85">
        <f t="shared" si="10"/>
        <v>3</v>
      </c>
      <c r="N85">
        <f t="shared" si="11"/>
        <v>70</v>
      </c>
      <c r="O85">
        <f t="shared" si="12"/>
        <v>0</v>
      </c>
      <c r="P85" t="str">
        <f t="shared" si="13"/>
        <v>未達成（2）</v>
      </c>
    </row>
    <row r="86" spans="1:16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225</v>
      </c>
      <c r="I86" t="s">
        <v>226</v>
      </c>
      <c r="J86">
        <v>0</v>
      </c>
      <c r="K86">
        <f t="shared" si="8"/>
        <v>1</v>
      </c>
      <c r="L86">
        <f t="shared" si="9"/>
        <v>69</v>
      </c>
      <c r="M86">
        <f t="shared" si="10"/>
        <v>3</v>
      </c>
      <c r="N86">
        <f t="shared" si="11"/>
        <v>70</v>
      </c>
      <c r="O86">
        <f t="shared" si="12"/>
        <v>0</v>
      </c>
      <c r="P86" t="str">
        <f t="shared" si="13"/>
        <v>未達成（1）</v>
      </c>
    </row>
    <row r="87" spans="1:16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227</v>
      </c>
      <c r="I87" t="s">
        <v>228</v>
      </c>
      <c r="J87">
        <v>0</v>
      </c>
      <c r="K87">
        <f t="shared" si="8"/>
        <v>2</v>
      </c>
      <c r="L87">
        <f t="shared" si="9"/>
        <v>71</v>
      </c>
      <c r="M87">
        <f t="shared" si="10"/>
        <v>3</v>
      </c>
      <c r="N87">
        <f t="shared" si="11"/>
        <v>70</v>
      </c>
      <c r="O87">
        <f t="shared" si="12"/>
        <v>0</v>
      </c>
      <c r="P87" t="str">
        <f t="shared" si="13"/>
        <v>前倒し（1）</v>
      </c>
    </row>
    <row r="88" spans="1:16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229</v>
      </c>
      <c r="I88" t="s">
        <v>230</v>
      </c>
      <c r="J88">
        <v>0</v>
      </c>
      <c r="K88">
        <f t="shared" si="8"/>
        <v>1</v>
      </c>
      <c r="L88">
        <f t="shared" si="9"/>
        <v>72</v>
      </c>
      <c r="M88">
        <f t="shared" si="10"/>
        <v>3</v>
      </c>
      <c r="N88">
        <f t="shared" si="11"/>
        <v>73</v>
      </c>
      <c r="O88">
        <f t="shared" si="12"/>
        <v>0</v>
      </c>
      <c r="P88" t="str">
        <f t="shared" si="13"/>
        <v>未達成（1）</v>
      </c>
    </row>
    <row r="89" spans="1:16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231</v>
      </c>
      <c r="I89" t="s">
        <v>232</v>
      </c>
      <c r="J89">
        <v>0</v>
      </c>
      <c r="K89">
        <f t="shared" si="8"/>
        <v>1</v>
      </c>
      <c r="L89">
        <f t="shared" si="9"/>
        <v>73</v>
      </c>
      <c r="M89">
        <f t="shared" si="10"/>
        <v>3</v>
      </c>
      <c r="N89">
        <f t="shared" si="11"/>
        <v>73</v>
      </c>
      <c r="O89">
        <f t="shared" si="12"/>
        <v>0</v>
      </c>
      <c r="P89" t="str">
        <f t="shared" si="13"/>
        <v>達成</v>
      </c>
    </row>
    <row r="90" spans="1:16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233</v>
      </c>
      <c r="I90" t="s">
        <v>234</v>
      </c>
      <c r="J90">
        <v>0</v>
      </c>
      <c r="K90">
        <f t="shared" si="8"/>
        <v>2</v>
      </c>
      <c r="L90">
        <f t="shared" si="9"/>
        <v>75</v>
      </c>
      <c r="M90">
        <f t="shared" si="10"/>
        <v>3</v>
      </c>
      <c r="N90">
        <f t="shared" si="11"/>
        <v>76</v>
      </c>
      <c r="O90">
        <f t="shared" si="12"/>
        <v>0</v>
      </c>
      <c r="P90" t="str">
        <f t="shared" si="13"/>
        <v>未達成（1）</v>
      </c>
    </row>
    <row r="91" spans="1:16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235</v>
      </c>
      <c r="I91" t="s">
        <v>236</v>
      </c>
      <c r="J91">
        <v>0</v>
      </c>
      <c r="K91">
        <f t="shared" si="8"/>
        <v>2</v>
      </c>
      <c r="L91">
        <f t="shared" si="9"/>
        <v>77</v>
      </c>
      <c r="M91">
        <f t="shared" si="10"/>
        <v>3</v>
      </c>
      <c r="N91">
        <f t="shared" si="11"/>
        <v>76</v>
      </c>
      <c r="O91">
        <f t="shared" si="12"/>
        <v>0</v>
      </c>
      <c r="P91" t="str">
        <f t="shared" si="13"/>
        <v>前倒し（1）</v>
      </c>
    </row>
    <row r="92" spans="1:16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237</v>
      </c>
      <c r="I92" t="s">
        <v>238</v>
      </c>
      <c r="J92">
        <v>0</v>
      </c>
      <c r="K92">
        <f t="shared" si="8"/>
        <v>2</v>
      </c>
      <c r="L92">
        <f t="shared" si="9"/>
        <v>79</v>
      </c>
      <c r="M92">
        <f t="shared" si="10"/>
        <v>3</v>
      </c>
      <c r="N92">
        <f t="shared" si="11"/>
        <v>79</v>
      </c>
      <c r="O92">
        <f t="shared" si="12"/>
        <v>0</v>
      </c>
      <c r="P92" t="str">
        <f t="shared" si="13"/>
        <v>達成</v>
      </c>
    </row>
    <row r="93" spans="1:16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239</v>
      </c>
      <c r="I93" t="s">
        <v>240</v>
      </c>
      <c r="J93">
        <v>0</v>
      </c>
      <c r="K93">
        <f t="shared" si="8"/>
        <v>1</v>
      </c>
      <c r="L93">
        <f t="shared" si="9"/>
        <v>80</v>
      </c>
      <c r="M93">
        <f t="shared" si="10"/>
        <v>3</v>
      </c>
      <c r="N93">
        <f t="shared" si="11"/>
        <v>82</v>
      </c>
      <c r="O93">
        <f t="shared" si="12"/>
        <v>0</v>
      </c>
      <c r="P93" t="str">
        <f t="shared" si="13"/>
        <v>未達成（2）</v>
      </c>
    </row>
    <row r="94" spans="1:16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241</v>
      </c>
      <c r="I94" t="s">
        <v>242</v>
      </c>
      <c r="J94">
        <v>0</v>
      </c>
      <c r="K94">
        <f t="shared" si="8"/>
        <v>1</v>
      </c>
      <c r="L94">
        <f t="shared" si="9"/>
        <v>81</v>
      </c>
      <c r="M94">
        <f t="shared" si="10"/>
        <v>3</v>
      </c>
      <c r="N94">
        <f t="shared" si="11"/>
        <v>82</v>
      </c>
      <c r="O94">
        <f t="shared" si="12"/>
        <v>0</v>
      </c>
      <c r="P94" t="str">
        <f t="shared" si="13"/>
        <v>未達成（1）</v>
      </c>
    </row>
    <row r="95" spans="1:16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243</v>
      </c>
      <c r="I95" t="s">
        <v>244</v>
      </c>
      <c r="J95">
        <v>0</v>
      </c>
      <c r="K95">
        <f t="shared" si="8"/>
        <v>2</v>
      </c>
      <c r="L95">
        <f t="shared" si="9"/>
        <v>83</v>
      </c>
      <c r="M95">
        <f t="shared" si="10"/>
        <v>3</v>
      </c>
      <c r="N95">
        <f t="shared" si="11"/>
        <v>82</v>
      </c>
      <c r="O95">
        <f t="shared" si="12"/>
        <v>0</v>
      </c>
      <c r="P95" t="str">
        <f t="shared" si="13"/>
        <v>前倒し（1）</v>
      </c>
    </row>
    <row r="96" spans="1:16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245</v>
      </c>
      <c r="I96" t="s">
        <v>246</v>
      </c>
      <c r="J96">
        <v>0</v>
      </c>
      <c r="K96">
        <f t="shared" si="8"/>
        <v>1</v>
      </c>
      <c r="L96">
        <f t="shared" si="9"/>
        <v>84</v>
      </c>
      <c r="M96">
        <f t="shared" si="10"/>
        <v>3</v>
      </c>
      <c r="N96">
        <f t="shared" si="11"/>
        <v>85</v>
      </c>
      <c r="O96">
        <f t="shared" si="12"/>
        <v>0</v>
      </c>
      <c r="P96" t="str">
        <f t="shared" si="13"/>
        <v>未達成（1）</v>
      </c>
    </row>
    <row r="97" spans="1:16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247</v>
      </c>
      <c r="I97" t="s">
        <v>248</v>
      </c>
      <c r="J97">
        <v>0</v>
      </c>
      <c r="K97">
        <f t="shared" si="8"/>
        <v>2</v>
      </c>
      <c r="L97">
        <f t="shared" si="9"/>
        <v>86</v>
      </c>
      <c r="M97">
        <f t="shared" si="10"/>
        <v>3</v>
      </c>
      <c r="N97">
        <f t="shared" si="11"/>
        <v>85</v>
      </c>
      <c r="O97">
        <f t="shared" si="12"/>
        <v>0</v>
      </c>
      <c r="P97" t="str">
        <f t="shared" si="13"/>
        <v>前倒し（1）</v>
      </c>
    </row>
    <row r="98" spans="1:16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249</v>
      </c>
      <c r="I98" t="s">
        <v>250</v>
      </c>
      <c r="J98">
        <v>0</v>
      </c>
      <c r="K98">
        <f t="shared" si="8"/>
        <v>2</v>
      </c>
      <c r="L98">
        <f t="shared" si="9"/>
        <v>88</v>
      </c>
      <c r="M98">
        <f t="shared" si="10"/>
        <v>3</v>
      </c>
      <c r="N98">
        <f t="shared" si="11"/>
        <v>88</v>
      </c>
      <c r="O98">
        <f t="shared" si="12"/>
        <v>0</v>
      </c>
      <c r="P98" t="str">
        <f t="shared" si="13"/>
        <v>達成</v>
      </c>
    </row>
    <row r="99" spans="1:16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252</v>
      </c>
      <c r="I99" t="s">
        <v>253</v>
      </c>
      <c r="J99">
        <v>0</v>
      </c>
      <c r="K99">
        <f t="shared" ref="K99" si="14">IF(A99&lt;DATEVALUE("2025/11/20")+TIMEVALUE("6:00"),1,IF(B99-SUM(D99:F99)&lt;&gt;60,0,MAX(2-INT(G99*24*60/10),0)))</f>
        <v>1</v>
      </c>
      <c r="L99">
        <f t="shared" ref="L99" si="15">L98+K99</f>
        <v>89</v>
      </c>
      <c r="M99">
        <f t="shared" ref="M99" si="16">2+IF(A99&gt;=DATEVALUE("2025/11/30")+TIMEVALUE("6:00"),1,0)+IF(A99&gt;=DATEVALUE("2025/12/11")+TIMEVALUE("6:00"),1,0)</f>
        <v>4</v>
      </c>
      <c r="N99">
        <f t="shared" ref="N99" si="17">N98+M99*(INT(A99-6/24)-INT(A98-6/24))+O99</f>
        <v>92</v>
      </c>
      <c r="O99">
        <f t="shared" ref="O99" si="18">IF(A99&gt;=DATEVALUE("2025/11/8")+TIMEVALUE("6:00"),1,0)-IF(A98&gt;=DATEVALUE("2025/11/8")+TIMEVALUE("6:00"),1,0)</f>
        <v>0</v>
      </c>
      <c r="P99" t="str">
        <f t="shared" ref="P99" si="19">IF(L99&lt;N99,"未達成（"&amp;N99-L99&amp;"）",IF(L99=N99,"達成","前倒し（"&amp;L99-N99&amp;"）"))</f>
        <v>未達成（3）</v>
      </c>
    </row>
    <row r="100" spans="1:16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254</v>
      </c>
      <c r="I100" t="s">
        <v>255</v>
      </c>
      <c r="J100">
        <v>0</v>
      </c>
      <c r="K100">
        <f t="shared" ref="K100" si="20">IF(A100&lt;DATEVALUE("2025/11/20")+TIMEVALUE("6:00"),1,IF(B100-SUM(D100:F100)&lt;&gt;60,0,MAX(2-INT(G100*24*60/10),0)))</f>
        <v>0</v>
      </c>
      <c r="L100">
        <f t="shared" ref="L100" si="21">L99+K100</f>
        <v>89</v>
      </c>
      <c r="M100">
        <f t="shared" ref="M100" si="22">2+IF(A100&gt;=DATEVALUE("2025/11/30")+TIMEVALUE("6:00"),1,0)+IF(A100&gt;=DATEVALUE("2025/12/11")+TIMEVALUE("6:00"),1,0)</f>
        <v>4</v>
      </c>
      <c r="N100">
        <f t="shared" ref="N100" si="23">N99+M100*(INT(A100-6/24)-INT(A99-6/24))+O100</f>
        <v>92</v>
      </c>
      <c r="O100">
        <f t="shared" ref="O100" si="24">IF(A100&gt;=DATEVALUE("2025/11/8")+TIMEVALUE("6:00"),1,0)-IF(A99&gt;=DATEVALUE("2025/11/8")+TIMEVALUE("6:00"),1,0)</f>
        <v>0</v>
      </c>
      <c r="P100" t="str">
        <f t="shared" ref="P100" si="25">IF(L100&lt;N100,"未達成（"&amp;N100-L100&amp;"）",IF(L100=N100,"達成","前倒し（"&amp;L100-N100&amp;"）"))</f>
        <v>未達成（3）</v>
      </c>
    </row>
    <row r="101" spans="1:16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256</v>
      </c>
      <c r="I101" t="s">
        <v>257</v>
      </c>
      <c r="J101">
        <v>0</v>
      </c>
      <c r="K101">
        <f t="shared" ref="K101" si="26">IF(A101&lt;DATEVALUE("2025/11/20")+TIMEVALUE("6:00"),1,IF(B101-SUM(D101:F101)&lt;&gt;60,0,MAX(2-INT(G101*24*60/10),0)))</f>
        <v>1</v>
      </c>
      <c r="L101">
        <f t="shared" ref="L101" si="27">L100+K101</f>
        <v>90</v>
      </c>
      <c r="M101">
        <f t="shared" ref="M101" si="28">2+IF(A101&gt;=DATEVALUE("2025/11/30")+TIMEVALUE("6:00"),1,0)+IF(A101&gt;=DATEVALUE("2025/12/11")+TIMEVALUE("6:00"),1,0)</f>
        <v>4</v>
      </c>
      <c r="N101">
        <f t="shared" ref="N101" si="29">N100+M101*(INT(A101-6/24)-INT(A100-6/24))+O101</f>
        <v>92</v>
      </c>
      <c r="O101">
        <f t="shared" ref="O101" si="30">IF(A101&gt;=DATEVALUE("2025/11/8")+TIMEVALUE("6:00"),1,0)-IF(A100&gt;=DATEVALUE("2025/11/8")+TIMEVALUE("6:00"),1,0)</f>
        <v>0</v>
      </c>
      <c r="P101" t="str">
        <f t="shared" ref="P101" si="31">IF(L101&lt;N101,"未達成（"&amp;N101-L101&amp;"）",IF(L101=N101,"達成","前倒し（"&amp;L101-N101&amp;"）"))</f>
        <v>未達成（2）</v>
      </c>
    </row>
    <row r="102" spans="1:16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258</v>
      </c>
      <c r="I102" t="s">
        <v>259</v>
      </c>
      <c r="J102">
        <v>0</v>
      </c>
      <c r="K102">
        <f t="shared" ref="K102" si="32">IF(A102&lt;DATEVALUE("2025/11/20")+TIMEVALUE("6:00"),1,IF(B102-SUM(D102:F102)&lt;&gt;60,0,MAX(2-INT(G102*24*60/10),0)))</f>
        <v>1</v>
      </c>
      <c r="L102">
        <f t="shared" ref="L102" si="33">L101+K102</f>
        <v>91</v>
      </c>
      <c r="M102">
        <f t="shared" ref="M102" si="34">2+IF(A102&gt;=DATEVALUE("2025/11/30")+TIMEVALUE("6:00"),1,0)+IF(A102&gt;=DATEVALUE("2025/12/11")+TIMEVALUE("6:00"),1,0)</f>
        <v>4</v>
      </c>
      <c r="N102">
        <f t="shared" ref="N102" si="35">N101+M102*(INT(A102-6/24)-INT(A101-6/24))+O102</f>
        <v>92</v>
      </c>
      <c r="O102">
        <f t="shared" ref="O102" si="36">IF(A102&gt;=DATEVALUE("2025/11/8")+TIMEVALUE("6:00"),1,0)-IF(A101&gt;=DATEVALUE("2025/11/8")+TIMEVALUE("6:00"),1,0)</f>
        <v>0</v>
      </c>
      <c r="P102" t="str">
        <f t="shared" ref="P102" si="37">IF(L102&lt;N102,"未達成（"&amp;N102-L102&amp;"）",IF(L102=N102,"達成","前倒し（"&amp;L102-N102&amp;"）"))</f>
        <v>未達成（1）</v>
      </c>
    </row>
    <row r="103" spans="1:16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260</v>
      </c>
      <c r="I103" t="s">
        <v>261</v>
      </c>
      <c r="J103">
        <v>0</v>
      </c>
      <c r="K103">
        <f t="shared" ref="K103" si="38">IF(A103&lt;DATEVALUE("2025/11/20")+TIMEVALUE("6:00"),1,IF(B103-SUM(D103:F103)&lt;&gt;60,0,MAX(2-INT(G103*24*60/10),0)))</f>
        <v>1</v>
      </c>
      <c r="L103">
        <f t="shared" ref="L103" si="39">L102+K103</f>
        <v>92</v>
      </c>
      <c r="M103">
        <f t="shared" ref="M103" si="40">2+IF(A103&gt;=DATEVALUE("2025/11/30")+TIMEVALUE("6:00"),1,0)+IF(A103&gt;=DATEVALUE("2025/12/11")+TIMEVALUE("6:00"),1,0)</f>
        <v>4</v>
      </c>
      <c r="N103">
        <f t="shared" ref="N103" si="41">N102+M103*(INT(A103-6/24)-INT(A102-6/24))+O103</f>
        <v>92</v>
      </c>
      <c r="O103">
        <f t="shared" ref="O103" si="42">IF(A103&gt;=DATEVALUE("2025/11/8")+TIMEVALUE("6:00"),1,0)-IF(A102&gt;=DATEVALUE("2025/11/8")+TIMEVALUE("6:00"),1,0)</f>
        <v>0</v>
      </c>
      <c r="P103" t="str">
        <f t="shared" ref="P103" si="43">IF(L103&lt;N103,"未達成（"&amp;N103-L103&amp;"）",IF(L103=N103,"達成","前倒し（"&amp;L103-N103&amp;"）"))</f>
        <v>達成</v>
      </c>
    </row>
    <row r="104" spans="1:16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262</v>
      </c>
      <c r="I104" t="s">
        <v>263</v>
      </c>
      <c r="J104">
        <v>0</v>
      </c>
      <c r="K104">
        <f t="shared" ref="K104" si="44">IF(A104&lt;DATEVALUE("2025/11/20")+TIMEVALUE("6:00"),1,IF(B104-SUM(D104:F104)&lt;&gt;60,0,MAX(2-INT(G104*24*60/10),0)))</f>
        <v>2</v>
      </c>
      <c r="L104">
        <f t="shared" ref="L104" si="45">L103+K104</f>
        <v>94</v>
      </c>
      <c r="M104">
        <f t="shared" ref="M104" si="46">2+IF(A104&gt;=DATEVALUE("2025/11/30")+TIMEVALUE("6:00"),1,0)+IF(A104&gt;=DATEVALUE("2025/12/11")+TIMEVALUE("6:00"),1,0)</f>
        <v>4</v>
      </c>
      <c r="N104">
        <f t="shared" ref="N104" si="47">N103+M104*(INT(A104-6/24)-INT(A103-6/24))+O104</f>
        <v>96</v>
      </c>
      <c r="O104">
        <f t="shared" ref="O104" si="48">IF(A104&gt;=DATEVALUE("2025/11/8")+TIMEVALUE("6:00"),1,0)-IF(A103&gt;=DATEVALUE("2025/11/8")+TIMEVALUE("6:00"),1,0)</f>
        <v>0</v>
      </c>
      <c r="P104" t="str">
        <f t="shared" ref="P104" si="49">IF(L104&lt;N104,"未達成（"&amp;N104-L104&amp;"）",IF(L104=N104,"達成","前倒し（"&amp;L104-N104&amp;"）"))</f>
        <v>未達成（2）</v>
      </c>
    </row>
    <row r="105" spans="1:16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264</v>
      </c>
      <c r="I105" t="s">
        <v>265</v>
      </c>
      <c r="J105">
        <v>0</v>
      </c>
      <c r="K105">
        <f t="shared" ref="K105" si="50">IF(A105&lt;DATEVALUE("2025/11/20")+TIMEVALUE("6:00"),1,IF(B105-SUM(D105:F105)&lt;&gt;60,0,MAX(2-INT(G105*24*60/10),0)))</f>
        <v>1</v>
      </c>
      <c r="L105">
        <f t="shared" ref="L105" si="51">L104+K105</f>
        <v>95</v>
      </c>
      <c r="M105">
        <f t="shared" ref="M105" si="52">2+IF(A105&gt;=DATEVALUE("2025/11/30")+TIMEVALUE("6:00"),1,0)+IF(A105&gt;=DATEVALUE("2025/12/11")+TIMEVALUE("6:00"),1,0)</f>
        <v>4</v>
      </c>
      <c r="N105">
        <f t="shared" ref="N105" si="53">N104+M105*(INT(A105-6/24)-INT(A104-6/24))+O105</f>
        <v>96</v>
      </c>
      <c r="O105">
        <f t="shared" ref="O105" si="54">IF(A105&gt;=DATEVALUE("2025/11/8")+TIMEVALUE("6:00"),1,0)-IF(A104&gt;=DATEVALUE("2025/11/8")+TIMEVALUE("6:00"),1,0)</f>
        <v>0</v>
      </c>
      <c r="P105" t="str">
        <f t="shared" ref="P105" si="55">IF(L105&lt;N105,"未達成（"&amp;N105-L105&amp;"）",IF(L105=N105,"達成","前倒し（"&amp;L105-N105&amp;"）"))</f>
        <v>未達成（1）</v>
      </c>
    </row>
    <row r="106" spans="1:16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266</v>
      </c>
      <c r="I106" t="s">
        <v>267</v>
      </c>
      <c r="J106">
        <v>0</v>
      </c>
      <c r="K106">
        <f t="shared" ref="K106" si="56">IF(A106&lt;DATEVALUE("2025/11/20")+TIMEVALUE("6:00"),1,IF(B106-SUM(D106:F106)&lt;&gt;60,0,MAX(2-INT(G106*24*60/10),0)))</f>
        <v>2</v>
      </c>
      <c r="L106">
        <f t="shared" ref="L106" si="57">L105+K106</f>
        <v>97</v>
      </c>
      <c r="M106">
        <f t="shared" ref="M106" si="58">2+IF(A106&gt;=DATEVALUE("2025/11/30")+TIMEVALUE("6:00"),1,0)+IF(A106&gt;=DATEVALUE("2025/12/11")+TIMEVALUE("6:00"),1,0)</f>
        <v>4</v>
      </c>
      <c r="N106">
        <f t="shared" ref="N106" si="59">N105+M106*(INT(A106-6/24)-INT(A105-6/24))+O106</f>
        <v>96</v>
      </c>
      <c r="O106">
        <f t="shared" ref="O106" si="60">IF(A106&gt;=DATEVALUE("2025/11/8")+TIMEVALUE("6:00"),1,0)-IF(A105&gt;=DATEVALUE("2025/11/8")+TIMEVALUE("6:00"),1,0)</f>
        <v>0</v>
      </c>
      <c r="P106" t="str">
        <f t="shared" ref="P106" si="61">IF(L106&lt;N106,"未達成（"&amp;N106-L106&amp;"）",IF(L106=N106,"達成","前倒し（"&amp;L106-N106&amp;"）"))</f>
        <v>前倒し（1）</v>
      </c>
    </row>
    <row r="107" spans="1:16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268</v>
      </c>
      <c r="I107" t="s">
        <v>269</v>
      </c>
      <c r="J107">
        <v>0</v>
      </c>
      <c r="K107">
        <f t="shared" ref="K107" si="62">IF(A107&lt;DATEVALUE("2025/11/20")+TIMEVALUE("6:00"),1,IF(B107-SUM(D107:F107)&lt;&gt;60,0,MAX(2-INT(G107*24*60/10),0)))</f>
        <v>1</v>
      </c>
      <c r="L107">
        <f t="shared" ref="L107" si="63">L106+K107</f>
        <v>98</v>
      </c>
      <c r="M107">
        <f t="shared" ref="M107" si="64">2+IF(A107&gt;=DATEVALUE("2025/11/30")+TIMEVALUE("6:00"),1,0)+IF(A107&gt;=DATEVALUE("2025/12/11")+TIMEVALUE("6:00"),1,0)</f>
        <v>4</v>
      </c>
      <c r="N107">
        <f t="shared" ref="N107" si="65">N106+M107*(INT(A107-6/24)-INT(A106-6/24))+O107</f>
        <v>100</v>
      </c>
      <c r="O107">
        <f t="shared" ref="O107" si="66">IF(A107&gt;=DATEVALUE("2025/11/8")+TIMEVALUE("6:00"),1,0)-IF(A106&gt;=DATEVALUE("2025/11/8")+TIMEVALUE("6:00"),1,0)</f>
        <v>0</v>
      </c>
      <c r="P107" t="str">
        <f t="shared" ref="P107" si="67">IF(L107&lt;N107,"未達成（"&amp;N107-L107&amp;"）",IF(L107=N107,"達成","前倒し（"&amp;L107-N107&amp;"）"))</f>
        <v>未達成（2）</v>
      </c>
    </row>
    <row r="108" spans="1:16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270</v>
      </c>
      <c r="I108" t="s">
        <v>271</v>
      </c>
      <c r="J108">
        <v>0</v>
      </c>
      <c r="K108">
        <f t="shared" ref="K108" si="68">IF(A108&lt;DATEVALUE("2025/11/20")+TIMEVALUE("6:00"),1,IF(B108-SUM(D108:F108)&lt;&gt;60,0,MAX(2-INT(G108*24*60/10),0)))</f>
        <v>2</v>
      </c>
      <c r="L108">
        <f t="shared" ref="L108" si="69">L107+K108</f>
        <v>100</v>
      </c>
      <c r="M108">
        <f t="shared" ref="M108" si="70">2+IF(A108&gt;=DATEVALUE("2025/11/30")+TIMEVALUE("6:00"),1,0)+IF(A108&gt;=DATEVALUE("2025/12/11")+TIMEVALUE("6:00"),1,0)</f>
        <v>4</v>
      </c>
      <c r="N108">
        <f t="shared" ref="N108" si="71">N107+M108*(INT(A108-6/24)-INT(A107-6/24))+O108</f>
        <v>100</v>
      </c>
      <c r="O108">
        <f t="shared" ref="O108" si="72">IF(A108&gt;=DATEVALUE("2025/11/8")+TIMEVALUE("6:00"),1,0)-IF(A107&gt;=DATEVALUE("2025/11/8")+TIMEVALUE("6:00"),1,0)</f>
        <v>0</v>
      </c>
      <c r="P108" t="str">
        <f t="shared" ref="P108" si="73">IF(L108&lt;N108,"未達成（"&amp;N108-L108&amp;"）",IF(L108=N108,"達成","前倒し（"&amp;L108-N108&amp;"）"))</f>
        <v>達成</v>
      </c>
    </row>
    <row r="109" spans="1:16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272</v>
      </c>
      <c r="I109" t="s">
        <v>273</v>
      </c>
      <c r="J109">
        <v>0</v>
      </c>
      <c r="K109">
        <f t="shared" ref="K109" si="74">IF(A109&lt;DATEVALUE("2025/11/20")+TIMEVALUE("6:00"),1,IF(B109-SUM(D109:F109)&lt;&gt;60,0,MAX(2-INT(G109*24*60/10),0)))</f>
        <v>1</v>
      </c>
      <c r="L109">
        <f t="shared" ref="L109" si="75">L108+K109</f>
        <v>101</v>
      </c>
      <c r="M109">
        <f t="shared" ref="M109" si="76">2+IF(A109&gt;=DATEVALUE("2025/11/30")+TIMEVALUE("6:00"),1,0)+IF(A109&gt;=DATEVALUE("2025/12/11")+TIMEVALUE("6:00"),1,0)</f>
        <v>4</v>
      </c>
      <c r="N109">
        <f t="shared" ref="N109" si="77">N108+M109*(INT(A109-6/24)-INT(A108-6/24))+O109</f>
        <v>104</v>
      </c>
      <c r="O109">
        <f t="shared" ref="O109" si="78">IF(A109&gt;=DATEVALUE("2025/11/8")+TIMEVALUE("6:00"),1,0)-IF(A108&gt;=DATEVALUE("2025/11/8")+TIMEVALUE("6:00"),1,0)</f>
        <v>0</v>
      </c>
      <c r="P109" t="str">
        <f t="shared" ref="P109" si="79">IF(L109&lt;N109,"未達成（"&amp;N109-L109&amp;"）",IF(L109=N109,"達成","前倒し（"&amp;L109-N109&amp;"）"))</f>
        <v>未達成（3）</v>
      </c>
    </row>
    <row r="110" spans="1:16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274</v>
      </c>
      <c r="I110" t="s">
        <v>275</v>
      </c>
      <c r="J110">
        <v>0</v>
      </c>
      <c r="K110">
        <f t="shared" ref="K110" si="80">IF(A110&lt;DATEVALUE("2025/11/20")+TIMEVALUE("6:00"),1,IF(B110-SUM(D110:F110)&lt;&gt;60,0,MAX(2-INT(G110*24*60/10),0)))</f>
        <v>2</v>
      </c>
      <c r="L110">
        <f t="shared" ref="L110" si="81">L109+K110</f>
        <v>103</v>
      </c>
      <c r="M110">
        <f t="shared" ref="M110" si="82">2+IF(A110&gt;=DATEVALUE("2025/11/30")+TIMEVALUE("6:00"),1,0)+IF(A110&gt;=DATEVALUE("2025/12/11")+TIMEVALUE("6:00"),1,0)</f>
        <v>4</v>
      </c>
      <c r="N110">
        <f t="shared" ref="N110" si="83">N109+M110*(INT(A110-6/24)-INT(A109-6/24))+O110</f>
        <v>104</v>
      </c>
      <c r="O110">
        <f t="shared" ref="O110" si="84">IF(A110&gt;=DATEVALUE("2025/11/8")+TIMEVALUE("6:00"),1,0)-IF(A109&gt;=DATEVALUE("2025/11/8")+TIMEVALUE("6:00"),1,0)</f>
        <v>0</v>
      </c>
      <c r="P110" t="str">
        <f t="shared" ref="P110" si="85">IF(L110&lt;N110,"未達成（"&amp;N110-L110&amp;"）",IF(L110=N110,"達成","前倒し（"&amp;L110-N110&amp;"）"))</f>
        <v>未達成（1）</v>
      </c>
    </row>
    <row r="111" spans="1:16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276</v>
      </c>
      <c r="I111" t="s">
        <v>277</v>
      </c>
      <c r="J111">
        <v>0</v>
      </c>
      <c r="K111">
        <f t="shared" ref="K111" si="86">IF(A111&lt;DATEVALUE("2025/11/20")+TIMEVALUE("6:00"),1,IF(B111-SUM(D111:F111)&lt;&gt;60,0,MAX(2-INT(G111*24*60/10),0)))</f>
        <v>2</v>
      </c>
      <c r="L111">
        <f t="shared" ref="L111" si="87">L110+K111</f>
        <v>105</v>
      </c>
      <c r="M111">
        <f t="shared" ref="M111" si="88">2+IF(A111&gt;=DATEVALUE("2025/11/30")+TIMEVALUE("6:00"),1,0)+IF(A111&gt;=DATEVALUE("2025/12/11")+TIMEVALUE("6:00"),1,0)</f>
        <v>4</v>
      </c>
      <c r="N111">
        <f t="shared" ref="N111" si="89">N110+M111*(INT(A111-6/24)-INT(A110-6/24))+O111</f>
        <v>104</v>
      </c>
      <c r="O111">
        <f t="shared" ref="O111" si="90">IF(A111&gt;=DATEVALUE("2025/11/8")+TIMEVALUE("6:00"),1,0)-IF(A110&gt;=DATEVALUE("2025/11/8")+TIMEVALUE("6:00"),1,0)</f>
        <v>0</v>
      </c>
      <c r="P111" t="str">
        <f t="shared" ref="P111" si="91">IF(L111&lt;N111,"未達成（"&amp;N111-L111&amp;"）",IF(L111=N111,"達成","前倒し（"&amp;L111-N111&amp;"）"))</f>
        <v>前倒し（1）</v>
      </c>
    </row>
    <row r="112" spans="1:16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278</v>
      </c>
      <c r="I112" t="s">
        <v>279</v>
      </c>
      <c r="J112">
        <v>0</v>
      </c>
      <c r="K112">
        <f t="shared" ref="K112" si="92">IF(A112&lt;DATEVALUE("2025/11/20")+TIMEVALUE("6:00"),1,IF(B112-SUM(D112:F112)&lt;&gt;60,0,MAX(2-INT(G112*24*60/10),0)))</f>
        <v>2</v>
      </c>
      <c r="L112">
        <f t="shared" ref="L112" si="93">L111+K112</f>
        <v>107</v>
      </c>
      <c r="M112">
        <f t="shared" ref="M112" si="94">2+IF(A112&gt;=DATEVALUE("2025/11/30")+TIMEVALUE("6:00"),1,0)+IF(A112&gt;=DATEVALUE("2025/12/11")+TIMEVALUE("6:00"),1,0)</f>
        <v>4</v>
      </c>
      <c r="N112">
        <f t="shared" ref="N112" si="95">N111+M112*(INT(A112-6/24)-INT(A111-6/24))+O112</f>
        <v>108</v>
      </c>
      <c r="O112">
        <f t="shared" ref="O112" si="96">IF(A112&gt;=DATEVALUE("2025/11/8")+TIMEVALUE("6:00"),1,0)-IF(A111&gt;=DATEVALUE("2025/11/8")+TIMEVALUE("6:00"),1,0)</f>
        <v>0</v>
      </c>
      <c r="P112" t="str">
        <f t="shared" ref="P112" si="97">IF(L112&lt;N112,"未達成（"&amp;N112-L112&amp;"）",IF(L112=N112,"達成","前倒し（"&amp;L112-N112&amp;"）"))</f>
        <v>未達成（1）</v>
      </c>
    </row>
    <row r="113" spans="1:16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280</v>
      </c>
      <c r="I113" t="s">
        <v>281</v>
      </c>
      <c r="J113">
        <v>0</v>
      </c>
      <c r="K113">
        <f t="shared" ref="K113" si="98">IF(A113&lt;DATEVALUE("2025/11/20")+TIMEVALUE("6:00"),1,IF(B113-SUM(D113:F113)&lt;&gt;60,0,MAX(2-INT(G113*24*60/10),0)))</f>
        <v>1</v>
      </c>
      <c r="L113">
        <f t="shared" ref="L113" si="99">L112+K113</f>
        <v>108</v>
      </c>
      <c r="M113">
        <f t="shared" ref="M113" si="100">2+IF(A113&gt;=DATEVALUE("2025/11/30")+TIMEVALUE("6:00"),1,0)+IF(A113&gt;=DATEVALUE("2025/12/11")+TIMEVALUE("6:00"),1,0)</f>
        <v>4</v>
      </c>
      <c r="N113">
        <f t="shared" ref="N113" si="101">N112+M113*(INT(A113-6/24)-INT(A112-6/24))+O113</f>
        <v>108</v>
      </c>
      <c r="O113">
        <f t="shared" ref="O113" si="102">IF(A113&gt;=DATEVALUE("2025/11/8")+TIMEVALUE("6:00"),1,0)-IF(A112&gt;=DATEVALUE("2025/11/8")+TIMEVALUE("6:00"),1,0)</f>
        <v>0</v>
      </c>
      <c r="P113" t="str">
        <f t="shared" ref="P113" si="103">IF(L113&lt;N113,"未達成（"&amp;N113-L113&amp;"）",IF(L113=N113,"達成","前倒し（"&amp;L113-N113&amp;"）"))</f>
        <v>達成</v>
      </c>
    </row>
    <row r="114" spans="1:16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282</v>
      </c>
      <c r="I114" t="s">
        <v>283</v>
      </c>
      <c r="J114">
        <v>0</v>
      </c>
      <c r="K114">
        <f t="shared" ref="K114" si="104">IF(A114&lt;DATEVALUE("2025/11/20")+TIMEVALUE("6:00"),1,IF(B114-SUM(D114:F114)&lt;&gt;60,0,MAX(2-INT(G114*24*60/10),0)))</f>
        <v>2</v>
      </c>
      <c r="L114">
        <f t="shared" ref="L114" si="105">L113+K114</f>
        <v>110</v>
      </c>
      <c r="M114">
        <f t="shared" ref="M114" si="106">2+IF(A114&gt;=DATEVALUE("2025/11/30")+TIMEVALUE("6:00"),1,0)+IF(A114&gt;=DATEVALUE("2025/12/11")+TIMEVALUE("6:00"),1,0)</f>
        <v>4</v>
      </c>
      <c r="N114">
        <f t="shared" ref="N114" si="107">N113+M114*(INT(A114-6/24)-INT(A113-6/24))+O114</f>
        <v>112</v>
      </c>
      <c r="O114">
        <f t="shared" ref="O114" si="108">IF(A114&gt;=DATEVALUE("2025/11/8")+TIMEVALUE("6:00"),1,0)-IF(A113&gt;=DATEVALUE("2025/11/8")+TIMEVALUE("6:00"),1,0)</f>
        <v>0</v>
      </c>
      <c r="P114" t="str">
        <f t="shared" ref="P114" si="109">IF(L114&lt;N114,"未達成（"&amp;N114-L114&amp;"）",IF(L114=N114,"達成","前倒し（"&amp;L114-N114&amp;"）"))</f>
        <v>未達成（2）</v>
      </c>
    </row>
    <row r="115" spans="1:16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284</v>
      </c>
      <c r="I115" t="s">
        <v>285</v>
      </c>
      <c r="J115">
        <v>0</v>
      </c>
      <c r="K115">
        <f t="shared" ref="K115" si="110">IF(A115&lt;DATEVALUE("2025/11/20")+TIMEVALUE("6:00"),1,IF(B115-SUM(D115:F115)&lt;&gt;60,0,MAX(2-INT(G115*24*60/10),0)))</f>
        <v>1</v>
      </c>
      <c r="L115">
        <f t="shared" ref="L115" si="111">L114+K115</f>
        <v>111</v>
      </c>
      <c r="M115">
        <f t="shared" ref="M115" si="112">2+IF(A115&gt;=DATEVALUE("2025/11/30")+TIMEVALUE("6:00"),1,0)+IF(A115&gt;=DATEVALUE("2025/12/11")+TIMEVALUE("6:00"),1,0)</f>
        <v>4</v>
      </c>
      <c r="N115">
        <f t="shared" ref="N115" si="113">N114+M115*(INT(A115-6/24)-INT(A114-6/24))+O115</f>
        <v>112</v>
      </c>
      <c r="O115">
        <f t="shared" ref="O115" si="114">IF(A115&gt;=DATEVALUE("2025/11/8")+TIMEVALUE("6:00"),1,0)-IF(A114&gt;=DATEVALUE("2025/11/8")+TIMEVALUE("6:00"),1,0)</f>
        <v>0</v>
      </c>
      <c r="P115" t="str">
        <f t="shared" ref="P115" si="115">IF(L115&lt;N115,"未達成（"&amp;N115-L115&amp;"）",IF(L115=N115,"達成","前倒し（"&amp;L115-N115&amp;"）"))</f>
        <v>未達成（1）</v>
      </c>
    </row>
    <row r="116" spans="1:16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286</v>
      </c>
      <c r="I116" t="s">
        <v>287</v>
      </c>
      <c r="J116">
        <v>0</v>
      </c>
      <c r="K116">
        <f t="shared" ref="K116" si="116">IF(A116&lt;DATEVALUE("2025/11/20")+TIMEVALUE("6:00"),1,IF(B116-SUM(D116:F116)&lt;&gt;60,0,MAX(2-INT(G116*24*60/10),0)))</f>
        <v>1</v>
      </c>
      <c r="L116">
        <f t="shared" ref="L116" si="117">L115+K116</f>
        <v>112</v>
      </c>
      <c r="M116">
        <f t="shared" ref="M116" si="118">2+IF(A116&gt;=DATEVALUE("2025/11/30")+TIMEVALUE("6:00"),1,0)+IF(A116&gt;=DATEVALUE("2025/12/11")+TIMEVALUE("6:00"),1,0)</f>
        <v>4</v>
      </c>
      <c r="N116">
        <f t="shared" ref="N116" si="119">N115+M116*(INT(A116-6/24)-INT(A115-6/24))+O116</f>
        <v>112</v>
      </c>
      <c r="O116">
        <f t="shared" ref="O116" si="120">IF(A116&gt;=DATEVALUE("2025/11/8")+TIMEVALUE("6:00"),1,0)-IF(A115&gt;=DATEVALUE("2025/11/8")+TIMEVALUE("6:00"),1,0)</f>
        <v>0</v>
      </c>
      <c r="P116" t="str">
        <f t="shared" ref="P116" si="121">IF(L116&lt;N116,"未達成（"&amp;N116-L116&amp;"）",IF(L116=N116,"達成","前倒し（"&amp;L116-N116&amp;"）"))</f>
        <v>達成</v>
      </c>
    </row>
    <row r="117" spans="1:16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288</v>
      </c>
      <c r="I117" t="s">
        <v>289</v>
      </c>
      <c r="J117">
        <v>0</v>
      </c>
      <c r="K117">
        <f t="shared" ref="K117" si="122">IF(A117&lt;DATEVALUE("2025/11/20")+TIMEVALUE("6:00"),1,IF(B117-SUM(D117:F117)&lt;&gt;60,0,MAX(2-INT(G117*24*60/10),0)))</f>
        <v>1</v>
      </c>
      <c r="L117">
        <f t="shared" ref="L117" si="123">L116+K117</f>
        <v>113</v>
      </c>
      <c r="M117">
        <f t="shared" ref="M117" si="124">2+IF(A117&gt;=DATEVALUE("2025/11/30")+TIMEVALUE("6:00"),1,0)+IF(A117&gt;=DATEVALUE("2025/12/11")+TIMEVALUE("6:00"),1,0)</f>
        <v>4</v>
      </c>
      <c r="N117">
        <f t="shared" ref="N117" si="125">N116+M117*(INT(A117-6/24)-INT(A116-6/24))+O117</f>
        <v>116</v>
      </c>
      <c r="O117">
        <f t="shared" ref="O117" si="126">IF(A117&gt;=DATEVALUE("2025/11/8")+TIMEVALUE("6:00"),1,0)-IF(A116&gt;=DATEVALUE("2025/11/8")+TIMEVALUE("6:00"),1,0)</f>
        <v>0</v>
      </c>
      <c r="P117" t="str">
        <f t="shared" ref="P117" si="127">IF(L117&lt;N117,"未達成（"&amp;N117-L117&amp;"）",IF(L117=N117,"達成","前倒し（"&amp;L117-N117&amp;"）"))</f>
        <v>未達成（3）</v>
      </c>
    </row>
    <row r="118" spans="1:16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290</v>
      </c>
      <c r="I118" t="s">
        <v>291</v>
      </c>
      <c r="J118">
        <v>0</v>
      </c>
      <c r="K118">
        <f t="shared" ref="K118" si="128">IF(A118&lt;DATEVALUE("2025/11/20")+TIMEVALUE("6:00"),1,IF(B118-SUM(D118:F118)&lt;&gt;60,0,MAX(2-INT(G118*24*60/10),0)))</f>
        <v>0</v>
      </c>
      <c r="L118">
        <f t="shared" ref="L118" si="129">L117+K118</f>
        <v>113</v>
      </c>
      <c r="M118">
        <f t="shared" ref="M118" si="130">2+IF(A118&gt;=DATEVALUE("2025/11/30")+TIMEVALUE("6:00"),1,0)+IF(A118&gt;=DATEVALUE("2025/12/11")+TIMEVALUE("6:00"),1,0)</f>
        <v>4</v>
      </c>
      <c r="N118">
        <f t="shared" ref="N118" si="131">N117+M118*(INT(A118-6/24)-INT(A117-6/24))+O118</f>
        <v>116</v>
      </c>
      <c r="O118">
        <f t="shared" ref="O118" si="132">IF(A118&gt;=DATEVALUE("2025/11/8")+TIMEVALUE("6:00"),1,0)-IF(A117&gt;=DATEVALUE("2025/11/8")+TIMEVALUE("6:00"),1,0)</f>
        <v>0</v>
      </c>
      <c r="P118" t="str">
        <f t="shared" ref="P118" si="133">IF(L118&lt;N118,"未達成（"&amp;N118-L118&amp;"）",IF(L118=N118,"達成","前倒し（"&amp;L118-N118&amp;"）"))</f>
        <v>未達成（3）</v>
      </c>
    </row>
    <row r="119" spans="1:16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292</v>
      </c>
      <c r="I119" t="s">
        <v>293</v>
      </c>
      <c r="J119">
        <v>0</v>
      </c>
      <c r="K119">
        <f t="shared" ref="K119" si="134">IF(A119&lt;DATEVALUE("2025/11/20")+TIMEVALUE("6:00"),1,IF(B119-SUM(D119:F119)&lt;&gt;60,0,MAX(2-INT(G119*24*60/10),0)))</f>
        <v>1</v>
      </c>
      <c r="L119">
        <f t="shared" ref="L119" si="135">L118+K119</f>
        <v>114</v>
      </c>
      <c r="M119">
        <f t="shared" ref="M119" si="136">2+IF(A119&gt;=DATEVALUE("2025/11/30")+TIMEVALUE("6:00"),1,0)+IF(A119&gt;=DATEVALUE("2025/12/11")+TIMEVALUE("6:00"),1,0)</f>
        <v>4</v>
      </c>
      <c r="N119">
        <f t="shared" ref="N119" si="137">N118+M119*(INT(A119-6/24)-INT(A118-6/24))+O119</f>
        <v>116</v>
      </c>
      <c r="O119">
        <f t="shared" ref="O119" si="138">IF(A119&gt;=DATEVALUE("2025/11/8")+TIMEVALUE("6:00"),1,0)-IF(A118&gt;=DATEVALUE("2025/11/8")+TIMEVALUE("6:00"),1,0)</f>
        <v>0</v>
      </c>
      <c r="P119" t="str">
        <f t="shared" ref="P119" si="139">IF(L119&lt;N119,"未達成（"&amp;N119-L119&amp;"）",IF(L119=N119,"達成","前倒し（"&amp;L119-N119&amp;"）"))</f>
        <v>未達成（2）</v>
      </c>
    </row>
    <row r="120" spans="1:16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294</v>
      </c>
      <c r="I120" t="s">
        <v>295</v>
      </c>
      <c r="J120">
        <v>0</v>
      </c>
      <c r="K120">
        <f t="shared" ref="K120" si="140">IF(A120&lt;DATEVALUE("2025/11/20")+TIMEVALUE("6:00"),1,IF(B120-SUM(D120:F120)&lt;&gt;60,0,MAX(2-INT(G120*24*60/10),0)))</f>
        <v>2</v>
      </c>
      <c r="L120">
        <f t="shared" ref="L120" si="141">L119+K120</f>
        <v>116</v>
      </c>
      <c r="M120">
        <f t="shared" ref="M120" si="142">2+IF(A120&gt;=DATEVALUE("2025/11/30")+TIMEVALUE("6:00"),1,0)+IF(A120&gt;=DATEVALUE("2025/12/11")+TIMEVALUE("6:00"),1,0)</f>
        <v>4</v>
      </c>
      <c r="N120">
        <f t="shared" ref="N120" si="143">N119+M120*(INT(A120-6/24)-INT(A119-6/24))+O120</f>
        <v>116</v>
      </c>
      <c r="O120">
        <f t="shared" ref="O120" si="144">IF(A120&gt;=DATEVALUE("2025/11/8")+TIMEVALUE("6:00"),1,0)-IF(A119&gt;=DATEVALUE("2025/11/8")+TIMEVALUE("6:00"),1,0)</f>
        <v>0</v>
      </c>
      <c r="P120" t="str">
        <f t="shared" ref="P120" si="145">IF(L120&lt;N120,"未達成（"&amp;N120-L120&amp;"）",IF(L120=N120,"達成","前倒し（"&amp;L120-N120&amp;"）"))</f>
        <v>達成</v>
      </c>
    </row>
    <row r="121" spans="1:16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296</v>
      </c>
      <c r="I121" t="s">
        <v>297</v>
      </c>
      <c r="J121">
        <v>0</v>
      </c>
      <c r="K121">
        <f t="shared" ref="K121" si="146">IF(A121&lt;DATEVALUE("2025/11/20")+TIMEVALUE("6:00"),1,IF(B121-SUM(D121:F121)&lt;&gt;60,0,MAX(2-INT(G121*24*60/10),0)))</f>
        <v>1</v>
      </c>
      <c r="L121">
        <f t="shared" ref="L121" si="147">L120+K121</f>
        <v>117</v>
      </c>
      <c r="M121">
        <f t="shared" ref="M121" si="148">2+IF(A121&gt;=DATEVALUE("2025/11/30")+TIMEVALUE("6:00"),1,0)+IF(A121&gt;=DATEVALUE("2025/12/11")+TIMEVALUE("6:00"),1,0)</f>
        <v>4</v>
      </c>
      <c r="N121">
        <f t="shared" ref="N121" si="149">N120+M121*(INT(A121-6/24)-INT(A120-6/24))+O121</f>
        <v>120</v>
      </c>
      <c r="O121">
        <f t="shared" ref="O121" si="150">IF(A121&gt;=DATEVALUE("2025/11/8")+TIMEVALUE("6:00"),1,0)-IF(A120&gt;=DATEVALUE("2025/11/8")+TIMEVALUE("6:00"),1,0)</f>
        <v>0</v>
      </c>
      <c r="P121" t="str">
        <f t="shared" ref="P121" si="151">IF(L121&lt;N121,"未達成（"&amp;N121-L121&amp;"）",IF(L121=N121,"達成","前倒し（"&amp;L121-N121&amp;"）"))</f>
        <v>未達成（3）</v>
      </c>
    </row>
    <row r="122" spans="1:16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298</v>
      </c>
      <c r="I122" t="s">
        <v>299</v>
      </c>
      <c r="J122">
        <v>0</v>
      </c>
      <c r="K122">
        <f t="shared" ref="K122" si="152">IF(A122&lt;DATEVALUE("2025/11/20")+TIMEVALUE("6:00"),1,IF(B122-SUM(D122:F122)&lt;&gt;60,0,MAX(2-INT(G122*24*60/10),0)))</f>
        <v>1</v>
      </c>
      <c r="L122">
        <f t="shared" ref="L122" si="153">L121+K122</f>
        <v>118</v>
      </c>
      <c r="M122">
        <f t="shared" ref="M122" si="154">2+IF(A122&gt;=DATEVALUE("2025/11/30")+TIMEVALUE("6:00"),1,0)+IF(A122&gt;=DATEVALUE("2025/12/11")+TIMEVALUE("6:00"),1,0)</f>
        <v>4</v>
      </c>
      <c r="N122">
        <f t="shared" ref="N122" si="155">N121+M122*(INT(A122-6/24)-INT(A121-6/24))+O122</f>
        <v>120</v>
      </c>
      <c r="O122">
        <f t="shared" ref="O122" si="156">IF(A122&gt;=DATEVALUE("2025/11/8")+TIMEVALUE("6:00"),1,0)-IF(A121&gt;=DATEVALUE("2025/11/8")+TIMEVALUE("6:00"),1,0)</f>
        <v>0</v>
      </c>
      <c r="P122" t="str">
        <f t="shared" ref="P122" si="157">IF(L122&lt;N122,"未達成（"&amp;N122-L122&amp;"）",IF(L122=N122,"達成","前倒し（"&amp;L122-N122&amp;"）"))</f>
        <v>未達成（2）</v>
      </c>
    </row>
    <row r="123" spans="1:16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300</v>
      </c>
      <c r="I123" t="s">
        <v>301</v>
      </c>
      <c r="J123">
        <v>0</v>
      </c>
      <c r="K123">
        <f t="shared" ref="K123" si="158">IF(A123&lt;DATEVALUE("2025/11/20")+TIMEVALUE("6:00"),1,IF(B123-SUM(D123:F123)&lt;&gt;60,0,MAX(2-INT(G123*24*60/10),0)))</f>
        <v>0</v>
      </c>
      <c r="L123">
        <f t="shared" ref="L123" si="159">L122+K123</f>
        <v>118</v>
      </c>
      <c r="M123">
        <f t="shared" ref="M123" si="160">2+IF(A123&gt;=DATEVALUE("2025/11/30")+TIMEVALUE("6:00"),1,0)+IF(A123&gt;=DATEVALUE("2025/12/11")+TIMEVALUE("6:00"),1,0)</f>
        <v>4</v>
      </c>
      <c r="N123">
        <f t="shared" ref="N123" si="161">N122+M123*(INT(A123-6/24)-INT(A122-6/24))+O123</f>
        <v>120</v>
      </c>
      <c r="O123">
        <f t="shared" ref="O123" si="162">IF(A123&gt;=DATEVALUE("2025/11/8")+TIMEVALUE("6:00"),1,0)-IF(A122&gt;=DATEVALUE("2025/11/8")+TIMEVALUE("6:00"),1,0)</f>
        <v>0</v>
      </c>
      <c r="P123" t="str">
        <f t="shared" ref="P123" si="163">IF(L123&lt;N123,"未達成（"&amp;N123-L123&amp;"）",IF(L123=N123,"達成","前倒し（"&amp;L123-N123&amp;"）"))</f>
        <v>未達成（2）</v>
      </c>
    </row>
    <row r="124" spans="1:16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302</v>
      </c>
      <c r="I124" t="s">
        <v>303</v>
      </c>
      <c r="J124">
        <v>0</v>
      </c>
      <c r="K124">
        <f t="shared" ref="K124" si="164">IF(A124&lt;DATEVALUE("2025/11/20")+TIMEVALUE("6:00"),1,IF(B124-SUM(D124:F124)&lt;&gt;60,0,MAX(2-INT(G124*24*60/10),0)))</f>
        <v>2</v>
      </c>
      <c r="L124">
        <f t="shared" ref="L124" si="165">L123+K124</f>
        <v>120</v>
      </c>
      <c r="M124">
        <f t="shared" ref="M124" si="166">2+IF(A124&gt;=DATEVALUE("2025/11/30")+TIMEVALUE("6:00"),1,0)+IF(A124&gt;=DATEVALUE("2025/12/11")+TIMEVALUE("6:00"),1,0)</f>
        <v>4</v>
      </c>
      <c r="N124">
        <f t="shared" ref="N124" si="167">N123+M124*(INT(A124-6/24)-INT(A123-6/24))+O124</f>
        <v>120</v>
      </c>
      <c r="O124">
        <f t="shared" ref="O124" si="168">IF(A124&gt;=DATEVALUE("2025/11/8")+TIMEVALUE("6:00"),1,0)-IF(A123&gt;=DATEVALUE("2025/11/8")+TIMEVALUE("6:00"),1,0)</f>
        <v>0</v>
      </c>
      <c r="P124" t="str">
        <f t="shared" ref="P124" si="169">IF(L124&lt;N124,"未達成（"&amp;N124-L124&amp;"）",IF(L124=N124,"達成","前倒し（"&amp;L124-N124&amp;"）"))</f>
        <v>達成</v>
      </c>
    </row>
    <row r="125" spans="1:16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304</v>
      </c>
      <c r="I125" t="s">
        <v>305</v>
      </c>
      <c r="J125">
        <v>0</v>
      </c>
      <c r="K125">
        <f t="shared" ref="K125" si="170">IF(A125&lt;DATEVALUE("2025/11/20")+TIMEVALUE("6:00"),1,IF(B125-SUM(D125:F125)&lt;&gt;60,0,MAX(2-INT(G125*24*60/10),0)))</f>
        <v>1</v>
      </c>
      <c r="L125">
        <f t="shared" ref="L125" si="171">L124+K125</f>
        <v>121</v>
      </c>
      <c r="M125">
        <f t="shared" ref="M125" si="172">2+IF(A125&gt;=DATEVALUE("2025/11/30")+TIMEVALUE("6:00"),1,0)+IF(A125&gt;=DATEVALUE("2025/12/11")+TIMEVALUE("6:00"),1,0)</f>
        <v>4</v>
      </c>
      <c r="N125">
        <f t="shared" ref="N125" si="173">N124+M125*(INT(A125-6/24)-INT(A124-6/24))+O125</f>
        <v>124</v>
      </c>
      <c r="O125">
        <f t="shared" ref="O125" si="174">IF(A125&gt;=DATEVALUE("2025/11/8")+TIMEVALUE("6:00"),1,0)-IF(A124&gt;=DATEVALUE("2025/11/8")+TIMEVALUE("6:00"),1,0)</f>
        <v>0</v>
      </c>
      <c r="P125" t="str">
        <f t="shared" ref="P125" si="175">IF(L125&lt;N125,"未達成（"&amp;N125-L125&amp;"）",IF(L125=N125,"達成","前倒し（"&amp;L125-N125&amp;"）"))</f>
        <v>未達成（3）</v>
      </c>
    </row>
    <row r="126" spans="1:16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306</v>
      </c>
      <c r="I126" t="s">
        <v>307</v>
      </c>
      <c r="J126">
        <v>0</v>
      </c>
      <c r="K126">
        <f t="shared" ref="K126" si="176">IF(A126&lt;DATEVALUE("2025/11/20")+TIMEVALUE("6:00"),1,IF(B126-SUM(D126:F126)&lt;&gt;60,0,MAX(2-INT(G126*24*60/10),0)))</f>
        <v>2</v>
      </c>
      <c r="L126">
        <f t="shared" ref="L126" si="177">L125+K126</f>
        <v>123</v>
      </c>
      <c r="M126">
        <f t="shared" ref="M126" si="178">2+IF(A126&gt;=DATEVALUE("2025/11/30")+TIMEVALUE("6:00"),1,0)+IF(A126&gt;=DATEVALUE("2025/12/11")+TIMEVALUE("6:00"),1,0)</f>
        <v>4</v>
      </c>
      <c r="N126">
        <f t="shared" ref="N126" si="179">N125+M126*(INT(A126-6/24)-INT(A125-6/24))+O126</f>
        <v>124</v>
      </c>
      <c r="O126">
        <f t="shared" ref="O126" si="180">IF(A126&gt;=DATEVALUE("2025/11/8")+TIMEVALUE("6:00"),1,0)-IF(A125&gt;=DATEVALUE("2025/11/8")+TIMEVALUE("6:00"),1,0)</f>
        <v>0</v>
      </c>
      <c r="P126" t="str">
        <f t="shared" ref="P126" si="181">IF(L126&lt;N126,"未達成（"&amp;N126-L126&amp;"）",IF(L126=N126,"達成","前倒し（"&amp;L126-N126&amp;"）"))</f>
        <v>未達成（1）</v>
      </c>
    </row>
    <row r="127" spans="1:16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308</v>
      </c>
      <c r="I127" t="s">
        <v>309</v>
      </c>
      <c r="J127">
        <v>0</v>
      </c>
      <c r="K127">
        <f t="shared" ref="K127" si="182">IF(A127&lt;DATEVALUE("2025/11/20")+TIMEVALUE("6:00"),1,IF(B127-SUM(D127:F127)&lt;&gt;60,0,MAX(2-INT(G127*24*60/10),0)))</f>
        <v>1</v>
      </c>
      <c r="L127">
        <f t="shared" ref="L127" si="183">L126+K127</f>
        <v>124</v>
      </c>
      <c r="M127">
        <f t="shared" ref="M127" si="184">2+IF(A127&gt;=DATEVALUE("2025/11/30")+TIMEVALUE("6:00"),1,0)+IF(A127&gt;=DATEVALUE("2025/12/11")+TIMEVALUE("6:00"),1,0)</f>
        <v>4</v>
      </c>
      <c r="N127">
        <f t="shared" ref="N127" si="185">N126+M127*(INT(A127-6/24)-INT(A126-6/24))+O127</f>
        <v>124</v>
      </c>
      <c r="O127">
        <f t="shared" ref="O127" si="186">IF(A127&gt;=DATEVALUE("2025/11/8")+TIMEVALUE("6:00"),1,0)-IF(A126&gt;=DATEVALUE("2025/11/8")+TIMEVALUE("6:00"),1,0)</f>
        <v>0</v>
      </c>
      <c r="P127" t="str">
        <f t="shared" ref="P127" si="187">IF(L127&lt;N127,"未達成（"&amp;N127-L127&amp;"）",IF(L127=N127,"達成","前倒し（"&amp;L127-N127&amp;"）"))</f>
        <v>達成</v>
      </c>
    </row>
    <row r="128" spans="1:16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310</v>
      </c>
      <c r="I128" t="s">
        <v>311</v>
      </c>
      <c r="J128">
        <v>0</v>
      </c>
      <c r="K128">
        <f t="shared" ref="K128" si="188">IF(A128&lt;DATEVALUE("2025/11/20")+TIMEVALUE("6:00"),1,IF(B128-SUM(D128:F128)&lt;&gt;60,0,MAX(2-INT(G128*24*60/10),0)))</f>
        <v>1</v>
      </c>
      <c r="L128">
        <f t="shared" ref="L128" si="189">L127+K128</f>
        <v>125</v>
      </c>
      <c r="M128">
        <f t="shared" ref="M128" si="190">2+IF(A128&gt;=DATEVALUE("2025/11/30")+TIMEVALUE("6:00"),1,0)+IF(A128&gt;=DATEVALUE("2025/12/11")+TIMEVALUE("6:00"),1,0)</f>
        <v>4</v>
      </c>
      <c r="N128">
        <f t="shared" ref="N128" si="191">N127+M128*(INT(A128-6/24)-INT(A127-6/24))+O128</f>
        <v>128</v>
      </c>
      <c r="O128">
        <f t="shared" ref="O128" si="192">IF(A128&gt;=DATEVALUE("2025/11/8")+TIMEVALUE("6:00"),1,0)-IF(A127&gt;=DATEVALUE("2025/11/8")+TIMEVALUE("6:00"),1,0)</f>
        <v>0</v>
      </c>
      <c r="P128" t="str">
        <f t="shared" ref="P128" si="193">IF(L128&lt;N128,"未達成（"&amp;N128-L128&amp;"）",IF(L128=N128,"達成","前倒し（"&amp;L128-N128&amp;"）"))</f>
        <v>未達成（3）</v>
      </c>
    </row>
    <row r="129" spans="1:16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312</v>
      </c>
      <c r="I129" t="s">
        <v>313</v>
      </c>
      <c r="J129">
        <v>0</v>
      </c>
      <c r="K129">
        <f t="shared" ref="K129" si="194">IF(A129&lt;DATEVALUE("2025/11/20")+TIMEVALUE("6:00"),1,IF(B129-SUM(D129:F129)&lt;&gt;60,0,MAX(2-INT(G129*24*60/10),0)))</f>
        <v>2</v>
      </c>
      <c r="L129">
        <f t="shared" ref="L129" si="195">L128+K129</f>
        <v>127</v>
      </c>
      <c r="M129">
        <f t="shared" ref="M129" si="196">2+IF(A129&gt;=DATEVALUE("2025/11/30")+TIMEVALUE("6:00"),1,0)+IF(A129&gt;=DATEVALUE("2025/12/11")+TIMEVALUE("6:00"),1,0)</f>
        <v>4</v>
      </c>
      <c r="N129">
        <f t="shared" ref="N129" si="197">N128+M129*(INT(A129-6/24)-INT(A128-6/24))+O129</f>
        <v>128</v>
      </c>
      <c r="O129">
        <f t="shared" ref="O129" si="198">IF(A129&gt;=DATEVALUE("2025/11/8")+TIMEVALUE("6:00"),1,0)-IF(A128&gt;=DATEVALUE("2025/11/8")+TIMEVALUE("6:00"),1,0)</f>
        <v>0</v>
      </c>
      <c r="P129" t="str">
        <f t="shared" ref="P129" si="199">IF(L129&lt;N129,"未達成（"&amp;N129-L129&amp;"）",IF(L129=N129,"達成","前倒し（"&amp;L129-N129&amp;"）"))</f>
        <v>未達成（1）</v>
      </c>
    </row>
    <row r="130" spans="1:16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314</v>
      </c>
      <c r="I130" t="s">
        <v>315</v>
      </c>
      <c r="J130">
        <v>0</v>
      </c>
      <c r="K130">
        <f t="shared" ref="K130" si="200">IF(A130&lt;DATEVALUE("2025/11/20")+TIMEVALUE("6:00"),1,IF(B130-SUM(D130:F130)&lt;&gt;60,0,MAX(2-INT(G130*24*60/10),0)))</f>
        <v>1</v>
      </c>
      <c r="L130">
        <f t="shared" ref="L130" si="201">L129+K130</f>
        <v>128</v>
      </c>
      <c r="M130">
        <f t="shared" ref="M130" si="202">2+IF(A130&gt;=DATEVALUE("2025/11/30")+TIMEVALUE("6:00"),1,0)+IF(A130&gt;=DATEVALUE("2025/12/11")+TIMEVALUE("6:00"),1,0)</f>
        <v>4</v>
      </c>
      <c r="N130">
        <f t="shared" ref="N130" si="203">N129+M130*(INT(A130-6/24)-INT(A129-6/24))+O130</f>
        <v>128</v>
      </c>
      <c r="O130">
        <f t="shared" ref="O130" si="204">IF(A130&gt;=DATEVALUE("2025/11/8")+TIMEVALUE("6:00"),1,0)-IF(A129&gt;=DATEVALUE("2025/11/8")+TIMEVALUE("6:00"),1,0)</f>
        <v>0</v>
      </c>
      <c r="P130" t="str">
        <f t="shared" ref="P130" si="205">IF(L130&lt;N130,"未達成（"&amp;N130-L130&amp;"）",IF(L130=N130,"達成","前倒し（"&amp;L130-N130&amp;"）"))</f>
        <v>達成</v>
      </c>
    </row>
    <row r="131" spans="1:16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316</v>
      </c>
      <c r="I131" t="s">
        <v>317</v>
      </c>
      <c r="J131">
        <v>0</v>
      </c>
      <c r="K131">
        <f t="shared" ref="K131" si="206">IF(A131&lt;DATEVALUE("2025/11/20")+TIMEVALUE("6:00"),1,IF(B131-SUM(D131:F131)&lt;&gt;60,0,MAX(2-INT(G131*24*60/10),0)))</f>
        <v>2</v>
      </c>
      <c r="L131">
        <f t="shared" ref="L131" si="207">L130+K131</f>
        <v>130</v>
      </c>
      <c r="M131">
        <f t="shared" ref="M131" si="208">2+IF(A131&gt;=DATEVALUE("2025/11/30")+TIMEVALUE("6:00"),1,0)+IF(A131&gt;=DATEVALUE("2025/12/11")+TIMEVALUE("6:00"),1,0)</f>
        <v>4</v>
      </c>
      <c r="N131">
        <f t="shared" ref="N131" si="209">N130+M131*(INT(A131-6/24)-INT(A130-6/24))+O131</f>
        <v>132</v>
      </c>
      <c r="O131">
        <f t="shared" ref="O131" si="210">IF(A131&gt;=DATEVALUE("2025/11/8")+TIMEVALUE("6:00"),1,0)-IF(A130&gt;=DATEVALUE("2025/11/8")+TIMEVALUE("6:00"),1,0)</f>
        <v>0</v>
      </c>
      <c r="P131" t="str">
        <f t="shared" ref="P131" si="211">IF(L131&lt;N131,"未達成（"&amp;N131-L131&amp;"）",IF(L131=N131,"達成","前倒し（"&amp;L131-N131&amp;"）"))</f>
        <v>未達成（2）</v>
      </c>
    </row>
    <row r="132" spans="1:16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318</v>
      </c>
      <c r="I132" t="s">
        <v>319</v>
      </c>
      <c r="J132">
        <v>0</v>
      </c>
      <c r="K132">
        <f t="shared" ref="K132" si="212">IF(A132&lt;DATEVALUE("2025/11/20")+TIMEVALUE("6:00"),1,IF(B132-SUM(D132:F132)&lt;&gt;60,0,MAX(2-INT(G132*24*60/10),0)))</f>
        <v>2</v>
      </c>
      <c r="L132">
        <f t="shared" ref="L132" si="213">L131+K132</f>
        <v>132</v>
      </c>
      <c r="M132">
        <f t="shared" ref="M132" si="214">2+IF(A132&gt;=DATEVALUE("2025/11/30")+TIMEVALUE("6:00"),1,0)+IF(A132&gt;=DATEVALUE("2025/12/11")+TIMEVALUE("6:00"),1,0)</f>
        <v>4</v>
      </c>
      <c r="N132">
        <f t="shared" ref="N132" si="215">N131+M132*(INT(A132-6/24)-INT(A131-6/24))+O132</f>
        <v>132</v>
      </c>
      <c r="O132">
        <f t="shared" ref="O132" si="216">IF(A132&gt;=DATEVALUE("2025/11/8")+TIMEVALUE("6:00"),1,0)-IF(A131&gt;=DATEVALUE("2025/11/8")+TIMEVALUE("6:00"),1,0)</f>
        <v>0</v>
      </c>
      <c r="P132" t="str">
        <f t="shared" ref="P132" si="217">IF(L132&lt;N132,"未達成（"&amp;N132-L132&amp;"）",IF(L132=N132,"達成","前倒し（"&amp;L132-N132&amp;"）"))</f>
        <v>達成</v>
      </c>
    </row>
    <row r="133" spans="1:16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320</v>
      </c>
      <c r="I133" t="s">
        <v>321</v>
      </c>
      <c r="J133">
        <v>0</v>
      </c>
      <c r="K133">
        <f t="shared" ref="K133" si="218">IF(A133&lt;DATEVALUE("2025/11/20")+TIMEVALUE("6:00"),1,IF(B133-SUM(D133:F133)&lt;&gt;60,0,MAX(2-INT(G133*24*60/10),0)))</f>
        <v>1</v>
      </c>
      <c r="L133">
        <f t="shared" ref="L133" si="219">L132+K133</f>
        <v>133</v>
      </c>
      <c r="M133">
        <f t="shared" ref="M133" si="220">2+IF(A133&gt;=DATEVALUE("2025/11/30")+TIMEVALUE("6:00"),1,0)+IF(A133&gt;=DATEVALUE("2025/12/11")+TIMEVALUE("6:00"),1,0)</f>
        <v>4</v>
      </c>
      <c r="N133">
        <f t="shared" ref="N133" si="221">N132+M133*(INT(A133-6/24)-INT(A132-6/24))+O133</f>
        <v>136</v>
      </c>
      <c r="O133">
        <f t="shared" ref="O133" si="222">IF(A133&gt;=DATEVALUE("2025/11/8")+TIMEVALUE("6:00"),1,0)-IF(A132&gt;=DATEVALUE("2025/11/8")+TIMEVALUE("6:00"),1,0)</f>
        <v>0</v>
      </c>
      <c r="P133" t="str">
        <f t="shared" ref="P133" si="223">IF(L133&lt;N133,"未達成（"&amp;N133-L133&amp;"）",IF(L133=N133,"達成","前倒し（"&amp;L133-N133&amp;"）"))</f>
        <v>未達成（3）</v>
      </c>
    </row>
    <row r="134" spans="1:16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322</v>
      </c>
      <c r="I134" t="s">
        <v>323</v>
      </c>
      <c r="J134">
        <v>0</v>
      </c>
      <c r="K134">
        <f t="shared" ref="K134" si="224">IF(A134&lt;DATEVALUE("2025/11/20")+TIMEVALUE("6:00"),1,IF(B134-SUM(D134:F134)&lt;&gt;60,0,MAX(2-INT(G134*24*60/10),0)))</f>
        <v>0</v>
      </c>
      <c r="L134">
        <f t="shared" ref="L134" si="225">L133+K134</f>
        <v>133</v>
      </c>
      <c r="M134">
        <f t="shared" ref="M134" si="226">2+IF(A134&gt;=DATEVALUE("2025/11/30")+TIMEVALUE("6:00"),1,0)+IF(A134&gt;=DATEVALUE("2025/12/11")+TIMEVALUE("6:00"),1,0)</f>
        <v>4</v>
      </c>
      <c r="N134">
        <f t="shared" ref="N134" si="227">N133+M134*(INT(A134-6/24)-INT(A133-6/24))+O134</f>
        <v>136</v>
      </c>
      <c r="O134">
        <f t="shared" ref="O134" si="228">IF(A134&gt;=DATEVALUE("2025/11/8")+TIMEVALUE("6:00"),1,0)-IF(A133&gt;=DATEVALUE("2025/11/8")+TIMEVALUE("6:00"),1,0)</f>
        <v>0</v>
      </c>
      <c r="P134" t="str">
        <f t="shared" ref="P134" si="229">IF(L134&lt;N134,"未達成（"&amp;N134-L134&amp;"）",IF(L134=N134,"達成","前倒し（"&amp;L134-N134&amp;"）"))</f>
        <v>未達成（3）</v>
      </c>
    </row>
    <row r="135" spans="1:16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324</v>
      </c>
      <c r="I135" t="s">
        <v>325</v>
      </c>
      <c r="J135">
        <v>0</v>
      </c>
      <c r="K135">
        <f t="shared" ref="K135" si="230">IF(A135&lt;DATEVALUE("2025/11/20")+TIMEVALUE("6:00"),1,IF(B135-SUM(D135:F135)&lt;&gt;60,0,MAX(2-INT(G135*24*60/10),0)))</f>
        <v>1</v>
      </c>
      <c r="L135">
        <f t="shared" ref="L135" si="231">L134+K135</f>
        <v>134</v>
      </c>
      <c r="M135">
        <f t="shared" ref="M135" si="232">2+IF(A135&gt;=DATEVALUE("2025/11/30")+TIMEVALUE("6:00"),1,0)+IF(A135&gt;=DATEVALUE("2025/12/11")+TIMEVALUE("6:00"),1,0)</f>
        <v>4</v>
      </c>
      <c r="N135">
        <f t="shared" ref="N135" si="233">N134+M135*(INT(A135-6/24)-INT(A134-6/24))+O135</f>
        <v>136</v>
      </c>
      <c r="O135">
        <f t="shared" ref="O135" si="234">IF(A135&gt;=DATEVALUE("2025/11/8")+TIMEVALUE("6:00"),1,0)-IF(A134&gt;=DATEVALUE("2025/11/8")+TIMEVALUE("6:00"),1,0)</f>
        <v>0</v>
      </c>
      <c r="P135" t="str">
        <f t="shared" ref="P135" si="235">IF(L135&lt;N135,"未達成（"&amp;N135-L135&amp;"）",IF(L135=N135,"達成","前倒し（"&amp;L135-N135&amp;"）"))</f>
        <v>未達成（2）</v>
      </c>
    </row>
    <row r="136" spans="1:16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326</v>
      </c>
      <c r="I136" t="s">
        <v>327</v>
      </c>
      <c r="J136">
        <v>0</v>
      </c>
      <c r="K136">
        <f t="shared" ref="K136" si="236">IF(A136&lt;DATEVALUE("2025/11/20")+TIMEVALUE("6:00"),1,IF(B136-SUM(D136:F136)&lt;&gt;60,0,MAX(2-INT(G136*24*60/10),0)))</f>
        <v>2</v>
      </c>
      <c r="L136">
        <f t="shared" ref="L136" si="237">L135+K136</f>
        <v>136</v>
      </c>
      <c r="M136">
        <f t="shared" ref="M136" si="238">2+IF(A136&gt;=DATEVALUE("2025/11/30")+TIMEVALUE("6:00"),1,0)+IF(A136&gt;=DATEVALUE("2025/12/11")+TIMEVALUE("6:00"),1,0)</f>
        <v>4</v>
      </c>
      <c r="N136">
        <f t="shared" ref="N136" si="239">N135+M136*(INT(A136-6/24)-INT(A135-6/24))+O136</f>
        <v>136</v>
      </c>
      <c r="O136">
        <f t="shared" ref="O136" si="240">IF(A136&gt;=DATEVALUE("2025/11/8")+TIMEVALUE("6:00"),1,0)-IF(A135&gt;=DATEVALUE("2025/11/8")+TIMEVALUE("6:00"),1,0)</f>
        <v>0</v>
      </c>
      <c r="P136" t="str">
        <f t="shared" ref="P136" si="241">IF(L136&lt;N136,"未達成（"&amp;N136-L136&amp;"）",IF(L136=N136,"達成","前倒し（"&amp;L136-N136&amp;"）"))</f>
        <v>達成</v>
      </c>
    </row>
    <row r="137" spans="1:16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328</v>
      </c>
      <c r="I137" t="s">
        <v>329</v>
      </c>
      <c r="J137">
        <v>0</v>
      </c>
      <c r="K137">
        <f t="shared" ref="K137" si="242">IF(A137&lt;DATEVALUE("2025/11/20")+TIMEVALUE("6:00"),1,IF(B137-SUM(D137:F137)&lt;&gt;60,0,MAX(2-INT(G137*24*60/10),0)))</f>
        <v>2</v>
      </c>
      <c r="L137">
        <f t="shared" ref="L137" si="243">L136+K137</f>
        <v>138</v>
      </c>
      <c r="M137">
        <f t="shared" ref="M137" si="244">2+IF(A137&gt;=DATEVALUE("2025/11/30")+TIMEVALUE("6:00"),1,0)+IF(A137&gt;=DATEVALUE("2025/12/11")+TIMEVALUE("6:00"),1,0)</f>
        <v>4</v>
      </c>
      <c r="N137">
        <f t="shared" ref="N137" si="245">N136+M137*(INT(A137-6/24)-INT(A136-6/24))+O137</f>
        <v>140</v>
      </c>
      <c r="O137">
        <f t="shared" ref="O137" si="246">IF(A137&gt;=DATEVALUE("2025/11/8")+TIMEVALUE("6:00"),1,0)-IF(A136&gt;=DATEVALUE("2025/11/8")+TIMEVALUE("6:00"),1,0)</f>
        <v>0</v>
      </c>
      <c r="P137" t="str">
        <f t="shared" ref="P137" si="247">IF(L137&lt;N137,"未達成（"&amp;N137-L137&amp;"）",IF(L137=N137,"達成","前倒し（"&amp;L137-N137&amp;"）"))</f>
        <v>未達成（2）</v>
      </c>
    </row>
    <row r="138" spans="1:16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330</v>
      </c>
      <c r="I138" t="s">
        <v>331</v>
      </c>
      <c r="J138">
        <v>0</v>
      </c>
      <c r="K138">
        <f t="shared" ref="K138" si="248">IF(A138&lt;DATEVALUE("2025/11/20")+TIMEVALUE("6:00"),1,IF(B138-SUM(D138:F138)&lt;&gt;60,0,MAX(2-INT(G138*24*60/10),0)))</f>
        <v>0</v>
      </c>
      <c r="L138">
        <f t="shared" ref="L138" si="249">L137+K138</f>
        <v>138</v>
      </c>
      <c r="M138">
        <f t="shared" ref="M138" si="250">2+IF(A138&gt;=DATEVALUE("2025/11/30")+TIMEVALUE("6:00"),1,0)+IF(A138&gt;=DATEVALUE("2025/12/11")+TIMEVALUE("6:00"),1,0)</f>
        <v>4</v>
      </c>
      <c r="N138">
        <f t="shared" ref="N138" si="251">N137+M138*(INT(A138-6/24)-INT(A137-6/24))+O138</f>
        <v>140</v>
      </c>
      <c r="O138">
        <f t="shared" ref="O138" si="252">IF(A138&gt;=DATEVALUE("2025/11/8")+TIMEVALUE("6:00"),1,0)-IF(A137&gt;=DATEVALUE("2025/11/8")+TIMEVALUE("6:00"),1,0)</f>
        <v>0</v>
      </c>
      <c r="P138" t="str">
        <f t="shared" ref="P138" si="253">IF(L138&lt;N138,"未達成（"&amp;N138-L138&amp;"）",IF(L138=N138,"達成","前倒し（"&amp;L138-N138&amp;"）"))</f>
        <v>未達成（2）</v>
      </c>
    </row>
    <row r="139" spans="1:16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332</v>
      </c>
      <c r="I139" t="s">
        <v>333</v>
      </c>
      <c r="J139">
        <v>0</v>
      </c>
      <c r="K139">
        <f t="shared" ref="K139" si="254">IF(A139&lt;DATEVALUE("2025/11/20")+TIMEVALUE("6:00"),1,IF(B139-SUM(D139:F139)&lt;&gt;60,0,MAX(2-INT(G139*24*60/10),0)))</f>
        <v>2</v>
      </c>
      <c r="L139">
        <f t="shared" ref="L139" si="255">L138+K139</f>
        <v>140</v>
      </c>
      <c r="M139">
        <f t="shared" ref="M139" si="256">2+IF(A139&gt;=DATEVALUE("2025/11/30")+TIMEVALUE("6:00"),1,0)+IF(A139&gt;=DATEVALUE("2025/12/11")+TIMEVALUE("6:00"),1,0)</f>
        <v>4</v>
      </c>
      <c r="N139">
        <f t="shared" ref="N139" si="257">N138+M139*(INT(A139-6/24)-INT(A138-6/24))+O139</f>
        <v>140</v>
      </c>
      <c r="O139">
        <f t="shared" ref="O139" si="258">IF(A139&gt;=DATEVALUE("2025/11/8")+TIMEVALUE("6:00"),1,0)-IF(A138&gt;=DATEVALUE("2025/11/8")+TIMEVALUE("6:00"),1,0)</f>
        <v>0</v>
      </c>
      <c r="P139" t="str">
        <f t="shared" ref="P139" si="259">IF(L139&lt;N139,"未達成（"&amp;N139-L139&amp;"）",IF(L139=N139,"達成","前倒し（"&amp;L139-N139&amp;"）"))</f>
        <v>達成</v>
      </c>
    </row>
    <row r="140" spans="1:16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334</v>
      </c>
      <c r="I140" t="s">
        <v>335</v>
      </c>
      <c r="J140">
        <v>0</v>
      </c>
      <c r="K140">
        <f t="shared" ref="K140" si="260">IF(A140&lt;DATEVALUE("2025/11/20")+TIMEVALUE("6:00"),1,IF(B140-SUM(D140:F140)&lt;&gt;60,0,MAX(2-INT(G140*24*60/10),0)))</f>
        <v>1</v>
      </c>
      <c r="L140">
        <f t="shared" ref="L140" si="261">L139+K140</f>
        <v>141</v>
      </c>
      <c r="M140">
        <f t="shared" ref="M140" si="262">2+IF(A140&gt;=DATEVALUE("2025/11/30")+TIMEVALUE("6:00"),1,0)+IF(A140&gt;=DATEVALUE("2025/12/11")+TIMEVALUE("6:00"),1,0)</f>
        <v>4</v>
      </c>
      <c r="N140">
        <f t="shared" ref="N140" si="263">N139+M140*(INT(A140-6/24)-INT(A139-6/24))+O140</f>
        <v>144</v>
      </c>
      <c r="O140">
        <f t="shared" ref="O140" si="264">IF(A140&gt;=DATEVALUE("2025/11/8")+TIMEVALUE("6:00"),1,0)-IF(A139&gt;=DATEVALUE("2025/11/8")+TIMEVALUE("6:00"),1,0)</f>
        <v>0</v>
      </c>
      <c r="P140" t="str">
        <f t="shared" ref="P140" si="265">IF(L140&lt;N140,"未達成（"&amp;N140-L140&amp;"）",IF(L140=N140,"達成","前倒し（"&amp;L140-N140&amp;"）"))</f>
        <v>未達成（3）</v>
      </c>
    </row>
    <row r="141" spans="1:16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336</v>
      </c>
      <c r="I141" t="s">
        <v>337</v>
      </c>
      <c r="J141">
        <v>0</v>
      </c>
      <c r="K141">
        <f t="shared" ref="K141" si="266">IF(A141&lt;DATEVALUE("2025/11/20")+TIMEVALUE("6:00"),1,IF(B141-SUM(D141:F141)&lt;&gt;60,0,MAX(2-INT(G141*24*60/10),0)))</f>
        <v>2</v>
      </c>
      <c r="L141">
        <f t="shared" ref="L141" si="267">L140+K141</f>
        <v>143</v>
      </c>
      <c r="M141">
        <f t="shared" ref="M141" si="268">2+IF(A141&gt;=DATEVALUE("2025/11/30")+TIMEVALUE("6:00"),1,0)+IF(A141&gt;=DATEVALUE("2025/12/11")+TIMEVALUE("6:00"),1,0)</f>
        <v>4</v>
      </c>
      <c r="N141">
        <f t="shared" ref="N141" si="269">N140+M141*(INT(A141-6/24)-INT(A140-6/24))+O141</f>
        <v>144</v>
      </c>
      <c r="O141">
        <f t="shared" ref="O141" si="270">IF(A141&gt;=DATEVALUE("2025/11/8")+TIMEVALUE("6:00"),1,0)-IF(A140&gt;=DATEVALUE("2025/11/8")+TIMEVALUE("6:00"),1,0)</f>
        <v>0</v>
      </c>
      <c r="P141" t="str">
        <f t="shared" ref="P141" si="271">IF(L141&lt;N141,"未達成（"&amp;N141-L141&amp;"）",IF(L141=N141,"達成","前倒し（"&amp;L141-N141&amp;"）"))</f>
        <v>未達成（1）</v>
      </c>
    </row>
    <row r="142" spans="1:16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338</v>
      </c>
      <c r="I142" t="s">
        <v>339</v>
      </c>
      <c r="J142">
        <v>0</v>
      </c>
      <c r="K142">
        <f t="shared" ref="K142" si="272">IF(A142&lt;DATEVALUE("2025/11/20")+TIMEVALUE("6:00"),1,IF(B142-SUM(D142:F142)&lt;&gt;60,0,MAX(2-INT(G142*24*60/10),0)))</f>
        <v>1</v>
      </c>
      <c r="L142">
        <f t="shared" ref="L142" si="273">L141+K142</f>
        <v>144</v>
      </c>
      <c r="M142">
        <f t="shared" ref="M142" si="274">2+IF(A142&gt;=DATEVALUE("2025/11/30")+TIMEVALUE("6:00"),1,0)+IF(A142&gt;=DATEVALUE("2025/12/11")+TIMEVALUE("6:00"),1,0)</f>
        <v>4</v>
      </c>
      <c r="N142">
        <f t="shared" ref="N142" si="275">N141+M142*(INT(A142-6/24)-INT(A141-6/24))+O142</f>
        <v>144</v>
      </c>
      <c r="O142">
        <f t="shared" ref="O142" si="276">IF(A142&gt;=DATEVALUE("2025/11/8")+TIMEVALUE("6:00"),1,0)-IF(A141&gt;=DATEVALUE("2025/11/8")+TIMEVALUE("6:00"),1,0)</f>
        <v>0</v>
      </c>
      <c r="P142" t="str">
        <f t="shared" ref="P142" si="277">IF(L142&lt;N142,"未達成（"&amp;N142-L142&amp;"）",IF(L142=N142,"達成","前倒し（"&amp;L142-N142&amp;"）"))</f>
        <v>達成</v>
      </c>
    </row>
    <row r="143" spans="1:16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341</v>
      </c>
      <c r="I143" t="s">
        <v>342</v>
      </c>
      <c r="J143">
        <v>0</v>
      </c>
      <c r="K143">
        <f t="shared" ref="K143" si="278">IF(A143&lt;DATEVALUE("2025/11/20")+TIMEVALUE("6:00"),1,IF(B143-SUM(D143:F143)&lt;&gt;60,0,MAX(2-INT(G143*24*60/10),0)))</f>
        <v>1</v>
      </c>
      <c r="L143">
        <f t="shared" ref="L143" si="279">L142+K143</f>
        <v>145</v>
      </c>
      <c r="M143">
        <f t="shared" ref="M143" si="280">2+IF(A143&gt;=DATEVALUE("2025/11/30")+TIMEVALUE("6:00"),1,0)+IF(A143&gt;=DATEVALUE("2025/12/11")+TIMEVALUE("6:00"),1,0)</f>
        <v>4</v>
      </c>
      <c r="N143">
        <f t="shared" ref="N143" si="281">N142+M143*(INT(A143-6/24)-INT(A142-6/24))+O143</f>
        <v>148</v>
      </c>
      <c r="O143">
        <f t="shared" ref="O143" si="282">IF(A143&gt;=DATEVALUE("2025/11/8")+TIMEVALUE("6:00"),1,0)-IF(A142&gt;=DATEVALUE("2025/11/8")+TIMEVALUE("6:00"),1,0)</f>
        <v>0</v>
      </c>
      <c r="P143" t="str">
        <f t="shared" ref="P143" si="283">IF(L143&lt;N143,"未達成（"&amp;N143-L143&amp;"）",IF(L143=N143,"達成","前倒し（"&amp;L143-N143&amp;"）"))</f>
        <v>未達成（3）</v>
      </c>
    </row>
    <row r="144" spans="1:16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343</v>
      </c>
      <c r="I144" t="s">
        <v>344</v>
      </c>
      <c r="J144">
        <v>0</v>
      </c>
      <c r="K144">
        <f t="shared" ref="K144" si="284">IF(A144&lt;DATEVALUE("2025/11/20")+TIMEVALUE("6:00"),1,IF(B144-SUM(D144:F144)&lt;&gt;60,0,MAX(2-INT(G144*24*60/10),0)))</f>
        <v>1</v>
      </c>
      <c r="L144">
        <f t="shared" ref="L144" si="285">L143+K144</f>
        <v>146</v>
      </c>
      <c r="M144">
        <f t="shared" ref="M144" si="286">2+IF(A144&gt;=DATEVALUE("2025/11/30")+TIMEVALUE("6:00"),1,0)+IF(A144&gt;=DATEVALUE("2025/12/11")+TIMEVALUE("6:00"),1,0)</f>
        <v>4</v>
      </c>
      <c r="N144">
        <f t="shared" ref="N144" si="287">N143+M144*(INT(A144-6/24)-INT(A143-6/24))+O144</f>
        <v>148</v>
      </c>
      <c r="O144">
        <f t="shared" ref="O144" si="288">IF(A144&gt;=DATEVALUE("2025/11/8")+TIMEVALUE("6:00"),1,0)-IF(A143&gt;=DATEVALUE("2025/11/8")+TIMEVALUE("6:00"),1,0)</f>
        <v>0</v>
      </c>
      <c r="P144" t="str">
        <f t="shared" ref="P144" si="289">IF(L144&lt;N144,"未達成（"&amp;N144-L144&amp;"）",IF(L144=N144,"達成","前倒し（"&amp;L144-N144&amp;"）"))</f>
        <v>未達成（2）</v>
      </c>
    </row>
    <row r="145" spans="1:16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345</v>
      </c>
      <c r="I145" t="s">
        <v>346</v>
      </c>
      <c r="J145">
        <v>0</v>
      </c>
      <c r="K145">
        <f t="shared" ref="K145" si="290">IF(A145&lt;DATEVALUE("2025/11/20")+TIMEVALUE("6:00"),1,IF(B145-SUM(D145:F145)&lt;&gt;60,0,MAX(2-INT(G145*24*60/10),0)))</f>
        <v>2</v>
      </c>
      <c r="L145">
        <f t="shared" ref="L145" si="291">L144+K145</f>
        <v>148</v>
      </c>
      <c r="M145">
        <f t="shared" ref="M145" si="292">2+IF(A145&gt;=DATEVALUE("2025/11/30")+TIMEVALUE("6:00"),1,0)+IF(A145&gt;=DATEVALUE("2025/12/11")+TIMEVALUE("6:00"),1,0)</f>
        <v>4</v>
      </c>
      <c r="N145">
        <f t="shared" ref="N145" si="293">N144+M145*(INT(A145-6/24)-INT(A144-6/24))+O145</f>
        <v>148</v>
      </c>
      <c r="O145">
        <f t="shared" ref="O145" si="294">IF(A145&gt;=DATEVALUE("2025/11/8")+TIMEVALUE("6:00"),1,0)-IF(A144&gt;=DATEVALUE("2025/11/8")+TIMEVALUE("6:00"),1,0)</f>
        <v>0</v>
      </c>
      <c r="P145" t="str">
        <f t="shared" ref="P145" si="295">IF(L145&lt;N145,"未達成（"&amp;N145-L145&amp;"）",IF(L145=N145,"達成","前倒し（"&amp;L145-N145&amp;"）"))</f>
        <v>達成</v>
      </c>
    </row>
    <row r="146" spans="1:16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347</v>
      </c>
      <c r="I146" t="s">
        <v>348</v>
      </c>
      <c r="J146">
        <v>0</v>
      </c>
      <c r="K146">
        <f t="shared" ref="K146" si="296">IF(A146&lt;DATEVALUE("2025/11/20")+TIMEVALUE("6:00"),1,IF(B146-SUM(D146:F146)&lt;&gt;60,0,MAX(2-INT(G146*24*60/10),0)))</f>
        <v>1</v>
      </c>
      <c r="L146">
        <f t="shared" ref="L146" si="297">L145+K146</f>
        <v>149</v>
      </c>
      <c r="M146">
        <f t="shared" ref="M146" si="298">2+IF(A146&gt;=DATEVALUE("2025/11/30")+TIMEVALUE("6:00"),1,0)+IF(A146&gt;=DATEVALUE("2025/12/11")+TIMEVALUE("6:00"),1,0)</f>
        <v>4</v>
      </c>
      <c r="N146">
        <f t="shared" ref="N146" si="299">N145+M146*(INT(A146-6/24)-INT(A145-6/24))+O146</f>
        <v>152</v>
      </c>
      <c r="O146">
        <f t="shared" ref="O146" si="300">IF(A146&gt;=DATEVALUE("2025/11/8")+TIMEVALUE("6:00"),1,0)-IF(A145&gt;=DATEVALUE("2025/11/8")+TIMEVALUE("6:00"),1,0)</f>
        <v>0</v>
      </c>
      <c r="P146" t="str">
        <f t="shared" ref="P146" si="301">IF(L146&lt;N146,"未達成（"&amp;N146-L146&amp;"）",IF(L146=N146,"達成","前倒し（"&amp;L146-N146&amp;"）"))</f>
        <v>未達成（3）</v>
      </c>
    </row>
    <row r="147" spans="1:16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349</v>
      </c>
      <c r="I147" t="s">
        <v>350</v>
      </c>
      <c r="J147">
        <v>0</v>
      </c>
      <c r="K147">
        <f t="shared" ref="K147" si="302">IF(A147&lt;DATEVALUE("2025/11/20")+TIMEVALUE("6:00"),1,IF(B147-SUM(D147:F147)&lt;&gt;60,0,MAX(2-INT(G147*24*60/10),0)))</f>
        <v>1</v>
      </c>
      <c r="L147">
        <f t="shared" ref="L147" si="303">L146+K147</f>
        <v>150</v>
      </c>
      <c r="M147">
        <f t="shared" ref="M147" si="304">2+IF(A147&gt;=DATEVALUE("2025/11/30")+TIMEVALUE("6:00"),1,0)+IF(A147&gt;=DATEVALUE("2025/12/11")+TIMEVALUE("6:00"),1,0)</f>
        <v>4</v>
      </c>
      <c r="N147">
        <f t="shared" ref="N147" si="305">N146+M147*(INT(A147-6/24)-INT(A146-6/24))+O147</f>
        <v>152</v>
      </c>
      <c r="O147">
        <f t="shared" ref="O147" si="306">IF(A147&gt;=DATEVALUE("2025/11/8")+TIMEVALUE("6:00"),1,0)-IF(A146&gt;=DATEVALUE("2025/11/8")+TIMEVALUE("6:00"),1,0)</f>
        <v>0</v>
      </c>
      <c r="P147" t="str">
        <f t="shared" ref="P147" si="307">IF(L147&lt;N147,"未達成（"&amp;N147-L147&amp;"）",IF(L147=N147,"達成","前倒し（"&amp;L147-N147&amp;"）"))</f>
        <v>未達成（2）</v>
      </c>
    </row>
    <row r="148" spans="1:16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351</v>
      </c>
      <c r="I148" t="s">
        <v>352</v>
      </c>
      <c r="J148">
        <v>0</v>
      </c>
      <c r="K148">
        <f t="shared" ref="K148" si="308">IF(A148&lt;DATEVALUE("2025/11/20")+TIMEVALUE("6:00"),1,IF(B148-SUM(D148:F148)&lt;&gt;60,0,MAX(2-INT(G148*24*60/10),0)))</f>
        <v>2</v>
      </c>
      <c r="L148">
        <f t="shared" ref="L148" si="309">L147+K148</f>
        <v>152</v>
      </c>
      <c r="M148">
        <f t="shared" ref="M148" si="310">2+IF(A148&gt;=DATEVALUE("2025/11/30")+TIMEVALUE("6:00"),1,0)+IF(A148&gt;=DATEVALUE("2025/12/11")+TIMEVALUE("6:00"),1,0)</f>
        <v>4</v>
      </c>
      <c r="N148">
        <f t="shared" ref="N148" si="311">N147+M148*(INT(A148-6/24)-INT(A147-6/24))+O148</f>
        <v>152</v>
      </c>
      <c r="O148">
        <f t="shared" ref="O148" si="312">IF(A148&gt;=DATEVALUE("2025/11/8")+TIMEVALUE("6:00"),1,0)-IF(A147&gt;=DATEVALUE("2025/11/8")+TIMEVALUE("6:00"),1,0)</f>
        <v>0</v>
      </c>
      <c r="P148" t="str">
        <f t="shared" ref="P148" si="313">IF(L148&lt;N148,"未達成（"&amp;N148-L148&amp;"）",IF(L148=N148,"達成","前倒し（"&amp;L148-N148&amp;"）"))</f>
        <v>達成</v>
      </c>
    </row>
    <row r="149" spans="1:16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353</v>
      </c>
      <c r="I149" t="s">
        <v>354</v>
      </c>
      <c r="J149">
        <v>0</v>
      </c>
      <c r="K149">
        <f t="shared" ref="K149" si="314">IF(A149&lt;DATEVALUE("2025/11/20")+TIMEVALUE("6:00"),1,IF(B149-SUM(D149:F149)&lt;&gt;60,0,MAX(2-INT(G149*24*60/10),0)))</f>
        <v>1</v>
      </c>
      <c r="L149">
        <f t="shared" ref="L149" si="315">L148+K149</f>
        <v>153</v>
      </c>
      <c r="M149">
        <f t="shared" ref="M149" si="316">2+IF(A149&gt;=DATEVALUE("2025/11/30")+TIMEVALUE("6:00"),1,0)+IF(A149&gt;=DATEVALUE("2025/12/11")+TIMEVALUE("6:00"),1,0)</f>
        <v>4</v>
      </c>
      <c r="N149">
        <f t="shared" ref="N149" si="317">N148+M149*(INT(A149-6/24)-INT(A148-6/24))+O149</f>
        <v>156</v>
      </c>
      <c r="O149">
        <f t="shared" ref="O149" si="318">IF(A149&gt;=DATEVALUE("2025/11/8")+TIMEVALUE("6:00"),1,0)-IF(A148&gt;=DATEVALUE("2025/11/8")+TIMEVALUE("6:00"),1,0)</f>
        <v>0</v>
      </c>
      <c r="P149" t="str">
        <f t="shared" ref="P149" si="319">IF(L149&lt;N149,"未達成（"&amp;N149-L149&amp;"）",IF(L149=N149,"達成","前倒し（"&amp;L149-N149&amp;"）"))</f>
        <v>未達成（3）</v>
      </c>
    </row>
    <row r="150" spans="1:16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355</v>
      </c>
      <c r="I150" t="s">
        <v>356</v>
      </c>
      <c r="J150">
        <v>0</v>
      </c>
      <c r="K150">
        <f t="shared" ref="K150" si="320">IF(A150&lt;DATEVALUE("2025/11/20")+TIMEVALUE("6:00"),1,IF(B150-SUM(D150:F150)&lt;&gt;60,0,MAX(2-INT(G150*24*60/10),0)))</f>
        <v>2</v>
      </c>
      <c r="L150">
        <f t="shared" ref="L150" si="321">L149+K150</f>
        <v>155</v>
      </c>
      <c r="M150">
        <f t="shared" ref="M150" si="322">2+IF(A150&gt;=DATEVALUE("2025/11/30")+TIMEVALUE("6:00"),1,0)+IF(A150&gt;=DATEVALUE("2025/12/11")+TIMEVALUE("6:00"),1,0)</f>
        <v>4</v>
      </c>
      <c r="N150">
        <f t="shared" ref="N150" si="323">N149+M150*(INT(A150-6/24)-INT(A149-6/24))+O150</f>
        <v>156</v>
      </c>
      <c r="O150">
        <f t="shared" ref="O150" si="324">IF(A150&gt;=DATEVALUE("2025/11/8")+TIMEVALUE("6:00"),1,0)-IF(A149&gt;=DATEVALUE("2025/11/8")+TIMEVALUE("6:00"),1,0)</f>
        <v>0</v>
      </c>
      <c r="P150" t="str">
        <f t="shared" ref="P150" si="325">IF(L150&lt;N150,"未達成（"&amp;N150-L150&amp;"）",IF(L150=N150,"達成","前倒し（"&amp;L150-N150&amp;"）"))</f>
        <v>未達成（1）</v>
      </c>
    </row>
    <row r="151" spans="1:16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357</v>
      </c>
      <c r="I151" t="s">
        <v>358</v>
      </c>
      <c r="J151">
        <v>0</v>
      </c>
      <c r="K151">
        <f t="shared" ref="K151" si="326">IF(A151&lt;DATEVALUE("2025/11/20")+TIMEVALUE("6:00"),1,IF(B151-SUM(D151:F151)&lt;&gt;60,0,MAX(2-INT(G151*24*60/10),0)))</f>
        <v>1</v>
      </c>
      <c r="L151">
        <f t="shared" ref="L151" si="327">L150+K151</f>
        <v>156</v>
      </c>
      <c r="M151">
        <f t="shared" ref="M151" si="328">2+IF(A151&gt;=DATEVALUE("2025/11/30")+TIMEVALUE("6:00"),1,0)+IF(A151&gt;=DATEVALUE("2025/12/11")+TIMEVALUE("6:00"),1,0)</f>
        <v>4</v>
      </c>
      <c r="N151">
        <f t="shared" ref="N151" si="329">N150+M151*(INT(A151-6/24)-INT(A150-6/24))+O151</f>
        <v>156</v>
      </c>
      <c r="O151">
        <f t="shared" ref="O151" si="330">IF(A151&gt;=DATEVALUE("2025/11/8")+TIMEVALUE("6:00"),1,0)-IF(A150&gt;=DATEVALUE("2025/11/8")+TIMEVALUE("6:00"),1,0)</f>
        <v>0</v>
      </c>
      <c r="P151" t="str">
        <f t="shared" ref="P151" si="331">IF(L151&lt;N151,"未達成（"&amp;N151-L151&amp;"）",IF(L151=N151,"達成","前倒し（"&amp;L151-N151&amp;"）"))</f>
        <v>達成</v>
      </c>
    </row>
    <row r="152" spans="1:16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359</v>
      </c>
      <c r="I152" t="s">
        <v>360</v>
      </c>
      <c r="J152">
        <v>0</v>
      </c>
      <c r="K152">
        <f t="shared" ref="K152" si="332">IF(A152&lt;DATEVALUE("2025/11/20")+TIMEVALUE("6:00"),1,IF(B152-SUM(D152:F152)&lt;&gt;60,0,MAX(2-INT(G152*24*60/10),0)))</f>
        <v>2</v>
      </c>
      <c r="L152">
        <f t="shared" ref="L152" si="333">L151+K152</f>
        <v>158</v>
      </c>
      <c r="M152">
        <f t="shared" ref="M152" si="334">2+IF(A152&gt;=DATEVALUE("2025/11/30")+TIMEVALUE("6:00"),1,0)+IF(A152&gt;=DATEVALUE("2025/12/11")+TIMEVALUE("6:00"),1,0)</f>
        <v>4</v>
      </c>
      <c r="N152">
        <f t="shared" ref="N152" si="335">N151+M152*(INT(A152-6/24)-INT(A151-6/24))+O152</f>
        <v>160</v>
      </c>
      <c r="O152">
        <f t="shared" ref="O152" si="336">IF(A152&gt;=DATEVALUE("2025/11/8")+TIMEVALUE("6:00"),1,0)-IF(A151&gt;=DATEVALUE("2025/11/8")+TIMEVALUE("6:00"),1,0)</f>
        <v>0</v>
      </c>
      <c r="P152" t="str">
        <f t="shared" ref="P152" si="337">IF(L152&lt;N152,"未達成（"&amp;N152-L152&amp;"）",IF(L152=N152,"達成","前倒し（"&amp;L152-N152&amp;"）"))</f>
        <v>未達成（2）</v>
      </c>
    </row>
    <row r="153" spans="1:16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361</v>
      </c>
      <c r="I153" t="s">
        <v>362</v>
      </c>
      <c r="J153">
        <v>0</v>
      </c>
      <c r="K153">
        <f t="shared" ref="K153" si="338">IF(A153&lt;DATEVALUE("2025/11/20")+TIMEVALUE("6:00"),1,IF(B153-SUM(D153:F153)&lt;&gt;60,0,MAX(2-INT(G153*24*60/10),0)))</f>
        <v>2</v>
      </c>
      <c r="L153">
        <f t="shared" ref="L153" si="339">L152+K153</f>
        <v>160</v>
      </c>
      <c r="M153">
        <f t="shared" ref="M153" si="340">2+IF(A153&gt;=DATEVALUE("2025/11/30")+TIMEVALUE("6:00"),1,0)+IF(A153&gt;=DATEVALUE("2025/12/11")+TIMEVALUE("6:00"),1,0)</f>
        <v>4</v>
      </c>
      <c r="N153">
        <f t="shared" ref="N153" si="341">N152+M153*(INT(A153-6/24)-INT(A152-6/24))+O153</f>
        <v>160</v>
      </c>
      <c r="O153">
        <f t="shared" ref="O153" si="342">IF(A153&gt;=DATEVALUE("2025/11/8")+TIMEVALUE("6:00"),1,0)-IF(A152&gt;=DATEVALUE("2025/11/8")+TIMEVALUE("6:00"),1,0)</f>
        <v>0</v>
      </c>
      <c r="P153" t="str">
        <f t="shared" ref="P153" si="343">IF(L153&lt;N153,"未達成（"&amp;N153-L153&amp;"）",IF(L153=N153,"達成","前倒し（"&amp;L153-N153&amp;"）"))</f>
        <v>達成</v>
      </c>
    </row>
    <row r="154" spans="1:16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363</v>
      </c>
      <c r="I154" t="s">
        <v>364</v>
      </c>
      <c r="J154">
        <v>0</v>
      </c>
      <c r="K154">
        <f t="shared" ref="K154" si="344">IF(A154&lt;DATEVALUE("2025/11/20")+TIMEVALUE("6:00"),1,IF(B154-SUM(D154:F154)&lt;&gt;60,0,MAX(2-INT(G154*24*60/10),0)))</f>
        <v>1</v>
      </c>
      <c r="L154">
        <f t="shared" ref="L154" si="345">L153+K154</f>
        <v>161</v>
      </c>
      <c r="M154">
        <f t="shared" ref="M154" si="346">2+IF(A154&gt;=DATEVALUE("2025/11/30")+TIMEVALUE("6:00"),1,0)+IF(A154&gt;=DATEVALUE("2025/12/11")+TIMEVALUE("6:00"),1,0)</f>
        <v>4</v>
      </c>
      <c r="N154">
        <f t="shared" ref="N154" si="347">N153+M154*(INT(A154-6/24)-INT(A153-6/24))+O154</f>
        <v>164</v>
      </c>
      <c r="O154">
        <f t="shared" ref="O154" si="348">IF(A154&gt;=DATEVALUE("2025/11/8")+TIMEVALUE("6:00"),1,0)-IF(A153&gt;=DATEVALUE("2025/11/8")+TIMEVALUE("6:00"),1,0)</f>
        <v>0</v>
      </c>
      <c r="P154" t="str">
        <f t="shared" ref="P154" si="349">IF(L154&lt;N154,"未達成（"&amp;N154-L154&amp;"）",IF(L154=N154,"達成","前倒し（"&amp;L154-N154&amp;"）"))</f>
        <v>未達成（3）</v>
      </c>
    </row>
    <row r="155" spans="1:16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365</v>
      </c>
      <c r="I155" t="s">
        <v>366</v>
      </c>
      <c r="J155">
        <v>0</v>
      </c>
      <c r="K155">
        <f t="shared" ref="K155" si="350">IF(A155&lt;DATEVALUE("2025/11/20")+TIMEVALUE("6:00"),1,IF(B155-SUM(D155:F155)&lt;&gt;60,0,MAX(2-INT(G155*24*60/10),0)))</f>
        <v>2</v>
      </c>
      <c r="L155">
        <f t="shared" ref="L155" si="351">L154+K155</f>
        <v>163</v>
      </c>
      <c r="M155">
        <f t="shared" ref="M155" si="352">2+IF(A155&gt;=DATEVALUE("2025/11/30")+TIMEVALUE("6:00"),1,0)+IF(A155&gt;=DATEVALUE("2025/12/11")+TIMEVALUE("6:00"),1,0)</f>
        <v>4</v>
      </c>
      <c r="N155">
        <f t="shared" ref="N155" si="353">N154+M155*(INT(A155-6/24)-INT(A154-6/24))+O155</f>
        <v>164</v>
      </c>
      <c r="O155">
        <f t="shared" ref="O155" si="354">IF(A155&gt;=DATEVALUE("2025/11/8")+TIMEVALUE("6:00"),1,0)-IF(A154&gt;=DATEVALUE("2025/11/8")+TIMEVALUE("6:00"),1,0)</f>
        <v>0</v>
      </c>
      <c r="P155" t="str">
        <f t="shared" ref="P155" si="355">IF(L155&lt;N155,"未達成（"&amp;N155-L155&amp;"）",IF(L155=N155,"達成","前倒し（"&amp;L155-N155&amp;"）"))</f>
        <v>未達成（1）</v>
      </c>
    </row>
    <row r="156" spans="1:16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367</v>
      </c>
      <c r="I156" t="s">
        <v>368</v>
      </c>
      <c r="J156">
        <v>0</v>
      </c>
      <c r="K156">
        <f t="shared" ref="K156" si="356">IF(A156&lt;DATEVALUE("2025/11/20")+TIMEVALUE("6:00"),1,IF(B156-SUM(D156:F156)&lt;&gt;60,0,MAX(2-INT(G156*24*60/10),0)))</f>
        <v>2</v>
      </c>
      <c r="L156">
        <f t="shared" ref="L156" si="357">L155+K156</f>
        <v>165</v>
      </c>
      <c r="M156">
        <f t="shared" ref="M156" si="358">2+IF(A156&gt;=DATEVALUE("2025/11/30")+TIMEVALUE("6:00"),1,0)+IF(A156&gt;=DATEVALUE("2025/12/11")+TIMEVALUE("6:00"),1,0)</f>
        <v>4</v>
      </c>
      <c r="N156">
        <f t="shared" ref="N156" si="359">N155+M156*(INT(A156-6/24)-INT(A155-6/24))+O156</f>
        <v>164</v>
      </c>
      <c r="O156">
        <f t="shared" ref="O156" si="360">IF(A156&gt;=DATEVALUE("2025/11/8")+TIMEVALUE("6:00"),1,0)-IF(A155&gt;=DATEVALUE("2025/11/8")+TIMEVALUE("6:00"),1,0)</f>
        <v>0</v>
      </c>
      <c r="P156" t="str">
        <f t="shared" ref="P156" si="361">IF(L156&lt;N156,"未達成（"&amp;N156-L156&amp;"）",IF(L156=N156,"達成","前倒し（"&amp;L156-N156&amp;"）"))</f>
        <v>前倒し（1）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>
      <selection activeCell="A3" sqref="A3"/>
    </sheetView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46020.308912037035</v>
      </c>
      <c r="D3" s="25"/>
    </row>
    <row r="4" spans="1:4">
      <c r="A4" t="s">
        <v>340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2025-12-28T22:34:15Z</dcterms:modified>
</cp:coreProperties>
</file>
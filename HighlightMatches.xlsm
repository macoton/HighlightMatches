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2FF2195-39A4-4C66-9DC9-AB0BB8773159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1" i="4" l="1"/>
  <c r="M161" i="4"/>
  <c r="N161" i="4" s="1"/>
  <c r="K161" i="4"/>
  <c r="L161" i="4" s="1"/>
  <c r="P161" i="4" s="1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L18" i="4" l="1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L143" i="4" s="1"/>
  <c r="P139" i="4"/>
  <c r="P143" i="4" l="1"/>
  <c r="L144" i="4"/>
  <c r="P142" i="4"/>
  <c r="P141" i="4"/>
  <c r="L145" i="4" l="1"/>
  <c r="P144" i="4"/>
  <c r="L146" i="4" l="1"/>
  <c r="P145" i="4"/>
  <c r="P146" i="4" l="1"/>
  <c r="L147" i="4"/>
  <c r="P147" i="4" l="1"/>
  <c r="L148" i="4"/>
  <c r="P148" i="4" l="1"/>
  <c r="L149" i="4"/>
  <c r="P149" i="4" l="1"/>
  <c r="L150" i="4"/>
  <c r="P150" i="4" l="1"/>
  <c r="L151" i="4"/>
  <c r="L152" i="4" l="1"/>
  <c r="P151" i="4"/>
  <c r="P152" i="4" l="1"/>
  <c r="L153" i="4"/>
  <c r="L154" i="4" l="1"/>
  <c r="P153" i="4"/>
  <c r="L155" i="4" l="1"/>
  <c r="P154" i="4"/>
  <c r="L156" i="4" l="1"/>
  <c r="P155" i="4"/>
  <c r="P156" i="4" l="1"/>
  <c r="L157" i="4"/>
  <c r="P157" i="4" l="1"/>
  <c r="L158" i="4"/>
  <c r="P158" i="4" l="1"/>
  <c r="L159" i="4"/>
  <c r="P159" i="4" l="1"/>
  <c r="L160" i="4"/>
  <c r="P160" i="4" l="1"/>
</calcChain>
</file>

<file path=xl/sharedStrings.xml><?xml version="1.0" encoding="utf-8"?>
<sst xmlns="http://schemas.openxmlformats.org/spreadsheetml/2006/main" count="398" uniqueCount="379">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</sst>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データ!$P$2:$P$160</c:f>
              <c:strCache>
                <c:ptCount val="159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データ!$A$3:$A$161</c:f>
              <c:numCache>
                <c:formatCode>m/d/yyyy\ h:mm</c:formatCode>
                <c:ptCount val="15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</c:numCache>
            </c:numRef>
          </c:xVal>
          <c:yVal>
            <c:numRef>
              <c:f>データ!$B$3:$B$161</c:f>
              <c:numCache>
                <c:formatCode>General</c:formatCode>
                <c:ptCount val="159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37-4665-8F11-90F3F297776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437-4665-8F11-90F3F2977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863376"/>
        <c:axId val="171487537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データ!$A$3:$A$161</c:f>
              <c:numCache>
                <c:formatCode>m/d/yyyy\ h:mm</c:formatCode>
                <c:ptCount val="15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</c:numCache>
            </c:numRef>
          </c:xVal>
          <c:yVal>
            <c:numRef>
              <c:f>データ!$G$3:$G$161</c:f>
              <c:numCache>
                <c:formatCode>[h]:mm</c:formatCode>
                <c:ptCount val="159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7-4665-8F11-90F3F2977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854256"/>
        <c:axId val="1714872976"/>
      </c:scatterChart>
      <c:valAx>
        <c:axId val="171486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875376"/>
        <c:crosses val="autoZero"/>
        <c:crossBetween val="midCat"/>
      </c:valAx>
      <c:valAx>
        <c:axId val="171487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863376"/>
        <c:crosses val="autoZero"/>
        <c:crossBetween val="midCat"/>
      </c:valAx>
      <c:valAx>
        <c:axId val="171487297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854256"/>
        <c:crosses val="max"/>
        <c:crossBetween val="midCat"/>
      </c:valAx>
      <c:valAx>
        <c:axId val="171485425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487297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3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371" name="Match0">
          <a:extLst>
            <a:ext uri="{FF2B5EF4-FFF2-40B4-BE49-F238E27FC236}">
              <a16:creationId xmlns:a16="http://schemas.microsoft.com/office/drawing/2014/main" id="{13341CE9-54E4-5F32-113F-66AB202F98AE}"/>
            </a:ext>
          </a:extLst>
        </xdr:cNvPr>
        <xdr:cNvCxnSpPr/>
      </xdr:nvCxnSpPr>
      <xdr:spPr>
        <a:xfrm>
          <a:off x="3178969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372" name="Match1">
          <a:extLst>
            <a:ext uri="{FF2B5EF4-FFF2-40B4-BE49-F238E27FC236}">
              <a16:creationId xmlns:a16="http://schemas.microsoft.com/office/drawing/2014/main" id="{CB87B589-6296-5EDD-B37D-17B7BE41921F}"/>
            </a:ext>
          </a:extLst>
        </xdr:cNvPr>
        <xdr:cNvCxnSpPr/>
      </xdr:nvCxnSpPr>
      <xdr:spPr>
        <a:xfrm flipH="1">
          <a:off x="2331244" y="4107656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373" name="Match2">
          <a:extLst>
            <a:ext uri="{FF2B5EF4-FFF2-40B4-BE49-F238E27FC236}">
              <a16:creationId xmlns:a16="http://schemas.microsoft.com/office/drawing/2014/main" id="{A168D74F-8AB8-887D-9652-2BAD1D1BD8DE}"/>
            </a:ext>
          </a:extLst>
        </xdr:cNvPr>
        <xdr:cNvCxnSpPr/>
      </xdr:nvCxnSpPr>
      <xdr:spPr>
        <a:xfrm>
          <a:off x="190738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374" name="Match3">
          <a:extLst>
            <a:ext uri="{FF2B5EF4-FFF2-40B4-BE49-F238E27FC236}">
              <a16:creationId xmlns:a16="http://schemas.microsoft.com/office/drawing/2014/main" id="{D5179811-0F5B-4774-C86D-8BB2DB3EE192}"/>
            </a:ext>
          </a:extLst>
        </xdr:cNvPr>
        <xdr:cNvCxnSpPr/>
      </xdr:nvCxnSpPr>
      <xdr:spPr>
        <a:xfrm>
          <a:off x="40266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375" name="Match4">
          <a:extLst>
            <a:ext uri="{FF2B5EF4-FFF2-40B4-BE49-F238E27FC236}">
              <a16:creationId xmlns:a16="http://schemas.microsoft.com/office/drawing/2014/main" id="{D15042E5-FDAF-92F4-6390-4C0F410E8D8C}"/>
            </a:ext>
          </a:extLst>
        </xdr:cNvPr>
        <xdr:cNvCxnSpPr/>
      </xdr:nvCxnSpPr>
      <xdr:spPr>
        <a:xfrm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4</xdr:row>
      <xdr:rowOff>229394</xdr:rowOff>
    </xdr:from>
    <xdr:to>
      <xdr:col>9</xdr:col>
      <xdr:colOff>262731</xdr:colOff>
      <xdr:row>5</xdr:row>
      <xdr:rowOff>229393</xdr:rowOff>
    </xdr:to>
    <xdr:cxnSp macro="">
      <xdr:nvCxnSpPr>
        <xdr:cNvPr id="1376" name="Match5">
          <a:extLst>
            <a:ext uri="{FF2B5EF4-FFF2-40B4-BE49-F238E27FC236}">
              <a16:creationId xmlns:a16="http://schemas.microsoft.com/office/drawing/2014/main" id="{32FF0046-9EC1-CD13-49B3-F62FF13D02AF}"/>
            </a:ext>
          </a:extLst>
        </xdr:cNvPr>
        <xdr:cNvCxnSpPr/>
      </xdr:nvCxnSpPr>
      <xdr:spPr>
        <a:xfrm flipH="1">
          <a:off x="3653631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377" name="Match6">
          <a:extLst>
            <a:ext uri="{FF2B5EF4-FFF2-40B4-BE49-F238E27FC236}">
              <a16:creationId xmlns:a16="http://schemas.microsoft.com/office/drawing/2014/main" id="{80CC1AD5-DE8E-90CA-9429-9CB83F9C2FBA}"/>
            </a:ext>
          </a:extLst>
        </xdr:cNvPr>
        <xdr:cNvCxnSpPr/>
      </xdr:nvCxnSpPr>
      <xdr:spPr>
        <a:xfrm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378" name="Match7">
          <a:extLst>
            <a:ext uri="{FF2B5EF4-FFF2-40B4-BE49-F238E27FC236}">
              <a16:creationId xmlns:a16="http://schemas.microsoft.com/office/drawing/2014/main" id="{198757CA-D412-5592-7F36-EFBE0E00C6F6}"/>
            </a:ext>
          </a:extLst>
        </xdr:cNvPr>
        <xdr:cNvCxnSpPr/>
      </xdr:nvCxnSpPr>
      <xdr:spPr>
        <a:xfrm>
          <a:off x="447595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5</xdr:row>
      <xdr:rowOff>229393</xdr:rowOff>
    </xdr:from>
    <xdr:to>
      <xdr:col>10</xdr:col>
      <xdr:colOff>262731</xdr:colOff>
      <xdr:row>6</xdr:row>
      <xdr:rowOff>229394</xdr:rowOff>
    </xdr:to>
    <xdr:cxnSp macro="">
      <xdr:nvCxnSpPr>
        <xdr:cNvPr id="1379" name="Match8">
          <a:extLst>
            <a:ext uri="{FF2B5EF4-FFF2-40B4-BE49-F238E27FC236}">
              <a16:creationId xmlns:a16="http://schemas.microsoft.com/office/drawing/2014/main" id="{5E6DE0CA-3BDA-2F2A-FFD2-44488A807D91}"/>
            </a:ext>
          </a:extLst>
        </xdr:cNvPr>
        <xdr:cNvCxnSpPr/>
      </xdr:nvCxnSpPr>
      <xdr:spPr>
        <a:xfrm flipV="1">
          <a:off x="4501356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380" name="Match9">
          <a:extLst>
            <a:ext uri="{FF2B5EF4-FFF2-40B4-BE49-F238E27FC236}">
              <a16:creationId xmlns:a16="http://schemas.microsoft.com/office/drawing/2014/main" id="{891AC493-2AD9-05D9-5415-28C9BAA7AC64}"/>
            </a:ext>
          </a:extLst>
        </xdr:cNvPr>
        <xdr:cNvCxnSpPr/>
      </xdr:nvCxnSpPr>
      <xdr:spPr>
        <a:xfrm flipH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381" name="Match10">
          <a:extLst>
            <a:ext uri="{FF2B5EF4-FFF2-40B4-BE49-F238E27FC236}">
              <a16:creationId xmlns:a16="http://schemas.microsoft.com/office/drawing/2014/main" id="{485FBA8C-A695-6933-7D5E-E3FB6917B7B0}"/>
            </a:ext>
          </a:extLst>
        </xdr:cNvPr>
        <xdr:cNvCxnSpPr/>
      </xdr:nvCxnSpPr>
      <xdr:spPr>
        <a:xfrm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2</xdr:col>
      <xdr:colOff>237331</xdr:colOff>
      <xdr:row>9</xdr:row>
      <xdr:rowOff>203993</xdr:rowOff>
    </xdr:to>
    <xdr:cxnSp macro="">
      <xdr:nvCxnSpPr>
        <xdr:cNvPr id="1382" name="Match11">
          <a:extLst>
            <a:ext uri="{FF2B5EF4-FFF2-40B4-BE49-F238E27FC236}">
              <a16:creationId xmlns:a16="http://schemas.microsoft.com/office/drawing/2014/main" id="{7CD1AD10-D4F2-5EC6-B342-DD630E449AB5}"/>
            </a:ext>
          </a:extLst>
        </xdr:cNvPr>
        <xdr:cNvCxnSpPr/>
      </xdr:nvCxnSpPr>
      <xdr:spPr>
        <a:xfrm>
          <a:off x="6611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383" name="Match12">
          <a:extLst>
            <a:ext uri="{FF2B5EF4-FFF2-40B4-BE49-F238E27FC236}">
              <a16:creationId xmlns:a16="http://schemas.microsoft.com/office/drawing/2014/main" id="{F3FB64DE-EAE0-2BAA-3C6A-02BFF4759311}"/>
            </a:ext>
          </a:extLst>
        </xdr:cNvPr>
        <xdr:cNvCxnSpPr/>
      </xdr:nvCxnSpPr>
      <xdr:spPr>
        <a:xfrm flipH="1">
          <a:off x="10596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384" name="Match13">
          <a:extLst>
            <a:ext uri="{FF2B5EF4-FFF2-40B4-BE49-F238E27FC236}">
              <a16:creationId xmlns:a16="http://schemas.microsoft.com/office/drawing/2014/main" id="{498509B5-1661-9A73-6DA6-79E9D444D5D9}"/>
            </a:ext>
          </a:extLst>
        </xdr:cNvPr>
        <xdr:cNvCxnSpPr/>
      </xdr:nvCxnSpPr>
      <xdr:spPr>
        <a:xfrm flipH="1" flipV="1">
          <a:off x="10850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385" name="Match14">
          <a:extLst>
            <a:ext uri="{FF2B5EF4-FFF2-40B4-BE49-F238E27FC236}">
              <a16:creationId xmlns:a16="http://schemas.microsoft.com/office/drawing/2014/main" id="{CB86A400-058D-23E3-5A08-6C0BF99DB511}"/>
            </a:ext>
          </a:extLst>
        </xdr:cNvPr>
        <xdr:cNvCxnSpPr/>
      </xdr:nvCxnSpPr>
      <xdr:spPr>
        <a:xfrm flipH="1" flipV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10</xdr:row>
      <xdr:rowOff>178594</xdr:rowOff>
    </xdr:to>
    <xdr:cxnSp macro="">
      <xdr:nvCxnSpPr>
        <xdr:cNvPr id="1386" name="Match15">
          <a:extLst>
            <a:ext uri="{FF2B5EF4-FFF2-40B4-BE49-F238E27FC236}">
              <a16:creationId xmlns:a16="http://schemas.microsoft.com/office/drawing/2014/main" id="{BE411F32-32C4-3CA8-3B38-90B73C1CC5C8}"/>
            </a:ext>
          </a:extLst>
        </xdr:cNvPr>
        <xdr:cNvCxnSpPr/>
      </xdr:nvCxnSpPr>
      <xdr:spPr>
        <a:xfrm flipV="1">
          <a:off x="211931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387" name="Match16">
          <a:extLst>
            <a:ext uri="{FF2B5EF4-FFF2-40B4-BE49-F238E27FC236}">
              <a16:creationId xmlns:a16="http://schemas.microsoft.com/office/drawing/2014/main" id="{BBD6485B-6379-1B44-3AC1-321FC0BC8AD4}"/>
            </a:ext>
          </a:extLst>
        </xdr:cNvPr>
        <xdr:cNvCxnSpPr/>
      </xdr:nvCxnSpPr>
      <xdr:spPr>
        <a:xfrm flipH="1"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388" name="Match17">
          <a:extLst>
            <a:ext uri="{FF2B5EF4-FFF2-40B4-BE49-F238E27FC236}">
              <a16:creationId xmlns:a16="http://schemas.microsoft.com/office/drawing/2014/main" id="{F44E65D9-62D1-57DA-1F13-BECBBC991995}"/>
            </a:ext>
          </a:extLst>
        </xdr:cNvPr>
        <xdr:cNvCxnSpPr/>
      </xdr:nvCxnSpPr>
      <xdr:spPr>
        <a:xfrm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389" name="Match18">
          <a:extLst>
            <a:ext uri="{FF2B5EF4-FFF2-40B4-BE49-F238E27FC236}">
              <a16:creationId xmlns:a16="http://schemas.microsoft.com/office/drawing/2014/main" id="{161C315D-B6BB-E72F-0CDE-F8924C4C0CF3}"/>
            </a:ext>
          </a:extLst>
        </xdr:cNvPr>
        <xdr:cNvCxnSpPr/>
      </xdr:nvCxnSpPr>
      <xdr:spPr>
        <a:xfrm flipV="1">
          <a:off x="190738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1390" name="Match19">
          <a:extLst>
            <a:ext uri="{FF2B5EF4-FFF2-40B4-BE49-F238E27FC236}">
              <a16:creationId xmlns:a16="http://schemas.microsoft.com/office/drawing/2014/main" id="{91632836-43D7-5751-D475-317C31065876}"/>
            </a:ext>
          </a:extLst>
        </xdr:cNvPr>
        <xdr:cNvCxnSpPr/>
      </xdr:nvCxnSpPr>
      <xdr:spPr>
        <a:xfrm>
          <a:off x="2119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391" name="Match20">
          <a:extLst>
            <a:ext uri="{FF2B5EF4-FFF2-40B4-BE49-F238E27FC236}">
              <a16:creationId xmlns:a16="http://schemas.microsoft.com/office/drawing/2014/main" id="{57123E51-4AE8-DA48-F571-F01A9E45997D}"/>
            </a:ext>
          </a:extLst>
        </xdr:cNvPr>
        <xdr:cNvCxnSpPr/>
      </xdr:nvCxnSpPr>
      <xdr:spPr>
        <a:xfrm>
          <a:off x="6357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392" name="Match21">
          <a:extLst>
            <a:ext uri="{FF2B5EF4-FFF2-40B4-BE49-F238E27FC236}">
              <a16:creationId xmlns:a16="http://schemas.microsoft.com/office/drawing/2014/main" id="{54203D29-4479-D7B8-10F4-B1C3A6E24FCC}"/>
            </a:ext>
          </a:extLst>
        </xdr:cNvPr>
        <xdr:cNvCxnSpPr/>
      </xdr:nvCxnSpPr>
      <xdr:spPr>
        <a:xfrm flipV="1">
          <a:off x="661194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393" name="Match22">
          <a:extLst>
            <a:ext uri="{FF2B5EF4-FFF2-40B4-BE49-F238E27FC236}">
              <a16:creationId xmlns:a16="http://schemas.microsoft.com/office/drawing/2014/main" id="{8C1095A0-0053-ECCF-F8E2-61715B7BBA4D}"/>
            </a:ext>
          </a:extLst>
        </xdr:cNvPr>
        <xdr:cNvCxnSpPr/>
      </xdr:nvCxnSpPr>
      <xdr:spPr>
        <a:xfrm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1394" name="Match23">
          <a:extLst>
            <a:ext uri="{FF2B5EF4-FFF2-40B4-BE49-F238E27FC236}">
              <a16:creationId xmlns:a16="http://schemas.microsoft.com/office/drawing/2014/main" id="{59C5F6CA-D906-38E3-F027-0221D4DD0288}"/>
            </a:ext>
          </a:extLst>
        </xdr:cNvPr>
        <xdr:cNvCxnSpPr/>
      </xdr:nvCxnSpPr>
      <xdr:spPr>
        <a:xfrm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395" name="Match24">
          <a:extLst>
            <a:ext uri="{FF2B5EF4-FFF2-40B4-BE49-F238E27FC236}">
              <a16:creationId xmlns:a16="http://schemas.microsoft.com/office/drawing/2014/main" id="{B95901D9-AB0B-DDA6-CD6B-9BD257D4A0A0}"/>
            </a:ext>
          </a:extLst>
        </xdr:cNvPr>
        <xdr:cNvCxnSpPr/>
      </xdr:nvCxnSpPr>
      <xdr:spPr>
        <a:xfrm flipV="1">
          <a:off x="278050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5</xdr:row>
      <xdr:rowOff>178593</xdr:rowOff>
    </xdr:to>
    <xdr:cxnSp macro="">
      <xdr:nvCxnSpPr>
        <xdr:cNvPr id="1396" name="Match25">
          <a:extLst>
            <a:ext uri="{FF2B5EF4-FFF2-40B4-BE49-F238E27FC236}">
              <a16:creationId xmlns:a16="http://schemas.microsoft.com/office/drawing/2014/main" id="{EFA7161B-F898-B16D-3B1C-1DB2F2FA2ABC}"/>
            </a:ext>
          </a:extLst>
        </xdr:cNvPr>
        <xdr:cNvCxnSpPr/>
      </xdr:nvCxnSpPr>
      <xdr:spPr>
        <a:xfrm flipH="1">
          <a:off x="6357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397" name="Match26">
          <a:extLst>
            <a:ext uri="{FF2B5EF4-FFF2-40B4-BE49-F238E27FC236}">
              <a16:creationId xmlns:a16="http://schemas.microsoft.com/office/drawing/2014/main" id="{F563A7BF-0920-9B4F-494C-8CAA53E3AFE1}"/>
            </a:ext>
          </a:extLst>
        </xdr:cNvPr>
        <xdr:cNvCxnSpPr/>
      </xdr:nvCxnSpPr>
      <xdr:spPr>
        <a:xfrm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398" name="Match27">
          <a:extLst>
            <a:ext uri="{FF2B5EF4-FFF2-40B4-BE49-F238E27FC236}">
              <a16:creationId xmlns:a16="http://schemas.microsoft.com/office/drawing/2014/main" id="{3F11C1C2-39F3-85EE-6C03-DE833B93B001}"/>
            </a:ext>
          </a:extLst>
        </xdr:cNvPr>
        <xdr:cNvCxnSpPr/>
      </xdr:nvCxnSpPr>
      <xdr:spPr>
        <a:xfrm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399" name="Match28">
          <a:extLst>
            <a:ext uri="{FF2B5EF4-FFF2-40B4-BE49-F238E27FC236}">
              <a16:creationId xmlns:a16="http://schemas.microsoft.com/office/drawing/2014/main" id="{12F4B6F8-B573-1545-605A-42B4DC5F84F5}"/>
            </a:ext>
          </a:extLst>
        </xdr:cNvPr>
        <xdr:cNvCxnSpPr/>
      </xdr:nvCxnSpPr>
      <xdr:spPr>
        <a:xfrm>
          <a:off x="193278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7</xdr:row>
      <xdr:rowOff>229393</xdr:rowOff>
    </xdr:from>
    <xdr:to>
      <xdr:col>4</xdr:col>
      <xdr:colOff>262731</xdr:colOff>
      <xdr:row>8</xdr:row>
      <xdr:rowOff>229394</xdr:rowOff>
    </xdr:to>
    <xdr:cxnSp macro="">
      <xdr:nvCxnSpPr>
        <xdr:cNvPr id="1400" name="Match29">
          <a:extLst>
            <a:ext uri="{FF2B5EF4-FFF2-40B4-BE49-F238E27FC236}">
              <a16:creationId xmlns:a16="http://schemas.microsoft.com/office/drawing/2014/main" id="{1BA53C90-7F6B-6D16-620F-629C1B4FF2B9}"/>
            </a:ext>
          </a:extLst>
        </xdr:cNvPr>
        <xdr:cNvCxnSpPr/>
      </xdr:nvCxnSpPr>
      <xdr:spPr>
        <a:xfrm flipV="1">
          <a:off x="1958181" y="272970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401" name="Match30">
          <a:extLst>
            <a:ext uri="{FF2B5EF4-FFF2-40B4-BE49-F238E27FC236}">
              <a16:creationId xmlns:a16="http://schemas.microsoft.com/office/drawing/2014/main" id="{3276A574-7317-08E1-4D01-79F9E4EC3E64}"/>
            </a:ext>
          </a:extLst>
        </xdr:cNvPr>
        <xdr:cNvCxnSpPr/>
      </xdr:nvCxnSpPr>
      <xdr:spPr>
        <a:xfrm>
          <a:off x="1059656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1402" name="Match31">
          <a:extLst>
            <a:ext uri="{FF2B5EF4-FFF2-40B4-BE49-F238E27FC236}">
              <a16:creationId xmlns:a16="http://schemas.microsoft.com/office/drawing/2014/main" id="{62184314-5130-85C9-29E2-88FCD8C556FE}"/>
            </a:ext>
          </a:extLst>
        </xdr:cNvPr>
        <xdr:cNvCxnSpPr/>
      </xdr:nvCxnSpPr>
      <xdr:spPr>
        <a:xfrm flipV="1">
          <a:off x="635794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403" name="Match32">
          <a:extLst>
            <a:ext uri="{FF2B5EF4-FFF2-40B4-BE49-F238E27FC236}">
              <a16:creationId xmlns:a16="http://schemas.microsoft.com/office/drawing/2014/main" id="{0ADD4700-D35D-F30D-6C64-A97B0131F9B3}"/>
            </a:ext>
          </a:extLst>
        </xdr:cNvPr>
        <xdr:cNvCxnSpPr/>
      </xdr:nvCxnSpPr>
      <xdr:spPr>
        <a:xfrm flipH="1">
          <a:off x="1907381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404" name="Match33">
          <a:extLst>
            <a:ext uri="{FF2B5EF4-FFF2-40B4-BE49-F238E27FC236}">
              <a16:creationId xmlns:a16="http://schemas.microsoft.com/office/drawing/2014/main" id="{08D7E086-EDF8-9381-3095-3B3AD3E1ED4B}"/>
            </a:ext>
          </a:extLst>
        </xdr:cNvPr>
        <xdr:cNvCxnSpPr/>
      </xdr:nvCxnSpPr>
      <xdr:spPr>
        <a:xfrm>
          <a:off x="3178969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7</xdr:col>
      <xdr:colOff>237331</xdr:colOff>
      <xdr:row>6</xdr:row>
      <xdr:rowOff>203994</xdr:rowOff>
    </xdr:to>
    <xdr:cxnSp macro="">
      <xdr:nvCxnSpPr>
        <xdr:cNvPr id="1405" name="Match34">
          <a:extLst>
            <a:ext uri="{FF2B5EF4-FFF2-40B4-BE49-F238E27FC236}">
              <a16:creationId xmlns:a16="http://schemas.microsoft.com/office/drawing/2014/main" id="{E986917D-479E-AFB8-B20C-CF3EADC51826}"/>
            </a:ext>
          </a:extLst>
        </xdr:cNvPr>
        <xdr:cNvCxnSpPr/>
      </xdr:nvCxnSpPr>
      <xdr:spPr>
        <a:xfrm flipH="1">
          <a:off x="2356644" y="2347119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406" name="Match35">
          <a:extLst>
            <a:ext uri="{FF2B5EF4-FFF2-40B4-BE49-F238E27FC236}">
              <a16:creationId xmlns:a16="http://schemas.microsoft.com/office/drawing/2014/main" id="{3B12B80B-0C86-5FA5-594E-3542711F4E65}"/>
            </a:ext>
          </a:extLst>
        </xdr:cNvPr>
        <xdr:cNvCxnSpPr/>
      </xdr:nvCxnSpPr>
      <xdr:spPr>
        <a:xfrm>
          <a:off x="190738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407" name="Match36">
          <a:extLst>
            <a:ext uri="{FF2B5EF4-FFF2-40B4-BE49-F238E27FC236}">
              <a16:creationId xmlns:a16="http://schemas.microsoft.com/office/drawing/2014/main" id="{8042454C-0E40-AF61-ED30-C48685F2AD73}"/>
            </a:ext>
          </a:extLst>
        </xdr:cNvPr>
        <xdr:cNvCxnSpPr/>
      </xdr:nvCxnSpPr>
      <xdr:spPr>
        <a:xfrm flipH="1"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408" name="Match37">
          <a:extLst>
            <a:ext uri="{FF2B5EF4-FFF2-40B4-BE49-F238E27FC236}">
              <a16:creationId xmlns:a16="http://schemas.microsoft.com/office/drawing/2014/main" id="{C3D39D2F-68B6-C384-D40E-EA806B5B2A39}"/>
            </a:ext>
          </a:extLst>
        </xdr:cNvPr>
        <xdr:cNvCxnSpPr/>
      </xdr:nvCxnSpPr>
      <xdr:spPr>
        <a:xfrm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409" name="Match38">
          <a:extLst>
            <a:ext uri="{FF2B5EF4-FFF2-40B4-BE49-F238E27FC236}">
              <a16:creationId xmlns:a16="http://schemas.microsoft.com/office/drawing/2014/main" id="{325D9A83-D765-729C-9027-EF8BECA820D0}"/>
            </a:ext>
          </a:extLst>
        </xdr:cNvPr>
        <xdr:cNvCxnSpPr/>
      </xdr:nvCxnSpPr>
      <xdr:spPr>
        <a:xfrm>
          <a:off x="44505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7</xdr:col>
      <xdr:colOff>237331</xdr:colOff>
      <xdr:row>3</xdr:row>
      <xdr:rowOff>203993</xdr:rowOff>
    </xdr:to>
    <xdr:cxnSp macro="">
      <xdr:nvCxnSpPr>
        <xdr:cNvPr id="1410" name="Match39">
          <a:extLst>
            <a:ext uri="{FF2B5EF4-FFF2-40B4-BE49-F238E27FC236}">
              <a16:creationId xmlns:a16="http://schemas.microsoft.com/office/drawing/2014/main" id="{279393FD-C615-31A1-EA25-C29E2E20E495}"/>
            </a:ext>
          </a:extLst>
        </xdr:cNvPr>
        <xdr:cNvCxnSpPr/>
      </xdr:nvCxnSpPr>
      <xdr:spPr>
        <a:xfrm>
          <a:off x="2780506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2</xdr:row>
      <xdr:rowOff>229394</xdr:rowOff>
    </xdr:from>
    <xdr:to>
      <xdr:col>6</xdr:col>
      <xdr:colOff>262731</xdr:colOff>
      <xdr:row>3</xdr:row>
      <xdr:rowOff>229393</xdr:rowOff>
    </xdr:to>
    <xdr:cxnSp macro="">
      <xdr:nvCxnSpPr>
        <xdr:cNvPr id="1411" name="Match40">
          <a:extLst>
            <a:ext uri="{FF2B5EF4-FFF2-40B4-BE49-F238E27FC236}">
              <a16:creationId xmlns:a16="http://schemas.microsoft.com/office/drawing/2014/main" id="{01F77292-4E7F-75B8-34DA-1F8DE45C834A}"/>
            </a:ext>
          </a:extLst>
        </xdr:cNvPr>
        <xdr:cNvCxnSpPr/>
      </xdr:nvCxnSpPr>
      <xdr:spPr>
        <a:xfrm flipV="1">
          <a:off x="2805906" y="9437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412" name="Match41">
          <a:extLst>
            <a:ext uri="{FF2B5EF4-FFF2-40B4-BE49-F238E27FC236}">
              <a16:creationId xmlns:a16="http://schemas.microsoft.com/office/drawing/2014/main" id="{ED8EFC34-5E96-6C26-064B-BE7B6893DF6C}"/>
            </a:ext>
          </a:extLst>
        </xdr:cNvPr>
        <xdr:cNvCxnSpPr/>
      </xdr:nvCxnSpPr>
      <xdr:spPr>
        <a:xfrm flipH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11</xdr:col>
      <xdr:colOff>237331</xdr:colOff>
      <xdr:row>3</xdr:row>
      <xdr:rowOff>203993</xdr:rowOff>
    </xdr:to>
    <xdr:cxnSp macro="">
      <xdr:nvCxnSpPr>
        <xdr:cNvPr id="1413" name="Match42">
          <a:extLst>
            <a:ext uri="{FF2B5EF4-FFF2-40B4-BE49-F238E27FC236}">
              <a16:creationId xmlns:a16="http://schemas.microsoft.com/office/drawing/2014/main" id="{E28EE8C2-7825-22EE-ED98-CFF7B39B94D8}"/>
            </a:ext>
          </a:extLst>
        </xdr:cNvPr>
        <xdr:cNvCxnSpPr/>
      </xdr:nvCxnSpPr>
      <xdr:spPr>
        <a:xfrm flipH="1" flipV="1">
          <a:off x="447595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414" name="Match43">
          <a:extLst>
            <a:ext uri="{FF2B5EF4-FFF2-40B4-BE49-F238E27FC236}">
              <a16:creationId xmlns:a16="http://schemas.microsoft.com/office/drawing/2014/main" id="{4DB9042B-C83A-90C0-07A2-D1811500FCF7}"/>
            </a:ext>
          </a:extLst>
        </xdr:cNvPr>
        <xdr:cNvCxnSpPr/>
      </xdr:nvCxnSpPr>
      <xdr:spPr>
        <a:xfrm flipH="1"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5</xdr:row>
      <xdr:rowOff>229393</xdr:rowOff>
    </xdr:from>
    <xdr:to>
      <xdr:col>8</xdr:col>
      <xdr:colOff>262731</xdr:colOff>
      <xdr:row>6</xdr:row>
      <xdr:rowOff>229394</xdr:rowOff>
    </xdr:to>
    <xdr:cxnSp macro="">
      <xdr:nvCxnSpPr>
        <xdr:cNvPr id="1415" name="Match44">
          <a:extLst>
            <a:ext uri="{FF2B5EF4-FFF2-40B4-BE49-F238E27FC236}">
              <a16:creationId xmlns:a16="http://schemas.microsoft.com/office/drawing/2014/main" id="{AD218565-F7B1-6E45-A9A7-BC551ACC1409}"/>
            </a:ext>
          </a:extLst>
        </xdr:cNvPr>
        <xdr:cNvCxnSpPr/>
      </xdr:nvCxnSpPr>
      <xdr:spPr>
        <a:xfrm flipV="1">
          <a:off x="3229769" y="201533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416" name="Match45">
          <a:extLst>
            <a:ext uri="{FF2B5EF4-FFF2-40B4-BE49-F238E27FC236}">
              <a16:creationId xmlns:a16="http://schemas.microsoft.com/office/drawing/2014/main" id="{DB981ADB-B7C7-2E7E-77ED-36A9C6A3AF36}"/>
            </a:ext>
          </a:extLst>
        </xdr:cNvPr>
        <xdr:cNvCxnSpPr/>
      </xdr:nvCxnSpPr>
      <xdr:spPr>
        <a:xfrm>
          <a:off x="1059656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417" name="Match46">
          <a:extLst>
            <a:ext uri="{FF2B5EF4-FFF2-40B4-BE49-F238E27FC236}">
              <a16:creationId xmlns:a16="http://schemas.microsoft.com/office/drawing/2014/main" id="{B13E8914-8CE4-9370-FFA4-2010331D8841}"/>
            </a:ext>
          </a:extLst>
        </xdr:cNvPr>
        <xdr:cNvCxnSpPr/>
      </xdr:nvCxnSpPr>
      <xdr:spPr>
        <a:xfrm>
          <a:off x="233124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418" name="Match47">
          <a:extLst>
            <a:ext uri="{FF2B5EF4-FFF2-40B4-BE49-F238E27FC236}">
              <a16:creationId xmlns:a16="http://schemas.microsoft.com/office/drawing/2014/main" id="{8D6FA623-F87F-626A-D5ED-A059B719B359}"/>
            </a:ext>
          </a:extLst>
        </xdr:cNvPr>
        <xdr:cNvCxnSpPr/>
      </xdr:nvCxnSpPr>
      <xdr:spPr>
        <a:xfrm>
          <a:off x="2331244" y="8929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419" name="Match48">
          <a:extLst>
            <a:ext uri="{FF2B5EF4-FFF2-40B4-BE49-F238E27FC236}">
              <a16:creationId xmlns:a16="http://schemas.microsoft.com/office/drawing/2014/main" id="{2199BC92-E1EB-50A9-7739-2D92F13CF234}"/>
            </a:ext>
          </a:extLst>
        </xdr:cNvPr>
        <xdr:cNvCxnSpPr/>
      </xdr:nvCxnSpPr>
      <xdr:spPr>
        <a:xfrm>
          <a:off x="2331244" y="178594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5</xdr:row>
      <xdr:rowOff>203993</xdr:rowOff>
    </xdr:from>
    <xdr:to>
      <xdr:col>2</xdr:col>
      <xdr:colOff>237331</xdr:colOff>
      <xdr:row>7</xdr:row>
      <xdr:rowOff>203993</xdr:rowOff>
    </xdr:to>
    <xdr:cxnSp macro="">
      <xdr:nvCxnSpPr>
        <xdr:cNvPr id="1420" name="Match49">
          <a:extLst>
            <a:ext uri="{FF2B5EF4-FFF2-40B4-BE49-F238E27FC236}">
              <a16:creationId xmlns:a16="http://schemas.microsoft.com/office/drawing/2014/main" id="{68475E43-090B-7CDF-8821-5EC6CC3D4AE6}"/>
            </a:ext>
          </a:extLst>
        </xdr:cNvPr>
        <xdr:cNvCxnSpPr/>
      </xdr:nvCxnSpPr>
      <xdr:spPr>
        <a:xfrm>
          <a:off x="1085056" y="198993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421" name="Match50">
          <a:extLst>
            <a:ext uri="{FF2B5EF4-FFF2-40B4-BE49-F238E27FC236}">
              <a16:creationId xmlns:a16="http://schemas.microsoft.com/office/drawing/2014/main" id="{223784C4-94C4-A53D-54BA-03E8235F88F4}"/>
            </a:ext>
          </a:extLst>
        </xdr:cNvPr>
        <xdr:cNvCxnSpPr/>
      </xdr:nvCxnSpPr>
      <xdr:spPr>
        <a:xfrm>
          <a:off x="4026694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422" name="Match51">
          <a:extLst>
            <a:ext uri="{FF2B5EF4-FFF2-40B4-BE49-F238E27FC236}">
              <a16:creationId xmlns:a16="http://schemas.microsoft.com/office/drawing/2014/main" id="{AA6CDDF3-EC7D-7E24-4AF9-6EF88ECE32DE}"/>
            </a:ext>
          </a:extLst>
        </xdr:cNvPr>
        <xdr:cNvCxnSpPr/>
      </xdr:nvCxnSpPr>
      <xdr:spPr>
        <a:xfrm>
          <a:off x="2331244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423" name="Match52">
          <a:extLst>
            <a:ext uri="{FF2B5EF4-FFF2-40B4-BE49-F238E27FC236}">
              <a16:creationId xmlns:a16="http://schemas.microsoft.com/office/drawing/2014/main" id="{239E39A1-2268-CFF7-5D6E-9412D2AD42B7}"/>
            </a:ext>
          </a:extLst>
        </xdr:cNvPr>
        <xdr:cNvCxnSpPr/>
      </xdr:nvCxnSpPr>
      <xdr:spPr>
        <a:xfrm flipH="1">
          <a:off x="3602831" y="196453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424" name="Match53">
          <a:extLst>
            <a:ext uri="{FF2B5EF4-FFF2-40B4-BE49-F238E27FC236}">
              <a16:creationId xmlns:a16="http://schemas.microsoft.com/office/drawing/2014/main" id="{C1A657C4-757F-AF2B-EB4B-CB23A8861D6A}"/>
            </a:ext>
          </a:extLst>
        </xdr:cNvPr>
        <xdr:cNvCxnSpPr/>
      </xdr:nvCxnSpPr>
      <xdr:spPr>
        <a:xfrm flipH="1"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425" name="Match54">
          <a:extLst>
            <a:ext uri="{FF2B5EF4-FFF2-40B4-BE49-F238E27FC236}">
              <a16:creationId xmlns:a16="http://schemas.microsoft.com/office/drawing/2014/main" id="{62B003A0-E6AC-B996-FDDF-3BC76F37D515}"/>
            </a:ext>
          </a:extLst>
        </xdr:cNvPr>
        <xdr:cNvCxnSpPr/>
      </xdr:nvCxnSpPr>
      <xdr:spPr>
        <a:xfrm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426" name="Match55">
          <a:extLst>
            <a:ext uri="{FF2B5EF4-FFF2-40B4-BE49-F238E27FC236}">
              <a16:creationId xmlns:a16="http://schemas.microsoft.com/office/drawing/2014/main" id="{2E462B3E-3DDF-8CD7-4C31-39E562DFD679}"/>
            </a:ext>
          </a:extLst>
        </xdr:cNvPr>
        <xdr:cNvCxnSpPr/>
      </xdr:nvCxnSpPr>
      <xdr:spPr>
        <a:xfrm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427" name="Match56">
          <a:extLst>
            <a:ext uri="{FF2B5EF4-FFF2-40B4-BE49-F238E27FC236}">
              <a16:creationId xmlns:a16="http://schemas.microsoft.com/office/drawing/2014/main" id="{DD3C8E8B-A2E3-D5F6-7B8A-8F320F5FD2F7}"/>
            </a:ext>
          </a:extLst>
        </xdr:cNvPr>
        <xdr:cNvCxnSpPr/>
      </xdr:nvCxnSpPr>
      <xdr:spPr>
        <a:xfrm flipV="1"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428" name="Match57">
          <a:extLst>
            <a:ext uri="{FF2B5EF4-FFF2-40B4-BE49-F238E27FC236}">
              <a16:creationId xmlns:a16="http://schemas.microsoft.com/office/drawing/2014/main" id="{D648FEEF-28DF-CC94-5705-51710EDC001A}"/>
            </a:ext>
          </a:extLst>
        </xdr:cNvPr>
        <xdr:cNvCxnSpPr/>
      </xdr:nvCxnSpPr>
      <xdr:spPr>
        <a:xfrm flipH="1" flipV="1"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429" name="Match58">
          <a:extLst>
            <a:ext uri="{FF2B5EF4-FFF2-40B4-BE49-F238E27FC236}">
              <a16:creationId xmlns:a16="http://schemas.microsoft.com/office/drawing/2014/main" id="{EE5BCDEA-EF9C-9865-1FD4-AB84F3F56A99}"/>
            </a:ext>
          </a:extLst>
        </xdr:cNvPr>
        <xdr:cNvCxnSpPr/>
      </xdr:nvCxnSpPr>
      <xdr:spPr>
        <a:xfrm>
          <a:off x="36028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8</xdr:col>
      <xdr:colOff>237331</xdr:colOff>
      <xdr:row>6</xdr:row>
      <xdr:rowOff>203994</xdr:rowOff>
    </xdr:to>
    <xdr:cxnSp macro="">
      <xdr:nvCxnSpPr>
        <xdr:cNvPr id="1430" name="Match59">
          <a:extLst>
            <a:ext uri="{FF2B5EF4-FFF2-40B4-BE49-F238E27FC236}">
              <a16:creationId xmlns:a16="http://schemas.microsoft.com/office/drawing/2014/main" id="{FA14CC86-DE8A-75A2-EBD7-0E9316FFD39E}"/>
            </a:ext>
          </a:extLst>
        </xdr:cNvPr>
        <xdr:cNvCxnSpPr/>
      </xdr:nvCxnSpPr>
      <xdr:spPr>
        <a:xfrm flipH="1" flipV="1">
          <a:off x="320436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431" name="Match60">
          <a:extLst>
            <a:ext uri="{FF2B5EF4-FFF2-40B4-BE49-F238E27FC236}">
              <a16:creationId xmlns:a16="http://schemas.microsoft.com/office/drawing/2014/main" id="{07646C84-552B-5013-9499-E2BD99A599B0}"/>
            </a:ext>
          </a:extLst>
        </xdr:cNvPr>
        <xdr:cNvCxnSpPr/>
      </xdr:nvCxnSpPr>
      <xdr:spPr>
        <a:xfrm flipH="1">
          <a:off x="36028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432" name="Match61">
          <a:extLst>
            <a:ext uri="{FF2B5EF4-FFF2-40B4-BE49-F238E27FC236}">
              <a16:creationId xmlns:a16="http://schemas.microsoft.com/office/drawing/2014/main" id="{2A37778F-A49F-6ECD-4EBD-B0DE18B97AC2}"/>
            </a:ext>
          </a:extLst>
        </xdr:cNvPr>
        <xdr:cNvCxnSpPr/>
      </xdr:nvCxnSpPr>
      <xdr:spPr>
        <a:xfrm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433" name="Match62">
          <a:extLst>
            <a:ext uri="{FF2B5EF4-FFF2-40B4-BE49-F238E27FC236}">
              <a16:creationId xmlns:a16="http://schemas.microsoft.com/office/drawing/2014/main" id="{24D8CB0D-22FF-69ED-9C96-28DB78021CD5}"/>
            </a:ext>
          </a:extLst>
        </xdr:cNvPr>
        <xdr:cNvCxnSpPr/>
      </xdr:nvCxnSpPr>
      <xdr:spPr>
        <a:xfrm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434" name="Match63">
          <a:extLst>
            <a:ext uri="{FF2B5EF4-FFF2-40B4-BE49-F238E27FC236}">
              <a16:creationId xmlns:a16="http://schemas.microsoft.com/office/drawing/2014/main" id="{0BDDFF34-CF17-287D-F0D2-78CBAEB50102}"/>
            </a:ext>
          </a:extLst>
        </xdr:cNvPr>
        <xdr:cNvCxnSpPr/>
      </xdr:nvCxnSpPr>
      <xdr:spPr>
        <a:xfrm flipH="1" flipV="1"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435" name="Match64">
          <a:extLst>
            <a:ext uri="{FF2B5EF4-FFF2-40B4-BE49-F238E27FC236}">
              <a16:creationId xmlns:a16="http://schemas.microsoft.com/office/drawing/2014/main" id="{22077D15-4D80-799E-3325-128F4B285A99}"/>
            </a:ext>
          </a:extLst>
        </xdr:cNvPr>
        <xdr:cNvCxnSpPr/>
      </xdr:nvCxnSpPr>
      <xdr:spPr>
        <a:xfrm flipH="1"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436" name="Match65">
          <a:extLst>
            <a:ext uri="{FF2B5EF4-FFF2-40B4-BE49-F238E27FC236}">
              <a16:creationId xmlns:a16="http://schemas.microsoft.com/office/drawing/2014/main" id="{06434697-AD50-E6DE-7430-544DD697B7CE}"/>
            </a:ext>
          </a:extLst>
        </xdr:cNvPr>
        <xdr:cNvCxnSpPr/>
      </xdr:nvCxnSpPr>
      <xdr:spPr>
        <a:xfrm flipH="1">
          <a:off x="360283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437" name="Match66">
          <a:extLst>
            <a:ext uri="{FF2B5EF4-FFF2-40B4-BE49-F238E27FC236}">
              <a16:creationId xmlns:a16="http://schemas.microsoft.com/office/drawing/2014/main" id="{EFC3F3E8-0B5D-8C3F-0D90-F5BB13731C46}"/>
            </a:ext>
          </a:extLst>
        </xdr:cNvPr>
        <xdr:cNvCxnSpPr/>
      </xdr:nvCxnSpPr>
      <xdr:spPr>
        <a:xfrm flipH="1">
          <a:off x="4026694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438" name="Match67">
          <a:extLst>
            <a:ext uri="{FF2B5EF4-FFF2-40B4-BE49-F238E27FC236}">
              <a16:creationId xmlns:a16="http://schemas.microsoft.com/office/drawing/2014/main" id="{0DBA72FD-71A6-D1AD-F96D-74E9E8C41107}"/>
            </a:ext>
          </a:extLst>
        </xdr:cNvPr>
        <xdr:cNvCxnSpPr/>
      </xdr:nvCxnSpPr>
      <xdr:spPr>
        <a:xfrm flipV="1">
          <a:off x="3178969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501C3FD-CBB9-CFDE-6264-AA749BC0C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9" sqref="I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">
        <v>8</v>
      </c>
      <c r="B1" s="23">
        <v>4</v>
      </c>
      <c r="C1" s="2">
        <v>8</v>
      </c>
      <c r="D1" s="22">
        <v>6</v>
      </c>
      <c r="E1" s="22">
        <v>1</v>
      </c>
      <c r="F1" s="23">
        <v>5</v>
      </c>
      <c r="G1" s="23">
        <v>7</v>
      </c>
      <c r="H1" s="23">
        <v>8</v>
      </c>
      <c r="I1" s="23">
        <v>7</v>
      </c>
      <c r="J1" s="22">
        <v>1</v>
      </c>
      <c r="K1" s="22">
        <v>1</v>
      </c>
      <c r="L1" s="22">
        <v>3</v>
      </c>
      <c r="N1" s="2">
        <v>6741127</v>
      </c>
      <c r="O1" s="1">
        <v>1</v>
      </c>
    </row>
    <row r="2" spans="1:15" s="2" customFormat="1" ht="28.25" customHeight="1">
      <c r="A2" s="2">
        <v>2</v>
      </c>
      <c r="B2" s="23">
        <v>5</v>
      </c>
      <c r="C2" s="23">
        <v>9</v>
      </c>
      <c r="D2" s="22">
        <v>3</v>
      </c>
      <c r="E2" s="22">
        <v>3</v>
      </c>
      <c r="F2" s="23">
        <v>9</v>
      </c>
      <c r="G2" s="23">
        <v>3</v>
      </c>
      <c r="H2" s="23">
        <v>5</v>
      </c>
      <c r="I2" s="23">
        <v>8</v>
      </c>
      <c r="J2" s="23">
        <v>4</v>
      </c>
      <c r="K2" s="22">
        <v>6</v>
      </c>
      <c r="L2" s="2">
        <v>4</v>
      </c>
      <c r="N2" s="2">
        <v>932596</v>
      </c>
      <c r="O2" s="2">
        <v>1</v>
      </c>
    </row>
    <row r="3" spans="1:15" ht="28.25" customHeight="1">
      <c r="A3" s="22">
        <v>3</v>
      </c>
      <c r="B3" s="23">
        <v>1</v>
      </c>
      <c r="C3" s="2">
        <v>2</v>
      </c>
      <c r="D3" s="23">
        <v>5</v>
      </c>
      <c r="E3" s="2">
        <v>9</v>
      </c>
      <c r="F3" s="23">
        <v>5</v>
      </c>
      <c r="G3" s="23">
        <v>6</v>
      </c>
      <c r="H3" s="23">
        <v>4</v>
      </c>
      <c r="I3" s="23">
        <v>5</v>
      </c>
      <c r="J3" s="23">
        <v>6</v>
      </c>
      <c r="K3" s="23">
        <v>6</v>
      </c>
      <c r="L3" s="23">
        <v>8</v>
      </c>
      <c r="N3" s="2">
        <v>26</v>
      </c>
      <c r="O3" s="1">
        <v>13</v>
      </c>
    </row>
    <row r="4" spans="1:15" ht="28.25" customHeight="1">
      <c r="A4" s="2">
        <v>8</v>
      </c>
      <c r="B4" s="22">
        <v>3</v>
      </c>
      <c r="C4" s="22">
        <v>1</v>
      </c>
      <c r="D4" s="2">
        <v>8</v>
      </c>
      <c r="E4" s="23">
        <v>7</v>
      </c>
      <c r="F4" s="2">
        <v>9</v>
      </c>
      <c r="G4" s="22">
        <v>1</v>
      </c>
      <c r="H4" s="23">
        <v>6</v>
      </c>
      <c r="I4" s="2">
        <v>5</v>
      </c>
      <c r="J4" s="2">
        <v>8</v>
      </c>
      <c r="K4" s="2">
        <v>4</v>
      </c>
      <c r="L4" s="22">
        <v>1</v>
      </c>
      <c r="N4" s="2">
        <v>53739</v>
      </c>
      <c r="O4" s="1">
        <v>1</v>
      </c>
    </row>
    <row r="5" spans="1:15" ht="28.25" customHeight="1">
      <c r="A5" s="22">
        <v>3</v>
      </c>
      <c r="B5" s="2">
        <v>8</v>
      </c>
      <c r="C5" s="2">
        <v>4</v>
      </c>
      <c r="D5" s="2">
        <v>2</v>
      </c>
      <c r="E5" s="22">
        <v>2</v>
      </c>
      <c r="F5" s="23">
        <v>5</v>
      </c>
      <c r="G5" s="22">
        <v>3</v>
      </c>
      <c r="H5" s="23">
        <v>7</v>
      </c>
      <c r="I5" s="23">
        <v>4</v>
      </c>
      <c r="J5" s="22">
        <v>2</v>
      </c>
      <c r="K5" s="23">
        <v>6</v>
      </c>
      <c r="L5" s="2">
        <v>5</v>
      </c>
      <c r="N5" s="2">
        <v>31</v>
      </c>
      <c r="O5" s="1">
        <v>14</v>
      </c>
    </row>
    <row r="6" spans="1:15" ht="28.25" customHeight="1">
      <c r="A6" s="2">
        <v>8</v>
      </c>
      <c r="B6" s="22">
        <v>1</v>
      </c>
      <c r="C6" s="22">
        <v>3</v>
      </c>
      <c r="D6" s="2">
        <v>5</v>
      </c>
      <c r="E6" s="22">
        <v>4</v>
      </c>
      <c r="F6" s="22">
        <v>6</v>
      </c>
      <c r="G6" s="23">
        <v>1</v>
      </c>
      <c r="H6" s="23">
        <v>4</v>
      </c>
      <c r="I6" s="23">
        <v>6</v>
      </c>
      <c r="J6" s="23">
        <v>9</v>
      </c>
      <c r="K6" s="22">
        <v>6</v>
      </c>
      <c r="L6" s="23">
        <v>5</v>
      </c>
      <c r="N6" s="2">
        <v>95751</v>
      </c>
      <c r="O6" s="1">
        <v>1</v>
      </c>
    </row>
    <row r="7" spans="1:15" ht="28.25" customHeight="1">
      <c r="A7" s="23">
        <v>9</v>
      </c>
      <c r="B7" s="2">
        <v>5</v>
      </c>
      <c r="C7" s="22">
        <v>7</v>
      </c>
      <c r="D7" s="2">
        <v>9</v>
      </c>
      <c r="E7" s="22">
        <v>3</v>
      </c>
      <c r="F7" s="22">
        <v>4</v>
      </c>
      <c r="G7" s="22">
        <v>5</v>
      </c>
      <c r="H7" s="23">
        <v>1</v>
      </c>
      <c r="I7" s="23">
        <v>4</v>
      </c>
      <c r="J7" s="22">
        <v>4</v>
      </c>
      <c r="K7" s="23">
        <v>2</v>
      </c>
      <c r="L7" s="22">
        <v>6</v>
      </c>
      <c r="N7" s="2">
        <v>154</v>
      </c>
      <c r="O7" s="1">
        <v>5</v>
      </c>
    </row>
    <row r="8" spans="1:15" ht="28.25" customHeight="1">
      <c r="A8" s="23">
        <v>3</v>
      </c>
      <c r="B8" s="2">
        <v>9</v>
      </c>
      <c r="C8" s="22">
        <v>1</v>
      </c>
      <c r="D8" s="22">
        <v>2</v>
      </c>
      <c r="E8" s="23">
        <v>1</v>
      </c>
      <c r="F8" s="2">
        <v>9</v>
      </c>
      <c r="G8" s="2">
        <v>5</v>
      </c>
      <c r="H8" s="23">
        <v>1</v>
      </c>
      <c r="I8" s="22">
        <v>5</v>
      </c>
      <c r="J8" s="23">
        <v>5</v>
      </c>
      <c r="K8" s="22">
        <v>9</v>
      </c>
      <c r="L8" s="22">
        <v>6</v>
      </c>
      <c r="N8" s="2">
        <v>16</v>
      </c>
      <c r="O8" s="1">
        <v>11</v>
      </c>
    </row>
    <row r="9" spans="1:15" ht="28.25" customHeight="1">
      <c r="A9" s="23">
        <v>7</v>
      </c>
      <c r="B9" s="22">
        <v>2</v>
      </c>
      <c r="C9" s="22">
        <v>6</v>
      </c>
      <c r="D9" s="2">
        <v>8</v>
      </c>
      <c r="E9" s="23">
        <v>3</v>
      </c>
      <c r="F9" s="22">
        <v>5</v>
      </c>
      <c r="G9" s="2">
        <v>8</v>
      </c>
      <c r="H9" s="23">
        <v>2</v>
      </c>
      <c r="I9" s="23">
        <v>8</v>
      </c>
      <c r="J9" s="22">
        <v>4</v>
      </c>
      <c r="K9" s="2">
        <v>7</v>
      </c>
      <c r="L9" s="2">
        <v>5</v>
      </c>
      <c r="N9" s="2">
        <v>5645668</v>
      </c>
      <c r="O9" s="1">
        <v>1</v>
      </c>
    </row>
    <row r="10" spans="1:15" ht="28.25" customHeight="1">
      <c r="A10" s="23">
        <v>3</v>
      </c>
      <c r="B10" s="2">
        <v>5</v>
      </c>
      <c r="C10" s="23">
        <v>6</v>
      </c>
      <c r="D10" s="23">
        <v>2</v>
      </c>
      <c r="E10" s="22">
        <v>1</v>
      </c>
      <c r="F10" s="22">
        <v>1</v>
      </c>
      <c r="G10" s="22">
        <v>4</v>
      </c>
      <c r="H10" s="23">
        <v>7</v>
      </c>
      <c r="I10" s="22">
        <v>9</v>
      </c>
      <c r="J10" s="23">
        <v>3</v>
      </c>
      <c r="K10" s="22">
        <v>4</v>
      </c>
      <c r="L10" s="22">
        <v>4</v>
      </c>
      <c r="N10" s="2">
        <v>5787</v>
      </c>
      <c r="O10" s="1">
        <v>1</v>
      </c>
    </row>
    <row r="11" spans="1:15" ht="28.25" customHeight="1">
      <c r="A11" s="23">
        <v>5</v>
      </c>
      <c r="B11" s="2">
        <v>5</v>
      </c>
      <c r="C11" s="2">
        <v>4</v>
      </c>
      <c r="D11" s="2">
        <v>7</v>
      </c>
      <c r="E11" s="2">
        <v>4</v>
      </c>
      <c r="F11" s="22">
        <v>1</v>
      </c>
      <c r="G11" s="2">
        <v>5</v>
      </c>
      <c r="H11" s="22">
        <v>6</v>
      </c>
      <c r="I11" s="2">
        <v>8</v>
      </c>
      <c r="J11" s="2">
        <v>8</v>
      </c>
      <c r="K11" s="23">
        <v>7</v>
      </c>
      <c r="L11" s="2">
        <v>8</v>
      </c>
      <c r="N11" s="2">
        <v>371</v>
      </c>
      <c r="O11" s="1">
        <v>2</v>
      </c>
    </row>
    <row r="12" spans="1:15" ht="28.25" customHeight="1">
      <c r="A12" s="2">
        <v>7</v>
      </c>
      <c r="B12" s="2">
        <v>1</v>
      </c>
      <c r="C12" s="2">
        <v>5</v>
      </c>
      <c r="D12" s="2">
        <v>5</v>
      </c>
      <c r="E12" s="2">
        <v>9</v>
      </c>
      <c r="F12" s="23">
        <v>6</v>
      </c>
      <c r="G12" s="23">
        <v>9</v>
      </c>
      <c r="H12" s="23">
        <v>5</v>
      </c>
      <c r="I12" s="23">
        <v>2</v>
      </c>
      <c r="J12" s="23">
        <v>3</v>
      </c>
      <c r="K12" s="23">
        <v>9</v>
      </c>
      <c r="L12" s="23">
        <v>1</v>
      </c>
      <c r="N12" s="2">
        <v>93584</v>
      </c>
      <c r="O12" s="1">
        <v>1</v>
      </c>
    </row>
    <row r="13" spans="1:15" ht="28.25" customHeight="1">
      <c r="N13" s="2">
        <v>5258</v>
      </c>
      <c r="O13" s="1">
        <v>1</v>
      </c>
    </row>
    <row r="14" spans="1:15" ht="28.25" customHeight="1">
      <c r="N14" s="2">
        <v>44</v>
      </c>
      <c r="O14" s="1">
        <v>12</v>
      </c>
    </row>
    <row r="15" spans="1:15" ht="28.25" customHeight="1">
      <c r="N15" s="2">
        <v>694</v>
      </c>
      <c r="O15" s="1"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61"/>
  <sheetViews>
    <sheetView tabSelected="1" zoomScaleNormal="100" workbookViewId="0">
      <pane ySplit="2" topLeftCell="A155" activePane="bottomLeft" state="frozen"/>
      <selection pane="bottomLeft" activeCell="A161" sqref="A16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359</v>
      </c>
      <c r="I152" t="s">
        <v>360</v>
      </c>
      <c r="J152">
        <v>0</v>
      </c>
      <c r="K152">
        <f t="shared" ref="K152" si="332">IF(A152&lt;DATEVALUE("2025/11/20")+TIMEVALUE("6:00"),1,IF(B152-SUM(D152:F152)&lt;&gt;60,0,MAX(2-INT(G152*24*60/10),0)))</f>
        <v>2</v>
      </c>
      <c r="L152">
        <f t="shared" ref="L152" si="333">L151+K152</f>
        <v>158</v>
      </c>
      <c r="M152">
        <f t="shared" ref="M152" si="334">2+IF(A152&gt;=DATEVALUE("2025/11/30")+TIMEVALUE("6:00"),1,0)+IF(A152&gt;=DATEVALUE("2025/12/11")+TIMEVALUE("6:00"),1,0)</f>
        <v>4</v>
      </c>
      <c r="N152">
        <f t="shared" ref="N152" si="335">N151+M152*(INT(A152-6/24)-INT(A151-6/24))+O152</f>
        <v>160</v>
      </c>
      <c r="O152">
        <f t="shared" ref="O152" si="336">IF(A152&gt;=DATEVALUE("2025/11/8")+TIMEVALUE("6:00"),1,0)-IF(A151&gt;=DATEVALUE("2025/11/8")+TIMEVALUE("6:00"),1,0)</f>
        <v>0</v>
      </c>
      <c r="P152" t="str">
        <f t="shared" ref="P152" si="337">IF(L152&lt;N152,"未達成（"&amp;N152-L152&amp;"）",IF(L152=N152,"達成","前倒し（"&amp;L152-N152&amp;"）"))</f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361</v>
      </c>
      <c r="I153" t="s">
        <v>362</v>
      </c>
      <c r="J153">
        <v>0</v>
      </c>
      <c r="K153">
        <f t="shared" ref="K153" si="338">IF(A153&lt;DATEVALUE("2025/11/20")+TIMEVALUE("6:00"),1,IF(B153-SUM(D153:F153)&lt;&gt;60,0,MAX(2-INT(G153*24*60/10),0)))</f>
        <v>2</v>
      </c>
      <c r="L153">
        <f t="shared" ref="L153" si="339">L152+K153</f>
        <v>160</v>
      </c>
      <c r="M153">
        <f t="shared" ref="M153" si="340">2+IF(A153&gt;=DATEVALUE("2025/11/30")+TIMEVALUE("6:00"),1,0)+IF(A153&gt;=DATEVALUE("2025/12/11")+TIMEVALUE("6:00"),1,0)</f>
        <v>4</v>
      </c>
      <c r="N153">
        <f t="shared" ref="N153" si="341">N152+M153*(INT(A153-6/24)-INT(A152-6/24))+O153</f>
        <v>160</v>
      </c>
      <c r="O153">
        <f t="shared" ref="O153" si="342">IF(A153&gt;=DATEVALUE("2025/11/8")+TIMEVALUE("6:00"),1,0)-IF(A152&gt;=DATEVALUE("2025/11/8")+TIMEVALUE("6:00"),1,0)</f>
        <v>0</v>
      </c>
      <c r="P153" t="str">
        <f t="shared" ref="P153" si="343">IF(L153&lt;N153,"未達成（"&amp;N153-L153&amp;"）",IF(L153=N153,"達成","前倒し（"&amp;L153-N153&amp;"）"))</f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363</v>
      </c>
      <c r="I154" t="s">
        <v>364</v>
      </c>
      <c r="J154">
        <v>0</v>
      </c>
      <c r="K154">
        <f t="shared" ref="K154" si="344">IF(A154&lt;DATEVALUE("2025/11/20")+TIMEVALUE("6:00"),1,IF(B154-SUM(D154:F154)&lt;&gt;60,0,MAX(2-INT(G154*24*60/10),0)))</f>
        <v>1</v>
      </c>
      <c r="L154">
        <f t="shared" ref="L154" si="345">L153+K154</f>
        <v>161</v>
      </c>
      <c r="M154">
        <f t="shared" ref="M154" si="346">2+IF(A154&gt;=DATEVALUE("2025/11/30")+TIMEVALUE("6:00"),1,0)+IF(A154&gt;=DATEVALUE("2025/12/11")+TIMEVALUE("6:00"),1,0)</f>
        <v>4</v>
      </c>
      <c r="N154">
        <f t="shared" ref="N154" si="347">N153+M154*(INT(A154-6/24)-INT(A153-6/24))+O154</f>
        <v>164</v>
      </c>
      <c r="O154">
        <f t="shared" ref="O154" si="348">IF(A154&gt;=DATEVALUE("2025/11/8")+TIMEVALUE("6:00"),1,0)-IF(A153&gt;=DATEVALUE("2025/11/8")+TIMEVALUE("6:00"),1,0)</f>
        <v>0</v>
      </c>
      <c r="P154" t="str">
        <f t="shared" ref="P154" si="349">IF(L154&lt;N154,"未達成（"&amp;N154-L154&amp;"）",IF(L154=N154,"達成","前倒し（"&amp;L154-N154&amp;"）"))</f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365</v>
      </c>
      <c r="I155" t="s">
        <v>366</v>
      </c>
      <c r="J155">
        <v>0</v>
      </c>
      <c r="K155">
        <f t="shared" ref="K155" si="350">IF(A155&lt;DATEVALUE("2025/11/20")+TIMEVALUE("6:00"),1,IF(B155-SUM(D155:F155)&lt;&gt;60,0,MAX(2-INT(G155*24*60/10),0)))</f>
        <v>2</v>
      </c>
      <c r="L155">
        <f t="shared" ref="L155" si="351">L154+K155</f>
        <v>163</v>
      </c>
      <c r="M155">
        <f t="shared" ref="M155" si="352">2+IF(A155&gt;=DATEVALUE("2025/11/30")+TIMEVALUE("6:00"),1,0)+IF(A155&gt;=DATEVALUE("2025/12/11")+TIMEVALUE("6:00"),1,0)</f>
        <v>4</v>
      </c>
      <c r="N155">
        <f t="shared" ref="N155" si="353">N154+M155*(INT(A155-6/24)-INT(A154-6/24))+O155</f>
        <v>164</v>
      </c>
      <c r="O155">
        <f t="shared" ref="O155" si="354">IF(A155&gt;=DATEVALUE("2025/11/8")+TIMEVALUE("6:00"),1,0)-IF(A154&gt;=DATEVALUE("2025/11/8")+TIMEVALUE("6:00"),1,0)</f>
        <v>0</v>
      </c>
      <c r="P155" t="str">
        <f t="shared" ref="P155" si="355">IF(L155&lt;N155,"未達成（"&amp;N155-L155&amp;"）",IF(L155=N155,"達成","前倒し（"&amp;L155-N155&amp;"）"))</f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367</v>
      </c>
      <c r="I156" t="s">
        <v>368</v>
      </c>
      <c r="J156">
        <v>0</v>
      </c>
      <c r="K156">
        <f t="shared" ref="K156" si="356">IF(A156&lt;DATEVALUE("2025/11/20")+TIMEVALUE("6:00"),1,IF(B156-SUM(D156:F156)&lt;&gt;60,0,MAX(2-INT(G156*24*60/10),0)))</f>
        <v>2</v>
      </c>
      <c r="L156">
        <f t="shared" ref="L156" si="357">L155+K156</f>
        <v>165</v>
      </c>
      <c r="M156">
        <f t="shared" ref="M156" si="358">2+IF(A156&gt;=DATEVALUE("2025/11/30")+TIMEVALUE("6:00"),1,0)+IF(A156&gt;=DATEVALUE("2025/12/11")+TIMEVALUE("6:00"),1,0)</f>
        <v>4</v>
      </c>
      <c r="N156">
        <f t="shared" ref="N156" si="359">N155+M156*(INT(A156-6/24)-INT(A155-6/24))+O156</f>
        <v>164</v>
      </c>
      <c r="O156">
        <f t="shared" ref="O156" si="360">IF(A156&gt;=DATEVALUE("2025/11/8")+TIMEVALUE("6:00"),1,0)-IF(A155&gt;=DATEVALUE("2025/11/8")+TIMEVALUE("6:00"),1,0)</f>
        <v>0</v>
      </c>
      <c r="P156" t="str">
        <f t="shared" ref="P156" si="361">IF(L156&lt;N156,"未達成（"&amp;N156-L156&amp;"）",IF(L156=N156,"達成","前倒し（"&amp;L156-N156&amp;"）"))</f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369</v>
      </c>
      <c r="I157" t="s">
        <v>370</v>
      </c>
      <c r="J157">
        <v>0</v>
      </c>
      <c r="K157">
        <f t="shared" ref="K157" si="362">IF(A157&lt;DATEVALUE("2025/11/20")+TIMEVALUE("6:00"),1,IF(B157-SUM(D157:F157)&lt;&gt;60,0,MAX(2-INT(G157*24*60/10),0)))</f>
        <v>2</v>
      </c>
      <c r="L157">
        <f t="shared" ref="L157" si="363">L156+K157</f>
        <v>167</v>
      </c>
      <c r="M157">
        <f t="shared" ref="M157" si="364">2+IF(A157&gt;=DATEVALUE("2025/11/30")+TIMEVALUE("6:00"),1,0)+IF(A157&gt;=DATEVALUE("2025/12/11")+TIMEVALUE("6:00"),1,0)</f>
        <v>4</v>
      </c>
      <c r="N157">
        <f t="shared" ref="N157" si="365">N156+M157*(INT(A157-6/24)-INT(A156-6/24))+O157</f>
        <v>168</v>
      </c>
      <c r="O157">
        <f t="shared" ref="O157" si="366">IF(A157&gt;=DATEVALUE("2025/11/8")+TIMEVALUE("6:00"),1,0)-IF(A156&gt;=DATEVALUE("2025/11/8")+TIMEVALUE("6:00"),1,0)</f>
        <v>0</v>
      </c>
      <c r="P157" t="str">
        <f t="shared" ref="P157" si="367">IF(L157&lt;N157,"未達成（"&amp;N157-L157&amp;"）",IF(L157=N157,"達成","前倒し（"&amp;L157-N157&amp;"）"))</f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371</v>
      </c>
      <c r="I158" t="s">
        <v>372</v>
      </c>
      <c r="J158">
        <v>0</v>
      </c>
      <c r="K158">
        <f t="shared" ref="K158" si="368">IF(A158&lt;DATEVALUE("2025/11/20")+TIMEVALUE("6:00"),1,IF(B158-SUM(D158:F158)&lt;&gt;60,0,MAX(2-INT(G158*24*60/10),0)))</f>
        <v>1</v>
      </c>
      <c r="L158">
        <f t="shared" ref="L158" si="369">L157+K158</f>
        <v>168</v>
      </c>
      <c r="M158">
        <f t="shared" ref="M158" si="370">2+IF(A158&gt;=DATEVALUE("2025/11/30")+TIMEVALUE("6:00"),1,0)+IF(A158&gt;=DATEVALUE("2025/12/11")+TIMEVALUE("6:00"),1,0)</f>
        <v>4</v>
      </c>
      <c r="N158">
        <f t="shared" ref="N158" si="371">N157+M158*(INT(A158-6/24)-INT(A157-6/24))+O158</f>
        <v>168</v>
      </c>
      <c r="O158">
        <f t="shared" ref="O158" si="372">IF(A158&gt;=DATEVALUE("2025/11/8")+TIMEVALUE("6:00"),1,0)-IF(A157&gt;=DATEVALUE("2025/11/8")+TIMEVALUE("6:00"),1,0)</f>
        <v>0</v>
      </c>
      <c r="P158" t="str">
        <f t="shared" ref="P158" si="373">IF(L158&lt;N158,"未達成（"&amp;N158-L158&amp;"）",IF(L158=N158,"達成","前倒し（"&amp;L158-N158&amp;"）"))</f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373</v>
      </c>
      <c r="I159" t="s">
        <v>374</v>
      </c>
      <c r="J159">
        <v>0</v>
      </c>
      <c r="K159">
        <f t="shared" ref="K159" si="374">IF(A159&lt;DATEVALUE("2025/11/20")+TIMEVALUE("6:00"),1,IF(B159-SUM(D159:F159)&lt;&gt;60,0,MAX(2-INT(G159*24*60/10),0)))</f>
        <v>1</v>
      </c>
      <c r="L159">
        <f t="shared" ref="L159" si="375">L158+K159</f>
        <v>169</v>
      </c>
      <c r="M159">
        <f t="shared" ref="M159" si="376">2+IF(A159&gt;=DATEVALUE("2025/11/30")+TIMEVALUE("6:00"),1,0)+IF(A159&gt;=DATEVALUE("2025/12/11")+TIMEVALUE("6:00"),1,0)</f>
        <v>4</v>
      </c>
      <c r="N159">
        <f t="shared" ref="N159" si="377">N158+M159*(INT(A159-6/24)-INT(A158-6/24))+O159</f>
        <v>172</v>
      </c>
      <c r="O159">
        <f t="shared" ref="O159" si="378">IF(A159&gt;=DATEVALUE("2025/11/8")+TIMEVALUE("6:00"),1,0)-IF(A158&gt;=DATEVALUE("2025/11/8")+TIMEVALUE("6:00"),1,0)</f>
        <v>0</v>
      </c>
      <c r="P159" t="str">
        <f t="shared" ref="P159" si="379">IF(L159&lt;N159,"未達成（"&amp;N159-L159&amp;"）",IF(L159=N159,"達成","前倒し（"&amp;L159-N159&amp;"）"))</f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375</v>
      </c>
      <c r="I160" t="s">
        <v>376</v>
      </c>
      <c r="J160">
        <v>0</v>
      </c>
      <c r="K160">
        <f t="shared" ref="K160" si="380">IF(A160&lt;DATEVALUE("2025/11/20")+TIMEVALUE("6:00"),1,IF(B160-SUM(D160:F160)&lt;&gt;60,0,MAX(2-INT(G160*24*60/10),0)))</f>
        <v>2</v>
      </c>
      <c r="L160">
        <f t="shared" ref="L160" si="381">L159+K160</f>
        <v>171</v>
      </c>
      <c r="M160">
        <f t="shared" ref="M160" si="382">2+IF(A160&gt;=DATEVALUE("2025/11/30")+TIMEVALUE("6:00"),1,0)+IF(A160&gt;=DATEVALUE("2025/12/11")+TIMEVALUE("6:00"),1,0)</f>
        <v>4</v>
      </c>
      <c r="N160">
        <f t="shared" ref="N160" si="383">N159+M160*(INT(A160-6/24)-INT(A159-6/24))+O160</f>
        <v>172</v>
      </c>
      <c r="O160">
        <f t="shared" ref="O160" si="384">IF(A160&gt;=DATEVALUE("2025/11/8")+TIMEVALUE("6:00"),1,0)-IF(A159&gt;=DATEVALUE("2025/11/8")+TIMEVALUE("6:00"),1,0)</f>
        <v>0</v>
      </c>
      <c r="P160" t="str">
        <f t="shared" ref="P160" si="385">IF(L160&lt;N160,"未達成（"&amp;N160-L160&amp;"）",IF(L160=N160,"達成","前倒し（"&amp;L160-N160&amp;"）"))</f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377</v>
      </c>
      <c r="I161" t="s">
        <v>378</v>
      </c>
      <c r="J161">
        <v>0</v>
      </c>
      <c r="K161">
        <f t="shared" ref="K161" si="386">IF(A161&lt;DATEVALUE("2025/11/20")+TIMEVALUE("6:00"),1,IF(B161-SUM(D161:F161)&lt;&gt;60,0,MAX(2-INT(G161*24*60/10),0)))</f>
        <v>1</v>
      </c>
      <c r="L161">
        <f t="shared" ref="L161" si="387">L160+K161</f>
        <v>172</v>
      </c>
      <c r="M161">
        <f t="shared" ref="M161" si="388">2+IF(A161&gt;=DATEVALUE("2025/11/30")+TIMEVALUE("6:00"),1,0)+IF(A161&gt;=DATEVALUE("2025/12/11")+TIMEVALUE("6:00"),1,0)</f>
        <v>4</v>
      </c>
      <c r="N161">
        <f t="shared" ref="N161" si="389">N160+M161*(INT(A161-6/24)-INT(A160-6/24))+O161</f>
        <v>172</v>
      </c>
      <c r="O161">
        <f t="shared" ref="O161" si="390">IF(A161&gt;=DATEVALUE("2025/11/8")+TIMEVALUE("6:00"),1,0)-IF(A160&gt;=DATEVALUE("2025/11/8")+TIMEVALUE("6:00"),1,0)</f>
        <v>0</v>
      </c>
      <c r="P161" t="str">
        <f t="shared" ref="P161" si="391">IF(L161&lt;N161,"未達成（"&amp;N161-L161&amp;"）",IF(L161=N161,"達成","前倒し（"&amp;L161-N161&amp;"）"))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CreateChart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46022.365451388891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2025-12-31T01:47:49Z</dcterms:modified>
</cp:coreProperties>
</file>
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8C29A2F0-9393-46FF-AD29-F5EC140924D3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6" i="4" l="1"/>
  <c r="N66" i="4" s="1"/>
  <c r="K66" i="4"/>
  <c r="L66" i="4" s="1"/>
  <c r="O65" i="4"/>
  <c r="N65" i="4"/>
  <c r="L65" i="4"/>
  <c r="P65" i="4" s="1"/>
  <c r="K65" i="4"/>
  <c r="O64" i="4"/>
  <c r="N64" i="4" s="1"/>
  <c r="K64" i="4"/>
  <c r="L64" i="4" s="1"/>
  <c r="O63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L17" i="4" s="1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N17" i="4" s="1"/>
  <c r="P66" i="4" l="1"/>
  <c r="P64" i="4"/>
  <c r="L18" i="4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l="1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56" i="4" l="1"/>
  <c r="T2" i="5"/>
  <c r="T3" i="5"/>
  <c r="T4" i="3"/>
  <c r="S5" i="3"/>
  <c r="L57" i="4" l="1"/>
  <c r="T4" i="5"/>
  <c r="S6" i="3"/>
  <c r="T6" i="3" s="1"/>
  <c r="T5" i="3"/>
  <c r="L58" i="4" l="1"/>
  <c r="T6" i="5"/>
  <c r="T5" i="5"/>
  <c r="L59" i="4" l="1"/>
  <c r="L60" i="4" l="1"/>
  <c r="L61" i="4" l="1"/>
  <c r="L62" i="4" s="1"/>
  <c r="L63" i="4" s="1"/>
  <c r="P17" i="4" l="1"/>
  <c r="N18" i="4"/>
  <c r="N19" i="4" l="1"/>
  <c r="P18" i="4"/>
  <c r="N20" i="4" l="1"/>
  <c r="P19" i="4"/>
  <c r="N21" i="4" l="1"/>
  <c r="P20" i="4"/>
  <c r="N22" i="4" l="1"/>
  <c r="P21" i="4"/>
  <c r="N23" i="4" l="1"/>
  <c r="P22" i="4"/>
  <c r="N24" i="4" l="1"/>
  <c r="P23" i="4"/>
  <c r="N25" i="4" l="1"/>
  <c r="P24" i="4"/>
  <c r="N26" i="4" l="1"/>
  <c r="P25" i="4"/>
  <c r="N27" i="4" l="1"/>
  <c r="P26" i="4"/>
  <c r="N28" i="4" l="1"/>
  <c r="P27" i="4"/>
  <c r="N29" i="4" l="1"/>
  <c r="P28" i="4"/>
  <c r="N30" i="4" l="1"/>
  <c r="P29" i="4"/>
  <c r="N31" i="4" l="1"/>
  <c r="P30" i="4"/>
  <c r="N32" i="4" l="1"/>
  <c r="P31" i="4"/>
  <c r="N33" i="4" l="1"/>
  <c r="P32" i="4"/>
  <c r="N34" i="4" l="1"/>
  <c r="P33" i="4"/>
  <c r="N35" i="4" l="1"/>
  <c r="P34" i="4"/>
  <c r="N36" i="4" l="1"/>
  <c r="P35" i="4"/>
  <c r="N37" i="4" l="1"/>
  <c r="P36" i="4"/>
  <c r="N38" i="4" l="1"/>
  <c r="P37" i="4"/>
  <c r="N39" i="4" l="1"/>
  <c r="P38" i="4"/>
  <c r="N40" i="4" l="1"/>
  <c r="P39" i="4"/>
  <c r="N41" i="4" l="1"/>
  <c r="P40" i="4"/>
  <c r="N42" i="4" l="1"/>
  <c r="P41" i="4"/>
  <c r="N43" i="4" l="1"/>
  <c r="P42" i="4"/>
  <c r="N44" i="4" l="1"/>
  <c r="P43" i="4"/>
  <c r="N45" i="4" l="1"/>
  <c r="P44" i="4"/>
  <c r="N46" i="4" l="1"/>
  <c r="P45" i="4"/>
  <c r="N47" i="4" l="1"/>
  <c r="P46" i="4"/>
  <c r="N48" i="4" l="1"/>
  <c r="P47" i="4"/>
  <c r="N49" i="4" l="1"/>
  <c r="P48" i="4"/>
  <c r="N50" i="4" l="1"/>
  <c r="P49" i="4"/>
  <c r="N51" i="4" l="1"/>
  <c r="P50" i="4"/>
  <c r="N52" i="4" l="1"/>
  <c r="P51" i="4"/>
  <c r="N53" i="4" l="1"/>
  <c r="P52" i="4"/>
  <c r="N54" i="4" l="1"/>
  <c r="P53" i="4"/>
  <c r="N55" i="4" l="1"/>
  <c r="P54" i="4"/>
  <c r="N56" i="4" l="1"/>
  <c r="P55" i="4"/>
  <c r="N57" i="4" l="1"/>
  <c r="P56" i="4"/>
  <c r="N58" i="4" l="1"/>
  <c r="P57" i="4"/>
  <c r="N59" i="4" l="1"/>
  <c r="P58" i="4"/>
  <c r="N60" i="4" l="1"/>
  <c r="P59" i="4"/>
  <c r="N61" i="4" l="1"/>
  <c r="N62" i="4" s="1"/>
  <c r="P60" i="4"/>
  <c r="P62" i="4" l="1"/>
  <c r="N63" i="4"/>
  <c r="P63" i="4" s="1"/>
  <c r="P61" i="4"/>
</calcChain>
</file>

<file path=xl/sharedStrings.xml><?xml version="1.0" encoding="utf-8"?>
<sst xmlns="http://schemas.openxmlformats.org/spreadsheetml/2006/main" count="209" uniqueCount="190">
  <si>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</si>
  <si>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</si>
  <si>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</si>
  <si>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</si>
  <si>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</si>
  <si>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</si>
  <si>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</si>
  <si>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</si>
  <si>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</si>
  <si>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</si>
  <si>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</si>
  <si>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</si>
  <si>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</si>
  <si>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</si>
  <si>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</si>
  <si>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</si>
  <si>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</si>
  <si>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</si>
  <si>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</si>
  <si>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</si>
  <si>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</si>
  <si>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</si>
  <si>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</si>
  <si>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</si>
  <si>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</si>
  <si>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</si>
  <si>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</si>
  <si>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</si>
  <si>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</si>
  <si>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</si>
  <si>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</si>
  <si>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</si>
  <si>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</si>
  <si>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</si>
  <si>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</si>
  <si>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</si>
  <si>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</si>
  <si>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</si>
  <si>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</si>
  <si>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</si>
  <si>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</si>
  <si>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</si>
  <si>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</si>
  <si>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</si>
  <si>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</si>
  <si>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</si>
  <si>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</si>
  <si>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</si>
  <si>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</si>
  <si>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</si>
  <si>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</si>
  <si>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</si>
  <si>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</si>
  <si>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</si>
  <si>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</si>
  <si>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</si>
  <si>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</si>
  <si>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</si>
  <si>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</si>
  <si>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</si>
  <si>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</si>
  <si>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</si>
  <si>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</si>
  <si>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</si>
  <si>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</si>
  <si>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</si>
  <si>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</si>
  <si>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</si>
  <si>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</si>
  <si>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</si>
  <si>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</si>
  <si>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</si>
  <si>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</si>
  <si>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</si>
  <si>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</si>
  <si>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</si>
  <si>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</si>
  <si>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</si>
  <si>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</si>
  <si>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</si>
  <si>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</si>
  <si>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</si>
  <si>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</si>
  <si>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</si>
  <si>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</si>
  <si>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</si>
  <si>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</si>
  <si>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</si>
  <si>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</si>
  <si>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</si>
  <si>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</si>
  <si>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</si>
  <si>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</si>
  <si>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</si>
  <si>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</si>
  <si>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</si>
  <si>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</si>
  <si>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</si>
  <si>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</si>
  <si>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</si>
  <si>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</si>
  <si>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</si>
  <si>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</si>
  <si>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</si>
  <si>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</si>
  <si>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</si>
  <si>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</si>
  <si>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</si>
  <si>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</si>
  <si>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</si>
  <si>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</si>
  <si>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</si>
  <si>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</si>
  <si>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</si>
  <si>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</si>
  <si>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</si>
  <si>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</si>
  <si>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</si>
  <si>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</si>
  <si>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</si>
  <si>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</si>
  <si>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</si>
  <si>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</si>
  <si>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</si>
  <si>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</si>
  <si>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</si>
  <si>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</si>
  <si>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</si>
  <si>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</si>
  <si>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</si>
  <si>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</si>
  <si>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</si>
  <si>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</si>
  <si>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</si>
  <si>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</si>
  <si>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</si>
  <si>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</si>
  <si>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</si>
  <si>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</si>
  <si>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</si>
  <si>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</si>
  <si>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</si>
  <si>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</si>
  <si>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</si>
  <si>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</si>
  <si>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</si>
  <si>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</si>
  <si>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</si>
  <si>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</si>
  <si>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</si>
  <si>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</si>
  <si>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</si>
  <si>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</si>
  <si>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</si>
  <si>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</si>
  <si>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</si>
  <si>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</si>
  <si>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</si>
  <si>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</si>
  <si>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</si>
  <si>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</si>
  <si>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</si>
  <si>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</si>
  <si>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</si>
  <si>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</si>
  <si>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</si>
  <si>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</si>
  <si>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</si>
  <si>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</si>
  <si>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</si>
  <si>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</si>
  <si>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</si>
  <si>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</si>
  <si>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</si>
  <si>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</si>
  <si>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</si>
  <si>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</si>
  <si>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</si>
  <si>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１日目標ポイント</t>
    <rPh sb="1" eb="2">
      <t>ニチ</t>
    </rPh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</si>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</sst>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データ!$P$1:$P$65</c:f>
              <c:strCache>
                <c:ptCount val="65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データ!$A$2:$A$66</c:f>
              <c:numCache>
                <c:formatCode>m/d/yyyy\ h:mm</c:formatCode>
                <c:ptCount val="6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</c:numCache>
            </c:numRef>
          </c:xVal>
          <c:yVal>
            <c:numRef>
              <c:f>データ!$B$2:$B$66</c:f>
              <c:numCache>
                <c:formatCode>General</c:formatCode>
                <c:ptCount val="65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F2-436C-B7FE-971240D3D62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DBF2-436C-B7FE-971240D3D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44832"/>
        <c:axId val="62745312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データ!$A$2:$A$66</c:f>
              <c:numCache>
                <c:formatCode>m/d/yyyy\ h:mm</c:formatCode>
                <c:ptCount val="6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</c:numCache>
            </c:numRef>
          </c:xVal>
          <c:yVal>
            <c:numRef>
              <c:f>データ!$G$2:$G$66</c:f>
              <c:numCache>
                <c:formatCode>[h]:mm</c:formatCode>
                <c:ptCount val="65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F2-436C-B7FE-971240D3D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71712"/>
        <c:axId val="62747712"/>
      </c:scatterChart>
      <c:valAx>
        <c:axId val="62744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2745312"/>
        <c:crosses val="autoZero"/>
        <c:crossBetween val="midCat"/>
      </c:valAx>
      <c:valAx>
        <c:axId val="6274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2744832"/>
        <c:crosses val="autoZero"/>
        <c:crossBetween val="midCat"/>
      </c:valAx>
      <c:valAx>
        <c:axId val="62747712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2771712"/>
        <c:crosses val="max"/>
        <c:crossBetween val="midCat"/>
      </c:valAx>
      <c:valAx>
        <c:axId val="62771712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274771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D8DBE92-9A9A-4244-E9B9-87FF07630E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B4" sqref="B4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6">
        <v>6</v>
      </c>
      <c r="B1" s="26">
        <v>7</v>
      </c>
      <c r="C1" s="26">
        <v>7</v>
      </c>
      <c r="D1" s="26">
        <v>3</v>
      </c>
      <c r="E1" s="22">
        <v>8</v>
      </c>
      <c r="F1" s="22">
        <v>9</v>
      </c>
      <c r="G1" s="26">
        <v>3</v>
      </c>
      <c r="H1" s="26">
        <v>7</v>
      </c>
      <c r="I1" s="26">
        <v>4</v>
      </c>
      <c r="J1" s="26">
        <v>7</v>
      </c>
      <c r="K1" s="22">
        <v>1</v>
      </c>
      <c r="L1" s="26">
        <v>8</v>
      </c>
      <c r="N1" s="2">
        <v>339</v>
      </c>
      <c r="O1" s="1">
        <v>2</v>
      </c>
    </row>
    <row r="2" spans="1:15" ht="28.25" customHeight="1">
      <c r="A2" s="23">
        <v>1</v>
      </c>
      <c r="B2" s="23">
        <v>6</v>
      </c>
      <c r="C2" s="23">
        <v>6</v>
      </c>
      <c r="D2" s="23">
        <v>6</v>
      </c>
      <c r="E2" s="23">
        <v>6</v>
      </c>
      <c r="F2" s="22">
        <v>5</v>
      </c>
      <c r="G2" s="22">
        <v>5</v>
      </c>
      <c r="H2" s="23">
        <v>2</v>
      </c>
      <c r="I2" s="26">
        <v>4</v>
      </c>
      <c r="J2" s="22">
        <v>4</v>
      </c>
      <c r="K2" s="23">
        <v>1</v>
      </c>
      <c r="L2" s="22">
        <v>4</v>
      </c>
      <c r="N2" s="2">
        <v>9953244</v>
      </c>
      <c r="O2" s="1">
        <v>1</v>
      </c>
    </row>
    <row r="3" spans="1:15" ht="28.25" customHeight="1">
      <c r="A3" s="26">
        <v>6</v>
      </c>
      <c r="B3" s="22">
        <v>4</v>
      </c>
      <c r="C3" s="22">
        <v>1</v>
      </c>
      <c r="D3" s="22">
        <v>4</v>
      </c>
      <c r="E3" s="26">
        <v>2</v>
      </c>
      <c r="F3" s="23">
        <v>6</v>
      </c>
      <c r="G3" s="23">
        <v>3</v>
      </c>
      <c r="H3" s="23">
        <v>4</v>
      </c>
      <c r="I3" s="26">
        <v>9</v>
      </c>
      <c r="J3" s="23">
        <v>2</v>
      </c>
      <c r="K3" s="23">
        <v>3</v>
      </c>
      <c r="L3" s="26">
        <v>7</v>
      </c>
      <c r="N3" s="2">
        <v>66661</v>
      </c>
      <c r="O3" s="1">
        <v>1</v>
      </c>
    </row>
    <row r="4" spans="1:15" ht="28.25" customHeight="1">
      <c r="A4" s="22">
        <v>8</v>
      </c>
      <c r="B4" s="23">
        <v>9</v>
      </c>
      <c r="C4" s="22">
        <v>1</v>
      </c>
      <c r="D4" s="22">
        <v>2</v>
      </c>
      <c r="E4" s="23">
        <v>4</v>
      </c>
      <c r="F4" s="23">
        <v>2</v>
      </c>
      <c r="G4" s="23">
        <v>3</v>
      </c>
      <c r="H4" s="26">
        <v>9</v>
      </c>
      <c r="I4" s="26">
        <v>7</v>
      </c>
      <c r="J4" s="23">
        <v>9</v>
      </c>
      <c r="K4" s="23">
        <v>1</v>
      </c>
      <c r="L4" s="26">
        <v>3</v>
      </c>
      <c r="N4" s="2">
        <v>23295</v>
      </c>
      <c r="O4" s="1">
        <v>1</v>
      </c>
    </row>
    <row r="5" spans="1:15" ht="28.25" customHeight="1">
      <c r="A5" s="26">
        <v>1</v>
      </c>
      <c r="B5" s="23">
        <v>3</v>
      </c>
      <c r="C5" s="22">
        <v>8</v>
      </c>
      <c r="D5" s="23">
        <v>2</v>
      </c>
      <c r="E5" s="23">
        <v>9</v>
      </c>
      <c r="F5" s="23">
        <v>7</v>
      </c>
      <c r="G5" s="26">
        <v>4</v>
      </c>
      <c r="H5" s="26">
        <v>2</v>
      </c>
      <c r="I5" s="26">
        <v>6</v>
      </c>
      <c r="J5" s="23">
        <v>8</v>
      </c>
      <c r="K5" s="23">
        <v>7</v>
      </c>
      <c r="L5" s="22">
        <v>9</v>
      </c>
      <c r="N5" s="2">
        <v>89</v>
      </c>
      <c r="O5" s="1">
        <v>11</v>
      </c>
    </row>
    <row r="6" spans="1:15" ht="28.25" customHeight="1">
      <c r="A6" s="26">
        <v>8</v>
      </c>
      <c r="B6" s="23">
        <v>2</v>
      </c>
      <c r="C6" s="23">
        <v>9</v>
      </c>
      <c r="D6" s="23">
        <v>5</v>
      </c>
      <c r="E6" s="26">
        <v>2</v>
      </c>
      <c r="F6" s="22">
        <v>9</v>
      </c>
      <c r="G6" s="22">
        <v>4</v>
      </c>
      <c r="H6" s="22">
        <v>4</v>
      </c>
      <c r="I6" s="22">
        <v>9</v>
      </c>
      <c r="J6" s="23">
        <v>4</v>
      </c>
      <c r="K6" s="23">
        <v>5</v>
      </c>
      <c r="L6" s="26">
        <v>2</v>
      </c>
      <c r="N6" s="2">
        <v>59</v>
      </c>
      <c r="O6" s="1">
        <v>15</v>
      </c>
    </row>
    <row r="7" spans="1:15" ht="28.25" customHeight="1">
      <c r="A7" s="22">
        <v>8</v>
      </c>
      <c r="B7" s="23">
        <v>7</v>
      </c>
      <c r="C7" s="26">
        <v>7</v>
      </c>
      <c r="D7" s="22">
        <v>1</v>
      </c>
      <c r="E7" s="26">
        <v>6</v>
      </c>
      <c r="F7" s="22">
        <v>8</v>
      </c>
      <c r="G7" s="22">
        <v>5</v>
      </c>
      <c r="H7" s="22">
        <v>1</v>
      </c>
      <c r="I7" s="23">
        <v>4</v>
      </c>
      <c r="J7" s="23">
        <v>1</v>
      </c>
      <c r="K7" s="22">
        <v>4</v>
      </c>
      <c r="L7" s="26">
        <v>8</v>
      </c>
      <c r="N7" s="2">
        <v>5115515</v>
      </c>
      <c r="O7" s="1">
        <v>1</v>
      </c>
    </row>
    <row r="8" spans="1:15" ht="28.25" customHeight="1">
      <c r="A8" s="26">
        <v>7</v>
      </c>
      <c r="B8" s="22">
        <v>9</v>
      </c>
      <c r="C8" s="23">
        <v>4</v>
      </c>
      <c r="D8" s="23">
        <v>4</v>
      </c>
      <c r="E8" s="23">
        <v>2</v>
      </c>
      <c r="F8" s="23">
        <v>3</v>
      </c>
      <c r="G8" s="23">
        <v>5</v>
      </c>
      <c r="H8" s="23">
        <v>9</v>
      </c>
      <c r="I8" s="23">
        <v>9</v>
      </c>
      <c r="J8" s="22">
        <v>9</v>
      </c>
      <c r="K8" s="26">
        <v>2</v>
      </c>
      <c r="L8" s="23">
        <v>5</v>
      </c>
      <c r="N8" s="2">
        <v>352594</v>
      </c>
      <c r="O8" s="1">
        <v>1</v>
      </c>
    </row>
    <row r="9" spans="1:15" ht="28.25" customHeight="1">
      <c r="A9" s="26">
        <v>9</v>
      </c>
      <c r="B9" s="26">
        <v>2</v>
      </c>
      <c r="C9" s="26">
        <v>7</v>
      </c>
      <c r="D9" s="22">
        <v>8</v>
      </c>
      <c r="E9" s="26">
        <v>7</v>
      </c>
      <c r="F9" s="26">
        <v>7</v>
      </c>
      <c r="G9" s="22">
        <v>3</v>
      </c>
      <c r="H9" s="23">
        <v>3</v>
      </c>
      <c r="I9" s="22">
        <v>9</v>
      </c>
      <c r="J9" s="26">
        <v>2</v>
      </c>
      <c r="K9" s="22">
        <v>5</v>
      </c>
      <c r="L9" s="23">
        <v>5</v>
      </c>
      <c r="N9" s="2">
        <v>2984</v>
      </c>
      <c r="O9" s="1">
        <v>1</v>
      </c>
    </row>
    <row r="10" spans="1:15" ht="28.25" customHeight="1">
      <c r="A10" s="22">
        <v>4</v>
      </c>
      <c r="B10" s="22">
        <v>4</v>
      </c>
      <c r="C10" s="22">
        <v>4</v>
      </c>
      <c r="D10" s="22">
        <v>9</v>
      </c>
      <c r="E10" s="26">
        <v>3</v>
      </c>
      <c r="F10" s="26">
        <v>6</v>
      </c>
      <c r="G10" s="26">
        <v>7</v>
      </c>
      <c r="H10" s="23">
        <v>3</v>
      </c>
      <c r="I10" s="22">
        <v>8</v>
      </c>
      <c r="J10" s="22">
        <v>9</v>
      </c>
      <c r="K10" s="22">
        <v>5</v>
      </c>
      <c r="L10" s="26">
        <v>8</v>
      </c>
      <c r="N10" s="2">
        <v>41</v>
      </c>
      <c r="O10" s="1">
        <v>20</v>
      </c>
    </row>
    <row r="11" spans="1:15" ht="28.25" customHeight="1">
      <c r="A11" s="26">
        <v>6</v>
      </c>
      <c r="B11" s="22">
        <v>1</v>
      </c>
      <c r="C11" s="22">
        <v>3</v>
      </c>
      <c r="D11" s="23">
        <v>5</v>
      </c>
      <c r="E11" s="23">
        <v>1</v>
      </c>
      <c r="F11" s="23">
        <v>5</v>
      </c>
      <c r="G11" s="23">
        <v>5</v>
      </c>
      <c r="H11" s="23">
        <v>1</v>
      </c>
      <c r="I11" s="23">
        <v>1</v>
      </c>
      <c r="J11" s="23">
        <v>5</v>
      </c>
      <c r="K11" s="26">
        <v>7</v>
      </c>
      <c r="L11" s="26">
        <v>6</v>
      </c>
      <c r="N11" s="2">
        <v>55</v>
      </c>
      <c r="O11" s="1">
        <v>26</v>
      </c>
    </row>
    <row r="12" spans="1:15" ht="28.25" customHeight="1">
      <c r="A12" s="26">
        <v>9</v>
      </c>
      <c r="B12" s="26">
        <v>6</v>
      </c>
      <c r="C12" s="22">
        <v>5</v>
      </c>
      <c r="D12" s="22">
        <v>7</v>
      </c>
      <c r="E12" s="26">
        <v>3</v>
      </c>
      <c r="F12" s="23">
        <v>3</v>
      </c>
      <c r="G12" s="23">
        <v>5</v>
      </c>
      <c r="H12" s="23">
        <v>2</v>
      </c>
      <c r="I12" s="23">
        <v>5</v>
      </c>
      <c r="J12" s="23">
        <v>9</v>
      </c>
      <c r="K12" s="23">
        <v>4</v>
      </c>
      <c r="L12" s="26">
        <v>2</v>
      </c>
      <c r="N12" s="2">
        <v>734</v>
      </c>
      <c r="O12" s="1">
        <v>2</v>
      </c>
    </row>
    <row r="13" spans="1:15" ht="28.25" customHeight="1">
      <c r="N13" s="2">
        <v>642</v>
      </c>
      <c r="O13" s="1">
        <v>2</v>
      </c>
    </row>
    <row r="14" spans="1:15" ht="28.25" customHeight="1">
      <c r="N14" s="2">
        <v>13175</v>
      </c>
      <c r="O14" s="1">
        <v>1</v>
      </c>
    </row>
    <row r="15" spans="1:15" ht="28.25" customHeight="1">
      <c r="N15" s="2">
        <v>7239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66"/>
  <sheetViews>
    <sheetView tabSelected="1" zoomScaleNormal="100" workbookViewId="0">
      <pane ySplit="1" topLeftCell="A58" activePane="bottomLeft" state="frozen"/>
      <selection pane="bottomLeft" activeCell="A66" sqref="A66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180</v>
      </c>
      <c r="L1" s="4" t="s">
        <v>163</v>
      </c>
      <c r="M1" s="4" t="s">
        <v>178</v>
      </c>
      <c r="N1" s="4" t="s">
        <v>179</v>
      </c>
      <c r="O1" s="4" t="s">
        <v>181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IF(A17&lt;DATEVALUE("2025/11/20"),1,IF(B17-SUM(D17:F17)&lt;&gt;60,0,MAX(2-INT(G17*24*60/10),0)))</f>
        <v>1</v>
      </c>
      <c r="L17">
        <f>L16+K17</f>
        <v>1</v>
      </c>
      <c r="M17">
        <v>2</v>
      </c>
      <c r="N17">
        <f t="shared" ref="N17:N63" si="0">N16+M17*(INT(A17-6/24)-INT(A16-6/24))+O17</f>
        <v>2</v>
      </c>
      <c r="O17">
        <f>IF(A17&gt;DATEVALUE("2025/11/8"),1,0)-IF(A16&gt;DATEVALUE("2025/11/8"),1,0)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62" si="1">IF(A18&lt;DATEVALUE("2025/11/20"),1,IF(B18-SUM(D18:F18)&lt;&gt;60,0,MAX(2-INT(G18*24*60/10),0)))</f>
        <v>1</v>
      </c>
      <c r="L18">
        <f t="shared" ref="L18:L58" si="2">L17+K18</f>
        <v>2</v>
      </c>
      <c r="M18">
        <v>2</v>
      </c>
      <c r="N18">
        <f t="shared" si="0"/>
        <v>2</v>
      </c>
      <c r="O18">
        <f t="shared" ref="O18:O62" si="3">IF(A18&gt;DATEVALUE("2025/11/8"),1,0)-IF(A17&gt;DATEVALUE("2025/11/8"),1,0)</f>
        <v>0</v>
      </c>
      <c r="P18" t="str">
        <f t="shared" ref="P18:P58" si="4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1"/>
        <v>1</v>
      </c>
      <c r="L19">
        <f t="shared" si="2"/>
        <v>3</v>
      </c>
      <c r="M19">
        <v>2</v>
      </c>
      <c r="N19">
        <f t="shared" si="0"/>
        <v>4</v>
      </c>
      <c r="O19">
        <f t="shared" si="3"/>
        <v>0</v>
      </c>
      <c r="P19" t="str">
        <f t="shared" si="4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1"/>
        <v>1</v>
      </c>
      <c r="L20">
        <f t="shared" si="2"/>
        <v>4</v>
      </c>
      <c r="M20">
        <v>2</v>
      </c>
      <c r="N20">
        <f t="shared" si="0"/>
        <v>4</v>
      </c>
      <c r="O20">
        <f t="shared" si="3"/>
        <v>0</v>
      </c>
      <c r="P20" t="str">
        <f t="shared" si="4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1"/>
        <v>1</v>
      </c>
      <c r="L21">
        <f t="shared" si="2"/>
        <v>5</v>
      </c>
      <c r="M21">
        <v>2</v>
      </c>
      <c r="N21">
        <f t="shared" si="0"/>
        <v>6</v>
      </c>
      <c r="O21">
        <f t="shared" si="3"/>
        <v>0</v>
      </c>
      <c r="P21" t="str">
        <f t="shared" si="4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1"/>
        <v>1</v>
      </c>
      <c r="L22">
        <f t="shared" si="2"/>
        <v>6</v>
      </c>
      <c r="M22">
        <v>2</v>
      </c>
      <c r="N22">
        <f t="shared" si="0"/>
        <v>6</v>
      </c>
      <c r="O22">
        <f t="shared" si="3"/>
        <v>0</v>
      </c>
      <c r="P22" t="str">
        <f t="shared" si="4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1"/>
        <v>1</v>
      </c>
      <c r="L23">
        <f t="shared" si="2"/>
        <v>7</v>
      </c>
      <c r="M23">
        <v>2</v>
      </c>
      <c r="N23">
        <f t="shared" si="0"/>
        <v>8</v>
      </c>
      <c r="O23">
        <f t="shared" si="3"/>
        <v>0</v>
      </c>
      <c r="P23" t="str">
        <f t="shared" si="4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1"/>
        <v>1</v>
      </c>
      <c r="L24">
        <f t="shared" si="2"/>
        <v>8</v>
      </c>
      <c r="M24">
        <v>2</v>
      </c>
      <c r="N24">
        <f t="shared" si="0"/>
        <v>8</v>
      </c>
      <c r="O24">
        <f t="shared" si="3"/>
        <v>0</v>
      </c>
      <c r="P24" t="str">
        <f t="shared" si="4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1"/>
        <v>1</v>
      </c>
      <c r="L25">
        <f t="shared" si="2"/>
        <v>9</v>
      </c>
      <c r="M25">
        <v>2</v>
      </c>
      <c r="N25">
        <f t="shared" si="0"/>
        <v>10</v>
      </c>
      <c r="O25">
        <f t="shared" si="3"/>
        <v>0</v>
      </c>
      <c r="P25" t="str">
        <f t="shared" si="4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1"/>
        <v>1</v>
      </c>
      <c r="L26">
        <f t="shared" si="2"/>
        <v>10</v>
      </c>
      <c r="M26">
        <v>2</v>
      </c>
      <c r="N26">
        <f t="shared" si="0"/>
        <v>10</v>
      </c>
      <c r="O26">
        <f t="shared" si="3"/>
        <v>0</v>
      </c>
      <c r="P26" t="str">
        <f t="shared" si="4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1"/>
        <v>1</v>
      </c>
      <c r="L27">
        <f t="shared" si="2"/>
        <v>11</v>
      </c>
      <c r="M27">
        <v>2</v>
      </c>
      <c r="N27">
        <f t="shared" si="0"/>
        <v>13</v>
      </c>
      <c r="O27">
        <f t="shared" si="3"/>
        <v>1</v>
      </c>
      <c r="P27" t="str">
        <f t="shared" si="4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1"/>
        <v>1</v>
      </c>
      <c r="L28">
        <f t="shared" si="2"/>
        <v>12</v>
      </c>
      <c r="M28">
        <v>2</v>
      </c>
      <c r="N28">
        <f t="shared" si="0"/>
        <v>13</v>
      </c>
      <c r="O28">
        <f t="shared" si="3"/>
        <v>0</v>
      </c>
      <c r="P28" t="str">
        <f t="shared" si="4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1"/>
        <v>1</v>
      </c>
      <c r="L29">
        <f t="shared" si="2"/>
        <v>13</v>
      </c>
      <c r="M29">
        <v>2</v>
      </c>
      <c r="N29">
        <f t="shared" si="0"/>
        <v>13</v>
      </c>
      <c r="O29">
        <f t="shared" si="3"/>
        <v>0</v>
      </c>
      <c r="P29" t="str">
        <f t="shared" si="4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1"/>
        <v>1</v>
      </c>
      <c r="L30">
        <f t="shared" si="2"/>
        <v>14</v>
      </c>
      <c r="M30">
        <v>2</v>
      </c>
      <c r="N30">
        <f t="shared" si="0"/>
        <v>15</v>
      </c>
      <c r="O30">
        <f t="shared" si="3"/>
        <v>0</v>
      </c>
      <c r="P30" t="str">
        <f t="shared" si="4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1"/>
        <v>1</v>
      </c>
      <c r="L31">
        <f t="shared" si="2"/>
        <v>15</v>
      </c>
      <c r="M31">
        <v>2</v>
      </c>
      <c r="N31">
        <f t="shared" si="0"/>
        <v>15</v>
      </c>
      <c r="O31">
        <f t="shared" si="3"/>
        <v>0</v>
      </c>
      <c r="P31" t="str">
        <f t="shared" si="4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1"/>
        <v>1</v>
      </c>
      <c r="L32">
        <f t="shared" si="2"/>
        <v>16</v>
      </c>
      <c r="M32">
        <v>2</v>
      </c>
      <c r="N32">
        <f t="shared" si="0"/>
        <v>17</v>
      </c>
      <c r="O32">
        <f t="shared" si="3"/>
        <v>0</v>
      </c>
      <c r="P32" t="str">
        <f t="shared" si="4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1"/>
        <v>1</v>
      </c>
      <c r="L33">
        <f t="shared" si="2"/>
        <v>17</v>
      </c>
      <c r="M33">
        <v>2</v>
      </c>
      <c r="N33">
        <f t="shared" si="0"/>
        <v>17</v>
      </c>
      <c r="O33">
        <f t="shared" si="3"/>
        <v>0</v>
      </c>
      <c r="P33" t="str">
        <f t="shared" si="4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1"/>
        <v>1</v>
      </c>
      <c r="L34">
        <f t="shared" si="2"/>
        <v>18</v>
      </c>
      <c r="M34">
        <v>2</v>
      </c>
      <c r="N34">
        <f t="shared" si="0"/>
        <v>19</v>
      </c>
      <c r="O34">
        <f t="shared" si="3"/>
        <v>0</v>
      </c>
      <c r="P34" t="str">
        <f t="shared" si="4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1"/>
        <v>1</v>
      </c>
      <c r="L35">
        <f t="shared" si="2"/>
        <v>19</v>
      </c>
      <c r="M35">
        <v>2</v>
      </c>
      <c r="N35">
        <f t="shared" si="0"/>
        <v>19</v>
      </c>
      <c r="O35">
        <f t="shared" si="3"/>
        <v>0</v>
      </c>
      <c r="P35" t="str">
        <f t="shared" si="4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1"/>
        <v>1</v>
      </c>
      <c r="L36">
        <f t="shared" si="2"/>
        <v>20</v>
      </c>
      <c r="M36">
        <v>2</v>
      </c>
      <c r="N36">
        <f t="shared" si="0"/>
        <v>21</v>
      </c>
      <c r="O36">
        <f t="shared" si="3"/>
        <v>0</v>
      </c>
      <c r="P36" t="str">
        <f t="shared" si="4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1"/>
        <v>1</v>
      </c>
      <c r="L37">
        <f t="shared" si="2"/>
        <v>21</v>
      </c>
      <c r="M37">
        <v>2</v>
      </c>
      <c r="N37">
        <f t="shared" si="0"/>
        <v>21</v>
      </c>
      <c r="O37">
        <f t="shared" si="3"/>
        <v>0</v>
      </c>
      <c r="P37" t="str">
        <f t="shared" si="4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1"/>
        <v>1</v>
      </c>
      <c r="L38">
        <f t="shared" si="2"/>
        <v>22</v>
      </c>
      <c r="M38">
        <v>2</v>
      </c>
      <c r="N38">
        <f t="shared" si="0"/>
        <v>25</v>
      </c>
      <c r="O38">
        <f t="shared" si="3"/>
        <v>0</v>
      </c>
      <c r="P38" t="str">
        <f t="shared" si="4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1"/>
        <v>1</v>
      </c>
      <c r="L39">
        <f t="shared" si="2"/>
        <v>23</v>
      </c>
      <c r="M39">
        <v>2</v>
      </c>
      <c r="N39">
        <f t="shared" si="0"/>
        <v>25</v>
      </c>
      <c r="O39">
        <f t="shared" si="3"/>
        <v>0</v>
      </c>
      <c r="P39" t="str">
        <f t="shared" si="4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1"/>
        <v>1</v>
      </c>
      <c r="L40">
        <f t="shared" si="2"/>
        <v>24</v>
      </c>
      <c r="M40">
        <v>2</v>
      </c>
      <c r="N40">
        <f t="shared" si="0"/>
        <v>27</v>
      </c>
      <c r="O40">
        <f t="shared" si="3"/>
        <v>0</v>
      </c>
      <c r="P40" t="str">
        <f t="shared" si="4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1"/>
        <v>1</v>
      </c>
      <c r="L41">
        <f t="shared" si="2"/>
        <v>25</v>
      </c>
      <c r="M41">
        <v>2</v>
      </c>
      <c r="N41">
        <f t="shared" si="0"/>
        <v>27</v>
      </c>
      <c r="O41">
        <f t="shared" si="3"/>
        <v>0</v>
      </c>
      <c r="P41" t="str">
        <f t="shared" si="4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1"/>
        <v>1</v>
      </c>
      <c r="L42">
        <f t="shared" si="2"/>
        <v>26</v>
      </c>
      <c r="M42">
        <v>2</v>
      </c>
      <c r="N42">
        <f t="shared" si="0"/>
        <v>29</v>
      </c>
      <c r="O42">
        <f t="shared" si="3"/>
        <v>0</v>
      </c>
      <c r="P42" t="str">
        <f t="shared" si="4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1"/>
        <v>1</v>
      </c>
      <c r="L43">
        <f t="shared" si="2"/>
        <v>27</v>
      </c>
      <c r="M43">
        <v>2</v>
      </c>
      <c r="N43">
        <f t="shared" si="0"/>
        <v>29</v>
      </c>
      <c r="O43">
        <f t="shared" si="3"/>
        <v>0</v>
      </c>
      <c r="P43" t="str">
        <f t="shared" si="4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1"/>
        <v>1</v>
      </c>
      <c r="L44">
        <f t="shared" si="2"/>
        <v>28</v>
      </c>
      <c r="M44">
        <v>2</v>
      </c>
      <c r="N44">
        <f t="shared" si="0"/>
        <v>29</v>
      </c>
      <c r="O44">
        <f t="shared" si="3"/>
        <v>0</v>
      </c>
      <c r="P44" t="str">
        <f t="shared" si="4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1"/>
        <v>1</v>
      </c>
      <c r="L45">
        <f t="shared" si="2"/>
        <v>29</v>
      </c>
      <c r="M45">
        <v>2</v>
      </c>
      <c r="N45">
        <f t="shared" si="0"/>
        <v>29</v>
      </c>
      <c r="O45">
        <f t="shared" si="3"/>
        <v>0</v>
      </c>
      <c r="P45" t="str">
        <f t="shared" si="4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1"/>
        <v>1</v>
      </c>
      <c r="L46">
        <f t="shared" si="2"/>
        <v>30</v>
      </c>
      <c r="M46">
        <v>2</v>
      </c>
      <c r="N46">
        <f t="shared" si="0"/>
        <v>29</v>
      </c>
      <c r="O46">
        <f t="shared" si="3"/>
        <v>0</v>
      </c>
      <c r="P46" t="str">
        <f t="shared" si="4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1"/>
        <v>1</v>
      </c>
      <c r="L47">
        <f t="shared" si="2"/>
        <v>31</v>
      </c>
      <c r="M47">
        <v>2</v>
      </c>
      <c r="N47">
        <f t="shared" si="0"/>
        <v>29</v>
      </c>
      <c r="O47">
        <f t="shared" si="3"/>
        <v>0</v>
      </c>
      <c r="P47" t="str">
        <f t="shared" si="4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1"/>
        <v>1</v>
      </c>
      <c r="L48">
        <f t="shared" si="2"/>
        <v>32</v>
      </c>
      <c r="M48">
        <v>2</v>
      </c>
      <c r="N48">
        <f t="shared" si="0"/>
        <v>31</v>
      </c>
      <c r="O48">
        <f t="shared" si="3"/>
        <v>0</v>
      </c>
      <c r="P48" t="str">
        <f t="shared" si="4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1"/>
        <v>1</v>
      </c>
      <c r="L49">
        <f t="shared" si="2"/>
        <v>33</v>
      </c>
      <c r="M49">
        <v>2</v>
      </c>
      <c r="N49">
        <f t="shared" si="0"/>
        <v>31</v>
      </c>
      <c r="O49">
        <f t="shared" si="3"/>
        <v>0</v>
      </c>
      <c r="P49" t="str">
        <f t="shared" si="4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1"/>
        <v>1</v>
      </c>
      <c r="L50">
        <f t="shared" si="2"/>
        <v>34</v>
      </c>
      <c r="M50">
        <v>2</v>
      </c>
      <c r="N50">
        <f t="shared" si="0"/>
        <v>31</v>
      </c>
      <c r="O50">
        <f t="shared" si="3"/>
        <v>0</v>
      </c>
      <c r="P50" t="str">
        <f t="shared" si="4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1"/>
        <v>1</v>
      </c>
      <c r="L51">
        <f t="shared" si="2"/>
        <v>35</v>
      </c>
      <c r="M51">
        <v>2</v>
      </c>
      <c r="N51">
        <f t="shared" si="0"/>
        <v>31</v>
      </c>
      <c r="O51">
        <f t="shared" si="3"/>
        <v>0</v>
      </c>
      <c r="P51" t="str">
        <f t="shared" si="4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1"/>
        <v>1</v>
      </c>
      <c r="L52">
        <f t="shared" si="2"/>
        <v>36</v>
      </c>
      <c r="M52">
        <v>2</v>
      </c>
      <c r="N52">
        <f t="shared" si="0"/>
        <v>35</v>
      </c>
      <c r="O52">
        <f t="shared" si="3"/>
        <v>0</v>
      </c>
      <c r="P52" t="str">
        <f t="shared" si="4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1"/>
        <v>1</v>
      </c>
      <c r="L53">
        <f t="shared" si="2"/>
        <v>37</v>
      </c>
      <c r="M53">
        <v>2</v>
      </c>
      <c r="N53">
        <f t="shared" si="0"/>
        <v>35</v>
      </c>
      <c r="O53">
        <f t="shared" si="3"/>
        <v>0</v>
      </c>
      <c r="P53" t="str">
        <f t="shared" si="4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1"/>
        <v>1</v>
      </c>
      <c r="L54">
        <f t="shared" si="2"/>
        <v>38</v>
      </c>
      <c r="M54">
        <v>2</v>
      </c>
      <c r="N54">
        <f t="shared" si="0"/>
        <v>37</v>
      </c>
      <c r="O54">
        <f t="shared" si="3"/>
        <v>0</v>
      </c>
      <c r="P54" t="str">
        <f t="shared" si="4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1"/>
        <v>0</v>
      </c>
      <c r="L55">
        <f t="shared" si="2"/>
        <v>38</v>
      </c>
      <c r="M55">
        <v>2</v>
      </c>
      <c r="N55">
        <f t="shared" si="0"/>
        <v>37</v>
      </c>
      <c r="O55">
        <f t="shared" si="3"/>
        <v>0</v>
      </c>
      <c r="P55" t="str">
        <f t="shared" si="4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1"/>
        <v>1</v>
      </c>
      <c r="L56">
        <f t="shared" si="2"/>
        <v>39</v>
      </c>
      <c r="M56">
        <v>2</v>
      </c>
      <c r="N56">
        <f t="shared" si="0"/>
        <v>39</v>
      </c>
      <c r="O56">
        <f t="shared" si="3"/>
        <v>0</v>
      </c>
      <c r="P56" t="str">
        <f t="shared" si="4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1"/>
        <v>1</v>
      </c>
      <c r="L57">
        <f t="shared" si="2"/>
        <v>40</v>
      </c>
      <c r="M57">
        <v>2</v>
      </c>
      <c r="N57">
        <f t="shared" si="0"/>
        <v>41</v>
      </c>
      <c r="O57">
        <f t="shared" si="3"/>
        <v>0</v>
      </c>
      <c r="P57" t="str">
        <f t="shared" si="4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1"/>
        <v>1</v>
      </c>
      <c r="L58">
        <f t="shared" si="2"/>
        <v>41</v>
      </c>
      <c r="M58">
        <v>2</v>
      </c>
      <c r="N58">
        <f t="shared" si="0"/>
        <v>41</v>
      </c>
      <c r="O58">
        <f t="shared" si="3"/>
        <v>0</v>
      </c>
      <c r="P58" t="str">
        <f t="shared" si="4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1"/>
        <v>1</v>
      </c>
      <c r="L59">
        <f t="shared" ref="L59" si="5">L58+K59</f>
        <v>42</v>
      </c>
      <c r="M59">
        <v>2</v>
      </c>
      <c r="N59">
        <f t="shared" si="0"/>
        <v>45</v>
      </c>
      <c r="O59">
        <f t="shared" si="3"/>
        <v>0</v>
      </c>
      <c r="P59" t="str">
        <f t="shared" ref="P59" si="6">IF(L59&lt;N59,"未達成（"&amp;N59-L59&amp;"）",IF(L59=N59,"達成","前倒し（"&amp;L59-N59&amp;"）"))</f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1"/>
        <v>0</v>
      </c>
      <c r="L60">
        <f t="shared" ref="L60" si="7">L59+K60</f>
        <v>42</v>
      </c>
      <c r="M60">
        <v>2</v>
      </c>
      <c r="N60">
        <f t="shared" si="0"/>
        <v>45</v>
      </c>
      <c r="O60">
        <f t="shared" si="3"/>
        <v>0</v>
      </c>
      <c r="P60" t="str">
        <f t="shared" ref="P60" si="8">IF(L60&lt;N60,"未達成（"&amp;N60-L60&amp;"）",IF(L60=N60,"達成","前倒し（"&amp;L60-N60&amp;"）"))</f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1"/>
        <v>0</v>
      </c>
      <c r="L61">
        <f t="shared" ref="L61" si="9">L60+K61</f>
        <v>42</v>
      </c>
      <c r="M61">
        <v>2</v>
      </c>
      <c r="N61">
        <f t="shared" si="0"/>
        <v>45</v>
      </c>
      <c r="O61">
        <f t="shared" si="3"/>
        <v>0</v>
      </c>
      <c r="P61" t="str">
        <f t="shared" ref="P61" si="10">IF(L61&lt;N61,"未達成（"&amp;N61-L61&amp;"）",IF(L61=N61,"達成","前倒し（"&amp;L61-N61&amp;"）"))</f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1"/>
        <v>1</v>
      </c>
      <c r="L62">
        <f t="shared" ref="L62" si="11">L61+K62</f>
        <v>43</v>
      </c>
      <c r="M62">
        <v>2</v>
      </c>
      <c r="N62">
        <f t="shared" si="0"/>
        <v>45</v>
      </c>
      <c r="O62">
        <f t="shared" si="3"/>
        <v>0</v>
      </c>
      <c r="P62" t="str">
        <f t="shared" ref="P62" si="12">IF(L62&lt;N62,"未達成（"&amp;N62-L62&amp;"）",IF(L62=N62,"達成","前倒し（"&amp;L62-N62&amp;"）"))</f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182</v>
      </c>
      <c r="I63" t="s">
        <v>183</v>
      </c>
      <c r="J63">
        <v>0</v>
      </c>
      <c r="K63">
        <f t="shared" ref="K63" si="13">IF(A63&lt;DATEVALUE("2025/11/20"),1,IF(B63-SUM(D63:F63)&lt;&gt;60,0,MAX(2-INT(G63*24*60/10),0)))</f>
        <v>2</v>
      </c>
      <c r="L63">
        <f t="shared" ref="L63" si="14">L62+K63</f>
        <v>45</v>
      </c>
      <c r="M63">
        <v>2</v>
      </c>
      <c r="N63">
        <f t="shared" si="0"/>
        <v>45</v>
      </c>
      <c r="O63">
        <f t="shared" ref="O63" si="15">IF(A63&gt;DATEVALUE("2025/11/8"),1,0)-IF(A62&gt;DATEVALUE("2025/11/8"),1,0)</f>
        <v>0</v>
      </c>
      <c r="P63" t="str">
        <f t="shared" ref="P63" si="16">IF(L63&lt;N63,"未達成（"&amp;N63-L63&amp;"）",IF(L63=N63,"達成","前倒し（"&amp;L63-N63&amp;"）"))</f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184</v>
      </c>
      <c r="I64" t="s">
        <v>185</v>
      </c>
      <c r="J64">
        <v>0</v>
      </c>
      <c r="K64">
        <f t="shared" ref="K64" si="17">IF(A64&lt;DATEVALUE("2025/11/20"),1,IF(B64-SUM(D64:F64)&lt;&gt;60,0,MAX(2-INT(G64*24*60/10),0)))</f>
        <v>2</v>
      </c>
      <c r="L64">
        <f t="shared" ref="L64" si="18">L63+K64</f>
        <v>47</v>
      </c>
      <c r="M64">
        <v>2</v>
      </c>
      <c r="N64">
        <f t="shared" ref="N64" si="19">N63+M64*(INT(A64-6/24)-INT(A63-6/24))+O64</f>
        <v>47</v>
      </c>
      <c r="O64">
        <f t="shared" ref="O64" si="20">IF(A64&gt;DATEVALUE("2025/11/8"),1,0)-IF(A63&gt;DATEVALUE("2025/11/8"),1,0)</f>
        <v>0</v>
      </c>
      <c r="P64" t="str">
        <f t="shared" ref="P64" si="21">IF(L64&lt;N64,"未達成（"&amp;N64-L64&amp;"）",IF(L64=N64,"達成","前倒し（"&amp;L64-N64&amp;"）"))</f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186</v>
      </c>
      <c r="I65" t="s">
        <v>187</v>
      </c>
      <c r="J65">
        <v>0</v>
      </c>
      <c r="K65">
        <f t="shared" ref="K65" si="22">IF(A65&lt;DATEVALUE("2025/11/20"),1,IF(B65-SUM(D65:F65)&lt;&gt;60,0,MAX(2-INT(G65*24*60/10),0)))</f>
        <v>0</v>
      </c>
      <c r="L65">
        <f t="shared" ref="L65" si="23">L64+K65</f>
        <v>47</v>
      </c>
      <c r="M65">
        <v>2</v>
      </c>
      <c r="N65">
        <f t="shared" ref="N65" si="24">N64+M65*(INT(A65-6/24)-INT(A64-6/24))+O65</f>
        <v>49</v>
      </c>
      <c r="O65">
        <f t="shared" ref="O65" si="25">IF(A65&gt;DATEVALUE("2025/11/8"),1,0)-IF(A64&gt;DATEVALUE("2025/11/8"),1,0)</f>
        <v>0</v>
      </c>
      <c r="P65" t="str">
        <f t="shared" ref="P65" si="26">IF(L65&lt;N65,"未達成（"&amp;N65-L65&amp;"）",IF(L65=N65,"達成","前倒し（"&amp;L65-N65&amp;"）"))</f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188</v>
      </c>
      <c r="I66" t="s">
        <v>189</v>
      </c>
      <c r="J66">
        <v>0</v>
      </c>
      <c r="K66">
        <f t="shared" ref="K66" si="27">IF(A66&lt;DATEVALUE("2025/11/20"),1,IF(B66-SUM(D66:F66)&lt;&gt;60,0,MAX(2-INT(G66*24*60/10),0)))</f>
        <v>2</v>
      </c>
      <c r="L66">
        <f t="shared" ref="L66" si="28">L65+K66</f>
        <v>49</v>
      </c>
      <c r="M66">
        <v>2</v>
      </c>
      <c r="N66">
        <f t="shared" ref="N66" si="29">N65+M66*(INT(A66-6/24)-INT(A65-6/24))+O66</f>
        <v>49</v>
      </c>
      <c r="O66">
        <f t="shared" ref="O66" si="30">IF(A66&gt;DATEVALUE("2025/11/8"),1,0)-IF(A65&gt;DATEVALUE("2025/11/8"),1,0)</f>
        <v>0</v>
      </c>
      <c r="P66" t="str">
        <f t="shared" ref="P66" si="31">IF(L66&lt;N66,"未達成（"&amp;N66-L66&amp;"）",IF(L66=N66,"達成","前倒し（"&amp;L66-N66&amp;"）"))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4">
        <v>45987.610034722224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2025-11-26T05:52:58Z</dcterms:modified>
</cp:coreProperties>
</file>
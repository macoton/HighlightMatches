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332426E-28B9-4B66-82CF-1DD011C290A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8" i="4" l="1"/>
  <c r="O348" i="4"/>
  <c r="M348" i="4"/>
  <c r="N348" i="4" s="1"/>
  <c r="L348" i="4"/>
  <c r="K348" i="4"/>
  <c r="Q347" i="4"/>
  <c r="O347" i="4"/>
  <c r="M347" i="4"/>
  <c r="N347" i="4" s="1"/>
  <c r="K347" i="4"/>
  <c r="L347" i="4" s="1"/>
  <c r="P347" i="4" s="1"/>
  <c r="Q346" i="4"/>
  <c r="O346" i="4"/>
  <c r="M346" i="4"/>
  <c r="N346" i="4" s="1"/>
  <c r="K346" i="4"/>
  <c r="L346" i="4" s="1"/>
  <c r="P346" i="4" s="1"/>
  <c r="Q345" i="4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48" i="4" l="1"/>
  <c r="P342" i="4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<sst xmlns="http://schemas.openxmlformats.org/spreadsheetml/2006/main" count="773" uniqueCount="752">
  <si>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</si>
  <si>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</si>
  <si>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</si>
  <si>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</si>
  <si>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</si>
  <si>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</si>
  <si>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</si>
  <si>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</si>
  <si>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</si>
  <si>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</si>
  <si>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</si>
  <si>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</si>
  <si>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</si>
  <si>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</si>
  <si>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</si>
  <si>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</si>
  <si>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</si>
  <si>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</si>
  <si>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</si>
  <si>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</si>
  <si>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</si>
  <si>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</si>
  <si>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</si>
  <si>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</si>
  <si>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</si>
  <si>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</si>
  <si>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</si>
  <si>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</si>
  <si>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</si>
  <si>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</si>
  <si>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</si>
  <si>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</si>
  <si>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</si>
  <si>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</si>
  <si>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</si>
  <si>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</si>
  <si>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</si>
  <si>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</si>
  <si>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</si>
  <si>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</si>
  <si>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</si>
  <si>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</si>
  <si>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</si>
  <si>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</si>
  <si>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</si>
  <si>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</si>
  <si>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</si>
  <si>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</si>
  <si>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</si>
  <si>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</si>
  <si>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</si>
  <si>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</si>
  <si>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</si>
  <si>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</si>
  <si>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</si>
  <si>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</si>
  <si>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</si>
  <si>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</si>
  <si>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</si>
  <si>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</si>
  <si>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</si>
  <si>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</si>
  <si>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</si>
  <si>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</si>
  <si>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</si>
  <si>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</si>
  <si>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</si>
  <si>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</si>
  <si>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</si>
  <si>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</si>
  <si>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</si>
  <si>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</si>
  <si>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</si>
  <si>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</si>
  <si>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</si>
  <si>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</si>
  <si>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</si>
  <si>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</si>
  <si>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</si>
  <si>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</si>
  <si>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</si>
  <si>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</si>
  <si>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</si>
  <si>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</si>
  <si>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</si>
  <si>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</si>
  <si>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</si>
  <si>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</si>
  <si>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</si>
  <si>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</si>
  <si>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</si>
  <si>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</si>
  <si>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</si>
  <si>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</si>
  <si>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</si>
  <si>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</si>
  <si>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</si>
  <si>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</si>
  <si>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</si>
  <si>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</si>
  <si>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</si>
  <si>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</si>
  <si>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</si>
  <si>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</si>
  <si>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</si>
  <si>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</si>
  <si>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</si>
  <si>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</si>
  <si>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</si>
  <si>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</si>
  <si>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</si>
  <si>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</si>
  <si>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</si>
  <si>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</si>
  <si>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</si>
  <si>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</si>
  <si>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</si>
  <si>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</si>
  <si>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</si>
  <si>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</si>
  <si>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</si>
  <si>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</si>
  <si>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</si>
  <si>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</si>
  <si>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</si>
  <si>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</si>
  <si>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</si>
  <si>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</si>
  <si>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</si>
  <si>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</si>
  <si>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</si>
  <si>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</si>
  <si>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</si>
  <si>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</si>
  <si>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</si>
  <si>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</si>
  <si>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</si>
  <si>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</si>
  <si>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</si>
  <si>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</si>
  <si>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</si>
  <si>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</si>
  <si>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</si>
  <si>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</si>
  <si>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</si>
  <si>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</si>
  <si>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</si>
  <si>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</si>
  <si>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</si>
  <si>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</si>
  <si>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</si>
  <si>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</si>
  <si>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</si>
  <si>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</si>
  <si>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</si>
  <si>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</si>
  <si>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</si>
  <si>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</si>
  <si>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</si>
  <si>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</si>
  <si>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</si>
  <si>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</si>
  <si>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</si>
  <si>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</si>
  <si>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</si>
  <si>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</si>
  <si>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</si>
  <si>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</si>
  <si>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</si>
  <si>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</si>
  <si>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</si>
  <si>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</si>
  <si>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</si>
  <si>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</si>
  <si>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</si>
  <si>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</si>
  <si>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</si>
  <si>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</si>
  <si>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</si>
  <si>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</si>
  <si>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</si>
  <si>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</si>
  <si>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</si>
  <si>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</si>
  <si>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</si>
  <si>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</si>
  <si>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</si>
  <si>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</si>
  <si>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</si>
  <si>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</si>
  <si>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</si>
  <si>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</si>
  <si>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</si>
  <si>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</si>
  <si>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</si>
  <si>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</si>
  <si>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</si>
  <si>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</si>
  <si>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</si>
  <si>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</si>
  <si>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</si>
  <si>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</si>
  <si>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</si>
  <si>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</si>
  <si>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</si>
  <si>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</si>
  <si>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</si>
  <si>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</si>
  <si>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</si>
  <si>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</si>
  <si>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</si>
  <si>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</si>
  <si>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</si>
  <si>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</si>
  <si>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</si>
  <si>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</si>
  <si>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</si>
  <si>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</si>
  <si>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</si>
  <si>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</si>
  <si>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</si>
  <si>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</si>
  <si>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</si>
  <si>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</si>
  <si>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</si>
  <si>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</si>
  <si>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</si>
  <si>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</si>
  <si>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</si>
  <si>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</si>
  <si>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</si>
  <si>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</si>
  <si>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</si>
  <si>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</si>
  <si>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</si>
  <si>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</si>
  <si>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</si>
  <si>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</si>
  <si>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</si>
  <si>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</si>
  <si>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</si>
  <si>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</si>
  <si>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</si>
  <si>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</si>
  <si>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</si>
  <si>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</si>
  <si>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</si>
  <si>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</si>
  <si>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</si>
  <si>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</si>
  <si>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</si>
  <si>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</si>
  <si>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</si>
  <si>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</si>
  <si>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</si>
  <si>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</si>
  <si>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</si>
  <si>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</si>
  <si>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</si>
  <si>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</si>
  <si>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</si>
  <si>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</si>
  <si>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</si>
  <si>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</si>
  <si>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</si>
  <si>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</si>
  <si>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</si>
  <si>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</si>
  <si>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</si>
  <si>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</si>
  <si>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</si>
  <si>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</si>
  <si>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</si>
  <si>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</si>
  <si>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</si>
  <si>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</si>
  <si>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</si>
  <si>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</si>
  <si>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</si>
  <si>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</si>
  <si>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</si>
  <si>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</si>
  <si>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</si>
  <si>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</si>
  <si>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</si>
  <si>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</si>
  <si>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</si>
  <si>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</si>
  <si>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</si>
  <si>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</si>
  <si>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</si>
  <si>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</si>
  <si>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</si>
  <si>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</si>
  <si>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</si>
  <si>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</si>
  <si>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</si>
  <si>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</si>
  <si>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</si>
  <si>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</si>
  <si>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</si>
  <si>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</si>
  <si>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</si>
  <si>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</si>
  <si>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</si>
  <si>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</si>
  <si>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</si>
  <si>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</si>
  <si>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</si>
  <si>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</si>
  <si>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</si>
  <si>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</si>
  <si>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</si>
  <si>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</si>
  <si>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</si>
  <si>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</si>
  <si>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</si>
  <si>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</si>
  <si>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</si>
  <si>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</si>
  <si>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</si>
  <si>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</si>
  <si>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</si>
  <si>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</si>
  <si>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</si>
  <si>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</si>
  <si>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</si>
  <si>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</si>
  <si>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</si>
  <si>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</si>
  <si>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</si>
  <si>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</si>
  <si>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</si>
  <si>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</si>
  <si>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</si>
  <si>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</si>
  <si>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</si>
  <si>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</si>
  <si>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</si>
  <si>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</si>
  <si>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</si>
  <si>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</si>
  <si>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</si>
  <si>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</si>
  <si>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</si>
  <si>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</si>
  <si>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</si>
  <si>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</si>
  <si>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</si>
  <si>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</si>
  <si>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</si>
  <si>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</si>
  <si>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</si>
  <si>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</si>
  <si>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</si>
  <si>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</si>
  <si>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</si>
  <si>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</si>
  <si>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</si>
  <si>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</si>
  <si>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</si>
  <si>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</si>
  <si>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</si>
  <si>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</si>
  <si>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</si>
  <si>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</si>
  <si>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</si>
  <si>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</si>
  <si>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</si>
  <si>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</si>
  <si>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</si>
  <si>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</si>
  <si>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</si>
  <si>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</si>
  <si>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</si>
  <si>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</si>
  <si>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</si>
  <si>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</si>
  <si>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</si>
  <si>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</si>
  <si>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</si>
  <si>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</si>
  <si>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</si>
  <si>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</si>
  <si>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</si>
  <si>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</si>
  <si>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</si>
  <si>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</si>
  <si>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</si>
  <si>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</si>
  <si>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</si>
  <si>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</si>
  <si>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</si>
  <si>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</si>
  <si>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</si>
  <si>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</si>
  <si>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</si>
  <si>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</si>
  <si>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</si>
  <si>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</si>
  <si>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</si>
  <si>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</si>
  <si>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</si>
  <si>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</si>
  <si>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</si>
  <si>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</si>
  <si>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</si>
  <si>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</si>
  <si>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</si>
  <si>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</si>
  <si>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</si>
  <si>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</si>
  <si>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</si>
  <si>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</si>
  <si>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</si>
  <si>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</si>
  <si>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</si>
  <si>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</si>
  <si>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</si>
  <si>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</si>
  <si>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</si>
  <si>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</si>
  <si>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</si>
  <si>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</si>
  <si>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</si>
  <si>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</si>
  <si>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</si>
  <si>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</si>
  <si>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</si>
  <si>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</si>
  <si>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</si>
  <si>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</si>
  <si>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</si>
  <si>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</si>
  <si>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</si>
  <si>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</si>
  <si>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</si>
  <si>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</si>
  <si>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</si>
  <si>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</si>
  <si>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</si>
  <si>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</si>
  <si>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</si>
  <si>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</si>
  <si>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</si>
  <si>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</si>
  <si>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</si>
  <si>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</si>
  <si>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</si>
  <si>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</si>
  <si>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</si>
  <si>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</si>
  <si>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</si>
  <si>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</si>
  <si>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</si>
  <si>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</si>
  <si>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</si>
  <si>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</si>
  <si>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</si>
  <si>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</si>
  <si>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</si>
  <si>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</si>
  <si>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</si>
  <si>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</si>
  <si>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</si>
  <si>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</si>
  <si>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</si>
  <si>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</si>
  <si>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</si>
  <si>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</si>
  <si>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</si>
  <si>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</si>
  <si>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</si>
  <si>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</si>
  <si>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</si>
  <si>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</si>
  <si>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</si>
  <si>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</si>
  <si>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</si>
  <si>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</si>
  <si>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</si>
  <si>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</si>
  <si>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</si>
  <si>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</si>
  <si>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</si>
  <si>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</si>
  <si>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</si>
  <si>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</si>
  <si>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</si>
  <si>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</si>
  <si>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</si>
  <si>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</si>
  <si>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</si>
  <si>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</si>
  <si>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</si>
  <si>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</si>
  <si>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</si>
  <si>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</si>
  <si>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</si>
  <si>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</si>
  <si>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</si>
  <si>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</si>
  <si>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</si>
  <si>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</si>
  <si>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</si>
  <si>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</si>
  <si>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</si>
  <si>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</si>
  <si>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</si>
  <si>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</si>
  <si>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</si>
  <si>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</si>
  <si>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</si>
  <si>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</si>
  <si>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</si>
  <si>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</si>
  <si>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</si>
  <si>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</si>
  <si>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</si>
  <si>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</si>
  <si>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</si>
  <si>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</si>
  <si>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</si>
  <si>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</si>
  <si>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</si>
  <si>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</si>
  <si>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</si>
  <si>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</si>
  <si>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</si>
  <si>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</si>
  <si>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</si>
  <si>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</si>
  <si>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</si>
  <si>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</si>
  <si>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</si>
  <si>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</si>
  <si>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</si>
  <si>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</si>
  <si>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</si>
  <si>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</si>
  <si>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</si>
  <si>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</si>
  <si>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</si>
  <si>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</si>
  <si>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</si>
  <si>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</si>
  <si>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</si>
  <si>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</si>
  <si>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</si>
  <si>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</si>
  <si>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</si>
  <si>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</si>
  <si>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</si>
  <si>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</si>
  <si>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</si>
  <si>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</si>
  <si>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</si>
  <si>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</si>
  <si>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</si>
  <si>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</si>
  <si>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</si>
  <si>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</si>
  <si>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</si>
  <si>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</si>
  <si>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</si>
  <si>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</si>
  <si>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</si>
  <si>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</si>
  <si>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</si>
  <si>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</si>
  <si>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</si>
  <si>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</si>
  <si>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</si>
  <si>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</si>
  <si>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</si>
  <si>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</si>
  <si>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</si>
  <si>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</si>
  <si>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</si>
  <si>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</si>
  <si>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</si>
  <si>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</si>
  <si>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</si>
  <si>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</si>
  <si>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</si>
  <si>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</si>
  <si>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</si>
  <si>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</si>
  <si>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</si>
  <si>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</si>
  <si>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</si>
  <si>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</si>
  <si>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</si>
  <si>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</si>
  <si>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</si>
  <si>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</si>
  <si>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</si>
  <si>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</si>
  <si>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</si>
  <si>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</si>
  <si>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</si>
  <si>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</si>
  <si>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</si>
  <si>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</si>
  <si>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</si>
  <si>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</si>
  <si>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</si>
  <si>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</si>
  <si>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</si>
  <si>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</si>
  <si>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</si>
  <si>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</si>
  <si>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</si>
  <si>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</si>
  <si>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</si>
  <si>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</si>
  <si>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</si>
  <si>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</si>
  <si>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</si>
  <si>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</si>
  <si>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</si>
  <si>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</si>
  <si>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</si>
  <si>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</si>
  <si>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</si>
  <si>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</si>
  <si>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</si>
  <si>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</si>
  <si>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</si>
  <si>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</si>
  <si>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</si>
  <si>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</si>
  <si>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</si>
  <si>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</si>
  <si>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</si>
  <si>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</si>
  <si>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</si>
  <si>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</si>
  <si>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</si>
  <si>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</si>
  <si>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</si>
  <si>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</si>
  <si>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</si>
  <si>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</si>
  <si>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</si>
  <si>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</si>
  <si>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</si>
  <si>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</si>
  <si>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</si>
  <si>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</si>
  <si>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</si>
  <si>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</si>
  <si>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</si>
  <si>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</si>
  <si>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</si>
  <si>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</si>
  <si>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</si>
  <si>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</si>
  <si>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</si>
  <si>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</si>
  <si>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</si>
  <si>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</si>
  <si>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</si>
  <si>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</si>
  <si>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</si>
  <si>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</si>
  <si>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</si>
  <si>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</si>
  <si>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</si>
  <si>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</si>
  <si>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</si>
  <si>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</si>
  <si>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</si>
  <si>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</si>
  <si>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</si>
  <si>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</si>
  <si>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</si>
  <si>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</si>
  <si>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</si>
  <si>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</si>
  <si>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</si>
  <si>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</si>
  <si>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</si>
  <si>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</si>
  <si>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</si>
  <si>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</si>
  <si>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</si>
  <si>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</si>
  <si>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</si>
  <si>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</si>
  <si>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</si>
  <si>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</si>
  <si>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</si>
  <si>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</si>
  <si>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</si>
  <si>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</si>
  <si>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</si>
  <si>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</si>
  <si>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</si>
  <si>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</si>
  <si>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</si>
  <si>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</si>
  <si>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</si>
  <si>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</si>
  <si>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</si>
  <si>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</si>
  <si>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</si>
  <si>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</si>
  <si>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</si>
  <si>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</si>
  <si>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</si>
  <si>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</si>
  <si>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</si>
  <si>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</si>
  <si>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</si>
  <si>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</si>
  <si>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</si>
  <si>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</si>
  <si>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</si>
  <si>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</si>
  <si>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</si>
  <si>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</si>
  <si>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</si>
  <si>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</si>
  <si>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</si>
  <si>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</si>
  <si>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</si>
  <si>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</si>
  <si>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</si>
  <si>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</si>
  <si>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</si>
  <si>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</si>
  <si>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</si>
  <si>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</si>
  <si>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</si>
  <si>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</si>
  <si>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</si>
  <si>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</si>
  <si>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</si>
  <si>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</si>
  <si>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</si>
  <si>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</si>
  <si>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</si>
  <si>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</si>
  <si>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</si>
  <si>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</si>
  <si>
    <t>(9,5,6,*1,7,2,2,*1,4,7,3,4),(2,2,7,6,*7,1,8,8,*8,4,1,4),(4,*8,*8,*4,3,*5,7,3,8,*6,1,5),(2,2,7,6,3,9,*9,5,6,6,*4,9),(5,5,*5,*4,*4,*3,*1,*7,6,8,5,*6),(1,4,2,2,*9,*5,*7,*7,*1,6,*8,1),(*8,*3,*9,*4,*5,*5,*8,*5,*4,*6,*2,5),(*9,3,*3,5,*3,*5,*8,*2,*5,7,*5,1),(*4,5,*2,*3,*3,*6,9,*2,6,8,*9,5),(*9,7,*7,3,1,6,*1,6,1,7,*5,4),(3,*9,8,5,4,*8,9,6,2,5,*1,3),(2,9,5,6,*4,8,1,7,2,7,6,3)</t>
  </si>
  <si>
    <t>38,3582,48125,6179571,64681,4585549,9577,949,36,825951,74,488,13445,379,32</t>
  </si>
  <si>
    <t>(3,*6,7,3,2,3,2,7,1,*7,8,6),(7,*2,*6,*4,*5,*9,2,*6,5,6,*8,7),(7,*1,1,7,9,*3,9,*4,6,4,8,*7),(5,*9,8,4,5,*5,1,*1,1,1,9,1),(*4,*8,6,4,4,*2,5,*1,*8,*6,*8,*2),(*9,*9,8,2,7,*8,*5,*1,9,8,8,4),(*9,*9,1,5,6,*1,9,*5,1,8,*3,5),(*9,2,*7,*9,7,*7,6,5,*9,*8,*3,*3),(*6,6,*8,*2,4,8,9,7,*6,*7,9,2),(*1,*1,6,8,*9,4,9,*7,1,6,*8,6),(*9,3,5,2,7,*5,*8,1,*4,4,8,3),(3,9,8,2,3,*6,*2,7,*2,9,8,9)</t>
  </si>
  <si>
    <t>24,33,641,72952,6219899,8795,15,546,28681,11,7182539,687683,69994,787,9819</t>
  </si>
  <si>
    <t>(9,*5,9,*3,*8,*3,*5,*5,4,5,9,*1),(5,*7,3,5,9,3,8,6,4,8,*7,8),(6,*5,*9,*6,*3,*9,*7,*8,*1,*5,*4,5),(8,*5,5,9,3,*9,1,2,*3,2,*6,9),(1,4,*5,6,1,8,*2,*6,9,4,*5,7),(3,2,7,*5,6,4,4,7,*9,*7,*6,8),(9,4,*7,7,*5,6,5,2,*4,8,*1,2),(5,*6,7,5,6,*2,*5,*2,*5,*7,*7,9),(4,8,8,5,*8,*2,*3,*8,*2,*1,*4,*5),(4,1,7,9,3,*3,3,3,*4,8,1,*4),(1,5,8,2,7,*1,4,6,5,7,6,*5),(7,6,1,7,6,7,6,4,2,1,6,*6)</t>
  </si>
  <si>
    <t>49,9639781,55383,75252,575,6545,17536,823821,24,576,5555,13,4656174,679,92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</si>
</sst>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データ!$A$3:$A$348</c:f>
              <c:numCache>
                <c:formatCode>m/d/yyyy\ h:mm</c:formatCode>
                <c:ptCount val="3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</c:numCache>
            </c:numRef>
          </c:xVal>
          <c:yVal>
            <c:numRef>
              <c:f>データ!$B$3:$B$348</c:f>
              <c:numCache>
                <c:formatCode>General</c:formatCode>
                <c:ptCount val="34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F-41CA-8902-1D288812620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C2F-41CA-8902-1D2888126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9248"/>
        <c:axId val="1789756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データ!$A$3:$A$348</c:f>
              <c:numCache>
                <c:formatCode>m/d/yyyy\ h:mm</c:formatCode>
                <c:ptCount val="34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</c:numCache>
            </c:numRef>
          </c:xVal>
          <c:yVal>
            <c:numRef>
              <c:f>データ!$Q$3:$Q$348</c:f>
              <c:numCache>
                <c:formatCode>[h]:mm</c:formatCode>
                <c:ptCount val="34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  <c:pt idx="343" formatCode="General">
                  <c:v>7.708333338086959E-3</c:v>
                </c:pt>
                <c:pt idx="344" formatCode="General">
                  <c:v>5.6018518516793847E-3</c:v>
                </c:pt>
                <c:pt idx="345" formatCode="General">
                  <c:v>8.449074077361729E-3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2F-41CA-8902-1D2888126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3088"/>
        <c:axId val="17880288"/>
      </c:scatterChart>
      <c:valAx>
        <c:axId val="1786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97568"/>
        <c:crosses val="autoZero"/>
        <c:crossBetween val="midCat"/>
      </c:valAx>
      <c:valAx>
        <c:axId val="178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69248"/>
        <c:crosses val="autoZero"/>
        <c:crossBetween val="midCat"/>
      </c:valAx>
      <c:valAx>
        <c:axId val="1788028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73088"/>
        <c:crosses val="max"/>
        <c:crossBetween val="midCat"/>
      </c:valAx>
      <c:valAx>
        <c:axId val="178730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8028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2507" name="Match0">
          <a:extLst>
            <a:ext uri="{FF2B5EF4-FFF2-40B4-BE49-F238E27FC236}">
              <a16:creationId xmlns:a16="http://schemas.microsoft.com/office/drawing/2014/main" id="{C81635E2-B0F7-420D-1968-10E823D4EEB6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2508" name="Match1">
          <a:extLst>
            <a:ext uri="{FF2B5EF4-FFF2-40B4-BE49-F238E27FC236}">
              <a16:creationId xmlns:a16="http://schemas.microsoft.com/office/drawing/2014/main" id="{0BDBC541-E470-30FB-16F6-B4ABECB25537}"/>
            </a:ext>
          </a:extLst>
        </xdr:cNvPr>
        <xdr:cNvCxnSpPr/>
      </xdr:nvCxnSpPr>
      <xdr:spPr>
        <a:xfrm flipH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4</xdr:row>
      <xdr:rowOff>203994</xdr:rowOff>
    </xdr:to>
    <xdr:cxnSp macro="">
      <xdr:nvCxnSpPr>
        <xdr:cNvPr id="2509" name="Match2">
          <a:extLst>
            <a:ext uri="{FF2B5EF4-FFF2-40B4-BE49-F238E27FC236}">
              <a16:creationId xmlns:a16="http://schemas.microsoft.com/office/drawing/2014/main" id="{7B6656A1-23DB-D9D0-9D44-9E8108F243AE}"/>
            </a:ext>
          </a:extLst>
        </xdr:cNvPr>
        <xdr:cNvCxnSpPr/>
      </xdr:nvCxnSpPr>
      <xdr:spPr>
        <a:xfrm flipH="1">
          <a:off x="36282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2510" name="Match3">
          <a:extLst>
            <a:ext uri="{FF2B5EF4-FFF2-40B4-BE49-F238E27FC236}">
              <a16:creationId xmlns:a16="http://schemas.microsoft.com/office/drawing/2014/main" id="{1356E78A-CCB9-1BE8-61D2-D5F5C6DD7DC0}"/>
            </a:ext>
          </a:extLst>
        </xdr:cNvPr>
        <xdr:cNvCxnSpPr/>
      </xdr:nvCxnSpPr>
      <xdr:spPr>
        <a:xfrm flipH="1"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2511" name="Match4">
          <a:extLst>
            <a:ext uri="{FF2B5EF4-FFF2-40B4-BE49-F238E27FC236}">
              <a16:creationId xmlns:a16="http://schemas.microsoft.com/office/drawing/2014/main" id="{58A2637C-D9AC-01FC-EA03-D648093994C3}"/>
            </a:ext>
          </a:extLst>
        </xdr:cNvPr>
        <xdr:cNvCxnSpPr/>
      </xdr:nvCxnSpPr>
      <xdr:spPr>
        <a:xfrm flipV="1">
          <a:off x="36028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2512" name="Match5">
          <a:extLst>
            <a:ext uri="{FF2B5EF4-FFF2-40B4-BE49-F238E27FC236}">
              <a16:creationId xmlns:a16="http://schemas.microsoft.com/office/drawing/2014/main" id="{F8E27B61-49DA-4A1B-D112-D1A3FEB54A6E}"/>
            </a:ext>
          </a:extLst>
        </xdr:cNvPr>
        <xdr:cNvCxnSpPr/>
      </xdr:nvCxnSpPr>
      <xdr:spPr>
        <a:xfrm flipV="1"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2513" name="Match6">
          <a:extLst>
            <a:ext uri="{FF2B5EF4-FFF2-40B4-BE49-F238E27FC236}">
              <a16:creationId xmlns:a16="http://schemas.microsoft.com/office/drawing/2014/main" id="{442F56AA-09B2-8ECF-F06A-A86C50AB9B2D}"/>
            </a:ext>
          </a:extLst>
        </xdr:cNvPr>
        <xdr:cNvCxnSpPr/>
      </xdr:nvCxnSpPr>
      <xdr:spPr>
        <a:xfrm>
          <a:off x="1059656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2514" name="Match7">
          <a:extLst>
            <a:ext uri="{FF2B5EF4-FFF2-40B4-BE49-F238E27FC236}">
              <a16:creationId xmlns:a16="http://schemas.microsoft.com/office/drawing/2014/main" id="{0EFAF9CC-BB56-23A7-A8C8-3DDCAF7FAB7C}"/>
            </a:ext>
          </a:extLst>
        </xdr:cNvPr>
        <xdr:cNvCxnSpPr/>
      </xdr:nvCxnSpPr>
      <xdr:spPr>
        <a:xfrm flipH="1">
          <a:off x="1483519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2515" name="Match8">
          <a:extLst>
            <a:ext uri="{FF2B5EF4-FFF2-40B4-BE49-F238E27FC236}">
              <a16:creationId xmlns:a16="http://schemas.microsoft.com/office/drawing/2014/main" id="{12F80518-83ED-14FC-4382-D57A3C8C96AA}"/>
            </a:ext>
          </a:extLst>
        </xdr:cNvPr>
        <xdr:cNvCxnSpPr/>
      </xdr:nvCxnSpPr>
      <xdr:spPr>
        <a:xfrm flipH="1">
          <a:off x="2331244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2516" name="Match9">
          <a:extLst>
            <a:ext uri="{FF2B5EF4-FFF2-40B4-BE49-F238E27FC236}">
              <a16:creationId xmlns:a16="http://schemas.microsoft.com/office/drawing/2014/main" id="{6D24E840-1FDB-E447-6251-36D739E9FE83}"/>
            </a:ext>
          </a:extLst>
        </xdr:cNvPr>
        <xdr:cNvCxnSpPr/>
      </xdr:nvCxnSpPr>
      <xdr:spPr>
        <a:xfrm>
          <a:off x="63579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2517" name="Match10">
          <a:extLst>
            <a:ext uri="{FF2B5EF4-FFF2-40B4-BE49-F238E27FC236}">
              <a16:creationId xmlns:a16="http://schemas.microsoft.com/office/drawing/2014/main" id="{FFCFC41A-E279-8280-71E5-84EED4139E9C}"/>
            </a:ext>
          </a:extLst>
        </xdr:cNvPr>
        <xdr:cNvCxnSpPr/>
      </xdr:nvCxnSpPr>
      <xdr:spPr>
        <a:xfrm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2518" name="Match11">
          <a:extLst>
            <a:ext uri="{FF2B5EF4-FFF2-40B4-BE49-F238E27FC236}">
              <a16:creationId xmlns:a16="http://schemas.microsoft.com/office/drawing/2014/main" id="{EBFD1891-DA22-3B93-95FE-6F6DB2972D88}"/>
            </a:ext>
          </a:extLst>
        </xdr:cNvPr>
        <xdr:cNvCxnSpPr/>
      </xdr:nvCxnSpPr>
      <xdr:spPr>
        <a:xfrm flipV="1">
          <a:off x="63579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2519" name="Match12">
          <a:extLst>
            <a:ext uri="{FF2B5EF4-FFF2-40B4-BE49-F238E27FC236}">
              <a16:creationId xmlns:a16="http://schemas.microsoft.com/office/drawing/2014/main" id="{DB67E9A3-3683-7FB1-6947-2372F7AF418B}"/>
            </a:ext>
          </a:extLst>
        </xdr:cNvPr>
        <xdr:cNvCxnSpPr/>
      </xdr:nvCxnSpPr>
      <xdr:spPr>
        <a:xfrm flipH="1" flipV="1"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2520" name="Match13">
          <a:extLst>
            <a:ext uri="{FF2B5EF4-FFF2-40B4-BE49-F238E27FC236}">
              <a16:creationId xmlns:a16="http://schemas.microsoft.com/office/drawing/2014/main" id="{5154D3CE-4F53-5E91-D417-25F165566CB1}"/>
            </a:ext>
          </a:extLst>
        </xdr:cNvPr>
        <xdr:cNvCxnSpPr/>
      </xdr:nvCxnSpPr>
      <xdr:spPr>
        <a:xfrm>
          <a:off x="1483519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2521" name="Match14">
          <a:extLst>
            <a:ext uri="{FF2B5EF4-FFF2-40B4-BE49-F238E27FC236}">
              <a16:creationId xmlns:a16="http://schemas.microsoft.com/office/drawing/2014/main" id="{4944203D-72B8-57D3-D5DA-79A27C02E1BF}"/>
            </a:ext>
          </a:extLst>
        </xdr:cNvPr>
        <xdr:cNvCxnSpPr/>
      </xdr:nvCxnSpPr>
      <xdr:spPr>
        <a:xfrm flipV="1">
          <a:off x="1483519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2522" name="Match15">
          <a:extLst>
            <a:ext uri="{FF2B5EF4-FFF2-40B4-BE49-F238E27FC236}">
              <a16:creationId xmlns:a16="http://schemas.microsoft.com/office/drawing/2014/main" id="{BE14DB7A-A6EB-D379-8D1E-D8B81038EFDB}"/>
            </a:ext>
          </a:extLst>
        </xdr:cNvPr>
        <xdr:cNvCxnSpPr/>
      </xdr:nvCxnSpPr>
      <xdr:spPr>
        <a:xfrm flipH="1">
          <a:off x="6357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2523" name="Match16">
          <a:extLst>
            <a:ext uri="{FF2B5EF4-FFF2-40B4-BE49-F238E27FC236}">
              <a16:creationId xmlns:a16="http://schemas.microsoft.com/office/drawing/2014/main" id="{44F18F86-5EA5-7DAF-D662-502C8188F796}"/>
            </a:ext>
          </a:extLst>
        </xdr:cNvPr>
        <xdr:cNvCxnSpPr/>
      </xdr:nvCxnSpPr>
      <xdr:spPr>
        <a:xfrm flipV="1">
          <a:off x="6357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2524" name="Match17">
          <a:extLst>
            <a:ext uri="{FF2B5EF4-FFF2-40B4-BE49-F238E27FC236}">
              <a16:creationId xmlns:a16="http://schemas.microsoft.com/office/drawing/2014/main" id="{23A9A8D6-235B-A38E-CD71-DF96E73E4249}"/>
            </a:ext>
          </a:extLst>
        </xdr:cNvPr>
        <xdr:cNvCxnSpPr/>
      </xdr:nvCxnSpPr>
      <xdr:spPr>
        <a:xfrm flipH="1" flipV="1">
          <a:off x="3178969" y="17859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2525" name="Match18">
          <a:extLst>
            <a:ext uri="{FF2B5EF4-FFF2-40B4-BE49-F238E27FC236}">
              <a16:creationId xmlns:a16="http://schemas.microsoft.com/office/drawing/2014/main" id="{F6A374A7-F995-B8A7-6D5F-07011E24437E}"/>
            </a:ext>
          </a:extLst>
        </xdr:cNvPr>
        <xdr:cNvCxnSpPr/>
      </xdr:nvCxnSpPr>
      <xdr:spPr>
        <a:xfrm flipV="1">
          <a:off x="4874419" y="30360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2526" name="Match19">
          <a:extLst>
            <a:ext uri="{FF2B5EF4-FFF2-40B4-BE49-F238E27FC236}">
              <a16:creationId xmlns:a16="http://schemas.microsoft.com/office/drawing/2014/main" id="{AB7CDD11-7C6A-880A-8ED1-BDC72F449EAD}"/>
            </a:ext>
          </a:extLst>
        </xdr:cNvPr>
        <xdr:cNvCxnSpPr/>
      </xdr:nvCxnSpPr>
      <xdr:spPr>
        <a:xfrm flipH="1">
          <a:off x="3178969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2527" name="Match20">
          <a:extLst>
            <a:ext uri="{FF2B5EF4-FFF2-40B4-BE49-F238E27FC236}">
              <a16:creationId xmlns:a16="http://schemas.microsoft.com/office/drawing/2014/main" id="{31449F28-7057-C0B2-7699-10F8958A9B6E}"/>
            </a:ext>
          </a:extLst>
        </xdr:cNvPr>
        <xdr:cNvCxnSpPr/>
      </xdr:nvCxnSpPr>
      <xdr:spPr>
        <a:xfrm>
          <a:off x="1907381" y="303609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2528" name="Match21">
          <a:extLst>
            <a:ext uri="{FF2B5EF4-FFF2-40B4-BE49-F238E27FC236}">
              <a16:creationId xmlns:a16="http://schemas.microsoft.com/office/drawing/2014/main" id="{A9D475FE-6BFB-8A8C-BDBF-D45C5C907EAD}"/>
            </a:ext>
          </a:extLst>
        </xdr:cNvPr>
        <xdr:cNvCxnSpPr/>
      </xdr:nvCxnSpPr>
      <xdr:spPr>
        <a:xfrm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2529" name="Match22">
          <a:extLst>
            <a:ext uri="{FF2B5EF4-FFF2-40B4-BE49-F238E27FC236}">
              <a16:creationId xmlns:a16="http://schemas.microsoft.com/office/drawing/2014/main" id="{E876EF71-2BC8-82F2-2025-60E3160CE21E}"/>
            </a:ext>
          </a:extLst>
        </xdr:cNvPr>
        <xdr:cNvCxnSpPr/>
      </xdr:nvCxnSpPr>
      <xdr:spPr>
        <a:xfrm flipV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2530" name="Match23">
          <a:extLst>
            <a:ext uri="{FF2B5EF4-FFF2-40B4-BE49-F238E27FC236}">
              <a16:creationId xmlns:a16="http://schemas.microsoft.com/office/drawing/2014/main" id="{FEC1181D-73A5-D252-9F5A-7CE87008676E}"/>
            </a:ext>
          </a:extLst>
        </xdr:cNvPr>
        <xdr:cNvCxnSpPr/>
      </xdr:nvCxnSpPr>
      <xdr:spPr>
        <a:xfrm>
          <a:off x="275510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2531" name="Match24">
          <a:extLst>
            <a:ext uri="{FF2B5EF4-FFF2-40B4-BE49-F238E27FC236}">
              <a16:creationId xmlns:a16="http://schemas.microsoft.com/office/drawing/2014/main" id="{E5F11002-ABB4-4F5C-D5ED-7942141E326C}"/>
            </a:ext>
          </a:extLst>
        </xdr:cNvPr>
        <xdr:cNvCxnSpPr/>
      </xdr:nvCxnSpPr>
      <xdr:spPr>
        <a:xfrm flipH="1">
          <a:off x="235664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2532" name="Match25">
          <a:extLst>
            <a:ext uri="{FF2B5EF4-FFF2-40B4-BE49-F238E27FC236}">
              <a16:creationId xmlns:a16="http://schemas.microsoft.com/office/drawing/2014/main" id="{BB04A55B-FA0B-6BD4-5D03-6566EEC62B47}"/>
            </a:ext>
          </a:extLst>
        </xdr:cNvPr>
        <xdr:cNvCxnSpPr/>
      </xdr:nvCxnSpPr>
      <xdr:spPr>
        <a:xfrm>
          <a:off x="6357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2533" name="Match26">
          <a:extLst>
            <a:ext uri="{FF2B5EF4-FFF2-40B4-BE49-F238E27FC236}">
              <a16:creationId xmlns:a16="http://schemas.microsoft.com/office/drawing/2014/main" id="{5060A169-801D-CC23-88A7-FF5F6D4828BF}"/>
            </a:ext>
          </a:extLst>
        </xdr:cNvPr>
        <xdr:cNvCxnSpPr/>
      </xdr:nvCxnSpPr>
      <xdr:spPr>
        <a:xfrm flipV="1">
          <a:off x="6611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2534" name="Match27">
          <a:extLst>
            <a:ext uri="{FF2B5EF4-FFF2-40B4-BE49-F238E27FC236}">
              <a16:creationId xmlns:a16="http://schemas.microsoft.com/office/drawing/2014/main" id="{CA8A3620-851A-8F62-930B-0D2CBD2C1CE4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2535" name="Match28">
          <a:extLst>
            <a:ext uri="{FF2B5EF4-FFF2-40B4-BE49-F238E27FC236}">
              <a16:creationId xmlns:a16="http://schemas.microsoft.com/office/drawing/2014/main" id="{25AD84CE-DE9F-BD8D-7977-9235426AB2CE}"/>
            </a:ext>
          </a:extLst>
        </xdr:cNvPr>
        <xdr:cNvCxnSpPr/>
      </xdr:nvCxnSpPr>
      <xdr:spPr>
        <a:xfrm flipH="1" flipV="1"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2536" name="Match29">
          <a:extLst>
            <a:ext uri="{FF2B5EF4-FFF2-40B4-BE49-F238E27FC236}">
              <a16:creationId xmlns:a16="http://schemas.microsoft.com/office/drawing/2014/main" id="{C292D6B4-FE71-CFA2-06B3-F849003B8EAE}"/>
            </a:ext>
          </a:extLst>
        </xdr:cNvPr>
        <xdr:cNvCxnSpPr/>
      </xdr:nvCxnSpPr>
      <xdr:spPr>
        <a:xfrm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2537" name="Match30">
          <a:extLst>
            <a:ext uri="{FF2B5EF4-FFF2-40B4-BE49-F238E27FC236}">
              <a16:creationId xmlns:a16="http://schemas.microsoft.com/office/drawing/2014/main" id="{FEEC7622-6A33-C35D-F385-52FED18489C1}"/>
            </a:ext>
          </a:extLst>
        </xdr:cNvPr>
        <xdr:cNvCxnSpPr/>
      </xdr:nvCxnSpPr>
      <xdr:spPr>
        <a:xfrm>
          <a:off x="36028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2538" name="Match31">
          <a:extLst>
            <a:ext uri="{FF2B5EF4-FFF2-40B4-BE49-F238E27FC236}">
              <a16:creationId xmlns:a16="http://schemas.microsoft.com/office/drawing/2014/main" id="{D30AE424-4BDE-3944-0701-F3CD64171B09}"/>
            </a:ext>
          </a:extLst>
        </xdr:cNvPr>
        <xdr:cNvCxnSpPr/>
      </xdr:nvCxnSpPr>
      <xdr:spPr>
        <a:xfrm flipH="1">
          <a:off x="317896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3</xdr:col>
      <xdr:colOff>237331</xdr:colOff>
      <xdr:row>7</xdr:row>
      <xdr:rowOff>203993</xdr:rowOff>
    </xdr:to>
    <xdr:cxnSp macro="">
      <xdr:nvCxnSpPr>
        <xdr:cNvPr id="2539" name="Match32">
          <a:extLst>
            <a:ext uri="{FF2B5EF4-FFF2-40B4-BE49-F238E27FC236}">
              <a16:creationId xmlns:a16="http://schemas.microsoft.com/office/drawing/2014/main" id="{CB8EEB49-660A-3366-2CD9-680C41E43AEE}"/>
            </a:ext>
          </a:extLst>
        </xdr:cNvPr>
        <xdr:cNvCxnSpPr/>
      </xdr:nvCxnSpPr>
      <xdr:spPr>
        <a:xfrm flipH="1">
          <a:off x="661194" y="198993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3</xdr:col>
      <xdr:colOff>237331</xdr:colOff>
      <xdr:row>7</xdr:row>
      <xdr:rowOff>203993</xdr:rowOff>
    </xdr:to>
    <xdr:cxnSp macro="">
      <xdr:nvCxnSpPr>
        <xdr:cNvPr id="2540" name="Match33">
          <a:extLst>
            <a:ext uri="{FF2B5EF4-FFF2-40B4-BE49-F238E27FC236}">
              <a16:creationId xmlns:a16="http://schemas.microsoft.com/office/drawing/2014/main" id="{09F1E152-C186-EBA8-BA09-9F5664D1B404}"/>
            </a:ext>
          </a:extLst>
        </xdr:cNvPr>
        <xdr:cNvCxnSpPr/>
      </xdr:nvCxnSpPr>
      <xdr:spPr>
        <a:xfrm flipH="1">
          <a:off x="661194" y="270430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541" name="Match34">
          <a:extLst>
            <a:ext uri="{FF2B5EF4-FFF2-40B4-BE49-F238E27FC236}">
              <a16:creationId xmlns:a16="http://schemas.microsoft.com/office/drawing/2014/main" id="{CD7C2429-833F-4998-8DC7-E6E81B1402AF}"/>
            </a:ext>
          </a:extLst>
        </xdr:cNvPr>
        <xdr:cNvCxnSpPr/>
      </xdr:nvCxnSpPr>
      <xdr:spPr>
        <a:xfrm>
          <a:off x="3602831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542" name="Match35">
          <a:extLst>
            <a:ext uri="{FF2B5EF4-FFF2-40B4-BE49-F238E27FC236}">
              <a16:creationId xmlns:a16="http://schemas.microsoft.com/office/drawing/2014/main" id="{E0E86CCF-21AC-55C5-2DBB-D0AF02FEE79D}"/>
            </a:ext>
          </a:extLst>
        </xdr:cNvPr>
        <xdr:cNvCxnSpPr/>
      </xdr:nvCxnSpPr>
      <xdr:spPr>
        <a:xfrm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543" name="Match36">
          <a:extLst>
            <a:ext uri="{FF2B5EF4-FFF2-40B4-BE49-F238E27FC236}">
              <a16:creationId xmlns:a16="http://schemas.microsoft.com/office/drawing/2014/main" id="{6E011189-C5DB-0C09-ADB3-B2692D20EF31}"/>
            </a:ext>
          </a:extLst>
        </xdr:cNvPr>
        <xdr:cNvCxnSpPr/>
      </xdr:nvCxnSpPr>
      <xdr:spPr>
        <a:xfrm flipH="1" flipV="1"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2544" name="Match37">
          <a:extLst>
            <a:ext uri="{FF2B5EF4-FFF2-40B4-BE49-F238E27FC236}">
              <a16:creationId xmlns:a16="http://schemas.microsoft.com/office/drawing/2014/main" id="{E51EDA32-4399-6DDF-96E9-9FEDFE5E32FA}"/>
            </a:ext>
          </a:extLst>
        </xdr:cNvPr>
        <xdr:cNvCxnSpPr/>
      </xdr:nvCxnSpPr>
      <xdr:spPr>
        <a:xfrm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0</xdr:col>
      <xdr:colOff>211931</xdr:colOff>
      <xdr:row>5</xdr:row>
      <xdr:rowOff>178593</xdr:rowOff>
    </xdr:to>
    <xdr:cxnSp macro="">
      <xdr:nvCxnSpPr>
        <xdr:cNvPr id="2545" name="Match38">
          <a:extLst>
            <a:ext uri="{FF2B5EF4-FFF2-40B4-BE49-F238E27FC236}">
              <a16:creationId xmlns:a16="http://schemas.microsoft.com/office/drawing/2014/main" id="{0221E39F-89B0-E03D-1149-4441F880C73C}"/>
            </a:ext>
          </a:extLst>
        </xdr:cNvPr>
        <xdr:cNvCxnSpPr/>
      </xdr:nvCxnSpPr>
      <xdr:spPr>
        <a:xfrm>
          <a:off x="21193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2546" name="Match39">
          <a:extLst>
            <a:ext uri="{FF2B5EF4-FFF2-40B4-BE49-F238E27FC236}">
              <a16:creationId xmlns:a16="http://schemas.microsoft.com/office/drawing/2014/main" id="{07C41D07-779A-66B7-A1B2-638A397A4509}"/>
            </a:ext>
          </a:extLst>
        </xdr:cNvPr>
        <xdr:cNvCxnSpPr/>
      </xdr:nvCxnSpPr>
      <xdr:spPr>
        <a:xfrm flipV="1">
          <a:off x="190738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2547" name="Match40">
          <a:extLst>
            <a:ext uri="{FF2B5EF4-FFF2-40B4-BE49-F238E27FC236}">
              <a16:creationId xmlns:a16="http://schemas.microsoft.com/office/drawing/2014/main" id="{F5CC91E3-A24A-1348-E5BE-4CA7E5A3FB07}"/>
            </a:ext>
          </a:extLst>
        </xdr:cNvPr>
        <xdr:cNvCxnSpPr/>
      </xdr:nvCxnSpPr>
      <xdr:spPr>
        <a:xfrm flipH="1"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2548" name="Match41">
          <a:extLst>
            <a:ext uri="{FF2B5EF4-FFF2-40B4-BE49-F238E27FC236}">
              <a16:creationId xmlns:a16="http://schemas.microsoft.com/office/drawing/2014/main" id="{544CA789-9BAA-F0F6-6ACD-535D25629E62}"/>
            </a:ext>
          </a:extLst>
        </xdr:cNvPr>
        <xdr:cNvCxnSpPr/>
      </xdr:nvCxnSpPr>
      <xdr:spPr>
        <a:xfrm flipV="1">
          <a:off x="235664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9</xdr:row>
      <xdr:rowOff>229393</xdr:rowOff>
    </xdr:from>
    <xdr:to>
      <xdr:col>6</xdr:col>
      <xdr:colOff>262731</xdr:colOff>
      <xdr:row>10</xdr:row>
      <xdr:rowOff>229394</xdr:rowOff>
    </xdr:to>
    <xdr:cxnSp macro="">
      <xdr:nvCxnSpPr>
        <xdr:cNvPr id="2549" name="Match42">
          <a:extLst>
            <a:ext uri="{FF2B5EF4-FFF2-40B4-BE49-F238E27FC236}">
              <a16:creationId xmlns:a16="http://schemas.microsoft.com/office/drawing/2014/main" id="{6DC77A8F-9553-C8BE-0906-BD6FBE456498}"/>
            </a:ext>
          </a:extLst>
        </xdr:cNvPr>
        <xdr:cNvCxnSpPr/>
      </xdr:nvCxnSpPr>
      <xdr:spPr>
        <a:xfrm flipV="1">
          <a:off x="238204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2</xdr:row>
      <xdr:rowOff>203994</xdr:rowOff>
    </xdr:from>
    <xdr:to>
      <xdr:col>10</xdr:col>
      <xdr:colOff>237331</xdr:colOff>
      <xdr:row>8</xdr:row>
      <xdr:rowOff>203994</xdr:rowOff>
    </xdr:to>
    <xdr:cxnSp macro="">
      <xdr:nvCxnSpPr>
        <xdr:cNvPr id="2550" name="Match43">
          <a:extLst>
            <a:ext uri="{FF2B5EF4-FFF2-40B4-BE49-F238E27FC236}">
              <a16:creationId xmlns:a16="http://schemas.microsoft.com/office/drawing/2014/main" id="{E21AF2E9-736D-8341-CF77-1ED8B69A0628}"/>
            </a:ext>
          </a:extLst>
        </xdr:cNvPr>
        <xdr:cNvCxnSpPr/>
      </xdr:nvCxnSpPr>
      <xdr:spPr>
        <a:xfrm>
          <a:off x="4475956" y="918369"/>
          <a:ext cx="0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2551" name="Match44">
          <a:extLst>
            <a:ext uri="{FF2B5EF4-FFF2-40B4-BE49-F238E27FC236}">
              <a16:creationId xmlns:a16="http://schemas.microsoft.com/office/drawing/2014/main" id="{F2690C23-9726-0E5D-C7D0-02DDCFAC46EE}"/>
            </a:ext>
          </a:extLst>
        </xdr:cNvPr>
        <xdr:cNvCxnSpPr/>
      </xdr:nvCxnSpPr>
      <xdr:spPr>
        <a:xfrm flipH="1">
          <a:off x="233124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2552" name="Match45">
          <a:extLst>
            <a:ext uri="{FF2B5EF4-FFF2-40B4-BE49-F238E27FC236}">
              <a16:creationId xmlns:a16="http://schemas.microsoft.com/office/drawing/2014/main" id="{78CF8894-A5A1-5999-1757-03A8FB40289E}"/>
            </a:ext>
          </a:extLst>
        </xdr:cNvPr>
        <xdr:cNvCxnSpPr/>
      </xdr:nvCxnSpPr>
      <xdr:spPr>
        <a:xfrm flipV="1">
          <a:off x="211931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2553" name="Match46">
          <a:extLst>
            <a:ext uri="{FF2B5EF4-FFF2-40B4-BE49-F238E27FC236}">
              <a16:creationId xmlns:a16="http://schemas.microsoft.com/office/drawing/2014/main" id="{B7369D3D-0681-258E-CD39-C7F925760C79}"/>
            </a:ext>
          </a:extLst>
        </xdr:cNvPr>
        <xdr:cNvCxnSpPr/>
      </xdr:nvCxnSpPr>
      <xdr:spPr>
        <a:xfrm flipH="1">
          <a:off x="3602831" y="196453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2554" name="Match47">
          <a:extLst>
            <a:ext uri="{FF2B5EF4-FFF2-40B4-BE49-F238E27FC236}">
              <a16:creationId xmlns:a16="http://schemas.microsoft.com/office/drawing/2014/main" id="{C337C071-73AC-23F4-916B-AA7440570CAA}"/>
            </a:ext>
          </a:extLst>
        </xdr:cNvPr>
        <xdr:cNvCxnSpPr/>
      </xdr:nvCxnSpPr>
      <xdr:spPr>
        <a:xfrm>
          <a:off x="233124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2555" name="Match48">
          <a:extLst>
            <a:ext uri="{FF2B5EF4-FFF2-40B4-BE49-F238E27FC236}">
              <a16:creationId xmlns:a16="http://schemas.microsoft.com/office/drawing/2014/main" id="{F4A2325F-AB37-D2E9-3AD1-00F177BC1A7E}"/>
            </a:ext>
          </a:extLst>
        </xdr:cNvPr>
        <xdr:cNvCxnSpPr/>
      </xdr:nvCxnSpPr>
      <xdr:spPr>
        <a:xfrm flipH="1" flipV="1"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2556" name="Match49">
          <a:extLst>
            <a:ext uri="{FF2B5EF4-FFF2-40B4-BE49-F238E27FC236}">
              <a16:creationId xmlns:a16="http://schemas.microsoft.com/office/drawing/2014/main" id="{FDE407A5-6CAB-FB2E-B175-50F1B1D6D14A}"/>
            </a:ext>
          </a:extLst>
        </xdr:cNvPr>
        <xdr:cNvCxnSpPr/>
      </xdr:nvCxnSpPr>
      <xdr:spPr>
        <a:xfrm flipV="1">
          <a:off x="36282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2557" name="Match50">
          <a:extLst>
            <a:ext uri="{FF2B5EF4-FFF2-40B4-BE49-F238E27FC236}">
              <a16:creationId xmlns:a16="http://schemas.microsoft.com/office/drawing/2014/main" id="{C849BBE3-1ADA-D5C9-84DA-DC839EC596DD}"/>
            </a:ext>
          </a:extLst>
        </xdr:cNvPr>
        <xdr:cNvCxnSpPr/>
      </xdr:nvCxnSpPr>
      <xdr:spPr>
        <a:xfrm flipH="1"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2558" name="Match51">
          <a:extLst>
            <a:ext uri="{FF2B5EF4-FFF2-40B4-BE49-F238E27FC236}">
              <a16:creationId xmlns:a16="http://schemas.microsoft.com/office/drawing/2014/main" id="{90747447-B089-AE25-D870-28C108AC050F}"/>
            </a:ext>
          </a:extLst>
        </xdr:cNvPr>
        <xdr:cNvCxnSpPr/>
      </xdr:nvCxnSpPr>
      <xdr:spPr>
        <a:xfrm flipV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2559" name="Match52">
          <a:extLst>
            <a:ext uri="{FF2B5EF4-FFF2-40B4-BE49-F238E27FC236}">
              <a16:creationId xmlns:a16="http://schemas.microsoft.com/office/drawing/2014/main" id="{0C8D7F74-3F29-E350-09E0-6DA3DBEE7CDC}"/>
            </a:ext>
          </a:extLst>
        </xdr:cNvPr>
        <xdr:cNvCxnSpPr/>
      </xdr:nvCxnSpPr>
      <xdr:spPr>
        <a:xfrm flipV="1">
          <a:off x="48744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2560" name="Match53">
          <a:extLst>
            <a:ext uri="{FF2B5EF4-FFF2-40B4-BE49-F238E27FC236}">
              <a16:creationId xmlns:a16="http://schemas.microsoft.com/office/drawing/2014/main" id="{1D911B19-0159-31DF-2F6A-BBC6310D908D}"/>
            </a:ext>
          </a:extLst>
        </xdr:cNvPr>
        <xdr:cNvCxnSpPr/>
      </xdr:nvCxnSpPr>
      <xdr:spPr>
        <a:xfrm>
          <a:off x="14835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242F12-EAFD-A46D-BD1B-2A3AF2CF13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9" sqref="K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9</v>
      </c>
      <c r="B1" s="22">
        <v>5</v>
      </c>
      <c r="C1" s="23">
        <v>9</v>
      </c>
      <c r="D1" s="22">
        <v>3</v>
      </c>
      <c r="E1" s="22">
        <v>8</v>
      </c>
      <c r="F1" s="22">
        <v>3</v>
      </c>
      <c r="G1" s="22">
        <v>5</v>
      </c>
      <c r="H1" s="22">
        <v>5</v>
      </c>
      <c r="I1" s="27">
        <v>4</v>
      </c>
      <c r="J1" s="23">
        <v>5</v>
      </c>
      <c r="K1" s="27">
        <v>9</v>
      </c>
      <c r="L1" s="22">
        <v>1</v>
      </c>
      <c r="N1" s="2">
        <v>49</v>
      </c>
      <c r="O1" s="1">
        <v>6</v>
      </c>
    </row>
    <row r="2" spans="1:15" s="2" customFormat="1" ht="28.25" customHeight="1">
      <c r="A2" s="27">
        <v>5</v>
      </c>
      <c r="B2" s="22">
        <v>7</v>
      </c>
      <c r="C2" s="27">
        <v>3</v>
      </c>
      <c r="D2" s="27">
        <v>5</v>
      </c>
      <c r="E2" s="27">
        <v>9</v>
      </c>
      <c r="F2" s="27">
        <v>3</v>
      </c>
      <c r="G2" s="27">
        <v>8</v>
      </c>
      <c r="H2" s="23">
        <v>6</v>
      </c>
      <c r="I2" s="23">
        <v>4</v>
      </c>
      <c r="J2" s="27">
        <v>8</v>
      </c>
      <c r="K2" s="22">
        <v>7</v>
      </c>
      <c r="L2" s="27">
        <v>8</v>
      </c>
      <c r="N2" s="2">
        <v>9639781</v>
      </c>
      <c r="O2" s="2">
        <v>1</v>
      </c>
    </row>
    <row r="3" spans="1:15" ht="28.25" customHeight="1">
      <c r="A3" s="23">
        <v>6</v>
      </c>
      <c r="B3" s="22">
        <v>5</v>
      </c>
      <c r="C3" s="22">
        <v>9</v>
      </c>
      <c r="D3" s="22">
        <v>6</v>
      </c>
      <c r="E3" s="22">
        <v>3</v>
      </c>
      <c r="F3" s="22">
        <v>9</v>
      </c>
      <c r="G3" s="22">
        <v>7</v>
      </c>
      <c r="H3" s="22">
        <v>8</v>
      </c>
      <c r="I3" s="22">
        <v>1</v>
      </c>
      <c r="J3" s="22">
        <v>5</v>
      </c>
      <c r="K3" s="22">
        <v>4</v>
      </c>
      <c r="L3" s="23">
        <v>5</v>
      </c>
      <c r="N3" s="2">
        <v>55383</v>
      </c>
      <c r="O3" s="1">
        <v>1</v>
      </c>
    </row>
    <row r="4" spans="1:15" ht="28.25" customHeight="1">
      <c r="A4" s="27">
        <v>8</v>
      </c>
      <c r="B4" s="22">
        <v>5</v>
      </c>
      <c r="C4" s="27">
        <v>5</v>
      </c>
      <c r="D4" s="27">
        <v>9</v>
      </c>
      <c r="E4" s="23">
        <v>3</v>
      </c>
      <c r="F4" s="22">
        <v>9</v>
      </c>
      <c r="G4" s="27">
        <v>1</v>
      </c>
      <c r="H4" s="23">
        <v>2</v>
      </c>
      <c r="I4" s="22">
        <v>3</v>
      </c>
      <c r="J4" s="23">
        <v>2</v>
      </c>
      <c r="K4" s="22">
        <v>6</v>
      </c>
      <c r="L4" s="23">
        <v>9</v>
      </c>
      <c r="N4" s="2">
        <v>75252</v>
      </c>
      <c r="O4" s="1">
        <v>1</v>
      </c>
    </row>
    <row r="5" spans="1:15" ht="28.25" customHeight="1">
      <c r="A5" s="23">
        <v>1</v>
      </c>
      <c r="B5" s="23">
        <v>4</v>
      </c>
      <c r="C5" s="22">
        <v>5</v>
      </c>
      <c r="D5" s="27">
        <v>6</v>
      </c>
      <c r="E5" s="23">
        <v>1</v>
      </c>
      <c r="F5" s="27">
        <v>8</v>
      </c>
      <c r="G5" s="22">
        <v>2</v>
      </c>
      <c r="H5" s="22">
        <v>6</v>
      </c>
      <c r="I5" s="23">
        <v>9</v>
      </c>
      <c r="J5" s="23">
        <v>4</v>
      </c>
      <c r="K5" s="22">
        <v>5</v>
      </c>
      <c r="L5" s="27">
        <v>7</v>
      </c>
      <c r="N5" s="2">
        <v>575</v>
      </c>
      <c r="O5" s="1">
        <v>8</v>
      </c>
    </row>
    <row r="6" spans="1:15" ht="28.25" customHeight="1">
      <c r="A6" s="23">
        <v>3</v>
      </c>
      <c r="B6" s="23">
        <v>2</v>
      </c>
      <c r="C6" s="27">
        <v>7</v>
      </c>
      <c r="D6" s="22">
        <v>5</v>
      </c>
      <c r="E6" s="27">
        <v>6</v>
      </c>
      <c r="F6" s="23">
        <v>4</v>
      </c>
      <c r="G6" s="23">
        <v>4</v>
      </c>
      <c r="H6" s="27">
        <v>7</v>
      </c>
      <c r="I6" s="22">
        <v>9</v>
      </c>
      <c r="J6" s="22">
        <v>7</v>
      </c>
      <c r="K6" s="22">
        <v>6</v>
      </c>
      <c r="L6" s="27">
        <v>8</v>
      </c>
      <c r="N6" s="2">
        <v>6545</v>
      </c>
      <c r="O6" s="1">
        <v>2</v>
      </c>
    </row>
    <row r="7" spans="1:15" ht="28.25" customHeight="1">
      <c r="A7" s="23">
        <v>9</v>
      </c>
      <c r="B7" s="23">
        <v>4</v>
      </c>
      <c r="C7" s="22">
        <v>7</v>
      </c>
      <c r="D7" s="23">
        <v>7</v>
      </c>
      <c r="E7" s="22">
        <v>5</v>
      </c>
      <c r="F7" s="27">
        <v>6</v>
      </c>
      <c r="G7" s="27">
        <v>5</v>
      </c>
      <c r="H7" s="23">
        <v>2</v>
      </c>
      <c r="I7" s="22">
        <v>4</v>
      </c>
      <c r="J7" s="27">
        <v>8</v>
      </c>
      <c r="K7" s="22">
        <v>1</v>
      </c>
      <c r="L7" s="23">
        <v>2</v>
      </c>
      <c r="N7" s="2">
        <v>17536</v>
      </c>
      <c r="O7" s="1">
        <v>1</v>
      </c>
    </row>
    <row r="8" spans="1:15" ht="28.25" customHeight="1">
      <c r="A8" s="27">
        <v>5</v>
      </c>
      <c r="B8" s="22">
        <v>6</v>
      </c>
      <c r="C8" s="23">
        <v>7</v>
      </c>
      <c r="D8" s="23">
        <v>5</v>
      </c>
      <c r="E8" s="27">
        <v>6</v>
      </c>
      <c r="F8" s="22">
        <v>2</v>
      </c>
      <c r="G8" s="22">
        <v>5</v>
      </c>
      <c r="H8" s="22">
        <v>2</v>
      </c>
      <c r="I8" s="22">
        <v>5</v>
      </c>
      <c r="J8" s="22">
        <v>7</v>
      </c>
      <c r="K8" s="22">
        <v>7</v>
      </c>
      <c r="L8" s="23">
        <v>9</v>
      </c>
      <c r="N8" s="2">
        <v>823821</v>
      </c>
      <c r="O8" s="1">
        <v>1</v>
      </c>
    </row>
    <row r="9" spans="1:15" ht="28.25" customHeight="1">
      <c r="A9" s="27">
        <v>4</v>
      </c>
      <c r="B9" s="27">
        <v>8</v>
      </c>
      <c r="C9" s="27">
        <v>8</v>
      </c>
      <c r="D9" s="23">
        <v>5</v>
      </c>
      <c r="E9" s="22">
        <v>8</v>
      </c>
      <c r="F9" s="22">
        <v>2</v>
      </c>
      <c r="G9" s="22">
        <v>3</v>
      </c>
      <c r="H9" s="22">
        <v>8</v>
      </c>
      <c r="I9" s="22">
        <v>2</v>
      </c>
      <c r="J9" s="22">
        <v>1</v>
      </c>
      <c r="K9" s="22">
        <v>4</v>
      </c>
      <c r="L9" s="22">
        <v>5</v>
      </c>
      <c r="N9" s="2">
        <v>24</v>
      </c>
      <c r="O9" s="1">
        <v>11</v>
      </c>
    </row>
    <row r="10" spans="1:15" ht="28.25" customHeight="1">
      <c r="A10" s="27">
        <v>4</v>
      </c>
      <c r="B10" s="27">
        <v>1</v>
      </c>
      <c r="C10" s="23">
        <v>7</v>
      </c>
      <c r="D10" s="23">
        <v>9</v>
      </c>
      <c r="E10" s="23">
        <v>3</v>
      </c>
      <c r="F10" s="22">
        <v>3</v>
      </c>
      <c r="G10" s="23">
        <v>3</v>
      </c>
      <c r="H10" s="27">
        <v>3</v>
      </c>
      <c r="I10" s="22">
        <v>4</v>
      </c>
      <c r="J10" s="27">
        <v>8</v>
      </c>
      <c r="K10" s="27">
        <v>1</v>
      </c>
      <c r="L10" s="22">
        <v>4</v>
      </c>
      <c r="N10" s="2">
        <v>576</v>
      </c>
      <c r="O10" s="1">
        <v>3</v>
      </c>
    </row>
    <row r="11" spans="1:15" ht="28.25" customHeight="1">
      <c r="A11" s="27">
        <v>1</v>
      </c>
      <c r="B11" s="23">
        <v>5</v>
      </c>
      <c r="C11" s="27">
        <v>8</v>
      </c>
      <c r="D11" s="23">
        <v>2</v>
      </c>
      <c r="E11" s="27">
        <v>7</v>
      </c>
      <c r="F11" s="22">
        <v>1</v>
      </c>
      <c r="G11" s="27">
        <v>4</v>
      </c>
      <c r="H11" s="27">
        <v>6</v>
      </c>
      <c r="I11" s="23">
        <v>5</v>
      </c>
      <c r="J11" s="23">
        <v>7</v>
      </c>
      <c r="K11" s="23">
        <v>6</v>
      </c>
      <c r="L11" s="22">
        <v>5</v>
      </c>
      <c r="N11" s="2">
        <v>5555</v>
      </c>
      <c r="O11" s="1">
        <v>2</v>
      </c>
    </row>
    <row r="12" spans="1:15" ht="28.25" customHeight="1">
      <c r="A12" s="27">
        <v>7</v>
      </c>
      <c r="B12" s="27">
        <v>6</v>
      </c>
      <c r="C12" s="27">
        <v>1</v>
      </c>
      <c r="D12" s="27">
        <v>7</v>
      </c>
      <c r="E12" s="27">
        <v>6</v>
      </c>
      <c r="F12" s="27">
        <v>7</v>
      </c>
      <c r="G12" s="27">
        <v>6</v>
      </c>
      <c r="H12" s="23">
        <v>4</v>
      </c>
      <c r="I12" s="23">
        <v>2</v>
      </c>
      <c r="J12" s="27">
        <v>1</v>
      </c>
      <c r="K12" s="27">
        <v>6</v>
      </c>
      <c r="L12" s="22">
        <v>6</v>
      </c>
      <c r="N12" s="2">
        <v>13</v>
      </c>
      <c r="O12" s="1">
        <v>6</v>
      </c>
    </row>
    <row r="13" spans="1:15" ht="28.25" customHeight="1">
      <c r="N13" s="2">
        <v>4656174</v>
      </c>
      <c r="O13" s="1">
        <v>1</v>
      </c>
    </row>
    <row r="14" spans="1:15" ht="28.25" customHeight="1">
      <c r="N14" s="2">
        <v>679</v>
      </c>
      <c r="O14" s="1">
        <v>3</v>
      </c>
    </row>
    <row r="15" spans="1:15" ht="28.25" customHeight="1">
      <c r="N15" s="2">
        <v>92</v>
      </c>
      <c r="O15" s="1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48"/>
  <sheetViews>
    <sheetView tabSelected="1" zoomScaleNormal="100" workbookViewId="0">
      <pane ySplit="2" topLeftCell="A342" activePane="bottomLeft" state="frozen"/>
      <selection pane="bottomLeft" activeCell="A348" sqref="A34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  <row r="346" spans="1:17">
      <c r="A346" s="3">
        <v>46088.369467592594</v>
      </c>
      <c r="B346">
        <v>60</v>
      </c>
      <c r="C346">
        <v>9</v>
      </c>
      <c r="D346">
        <v>0</v>
      </c>
      <c r="E346">
        <v>0</v>
      </c>
      <c r="F346">
        <v>0</v>
      </c>
      <c r="G346" s="5">
        <v>7.708333338086959E-3</v>
      </c>
      <c r="H346" t="s">
        <v>746</v>
      </c>
      <c r="I346" t="s">
        <v>747</v>
      </c>
      <c r="J346">
        <v>0</v>
      </c>
      <c r="K346">
        <f t="shared" ref="K346" si="1035">IF(A346&lt;DATEVALUE("2025/11/20")+TIMEVALUE("6:00"),1,IF(OR(B346&lt;&gt;60,SUM(D346:F346)&lt;&gt;0,G346&gt;=IF(A346&lt;DATEVALUE("2025/12/28")+TIMEVALUE("6:00"),20,18)/24/60),0,2-INT(G346*24*60/10)))</f>
        <v>1</v>
      </c>
      <c r="L346">
        <f t="shared" ref="L346" si="1036">L345+K346</f>
        <v>433</v>
      </c>
      <c r="M346">
        <f t="shared" ref="M346" si="1037">2+IF(A346&gt;=DATEVALUE("2025/11/30")+TIMEVALUE("6:00"),1,0)+IF(A346&gt;=DATEVALUE("2025/12/11")+TIMEVALUE("6:00"),1,0)</f>
        <v>4</v>
      </c>
      <c r="N346">
        <f t="shared" ref="N346" si="1038">N345+M346*(INT(A346-6/24)-INT(A345-6/24))+O346</f>
        <v>440</v>
      </c>
      <c r="O346">
        <f t="shared" ref="O346" si="1039">IF(A346&gt;=DATEVALUE("2025/11/8")+TIMEVALUE("6:00"),1,0)-IF(A345&gt;=DATEVALUE("2025/11/8")+TIMEVALUE("6:00"),1,0)
+IF(A346&gt;=DATEVALUE("2026/1/22")+TIMEVALUE("6:00"),3,0)-IF(A345&gt;=DATEVALUE("2026/1/22")+TIMEVALUE("6:00"),3,0)
+IF(A346&gt;=DATEVALUE("2026/2/21")+TIMEVALUE("6:00"),1,0)-IF(A345&gt;=DATEVALUE("2026/2/21")+TIMEVALUE("6:00"),1,0)</f>
        <v>0</v>
      </c>
      <c r="P346" t="str">
        <f t="shared" ref="P346" si="1040">IF(L346&lt;N346,"未達成（"&amp;N346-L346&amp;"）",IF(L346=N346,"達成","前倒し（"&amp;L346-N346&amp;"）"))</f>
        <v>未達成（7）</v>
      </c>
      <c r="Q346">
        <f t="shared" ref="Q346" si="1041">IF(B346="",NA(),G346)</f>
        <v>7.708333338086959E-3</v>
      </c>
    </row>
    <row r="347" spans="1:17">
      <c r="A347" s="3">
        <v>46088.375451388885</v>
      </c>
      <c r="B347">
        <v>60</v>
      </c>
      <c r="C347">
        <v>29</v>
      </c>
      <c r="D347">
        <v>0</v>
      </c>
      <c r="E347">
        <v>0</v>
      </c>
      <c r="F347">
        <v>0</v>
      </c>
      <c r="G347" s="5">
        <v>5.6018518516793847E-3</v>
      </c>
      <c r="H347" t="s">
        <v>748</v>
      </c>
      <c r="I347" t="s">
        <v>749</v>
      </c>
      <c r="J347">
        <v>0</v>
      </c>
      <c r="K347">
        <f t="shared" ref="K347" si="1042">IF(A347&lt;DATEVALUE("2025/11/20")+TIMEVALUE("6:00"),1,IF(OR(B347&lt;&gt;60,SUM(D347:F347)&lt;&gt;0,G347&gt;=IF(A347&lt;DATEVALUE("2025/12/28")+TIMEVALUE("6:00"),20,18)/24/60),0,2-INT(G347*24*60/10)))</f>
        <v>2</v>
      </c>
      <c r="L347">
        <f t="shared" ref="L347" si="1043">L346+K347</f>
        <v>435</v>
      </c>
      <c r="M347">
        <f t="shared" ref="M347" si="1044">2+IF(A347&gt;=DATEVALUE("2025/11/30")+TIMEVALUE("6:00"),1,0)+IF(A347&gt;=DATEVALUE("2025/12/11")+TIMEVALUE("6:00"),1,0)</f>
        <v>4</v>
      </c>
      <c r="N347">
        <f t="shared" ref="N347" si="1045">N346+M347*(INT(A347-6/24)-INT(A346-6/24))+O347</f>
        <v>440</v>
      </c>
      <c r="O347">
        <f t="shared" ref="O347" si="1046">IF(A347&gt;=DATEVALUE("2025/11/8")+TIMEVALUE("6:00"),1,0)-IF(A346&gt;=DATEVALUE("2025/11/8")+TIMEVALUE("6:00"),1,0)
+IF(A347&gt;=DATEVALUE("2026/1/22")+TIMEVALUE("6:00"),3,0)-IF(A346&gt;=DATEVALUE("2026/1/22")+TIMEVALUE("6:00"),3,0)
+IF(A347&gt;=DATEVALUE("2026/2/21")+TIMEVALUE("6:00"),1,0)-IF(A346&gt;=DATEVALUE("2026/2/21")+TIMEVALUE("6:00"),1,0)</f>
        <v>0</v>
      </c>
      <c r="P347" t="str">
        <f t="shared" ref="P347" si="1047">IF(L347&lt;N347,"未達成（"&amp;N347-L347&amp;"）",IF(L347=N347,"達成","前倒し（"&amp;L347-N347&amp;"）"))</f>
        <v>未達成（5）</v>
      </c>
      <c r="Q347">
        <f t="shared" ref="Q347" si="1048">IF(B347="",NA(),G347)</f>
        <v>5.6018518516793847E-3</v>
      </c>
    </row>
    <row r="348" spans="1:17">
      <c r="A348" s="3">
        <v>46088.386840277781</v>
      </c>
      <c r="B348">
        <v>60</v>
      </c>
      <c r="C348">
        <v>11</v>
      </c>
      <c r="D348">
        <v>0</v>
      </c>
      <c r="E348">
        <v>0</v>
      </c>
      <c r="F348">
        <v>0</v>
      </c>
      <c r="G348" s="5">
        <v>8.449074077361729E-3</v>
      </c>
      <c r="H348" t="s">
        <v>750</v>
      </c>
      <c r="I348" t="s">
        <v>751</v>
      </c>
      <c r="J348">
        <v>0</v>
      </c>
      <c r="K348">
        <f t="shared" ref="K348" si="1049">IF(A348&lt;DATEVALUE("2025/11/20")+TIMEVALUE("6:00"),1,IF(OR(B348&lt;&gt;60,SUM(D348:F348)&lt;&gt;0,G348&gt;=IF(A348&lt;DATEVALUE("2025/12/28")+TIMEVALUE("6:00"),20,18)/24/60),0,2-INT(G348*24*60/10)))</f>
        <v>1</v>
      </c>
      <c r="L348">
        <f t="shared" ref="L348" si="1050">L347+K348</f>
        <v>436</v>
      </c>
      <c r="M348">
        <f t="shared" ref="M348" si="1051">2+IF(A348&gt;=DATEVALUE("2025/11/30")+TIMEVALUE("6:00"),1,0)+IF(A348&gt;=DATEVALUE("2025/12/11")+TIMEVALUE("6:00"),1,0)</f>
        <v>4</v>
      </c>
      <c r="N348">
        <f t="shared" ref="N348" si="1052">N347+M348*(INT(A348-6/24)-INT(A347-6/24))+O348</f>
        <v>440</v>
      </c>
      <c r="O348">
        <f t="shared" ref="O348" si="1053">IF(A348&gt;=DATEVALUE("2025/11/8")+TIMEVALUE("6:00"),1,0)-IF(A347&gt;=DATEVALUE("2025/11/8")+TIMEVALUE("6:00"),1,0)
+IF(A348&gt;=DATEVALUE("2026/1/22")+TIMEVALUE("6:00"),3,0)-IF(A347&gt;=DATEVALUE("2026/1/22")+TIMEVALUE("6:00"),3,0)
+IF(A348&gt;=DATEVALUE("2026/2/21")+TIMEVALUE("6:00"),1,0)-IF(A347&gt;=DATEVALUE("2026/2/21")+TIMEVALUE("6:00"),1,0)</f>
        <v>0</v>
      </c>
      <c r="P348" t="str">
        <f t="shared" ref="P348" si="1054">IF(L348&lt;N348,"未達成（"&amp;N348-L348&amp;"）",IF(L348=N348,"達成","前倒し（"&amp;L348-N348&amp;"）"))</f>
        <v>未達成（4）</v>
      </c>
      <c r="Q348">
        <f t="shared" ref="Q348" si="1055">IF(B348="",NA(),G348)</f>
        <v>8.449074077361729E-3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46088.378391203703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2026-03-07T00:17:11Z</dcterms:modified>
</cp:coreProperties>
</file>
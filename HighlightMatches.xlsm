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BE7BEC6-6A6C-4F0A-B0CD-553ECC8B0D25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97" i="4" l="1"/>
  <c r="O297" i="4"/>
  <c r="M297" i="4"/>
  <c r="N297" i="4" s="1"/>
  <c r="K297" i="4"/>
  <c r="L297" i="4" s="1"/>
  <c r="P297" i="4" s="1"/>
  <c r="Q296" i="4"/>
  <c r="O296" i="4"/>
  <c r="M296" i="4"/>
  <c r="N296" i="4" s="1"/>
  <c r="K296" i="4"/>
  <c r="L296" i="4" s="1"/>
  <c r="Q295" i="4"/>
  <c r="O295" i="4"/>
  <c r="M295" i="4"/>
  <c r="N295" i="4" s="1"/>
  <c r="K295" i="4"/>
  <c r="L295" i="4" s="1"/>
  <c r="Q294" i="4"/>
  <c r="O294" i="4"/>
  <c r="M294" i="4"/>
  <c r="N294" i="4" s="1"/>
  <c r="K294" i="4"/>
  <c r="L294" i="4" s="1"/>
  <c r="Q293" i="4"/>
  <c r="O293" i="4"/>
  <c r="M293" i="4"/>
  <c r="N293" i="4" s="1"/>
  <c r="K293" i="4"/>
  <c r="L293" i="4" s="1"/>
  <c r="P293" i="4" s="1"/>
  <c r="Q292" i="4"/>
  <c r="O292" i="4"/>
  <c r="M292" i="4"/>
  <c r="N292" i="4" s="1"/>
  <c r="K292" i="4"/>
  <c r="L292" i="4" s="1"/>
  <c r="P292" i="4" s="1"/>
  <c r="Q291" i="4"/>
  <c r="O291" i="4"/>
  <c r="M291" i="4"/>
  <c r="N291" i="4" s="1"/>
  <c r="K291" i="4"/>
  <c r="L291" i="4" s="1"/>
  <c r="Q290" i="4"/>
  <c r="O290" i="4"/>
  <c r="M290" i="4"/>
  <c r="N290" i="4" s="1"/>
  <c r="K290" i="4"/>
  <c r="L290" i="4" s="1"/>
  <c r="Q289" i="4"/>
  <c r="O289" i="4"/>
  <c r="N289" i="4"/>
  <c r="M289" i="4"/>
  <c r="K289" i="4"/>
  <c r="L289" i="4" s="1"/>
  <c r="P289" i="4" s="1"/>
  <c r="Q288" i="4"/>
  <c r="O288" i="4"/>
  <c r="M288" i="4"/>
  <c r="N288" i="4" s="1"/>
  <c r="K288" i="4"/>
  <c r="L288" i="4" s="1"/>
  <c r="Q287" i="4"/>
  <c r="O287" i="4"/>
  <c r="M287" i="4"/>
  <c r="K287" i="4"/>
  <c r="Q286" i="4"/>
  <c r="O286" i="4"/>
  <c r="M286" i="4"/>
  <c r="K286" i="4"/>
  <c r="Q285" i="4"/>
  <c r="O285" i="4"/>
  <c r="M285" i="4"/>
  <c r="K285" i="4"/>
  <c r="Q284" i="4"/>
  <c r="O284" i="4"/>
  <c r="M284" i="4"/>
  <c r="K284" i="4"/>
  <c r="Q283" i="4"/>
  <c r="O283" i="4"/>
  <c r="M283" i="4"/>
  <c r="K283" i="4"/>
  <c r="Q282" i="4"/>
  <c r="O282" i="4"/>
  <c r="M282" i="4"/>
  <c r="K282" i="4"/>
  <c r="Q281" i="4"/>
  <c r="O281" i="4"/>
  <c r="M281" i="4"/>
  <c r="K281" i="4"/>
  <c r="Q280" i="4"/>
  <c r="O280" i="4"/>
  <c r="M280" i="4"/>
  <c r="K280" i="4"/>
  <c r="Q279" i="4"/>
  <c r="O279" i="4"/>
  <c r="M279" i="4"/>
  <c r="K279" i="4"/>
  <c r="Q278" i="4"/>
  <c r="O278" i="4"/>
  <c r="M278" i="4"/>
  <c r="K278" i="4"/>
  <c r="Q277" i="4"/>
  <c r="O277" i="4"/>
  <c r="M277" i="4"/>
  <c r="K277" i="4"/>
  <c r="Q276" i="4"/>
  <c r="O276" i="4"/>
  <c r="M276" i="4"/>
  <c r="K276" i="4"/>
  <c r="Q275" i="4"/>
  <c r="O275" i="4"/>
  <c r="M275" i="4"/>
  <c r="K275" i="4"/>
  <c r="Q274" i="4"/>
  <c r="O274" i="4"/>
  <c r="M274" i="4"/>
  <c r="K274" i="4"/>
  <c r="Q273" i="4"/>
  <c r="O273" i="4"/>
  <c r="M273" i="4"/>
  <c r="K273" i="4"/>
  <c r="Q272" i="4"/>
  <c r="O272" i="4"/>
  <c r="M272" i="4"/>
  <c r="K272" i="4"/>
  <c r="Q271" i="4"/>
  <c r="O271" i="4"/>
  <c r="M271" i="4"/>
  <c r="K271" i="4"/>
  <c r="Q270" i="4"/>
  <c r="O270" i="4"/>
  <c r="M270" i="4"/>
  <c r="K270" i="4"/>
  <c r="Q269" i="4"/>
  <c r="O269" i="4"/>
  <c r="M269" i="4"/>
  <c r="K269" i="4"/>
  <c r="Q268" i="4"/>
  <c r="O268" i="4"/>
  <c r="M268" i="4"/>
  <c r="K268" i="4"/>
  <c r="Q267" i="4"/>
  <c r="O267" i="4"/>
  <c r="M267" i="4"/>
  <c r="K267" i="4"/>
  <c r="Q266" i="4"/>
  <c r="O266" i="4"/>
  <c r="M266" i="4"/>
  <c r="K266" i="4"/>
  <c r="Q265" i="4"/>
  <c r="O265" i="4"/>
  <c r="M265" i="4"/>
  <c r="K265" i="4"/>
  <c r="Q264" i="4"/>
  <c r="O264" i="4"/>
  <c r="M264" i="4"/>
  <c r="K264" i="4"/>
  <c r="Q263" i="4"/>
  <c r="O263" i="4"/>
  <c r="M263" i="4"/>
  <c r="K263" i="4"/>
  <c r="Q262" i="4"/>
  <c r="O262" i="4"/>
  <c r="M262" i="4"/>
  <c r="K262" i="4"/>
  <c r="Q261" i="4"/>
  <c r="O261" i="4"/>
  <c r="M261" i="4"/>
  <c r="K261" i="4"/>
  <c r="Q260" i="4"/>
  <c r="O260" i="4"/>
  <c r="M260" i="4"/>
  <c r="K260" i="4"/>
  <c r="Q259" i="4"/>
  <c r="O259" i="4"/>
  <c r="M259" i="4"/>
  <c r="K259" i="4"/>
  <c r="Q258" i="4"/>
  <c r="O258" i="4"/>
  <c r="M258" i="4"/>
  <c r="K258" i="4"/>
  <c r="Q257" i="4"/>
  <c r="O257" i="4"/>
  <c r="M257" i="4"/>
  <c r="K257" i="4"/>
  <c r="Q256" i="4"/>
  <c r="O256" i="4"/>
  <c r="M256" i="4"/>
  <c r="K256" i="4"/>
  <c r="Q255" i="4"/>
  <c r="O255" i="4"/>
  <c r="M255" i="4"/>
  <c r="K255" i="4"/>
  <c r="Q254" i="4"/>
  <c r="O254" i="4"/>
  <c r="M254" i="4"/>
  <c r="K254" i="4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296" i="4" l="1"/>
  <c r="P295" i="4"/>
  <c r="P294" i="4"/>
  <c r="P291" i="4"/>
  <c r="P290" i="4"/>
  <c r="P288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<sst xmlns="http://schemas.openxmlformats.org/spreadsheetml/2006/main" count="671" uniqueCount="650">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</sst>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データ!$A$3:$A$297</c:f>
              <c:numCache>
                <c:formatCode>m/d/yyyy\ h:mm</c:formatCode>
                <c:ptCount val="29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</c:numCache>
            </c:numRef>
          </c:xVal>
          <c:yVal>
            <c:numRef>
              <c:f>データ!$B$3:$B$297</c:f>
              <c:numCache>
                <c:formatCode>General</c:formatCode>
                <c:ptCount val="29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C-44BB-ADA8-86384E3B529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7C-44BB-ADA8-86384E3B5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800624"/>
        <c:axId val="101481022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データ!$A$3:$A$297</c:f>
              <c:numCache>
                <c:formatCode>m/d/yyyy\ h:mm</c:formatCode>
                <c:ptCount val="29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</c:numCache>
            </c:numRef>
          </c:xVal>
          <c:yVal>
            <c:numRef>
              <c:f>データ!$Q$3:$Q$297</c:f>
              <c:numCache>
                <c:formatCode>[h]:mm</c:formatCode>
                <c:ptCount val="29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7C-44BB-ADA8-86384E3B5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832304"/>
        <c:axId val="1014811664"/>
      </c:scatterChart>
      <c:valAx>
        <c:axId val="101480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4810224"/>
        <c:crosses val="autoZero"/>
        <c:crossBetween val="midCat"/>
      </c:valAx>
      <c:valAx>
        <c:axId val="101481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4800624"/>
        <c:crosses val="autoZero"/>
        <c:crossBetween val="midCat"/>
      </c:valAx>
      <c:valAx>
        <c:axId val="101481166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4832304"/>
        <c:crosses val="max"/>
        <c:crossBetween val="midCat"/>
      </c:valAx>
      <c:valAx>
        <c:axId val="101483230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481166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211931</xdr:colOff>
      <xdr:row>8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492" name="Match0">
          <a:extLst>
            <a:ext uri="{FF2B5EF4-FFF2-40B4-BE49-F238E27FC236}">
              <a16:creationId xmlns:a16="http://schemas.microsoft.com/office/drawing/2014/main" id="{E2C233FF-43FD-D78B-DA9C-DC19A71D42EB}"/>
            </a:ext>
          </a:extLst>
        </xdr:cNvPr>
        <xdr:cNvCxnSpPr/>
      </xdr:nvCxnSpPr>
      <xdr:spPr>
        <a:xfrm flipV="1">
          <a:off x="233124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493" name="Match1">
          <a:extLst>
            <a:ext uri="{FF2B5EF4-FFF2-40B4-BE49-F238E27FC236}">
              <a16:creationId xmlns:a16="http://schemas.microsoft.com/office/drawing/2014/main" id="{01731CE5-6818-5E7E-73FF-471F5A1E6202}"/>
            </a:ext>
          </a:extLst>
        </xdr:cNvPr>
        <xdr:cNvCxnSpPr/>
      </xdr:nvCxnSpPr>
      <xdr:spPr>
        <a:xfrm flipV="1">
          <a:off x="402669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494" name="Match2">
          <a:extLst>
            <a:ext uri="{FF2B5EF4-FFF2-40B4-BE49-F238E27FC236}">
              <a16:creationId xmlns:a16="http://schemas.microsoft.com/office/drawing/2014/main" id="{DD26CC6C-7D8A-3B7A-8B46-D26652B648A2}"/>
            </a:ext>
          </a:extLst>
        </xdr:cNvPr>
        <xdr:cNvCxnSpPr/>
      </xdr:nvCxnSpPr>
      <xdr:spPr>
        <a:xfrm flipH="1" flipV="1">
          <a:off x="4026694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495" name="Match3">
          <a:extLst>
            <a:ext uri="{FF2B5EF4-FFF2-40B4-BE49-F238E27FC236}">
              <a16:creationId xmlns:a16="http://schemas.microsoft.com/office/drawing/2014/main" id="{D3CF791C-9AD4-7E6F-8830-16CD26B70CAD}"/>
            </a:ext>
          </a:extLst>
        </xdr:cNvPr>
        <xdr:cNvCxnSpPr/>
      </xdr:nvCxnSpPr>
      <xdr:spPr>
        <a:xfrm>
          <a:off x="44505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1496" name="Match4">
          <a:extLst>
            <a:ext uri="{FF2B5EF4-FFF2-40B4-BE49-F238E27FC236}">
              <a16:creationId xmlns:a16="http://schemas.microsoft.com/office/drawing/2014/main" id="{BA4A82F5-025F-5C6C-C394-DC71A2197E42}"/>
            </a:ext>
          </a:extLst>
        </xdr:cNvPr>
        <xdr:cNvCxnSpPr/>
      </xdr:nvCxnSpPr>
      <xdr:spPr>
        <a:xfrm>
          <a:off x="48744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497" name="Match5">
          <a:extLst>
            <a:ext uri="{FF2B5EF4-FFF2-40B4-BE49-F238E27FC236}">
              <a16:creationId xmlns:a16="http://schemas.microsoft.com/office/drawing/2014/main" id="{42912EE5-4CF9-0E79-7D74-783C99EED8C0}"/>
            </a:ext>
          </a:extLst>
        </xdr:cNvPr>
        <xdr:cNvCxnSpPr/>
      </xdr:nvCxnSpPr>
      <xdr:spPr>
        <a:xfrm flipH="1"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498" name="Match6">
          <a:extLst>
            <a:ext uri="{FF2B5EF4-FFF2-40B4-BE49-F238E27FC236}">
              <a16:creationId xmlns:a16="http://schemas.microsoft.com/office/drawing/2014/main" id="{10B81B93-4C1D-BBF0-B18C-62E84131F735}"/>
            </a:ext>
          </a:extLst>
        </xdr:cNvPr>
        <xdr:cNvCxnSpPr/>
      </xdr:nvCxnSpPr>
      <xdr:spPr>
        <a:xfrm flipH="1"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499" name="Match7">
          <a:extLst>
            <a:ext uri="{FF2B5EF4-FFF2-40B4-BE49-F238E27FC236}">
              <a16:creationId xmlns:a16="http://schemas.microsoft.com/office/drawing/2014/main" id="{ED8DBCBD-ED6B-A6D9-C0E7-F7D25F9CA1F7}"/>
            </a:ext>
          </a:extLst>
        </xdr:cNvPr>
        <xdr:cNvCxnSpPr/>
      </xdr:nvCxnSpPr>
      <xdr:spPr>
        <a:xfrm flipV="1"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500" name="Match8">
          <a:extLst>
            <a:ext uri="{FF2B5EF4-FFF2-40B4-BE49-F238E27FC236}">
              <a16:creationId xmlns:a16="http://schemas.microsoft.com/office/drawing/2014/main" id="{C736B1B6-3EC0-C54A-C112-2C2F98C19D2C}"/>
            </a:ext>
          </a:extLst>
        </xdr:cNvPr>
        <xdr:cNvCxnSpPr/>
      </xdr:nvCxnSpPr>
      <xdr:spPr>
        <a:xfrm>
          <a:off x="233124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501" name="Match9">
          <a:extLst>
            <a:ext uri="{FF2B5EF4-FFF2-40B4-BE49-F238E27FC236}">
              <a16:creationId xmlns:a16="http://schemas.microsoft.com/office/drawing/2014/main" id="{2391CF4E-F9BC-DBE6-ED23-5BF55D5AD674}"/>
            </a:ext>
          </a:extLst>
        </xdr:cNvPr>
        <xdr:cNvCxnSpPr/>
      </xdr:nvCxnSpPr>
      <xdr:spPr>
        <a:xfrm flipH="1"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502" name="Match10">
          <a:extLst>
            <a:ext uri="{FF2B5EF4-FFF2-40B4-BE49-F238E27FC236}">
              <a16:creationId xmlns:a16="http://schemas.microsoft.com/office/drawing/2014/main" id="{A865EE17-D2FF-F34A-63A2-37659C49CDAA}"/>
            </a:ext>
          </a:extLst>
        </xdr:cNvPr>
        <xdr:cNvCxnSpPr/>
      </xdr:nvCxnSpPr>
      <xdr:spPr>
        <a:xfrm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503" name="Match11">
          <a:extLst>
            <a:ext uri="{FF2B5EF4-FFF2-40B4-BE49-F238E27FC236}">
              <a16:creationId xmlns:a16="http://schemas.microsoft.com/office/drawing/2014/main" id="{61673ECA-8C20-28EE-AEBC-A6894965513F}"/>
            </a:ext>
          </a:extLst>
        </xdr:cNvPr>
        <xdr:cNvCxnSpPr/>
      </xdr:nvCxnSpPr>
      <xdr:spPr>
        <a:xfrm flipH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4</xdr:col>
      <xdr:colOff>237331</xdr:colOff>
      <xdr:row>6</xdr:row>
      <xdr:rowOff>203994</xdr:rowOff>
    </xdr:to>
    <xdr:cxnSp macro="">
      <xdr:nvCxnSpPr>
        <xdr:cNvPr id="1504" name="Match12">
          <a:extLst>
            <a:ext uri="{FF2B5EF4-FFF2-40B4-BE49-F238E27FC236}">
              <a16:creationId xmlns:a16="http://schemas.microsoft.com/office/drawing/2014/main" id="{6A3A91CB-C843-8844-6706-57D8235FCFF4}"/>
            </a:ext>
          </a:extLst>
        </xdr:cNvPr>
        <xdr:cNvCxnSpPr/>
      </xdr:nvCxnSpPr>
      <xdr:spPr>
        <a:xfrm flipH="1">
          <a:off x="150891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5</xdr:row>
      <xdr:rowOff>229393</xdr:rowOff>
    </xdr:from>
    <xdr:to>
      <xdr:col>4</xdr:col>
      <xdr:colOff>262731</xdr:colOff>
      <xdr:row>6</xdr:row>
      <xdr:rowOff>229394</xdr:rowOff>
    </xdr:to>
    <xdr:cxnSp macro="">
      <xdr:nvCxnSpPr>
        <xdr:cNvPr id="1505" name="Match13">
          <a:extLst>
            <a:ext uri="{FF2B5EF4-FFF2-40B4-BE49-F238E27FC236}">
              <a16:creationId xmlns:a16="http://schemas.microsoft.com/office/drawing/2014/main" id="{CBE79A10-444D-B8F9-898D-1D76FBCD1DA1}"/>
            </a:ext>
          </a:extLst>
        </xdr:cNvPr>
        <xdr:cNvCxnSpPr/>
      </xdr:nvCxnSpPr>
      <xdr:spPr>
        <a:xfrm flipV="1">
          <a:off x="1958181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1506" name="Match14">
          <a:extLst>
            <a:ext uri="{FF2B5EF4-FFF2-40B4-BE49-F238E27FC236}">
              <a16:creationId xmlns:a16="http://schemas.microsoft.com/office/drawing/2014/main" id="{364C0BA9-4F88-00F9-A949-84EEE3A28260}"/>
            </a:ext>
          </a:extLst>
        </xdr:cNvPr>
        <xdr:cNvCxnSpPr/>
      </xdr:nvCxnSpPr>
      <xdr:spPr>
        <a:xfrm>
          <a:off x="105965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7</xdr:row>
      <xdr:rowOff>203993</xdr:rowOff>
    </xdr:from>
    <xdr:to>
      <xdr:col>3</xdr:col>
      <xdr:colOff>237331</xdr:colOff>
      <xdr:row>8</xdr:row>
      <xdr:rowOff>203994</xdr:rowOff>
    </xdr:to>
    <xdr:cxnSp macro="">
      <xdr:nvCxnSpPr>
        <xdr:cNvPr id="1507" name="Match15">
          <a:extLst>
            <a:ext uri="{FF2B5EF4-FFF2-40B4-BE49-F238E27FC236}">
              <a16:creationId xmlns:a16="http://schemas.microsoft.com/office/drawing/2014/main" id="{A45BD06D-F0C9-74F2-B6F9-5F69D02C4840}"/>
            </a:ext>
          </a:extLst>
        </xdr:cNvPr>
        <xdr:cNvCxnSpPr/>
      </xdr:nvCxnSpPr>
      <xdr:spPr>
        <a:xfrm>
          <a:off x="1085056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2</xdr:col>
      <xdr:colOff>262731</xdr:colOff>
      <xdr:row>7</xdr:row>
      <xdr:rowOff>229393</xdr:rowOff>
    </xdr:to>
    <xdr:cxnSp macro="">
      <xdr:nvCxnSpPr>
        <xdr:cNvPr id="1508" name="Match16">
          <a:extLst>
            <a:ext uri="{FF2B5EF4-FFF2-40B4-BE49-F238E27FC236}">
              <a16:creationId xmlns:a16="http://schemas.microsoft.com/office/drawing/2014/main" id="{181844EB-AC10-B001-DECE-2BA9F9D5E029}"/>
            </a:ext>
          </a:extLst>
        </xdr:cNvPr>
        <xdr:cNvCxnSpPr/>
      </xdr:nvCxnSpPr>
      <xdr:spPr>
        <a:xfrm flipH="1">
          <a:off x="686594" y="272970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6</xdr:row>
      <xdr:rowOff>254794</xdr:rowOff>
    </xdr:from>
    <xdr:to>
      <xdr:col>3</xdr:col>
      <xdr:colOff>288131</xdr:colOff>
      <xdr:row>7</xdr:row>
      <xdr:rowOff>254793</xdr:rowOff>
    </xdr:to>
    <xdr:cxnSp macro="">
      <xdr:nvCxnSpPr>
        <xdr:cNvPr id="1509" name="Match17">
          <a:extLst>
            <a:ext uri="{FF2B5EF4-FFF2-40B4-BE49-F238E27FC236}">
              <a16:creationId xmlns:a16="http://schemas.microsoft.com/office/drawing/2014/main" id="{73E56258-E6EF-4980-1D98-847A932B2B39}"/>
            </a:ext>
          </a:extLst>
        </xdr:cNvPr>
        <xdr:cNvCxnSpPr/>
      </xdr:nvCxnSpPr>
      <xdr:spPr>
        <a:xfrm flipV="1">
          <a:off x="1135856" y="239791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510" name="Match18">
          <a:extLst>
            <a:ext uri="{FF2B5EF4-FFF2-40B4-BE49-F238E27FC236}">
              <a16:creationId xmlns:a16="http://schemas.microsoft.com/office/drawing/2014/main" id="{1495A1CF-E4CB-83A2-786D-683B0FD845B1}"/>
            </a:ext>
          </a:extLst>
        </xdr:cNvPr>
        <xdr:cNvCxnSpPr/>
      </xdr:nvCxnSpPr>
      <xdr:spPr>
        <a:xfrm flipH="1"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1511" name="Match19">
          <a:extLst>
            <a:ext uri="{FF2B5EF4-FFF2-40B4-BE49-F238E27FC236}">
              <a16:creationId xmlns:a16="http://schemas.microsoft.com/office/drawing/2014/main" id="{29D10C94-A54E-5CD0-6832-3CB2673DE23E}"/>
            </a:ext>
          </a:extLst>
        </xdr:cNvPr>
        <xdr:cNvCxnSpPr/>
      </xdr:nvCxnSpPr>
      <xdr:spPr>
        <a:xfrm flipV="1">
          <a:off x="235664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512" name="Match20">
          <a:extLst>
            <a:ext uri="{FF2B5EF4-FFF2-40B4-BE49-F238E27FC236}">
              <a16:creationId xmlns:a16="http://schemas.microsoft.com/office/drawing/2014/main" id="{99A41586-B3E7-FBE1-FE5C-5C63B9A1201F}"/>
            </a:ext>
          </a:extLst>
        </xdr:cNvPr>
        <xdr:cNvCxnSpPr/>
      </xdr:nvCxnSpPr>
      <xdr:spPr>
        <a:xfrm flipH="1">
          <a:off x="6357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1513" name="Match21">
          <a:extLst>
            <a:ext uri="{FF2B5EF4-FFF2-40B4-BE49-F238E27FC236}">
              <a16:creationId xmlns:a16="http://schemas.microsoft.com/office/drawing/2014/main" id="{38F366D8-AB33-AFE5-3CF8-57289D45ED8F}"/>
            </a:ext>
          </a:extLst>
        </xdr:cNvPr>
        <xdr:cNvCxnSpPr/>
      </xdr:nvCxnSpPr>
      <xdr:spPr>
        <a:xfrm>
          <a:off x="275510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1514" name="Match22">
          <a:extLst>
            <a:ext uri="{FF2B5EF4-FFF2-40B4-BE49-F238E27FC236}">
              <a16:creationId xmlns:a16="http://schemas.microsoft.com/office/drawing/2014/main" id="{C508D8D6-5FE7-CDC1-F2D3-43218CB7B1E3}"/>
            </a:ext>
          </a:extLst>
        </xdr:cNvPr>
        <xdr:cNvCxnSpPr/>
      </xdr:nvCxnSpPr>
      <xdr:spPr>
        <a:xfrm flipV="1"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515" name="Match23">
          <a:extLst>
            <a:ext uri="{FF2B5EF4-FFF2-40B4-BE49-F238E27FC236}">
              <a16:creationId xmlns:a16="http://schemas.microsoft.com/office/drawing/2014/main" id="{B79E14A5-433F-795F-7F0A-9A3A8CEF4A89}"/>
            </a:ext>
          </a:extLst>
        </xdr:cNvPr>
        <xdr:cNvCxnSpPr/>
      </xdr:nvCxnSpPr>
      <xdr:spPr>
        <a:xfrm flipH="1" flipV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516" name="Match24">
          <a:extLst>
            <a:ext uri="{FF2B5EF4-FFF2-40B4-BE49-F238E27FC236}">
              <a16:creationId xmlns:a16="http://schemas.microsoft.com/office/drawing/2014/main" id="{DCDA3ACA-6B69-9F66-FE90-67508232F5EE}"/>
            </a:ext>
          </a:extLst>
        </xdr:cNvPr>
        <xdr:cNvCxnSpPr/>
      </xdr:nvCxnSpPr>
      <xdr:spPr>
        <a:xfrm>
          <a:off x="275510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6</xdr:row>
      <xdr:rowOff>203994</xdr:rowOff>
    </xdr:to>
    <xdr:cxnSp macro="">
      <xdr:nvCxnSpPr>
        <xdr:cNvPr id="1517" name="Match25">
          <a:extLst>
            <a:ext uri="{FF2B5EF4-FFF2-40B4-BE49-F238E27FC236}">
              <a16:creationId xmlns:a16="http://schemas.microsoft.com/office/drawing/2014/main" id="{67DFDAE2-0DDF-AB38-9D67-52089A661C10}"/>
            </a:ext>
          </a:extLst>
        </xdr:cNvPr>
        <xdr:cNvCxnSpPr/>
      </xdr:nvCxnSpPr>
      <xdr:spPr>
        <a:xfrm flipH="1">
          <a:off x="2356644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518" name="Match26">
          <a:extLst>
            <a:ext uri="{FF2B5EF4-FFF2-40B4-BE49-F238E27FC236}">
              <a16:creationId xmlns:a16="http://schemas.microsoft.com/office/drawing/2014/main" id="{F2C31AD6-EFAA-58CB-1287-36824ABC45C4}"/>
            </a:ext>
          </a:extLst>
        </xdr:cNvPr>
        <xdr:cNvCxnSpPr/>
      </xdr:nvCxnSpPr>
      <xdr:spPr>
        <a:xfrm flipV="1"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519" name="Match27">
          <a:extLst>
            <a:ext uri="{FF2B5EF4-FFF2-40B4-BE49-F238E27FC236}">
              <a16:creationId xmlns:a16="http://schemas.microsoft.com/office/drawing/2014/main" id="{4F5E2250-60B4-8A6C-58D1-F2FDBA4E4E27}"/>
            </a:ext>
          </a:extLst>
        </xdr:cNvPr>
        <xdr:cNvCxnSpPr/>
      </xdr:nvCxnSpPr>
      <xdr:spPr>
        <a:xfrm flipV="1">
          <a:off x="233124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520" name="Match28">
          <a:extLst>
            <a:ext uri="{FF2B5EF4-FFF2-40B4-BE49-F238E27FC236}">
              <a16:creationId xmlns:a16="http://schemas.microsoft.com/office/drawing/2014/main" id="{CD8E4641-3395-892F-71BE-AC630D74662F}"/>
            </a:ext>
          </a:extLst>
        </xdr:cNvPr>
        <xdr:cNvCxnSpPr/>
      </xdr:nvCxnSpPr>
      <xdr:spPr>
        <a:xfrm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7</xdr:row>
      <xdr:rowOff>203993</xdr:rowOff>
    </xdr:from>
    <xdr:to>
      <xdr:col>7</xdr:col>
      <xdr:colOff>237331</xdr:colOff>
      <xdr:row>8</xdr:row>
      <xdr:rowOff>203994</xdr:rowOff>
    </xdr:to>
    <xdr:cxnSp macro="">
      <xdr:nvCxnSpPr>
        <xdr:cNvPr id="1521" name="Match29">
          <a:extLst>
            <a:ext uri="{FF2B5EF4-FFF2-40B4-BE49-F238E27FC236}">
              <a16:creationId xmlns:a16="http://schemas.microsoft.com/office/drawing/2014/main" id="{D459DAC7-BF73-DD7F-AB1E-A05A5239F2A1}"/>
            </a:ext>
          </a:extLst>
        </xdr:cNvPr>
        <xdr:cNvCxnSpPr/>
      </xdr:nvCxnSpPr>
      <xdr:spPr>
        <a:xfrm>
          <a:off x="3204369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1522" name="Match30">
          <a:extLst>
            <a:ext uri="{FF2B5EF4-FFF2-40B4-BE49-F238E27FC236}">
              <a16:creationId xmlns:a16="http://schemas.microsoft.com/office/drawing/2014/main" id="{8BB83C75-AE4F-395C-8E2E-A551B340A19F}"/>
            </a:ext>
          </a:extLst>
        </xdr:cNvPr>
        <xdr:cNvCxnSpPr/>
      </xdr:nvCxnSpPr>
      <xdr:spPr>
        <a:xfrm flipV="1">
          <a:off x="3229769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523" name="Match31">
          <a:extLst>
            <a:ext uri="{FF2B5EF4-FFF2-40B4-BE49-F238E27FC236}">
              <a16:creationId xmlns:a16="http://schemas.microsoft.com/office/drawing/2014/main" id="{CDB13527-40ED-124F-613D-A5127006E43D}"/>
            </a:ext>
          </a:extLst>
        </xdr:cNvPr>
        <xdr:cNvCxnSpPr/>
      </xdr:nvCxnSpPr>
      <xdr:spPr>
        <a:xfrm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10</xdr:col>
      <xdr:colOff>237331</xdr:colOff>
      <xdr:row>8</xdr:row>
      <xdr:rowOff>203994</xdr:rowOff>
    </xdr:to>
    <xdr:cxnSp macro="">
      <xdr:nvCxnSpPr>
        <xdr:cNvPr id="1524" name="Match32">
          <a:extLst>
            <a:ext uri="{FF2B5EF4-FFF2-40B4-BE49-F238E27FC236}">
              <a16:creationId xmlns:a16="http://schemas.microsoft.com/office/drawing/2014/main" id="{9817F091-00FE-D6AE-2311-BD17767AF922}"/>
            </a:ext>
          </a:extLst>
        </xdr:cNvPr>
        <xdr:cNvCxnSpPr/>
      </xdr:nvCxnSpPr>
      <xdr:spPr>
        <a:xfrm>
          <a:off x="4052094" y="270430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7</xdr:row>
      <xdr:rowOff>229393</xdr:rowOff>
    </xdr:from>
    <xdr:to>
      <xdr:col>9</xdr:col>
      <xdr:colOff>262731</xdr:colOff>
      <xdr:row>7</xdr:row>
      <xdr:rowOff>229393</xdr:rowOff>
    </xdr:to>
    <xdr:cxnSp macro="">
      <xdr:nvCxnSpPr>
        <xdr:cNvPr id="1525" name="Match33">
          <a:extLst>
            <a:ext uri="{FF2B5EF4-FFF2-40B4-BE49-F238E27FC236}">
              <a16:creationId xmlns:a16="http://schemas.microsoft.com/office/drawing/2014/main" id="{09542EDF-EEAE-12CA-B56D-DCF8674BAB9A}"/>
            </a:ext>
          </a:extLst>
        </xdr:cNvPr>
        <xdr:cNvCxnSpPr/>
      </xdr:nvCxnSpPr>
      <xdr:spPr>
        <a:xfrm flipH="1">
          <a:off x="3653631" y="2729706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526" name="Match34">
          <a:extLst>
            <a:ext uri="{FF2B5EF4-FFF2-40B4-BE49-F238E27FC236}">
              <a16:creationId xmlns:a16="http://schemas.microsoft.com/office/drawing/2014/main" id="{31CAE3EC-9FED-FF71-7345-A0C76954E6ED}"/>
            </a:ext>
          </a:extLst>
        </xdr:cNvPr>
        <xdr:cNvCxnSpPr/>
      </xdr:nvCxnSpPr>
      <xdr:spPr>
        <a:xfrm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9</xdr:row>
      <xdr:rowOff>178593</xdr:rowOff>
    </xdr:to>
    <xdr:cxnSp macro="">
      <xdr:nvCxnSpPr>
        <xdr:cNvPr id="1527" name="Match35">
          <a:extLst>
            <a:ext uri="{FF2B5EF4-FFF2-40B4-BE49-F238E27FC236}">
              <a16:creationId xmlns:a16="http://schemas.microsoft.com/office/drawing/2014/main" id="{A97358B4-FBE1-17C4-2F93-E94A6788528B}"/>
            </a:ext>
          </a:extLst>
        </xdr:cNvPr>
        <xdr:cNvCxnSpPr/>
      </xdr:nvCxnSpPr>
      <xdr:spPr>
        <a:xfrm flipV="1">
          <a:off x="63579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528" name="Match36">
          <a:extLst>
            <a:ext uri="{FF2B5EF4-FFF2-40B4-BE49-F238E27FC236}">
              <a16:creationId xmlns:a16="http://schemas.microsoft.com/office/drawing/2014/main" id="{3DC68205-E9DE-90C7-B677-597B34B4AD0D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1529" name="Match37">
          <a:extLst>
            <a:ext uri="{FF2B5EF4-FFF2-40B4-BE49-F238E27FC236}">
              <a16:creationId xmlns:a16="http://schemas.microsoft.com/office/drawing/2014/main" id="{CC078E7D-2A79-0754-28C2-7EC1C377DFF6}"/>
            </a:ext>
          </a:extLst>
        </xdr:cNvPr>
        <xdr:cNvCxnSpPr/>
      </xdr:nvCxnSpPr>
      <xdr:spPr>
        <a:xfrm>
          <a:off x="36282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9</xdr:row>
      <xdr:rowOff>229393</xdr:rowOff>
    </xdr:from>
    <xdr:to>
      <xdr:col>8</xdr:col>
      <xdr:colOff>262731</xdr:colOff>
      <xdr:row>10</xdr:row>
      <xdr:rowOff>229394</xdr:rowOff>
    </xdr:to>
    <xdr:cxnSp macro="">
      <xdr:nvCxnSpPr>
        <xdr:cNvPr id="1530" name="Match38">
          <a:extLst>
            <a:ext uri="{FF2B5EF4-FFF2-40B4-BE49-F238E27FC236}">
              <a16:creationId xmlns:a16="http://schemas.microsoft.com/office/drawing/2014/main" id="{CFCDDB42-588D-E3A0-91DC-8B6F7E1BB5E2}"/>
            </a:ext>
          </a:extLst>
        </xdr:cNvPr>
        <xdr:cNvCxnSpPr/>
      </xdr:nvCxnSpPr>
      <xdr:spPr>
        <a:xfrm flipH="1">
          <a:off x="3229769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8</xdr:row>
      <xdr:rowOff>254794</xdr:rowOff>
    </xdr:from>
    <xdr:to>
      <xdr:col>8</xdr:col>
      <xdr:colOff>288131</xdr:colOff>
      <xdr:row>9</xdr:row>
      <xdr:rowOff>254793</xdr:rowOff>
    </xdr:to>
    <xdr:cxnSp macro="">
      <xdr:nvCxnSpPr>
        <xdr:cNvPr id="1531" name="Match39">
          <a:extLst>
            <a:ext uri="{FF2B5EF4-FFF2-40B4-BE49-F238E27FC236}">
              <a16:creationId xmlns:a16="http://schemas.microsoft.com/office/drawing/2014/main" id="{D5B6BB17-F38D-F5E5-64F7-14FBAD6B5FDD}"/>
            </a:ext>
          </a:extLst>
        </xdr:cNvPr>
        <xdr:cNvCxnSpPr/>
      </xdr:nvCxnSpPr>
      <xdr:spPr>
        <a:xfrm flipH="1" flipV="1">
          <a:off x="3255169" y="3112294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10</xdr:row>
      <xdr:rowOff>178594</xdr:rowOff>
    </xdr:to>
    <xdr:cxnSp macro="">
      <xdr:nvCxnSpPr>
        <xdr:cNvPr id="1532" name="Match40">
          <a:extLst>
            <a:ext uri="{FF2B5EF4-FFF2-40B4-BE49-F238E27FC236}">
              <a16:creationId xmlns:a16="http://schemas.microsoft.com/office/drawing/2014/main" id="{F63B979D-6D86-64B6-F589-2EFA1D423B98}"/>
            </a:ext>
          </a:extLst>
        </xdr:cNvPr>
        <xdr:cNvCxnSpPr/>
      </xdr:nvCxnSpPr>
      <xdr:spPr>
        <a:xfrm>
          <a:off x="275510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533" name="Match41">
          <a:extLst>
            <a:ext uri="{FF2B5EF4-FFF2-40B4-BE49-F238E27FC236}">
              <a16:creationId xmlns:a16="http://schemas.microsoft.com/office/drawing/2014/main" id="{D11FEE7C-761D-545B-D53F-011822B91122}"/>
            </a:ext>
          </a:extLst>
        </xdr:cNvPr>
        <xdr:cNvCxnSpPr/>
      </xdr:nvCxnSpPr>
      <xdr:spPr>
        <a:xfrm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10</xdr:row>
      <xdr:rowOff>203994</xdr:rowOff>
    </xdr:from>
    <xdr:to>
      <xdr:col>8</xdr:col>
      <xdr:colOff>237331</xdr:colOff>
      <xdr:row>10</xdr:row>
      <xdr:rowOff>203994</xdr:rowOff>
    </xdr:to>
    <xdr:cxnSp macro="">
      <xdr:nvCxnSpPr>
        <xdr:cNvPr id="1534" name="Match42">
          <a:extLst>
            <a:ext uri="{FF2B5EF4-FFF2-40B4-BE49-F238E27FC236}">
              <a16:creationId xmlns:a16="http://schemas.microsoft.com/office/drawing/2014/main" id="{86C19236-565B-205A-A130-2888D35B82FC}"/>
            </a:ext>
          </a:extLst>
        </xdr:cNvPr>
        <xdr:cNvCxnSpPr/>
      </xdr:nvCxnSpPr>
      <xdr:spPr>
        <a:xfrm flipH="1">
          <a:off x="3204369" y="37758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9</xdr:row>
      <xdr:rowOff>229393</xdr:rowOff>
    </xdr:from>
    <xdr:to>
      <xdr:col>9</xdr:col>
      <xdr:colOff>262731</xdr:colOff>
      <xdr:row>10</xdr:row>
      <xdr:rowOff>229394</xdr:rowOff>
    </xdr:to>
    <xdr:cxnSp macro="">
      <xdr:nvCxnSpPr>
        <xdr:cNvPr id="1535" name="Match43">
          <a:extLst>
            <a:ext uri="{FF2B5EF4-FFF2-40B4-BE49-F238E27FC236}">
              <a16:creationId xmlns:a16="http://schemas.microsoft.com/office/drawing/2014/main" id="{0D7437F7-A701-0EF8-9D07-E3C41E2A6B02}"/>
            </a:ext>
          </a:extLst>
        </xdr:cNvPr>
        <xdr:cNvCxnSpPr/>
      </xdr:nvCxnSpPr>
      <xdr:spPr>
        <a:xfrm flipV="1">
          <a:off x="3653631" y="34440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3</xdr:col>
      <xdr:colOff>211931</xdr:colOff>
      <xdr:row>11</xdr:row>
      <xdr:rowOff>178593</xdr:rowOff>
    </xdr:to>
    <xdr:cxnSp macro="">
      <xdr:nvCxnSpPr>
        <xdr:cNvPr id="1536" name="Match44">
          <a:extLst>
            <a:ext uri="{FF2B5EF4-FFF2-40B4-BE49-F238E27FC236}">
              <a16:creationId xmlns:a16="http://schemas.microsoft.com/office/drawing/2014/main" id="{09A9C501-9AA2-220F-6D3F-EAA9C88B7D11}"/>
            </a:ext>
          </a:extLst>
        </xdr:cNvPr>
        <xdr:cNvCxnSpPr/>
      </xdr:nvCxnSpPr>
      <xdr:spPr>
        <a:xfrm flipV="1">
          <a:off x="14835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537" name="Match45">
          <a:extLst>
            <a:ext uri="{FF2B5EF4-FFF2-40B4-BE49-F238E27FC236}">
              <a16:creationId xmlns:a16="http://schemas.microsoft.com/office/drawing/2014/main" id="{B2BB012C-AAB7-0DF9-72ED-AE8A2A911E97}"/>
            </a:ext>
          </a:extLst>
        </xdr:cNvPr>
        <xdr:cNvCxnSpPr/>
      </xdr:nvCxnSpPr>
      <xdr:spPr>
        <a:xfrm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</xdr:row>
      <xdr:rowOff>203993</xdr:rowOff>
    </xdr:from>
    <xdr:to>
      <xdr:col>0</xdr:col>
      <xdr:colOff>237331</xdr:colOff>
      <xdr:row>2</xdr:row>
      <xdr:rowOff>203994</xdr:rowOff>
    </xdr:to>
    <xdr:cxnSp macro="">
      <xdr:nvCxnSpPr>
        <xdr:cNvPr id="1538" name="Match46">
          <a:extLst>
            <a:ext uri="{FF2B5EF4-FFF2-40B4-BE49-F238E27FC236}">
              <a16:creationId xmlns:a16="http://schemas.microsoft.com/office/drawing/2014/main" id="{2C475F6A-7ABC-8751-5738-BEB260ACCA9B}"/>
            </a:ext>
          </a:extLst>
        </xdr:cNvPr>
        <xdr:cNvCxnSpPr/>
      </xdr:nvCxnSpPr>
      <xdr:spPr>
        <a:xfrm>
          <a:off x="2373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1539" name="Match47">
          <a:extLst>
            <a:ext uri="{FF2B5EF4-FFF2-40B4-BE49-F238E27FC236}">
              <a16:creationId xmlns:a16="http://schemas.microsoft.com/office/drawing/2014/main" id="{FA885EB1-FE50-B4B8-7EDE-6567D3416B3A}"/>
            </a:ext>
          </a:extLst>
        </xdr:cNvPr>
        <xdr:cNvCxnSpPr/>
      </xdr:nvCxnSpPr>
      <xdr:spPr>
        <a:xfrm>
          <a:off x="2119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0</xdr:col>
      <xdr:colOff>237331</xdr:colOff>
      <xdr:row>3</xdr:row>
      <xdr:rowOff>203993</xdr:rowOff>
    </xdr:to>
    <xdr:cxnSp macro="">
      <xdr:nvCxnSpPr>
        <xdr:cNvPr id="1540" name="Match48">
          <a:extLst>
            <a:ext uri="{FF2B5EF4-FFF2-40B4-BE49-F238E27FC236}">
              <a16:creationId xmlns:a16="http://schemas.microsoft.com/office/drawing/2014/main" id="{FB91DAE8-300D-AFEA-A68A-D5959DE39EC7}"/>
            </a:ext>
          </a:extLst>
        </xdr:cNvPr>
        <xdr:cNvCxnSpPr/>
      </xdr:nvCxnSpPr>
      <xdr:spPr>
        <a:xfrm>
          <a:off x="237331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</xdr:row>
      <xdr:rowOff>229393</xdr:rowOff>
    </xdr:from>
    <xdr:to>
      <xdr:col>0</xdr:col>
      <xdr:colOff>262731</xdr:colOff>
      <xdr:row>2</xdr:row>
      <xdr:rowOff>229394</xdr:rowOff>
    </xdr:to>
    <xdr:cxnSp macro="">
      <xdr:nvCxnSpPr>
        <xdr:cNvPr id="1541" name="Match49">
          <a:extLst>
            <a:ext uri="{FF2B5EF4-FFF2-40B4-BE49-F238E27FC236}">
              <a16:creationId xmlns:a16="http://schemas.microsoft.com/office/drawing/2014/main" id="{17051B08-A9D5-05CA-5B35-E1A778560526}"/>
            </a:ext>
          </a:extLst>
        </xdr:cNvPr>
        <xdr:cNvCxnSpPr/>
      </xdr:nvCxnSpPr>
      <xdr:spPr>
        <a:xfrm flipV="1">
          <a:off x="262731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542" name="Match50">
          <a:extLst>
            <a:ext uri="{FF2B5EF4-FFF2-40B4-BE49-F238E27FC236}">
              <a16:creationId xmlns:a16="http://schemas.microsoft.com/office/drawing/2014/main" id="{D2D91A66-13AD-0492-161B-CF016CB203EF}"/>
            </a:ext>
          </a:extLst>
        </xdr:cNvPr>
        <xdr:cNvCxnSpPr/>
      </xdr:nvCxnSpPr>
      <xdr:spPr>
        <a:xfrm flipH="1">
          <a:off x="2119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2</xdr:row>
      <xdr:rowOff>203994</xdr:rowOff>
    </xdr:to>
    <xdr:cxnSp macro="">
      <xdr:nvCxnSpPr>
        <xdr:cNvPr id="1543" name="Match51">
          <a:extLst>
            <a:ext uri="{FF2B5EF4-FFF2-40B4-BE49-F238E27FC236}">
              <a16:creationId xmlns:a16="http://schemas.microsoft.com/office/drawing/2014/main" id="{B6A12D40-C3A9-893B-CB1B-4F28FD4A322B}"/>
            </a:ext>
          </a:extLst>
        </xdr:cNvPr>
        <xdr:cNvCxnSpPr/>
      </xdr:nvCxnSpPr>
      <xdr:spPr>
        <a:xfrm flipH="1">
          <a:off x="237331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1</xdr:row>
      <xdr:rowOff>229393</xdr:rowOff>
    </xdr:from>
    <xdr:to>
      <xdr:col>1</xdr:col>
      <xdr:colOff>262731</xdr:colOff>
      <xdr:row>2</xdr:row>
      <xdr:rowOff>229394</xdr:rowOff>
    </xdr:to>
    <xdr:cxnSp macro="">
      <xdr:nvCxnSpPr>
        <xdr:cNvPr id="1544" name="Match52">
          <a:extLst>
            <a:ext uri="{FF2B5EF4-FFF2-40B4-BE49-F238E27FC236}">
              <a16:creationId xmlns:a16="http://schemas.microsoft.com/office/drawing/2014/main" id="{9217F924-4004-9836-1BA0-AA130BA30B66}"/>
            </a:ext>
          </a:extLst>
        </xdr:cNvPr>
        <xdr:cNvCxnSpPr/>
      </xdr:nvCxnSpPr>
      <xdr:spPr>
        <a:xfrm flipH="1" flipV="1">
          <a:off x="262731" y="58658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0</xdr:col>
      <xdr:colOff>211931</xdr:colOff>
      <xdr:row>3</xdr:row>
      <xdr:rowOff>178593</xdr:rowOff>
    </xdr:to>
    <xdr:cxnSp macro="">
      <xdr:nvCxnSpPr>
        <xdr:cNvPr id="1545" name="Match53">
          <a:extLst>
            <a:ext uri="{FF2B5EF4-FFF2-40B4-BE49-F238E27FC236}">
              <a16:creationId xmlns:a16="http://schemas.microsoft.com/office/drawing/2014/main" id="{D9ADEFCB-9922-16E5-CC28-DFEEBB7BBE78}"/>
            </a:ext>
          </a:extLst>
        </xdr:cNvPr>
        <xdr:cNvCxnSpPr/>
      </xdr:nvCxnSpPr>
      <xdr:spPr>
        <a:xfrm flipV="1">
          <a:off x="2119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546" name="Match54">
          <a:extLst>
            <a:ext uri="{FF2B5EF4-FFF2-40B4-BE49-F238E27FC236}">
              <a16:creationId xmlns:a16="http://schemas.microsoft.com/office/drawing/2014/main" id="{C41D53B3-8838-89C9-832D-F55FB848C250}"/>
            </a:ext>
          </a:extLst>
        </xdr:cNvPr>
        <xdr:cNvCxnSpPr/>
      </xdr:nvCxnSpPr>
      <xdr:spPr>
        <a:xfrm flipV="1">
          <a:off x="2373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547" name="Match55">
          <a:extLst>
            <a:ext uri="{FF2B5EF4-FFF2-40B4-BE49-F238E27FC236}">
              <a16:creationId xmlns:a16="http://schemas.microsoft.com/office/drawing/2014/main" id="{86C13FCA-E516-7374-1DB2-B580EB399199}"/>
            </a:ext>
          </a:extLst>
        </xdr:cNvPr>
        <xdr:cNvCxnSpPr/>
      </xdr:nvCxnSpPr>
      <xdr:spPr>
        <a:xfrm flipH="1">
          <a:off x="1508919" y="203994"/>
          <a:ext cx="1271587" cy="1071562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6</xdr:row>
      <xdr:rowOff>229394</xdr:rowOff>
    </xdr:from>
    <xdr:to>
      <xdr:col>8</xdr:col>
      <xdr:colOff>262731</xdr:colOff>
      <xdr:row>9</xdr:row>
      <xdr:rowOff>229393</xdr:rowOff>
    </xdr:to>
    <xdr:cxnSp macro="">
      <xdr:nvCxnSpPr>
        <xdr:cNvPr id="1548" name="Match56">
          <a:extLst>
            <a:ext uri="{FF2B5EF4-FFF2-40B4-BE49-F238E27FC236}">
              <a16:creationId xmlns:a16="http://schemas.microsoft.com/office/drawing/2014/main" id="{91D1297B-6E8B-C5A9-1F31-9B4F8B9F8A46}"/>
            </a:ext>
          </a:extLst>
        </xdr:cNvPr>
        <xdr:cNvCxnSpPr/>
      </xdr:nvCxnSpPr>
      <xdr:spPr>
        <a:xfrm flipV="1">
          <a:off x="2382044" y="2372519"/>
          <a:ext cx="1271587" cy="1071562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9</xdr:col>
      <xdr:colOff>211931</xdr:colOff>
      <xdr:row>2</xdr:row>
      <xdr:rowOff>178594</xdr:rowOff>
    </xdr:to>
    <xdr:cxnSp macro="">
      <xdr:nvCxnSpPr>
        <xdr:cNvPr id="1549" name="Match57">
          <a:extLst>
            <a:ext uri="{FF2B5EF4-FFF2-40B4-BE49-F238E27FC236}">
              <a16:creationId xmlns:a16="http://schemas.microsoft.com/office/drawing/2014/main" id="{378F1FEF-92E3-E2F8-BCEF-CD63A018D65D}"/>
            </a:ext>
          </a:extLst>
        </xdr:cNvPr>
        <xdr:cNvCxnSpPr/>
      </xdr:nvCxnSpPr>
      <xdr:spPr>
        <a:xfrm>
          <a:off x="3178969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0</xdr:row>
      <xdr:rowOff>203994</xdr:rowOff>
    </xdr:from>
    <xdr:to>
      <xdr:col>7</xdr:col>
      <xdr:colOff>237331</xdr:colOff>
      <xdr:row>2</xdr:row>
      <xdr:rowOff>203994</xdr:rowOff>
    </xdr:to>
    <xdr:cxnSp macro="">
      <xdr:nvCxnSpPr>
        <xdr:cNvPr id="1550" name="Match58">
          <a:extLst>
            <a:ext uri="{FF2B5EF4-FFF2-40B4-BE49-F238E27FC236}">
              <a16:creationId xmlns:a16="http://schemas.microsoft.com/office/drawing/2014/main" id="{EB1E55AD-B216-85F6-6DF8-56B03DB6180D}"/>
            </a:ext>
          </a:extLst>
        </xdr:cNvPr>
        <xdr:cNvCxnSpPr/>
      </xdr:nvCxnSpPr>
      <xdr:spPr>
        <a:xfrm flipH="1">
          <a:off x="2356644" y="2039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10</xdr:col>
      <xdr:colOff>211931</xdr:colOff>
      <xdr:row>3</xdr:row>
      <xdr:rowOff>178593</xdr:rowOff>
    </xdr:to>
    <xdr:cxnSp macro="">
      <xdr:nvCxnSpPr>
        <xdr:cNvPr id="1551" name="Match59">
          <a:extLst>
            <a:ext uri="{FF2B5EF4-FFF2-40B4-BE49-F238E27FC236}">
              <a16:creationId xmlns:a16="http://schemas.microsoft.com/office/drawing/2014/main" id="{DC907B15-332C-1A0F-ACE8-68680F149374}"/>
            </a:ext>
          </a:extLst>
        </xdr:cNvPr>
        <xdr:cNvCxnSpPr/>
      </xdr:nvCxnSpPr>
      <xdr:spPr>
        <a:xfrm flipH="1" flipV="1">
          <a:off x="36028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552" name="Match60">
          <a:extLst>
            <a:ext uri="{FF2B5EF4-FFF2-40B4-BE49-F238E27FC236}">
              <a16:creationId xmlns:a16="http://schemas.microsoft.com/office/drawing/2014/main" id="{A5E4D05F-56D9-46E4-0378-08B0506DD2F4}"/>
            </a:ext>
          </a:extLst>
        </xdr:cNvPr>
        <xdr:cNvCxnSpPr/>
      </xdr:nvCxnSpPr>
      <xdr:spPr>
        <a:xfrm flipH="1">
          <a:off x="275510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553" name="Match61">
          <a:extLst>
            <a:ext uri="{FF2B5EF4-FFF2-40B4-BE49-F238E27FC236}">
              <a16:creationId xmlns:a16="http://schemas.microsoft.com/office/drawing/2014/main" id="{072ED90E-29A8-AD26-AA1D-8FD4214660A0}"/>
            </a:ext>
          </a:extLst>
        </xdr:cNvPr>
        <xdr:cNvCxnSpPr/>
      </xdr:nvCxnSpPr>
      <xdr:spPr>
        <a:xfrm flipV="1">
          <a:off x="320436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3</xdr:row>
      <xdr:rowOff>229393</xdr:rowOff>
    </xdr:from>
    <xdr:to>
      <xdr:col>8</xdr:col>
      <xdr:colOff>262731</xdr:colOff>
      <xdr:row>4</xdr:row>
      <xdr:rowOff>229394</xdr:rowOff>
    </xdr:to>
    <xdr:cxnSp macro="">
      <xdr:nvCxnSpPr>
        <xdr:cNvPr id="1554" name="Match62">
          <a:extLst>
            <a:ext uri="{FF2B5EF4-FFF2-40B4-BE49-F238E27FC236}">
              <a16:creationId xmlns:a16="http://schemas.microsoft.com/office/drawing/2014/main" id="{91EB53C2-989C-7CC4-28F1-4FAB27E63D8A}"/>
            </a:ext>
          </a:extLst>
        </xdr:cNvPr>
        <xdr:cNvCxnSpPr/>
      </xdr:nvCxnSpPr>
      <xdr:spPr>
        <a:xfrm flipV="1">
          <a:off x="3229769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555" name="Match63">
          <a:extLst>
            <a:ext uri="{FF2B5EF4-FFF2-40B4-BE49-F238E27FC236}">
              <a16:creationId xmlns:a16="http://schemas.microsoft.com/office/drawing/2014/main" id="{F1A4D8D2-B9E0-FCE4-B12A-6D6F8DFC22E3}"/>
            </a:ext>
          </a:extLst>
        </xdr:cNvPr>
        <xdr:cNvCxnSpPr/>
      </xdr:nvCxnSpPr>
      <xdr:spPr>
        <a:xfrm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556" name="Match64">
          <a:extLst>
            <a:ext uri="{FF2B5EF4-FFF2-40B4-BE49-F238E27FC236}">
              <a16:creationId xmlns:a16="http://schemas.microsoft.com/office/drawing/2014/main" id="{07F4BA72-990B-4A13-2885-42C8C64BCC3C}"/>
            </a:ext>
          </a:extLst>
        </xdr:cNvPr>
        <xdr:cNvCxnSpPr/>
      </xdr:nvCxnSpPr>
      <xdr:spPr>
        <a:xfrm>
          <a:off x="6357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557" name="Match65">
          <a:extLst>
            <a:ext uri="{FF2B5EF4-FFF2-40B4-BE49-F238E27FC236}">
              <a16:creationId xmlns:a16="http://schemas.microsoft.com/office/drawing/2014/main" id="{EA8207AB-7DE8-476D-8786-52F1C1CAD055}"/>
            </a:ext>
          </a:extLst>
        </xdr:cNvPr>
        <xdr:cNvCxnSpPr/>
      </xdr:nvCxnSpPr>
      <xdr:spPr>
        <a:xfrm>
          <a:off x="2119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558" name="Match66">
          <a:extLst>
            <a:ext uri="{FF2B5EF4-FFF2-40B4-BE49-F238E27FC236}">
              <a16:creationId xmlns:a16="http://schemas.microsoft.com/office/drawing/2014/main" id="{C9E12F7F-B2D2-7D0B-B4D1-7BD4331EAC04}"/>
            </a:ext>
          </a:extLst>
        </xdr:cNvPr>
        <xdr:cNvCxnSpPr/>
      </xdr:nvCxnSpPr>
      <xdr:spPr>
        <a:xfrm flipH="1">
          <a:off x="6357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3</xdr:col>
      <xdr:colOff>237331</xdr:colOff>
      <xdr:row>9</xdr:row>
      <xdr:rowOff>203993</xdr:rowOff>
    </xdr:to>
    <xdr:cxnSp macro="">
      <xdr:nvCxnSpPr>
        <xdr:cNvPr id="1559" name="Match67">
          <a:extLst>
            <a:ext uri="{FF2B5EF4-FFF2-40B4-BE49-F238E27FC236}">
              <a16:creationId xmlns:a16="http://schemas.microsoft.com/office/drawing/2014/main" id="{4115FE28-4054-5B03-5FB4-088DB02761C6}"/>
            </a:ext>
          </a:extLst>
        </xdr:cNvPr>
        <xdr:cNvCxnSpPr/>
      </xdr:nvCxnSpPr>
      <xdr:spPr>
        <a:xfrm flipV="1">
          <a:off x="108505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560" name="Match68">
          <a:extLst>
            <a:ext uri="{FF2B5EF4-FFF2-40B4-BE49-F238E27FC236}">
              <a16:creationId xmlns:a16="http://schemas.microsoft.com/office/drawing/2014/main" id="{C3AB127C-D820-AB76-9904-FC1648FFA0F6}"/>
            </a:ext>
          </a:extLst>
        </xdr:cNvPr>
        <xdr:cNvCxnSpPr/>
      </xdr:nvCxnSpPr>
      <xdr:spPr>
        <a:xfrm flipV="1">
          <a:off x="190738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5</xdr:col>
      <xdr:colOff>237331</xdr:colOff>
      <xdr:row>10</xdr:row>
      <xdr:rowOff>203994</xdr:rowOff>
    </xdr:to>
    <xdr:cxnSp macro="">
      <xdr:nvCxnSpPr>
        <xdr:cNvPr id="1561" name="Match69">
          <a:extLst>
            <a:ext uri="{FF2B5EF4-FFF2-40B4-BE49-F238E27FC236}">
              <a16:creationId xmlns:a16="http://schemas.microsoft.com/office/drawing/2014/main" id="{AE7B53CD-A08E-2E7B-04D6-0290477BCC13}"/>
            </a:ext>
          </a:extLst>
        </xdr:cNvPr>
        <xdr:cNvCxnSpPr/>
      </xdr:nvCxnSpPr>
      <xdr:spPr>
        <a:xfrm flipH="1" flipV="1">
          <a:off x="193278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562" name="Match70">
          <a:extLst>
            <a:ext uri="{FF2B5EF4-FFF2-40B4-BE49-F238E27FC236}">
              <a16:creationId xmlns:a16="http://schemas.microsoft.com/office/drawing/2014/main" id="{EEBFBD90-051F-1C96-E4D4-3CF358B219B5}"/>
            </a:ext>
          </a:extLst>
        </xdr:cNvPr>
        <xdr:cNvCxnSpPr/>
      </xdr:nvCxnSpPr>
      <xdr:spPr>
        <a:xfrm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10</xdr:row>
      <xdr:rowOff>203994</xdr:rowOff>
    </xdr:from>
    <xdr:to>
      <xdr:col>11</xdr:col>
      <xdr:colOff>237331</xdr:colOff>
      <xdr:row>11</xdr:row>
      <xdr:rowOff>203993</xdr:rowOff>
    </xdr:to>
    <xdr:cxnSp macro="">
      <xdr:nvCxnSpPr>
        <xdr:cNvPr id="1563" name="Match71">
          <a:extLst>
            <a:ext uri="{FF2B5EF4-FFF2-40B4-BE49-F238E27FC236}">
              <a16:creationId xmlns:a16="http://schemas.microsoft.com/office/drawing/2014/main" id="{4DD45C62-3EDD-E89B-B785-52CFAF1DA9EF}"/>
            </a:ext>
          </a:extLst>
        </xdr:cNvPr>
        <xdr:cNvCxnSpPr/>
      </xdr:nvCxnSpPr>
      <xdr:spPr>
        <a:xfrm flipV="1">
          <a:off x="4899819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564" name="Match72">
          <a:extLst>
            <a:ext uri="{FF2B5EF4-FFF2-40B4-BE49-F238E27FC236}">
              <a16:creationId xmlns:a16="http://schemas.microsoft.com/office/drawing/2014/main" id="{CBCD1252-1BB0-EE6B-232D-866CF3C23EF7}"/>
            </a:ext>
          </a:extLst>
        </xdr:cNvPr>
        <xdr:cNvCxnSpPr/>
      </xdr:nvCxnSpPr>
      <xdr:spPr>
        <a:xfrm>
          <a:off x="1907381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565" name="Match73">
          <a:extLst>
            <a:ext uri="{FF2B5EF4-FFF2-40B4-BE49-F238E27FC236}">
              <a16:creationId xmlns:a16="http://schemas.microsoft.com/office/drawing/2014/main" id="{3553B38F-9693-061C-C910-4929B9BB0F13}"/>
            </a:ext>
          </a:extLst>
        </xdr:cNvPr>
        <xdr:cNvCxnSpPr/>
      </xdr:nvCxnSpPr>
      <xdr:spPr>
        <a:xfrm>
          <a:off x="1483519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566" name="Match74">
          <a:extLst>
            <a:ext uri="{FF2B5EF4-FFF2-40B4-BE49-F238E27FC236}">
              <a16:creationId xmlns:a16="http://schemas.microsoft.com/office/drawing/2014/main" id="{88CEAEB8-F96B-BF0E-9FBF-C35589D72541}"/>
            </a:ext>
          </a:extLst>
        </xdr:cNvPr>
        <xdr:cNvCxnSpPr/>
      </xdr:nvCxnSpPr>
      <xdr:spPr>
        <a:xfrm flipH="1" flipV="1">
          <a:off x="3602831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567" name="Match75">
          <a:extLst>
            <a:ext uri="{FF2B5EF4-FFF2-40B4-BE49-F238E27FC236}">
              <a16:creationId xmlns:a16="http://schemas.microsoft.com/office/drawing/2014/main" id="{76A832FC-7A77-5163-05B1-005A58061C9C}"/>
            </a:ext>
          </a:extLst>
        </xdr:cNvPr>
        <xdr:cNvCxnSpPr/>
      </xdr:nvCxnSpPr>
      <xdr:spPr>
        <a:xfrm flipH="1">
          <a:off x="1483519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10</xdr:col>
      <xdr:colOff>211931</xdr:colOff>
      <xdr:row>11</xdr:row>
      <xdr:rowOff>178593</xdr:rowOff>
    </xdr:to>
    <xdr:cxnSp macro="">
      <xdr:nvCxnSpPr>
        <xdr:cNvPr id="1568" name="Match76">
          <a:extLst>
            <a:ext uri="{FF2B5EF4-FFF2-40B4-BE49-F238E27FC236}">
              <a16:creationId xmlns:a16="http://schemas.microsoft.com/office/drawing/2014/main" id="{4D923EFA-B43D-96F8-19D4-B0522D91D3F8}"/>
            </a:ext>
          </a:extLst>
        </xdr:cNvPr>
        <xdr:cNvCxnSpPr/>
      </xdr:nvCxnSpPr>
      <xdr:spPr>
        <a:xfrm>
          <a:off x="2755106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11</xdr:row>
      <xdr:rowOff>203993</xdr:rowOff>
    </xdr:from>
    <xdr:to>
      <xdr:col>10</xdr:col>
      <xdr:colOff>237331</xdr:colOff>
      <xdr:row>11</xdr:row>
      <xdr:rowOff>203993</xdr:rowOff>
    </xdr:to>
    <xdr:cxnSp macro="">
      <xdr:nvCxnSpPr>
        <xdr:cNvPr id="1569" name="Match77">
          <a:extLst>
            <a:ext uri="{FF2B5EF4-FFF2-40B4-BE49-F238E27FC236}">
              <a16:creationId xmlns:a16="http://schemas.microsoft.com/office/drawing/2014/main" id="{CAB1B0CB-E8E2-76EA-71D4-4F2AF24AD450}"/>
            </a:ext>
          </a:extLst>
        </xdr:cNvPr>
        <xdr:cNvCxnSpPr/>
      </xdr:nvCxnSpPr>
      <xdr:spPr>
        <a:xfrm flipH="1">
          <a:off x="2780506" y="4133056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0</xdr:row>
      <xdr:rowOff>178594</xdr:rowOff>
    </xdr:from>
    <xdr:to>
      <xdr:col>10</xdr:col>
      <xdr:colOff>211931</xdr:colOff>
      <xdr:row>4</xdr:row>
      <xdr:rowOff>178594</xdr:rowOff>
    </xdr:to>
    <xdr:cxnSp macro="">
      <xdr:nvCxnSpPr>
        <xdr:cNvPr id="1570" name="Match78">
          <a:extLst>
            <a:ext uri="{FF2B5EF4-FFF2-40B4-BE49-F238E27FC236}">
              <a16:creationId xmlns:a16="http://schemas.microsoft.com/office/drawing/2014/main" id="{D0B0DF91-9C1F-DDC5-8D63-D45882998150}"/>
            </a:ext>
          </a:extLst>
        </xdr:cNvPr>
        <xdr:cNvCxnSpPr/>
      </xdr:nvCxnSpPr>
      <xdr:spPr>
        <a:xfrm flipV="1">
          <a:off x="2755106" y="17859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571" name="Match79">
          <a:extLst>
            <a:ext uri="{FF2B5EF4-FFF2-40B4-BE49-F238E27FC236}">
              <a16:creationId xmlns:a16="http://schemas.microsoft.com/office/drawing/2014/main" id="{EB56330A-F86B-B40B-67D6-BC1C7C01D795}"/>
            </a:ext>
          </a:extLst>
        </xdr:cNvPr>
        <xdr:cNvCxnSpPr/>
      </xdr:nvCxnSpPr>
      <xdr:spPr>
        <a:xfrm flipV="1">
          <a:off x="4874419" y="160734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5</xdr:row>
      <xdr:rowOff>203993</xdr:rowOff>
    </xdr:to>
    <xdr:cxnSp macro="">
      <xdr:nvCxnSpPr>
        <xdr:cNvPr id="1572" name="Match80">
          <a:extLst>
            <a:ext uri="{FF2B5EF4-FFF2-40B4-BE49-F238E27FC236}">
              <a16:creationId xmlns:a16="http://schemas.microsoft.com/office/drawing/2014/main" id="{683E76C5-C1EA-982E-79F2-34A43A81B58C}"/>
            </a:ext>
          </a:extLst>
        </xdr:cNvPr>
        <xdr:cNvCxnSpPr/>
      </xdr:nvCxnSpPr>
      <xdr:spPr>
        <a:xfrm flipV="1">
          <a:off x="1085056" y="561181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573" name="Match81">
          <a:extLst>
            <a:ext uri="{FF2B5EF4-FFF2-40B4-BE49-F238E27FC236}">
              <a16:creationId xmlns:a16="http://schemas.microsoft.com/office/drawing/2014/main" id="{CC6A504B-08FA-C7BA-5A5D-15593F40ED2D}"/>
            </a:ext>
          </a:extLst>
        </xdr:cNvPr>
        <xdr:cNvCxnSpPr/>
      </xdr:nvCxnSpPr>
      <xdr:spPr>
        <a:xfrm flipV="1">
          <a:off x="4450556" y="535781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891C751-AF62-C900-A77E-BBC4F8E6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K2" sqref="K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7">
        <v>9</v>
      </c>
      <c r="C1" s="23">
        <v>3</v>
      </c>
      <c r="D1" s="23">
        <v>7</v>
      </c>
      <c r="E1" s="27">
        <v>3</v>
      </c>
      <c r="F1" s="27">
        <v>8</v>
      </c>
      <c r="G1" s="22">
        <v>3</v>
      </c>
      <c r="H1" s="22">
        <v>1</v>
      </c>
      <c r="I1" s="27">
        <v>8</v>
      </c>
      <c r="J1" s="27">
        <v>3</v>
      </c>
      <c r="K1" s="22">
        <v>8</v>
      </c>
      <c r="L1" s="23">
        <v>8</v>
      </c>
      <c r="N1" s="2">
        <v>961</v>
      </c>
      <c r="O1" s="1">
        <v>3</v>
      </c>
    </row>
    <row r="2" spans="1:15" s="2" customFormat="1" ht="28.25" customHeight="1">
      <c r="A2" s="23">
        <v>2</v>
      </c>
      <c r="B2" s="23">
        <v>1</v>
      </c>
      <c r="C2" s="22">
        <v>5</v>
      </c>
      <c r="D2" s="27">
        <v>5</v>
      </c>
      <c r="E2" s="23">
        <v>8</v>
      </c>
      <c r="F2" s="22">
        <v>9</v>
      </c>
      <c r="G2" s="22">
        <v>8</v>
      </c>
      <c r="H2" s="23">
        <v>3</v>
      </c>
      <c r="I2" s="23">
        <v>8</v>
      </c>
      <c r="J2" s="22">
        <v>6</v>
      </c>
      <c r="K2" s="22">
        <v>6</v>
      </c>
      <c r="L2" s="23">
        <v>7</v>
      </c>
      <c r="N2" s="2">
        <v>87</v>
      </c>
      <c r="O2" s="2">
        <v>17</v>
      </c>
    </row>
    <row r="3" spans="1:15" ht="28.25" customHeight="1">
      <c r="A3" s="22">
        <v>2</v>
      </c>
      <c r="B3" s="22">
        <v>2</v>
      </c>
      <c r="C3" s="22">
        <v>6</v>
      </c>
      <c r="D3" s="27">
        <v>5</v>
      </c>
      <c r="E3" s="22">
        <v>3</v>
      </c>
      <c r="F3" s="22">
        <v>8</v>
      </c>
      <c r="G3" s="27">
        <v>4</v>
      </c>
      <c r="H3" s="27">
        <v>5</v>
      </c>
      <c r="I3" s="22">
        <v>2</v>
      </c>
      <c r="J3" s="23">
        <v>8</v>
      </c>
      <c r="K3" s="22">
        <v>5</v>
      </c>
      <c r="L3" s="23">
        <v>8</v>
      </c>
      <c r="N3" s="2">
        <v>31</v>
      </c>
      <c r="O3" s="1">
        <v>25</v>
      </c>
    </row>
    <row r="4" spans="1:15" ht="28.25" customHeight="1">
      <c r="A4" s="23">
        <v>2</v>
      </c>
      <c r="B4" s="27">
        <v>4</v>
      </c>
      <c r="C4" s="22">
        <v>9</v>
      </c>
      <c r="D4" s="22">
        <v>8</v>
      </c>
      <c r="E4" s="23">
        <v>5</v>
      </c>
      <c r="F4" s="27">
        <v>6</v>
      </c>
      <c r="G4" s="27">
        <v>5</v>
      </c>
      <c r="H4" s="22">
        <v>7</v>
      </c>
      <c r="I4" s="22">
        <v>7</v>
      </c>
      <c r="J4" s="27">
        <v>1</v>
      </c>
      <c r="K4" s="22">
        <v>1</v>
      </c>
      <c r="L4" s="27">
        <v>2</v>
      </c>
      <c r="N4" s="2">
        <v>22</v>
      </c>
      <c r="O4" s="1">
        <v>10</v>
      </c>
    </row>
    <row r="5" spans="1:15" ht="28.25" customHeight="1">
      <c r="A5" s="27">
        <v>8</v>
      </c>
      <c r="B5" s="27">
        <v>6</v>
      </c>
      <c r="C5" s="22">
        <v>9</v>
      </c>
      <c r="D5" s="23">
        <v>5</v>
      </c>
      <c r="E5" s="23">
        <v>6</v>
      </c>
      <c r="F5" s="23">
        <v>8</v>
      </c>
      <c r="G5" s="22">
        <v>7</v>
      </c>
      <c r="H5" s="22">
        <v>9</v>
      </c>
      <c r="I5" s="27">
        <v>5</v>
      </c>
      <c r="J5" s="22">
        <v>6</v>
      </c>
      <c r="K5" s="22">
        <v>4</v>
      </c>
      <c r="L5" s="22">
        <v>3</v>
      </c>
      <c r="N5" s="2">
        <v>3938</v>
      </c>
      <c r="O5" s="1">
        <v>1</v>
      </c>
    </row>
    <row r="6" spans="1:15" ht="28.25" customHeight="1">
      <c r="A6" s="27">
        <v>5</v>
      </c>
      <c r="B6" s="27">
        <v>2</v>
      </c>
      <c r="C6" s="22">
        <v>8</v>
      </c>
      <c r="D6" s="23">
        <v>6</v>
      </c>
      <c r="E6" s="22">
        <v>7</v>
      </c>
      <c r="F6" s="27">
        <v>4</v>
      </c>
      <c r="G6" s="27">
        <v>2</v>
      </c>
      <c r="H6" s="27">
        <v>5</v>
      </c>
      <c r="I6" s="22">
        <v>4</v>
      </c>
      <c r="J6" s="27">
        <v>6</v>
      </c>
      <c r="K6" s="22">
        <v>5</v>
      </c>
      <c r="L6" s="22">
        <v>3</v>
      </c>
      <c r="N6" s="2">
        <v>8235</v>
      </c>
      <c r="O6" s="1">
        <v>1</v>
      </c>
    </row>
    <row r="7" spans="1:15" ht="28.25" customHeight="1">
      <c r="A7" s="23">
        <v>9</v>
      </c>
      <c r="B7" s="23">
        <v>9</v>
      </c>
      <c r="C7" s="27">
        <v>5</v>
      </c>
      <c r="D7" s="23">
        <v>7</v>
      </c>
      <c r="E7" s="22">
        <v>8</v>
      </c>
      <c r="F7" s="23">
        <v>1</v>
      </c>
      <c r="G7" s="22">
        <v>3</v>
      </c>
      <c r="H7" s="22">
        <v>1</v>
      </c>
      <c r="I7" s="22">
        <v>5</v>
      </c>
      <c r="J7" s="27">
        <v>9</v>
      </c>
      <c r="K7" s="22">
        <v>6</v>
      </c>
      <c r="L7" s="22">
        <v>7</v>
      </c>
      <c r="N7" s="2">
        <v>188</v>
      </c>
      <c r="O7" s="1">
        <v>3</v>
      </c>
    </row>
    <row r="8" spans="1:15" ht="28.25" customHeight="1">
      <c r="A8" s="27">
        <v>6</v>
      </c>
      <c r="B8" s="23">
        <v>7</v>
      </c>
      <c r="C8" s="23">
        <v>8</v>
      </c>
      <c r="D8" s="23">
        <v>7</v>
      </c>
      <c r="E8" s="23">
        <v>3</v>
      </c>
      <c r="F8" s="23">
        <v>3</v>
      </c>
      <c r="G8" s="22">
        <v>4</v>
      </c>
      <c r="H8" s="22">
        <v>3</v>
      </c>
      <c r="I8" s="23">
        <v>1</v>
      </c>
      <c r="J8" s="23">
        <v>3</v>
      </c>
      <c r="K8" s="23">
        <v>1</v>
      </c>
      <c r="L8" s="22">
        <v>1</v>
      </c>
      <c r="N8" s="2">
        <v>97</v>
      </c>
      <c r="O8" s="1">
        <v>12</v>
      </c>
    </row>
    <row r="9" spans="1:15" ht="28.25" customHeight="1">
      <c r="A9" s="27">
        <v>6</v>
      </c>
      <c r="B9" s="23">
        <v>3</v>
      </c>
      <c r="C9" s="23">
        <v>1</v>
      </c>
      <c r="D9" s="23">
        <v>7</v>
      </c>
      <c r="E9" s="27">
        <v>2</v>
      </c>
      <c r="F9" s="22">
        <v>7</v>
      </c>
      <c r="G9" s="22">
        <v>2</v>
      </c>
      <c r="H9" s="22">
        <v>1</v>
      </c>
      <c r="I9" s="27">
        <v>5</v>
      </c>
      <c r="J9" s="27">
        <v>4</v>
      </c>
      <c r="K9" s="23">
        <v>1</v>
      </c>
      <c r="L9" s="22">
        <v>4</v>
      </c>
      <c r="N9" s="2">
        <v>567</v>
      </c>
      <c r="O9" s="1">
        <v>3</v>
      </c>
    </row>
    <row r="10" spans="1:15" ht="28.25" customHeight="1">
      <c r="A10" s="23">
        <v>9</v>
      </c>
      <c r="B10" s="23">
        <v>3</v>
      </c>
      <c r="C10" s="23">
        <v>9</v>
      </c>
      <c r="D10" s="27">
        <v>1</v>
      </c>
      <c r="E10" s="22">
        <v>7</v>
      </c>
      <c r="F10" s="22">
        <v>8</v>
      </c>
      <c r="G10" s="22">
        <v>6</v>
      </c>
      <c r="H10" s="27">
        <v>5</v>
      </c>
      <c r="I10" s="23">
        <v>3</v>
      </c>
      <c r="J10" s="23">
        <v>1</v>
      </c>
      <c r="K10" s="27">
        <v>2</v>
      </c>
      <c r="L10" s="22">
        <v>1</v>
      </c>
      <c r="N10" s="2">
        <v>6414771</v>
      </c>
      <c r="O10" s="1">
        <v>1</v>
      </c>
    </row>
    <row r="11" spans="1:15" ht="28.25" customHeight="1">
      <c r="A11" s="27">
        <v>6</v>
      </c>
      <c r="B11" s="23">
        <v>7</v>
      </c>
      <c r="C11" s="27">
        <v>4</v>
      </c>
      <c r="D11" s="22">
        <v>1</v>
      </c>
      <c r="E11" s="23">
        <v>9</v>
      </c>
      <c r="F11" s="22">
        <v>9</v>
      </c>
      <c r="G11" s="23">
        <v>3</v>
      </c>
      <c r="H11" s="23">
        <v>1</v>
      </c>
      <c r="I11" s="23">
        <v>3</v>
      </c>
      <c r="J11" s="23">
        <v>1</v>
      </c>
      <c r="K11" s="23">
        <v>6</v>
      </c>
      <c r="L11" s="22">
        <v>7</v>
      </c>
      <c r="N11" s="2">
        <v>99899</v>
      </c>
      <c r="O11" s="1">
        <v>2</v>
      </c>
    </row>
    <row r="12" spans="1:15" ht="28.25" customHeight="1">
      <c r="A12" s="27">
        <v>7</v>
      </c>
      <c r="B12" s="27">
        <v>5</v>
      </c>
      <c r="C12" s="27">
        <v>4</v>
      </c>
      <c r="D12" s="23">
        <v>3</v>
      </c>
      <c r="E12" s="27">
        <v>9</v>
      </c>
      <c r="F12" s="27">
        <v>2</v>
      </c>
      <c r="G12" s="22">
        <v>9</v>
      </c>
      <c r="H12" s="22">
        <v>9</v>
      </c>
      <c r="I12" s="22">
        <v>8</v>
      </c>
      <c r="J12" s="22">
        <v>9</v>
      </c>
      <c r="K12" s="22">
        <v>9</v>
      </c>
      <c r="L12" s="23">
        <v>9</v>
      </c>
      <c r="N12" s="2">
        <v>77268</v>
      </c>
      <c r="O12" s="1">
        <v>1</v>
      </c>
    </row>
    <row r="13" spans="1:15" ht="28.25" customHeight="1">
      <c r="N13" s="2">
        <v>7141733</v>
      </c>
      <c r="O13" s="1">
        <v>1</v>
      </c>
    </row>
    <row r="14" spans="1:15" ht="28.25" customHeight="1">
      <c r="N14" s="2">
        <v>89965</v>
      </c>
      <c r="O14" s="1">
        <v>1</v>
      </c>
    </row>
    <row r="15" spans="1:15" ht="28.25" customHeight="1">
      <c r="N15" s="2">
        <v>654156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97"/>
  <sheetViews>
    <sheetView tabSelected="1" zoomScaleNormal="100" workbookViewId="0">
      <pane ySplit="2" topLeftCell="A289" activePane="bottomLeft" state="frozen"/>
      <selection pane="bottomLeft" activeCell="A297" sqref="A29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564</v>
      </c>
      <c r="I255" t="s">
        <v>565</v>
      </c>
      <c r="J255">
        <v>0</v>
      </c>
      <c r="K255">
        <f t="shared" ref="K255" si="490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91">L254+K255</f>
        <v>309</v>
      </c>
      <c r="M255">
        <f t="shared" ref="M255" si="492">2+IF(A255&gt;=DATEVALUE("2025/11/30")+TIMEVALUE("6:00"),1,0)+IF(A255&gt;=DATEVALUE("2025/12/11")+TIMEVALUE("6:00"),1,0)</f>
        <v>4</v>
      </c>
      <c r="N255">
        <f t="shared" ref="N255" si="493">N254+M255*(INT(A255-6/24)-INT(A254-6/24))+O255</f>
        <v>311</v>
      </c>
      <c r="O255">
        <f t="shared" ref="O255" si="494">IF(A255&gt;=DATEVALUE("2025/11/8")+TIMEVALUE("6:00"),1,0)-IF(A254&gt;=DATEVALUE("2025/11/8")+TIMEVALUE("6:00"),1,0)
+IF(A255&gt;=DATEVALUE("2026/1/22")+TIMEVALUE("6:00"),3,0)-IF(A254&gt;=DATEVALUE("2026/1/22")+TIMEVALUE("6:00"),3,0)</f>
        <v>0</v>
      </c>
      <c r="P255" t="str">
        <f t="shared" ref="P255" si="495">IF(L255&lt;N255,"未達成（"&amp;N255-L255&amp;"）",IF(L255=N255,"達成","前倒し（"&amp;L255-N255&amp;"）"))</f>
        <v>未達成（2）</v>
      </c>
      <c r="Q255">
        <f t="shared" ref="Q255" si="496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566</v>
      </c>
      <c r="I256" t="s">
        <v>567</v>
      </c>
      <c r="J256">
        <v>0</v>
      </c>
      <c r="K256">
        <f t="shared" ref="K256" si="497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98">L255+K256</f>
        <v>311</v>
      </c>
      <c r="M256">
        <f t="shared" ref="M256" si="499">2+IF(A256&gt;=DATEVALUE("2025/11/30")+TIMEVALUE("6:00"),1,0)+IF(A256&gt;=DATEVALUE("2025/12/11")+TIMEVALUE("6:00"),1,0)</f>
        <v>4</v>
      </c>
      <c r="N256">
        <f t="shared" ref="N256" si="500">N255+M256*(INT(A256-6/24)-INT(A255-6/24))+O256</f>
        <v>311</v>
      </c>
      <c r="O256">
        <f t="shared" ref="O256" si="501">IF(A256&gt;=DATEVALUE("2025/11/8")+TIMEVALUE("6:00"),1,0)-IF(A255&gt;=DATEVALUE("2025/11/8")+TIMEVALUE("6:00"),1,0)
+IF(A256&gt;=DATEVALUE("2026/1/22")+TIMEVALUE("6:00"),3,0)-IF(A255&gt;=DATEVALUE("2026/1/22")+TIMEVALUE("6:00"),3,0)</f>
        <v>0</v>
      </c>
      <c r="P256" t="str">
        <f t="shared" ref="P256" si="502">IF(L256&lt;N256,"未達成（"&amp;N256-L256&amp;"）",IF(L256=N256,"達成","前倒し（"&amp;L256-N256&amp;"）"))</f>
        <v>達成</v>
      </c>
      <c r="Q256">
        <f t="shared" ref="Q256" si="503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568</v>
      </c>
      <c r="I257" t="s">
        <v>569</v>
      </c>
      <c r="J257">
        <v>0</v>
      </c>
      <c r="K257">
        <f t="shared" ref="K257" si="504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505">L256+K257</f>
        <v>313</v>
      </c>
      <c r="M257">
        <f t="shared" ref="M257" si="506">2+IF(A257&gt;=DATEVALUE("2025/11/30")+TIMEVALUE("6:00"),1,0)+IF(A257&gt;=DATEVALUE("2025/12/11")+TIMEVALUE("6:00"),1,0)</f>
        <v>4</v>
      </c>
      <c r="N257">
        <f t="shared" ref="N257" si="507">N256+M257*(INT(A257-6/24)-INT(A256-6/24))+O257</f>
        <v>315</v>
      </c>
      <c r="O257">
        <f t="shared" ref="O257" si="508">IF(A257&gt;=DATEVALUE("2025/11/8")+TIMEVALUE("6:00"),1,0)-IF(A256&gt;=DATEVALUE("2025/11/8")+TIMEVALUE("6:00"),1,0)
+IF(A257&gt;=DATEVALUE("2026/1/22")+TIMEVALUE("6:00"),3,0)-IF(A256&gt;=DATEVALUE("2026/1/22")+TIMEVALUE("6:00"),3,0)</f>
        <v>0</v>
      </c>
      <c r="P257" t="str">
        <f t="shared" ref="P257" si="509">IF(L257&lt;N257,"未達成（"&amp;N257-L257&amp;"）",IF(L257=N257,"達成","前倒し（"&amp;L257-N257&amp;"）"))</f>
        <v>未達成（2）</v>
      </c>
      <c r="Q257">
        <f t="shared" ref="Q257" si="51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570</v>
      </c>
      <c r="I258" t="s">
        <v>572</v>
      </c>
      <c r="J258">
        <v>1</v>
      </c>
      <c r="K258">
        <f t="shared" ref="K258" si="51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512">L257+K258</f>
        <v>313</v>
      </c>
      <c r="M258">
        <f t="shared" ref="M258" si="513">2+IF(A258&gt;=DATEVALUE("2025/11/30")+TIMEVALUE("6:00"),1,0)+IF(A258&gt;=DATEVALUE("2025/12/11")+TIMEVALUE("6:00"),1,0)</f>
        <v>4</v>
      </c>
      <c r="N258">
        <f t="shared" ref="N258" si="514">N257+M258*(INT(A258-6/24)-INT(A257-6/24))+O258</f>
        <v>315</v>
      </c>
      <c r="O258">
        <f t="shared" ref="O258" si="515">IF(A258&gt;=DATEVALUE("2025/11/8")+TIMEVALUE("6:00"),1,0)-IF(A257&gt;=DATEVALUE("2025/11/8")+TIMEVALUE("6:00"),1,0)
+IF(A258&gt;=DATEVALUE("2026/1/22")+TIMEVALUE("6:00"),3,0)-IF(A257&gt;=DATEVALUE("2026/1/22")+TIMEVALUE("6:00"),3,0)</f>
        <v>0</v>
      </c>
      <c r="P258" t="str">
        <f t="shared" ref="P258" si="516">IF(L258&lt;N258,"未達成（"&amp;N258-L258&amp;"）",IF(L258=N258,"達成","前倒し（"&amp;L258-N258&amp;"）"))</f>
        <v>未達成（2）</v>
      </c>
      <c r="Q258" t="e">
        <f t="shared" ref="Q258" si="517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573</v>
      </c>
      <c r="I259" t="s">
        <v>571</v>
      </c>
      <c r="J259">
        <v>0</v>
      </c>
      <c r="K259">
        <f t="shared" ref="K259" si="518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519">L258+K259</f>
        <v>315</v>
      </c>
      <c r="M259">
        <f t="shared" ref="M259" si="520">2+IF(A259&gt;=DATEVALUE("2025/11/30")+TIMEVALUE("6:00"),1,0)+IF(A259&gt;=DATEVALUE("2025/12/11")+TIMEVALUE("6:00"),1,0)</f>
        <v>4</v>
      </c>
      <c r="N259">
        <f t="shared" ref="N259" si="521">N258+M259*(INT(A259-6/24)-INT(A258-6/24))+O259</f>
        <v>315</v>
      </c>
      <c r="O259">
        <f t="shared" ref="O259" si="522">IF(A259&gt;=DATEVALUE("2025/11/8")+TIMEVALUE("6:00"),1,0)-IF(A258&gt;=DATEVALUE("2025/11/8")+TIMEVALUE("6:00"),1,0)
+IF(A259&gt;=DATEVALUE("2026/1/22")+TIMEVALUE("6:00"),3,0)-IF(A258&gt;=DATEVALUE("2026/1/22")+TIMEVALUE("6:00"),3,0)</f>
        <v>0</v>
      </c>
      <c r="P259" t="str">
        <f t="shared" ref="P259" si="523">IF(L259&lt;N259,"未達成（"&amp;N259-L259&amp;"）",IF(L259=N259,"達成","前倒し（"&amp;L259-N259&amp;"）"))</f>
        <v>達成</v>
      </c>
      <c r="Q259">
        <f t="shared" ref="Q259" si="524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574</v>
      </c>
      <c r="I260" t="s">
        <v>575</v>
      </c>
      <c r="J260">
        <v>0</v>
      </c>
      <c r="K260">
        <f t="shared" ref="K260" si="525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526">L259+K260</f>
        <v>316</v>
      </c>
      <c r="M260">
        <f t="shared" ref="M260" si="527">2+IF(A260&gt;=DATEVALUE("2025/11/30")+TIMEVALUE("6:00"),1,0)+IF(A260&gt;=DATEVALUE("2025/12/11")+TIMEVALUE("6:00"),1,0)</f>
        <v>4</v>
      </c>
      <c r="N260">
        <f t="shared" ref="N260" si="528">N259+M260*(INT(A260-6/24)-INT(A259-6/24))+O260</f>
        <v>319</v>
      </c>
      <c r="O260">
        <f t="shared" ref="O260" si="529">IF(A260&gt;=DATEVALUE("2025/11/8")+TIMEVALUE("6:00"),1,0)-IF(A259&gt;=DATEVALUE("2025/11/8")+TIMEVALUE("6:00"),1,0)
+IF(A260&gt;=DATEVALUE("2026/1/22")+TIMEVALUE("6:00"),3,0)-IF(A259&gt;=DATEVALUE("2026/1/22")+TIMEVALUE("6:00"),3,0)</f>
        <v>0</v>
      </c>
      <c r="P260" t="str">
        <f t="shared" ref="P260" si="530">IF(L260&lt;N260,"未達成（"&amp;N260-L260&amp;"）",IF(L260=N260,"達成","前倒し（"&amp;L260-N260&amp;"）"))</f>
        <v>未達成（3）</v>
      </c>
      <c r="Q260">
        <f t="shared" ref="Q260" si="531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576</v>
      </c>
      <c r="I261" t="s">
        <v>577</v>
      </c>
      <c r="J261">
        <v>0</v>
      </c>
      <c r="K261">
        <f t="shared" ref="K261" si="532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533">L260+K261</f>
        <v>318</v>
      </c>
      <c r="M261">
        <f t="shared" ref="M261" si="534">2+IF(A261&gt;=DATEVALUE("2025/11/30")+TIMEVALUE("6:00"),1,0)+IF(A261&gt;=DATEVALUE("2025/12/11")+TIMEVALUE("6:00"),1,0)</f>
        <v>4</v>
      </c>
      <c r="N261">
        <f t="shared" ref="N261" si="535">N260+M261*(INT(A261-6/24)-INT(A260-6/24))+O261</f>
        <v>319</v>
      </c>
      <c r="O261">
        <f t="shared" ref="O261" si="536">IF(A261&gt;=DATEVALUE("2025/11/8")+TIMEVALUE("6:00"),1,0)-IF(A260&gt;=DATEVALUE("2025/11/8")+TIMEVALUE("6:00"),1,0)
+IF(A261&gt;=DATEVALUE("2026/1/22")+TIMEVALUE("6:00"),3,0)-IF(A260&gt;=DATEVALUE("2026/1/22")+TIMEVALUE("6:00"),3,0)</f>
        <v>0</v>
      </c>
      <c r="P261" t="str">
        <f t="shared" ref="P261" si="537">IF(L261&lt;N261,"未達成（"&amp;N261-L261&amp;"）",IF(L261=N261,"達成","前倒し（"&amp;L261-N261&amp;"）"))</f>
        <v>未達成（1）</v>
      </c>
      <c r="Q261">
        <f t="shared" ref="Q261" si="538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578</v>
      </c>
      <c r="I262" t="s">
        <v>579</v>
      </c>
      <c r="J262">
        <v>0</v>
      </c>
      <c r="K262">
        <f t="shared" ref="K262" si="539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540">L261+K262</f>
        <v>320</v>
      </c>
      <c r="M262">
        <f t="shared" ref="M262" si="541">2+IF(A262&gt;=DATEVALUE("2025/11/30")+TIMEVALUE("6:00"),1,0)+IF(A262&gt;=DATEVALUE("2025/12/11")+TIMEVALUE("6:00"),1,0)</f>
        <v>4</v>
      </c>
      <c r="N262">
        <f t="shared" ref="N262" si="542">N261+M262*(INT(A262-6/24)-INT(A261-6/24))+O262</f>
        <v>319</v>
      </c>
      <c r="O262">
        <f t="shared" ref="O262" si="543">IF(A262&gt;=DATEVALUE("2025/11/8")+TIMEVALUE("6:00"),1,0)-IF(A261&gt;=DATEVALUE("2025/11/8")+TIMEVALUE("6:00"),1,0)
+IF(A262&gt;=DATEVALUE("2026/1/22")+TIMEVALUE("6:00"),3,0)-IF(A261&gt;=DATEVALUE("2026/1/22")+TIMEVALUE("6:00"),3,0)</f>
        <v>0</v>
      </c>
      <c r="P262" t="str">
        <f t="shared" ref="P262" si="544">IF(L262&lt;N262,"未達成（"&amp;N262-L262&amp;"）",IF(L262=N262,"達成","前倒し（"&amp;L262-N262&amp;"）"))</f>
        <v>前倒し（1）</v>
      </c>
      <c r="Q262">
        <f t="shared" ref="Q262" si="545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580</v>
      </c>
      <c r="I263" t="s">
        <v>581</v>
      </c>
      <c r="J263">
        <v>0</v>
      </c>
      <c r="K263">
        <f t="shared" ref="K263" si="546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47">L262+K263</f>
        <v>321</v>
      </c>
      <c r="M263">
        <f t="shared" ref="M263" si="548">2+IF(A263&gt;=DATEVALUE("2025/11/30")+TIMEVALUE("6:00"),1,0)+IF(A263&gt;=DATEVALUE("2025/12/11")+TIMEVALUE("6:00"),1,0)</f>
        <v>4</v>
      </c>
      <c r="N263">
        <f t="shared" ref="N263" si="549">N262+M263*(INT(A263-6/24)-INT(A262-6/24))+O263</f>
        <v>323</v>
      </c>
      <c r="O263">
        <f t="shared" ref="O263" si="550">IF(A263&gt;=DATEVALUE("2025/11/8")+TIMEVALUE("6:00"),1,0)-IF(A262&gt;=DATEVALUE("2025/11/8")+TIMEVALUE("6:00"),1,0)
+IF(A263&gt;=DATEVALUE("2026/1/22")+TIMEVALUE("6:00"),3,0)-IF(A262&gt;=DATEVALUE("2026/1/22")+TIMEVALUE("6:00"),3,0)</f>
        <v>0</v>
      </c>
      <c r="P263" t="str">
        <f t="shared" ref="P263" si="551">IF(L263&lt;N263,"未達成（"&amp;N263-L263&amp;"）",IF(L263=N263,"達成","前倒し（"&amp;L263-N263&amp;"）"))</f>
        <v>未達成（2）</v>
      </c>
      <c r="Q263">
        <f t="shared" ref="Q263" si="552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582</v>
      </c>
      <c r="I264" t="s">
        <v>583</v>
      </c>
      <c r="J264">
        <v>0</v>
      </c>
      <c r="K264">
        <f t="shared" ref="K264" si="553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54">L263+K264</f>
        <v>322</v>
      </c>
      <c r="M264">
        <f t="shared" ref="M264" si="555">2+IF(A264&gt;=DATEVALUE("2025/11/30")+TIMEVALUE("6:00"),1,0)+IF(A264&gt;=DATEVALUE("2025/12/11")+TIMEVALUE("6:00"),1,0)</f>
        <v>4</v>
      </c>
      <c r="N264">
        <f t="shared" ref="N264" si="556">N263+M264*(INT(A264-6/24)-INT(A263-6/24))+O264</f>
        <v>323</v>
      </c>
      <c r="O264">
        <f t="shared" ref="O264" si="557">IF(A264&gt;=DATEVALUE("2025/11/8")+TIMEVALUE("6:00"),1,0)-IF(A263&gt;=DATEVALUE("2025/11/8")+TIMEVALUE("6:00"),1,0)
+IF(A264&gt;=DATEVALUE("2026/1/22")+TIMEVALUE("6:00"),3,0)-IF(A263&gt;=DATEVALUE("2026/1/22")+TIMEVALUE("6:00"),3,0)</f>
        <v>0</v>
      </c>
      <c r="P264" t="str">
        <f t="shared" ref="P264" si="558">IF(L264&lt;N264,"未達成（"&amp;N264-L264&amp;"）",IF(L264=N264,"達成","前倒し（"&amp;L264-N264&amp;"）"))</f>
        <v>未達成（1）</v>
      </c>
      <c r="Q264">
        <f t="shared" ref="Q264" si="559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584</v>
      </c>
      <c r="I265" t="s">
        <v>585</v>
      </c>
      <c r="J265">
        <v>0</v>
      </c>
      <c r="K265">
        <f t="shared" ref="K265" si="560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61">L264+K265</f>
        <v>323</v>
      </c>
      <c r="M265">
        <f t="shared" ref="M265" si="562">2+IF(A265&gt;=DATEVALUE("2025/11/30")+TIMEVALUE("6:00"),1,0)+IF(A265&gt;=DATEVALUE("2025/12/11")+TIMEVALUE("6:00"),1,0)</f>
        <v>4</v>
      </c>
      <c r="N265">
        <f t="shared" ref="N265" si="563">N264+M265*(INT(A265-6/24)-INT(A264-6/24))+O265</f>
        <v>323</v>
      </c>
      <c r="O265">
        <f t="shared" ref="O265" si="564">IF(A265&gt;=DATEVALUE("2025/11/8")+TIMEVALUE("6:00"),1,0)-IF(A264&gt;=DATEVALUE("2025/11/8")+TIMEVALUE("6:00"),1,0)
+IF(A265&gt;=DATEVALUE("2026/1/22")+TIMEVALUE("6:00"),3,0)-IF(A264&gt;=DATEVALUE("2026/1/22")+TIMEVALUE("6:00"),3,0)</f>
        <v>0</v>
      </c>
      <c r="P265" t="str">
        <f t="shared" ref="P265" si="565">IF(L265&lt;N265,"未達成（"&amp;N265-L265&amp;"）",IF(L265=N265,"達成","前倒し（"&amp;L265-N265&amp;"）"))</f>
        <v>達成</v>
      </c>
      <c r="Q265">
        <f t="shared" ref="Q265" si="566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586</v>
      </c>
      <c r="I266" t="s">
        <v>587</v>
      </c>
      <c r="J266">
        <v>0</v>
      </c>
      <c r="K266">
        <f t="shared" ref="K266" si="567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68">L265+K266</f>
        <v>325</v>
      </c>
      <c r="M266">
        <f t="shared" ref="M266" si="569">2+IF(A266&gt;=DATEVALUE("2025/11/30")+TIMEVALUE("6:00"),1,0)+IF(A266&gt;=DATEVALUE("2025/12/11")+TIMEVALUE("6:00"),1,0)</f>
        <v>4</v>
      </c>
      <c r="N266">
        <f t="shared" ref="N266" si="570">N265+M266*(INT(A266-6/24)-INT(A265-6/24))+O266</f>
        <v>327</v>
      </c>
      <c r="O266">
        <f t="shared" ref="O266" si="571">IF(A266&gt;=DATEVALUE("2025/11/8")+TIMEVALUE("6:00"),1,0)-IF(A265&gt;=DATEVALUE("2025/11/8")+TIMEVALUE("6:00"),1,0)
+IF(A266&gt;=DATEVALUE("2026/1/22")+TIMEVALUE("6:00"),3,0)-IF(A265&gt;=DATEVALUE("2026/1/22")+TIMEVALUE("6:00"),3,0)</f>
        <v>0</v>
      </c>
      <c r="P266" t="str">
        <f t="shared" ref="P266" si="572">IF(L266&lt;N266,"未達成（"&amp;N266-L266&amp;"）",IF(L266=N266,"達成","前倒し（"&amp;L266-N266&amp;"）"))</f>
        <v>未達成（2）</v>
      </c>
      <c r="Q266">
        <f t="shared" ref="Q266" si="573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588</v>
      </c>
      <c r="I267" t="s">
        <v>589</v>
      </c>
      <c r="J267">
        <v>0</v>
      </c>
      <c r="K267">
        <f t="shared" ref="K267" si="574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75">L266+K267</f>
        <v>326</v>
      </c>
      <c r="M267">
        <f t="shared" ref="M267" si="576">2+IF(A267&gt;=DATEVALUE("2025/11/30")+TIMEVALUE("6:00"),1,0)+IF(A267&gt;=DATEVALUE("2025/12/11")+TIMEVALUE("6:00"),1,0)</f>
        <v>4</v>
      </c>
      <c r="N267">
        <f t="shared" ref="N267" si="577">N266+M267*(INT(A267-6/24)-INT(A266-6/24))+O267</f>
        <v>327</v>
      </c>
      <c r="O267">
        <f t="shared" ref="O267" si="578">IF(A267&gt;=DATEVALUE("2025/11/8")+TIMEVALUE("6:00"),1,0)-IF(A266&gt;=DATEVALUE("2025/11/8")+TIMEVALUE("6:00"),1,0)
+IF(A267&gt;=DATEVALUE("2026/1/22")+TIMEVALUE("6:00"),3,0)-IF(A266&gt;=DATEVALUE("2026/1/22")+TIMEVALUE("6:00"),3,0)</f>
        <v>0</v>
      </c>
      <c r="P267" t="str">
        <f t="shared" ref="P267" si="579">IF(L267&lt;N267,"未達成（"&amp;N267-L267&amp;"）",IF(L267=N267,"達成","前倒し（"&amp;L267-N267&amp;"）"))</f>
        <v>未達成（1）</v>
      </c>
      <c r="Q267">
        <f t="shared" ref="Q267" si="58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590</v>
      </c>
      <c r="I268" t="s">
        <v>591</v>
      </c>
      <c r="J268">
        <v>0</v>
      </c>
      <c r="K268">
        <f t="shared" ref="K268" si="58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82">L267+K268</f>
        <v>327</v>
      </c>
      <c r="M268">
        <f t="shared" ref="M268" si="583">2+IF(A268&gt;=DATEVALUE("2025/11/30")+TIMEVALUE("6:00"),1,0)+IF(A268&gt;=DATEVALUE("2025/12/11")+TIMEVALUE("6:00"),1,0)</f>
        <v>4</v>
      </c>
      <c r="N268">
        <f t="shared" ref="N268" si="584">N267+M268*(INT(A268-6/24)-INT(A267-6/24))+O268</f>
        <v>327</v>
      </c>
      <c r="O268">
        <f t="shared" ref="O268" si="585">IF(A268&gt;=DATEVALUE("2025/11/8")+TIMEVALUE("6:00"),1,0)-IF(A267&gt;=DATEVALUE("2025/11/8")+TIMEVALUE("6:00"),1,0)
+IF(A268&gt;=DATEVALUE("2026/1/22")+TIMEVALUE("6:00"),3,0)-IF(A267&gt;=DATEVALUE("2026/1/22")+TIMEVALUE("6:00"),3,0)</f>
        <v>0</v>
      </c>
      <c r="P268" t="str">
        <f t="shared" ref="P268" si="586">IF(L268&lt;N268,"未達成（"&amp;N268-L268&amp;"）",IF(L268=N268,"達成","前倒し（"&amp;L268-N268&amp;"）"))</f>
        <v>達成</v>
      </c>
      <c r="Q268">
        <f t="shared" ref="Q268" si="587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592</v>
      </c>
      <c r="I269" t="s">
        <v>593</v>
      </c>
      <c r="J269">
        <v>0</v>
      </c>
      <c r="K269">
        <f t="shared" ref="K269" si="588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89">L268+K269</f>
        <v>328</v>
      </c>
      <c r="M269">
        <f t="shared" ref="M269" si="590">2+IF(A269&gt;=DATEVALUE("2025/11/30")+TIMEVALUE("6:00"),1,0)+IF(A269&gt;=DATEVALUE("2025/12/11")+TIMEVALUE("6:00"),1,0)</f>
        <v>4</v>
      </c>
      <c r="N269">
        <f t="shared" ref="N269" si="591">N268+M269*(INT(A269-6/24)-INT(A268-6/24))+O269</f>
        <v>331</v>
      </c>
      <c r="O269">
        <f t="shared" ref="O269" si="592">IF(A269&gt;=DATEVALUE("2025/11/8")+TIMEVALUE("6:00"),1,0)-IF(A268&gt;=DATEVALUE("2025/11/8")+TIMEVALUE("6:00"),1,0)
+IF(A269&gt;=DATEVALUE("2026/1/22")+TIMEVALUE("6:00"),3,0)-IF(A268&gt;=DATEVALUE("2026/1/22")+TIMEVALUE("6:00"),3,0)</f>
        <v>0</v>
      </c>
      <c r="P269" t="str">
        <f t="shared" ref="P269" si="593">IF(L269&lt;N269,"未達成（"&amp;N269-L269&amp;"）",IF(L269=N269,"達成","前倒し（"&amp;L269-N269&amp;"）"))</f>
        <v>未達成（3）</v>
      </c>
      <c r="Q269">
        <f t="shared" ref="Q269" si="594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594</v>
      </c>
      <c r="I270" t="s">
        <v>595</v>
      </c>
      <c r="J270">
        <v>0</v>
      </c>
      <c r="K270">
        <f t="shared" ref="K270" si="595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96">L269+K270</f>
        <v>330</v>
      </c>
      <c r="M270">
        <f t="shared" ref="M270" si="597">2+IF(A270&gt;=DATEVALUE("2025/11/30")+TIMEVALUE("6:00"),1,0)+IF(A270&gt;=DATEVALUE("2025/12/11")+TIMEVALUE("6:00"),1,0)</f>
        <v>4</v>
      </c>
      <c r="N270">
        <f t="shared" ref="N270" si="598">N269+M270*(INT(A270-6/24)-INT(A269-6/24))+O270</f>
        <v>331</v>
      </c>
      <c r="O270">
        <f t="shared" ref="O270" si="599">IF(A270&gt;=DATEVALUE("2025/11/8")+TIMEVALUE("6:00"),1,0)-IF(A269&gt;=DATEVALUE("2025/11/8")+TIMEVALUE("6:00"),1,0)
+IF(A270&gt;=DATEVALUE("2026/1/22")+TIMEVALUE("6:00"),3,0)-IF(A269&gt;=DATEVALUE("2026/1/22")+TIMEVALUE("6:00"),3,0)</f>
        <v>0</v>
      </c>
      <c r="P270" t="str">
        <f t="shared" ref="P270" si="600">IF(L270&lt;N270,"未達成（"&amp;N270-L270&amp;"）",IF(L270=N270,"達成","前倒し（"&amp;L270-N270&amp;"）"))</f>
        <v>未達成（1）</v>
      </c>
      <c r="Q270">
        <f t="shared" ref="Q270" si="601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596</v>
      </c>
      <c r="I271" t="s">
        <v>597</v>
      </c>
      <c r="J271">
        <v>0</v>
      </c>
      <c r="K271">
        <f t="shared" ref="K271" si="602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603">L270+K271</f>
        <v>331</v>
      </c>
      <c r="M271">
        <f t="shared" ref="M271" si="604">2+IF(A271&gt;=DATEVALUE("2025/11/30")+TIMEVALUE("6:00"),1,0)+IF(A271&gt;=DATEVALUE("2025/12/11")+TIMEVALUE("6:00"),1,0)</f>
        <v>4</v>
      </c>
      <c r="N271">
        <f t="shared" ref="N271" si="605">N270+M271*(INT(A271-6/24)-INT(A270-6/24))+O271</f>
        <v>331</v>
      </c>
      <c r="O271">
        <f t="shared" ref="O271" si="606">IF(A271&gt;=DATEVALUE("2025/11/8")+TIMEVALUE("6:00"),1,0)-IF(A270&gt;=DATEVALUE("2025/11/8")+TIMEVALUE("6:00"),1,0)
+IF(A271&gt;=DATEVALUE("2026/1/22")+TIMEVALUE("6:00"),3,0)-IF(A270&gt;=DATEVALUE("2026/1/22")+TIMEVALUE("6:00"),3,0)</f>
        <v>0</v>
      </c>
      <c r="P271" t="str">
        <f t="shared" ref="P271" si="607">IF(L271&lt;N271,"未達成（"&amp;N271-L271&amp;"）",IF(L271=N271,"達成","前倒し（"&amp;L271-N271&amp;"）"))</f>
        <v>達成</v>
      </c>
      <c r="Q271">
        <f t="shared" ref="Q271" si="608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598</v>
      </c>
      <c r="I272" t="s">
        <v>599</v>
      </c>
      <c r="J272">
        <v>0</v>
      </c>
      <c r="K272">
        <f t="shared" ref="K272" si="609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610">L271+K272</f>
        <v>333</v>
      </c>
      <c r="M272">
        <f t="shared" ref="M272" si="611">2+IF(A272&gt;=DATEVALUE("2025/11/30")+TIMEVALUE("6:00"),1,0)+IF(A272&gt;=DATEVALUE("2025/12/11")+TIMEVALUE("6:00"),1,0)</f>
        <v>4</v>
      </c>
      <c r="N272">
        <f t="shared" ref="N272" si="612">N271+M272*(INT(A272-6/24)-INT(A271-6/24))+O272</f>
        <v>335</v>
      </c>
      <c r="O272">
        <f t="shared" ref="O272" si="613">IF(A272&gt;=DATEVALUE("2025/11/8")+TIMEVALUE("6:00"),1,0)-IF(A271&gt;=DATEVALUE("2025/11/8")+TIMEVALUE("6:00"),1,0)
+IF(A272&gt;=DATEVALUE("2026/1/22")+TIMEVALUE("6:00"),3,0)-IF(A271&gt;=DATEVALUE("2026/1/22")+TIMEVALUE("6:00"),3,0)</f>
        <v>0</v>
      </c>
      <c r="P272" t="str">
        <f t="shared" ref="P272" si="614">IF(L272&lt;N272,"未達成（"&amp;N272-L272&amp;"）",IF(L272=N272,"達成","前倒し（"&amp;L272-N272&amp;"）"))</f>
        <v>未達成（2）</v>
      </c>
      <c r="Q272">
        <f t="shared" ref="Q272" si="615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600</v>
      </c>
      <c r="I273" t="s">
        <v>601</v>
      </c>
      <c r="J273">
        <v>0</v>
      </c>
      <c r="K273">
        <f t="shared" ref="K273" si="616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617">L272+K273</f>
        <v>334</v>
      </c>
      <c r="M273">
        <f t="shared" ref="M273" si="618">2+IF(A273&gt;=DATEVALUE("2025/11/30")+TIMEVALUE("6:00"),1,0)+IF(A273&gt;=DATEVALUE("2025/12/11")+TIMEVALUE("6:00"),1,0)</f>
        <v>4</v>
      </c>
      <c r="N273">
        <f t="shared" ref="N273" si="619">N272+M273*(INT(A273-6/24)-INT(A272-6/24))+O273</f>
        <v>335</v>
      </c>
      <c r="O273">
        <f t="shared" ref="O273" si="620">IF(A273&gt;=DATEVALUE("2025/11/8")+TIMEVALUE("6:00"),1,0)-IF(A272&gt;=DATEVALUE("2025/11/8")+TIMEVALUE("6:00"),1,0)
+IF(A273&gt;=DATEVALUE("2026/1/22")+TIMEVALUE("6:00"),3,0)-IF(A272&gt;=DATEVALUE("2026/1/22")+TIMEVALUE("6:00"),3,0)</f>
        <v>0</v>
      </c>
      <c r="P273" t="str">
        <f t="shared" ref="P273" si="621">IF(L273&lt;N273,"未達成（"&amp;N273-L273&amp;"）",IF(L273=N273,"達成","前倒し（"&amp;L273-N273&amp;"）"))</f>
        <v>未達成（1）</v>
      </c>
      <c r="Q273">
        <f t="shared" ref="Q273" si="622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602</v>
      </c>
      <c r="I274" t="s">
        <v>603</v>
      </c>
      <c r="J274">
        <v>0</v>
      </c>
      <c r="K274">
        <f t="shared" ref="K274" si="623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624">L273+K274</f>
        <v>336</v>
      </c>
      <c r="M274">
        <f t="shared" ref="M274" si="625">2+IF(A274&gt;=DATEVALUE("2025/11/30")+TIMEVALUE("6:00"),1,0)+IF(A274&gt;=DATEVALUE("2025/12/11")+TIMEVALUE("6:00"),1,0)</f>
        <v>4</v>
      </c>
      <c r="N274">
        <f t="shared" ref="N274" si="626">N273+M274*(INT(A274-6/24)-INT(A273-6/24))+O274</f>
        <v>335</v>
      </c>
      <c r="O274">
        <f t="shared" ref="O274" si="627">IF(A274&gt;=DATEVALUE("2025/11/8")+TIMEVALUE("6:00"),1,0)-IF(A273&gt;=DATEVALUE("2025/11/8")+TIMEVALUE("6:00"),1,0)
+IF(A274&gt;=DATEVALUE("2026/1/22")+TIMEVALUE("6:00"),3,0)-IF(A273&gt;=DATEVALUE("2026/1/22")+TIMEVALUE("6:00"),3,0)</f>
        <v>0</v>
      </c>
      <c r="P274" t="str">
        <f t="shared" ref="P274" si="628">IF(L274&lt;N274,"未達成（"&amp;N274-L274&amp;"）",IF(L274=N274,"達成","前倒し（"&amp;L274-N274&amp;"）"))</f>
        <v>前倒し（1）</v>
      </c>
      <c r="Q274">
        <f t="shared" ref="Q274" si="629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604</v>
      </c>
      <c r="I275" t="s">
        <v>605</v>
      </c>
      <c r="J275">
        <v>1</v>
      </c>
      <c r="K275">
        <f t="shared" ref="K275" si="630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631">L274+K275</f>
        <v>336</v>
      </c>
      <c r="M275">
        <f t="shared" ref="M275" si="632">2+IF(A275&gt;=DATEVALUE("2025/11/30")+TIMEVALUE("6:00"),1,0)+IF(A275&gt;=DATEVALUE("2025/12/11")+TIMEVALUE("6:00"),1,0)</f>
        <v>4</v>
      </c>
      <c r="N275">
        <f t="shared" ref="N275" si="633">N274+M275*(INT(A275-6/24)-INT(A274-6/24))+O275</f>
        <v>339</v>
      </c>
      <c r="O275">
        <f t="shared" ref="O275" si="634">IF(A275&gt;=DATEVALUE("2025/11/8")+TIMEVALUE("6:00"),1,0)-IF(A274&gt;=DATEVALUE("2025/11/8")+TIMEVALUE("6:00"),1,0)
+IF(A275&gt;=DATEVALUE("2026/1/22")+TIMEVALUE("6:00"),3,0)-IF(A274&gt;=DATEVALUE("2026/1/22")+TIMEVALUE("6:00"),3,0)</f>
        <v>0</v>
      </c>
      <c r="P275" t="str">
        <f t="shared" ref="P275" si="635">IF(L275&lt;N275,"未達成（"&amp;N275-L275&amp;"）",IF(L275=N275,"達成","前倒し（"&amp;L275-N275&amp;"）"))</f>
        <v>未達成（3）</v>
      </c>
      <c r="Q275" t="e">
        <f t="shared" ref="Q275" si="636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606</v>
      </c>
      <c r="I276" t="s">
        <v>607</v>
      </c>
      <c r="J276">
        <v>0</v>
      </c>
      <c r="K276">
        <f t="shared" ref="K276" si="637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638">L275+K276</f>
        <v>338</v>
      </c>
      <c r="M276">
        <f t="shared" ref="M276" si="639">2+IF(A276&gt;=DATEVALUE("2025/11/30")+TIMEVALUE("6:00"),1,0)+IF(A276&gt;=DATEVALUE("2025/12/11")+TIMEVALUE("6:00"),1,0)</f>
        <v>4</v>
      </c>
      <c r="N276">
        <f t="shared" ref="N276" si="640">N275+M276*(INT(A276-6/24)-INT(A275-6/24))+O276</f>
        <v>339</v>
      </c>
      <c r="O276">
        <f t="shared" ref="O276" si="641">IF(A276&gt;=DATEVALUE("2025/11/8")+TIMEVALUE("6:00"),1,0)-IF(A275&gt;=DATEVALUE("2025/11/8")+TIMEVALUE("6:00"),1,0)
+IF(A276&gt;=DATEVALUE("2026/1/22")+TIMEVALUE("6:00"),3,0)-IF(A275&gt;=DATEVALUE("2026/1/22")+TIMEVALUE("6:00"),3,0)</f>
        <v>0</v>
      </c>
      <c r="P276" t="str">
        <f t="shared" ref="P276" si="642">IF(L276&lt;N276,"未達成（"&amp;N276-L276&amp;"）",IF(L276=N276,"達成","前倒し（"&amp;L276-N276&amp;"）"))</f>
        <v>未達成（1）</v>
      </c>
      <c r="Q276">
        <f t="shared" ref="Q276" si="643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608</v>
      </c>
      <c r="I277" t="s">
        <v>609</v>
      </c>
      <c r="J277">
        <v>0</v>
      </c>
      <c r="K277">
        <f t="shared" ref="K277" si="644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645">L276+K277</f>
        <v>340</v>
      </c>
      <c r="M277">
        <f t="shared" ref="M277" si="646">2+IF(A277&gt;=DATEVALUE("2025/11/30")+TIMEVALUE("6:00"),1,0)+IF(A277&gt;=DATEVALUE("2025/12/11")+TIMEVALUE("6:00"),1,0)</f>
        <v>4</v>
      </c>
      <c r="N277">
        <f t="shared" ref="N277" si="647">N276+M277*(INT(A277-6/24)-INT(A276-6/24))+O277</f>
        <v>339</v>
      </c>
      <c r="O277">
        <f t="shared" ref="O277" si="648">IF(A277&gt;=DATEVALUE("2025/11/8")+TIMEVALUE("6:00"),1,0)-IF(A276&gt;=DATEVALUE("2025/11/8")+TIMEVALUE("6:00"),1,0)
+IF(A277&gt;=DATEVALUE("2026/1/22")+TIMEVALUE("6:00"),3,0)-IF(A276&gt;=DATEVALUE("2026/1/22")+TIMEVALUE("6:00"),3,0)</f>
        <v>0</v>
      </c>
      <c r="P277" t="str">
        <f t="shared" ref="P277" si="649">IF(L277&lt;N277,"未達成（"&amp;N277-L277&amp;"）",IF(L277=N277,"達成","前倒し（"&amp;L277-N277&amp;"）"))</f>
        <v>前倒し（1）</v>
      </c>
      <c r="Q277">
        <f t="shared" ref="Q277" si="650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610</v>
      </c>
      <c r="I278" t="s">
        <v>611</v>
      </c>
      <c r="J278">
        <v>0</v>
      </c>
      <c r="K278">
        <f t="shared" ref="K278" si="651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652">L277+K278</f>
        <v>341</v>
      </c>
      <c r="M278">
        <f t="shared" ref="M278" si="653">2+IF(A278&gt;=DATEVALUE("2025/11/30")+TIMEVALUE("6:00"),1,0)+IF(A278&gt;=DATEVALUE("2025/12/11")+TIMEVALUE("6:00"),1,0)</f>
        <v>4</v>
      </c>
      <c r="N278">
        <f t="shared" ref="N278" si="654">N277+M278*(INT(A278-6/24)-INT(A277-6/24))+O278</f>
        <v>343</v>
      </c>
      <c r="O278">
        <f t="shared" ref="O278" si="655">IF(A278&gt;=DATEVALUE("2025/11/8")+TIMEVALUE("6:00"),1,0)-IF(A277&gt;=DATEVALUE("2025/11/8")+TIMEVALUE("6:00"),1,0)
+IF(A278&gt;=DATEVALUE("2026/1/22")+TIMEVALUE("6:00"),3,0)-IF(A277&gt;=DATEVALUE("2026/1/22")+TIMEVALUE("6:00"),3,0)</f>
        <v>0</v>
      </c>
      <c r="P278" t="str">
        <f t="shared" ref="P278" si="656">IF(L278&lt;N278,"未達成（"&amp;N278-L278&amp;"）",IF(L278=N278,"達成","前倒し（"&amp;L278-N278&amp;"）"))</f>
        <v>未達成（2）</v>
      </c>
      <c r="Q278">
        <f t="shared" ref="Q278" si="65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612</v>
      </c>
      <c r="I279" t="s">
        <v>613</v>
      </c>
      <c r="J279">
        <v>0</v>
      </c>
      <c r="K279">
        <f t="shared" ref="K279" si="65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659">L278+K279</f>
        <v>341</v>
      </c>
      <c r="M279">
        <f t="shared" ref="M279" si="660">2+IF(A279&gt;=DATEVALUE("2025/11/30")+TIMEVALUE("6:00"),1,0)+IF(A279&gt;=DATEVALUE("2025/12/11")+TIMEVALUE("6:00"),1,0)</f>
        <v>4</v>
      </c>
      <c r="N279">
        <f t="shared" ref="N279" si="661">N278+M279*(INT(A279-6/24)-INT(A278-6/24))+O279</f>
        <v>343</v>
      </c>
      <c r="O279">
        <f t="shared" ref="O279" si="662">IF(A279&gt;=DATEVALUE("2025/11/8")+TIMEVALUE("6:00"),1,0)-IF(A278&gt;=DATEVALUE("2025/11/8")+TIMEVALUE("6:00"),1,0)
+IF(A279&gt;=DATEVALUE("2026/1/22")+TIMEVALUE("6:00"),3,0)-IF(A278&gt;=DATEVALUE("2026/1/22")+TIMEVALUE("6:00"),3,0)</f>
        <v>0</v>
      </c>
      <c r="P279" t="str">
        <f t="shared" ref="P279" si="663">IF(L279&lt;N279,"未達成（"&amp;N279-L279&amp;"）",IF(L279=N279,"達成","前倒し（"&amp;L279-N279&amp;"）"))</f>
        <v>未達成（2）</v>
      </c>
      <c r="Q279">
        <f t="shared" ref="Q279" si="664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614</v>
      </c>
      <c r="I280" t="s">
        <v>615</v>
      </c>
      <c r="J280">
        <v>0</v>
      </c>
      <c r="K280">
        <f t="shared" ref="K280" si="665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66">L279+K280</f>
        <v>343</v>
      </c>
      <c r="M280">
        <f t="shared" ref="M280" si="667">2+IF(A280&gt;=DATEVALUE("2025/11/30")+TIMEVALUE("6:00"),1,0)+IF(A280&gt;=DATEVALUE("2025/12/11")+TIMEVALUE("6:00"),1,0)</f>
        <v>4</v>
      </c>
      <c r="N280">
        <f t="shared" ref="N280" si="668">N279+M280*(INT(A280-6/24)-INT(A279-6/24))+O280</f>
        <v>343</v>
      </c>
      <c r="O280">
        <f t="shared" ref="O280" si="669">IF(A280&gt;=DATEVALUE("2025/11/8")+TIMEVALUE("6:00"),1,0)-IF(A279&gt;=DATEVALUE("2025/11/8")+TIMEVALUE("6:00"),1,0)
+IF(A280&gt;=DATEVALUE("2026/1/22")+TIMEVALUE("6:00"),3,0)-IF(A279&gt;=DATEVALUE("2026/1/22")+TIMEVALUE("6:00"),3,0)</f>
        <v>0</v>
      </c>
      <c r="P280" t="str">
        <f t="shared" ref="P280" si="670">IF(L280&lt;N280,"未達成（"&amp;N280-L280&amp;"）",IF(L280=N280,"達成","前倒し（"&amp;L280-N280&amp;"）"))</f>
        <v>達成</v>
      </c>
      <c r="Q280">
        <f t="shared" ref="Q280" si="671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616</v>
      </c>
      <c r="I281" t="s">
        <v>617</v>
      </c>
      <c r="J281">
        <v>0</v>
      </c>
      <c r="K281">
        <f t="shared" ref="K281" si="672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73">L280+K281</f>
        <v>344</v>
      </c>
      <c r="M281">
        <f t="shared" ref="M281" si="674">2+IF(A281&gt;=DATEVALUE("2025/11/30")+TIMEVALUE("6:00"),1,0)+IF(A281&gt;=DATEVALUE("2025/12/11")+TIMEVALUE("6:00"),1,0)</f>
        <v>4</v>
      </c>
      <c r="N281">
        <f t="shared" ref="N281" si="675">N280+M281*(INT(A281-6/24)-INT(A280-6/24))+O281</f>
        <v>347</v>
      </c>
      <c r="O281">
        <f t="shared" ref="O281" si="676">IF(A281&gt;=DATEVALUE("2025/11/8")+TIMEVALUE("6:00"),1,0)-IF(A280&gt;=DATEVALUE("2025/11/8")+TIMEVALUE("6:00"),1,0)
+IF(A281&gt;=DATEVALUE("2026/1/22")+TIMEVALUE("6:00"),3,0)-IF(A280&gt;=DATEVALUE("2026/1/22")+TIMEVALUE("6:00"),3,0)</f>
        <v>0</v>
      </c>
      <c r="P281" t="str">
        <f t="shared" ref="P281" si="677">IF(L281&lt;N281,"未達成（"&amp;N281-L281&amp;"）",IF(L281=N281,"達成","前倒し（"&amp;L281-N281&amp;"）"))</f>
        <v>未達成（3）</v>
      </c>
      <c r="Q281">
        <f t="shared" ref="Q281" si="678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618</v>
      </c>
      <c r="I282" t="s">
        <v>619</v>
      </c>
      <c r="J282">
        <v>0</v>
      </c>
      <c r="K282">
        <f t="shared" ref="K282" si="679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80">L281+K282</f>
        <v>345</v>
      </c>
      <c r="M282">
        <f t="shared" ref="M282" si="681">2+IF(A282&gt;=DATEVALUE("2025/11/30")+TIMEVALUE("6:00"),1,0)+IF(A282&gt;=DATEVALUE("2025/12/11")+TIMEVALUE("6:00"),1,0)</f>
        <v>4</v>
      </c>
      <c r="N282">
        <f t="shared" ref="N282" si="682">N281+M282*(INT(A282-6/24)-INT(A281-6/24))+O282</f>
        <v>347</v>
      </c>
      <c r="O282">
        <f t="shared" ref="O282" si="683">IF(A282&gt;=DATEVALUE("2025/11/8")+TIMEVALUE("6:00"),1,0)-IF(A281&gt;=DATEVALUE("2025/11/8")+TIMEVALUE("6:00"),1,0)
+IF(A282&gt;=DATEVALUE("2026/1/22")+TIMEVALUE("6:00"),3,0)-IF(A281&gt;=DATEVALUE("2026/1/22")+TIMEVALUE("6:00"),3,0)</f>
        <v>0</v>
      </c>
      <c r="P282" t="str">
        <f t="shared" ref="P282" si="684">IF(L282&lt;N282,"未達成（"&amp;N282-L282&amp;"）",IF(L282=N282,"達成","前倒し（"&amp;L282-N282&amp;"）"))</f>
        <v>未達成（2）</v>
      </c>
      <c r="Q282">
        <f t="shared" ref="Q282" si="685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620</v>
      </c>
      <c r="I283" t="s">
        <v>621</v>
      </c>
      <c r="J283">
        <v>0</v>
      </c>
      <c r="K283">
        <f t="shared" ref="K283" si="686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87">L282+K283</f>
        <v>347</v>
      </c>
      <c r="M283">
        <f t="shared" ref="M283" si="688">2+IF(A283&gt;=DATEVALUE("2025/11/30")+TIMEVALUE("6:00"),1,0)+IF(A283&gt;=DATEVALUE("2025/12/11")+TIMEVALUE("6:00"),1,0)</f>
        <v>4</v>
      </c>
      <c r="N283">
        <f t="shared" ref="N283" si="689">N282+M283*(INT(A283-6/24)-INT(A282-6/24))+O283</f>
        <v>347</v>
      </c>
      <c r="O283">
        <f t="shared" ref="O283" si="690">IF(A283&gt;=DATEVALUE("2025/11/8")+TIMEVALUE("6:00"),1,0)-IF(A282&gt;=DATEVALUE("2025/11/8")+TIMEVALUE("6:00"),1,0)
+IF(A283&gt;=DATEVALUE("2026/1/22")+TIMEVALUE("6:00"),3,0)-IF(A282&gt;=DATEVALUE("2026/1/22")+TIMEVALUE("6:00"),3,0)</f>
        <v>0</v>
      </c>
      <c r="P283" t="str">
        <f t="shared" ref="P283" si="691">IF(L283&lt;N283,"未達成（"&amp;N283-L283&amp;"）",IF(L283=N283,"達成","前倒し（"&amp;L283-N283&amp;"）"))</f>
        <v>達成</v>
      </c>
      <c r="Q283">
        <f t="shared" ref="Q283" si="692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622</v>
      </c>
      <c r="I284" t="s">
        <v>623</v>
      </c>
      <c r="J284">
        <v>0</v>
      </c>
      <c r="K284">
        <f t="shared" ref="K284" si="693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94">L283+K284</f>
        <v>348</v>
      </c>
      <c r="M284">
        <f t="shared" ref="M284" si="695">2+IF(A284&gt;=DATEVALUE("2025/11/30")+TIMEVALUE("6:00"),1,0)+IF(A284&gt;=DATEVALUE("2025/12/11")+TIMEVALUE("6:00"),1,0)</f>
        <v>4</v>
      </c>
      <c r="N284">
        <f t="shared" ref="N284" si="696">N283+M284*(INT(A284-6/24)-INT(A283-6/24))+O284</f>
        <v>351</v>
      </c>
      <c r="O284">
        <f t="shared" ref="O284" si="697">IF(A284&gt;=DATEVALUE("2025/11/8")+TIMEVALUE("6:00"),1,0)-IF(A283&gt;=DATEVALUE("2025/11/8")+TIMEVALUE("6:00"),1,0)
+IF(A284&gt;=DATEVALUE("2026/1/22")+TIMEVALUE("6:00"),3,0)-IF(A283&gt;=DATEVALUE("2026/1/22")+TIMEVALUE("6:00"),3,0)</f>
        <v>0</v>
      </c>
      <c r="P284" t="str">
        <f t="shared" ref="P284" si="698">IF(L284&lt;N284,"未達成（"&amp;N284-L284&amp;"）",IF(L284=N284,"達成","前倒し（"&amp;L284-N284&amp;"）"))</f>
        <v>未達成（3）</v>
      </c>
      <c r="Q284">
        <f t="shared" ref="Q284" si="699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624</v>
      </c>
      <c r="I285" t="s">
        <v>625</v>
      </c>
      <c r="J285">
        <v>0</v>
      </c>
      <c r="K285">
        <f t="shared" ref="K285" si="700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701">L284+K285</f>
        <v>350</v>
      </c>
      <c r="M285">
        <f t="shared" ref="M285" si="702">2+IF(A285&gt;=DATEVALUE("2025/11/30")+TIMEVALUE("6:00"),1,0)+IF(A285&gt;=DATEVALUE("2025/12/11")+TIMEVALUE("6:00"),1,0)</f>
        <v>4</v>
      </c>
      <c r="N285">
        <f t="shared" ref="N285" si="703">N284+M285*(INT(A285-6/24)-INT(A284-6/24))+O285</f>
        <v>351</v>
      </c>
      <c r="O285">
        <f t="shared" ref="O285" si="704">IF(A285&gt;=DATEVALUE("2025/11/8")+TIMEVALUE("6:00"),1,0)-IF(A284&gt;=DATEVALUE("2025/11/8")+TIMEVALUE("6:00"),1,0)
+IF(A285&gt;=DATEVALUE("2026/1/22")+TIMEVALUE("6:00"),3,0)-IF(A284&gt;=DATEVALUE("2026/1/22")+TIMEVALUE("6:00"),3,0)</f>
        <v>0</v>
      </c>
      <c r="P285" t="str">
        <f t="shared" ref="P285" si="705">IF(L285&lt;N285,"未達成（"&amp;N285-L285&amp;"）",IF(L285=N285,"達成","前倒し（"&amp;L285-N285&amp;"）"))</f>
        <v>未達成（1）</v>
      </c>
      <c r="Q285">
        <f t="shared" ref="Q285" si="706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626</v>
      </c>
      <c r="I286" t="s">
        <v>627</v>
      </c>
      <c r="J286">
        <v>0</v>
      </c>
      <c r="K286">
        <f t="shared" ref="K286" si="707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708">L285+K286</f>
        <v>351</v>
      </c>
      <c r="M286">
        <f t="shared" ref="M286" si="709">2+IF(A286&gt;=DATEVALUE("2025/11/30")+TIMEVALUE("6:00"),1,0)+IF(A286&gt;=DATEVALUE("2025/12/11")+TIMEVALUE("6:00"),1,0)</f>
        <v>4</v>
      </c>
      <c r="N286">
        <f t="shared" ref="N286" si="710">N285+M286*(INT(A286-6/24)-INT(A285-6/24))+O286</f>
        <v>351</v>
      </c>
      <c r="O286">
        <f t="shared" ref="O286" si="711">IF(A286&gt;=DATEVALUE("2025/11/8")+TIMEVALUE("6:00"),1,0)-IF(A285&gt;=DATEVALUE("2025/11/8")+TIMEVALUE("6:00"),1,0)
+IF(A286&gt;=DATEVALUE("2026/1/22")+TIMEVALUE("6:00"),3,0)-IF(A285&gt;=DATEVALUE("2026/1/22")+TIMEVALUE("6:00"),3,0)</f>
        <v>0</v>
      </c>
      <c r="P286" t="str">
        <f t="shared" ref="P286" si="712">IF(L286&lt;N286,"未達成（"&amp;N286-L286&amp;"）",IF(L286=N286,"達成","前倒し（"&amp;L286-N286&amp;"）"))</f>
        <v>達成</v>
      </c>
      <c r="Q286">
        <f t="shared" ref="Q286" si="713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628</v>
      </c>
      <c r="I287" t="s">
        <v>629</v>
      </c>
      <c r="J287">
        <v>0</v>
      </c>
      <c r="K287">
        <f t="shared" ref="K287" si="714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715">L286+K287</f>
        <v>352</v>
      </c>
      <c r="M287">
        <f t="shared" ref="M287" si="716">2+IF(A287&gt;=DATEVALUE("2025/11/30")+TIMEVALUE("6:00"),1,0)+IF(A287&gt;=DATEVALUE("2025/12/11")+TIMEVALUE("6:00"),1,0)</f>
        <v>4</v>
      </c>
      <c r="N287">
        <f t="shared" ref="N287" si="717">N286+M287*(INT(A287-6/24)-INT(A286-6/24))+O287</f>
        <v>355</v>
      </c>
      <c r="O287">
        <f t="shared" ref="O287" si="718">IF(A287&gt;=DATEVALUE("2025/11/8")+TIMEVALUE("6:00"),1,0)-IF(A286&gt;=DATEVALUE("2025/11/8")+TIMEVALUE("6:00"),1,0)
+IF(A287&gt;=DATEVALUE("2026/1/22")+TIMEVALUE("6:00"),3,0)-IF(A286&gt;=DATEVALUE("2026/1/22")+TIMEVALUE("6:00"),3,0)</f>
        <v>0</v>
      </c>
      <c r="P287" t="str">
        <f t="shared" ref="P287" si="719">IF(L287&lt;N287,"未達成（"&amp;N287-L287&amp;"）",IF(L287=N287,"達成","前倒し（"&amp;L287-N287&amp;"）"))</f>
        <v>未達成（3）</v>
      </c>
      <c r="Q287">
        <f t="shared" ref="Q287" si="720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630</v>
      </c>
      <c r="I288" t="s">
        <v>631</v>
      </c>
      <c r="J288">
        <v>0</v>
      </c>
      <c r="K288">
        <f t="shared" ref="K288" si="721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722">L287+K288</f>
        <v>352</v>
      </c>
      <c r="M288">
        <f t="shared" ref="M288" si="723">2+IF(A288&gt;=DATEVALUE("2025/11/30")+TIMEVALUE("6:00"),1,0)+IF(A288&gt;=DATEVALUE("2025/12/11")+TIMEVALUE("6:00"),1,0)</f>
        <v>4</v>
      </c>
      <c r="N288">
        <f t="shared" ref="N288" si="724">N287+M288*(INT(A288-6/24)-INT(A287-6/24))+O288</f>
        <v>355</v>
      </c>
      <c r="O288">
        <f t="shared" ref="O288" si="725">IF(A288&gt;=DATEVALUE("2025/11/8")+TIMEVALUE("6:00"),1,0)-IF(A287&gt;=DATEVALUE("2025/11/8")+TIMEVALUE("6:00"),1,0)
+IF(A288&gt;=DATEVALUE("2026/1/22")+TIMEVALUE("6:00"),3,0)-IF(A287&gt;=DATEVALUE("2026/1/22")+TIMEVALUE("6:00"),3,0)</f>
        <v>0</v>
      </c>
      <c r="P288" t="str">
        <f t="shared" ref="P288" si="726">IF(L288&lt;N288,"未達成（"&amp;N288-L288&amp;"）",IF(L288=N288,"達成","前倒し（"&amp;L288-N288&amp;"）"))</f>
        <v>未達成（3）</v>
      </c>
      <c r="Q288">
        <f t="shared" ref="Q288" si="72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632</v>
      </c>
      <c r="I289" t="s">
        <v>633</v>
      </c>
      <c r="J289">
        <v>0</v>
      </c>
      <c r="K289">
        <f t="shared" ref="K289" si="72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729">L288+K289</f>
        <v>352</v>
      </c>
      <c r="M289">
        <f t="shared" ref="M289" si="730">2+IF(A289&gt;=DATEVALUE("2025/11/30")+TIMEVALUE("6:00"),1,0)+IF(A289&gt;=DATEVALUE("2025/12/11")+TIMEVALUE("6:00"),1,0)</f>
        <v>4</v>
      </c>
      <c r="N289">
        <f t="shared" ref="N289" si="731">N288+M289*(INT(A289-6/24)-INT(A288-6/24))+O289</f>
        <v>355</v>
      </c>
      <c r="O289">
        <f t="shared" ref="O289" si="732">IF(A289&gt;=DATEVALUE("2025/11/8")+TIMEVALUE("6:00"),1,0)-IF(A288&gt;=DATEVALUE("2025/11/8")+TIMEVALUE("6:00"),1,0)
+IF(A289&gt;=DATEVALUE("2026/1/22")+TIMEVALUE("6:00"),3,0)-IF(A288&gt;=DATEVALUE("2026/1/22")+TIMEVALUE("6:00"),3,0)</f>
        <v>0</v>
      </c>
      <c r="P289" t="str">
        <f t="shared" ref="P289" si="733">IF(L289&lt;N289,"未達成（"&amp;N289-L289&amp;"）",IF(L289=N289,"達成","前倒し（"&amp;L289-N289&amp;"）"))</f>
        <v>未達成（3）</v>
      </c>
      <c r="Q289">
        <f t="shared" ref="Q289" si="734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634</v>
      </c>
      <c r="I290" t="s">
        <v>635</v>
      </c>
      <c r="J290">
        <v>0</v>
      </c>
      <c r="K290">
        <f t="shared" ref="K290" si="735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736">L289+K290</f>
        <v>354</v>
      </c>
      <c r="M290">
        <f t="shared" ref="M290" si="737">2+IF(A290&gt;=DATEVALUE("2025/11/30")+TIMEVALUE("6:00"),1,0)+IF(A290&gt;=DATEVALUE("2025/12/11")+TIMEVALUE("6:00"),1,0)</f>
        <v>4</v>
      </c>
      <c r="N290">
        <f t="shared" ref="N290" si="738">N289+M290*(INT(A290-6/24)-INT(A289-6/24))+O290</f>
        <v>355</v>
      </c>
      <c r="O290">
        <f t="shared" ref="O290" si="739">IF(A290&gt;=DATEVALUE("2025/11/8")+TIMEVALUE("6:00"),1,0)-IF(A289&gt;=DATEVALUE("2025/11/8")+TIMEVALUE("6:00"),1,0)
+IF(A290&gt;=DATEVALUE("2026/1/22")+TIMEVALUE("6:00"),3,0)-IF(A289&gt;=DATEVALUE("2026/1/22")+TIMEVALUE("6:00"),3,0)</f>
        <v>0</v>
      </c>
      <c r="P290" t="str">
        <f t="shared" ref="P290" si="740">IF(L290&lt;N290,"未達成（"&amp;N290-L290&amp;"）",IF(L290=N290,"達成","前倒し（"&amp;L290-N290&amp;"）"))</f>
        <v>未達成（1）</v>
      </c>
      <c r="Q290">
        <f t="shared" ref="Q290" si="741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636</v>
      </c>
      <c r="I291" t="s">
        <v>637</v>
      </c>
      <c r="J291">
        <v>1</v>
      </c>
      <c r="K291">
        <f t="shared" ref="K291" si="742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743">L290+K291</f>
        <v>354</v>
      </c>
      <c r="M291">
        <f t="shared" ref="M291" si="744">2+IF(A291&gt;=DATEVALUE("2025/11/30")+TIMEVALUE("6:00"),1,0)+IF(A291&gt;=DATEVALUE("2025/12/11")+TIMEVALUE("6:00"),1,0)</f>
        <v>4</v>
      </c>
      <c r="N291">
        <f t="shared" ref="N291" si="745">N290+M291*(INT(A291-6/24)-INT(A290-6/24))+O291</f>
        <v>355</v>
      </c>
      <c r="O291">
        <f t="shared" ref="O291" si="746">IF(A291&gt;=DATEVALUE("2025/11/8")+TIMEVALUE("6:00"),1,0)-IF(A290&gt;=DATEVALUE("2025/11/8")+TIMEVALUE("6:00"),1,0)
+IF(A291&gt;=DATEVALUE("2026/1/22")+TIMEVALUE("6:00"),3,0)-IF(A290&gt;=DATEVALUE("2026/1/22")+TIMEVALUE("6:00"),3,0)</f>
        <v>0</v>
      </c>
      <c r="P291" t="str">
        <f t="shared" ref="P291" si="747">IF(L291&lt;N291,"未達成（"&amp;N291-L291&amp;"）",IF(L291=N291,"達成","前倒し（"&amp;L291-N291&amp;"）"))</f>
        <v>未達成（1）</v>
      </c>
      <c r="Q291" t="e">
        <f t="shared" ref="Q291" si="748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638</v>
      </c>
      <c r="I292" t="s">
        <v>639</v>
      </c>
      <c r="J292">
        <v>0</v>
      </c>
      <c r="K292">
        <f t="shared" ref="K292" si="749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750">L291+K292</f>
        <v>355</v>
      </c>
      <c r="M292">
        <f t="shared" ref="M292" si="751">2+IF(A292&gt;=DATEVALUE("2025/11/30")+TIMEVALUE("6:00"),1,0)+IF(A292&gt;=DATEVALUE("2025/12/11")+TIMEVALUE("6:00"),1,0)</f>
        <v>4</v>
      </c>
      <c r="N292">
        <f t="shared" ref="N292" si="752">N291+M292*(INT(A292-6/24)-INT(A291-6/24))+O292</f>
        <v>355</v>
      </c>
      <c r="O292">
        <f t="shared" ref="O292" si="753">IF(A292&gt;=DATEVALUE("2025/11/8")+TIMEVALUE("6:00"),1,0)-IF(A291&gt;=DATEVALUE("2025/11/8")+TIMEVALUE("6:00"),1,0)
+IF(A292&gt;=DATEVALUE("2026/1/22")+TIMEVALUE("6:00"),3,0)-IF(A291&gt;=DATEVALUE("2026/1/22")+TIMEVALUE("6:00"),3,0)</f>
        <v>0</v>
      </c>
      <c r="P292" t="str">
        <f t="shared" ref="P292" si="754">IF(L292&lt;N292,"未達成（"&amp;N292-L292&amp;"）",IF(L292=N292,"達成","前倒し（"&amp;L292-N292&amp;"）"))</f>
        <v>達成</v>
      </c>
      <c r="Q292">
        <f t="shared" ref="Q292" si="755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640</v>
      </c>
      <c r="I293" t="s">
        <v>641</v>
      </c>
      <c r="J293">
        <v>0</v>
      </c>
      <c r="K293">
        <f t="shared" ref="K293" si="756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757">L292+K293</f>
        <v>357</v>
      </c>
      <c r="M293">
        <f t="shared" ref="M293" si="758">2+IF(A293&gt;=DATEVALUE("2025/11/30")+TIMEVALUE("6:00"),1,0)+IF(A293&gt;=DATEVALUE("2025/12/11")+TIMEVALUE("6:00"),1,0)</f>
        <v>4</v>
      </c>
      <c r="N293">
        <f t="shared" ref="N293" si="759">N292+M293*(INT(A293-6/24)-INT(A292-6/24))+O293</f>
        <v>359</v>
      </c>
      <c r="O293">
        <f t="shared" ref="O293" si="760">IF(A293&gt;=DATEVALUE("2025/11/8")+TIMEVALUE("6:00"),1,0)-IF(A292&gt;=DATEVALUE("2025/11/8")+TIMEVALUE("6:00"),1,0)
+IF(A293&gt;=DATEVALUE("2026/1/22")+TIMEVALUE("6:00"),3,0)-IF(A292&gt;=DATEVALUE("2026/1/22")+TIMEVALUE("6:00"),3,0)</f>
        <v>0</v>
      </c>
      <c r="P293" t="str">
        <f t="shared" ref="P293" si="761">IF(L293&lt;N293,"未達成（"&amp;N293-L293&amp;"）",IF(L293=N293,"達成","前倒し（"&amp;L293-N293&amp;"）"))</f>
        <v>未達成（2）</v>
      </c>
      <c r="Q293">
        <f t="shared" ref="Q293" si="762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642</v>
      </c>
      <c r="I294" t="s">
        <v>643</v>
      </c>
      <c r="J294">
        <v>0</v>
      </c>
      <c r="K294">
        <f t="shared" ref="K294" si="763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764">L293+K294</f>
        <v>359</v>
      </c>
      <c r="M294">
        <f t="shared" ref="M294" si="765">2+IF(A294&gt;=DATEVALUE("2025/11/30")+TIMEVALUE("6:00"),1,0)+IF(A294&gt;=DATEVALUE("2025/12/11")+TIMEVALUE("6:00"),1,0)</f>
        <v>4</v>
      </c>
      <c r="N294">
        <f t="shared" ref="N294" si="766">N293+M294*(INT(A294-6/24)-INT(A293-6/24))+O294</f>
        <v>359</v>
      </c>
      <c r="O294">
        <f t="shared" ref="O294" si="767">IF(A294&gt;=DATEVALUE("2025/11/8")+TIMEVALUE("6:00"),1,0)-IF(A293&gt;=DATEVALUE("2025/11/8")+TIMEVALUE("6:00"),1,0)
+IF(A294&gt;=DATEVALUE("2026/1/22")+TIMEVALUE("6:00"),3,0)-IF(A293&gt;=DATEVALUE("2026/1/22")+TIMEVALUE("6:00"),3,0)</f>
        <v>0</v>
      </c>
      <c r="P294" t="str">
        <f t="shared" ref="P294" si="768">IF(L294&lt;N294,"未達成（"&amp;N294-L294&amp;"）",IF(L294=N294,"達成","前倒し（"&amp;L294-N294&amp;"）"))</f>
        <v>達成</v>
      </c>
      <c r="Q294">
        <f t="shared" ref="Q294" si="769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644</v>
      </c>
      <c r="I295" t="s">
        <v>645</v>
      </c>
      <c r="J295">
        <v>0</v>
      </c>
      <c r="K295">
        <f t="shared" ref="K295" si="770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771">L294+K295</f>
        <v>360</v>
      </c>
      <c r="M295">
        <f t="shared" ref="M295" si="772">2+IF(A295&gt;=DATEVALUE("2025/11/30")+TIMEVALUE("6:00"),1,0)+IF(A295&gt;=DATEVALUE("2025/12/11")+TIMEVALUE("6:00"),1,0)</f>
        <v>4</v>
      </c>
      <c r="N295">
        <f t="shared" ref="N295" si="773">N294+M295*(INT(A295-6/24)-INT(A294-6/24))+O295</f>
        <v>363</v>
      </c>
      <c r="O295">
        <f t="shared" ref="O295" si="774">IF(A295&gt;=DATEVALUE("2025/11/8")+TIMEVALUE("6:00"),1,0)-IF(A294&gt;=DATEVALUE("2025/11/8")+TIMEVALUE("6:00"),1,0)
+IF(A295&gt;=DATEVALUE("2026/1/22")+TIMEVALUE("6:00"),3,0)-IF(A294&gt;=DATEVALUE("2026/1/22")+TIMEVALUE("6:00"),3,0)</f>
        <v>0</v>
      </c>
      <c r="P295" t="str">
        <f t="shared" ref="P295" si="775">IF(L295&lt;N295,"未達成（"&amp;N295-L295&amp;"）",IF(L295=N295,"達成","前倒し（"&amp;L295-N295&amp;"）"))</f>
        <v>未達成（3）</v>
      </c>
      <c r="Q295">
        <f t="shared" ref="Q295" si="776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646</v>
      </c>
      <c r="I296" t="s">
        <v>647</v>
      </c>
      <c r="J296">
        <v>0</v>
      </c>
      <c r="K296">
        <f t="shared" ref="K296" si="777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78">L295+K296</f>
        <v>362</v>
      </c>
      <c r="M296">
        <f t="shared" ref="M296" si="779">2+IF(A296&gt;=DATEVALUE("2025/11/30")+TIMEVALUE("6:00"),1,0)+IF(A296&gt;=DATEVALUE("2025/12/11")+TIMEVALUE("6:00"),1,0)</f>
        <v>4</v>
      </c>
      <c r="N296">
        <f t="shared" ref="N296" si="780">N295+M296*(INT(A296-6/24)-INT(A295-6/24))+O296</f>
        <v>363</v>
      </c>
      <c r="O296">
        <f t="shared" ref="O296" si="781">IF(A296&gt;=DATEVALUE("2025/11/8")+TIMEVALUE("6:00"),1,0)-IF(A295&gt;=DATEVALUE("2025/11/8")+TIMEVALUE("6:00"),1,0)
+IF(A296&gt;=DATEVALUE("2026/1/22")+TIMEVALUE("6:00"),3,0)-IF(A295&gt;=DATEVALUE("2026/1/22")+TIMEVALUE("6:00"),3,0)</f>
        <v>0</v>
      </c>
      <c r="P296" t="str">
        <f t="shared" ref="P296" si="782">IF(L296&lt;N296,"未達成（"&amp;N296-L296&amp;"）",IF(L296=N296,"達成","前倒し（"&amp;L296-N296&amp;"）"))</f>
        <v>未達成（1）</v>
      </c>
      <c r="Q296">
        <f t="shared" ref="Q296" si="783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648</v>
      </c>
      <c r="I297" t="s">
        <v>649</v>
      </c>
      <c r="J297">
        <v>0</v>
      </c>
      <c r="K297">
        <f t="shared" ref="K297" si="784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85">L296+K297</f>
        <v>363</v>
      </c>
      <c r="M297">
        <f t="shared" ref="M297" si="786">2+IF(A297&gt;=DATEVALUE("2025/11/30")+TIMEVALUE("6:00"),1,0)+IF(A297&gt;=DATEVALUE("2025/12/11")+TIMEVALUE("6:00"),1,0)</f>
        <v>4</v>
      </c>
      <c r="N297">
        <f t="shared" ref="N297" si="787">N296+M297*(INT(A297-6/24)-INT(A296-6/24))+O297</f>
        <v>363</v>
      </c>
      <c r="O297">
        <f t="shared" ref="O297" si="788">IF(A297&gt;=DATEVALUE("2025/11/8")+TIMEVALUE("6:00"),1,0)-IF(A296&gt;=DATEVALUE("2025/11/8")+TIMEVALUE("6:00"),1,0)
+IF(A297&gt;=DATEVALUE("2026/1/22")+TIMEVALUE("6:00"),3,0)-IF(A296&gt;=DATEVALUE("2026/1/22")+TIMEVALUE("6:00"),3,0)</f>
        <v>0</v>
      </c>
      <c r="P297" t="str">
        <f t="shared" ref="P297" si="789">IF(L297&lt;N297,"未達成（"&amp;N297-L297&amp;"）",IF(L297=N297,"達成","前倒し（"&amp;L297-N297&amp;"）"))</f>
        <v>達成</v>
      </c>
      <c r="Q297">
        <f t="shared" ref="Q297" si="790">IF(B297="",NA(),G297)</f>
        <v>7.3148148148902692E-3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46069.28875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2026-02-15T22:06:38Z</dcterms:modified>
</cp:coreProperties>
</file>
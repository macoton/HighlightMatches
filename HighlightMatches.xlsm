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4FC056A9-E5AB-4FF9-B965-174982910240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nm._FilterDatabase" localSheetId="2" hidden="1">データ!$B$2:$B$254</definedName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94" i="4" l="1"/>
  <c r="O294" i="4"/>
  <c r="M294" i="4"/>
  <c r="N294" i="4" s="1"/>
  <c r="K294" i="4"/>
  <c r="L294" i="4" s="1"/>
  <c r="Q293" i="4"/>
  <c r="O293" i="4"/>
  <c r="M293" i="4"/>
  <c r="N293" i="4" s="1"/>
  <c r="K293" i="4"/>
  <c r="L293" i="4" s="1"/>
  <c r="P293" i="4" s="1"/>
  <c r="Q292" i="4"/>
  <c r="O292" i="4"/>
  <c r="M292" i="4"/>
  <c r="N292" i="4" s="1"/>
  <c r="K292" i="4"/>
  <c r="L292" i="4" s="1"/>
  <c r="P292" i="4" s="1"/>
  <c r="Q291" i="4"/>
  <c r="O291" i="4"/>
  <c r="M291" i="4"/>
  <c r="N291" i="4" s="1"/>
  <c r="K291" i="4"/>
  <c r="L291" i="4" s="1"/>
  <c r="Q290" i="4"/>
  <c r="O290" i="4"/>
  <c r="M290" i="4"/>
  <c r="N290" i="4" s="1"/>
  <c r="K290" i="4"/>
  <c r="L290" i="4" s="1"/>
  <c r="Q289" i="4"/>
  <c r="O289" i="4"/>
  <c r="N289" i="4"/>
  <c r="M289" i="4"/>
  <c r="K289" i="4"/>
  <c r="L289" i="4" s="1"/>
  <c r="P289" i="4" s="1"/>
  <c r="Q288" i="4"/>
  <c r="O288" i="4"/>
  <c r="M288" i="4"/>
  <c r="N288" i="4" s="1"/>
  <c r="K288" i="4"/>
  <c r="L288" i="4" s="1"/>
  <c r="Q287" i="4"/>
  <c r="O287" i="4"/>
  <c r="M287" i="4"/>
  <c r="K287" i="4"/>
  <c r="Q286" i="4"/>
  <c r="O286" i="4"/>
  <c r="M286" i="4"/>
  <c r="K286" i="4"/>
  <c r="Q285" i="4"/>
  <c r="O285" i="4"/>
  <c r="M285" i="4"/>
  <c r="K285" i="4"/>
  <c r="Q284" i="4"/>
  <c r="O284" i="4"/>
  <c r="M284" i="4"/>
  <c r="K284" i="4"/>
  <c r="Q283" i="4"/>
  <c r="O283" i="4"/>
  <c r="M283" i="4"/>
  <c r="K283" i="4"/>
  <c r="Q282" i="4"/>
  <c r="O282" i="4"/>
  <c r="M282" i="4"/>
  <c r="K282" i="4"/>
  <c r="Q281" i="4"/>
  <c r="O281" i="4"/>
  <c r="M281" i="4"/>
  <c r="K281" i="4"/>
  <c r="Q280" i="4"/>
  <c r="O280" i="4"/>
  <c r="M280" i="4"/>
  <c r="K280" i="4"/>
  <c r="Q279" i="4"/>
  <c r="O279" i="4"/>
  <c r="M279" i="4"/>
  <c r="K279" i="4"/>
  <c r="Q278" i="4"/>
  <c r="O278" i="4"/>
  <c r="M278" i="4"/>
  <c r="K278" i="4"/>
  <c r="Q277" i="4"/>
  <c r="O277" i="4"/>
  <c r="M277" i="4"/>
  <c r="K277" i="4"/>
  <c r="Q276" i="4"/>
  <c r="O276" i="4"/>
  <c r="M276" i="4"/>
  <c r="K276" i="4"/>
  <c r="Q275" i="4"/>
  <c r="O275" i="4"/>
  <c r="M275" i="4"/>
  <c r="K275" i="4"/>
  <c r="Q274" i="4"/>
  <c r="O274" i="4"/>
  <c r="M274" i="4"/>
  <c r="K274" i="4"/>
  <c r="Q273" i="4"/>
  <c r="O273" i="4"/>
  <c r="M273" i="4"/>
  <c r="K273" i="4"/>
  <c r="Q272" i="4"/>
  <c r="O272" i="4"/>
  <c r="M272" i="4"/>
  <c r="K272" i="4"/>
  <c r="Q271" i="4"/>
  <c r="O271" i="4"/>
  <c r="M271" i="4"/>
  <c r="K271" i="4"/>
  <c r="Q270" i="4"/>
  <c r="O270" i="4"/>
  <c r="M270" i="4"/>
  <c r="K270" i="4"/>
  <c r="Q269" i="4"/>
  <c r="O269" i="4"/>
  <c r="M269" i="4"/>
  <c r="K269" i="4"/>
  <c r="Q268" i="4"/>
  <c r="O268" i="4"/>
  <c r="M268" i="4"/>
  <c r="K268" i="4"/>
  <c r="Q267" i="4"/>
  <c r="O267" i="4"/>
  <c r="M267" i="4"/>
  <c r="K267" i="4"/>
  <c r="Q266" i="4"/>
  <c r="O266" i="4"/>
  <c r="M266" i="4"/>
  <c r="K266" i="4"/>
  <c r="Q265" i="4"/>
  <c r="O265" i="4"/>
  <c r="M265" i="4"/>
  <c r="K265" i="4"/>
  <c r="Q264" i="4"/>
  <c r="O264" i="4"/>
  <c r="M264" i="4"/>
  <c r="K264" i="4"/>
  <c r="Q263" i="4"/>
  <c r="O263" i="4"/>
  <c r="M263" i="4"/>
  <c r="K263" i="4"/>
  <c r="Q262" i="4"/>
  <c r="O262" i="4"/>
  <c r="M262" i="4"/>
  <c r="K262" i="4"/>
  <c r="Q261" i="4"/>
  <c r="O261" i="4"/>
  <c r="M261" i="4"/>
  <c r="K261" i="4"/>
  <c r="Q260" i="4"/>
  <c r="O260" i="4"/>
  <c r="M260" i="4"/>
  <c r="K260" i="4"/>
  <c r="Q259" i="4"/>
  <c r="O259" i="4"/>
  <c r="M259" i="4"/>
  <c r="K259" i="4"/>
  <c r="Q258" i="4"/>
  <c r="O258" i="4"/>
  <c r="M258" i="4"/>
  <c r="K258" i="4"/>
  <c r="Q257" i="4"/>
  <c r="O257" i="4"/>
  <c r="M257" i="4"/>
  <c r="K257" i="4"/>
  <c r="Q256" i="4"/>
  <c r="O256" i="4"/>
  <c r="M256" i="4"/>
  <c r="K256" i="4"/>
  <c r="Q255" i="4"/>
  <c r="O255" i="4"/>
  <c r="M255" i="4"/>
  <c r="K255" i="4"/>
  <c r="Q254" i="4"/>
  <c r="O254" i="4"/>
  <c r="M254" i="4"/>
  <c r="K254" i="4"/>
  <c r="Q253" i="4"/>
  <c r="O253" i="4"/>
  <c r="M253" i="4"/>
  <c r="K253" i="4"/>
  <c r="Q252" i="4"/>
  <c r="O252" i="4"/>
  <c r="M252" i="4"/>
  <c r="K252" i="4"/>
  <c r="Q251" i="4"/>
  <c r="O251" i="4"/>
  <c r="M251" i="4"/>
  <c r="K251" i="4"/>
  <c r="Q250" i="4"/>
  <c r="O250" i="4"/>
  <c r="M250" i="4"/>
  <c r="K250" i="4"/>
  <c r="Q249" i="4"/>
  <c r="O249" i="4"/>
  <c r="M249" i="4"/>
  <c r="K249" i="4"/>
  <c r="Q248" i="4"/>
  <c r="O248" i="4"/>
  <c r="M248" i="4"/>
  <c r="K248" i="4"/>
  <c r="Q247" i="4"/>
  <c r="O247" i="4"/>
  <c r="M247" i="4"/>
  <c r="K247" i="4"/>
  <c r="Q246" i="4"/>
  <c r="O246" i="4"/>
  <c r="M246" i="4"/>
  <c r="K246" i="4"/>
  <c r="Q245" i="4"/>
  <c r="O245" i="4"/>
  <c r="M245" i="4"/>
  <c r="K245" i="4"/>
  <c r="Q244" i="4"/>
  <c r="O244" i="4"/>
  <c r="M244" i="4"/>
  <c r="K244" i="4"/>
  <c r="Q243" i="4"/>
  <c r="O243" i="4"/>
  <c r="M243" i="4"/>
  <c r="K243" i="4"/>
  <c r="Q242" i="4"/>
  <c r="O242" i="4"/>
  <c r="M242" i="4"/>
  <c r="K242" i="4"/>
  <c r="Q241" i="4"/>
  <c r="O241" i="4"/>
  <c r="M241" i="4"/>
  <c r="K241" i="4"/>
  <c r="Q240" i="4"/>
  <c r="O240" i="4"/>
  <c r="M240" i="4"/>
  <c r="K240" i="4"/>
  <c r="Q239" i="4"/>
  <c r="O239" i="4"/>
  <c r="M239" i="4"/>
  <c r="K239" i="4"/>
  <c r="Q238" i="4"/>
  <c r="O238" i="4"/>
  <c r="M238" i="4"/>
  <c r="K238" i="4"/>
  <c r="Q237" i="4"/>
  <c r="O237" i="4"/>
  <c r="M237" i="4"/>
  <c r="K237" i="4"/>
  <c r="Q236" i="4"/>
  <c r="O236" i="4"/>
  <c r="M236" i="4"/>
  <c r="K236" i="4"/>
  <c r="Q235" i="4"/>
  <c r="O235" i="4"/>
  <c r="M235" i="4"/>
  <c r="K235" i="4"/>
  <c r="Q234" i="4"/>
  <c r="O234" i="4"/>
  <c r="M234" i="4"/>
  <c r="K234" i="4"/>
  <c r="Q233" i="4"/>
  <c r="O233" i="4"/>
  <c r="M233" i="4"/>
  <c r="K233" i="4"/>
  <c r="Q232" i="4"/>
  <c r="O232" i="4"/>
  <c r="M232" i="4"/>
  <c r="K232" i="4"/>
  <c r="Q231" i="4"/>
  <c r="O231" i="4"/>
  <c r="M231" i="4"/>
  <c r="K231" i="4"/>
  <c r="Q230" i="4"/>
  <c r="O230" i="4"/>
  <c r="M230" i="4"/>
  <c r="K230" i="4"/>
  <c r="Q229" i="4"/>
  <c r="O229" i="4"/>
  <c r="M229" i="4"/>
  <c r="K229" i="4"/>
  <c r="Q228" i="4"/>
  <c r="O228" i="4"/>
  <c r="M228" i="4"/>
  <c r="K228" i="4"/>
  <c r="Q227" i="4"/>
  <c r="O227" i="4"/>
  <c r="M227" i="4"/>
  <c r="K227" i="4"/>
  <c r="Q226" i="4"/>
  <c r="O226" i="4"/>
  <c r="M226" i="4"/>
  <c r="K226" i="4"/>
  <c r="Q225" i="4"/>
  <c r="O225" i="4"/>
  <c r="M225" i="4"/>
  <c r="K225" i="4"/>
  <c r="Q224" i="4"/>
  <c r="O224" i="4"/>
  <c r="M224" i="4"/>
  <c r="K224" i="4"/>
  <c r="Q223" i="4"/>
  <c r="O223" i="4"/>
  <c r="M223" i="4"/>
  <c r="K223" i="4"/>
  <c r="Q222" i="4"/>
  <c r="O222" i="4"/>
  <c r="M222" i="4"/>
  <c r="K222" i="4"/>
  <c r="Q221" i="4"/>
  <c r="O221" i="4"/>
  <c r="M221" i="4"/>
  <c r="K221" i="4"/>
  <c r="Q220" i="4"/>
  <c r="O220" i="4"/>
  <c r="M220" i="4"/>
  <c r="K220" i="4"/>
  <c r="Q219" i="4"/>
  <c r="O219" i="4"/>
  <c r="M219" i="4"/>
  <c r="K219" i="4"/>
  <c r="Q218" i="4"/>
  <c r="O218" i="4"/>
  <c r="M218" i="4"/>
  <c r="K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294" i="4" l="1"/>
  <c r="P291" i="4"/>
  <c r="P290" i="4"/>
  <c r="P288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L54" i="4"/>
  <c r="P53" i="4"/>
  <c r="L55" i="4" l="1"/>
  <c r="P54" i="4"/>
  <c r="L56" i="4" l="1"/>
  <c r="P55" i="4"/>
  <c r="P56" i="4" l="1"/>
  <c r="L57" i="4"/>
  <c r="L58" i="4" l="1"/>
  <c r="P57" i="4"/>
  <c r="L59" i="4" l="1"/>
  <c r="P58" i="4"/>
  <c r="L60" i="4" l="1"/>
  <c r="P59" i="4"/>
  <c r="P60" i="4" l="1"/>
  <c r="L61" i="4"/>
  <c r="L62" i="4" l="1"/>
  <c r="P61" i="4"/>
  <c r="L63" i="4" l="1"/>
  <c r="P62" i="4"/>
  <c r="L64" i="4" l="1"/>
  <c r="P63" i="4"/>
  <c r="P64" i="4" l="1"/>
  <c r="L65" i="4"/>
  <c r="L66" i="4" l="1"/>
  <c r="P65" i="4"/>
  <c r="L67" i="4" l="1"/>
  <c r="P66" i="4"/>
  <c r="L68" i="4" l="1"/>
  <c r="P67" i="4"/>
  <c r="P68" i="4" l="1"/>
  <c r="L69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l="1"/>
  <c r="L229" i="4"/>
  <c r="P227" i="4"/>
  <c r="L230" i="4" l="1"/>
  <c r="P229" i="4"/>
  <c r="L231" i="4" l="1"/>
  <c r="P230" i="4"/>
  <c r="P231" i="4" l="1"/>
  <c r="L232" i="4"/>
  <c r="P232" i="4" l="1"/>
  <c r="L233" i="4"/>
  <c r="P233" i="4" l="1"/>
  <c r="L234" i="4"/>
  <c r="P234" i="4" l="1"/>
  <c r="L235" i="4"/>
  <c r="P235" i="4" l="1"/>
  <c r="L236" i="4"/>
  <c r="P236" i="4" l="1"/>
  <c r="L237" i="4"/>
  <c r="P237" i="4" l="1"/>
  <c r="L238" i="4"/>
  <c r="P238" i="4" l="1"/>
  <c r="L239" i="4"/>
  <c r="L240" i="4" l="1"/>
  <c r="P239" i="4"/>
  <c r="P240" i="4" l="1"/>
  <c r="L241" i="4"/>
  <c r="P241" i="4" l="1"/>
  <c r="L242" i="4"/>
  <c r="L243" i="4" l="1"/>
  <c r="P242" i="4"/>
  <c r="L244" i="4" l="1"/>
  <c r="P243" i="4"/>
  <c r="L245" i="4" l="1"/>
  <c r="P244" i="4"/>
  <c r="P245" i="4" l="1"/>
  <c r="L246" i="4"/>
  <c r="L247" i="4" l="1"/>
  <c r="P246" i="4"/>
  <c r="P247" i="4" l="1"/>
  <c r="L248" i="4"/>
  <c r="P248" i="4" l="1"/>
  <c r="L249" i="4"/>
  <c r="L250" i="4" l="1"/>
  <c r="P249" i="4"/>
  <c r="P250" i="4" l="1"/>
  <c r="L251" i="4"/>
  <c r="P251" i="4" l="1"/>
  <c r="L252" i="4"/>
  <c r="P252" i="4" l="1"/>
  <c r="L253" i="4"/>
  <c r="L254" i="4" s="1"/>
  <c r="P254" i="4" l="1"/>
  <c r="L255" i="4"/>
  <c r="P253" i="4"/>
  <c r="P255" i="4" l="1"/>
  <c r="L256" i="4"/>
  <c r="P256" i="4" l="1"/>
  <c r="L257" i="4"/>
  <c r="L258" i="4" l="1"/>
  <c r="P257" i="4"/>
  <c r="P258" i="4" l="1"/>
  <c r="L259" i="4"/>
  <c r="P259" i="4" l="1"/>
  <c r="L260" i="4"/>
  <c r="P260" i="4" l="1"/>
  <c r="L261" i="4"/>
  <c r="P261" i="4" l="1"/>
  <c r="L262" i="4"/>
  <c r="L263" i="4" l="1"/>
  <c r="P262" i="4"/>
  <c r="L264" i="4" l="1"/>
  <c r="P263" i="4"/>
  <c r="P264" i="4" l="1"/>
  <c r="L265" i="4"/>
  <c r="L266" i="4" l="1"/>
  <c r="P265" i="4"/>
  <c r="P266" i="4" l="1"/>
  <c r="L267" i="4"/>
  <c r="P267" i="4" l="1"/>
  <c r="L268" i="4"/>
  <c r="P268" i="4" l="1"/>
  <c r="L269" i="4"/>
  <c r="P269" i="4" l="1"/>
  <c r="L270" i="4"/>
  <c r="P270" i="4" l="1"/>
  <c r="L271" i="4"/>
  <c r="P271" i="4" l="1"/>
  <c r="L272" i="4"/>
  <c r="P272" i="4" l="1"/>
  <c r="L273" i="4"/>
  <c r="P273" i="4" l="1"/>
  <c r="L274" i="4"/>
  <c r="P274" i="4" l="1"/>
  <c r="L275" i="4"/>
  <c r="L276" i="4" l="1"/>
  <c r="P275" i="4"/>
  <c r="P276" i="4" l="1"/>
  <c r="L277" i="4"/>
  <c r="P277" i="4" l="1"/>
  <c r="L278" i="4"/>
  <c r="L279" i="4" l="1"/>
  <c r="P278" i="4"/>
  <c r="P279" i="4" l="1"/>
  <c r="L280" i="4"/>
  <c r="L281" i="4" l="1"/>
  <c r="P280" i="4"/>
  <c r="P281" i="4" l="1"/>
  <c r="L282" i="4"/>
  <c r="P282" i="4" l="1"/>
  <c r="L283" i="4"/>
  <c r="P283" i="4" l="1"/>
  <c r="L284" i="4"/>
  <c r="P284" i="4" l="1"/>
  <c r="L285" i="4"/>
  <c r="L286" i="4" l="1"/>
  <c r="P285" i="4"/>
  <c r="P286" i="4" l="1"/>
  <c r="L287" i="4"/>
  <c r="P287" i="4" s="1"/>
</calcChain>
</file>

<file path=xl/sharedStrings.xml><?xml version="1.0" encoding="utf-8"?>
<sst xmlns="http://schemas.openxmlformats.org/spreadsheetml/2006/main" count="665" uniqueCount="644">
  <si>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</si>
  <si>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</si>
  <si>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</si>
  <si>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</si>
  <si>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</si>
  <si>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</si>
  <si>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</si>
  <si>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</si>
  <si>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</si>
  <si>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</si>
  <si>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</si>
  <si>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</si>
  <si>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</si>
  <si>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</si>
  <si>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</si>
  <si>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</si>
  <si>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</si>
  <si>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</si>
  <si>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</si>
  <si>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</si>
  <si>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</si>
  <si>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</si>
  <si>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</si>
  <si>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</si>
  <si>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</si>
  <si>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</si>
  <si>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</si>
  <si>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</si>
  <si>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</si>
  <si>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</si>
  <si>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</si>
  <si>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</si>
  <si>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</si>
  <si>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</si>
  <si>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</si>
  <si>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</si>
  <si>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</si>
  <si>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</si>
  <si>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</si>
  <si>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</si>
  <si>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</si>
  <si>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</si>
  <si>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</si>
  <si>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</si>
  <si>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</si>
  <si>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</si>
  <si>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</si>
  <si>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</si>
  <si>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</si>
  <si>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</si>
  <si>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</si>
  <si>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</si>
  <si>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</si>
  <si>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</si>
  <si>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</si>
  <si>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</si>
  <si>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</si>
  <si>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</si>
  <si>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</si>
  <si>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</si>
  <si>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</si>
  <si>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</si>
  <si>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</si>
  <si>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</si>
  <si>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</si>
  <si>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</si>
  <si>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</si>
  <si>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</si>
  <si>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</si>
  <si>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</si>
  <si>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</si>
  <si>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</si>
  <si>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</si>
  <si>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</si>
  <si>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</si>
  <si>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</si>
  <si>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</si>
  <si>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</si>
  <si>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</si>
  <si>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</si>
  <si>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</si>
  <si>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</si>
  <si>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</si>
  <si>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</si>
  <si>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</si>
  <si>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</si>
  <si>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</si>
  <si>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</si>
  <si>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</si>
  <si>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</si>
  <si>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</si>
  <si>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</si>
  <si>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</si>
  <si>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</si>
  <si>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</si>
  <si>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</si>
  <si>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</si>
  <si>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</si>
  <si>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</si>
  <si>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</si>
  <si>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</si>
  <si>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</si>
  <si>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</si>
  <si>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</si>
  <si>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</si>
  <si>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</si>
  <si>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</si>
  <si>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</si>
  <si>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</si>
  <si>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</si>
  <si>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</si>
  <si>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</si>
  <si>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</si>
  <si>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</si>
  <si>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</si>
  <si>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</si>
  <si>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</si>
  <si>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</si>
  <si>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</si>
  <si>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</si>
  <si>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</si>
  <si>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</si>
  <si>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</si>
  <si>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</si>
  <si>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</si>
  <si>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</si>
  <si>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</si>
  <si>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</si>
  <si>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</si>
  <si>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</si>
  <si>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</si>
  <si>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</si>
  <si>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</si>
  <si>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</si>
  <si>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</si>
  <si>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</si>
  <si>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</si>
  <si>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</si>
  <si>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</si>
  <si>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</si>
  <si>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</si>
  <si>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</si>
  <si>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</si>
  <si>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</si>
  <si>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</si>
  <si>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</si>
  <si>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</si>
  <si>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</si>
  <si>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</si>
  <si>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</si>
  <si>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</si>
  <si>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</si>
  <si>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</si>
  <si>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</si>
  <si>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</si>
  <si>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</si>
  <si>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</si>
  <si>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</si>
  <si>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</si>
  <si>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</si>
  <si>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</si>
  <si>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</si>
  <si>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</si>
  <si>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</si>
  <si>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</si>
  <si>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</si>
  <si>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</si>
  <si>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</si>
  <si>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</si>
  <si>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</si>
  <si>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</si>
  <si>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</si>
  <si>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</si>
  <si>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</si>
  <si>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</si>
  <si>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</si>
  <si>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</si>
  <si>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</si>
  <si>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</si>
  <si>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</si>
  <si>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</si>
  <si>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</si>
  <si>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</si>
  <si>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</si>
  <si>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</si>
  <si>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</si>
  <si>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</si>
  <si>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</si>
  <si>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</si>
  <si>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</si>
  <si>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</si>
  <si>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</si>
  <si>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</si>
  <si>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</si>
  <si>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</si>
  <si>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</si>
  <si>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</si>
  <si>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</si>
  <si>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</si>
  <si>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</si>
  <si>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</si>
  <si>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</si>
  <si>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</si>
  <si>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</si>
  <si>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</si>
  <si>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</si>
  <si>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</si>
  <si>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</si>
  <si>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</si>
  <si>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</si>
  <si>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</si>
  <si>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</si>
  <si>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</si>
  <si>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</si>
  <si>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</si>
  <si>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</si>
  <si>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</si>
  <si>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</si>
  <si>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</si>
  <si>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</si>
  <si>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</si>
  <si>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</si>
  <si>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</si>
  <si>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</si>
  <si>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</si>
  <si>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</si>
  <si>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</si>
  <si>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</si>
  <si>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</si>
  <si>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</si>
  <si>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</si>
  <si>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</si>
  <si>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</si>
  <si>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</si>
  <si>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</si>
  <si>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</si>
  <si>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</si>
  <si>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</si>
  <si>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</si>
  <si>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</si>
  <si>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</si>
  <si>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</si>
  <si>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</si>
  <si>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</si>
  <si>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</si>
  <si>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</si>
  <si>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</si>
  <si>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</si>
  <si>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</si>
  <si>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</si>
  <si>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</si>
  <si>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</si>
  <si>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</si>
  <si>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</si>
  <si>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</si>
  <si>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</si>
  <si>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</si>
  <si>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</si>
  <si>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</si>
  <si>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</si>
  <si>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</si>
  <si>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</si>
  <si>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</si>
  <si>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</si>
  <si>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</si>
  <si>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</si>
  <si>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</si>
  <si>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</si>
  <si>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</si>
  <si>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</si>
  <si>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</si>
  <si>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</si>
  <si>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</si>
  <si>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</si>
  <si>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</si>
  <si>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</si>
  <si>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</si>
  <si>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</si>
  <si>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</si>
  <si>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</si>
  <si>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</si>
  <si>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</si>
  <si>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</si>
  <si>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</si>
  <si>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</si>
  <si>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</si>
  <si>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</si>
  <si>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</si>
  <si>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</si>
  <si>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</si>
  <si>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</si>
  <si>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</si>
  <si>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</si>
  <si>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</si>
  <si>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</si>
  <si>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</si>
  <si>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</si>
  <si>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</si>
  <si>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</si>
  <si>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</si>
  <si>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</si>
  <si>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</si>
  <si>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</si>
  <si>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</si>
  <si>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</si>
  <si>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</si>
  <si>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</si>
  <si>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</si>
  <si>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</si>
  <si>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</si>
  <si>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</si>
  <si>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</si>
  <si>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</si>
  <si>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</si>
  <si>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</si>
  <si>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</si>
  <si>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</si>
  <si>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</si>
  <si>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</si>
  <si>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</si>
  <si>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</si>
  <si>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</si>
  <si>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</si>
  <si>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</si>
  <si>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</si>
  <si>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</si>
  <si>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</si>
  <si>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</si>
  <si>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</si>
  <si>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</si>
  <si>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</si>
  <si>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</si>
  <si>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</si>
  <si>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</si>
  <si>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</si>
  <si>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</si>
  <si>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</si>
  <si>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</si>
  <si>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</si>
  <si>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</si>
  <si>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</si>
  <si>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</si>
  <si>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</si>
  <si>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</si>
  <si>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</si>
  <si>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</si>
  <si>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</si>
  <si>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</si>
  <si>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</si>
  <si>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</si>
  <si>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</si>
  <si>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</si>
  <si>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</si>
  <si>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</si>
  <si>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</si>
  <si>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</si>
  <si>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</si>
  <si>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</si>
  <si>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</si>
  <si>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</si>
  <si>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</si>
  <si>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</si>
  <si>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</si>
  <si>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</si>
  <si>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</si>
  <si>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</si>
  <si>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</si>
  <si>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</si>
  <si>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</si>
  <si>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</si>
  <si>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</si>
  <si>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</si>
  <si>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</si>
  <si>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</si>
  <si>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</si>
  <si>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</si>
  <si>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</si>
  <si>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</si>
  <si>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</si>
  <si>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</si>
  <si>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</si>
  <si>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</si>
  <si>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</si>
  <si>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</si>
  <si>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</si>
  <si>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</si>
  <si>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</si>
  <si>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</si>
  <si>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</si>
  <si>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</si>
  <si>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</si>
  <si>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</si>
  <si>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</si>
  <si>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</si>
  <si>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</si>
  <si>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</si>
  <si>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</si>
  <si>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</si>
  <si>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</si>
  <si>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</si>
  <si>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</si>
  <si>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</si>
  <si>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</si>
  <si>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</si>
  <si>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</si>
  <si>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</si>
  <si>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</si>
  <si>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</si>
  <si>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</si>
  <si>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</si>
  <si>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</si>
  <si>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</si>
  <si>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</si>
  <si>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</si>
  <si>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</si>
  <si>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</si>
  <si>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</si>
  <si>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</si>
  <si>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</si>
  <si>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</si>
  <si>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</si>
  <si>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</si>
  <si>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</si>
  <si>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</si>
  <si>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</si>
  <si>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</si>
  <si>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</si>
  <si>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</si>
  <si>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</si>
  <si>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</si>
  <si>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</si>
  <si>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</si>
  <si>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</si>
  <si>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</si>
  <si>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</si>
  <si>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</si>
  <si>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</si>
  <si>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</si>
  <si>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</si>
  <si>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</si>
  <si>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</si>
  <si>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</si>
  <si>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</si>
  <si>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</si>
  <si>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</si>
  <si>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</si>
  <si>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</si>
  <si>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</si>
  <si>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</si>
  <si>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</si>
  <si>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</si>
  <si>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</si>
  <si>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</si>
  <si>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</si>
  <si>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</si>
  <si>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</si>
  <si>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</si>
  <si>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</si>
  <si>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</si>
  <si>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</si>
  <si>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</si>
  <si>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</si>
  <si>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</si>
  <si>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</si>
  <si>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</si>
  <si>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</si>
  <si>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</si>
  <si>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</si>
  <si>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</si>
  <si>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</si>
  <si>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</si>
  <si>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</si>
  <si>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</si>
  <si>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</si>
  <si>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</si>
  <si>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</si>
  <si>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</si>
  <si>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</si>
  <si>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</si>
  <si>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</si>
  <si>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</si>
  <si>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</si>
  <si>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</si>
  <si>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</si>
  <si>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</si>
  <si>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</si>
  <si>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</si>
  <si>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罰（2025/11/8は１、2026/1/22は３）</t>
    <phoneticPr fontId="1"/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</si>
  <si>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</si>
  <si>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</si>
  <si>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</si>
  <si>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</si>
  <si>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</si>
  <si>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</si>
  <si>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</si>
  <si>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</si>
  <si>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</si>
  <si>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</si>
  <si>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</si>
  <si>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</si>
  <si>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</si>
  <si>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</si>
  <si>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</si>
  <si>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</si>
  <si>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</si>
  <si>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</si>
  <si>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</si>
  <si>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</si>
  <si>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</si>
  <si>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</si>
  <si>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</si>
  <si>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</si>
  <si>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</si>
  <si>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</si>
  <si>
    <t>(8,2,*4,6,5,8,2,6,6,2,5,2),(3,7,*9,*2,*1,*3,9,*6,*6,*3,7,7),(*2,*3,*2,*5,*4,*8,*9,9,4,2,7,*3),(1,6,*9,2,9,*1,*2,*3,3,2,*6,2),(8,3,*3,2,1,4,*7,*2,*6,*1,5,3),(3,4,*5,6,*3,*1,*6,*7,*9,*8,1,*4),(*6,5,*7,*9,*4,*2,*4,*8,*8,*6,*4,*2),(9,*5,*2,7,*5,1,3,8,1,1,8,*2),(7,2,*3,*5,7,3,5,3,7,9,8,4),(1,5,8,*6,2,4,2,1,4,8,3,1),(6,5,4,9,*8,6,5,6,4,3,5,8),(1,2,*2,*9,*5,*8,5,2,4,3,2,2)</t>
  </si>
  <si>
    <t>3167,366,422,55,8592,9424886,9293572,32,393684,361,65368,92281,42417,51,52</t>
  </si>
  <si>
    <t>(3,5,7,5,4,9,1,*5,7,8,4,5),(8,4,5,3,7,3,4,*6,3,9,*2,*2),(*2,*9,*7,*8,*2,*2,*6,*5,9,5,*5,*9),(7,3,9,2,*7,4,7,*7,6,4,*4,*1),(5,4,8,1,*8,*4,3,6,8,3,*7,*4),(5,*6,*4,*7,8,5,*8,*2,2,9,5,*3),(9,9,*8,4,*8,*9,1,*7,*3,9,2,*7),(6,*6,5,*7,9,*1,3,7,*7,*5,2,1),(*5,9,*7,1,2,*9,*9,*8,*9,*2,*5,3),(4,*3,4,3,5,*1,*5,3,*1,7,*1,*3),(*1,6,4,1,*9,7,3,7,7,8,4,8),(3,3,1,9,8,5,1,*8,*2,*6,4,4)</t>
  </si>
  <si>
    <t>5657,87731,46,1277847,2547,6228792,81,919,56878,734192,791,23553,628,95,98</t>
  </si>
  <si>
    <t>(4,9,8,4,2,2,9,2,2,2,9,4),(7,7,*2,*1,*7,*4,*9,*4,7,6,3,7),(7,*9,6,2,7,*5,*1,*7,*1,5,8,*5),(*5,3,*8,5,9,3,*6,1,9,7,*6,7),(*7,9,1,*2,*1,*6,*7,1,5,*3,5,1),(*7,9,5,2,*6,8,3,3,*3,*8,*5,*5),(*7,*5,3,5,2,*7,2,*3,9,9,7,*6),(*2,1,*9,7,*2,*4,*8,9,5,9,3,*2),(4,3,*4,*6,3,*4,6,2,4,6,6,*7),(6,4,*8,5,3,*2,2,8,8,7,8,*7),(7,9,*8,*9,7,*5,3,7,6,6,8,*7),(2,1,*6,*9,*6,*4,*7,*1,*3,4,6,*2)</t>
  </si>
  <si>
    <t>52,5633384,4886,76289,667,99,494712,24,85,761,5627772,64713,5171,57772,695</t>
  </si>
  <si>
    <t>(1,7,7,5,5,9,6,*7,2,8,1,5),(8,4,9,9,2,9,9,*4,*9,2,6,7),(1,2,3,6,8,*6,*4,*5,*5,*1,4,5),(*3,4,6,1,*3,*9,3,*3,4,*6,4,*8),(*7,4,5,*1,*1,5,6,*4,3,*1,*2,*9),(*2,4,*6,1,4,6,2,*7,4,*6,*8,6),(*7,*3,*1,*4,*7,*7,9,*9,2,7,3,9),(*9,*1,*6,*1,*4,*8,*7,*5,9,5,5,*6),(*6,1,4,*7,*9,*9,*6,*6,2,8,*6,5),(*2,*6,6,6,5,7,3,8,1,*4,*3,8),(*4,*7,5,9,2,1,1,1,*4,4,*9,7),(4,*4,5,4,5,7,4,*4,5,8,3,4)</t>
  </si>
  <si>
    <t>936,59,7453479,89,79966,44466,82,77413,372796,24,1614875,194,1616,6136,674</t>
  </si>
  <si>
    <t>(7,1,9,7,*1,*5,2,*8,8,1,6,4),(6,7,6,5,*7,8,1,4,*8,6,2,5),(5,9,8,*6,*4,*2,3,2,9,*1,5,9),(7,*2,*2,7,*5,*9,*7,8,2,2,*2,1),(1,5,4,6,*1,*8,3,3,1,8,5,*1),(7,7,4,*4,*2,*9,4,2,4,8,6,*9),(6,*8,*9,2,*8,*3,5,5,3,5,4,*3),(7,*2,*4,*5,*3,*6,*7,*6,*5,*6,6,*9),(6,8,1,*1,7,4,*3,*2,*9,*7,*3,*8),(9,8,9,4,*3,9,*8,4,4,*8,6,5),(3,7,1,1,2,*1,*7,1,2,*5,9,5),(9,5,7,*6,*2,2,*5,*4,*5,*6,*9,*5)</t>
  </si>
  <si>
    <t>84131,72,22,12188,2973,6567635,294,39892,26,1745128,8939,545695,85,675,387</t>
  </si>
  <si>
    <t>(8,6,2,2,6,9,*3,7,*6,2,5,5),(*9,*4,7,4,9,*2,9,*2,1,3,1,5),(*9,*7,*1,6,*6,4,*5,2,*8,8,4,8),(5,*1,*7,*2,*9,*9,7,*3,*4,4,4,6),(5,6,*4,*7,*3,*6,4,*8,*7,*8,*9,*9),(2,6,1,*5,*8,*7,*4,*1,*1,*4,9,5),(6,7,3,*6,*9,9,*8,1,*7,*5,1,9),(1,1,4,1,*9,6,6,*5,*1,*8,1,4),(6,*6,3,2,5,*3,2,1,3,*1,4,1),(4,8,*7,*8,*8,9,*5,9,5,*7,8,2),(3,7,3,*4,5,4,1,*4,3,*8,3,9),(8,5,7,5,*7,4,9,8,3,3,9,9)</t>
  </si>
  <si>
    <t>381,8458178,75,69354,6259,95419,4123785,847171,7476,87779,88,94,99,964,326</t>
  </si>
  <si>
    <t>(*1,3,6,1,8,4,2,5,*3,5,5,*4),(5,*8,6,8,3,2,*6,1,3,*2,*2,2),(6,2,*6,4,8,*7,5,5,9,*2,*6,8),(8,5,8,*7,*1,3,6,*4,*2,2,7,2),(3,*6,*6,*3,*2,8,*9,*2,*1,8,1,*6),(2,1,*7,5,8,*5,*5,*1,7,*7,*3,4),(5,7,8,3,1,*2,9,8,*8,*7,*3,4),(*4,9,2,5,5,4,9,2,*8,*9,1,*9),(*2,6,1,7,3,*4,9,9,1,1,8,5),(*6,*8,*3,1,6,*5,2,6,3,1,4,3),(*9,9,4,9,7,1,8,3,5,1,4,4),(*5,6,1,1,2,4,9,5,*7,*9,*1,9)</t>
  </si>
  <si>
    <t>186725,534,42695,67137,93714,9819,2522224,791,38,326,45,66,8736,94,3618425</t>
  </si>
  <si>
    <t>(*8,*3,*1,*1,*8,*8,6,8,9,1,6,1),(6,*4,*4,7,4,5,8,3,8,*3,5,5),(6,2,*1,*8,3,7,6,1,9,*2,*9,7),(*3,*8,2,*2,*5,7,7,8,5,4,*8,7),(*7,*1,6,1,*6,*4,4,6,8,7,*9,3),(*3,*8,2,7,*7,*2,*1,1,3,6,*1,2),(*5,*5,3,8,9,1,6,2,2,9,7,8),(*5,*6,*9,*8,*3,*6,*4,8,*8,7,6,*3),(*6,*2,7,3,*8,4,6,*5,2,3,9,*7),(*6,*1,*4,3,7,*2,*1,8,5,5,2,*4),(1,3,5,*9,5,4,4,4,7,1,7,*9),(5,7,5,5,*8,9,8,9,4,2,8,7)</t>
  </si>
  <si>
    <t>46389,9891,158,262148,31188,67,3749,894,86,71,32,6655373,1265818,882,48541</t>
  </si>
  <si>
    <t>(2,9,*8,6,4,*2,9,9,2,1,2,9),(7,3,*5,7,9,*7,*9,*5,*5,*2,*7,*2),(4,9,*9,9,6,*6,6,6,2,*5,5,*2),(5,4,*8,6,9,*6,8,9,*9,1,2,*4),(7,2,*1,6,4,*2,2,*4,6,7,*5,*7),(3,*1,*9,3,7,*6,*4,2,2,*7,9,4),(3,8,*2,4,3,*1,9,7,*7,5,1,8),(3,9,2,7,*4,*9,*1,*4,1,7,4,9),(6,2,*9,*9,9,8,*6,1,8,6,1,9),(8,8,8,1,*3,*1,1,9,9,5,1,7),(7,3,8,4,*3,1,2,1,*5,*3,*9,*1),(1,5,5,7,*2,*9,*6,*4,*7,7,8,2)</t>
  </si>
  <si>
    <t>99,1935,21,2766261,33,272,598192,1647754,194,26152,44957,7422,559,85,29647</t>
  </si>
  <si>
    <t>(6,5,3,7,5,8,4,7,6,4,4,7),(8,3,7,7,3,4,4,4,1,5,6,9),(*7,*3,*9,*1,*3,*7,*1,*1,4,*4,9,3),(3,5,8,3,8,2,1,9,9,*2,*5,7),(*6,*8,*5,*2,*3,3,3,9,8,*5,*2,3),(3,*9,7,3,*5,7,5,3,5,*5,*2,8),(7,*4,7,*4,6,6,*4,5,3,*3,*9,7),(4,*3,5,4,5,8,*4,2,4,*2,8,1),(*9,9,3,*7,5,3,*2,*6,*5,*3,*9,5),(*8,1,6,3,*4,5,8,*1,8,4,5,8),(*8,3,9,5,6,*7,*4,*9,*6,*6,*3,5),(*6,7,*7,*6,*1,*6,*2,*9,*6,6,9,2)</t>
  </si>
  <si>
    <t>54,739,3913711,95,93562,44,14,6926167,49663,5229,32586,235524,943,747,6889</t>
  </si>
  <si>
    <t>(8,4,4,8,*4,8,7,5,9,*1,8,9),(3,7,2,*2,9,9,3,8,8,*8,4,*2),(9,8,*4,*8,7,9,3,*8,*3,*5,2,*1),(7,*7,*8,*5,*4,8,1,*1,*3,*6,1,*4),(4,6,4,2,2,3,3,*8,*2,*3,4,*3),(5,6,2,*2,*9,*9,6,5,*4,*5,*7,*8),(5,6,7,7,*7,4,*5,2,*1,*4,*7,*6),(8,4,1,2,*9,*3,3,*5,*7,7,*1,*4),(7,9,4,*2,5,5,*6,1,*1,5,*7,4),(9,8,*6,*5,*1,*9,9,*1,1,*8,1,5),(9,8,4,*7,*7,*7,*8,*5,8,9,*7,3),(1,1,2,1,5,7,7,1,5,8,1,3)</t>
  </si>
  <si>
    <t>55187,1856354,7717,58777,7424,93,26,854,27361,818,99,332417,2143864,84,915</t>
  </si>
  <si>
    <t>(9,1,3,9,8,5,6,5,6,6,4,1),(9,*8,4,7,7,*1,5,6,*4,1,4,8),(6,*8,9,8,*5,5,7,8,*1,4,*7,*9),(1,*8,*9,*7,2,8,2,3,*1,*4,*3,9),(5,*2,*7,*8,5,*5,*2,5,*7,*2,2,3),(2,*2,1,8,*7,2,5,8,*2,*7,5,8),(*3,6,5,3,2,*7,5,3,*4,8,6,*6),(8,6,9,*2,*4,9,*2,*6,4,2,1,*4),(*4,*7,*9,*3,*7,9,*6,*5,4,6,9,*3),(*9,*1,*3,*6,*9,*8,8,6,*8,6,4,8),(7,5,7,2,*4,8,5,7,7,1,1,6),(6,6,8,*3,*7,*9,*9,*5,*7,*1,*6,3)</t>
  </si>
  <si>
    <t>52,2888,327751,114,747,96319,3486647,2239,346,85,67,47937,42,6175997,27789</t>
  </si>
  <si>
    <t>(8,*8,7,9,5,5,*9,3,9,8,2,*7),(1,*4,3,1,4,9,*3,*4,*5,4,9,*9),(6,*7,1,8,2,5,*1,*9,7,*6,*6,*2),(8,*1,2,4,3,9,*9,*2,3,*3,4,3),(6,*4,*6,3,6,7,9,*4,8,5,7,3),(1,*7,9,6,8,4,*8,*7,7,5,*3,6),(7,*1,1,8,*9,*8,4,*3,*1,1,*2,7),(5,3,8,*5,*4,5,2,*7,*2,1,*4,5),(8,8,*5,*4,6,9,4,*8,*8,*1,*9,1),(1,*7,9,7,9,7,*3,2,6,5,*3,4),(*3,5,8,*3,*1,*5,*4,*1,1,7,6,5),(4,8,5,8,6,4,*6,*1,*4,*8,*3,*3)</t>
  </si>
  <si>
    <t>4924737,64,65,614833,881,63,4488,9139,31541,37559,1741748,792,21,413,39423</t>
  </si>
  <si>
    <t>(7,4,8,6,7,8,7,4,6,1,4,9),(6,4,3,6,8,4,5,5,7,5,1,*2),(7,3,1,2,*4,9,2,3,2,9,3,*5),(5,7,9,*6,*6,3,*3,*2,*2,*7,*9,*2),(5,4,1,*3,*8,5,9,*6,1,*9,3,*6),(*1,6,*7,*6,*8,6,2,3,*5,1,*3,*3),(*9,3,8,*6,*4,1,9,*7,2,*1,8,*8),(*9,6,9,*9,*6,5,8,*8,5,6,*3,3),(*8,*5,9,7,*6,5,8,*4,8,3,*2,2),(*1,*7,*3,*1,7,7,5,3,3,*4,*3,2),(*3,*5,*4,6,7,7,9,9,9,4,*3,2),(*8,8,1,*9,*4,*8,*9,*3,2,4,5,2)</t>
  </si>
  <si>
    <t>6648864,75,768,784,94893,3156,8392,42,32279,33,853,96636,14,836252,8318991</t>
  </si>
  <si>
    <t>(2,8,1,8,1,5,3,7,4,3,1,3),(1,*3,5,2,2,2,5,9,2,4,4,6),(*3,7,4,6,5,4,*6,*2,*4,*7,*6,2),(7,2,8,4,2,8,4,8,9,6,2,6),(2,4,7,*5,5,5,6,4,8,2,6,4),(7,5,7,*4,1,3,2,3,1,5,6,7),(2,3,4,*9,2,7,8,4,9,9,6,1),(*2,6,4,*1,1,9,2,4,*2,3,4,3),(*1,1,5,*8,1,9,1,*5,6,1,9,8),(*1,4,5,*8,5,3,*3,2,8,1,3,7),(5,7,7,*4,*9,*6,6,3,7,4,9,2),(*3,*1,3,*6,*9,*6,4,4,9,9,5,3)</t>
  </si>
  <si>
    <t>4881945,963,67426,64,52,4719,211,33,28181,31,81926,7416354,896,5447,399735</t>
  </si>
  <si>
    <t>4881945,963,67426,64,52,*4719,211,33,28181,31,81926,7416354,896,5447,399735</t>
    <phoneticPr fontId="1"/>
  </si>
  <si>
    <t>(*2,*8,*1,*8,*1,5,3,7,4,3,1,3),(1,*3,5,2,2,2,5,9,2,4,4,6),(*3,7,4,6,5,4,*6,*2,*4,*7,*6,2),(7,2,8,4,2,8,4,8,9,6,2,6),(2,*4,7,*5,5,*5,6,4,*8,2,6,4),(7,*5,*7,*4,1,*3,2,3,*1,5,6,7),(2,*3,*4,*9,2,*7,8,4,*9,9,6,1),(*2,*6,*4,*1,1,*9,2,4,*2,3,4,3),(*1,*1,*5,*8,1,*9,1,*5,*6,1,*9,8),(*1,*4,5,*8,5,*3,*3,2,8,*1,3,7),(5,*7,7,*4,*9,*6,6,3,*7,4,9,2),(*3,*1,3,*6,*9,*6,4,*4,9,9,5,3)</t>
  </si>
  <si>
    <t>(3,*3,*7,*2,*1,*4,*2,8,6,3,9,8),(5,6,7,7,1,7,2,3,2,1,*8,7),(1,7,8,1,*9,1,4,8,3,1,*8,8),(*3,*1,*8,1,*5,9,8,4,6,2,*9,2),(*3,*9,*5,7,*5,*4,8,8,*8,1,*3,1),(8,*3,*5,*6,4,7,*6,*6,6,6,*8,4),(5,*8,*3,*4,6,4,*5,*8,*1,*4,*6,4),(6,*7,*4,*6,*3,*8,7,9,4,*7,*1,6),(1,*3,*4,*4,5,4,1,6,4,7,*3,4),(8,3,9,*5,*8,6,7,3,1,7,2,*4),(7,*1,*6,*2,*9,*8,*8,*4,7,7,3,1),(3,9,5,2,2,1,7,5,2,1,3,9)</t>
  </si>
  <si>
    <t>559,54646,1734,318,28,468,37839,8658,4889261,33,74,372142,1683988,36,55344</t>
  </si>
  <si>
    <t>(*5,6,4,3,2,8,8,2,8,9,9,7),(7,*3,4,6,*9,7,8,9,4,7,2,3),(7,9,*7,9,*2,9,4,*3,*7,1,*9,3),(3,*4,5,7,*2,7,8,*8,*8,9,8,*5),(7,7,*1,5,*1,*6,*7,*4,*7,*1,4,*2),(*3,1,3,*2,*9,*4,*3,*1,*7,*1,*9,*8),(*6,2,2,8,*6,4,1,*2,5,*9,*9,7),(*7,*3,*2,7,4,*5,1,9,*4,*8,7,*1),(*4,7,7,1,1,5,6,*4,*6,4,9,*9),(*1,1,6,3,1,8,*5,*6,8,5,4,*4),(*1,7,3,6,5,*7,*8,7,2,1,2,*6),(6,1,3,4,5,*1,3,4,2,4,8,6)</t>
  </si>
  <si>
    <t>56214,92219,38,78,59,134,23,2994457,1946,172,1866898,67471,367411,537,1713</t>
  </si>
  <si>
    <t>(7,8,2,6,*9,5,4,1,4,1,4,8),(6,3,1,2,8,*7,8,*2,2,8,3,7),(3,8,5,4,*5,*6,*2,*1,*2,1,3,6),(7,3,6,9,5,5,3,*6,*2,*4,7,*7),(3,2,*1,*9,*2,5,4,*2,*2,*5,8,*5),(8,1,9,2,2,4,4,*4,*2,*1,1,*9),(3,4,6,7,*5,3,8,*7,8,*9,6,*3),(4,7,3,6,9,*5,8,7,*2,*8,*3,*4),(*4,*2,*9,*4,*4,*8,*7,*9,*8,*1,*2,*8),(*5,3,6,4,7,1,*9,5,*3,5,*6,*7),(9,6,4,1,7,7,5,4,*6,8,*2,8),(9,1,2,6,*5,*8,*4,*6,*5,7,*4,7)</t>
  </si>
  <si>
    <t>291,55,32624,28365,45198,7844924,562,7843957,5846,972,13,99,52,216247,2222</t>
  </si>
  <si>
    <t>(2,3,4,9,*7,3,4,3,1,7,4,2),(8,6,6,8,*5,*3,*1,1,5,4,3,2),(2,9,9,6,*1,9,1,*8,*7,*1,*8,2),(9,2,*2,*5,*7,4,2,5,5,2,8,5),(4,1,*2,*9,*9,8,8,*5,*8,*7,*8,*2),(2,4,*9,*6,*2,3,3,*7,7,*1,8,3),(4,4,*3,*9,*2,4,4,*2,*9,5,6,1),(6,1,*5,*9,3,8,4,*9,3,9,4,6),(9,9,*3,8,*7,2,*9,7,8,1,7,1),(6,8,*8,9,*6,5,1,*8,*2,*9,*2,*6),(5,*1,5,3,*9,5,*4,*7,*4,*6,*9,*6),(4,*1,8,2,1,*9,*1,*5,*7,7,2,6)</t>
  </si>
  <si>
    <t>7519,58,59699,2297157,81999,82926,11,13,474696,2293538,967,275,49,8178,287</t>
  </si>
  <si>
    <t>(2,7,*6,4,2,3,3,*8,8,5,3,9),(2,9,*9,1,1,7,4,*1,2,6,3,4),(4,2,*4,8,6,4,5,*6,6,4,1,*2),(1,6,*3,7,4,*1,9,*9,1,5,2,*8),(2,6,*9,9,*9,5,*4,*7,*6,*8,7,*8),(6,2,*7,*3,9,9,*2,*8,*5,5,2,*9),(2,*6,*4,*5,*6,*7,*6,*3,4,*7,7,*1),(7,3,*8,*5,6,*6,*2,*3,7,6,*5,5),(*1,*4,*9,9,*5,*3,*6,4,6,5,3,*8),(5,5,*7,3,7,9,*7,6,5,5,4,6),(6,8,*2,5,9,9,*3,4,4,9,3,5),(3,1,9,9,3,*8,*9,*4,*7,*3,5,6)</t>
  </si>
  <si>
    <t>55,2798,28891,68,4262673,3879618,8575,391,14,64567,666,536,37498,33,694397</t>
  </si>
  <si>
    <t>(*4,*7,*7,*9,*5,*5,*2,3,6,1,4,4),(*6,*8,*4,*1,*3,*1,*2,1,9,*3,9,3),(4,6,3,2,3,*1,*9,3,3,*2,6,3),(1,8,8,2,4,*3,*7,*5,*3,*2,3,3),(4,8,4,3,*7,4,5,9,3,*5,7,2),(3,4,5,*9,5,8,3,*1,9,*2,8,6),(*6,3,*1,*2,5,7,2,3,*3,*8,5,3),(*2,4,8,*8,*7,*5,*5,*4,*8,*9,*8,4),(*5,*2,*4,*3,2,2,9,8,7,*1,*4,3),(4,*9,8,1,5,7,3,4,*1,7,1,*4),(1,5,*8,1,7,1,9,2,7,4,8,3),(4,8,4,*9,8,2,3,*1,*9,*9,*1,5)</t>
  </si>
  <si>
    <t>92,17,283,19739,75548,26,6841312,322528,44931,24,811,2559774,1991,9895,235</t>
  </si>
  <si>
    <t>(5,8,3,8,2,8,5,7,7,8,6,7),(2,7,3,2,2,9,9,*5,*2,2,1,4),(5,7,1,6,8,3,*4,*7,*4,6,2,6),(8,9,7,7,7,1,9,6,*1,8,3,7),(1,8,1,3,4,8,3,4,7,4,4,1),(6,7,1,1,9,1,9,9,7,5,8,2),(1,9,4,3,9,5,5,7,4,1,2,5),(4,6,2,7,9,8,1,4,7,5,5,8),(6,8,5,8,7,5,6,1,4,2,5,8),(2,1,9,5,5,3,2,9,6,9,9,7),(9,2,2,6,9,7,5,3,4,1,9,7),(9,6,4,9,6,8,2,3,3,9,4,7)</t>
  </si>
  <si>
    <t>(5,8,3,8,2,8,5,7,7,8,6,7),(*2,7,3,2,2,9,9,*5,*2,2,1,4),(*5,7,1,*6,8,3,*4,*7,*4,6,2,6),(*8,9,7,*7,7,1,9,6,*1,8,3,7),(1,8,1,3,4,8,3,4,7,4,4,1),(6,7,1,1,9,1,9,9,7,5,8,2),(1,9,4,3,9,5,5,7,4,1,2,5),(4,6,2,7,9,8,1,*4,7,5,5,8),(6,8,5,8,*7,5,6,1,*4,2,5,8),(2,1,9,*5,5,3,2,9,6,9,9,7),(9,2,*2,6,9,7,5,3,4,1,9,7),(9,6,4,9,6,8,2,3,3,9,4,7)</t>
  </si>
  <si>
    <t>241,47,*382857,45,27981,67,2813,73194,9552,79919,257,44,258,3328694,7217181</t>
    <phoneticPr fontId="1"/>
  </si>
  <si>
    <t>241,47,382857,45,27981,*67,2813,73194,9552,79919,257,44,258,3328694,7217181</t>
    <phoneticPr fontId="1"/>
  </si>
  <si>
    <t>(5,8,*3,*8,*2,*8,*5,*7,7,8,6,7),(*2,7,3,*2,2,9,9,*5,*2,2,1,4),(*5,7,1,*6,*8,3,*4,*7,*4,6,2,6),(*8,9,7,*7,*7,*1,9,6,*1,8,3,7),(1,8,1,*3,4,8,*3,4,7,4,4,*1),(6,7,*1,1,*9,*1,*9,*9,*7,5,*8,2),(1,*9,4,3,9,5,5,7,4,*1,*2,5),(*4,6,*2,*7,*9,*8,*1,*4,*7,5,*5,8),(6,8,5,8,*7,5,6,*1,*4,2,*5,8),(2,1,9,*5,5,3,*2,9,6,9,*9,7),(9,2,*2,6,9,*7,5,3,4,1,9,7),(9,6,*4,*9,*6,*8,*2,*3,*3,9,4,7)</t>
    <phoneticPr fontId="1"/>
  </si>
  <si>
    <t>241,47,382857,45,27981,67,2813,73194,9552,79919,257,44,258,3328694,7217181</t>
    <phoneticPr fontId="1"/>
  </si>
  <si>
    <t>(*3,6,9,5,9,*3,*6,*3,*1,9,3,5),(2,*4,9,*5,5,*2,8,*7,1,1,5,1),(4,4,*7,*4,4,*8,5,3,1,2,9,*9),(4,5,*1,*4,3,*7,*9,*1,*6,*4,5,*1),(8,*6,4,7,*9,*2,*7,4,8,4,*2,*3),(4,5,6,9,*4,*7,*5,7,3,5,*6,*8),(1,8,5,6,5,*8,*7,3,*2,9,*9,*6),(5,8,6,4,2,*1,*1,1,*6,5,*3,6),(4,9,2,4,5,*6,*2,9,*1,*1,*3,7),(8,2,8,4,8,9,*2,9,*1,7,*5,9),(9,6,8,3,3,1,*2,5,*9,3,*1,9),(7,8,*6,*2,*3,3,4,6,3,8,6,8)</t>
  </si>
  <si>
    <t>76,9164,54,82,1533962,94743,68319,2221757,618727,26119,416,623,3631,113,48</t>
  </si>
  <si>
    <t>(6,9,*5,*2,*5,*4,*5,*2,*5,6,3,2),(*3,*8,*4,*4,*3,*6,*1,6,3,4,4,5),(7,4,*3,*3,*6,7,7,7,7,1,3,*2),(6,1,7,7,*6,2,7,8,9,5,*3,*1),(*3,6,9,5,*5,*5,*8,*6,*1,*4,6,*2),(*8,*1,9,8,*3,8,*5,*7,*6,7,*9,*8),(*8,*8,7,7,*9,6,3,*1,*3,*9,2,*9),(6,9,3,1,*4,6,6,*5,*5,2,9,*7),(2,9,9,3,*9,*7,*6,4,*7,*5,2,*2),(2,8,5,1,*4,2,9,6,2,*2,5,2),(7,2,2,8,*2,1,5,7,8,5,*9,3),(7,4,2,9,*5,4,2,4,3,5,6,3)</t>
  </si>
  <si>
    <t>52494,5254525,33,55155,93566,6432,388,9275,128972,76,614,99,378,18,1634483</t>
  </si>
  <si>
    <t>(3,2,3,6,*6,7,*5,8,*1,4,1,7),(*1,9,2,*6,2,2,*7,2,*6,8,3,3),(5,*3,*9,*3,*7,*6,*8,*7,*8,8,8,7),(5,*8,*1,*3,*6,*4,*3,*1,9,6,1,8),(*8,*7,7,*4,*4,*1,*5,*2,*3,6,*9,3),(5,5,*6,7,6,4,4,*8,6,*2,*9,9),(*7,*1,*6,*3,1,6,9,7,*3,*7,8,7),(4,2,1,2,*2,6,8,*4,*3,4,7,6),(6,5,8,1,1,1,*9,*6,1,1,4,6),(2,*1,*6,*6,*9,*2,*7,2,7,2,6,7),(3,*1,6,4,*6,*7,8,4,4,1,8,7),(7,3,9,3,*2,6,9,*5,*9,2,4,8)</t>
  </si>
  <si>
    <t>441523,75,9736772,37687,6294329,168,11,9661,66988,13463,83,7632,59,131,617</t>
  </si>
  <si>
    <t>(5,8,1,8,8,5,3,3,8,7,2,8),(8,5,8,5,7,6,4,7,5,3,8,9),(1,8,3,7,3,7,7,2,2,6,5,3),(2,4,8,8,3,1,9,6,2,*7,2,4),(6,4,9,*7,*8,*1,6,7,*4,3,9,1),(1,*5,7,7,3,2,4,*4,3,5,8,2),(1,4,*7,4,2,1,1,3,8,9,4,9),(6,5,3,*4,5,1,2,6,1,6,4,3),(9,1,1,2,*1,1,1,9,3,8,9,7),(6,4,9,*7,6,4,6,9,2,5,3,8),(3,7,6,4,9,9,8,3,1,1,9,2),(1,3,3,7,2,5,6,1,3,5,8,7)</t>
  </si>
  <si>
    <t>447,42377,31192,71,187,574,7941685,3562,7973,88,969198,64,7392143,83,13587</t>
  </si>
  <si>
    <t>447,42377,31192,71,187,574,7941685,*3562,7973,88,969198,64,7392143,83,13587</t>
    <phoneticPr fontId="1"/>
  </si>
  <si>
    <t>(5,8,1,8,8,5,3,3,8,7,2,8),(8,5,8,5,7,6,4,7,5,3,8,9),(1,8,3,7,3,*7,7,2,*2,*6,*5,*3),(2,4,*8,*8,3,1,*9,6,2,*7,2,*4),(6,4,9,*7,*8,*1,6,*7,*4,3,9,*1),(1,*5,*7,*7,*3,*2,*4,*4,*3,*5,*8,*2),(1,4,*7,4,2,1,1,3,*8,*9,4,*9),(6,5,3,*4,5,1,2,*6,*1,*6,*4,*3),(9,1,1,2,*1,1,*1,*9,3,8,9,*7),(6,4,9,*7,6,*4,*6,9,2,5,3,8),(3,7,6,4,*9,*9,*8,*3,*1,*1,*9,*2),(1,3,3,*7,2,5,6,*1,*3,*5,*8,*7)</t>
  </si>
  <si>
    <t>(3,9,9,4,6,8,2,6,2,2,7,8),(6,*8,*7,*8,*2,*7,*6,*7,6,2,4,4),(3,5,5,8,*6,6,8,9,7,*6,*5,5),(8,9,5,*8,*9,*8,*6,7,5,4,7,5),(5,3,*2,7,2,8,*1,*9,5,2,7,9),(4,6,1,7,7,4,8,*4,*9,*6,4,3),(3,3,9,2,3,*3,1,3,*5,*2,4,6),(6,*4,*2,*6,*2,*6,*9,*7,8,*2,*1,1),(2,*9,9,6,8,*3,*5,*3,*7,*7,*2,*5),(1,4,2,2,5,*5,*4,*3,*1,*8,7,4),(9,4,8,*6,*1,*4,*6,*1,*4,5,4,9),(4,9,1,2,2,7,8,*2,7,2,7,8)</t>
  </si>
  <si>
    <t>3537,61461,65,98,22541,81345,286,512996,2842,7672878,7962624,226,49,527,36</t>
  </si>
  <si>
    <t>(8,*6,5,*6,*1,*6,*7,*3,3,7,3,2),(5,*7,4,1,5,3,3,4,*2,*2,5,6),(2,*8,7,*2,*7,5,4,6,*6,*5,2,3),(1,*4,9,9,2,4,8,*8,5,8,*1,9),(1,*2,*8,*7,*7,*1,*6,6,2,*4,7,*2),(3,*4,*3,5,1,*2,8,9,*9,7,1,5),(2,*8,1,*4,*5,6,*3,*6,7,8,6,*6),(1,4,*1,6,5,8,*4,*2,8,5,6,*4),(9,8,*6,7,*7,*8,3,1,1,8,3,*6),(*1,*4,*3,9,*5,2,*3,9,3,3,5,*9),(6,6,2,*5,*6,3,8,*5,4,9,7,*9),(3,2,2,8,*1,*3,*7,*1,*2,7,3,8)</t>
  </si>
  <si>
    <t>232,72,64699,43,361,32512,6784248,53,5584694,14,7616,1778,21731,526862,756</t>
  </si>
  <si>
    <t>(8,*9,*2,8,4,1,9,8,3,3,2,1),(1,*1,*9,9,2,5,2,9,*5,*1,*6,*1),(4,*5,*9,5,5,7,*4,9,4,6,6,*1),(7,*6,*3,2,3,*6,2,4,*5,4,8,*2),(9,*2,*8,6,*9,5,*3,*4,6,*1,8,*3),(5,1,*4,*9,7,4,1,4,*8,1,*2,*6),(9,9,*4,*4,*1,*5,*1,*5,*8,1,3,*8),(6,*2,7,8,9,1,2,5,*6,2,3,8),(*2,*1,*8,*1,*7,*4,*9,*5,*1,9,2,5),(4,*2,4,*8,*8,*4,3,1,*2,9,8,2),(9,*5,1,1,5,2,1,9,6,*7,8,3),(8,4,2,5,6,*6,*9,*2,3,4,9,5)</t>
  </si>
  <si>
    <t>483992,1615,1688,1817495,27,512,45,41515,43,26519,296,4699422,86321,884,52</t>
  </si>
  <si>
    <t>(1,3,5,8,5,3,5,6,3,*1,8,7),(4,8,*5,1,7,3,5,6,8,*2,6,3),(6,2,*5,7,7,6,*6,4,8,*6,9,6),(7,6,*8,6,*1,*5,6,1,7,*7,6,2),(*6,3,*7,4,*4,*6,*2,*9,*3,*5,*8,*4),(*3,6,*3,*2,6,3,*8,7,*9,4,7,*7),(*3,5,*7,2,7,*8,*9,1,6,*3,8,*7),(9,*1,6,4,*7,2,*9,2,2,*9,*1,*3),(*9,4,3,*9,2,9,*9,4,*8,5,5,*5),(*9,6,*6,7,*8,*6,*6,*4,*2,3,2,*3),(8,*7,3,*8,7,1,*9,5,*5,2,8,*9),(1,9,*4,*1,3,*8,3,7,2,7,1,3)</t>
  </si>
  <si>
    <t>89996,633,7621,14,853926,98498,8796,6542719,18,4773539,37855,974,139,68,52</t>
  </si>
  <si>
    <t>(*7,*5,*9,1,4,3,4,8,8,9,5,5),(3,6,2,5,4,9,2,*1,5,2,1,*4),(6,9,1,*5,*7,*5,*4,*3,1,*3,*8,9),(4,9,8,4,2,8,6,3,4,*8,*1,4),(5,*6,*5,*6,*7,*9,1,7,*7,4,3,*7),(6,*2,*8,9,5,8,*5,*6,7,*9,2,9),(3,6,4,8,3,8,*2,*3,*5,9,5,2),(*4,*2,*5,*8,8,*6,9,*8,*1,1,1,*5),(8,5,*8,1,3,3,*5,1,9,*9,*7,6),(9,*4,8,2,9,*8,2,6,6,*1,*6,7),(*4,*5,*1,3,*9,7,8,8,*8,3,3,*8),(2,8,5,*8,1,4,*3,*7,*8,*9,*6,2)</t>
  </si>
  <si>
    <t>41,34575,6267884,9585898,83,28,65679,448,15,4258,37896,713,957,5718,531968</t>
  </si>
  <si>
    <t>(1,4,7,1,4,8,7,6,1,7,5,*9),(*1,3,7,8,3,1,5,3,5,8,*3,7),(8,*8,9,2,8,3,2,3,2,*8,*4,5),(6,*2,*1,9,3,4,3,*8,*4,*3,4,2),(4,*3,*8,*2,2,1,*2,*9,*4,7,4,2),(*5,*8,8,*5,*6,*6,*8,*9,*3,*2,*2,9),(*6,*8,1,4,*9,*3,*1,*4,*4,4,9,2),(*3,5,3,*5,7,*9,8,*5,9,*2,8,6),(*9,*1,*6,8,5,*1,9,8,*5,*2,6,3),(*8,*6,1,7,9,1,*8,4,*2,*8,9,3),(9,6,5,*1,*3,5,6,*9,*3,*2,5,3),(1,2,7,4,7,7,1,7,*5,*4,1,3)</t>
  </si>
  <si>
    <t>981,62181,89365,223,5325,919434,6659628,42822,285,15,44,16,31,2388,3894839</t>
  </si>
  <si>
    <t>(8,8,2,6,8,9,4,6,7,3,7,8),(8,*4,*4,*5,*3,*5,*9,*7,1,7,3,5),(2,2,3,9,7,2,8,7,6,5,6,8),(4,4,7,8,6,8,*2,8,8,8,5,1),(2,9,9,7,5,*3,*6,*3,*5,*7,*7,*9),(4,1,*8,9,3,8,*4,*5,*9,*8,*2,2),(3,1,*4,1,4,*9,*1,*3,*1,*3,*3,9),(7,9,*8,*1,9,*7,*4,6,6,3,*2,6),(1,6,*2,4,*4,*7,*7,*9,3,3,*9,2),(*5,*5,*7,*6,9,*7,*4,*2,5,8,*1,1),(7,9,*3,1,4,*1,*2,4,*4,6,*1,9),(6,*8,3,7,2,3,*2,3,2,*6,5,8)</t>
  </si>
  <si>
    <t>17779,9775363,8364,239,72848,32911,313,12,55,4453597,94,5982,246,22,414742</t>
  </si>
  <si>
    <t>(6,4,5,*4,*3,*7,2,6,6,*7,7,*5),(*4,*2,*3,*8,*7,*1,*3,9,*2,7,*9,9),(8,3,9,3,9,8,4,*1,*9,*8,7,5),(3,8,6,8,6,*3,5,2,*9,*6,1,7),(*1,*5,*8,*4,*3,*6,*8,*8,7,9,*7,9),(3,4,4,4,4,5,*2,*2,6,5,6,*3),(1,5,5,3,*5,6,7,5,*9,*3,*2,*8),(1,8,8,8,*5,8,8,*3,*9,*1,4,7),(2,2,1,*2,*4,*3,*2,*9,*1,*4,*7,3),(1,6,4,3,7,6,7,1,3,5,7,*3),(1,9,3,5,4,4,*6,*1,3,2,1,2),(2,7,8,9,1,*1,*2,*8,*2,*8,1,7)</t>
  </si>
  <si>
    <t>3829173,61,86,598982,34851,8324,3769,437,328,82821,721,2432914,39,31783,55</t>
  </si>
  <si>
    <t>(2,2,8,*6,1,8,4,8,1,*7,5,9),(9,9,8,*1,*2,5,3,6,1,*7,7,*8),(1,6,2,*3,6,*3,1,2,4,*6,8,*8),(2,*7,8,*5,*5,*1,*1,7,6,3,8,*1),(5,*2,1,2,*6,*8,*9,*1,9,3,2,*6),(3,*8,5,3,*4,6,7,*3,*7,9,6,*4),(9,*1,9,7,*8,5,9,*6,*5,*9,8,*5),(*7,*2,4,*4,*2,8,*7,9,3,*2,*8,*1),(*4,*8,6,6,*7,*4,5,6,7,2,4,4),(*3,*1,9,6,*4,5,8,5,6,2,9,1),(6,4,*3,*9,3,9,6,2,5,9,2,3),(1,6,5,*3,1,*1,*6,*6,*6,5,6,8)</t>
  </si>
  <si>
    <t>21827,8816451,5316,776,86,67449,2311798,347,564827,19352,83,24,6661,413,33</t>
  </si>
  <si>
    <t>(8,8,8,8,3,*7,*7,*2,*8,*9,*1,4),(1,6,6,1,*3,3,8,*5,*6,*8,5,5),(4,4,5,*9,4,*1,3,*2,3,2,8,9),(2,9,*4,9,2,*4,6,*3,3,1,2,6),(6,*8,2,5,8,*1,3,*1,6,8,6,6),(*2,3,8,6,6,*5,3,*1,9,1,2,7),(4,*2,8,7,*4,*1,*7,*5,8,4,8,3),(4,4,*6,5,4,*8,*2,*2,*4,9,3,6),(*9,3,*3,*4,9,*9,*8,*6,*8,2,7,2),(*9,2,*7,*3,5,4,*3,*6,*1,4,7,6),(*3,8,*3,9,2,6,*9,5,*6,8,8,8),(7,7,*2,5,*9,*2,*8,*9,*8,6,8,4)</t>
  </si>
  <si>
    <t>568,399,462,45,9289,78,3732,89382,2511325,33,66,86184,9815141,39482,772891</t>
  </si>
  <si>
    <t>(9,4,8,*3,5,8,2,4,*7,*7,2,2),(3,*3,8,1,*1,1,6,*3,8,*8,1,4),(6,*9,4,*7,4,*7,*7,9,3,*5,7,8),(*3,5,3,*4,3,*2,*7,6,8,2,4,1),(*3,2,1,*4,*1,*5,*8,*8,8,5,5,8),(*2,5,7,*4,4,6,6,*3,*1,5,3,4),(*6,2,6,*4,7,*4,3,3,*2,*9,5,5),(*1,8,*4,*6,*8,*8,*9,*8,*1,*9,6,*9),(3,8,2,*3,1,8,7,6,8,6,*6,*7),(7,1,1,9,*7,*9,*6,*7,*3,6,4,*7),(7,7,2,*2,*1,*7,8,4,4,9,2,*3),(3,7,4,6,*5,*5,*8,6,2,2,5,*3)</t>
  </si>
  <si>
    <t>55,283296,8773,48,74444,737,39,51,9673,4688981,712,33261,3177819,785,97733</t>
  </si>
  <si>
    <t>(7,9,7,9,6,6,*1,*3,*4,*8,*3,*1),(3,7,9,6,5,6,*1,6,8,9,5,6),(8,6,9,3,8,6,*9,3,*7,5,2,5),(4,3,4,*9,*6,2,*4,3,*9,*7,9,4),(2,1,9,7,*3,*5,*3,8,*2,8,*1,*8),(7,8,2,*8,*1,*3,*2,6,*5,1,9,*2),(5,3,*7,*9,5,9,*4,*4,*2,4,7,*7),(*8,6,7,2,9,*6,5,*7,*5,6,8,*5),(6,*4,5,7,2,3,*9,*1,*3,*2,4,*7),(5,2,*1,5,9,*5,9,*9,9,*6,*6,*4),(8,9,6,*6,4,3,*5,4,*2,9,*6,*9),(5,2,3,3,9,2,4,*1,4,*7,4,3)</t>
  </si>
  <si>
    <t>34911,6374339,97,155,174,66,76,177,81,8416,8275749,13843,69927,254256,9252</t>
  </si>
  <si>
    <t>(6,4,1,6,*8,*3,*1,*5,*3,*8,*1,1),(8,2,7,7,9,6,5,9,*2,4,2,1),(2,*7,8,5,3,3,9,*8,1,1,2,2),(9,*5,5,6,4,7,*3,3,6,7,6,*9),(*8,*1,9,2,3,*9,1,6,2,1,6,*9),(*3,*6,*5,4,*7,*1,4,1,8,2,*2,*5),(*2,3,4,*1,5,*9,*1,9,5,*8,*2,*4),(*9,2,5,3,*4,*5,1,*2,5,*7,*7,*8),(*8,5,7,5,9,*4,3,8,*4,*1,*8,*5),(5,*1,*1,*5,6,9,8,8,9,*9,*5,*3),(3,9,*3,*5,*8,*8,9,3,2,*6,*3,4),(4,*7,*6,7,5,7,8,5,8,9,6,6)</t>
  </si>
  <si>
    <t>735,65,88,124,3584599,1514,28397,115,75,1835138,69178,68,358722,1954,83298</t>
  </si>
  <si>
    <t>(5,7,1,8,7,*1,1,8,*5,*9,*7,*1),(*1,*5,*4,7,7,*2,3,2,9,7,5,4),(*5,5,8,8,3,*1,5,5,4,1,*8,3),(*8,2,3,8,6,3,2,*8,1,*8,9,9),(*5,6,3,3,2,2,*6,*2,*3,4,5,7),(*1,*4,1,6,9,*3,1,*8,9,2,6,2),(*1,*3,7,3,*3,9,*7,*5,*6,*8,*9,*4),(*1,*5,6,*6,6,8,6,1,7,6,4,6),(*7,*5,*1,6,3,5,4,7,5,6,3,4),(*4,*1,1,9,4,*6,3,3,1,2,7,5),(*4,*9,*5,*2,*2,*6,*5,*1,*3,*5,*2,9),(*6,*9,2,*5,3,8,3,7,5,*9,*1,9)</t>
  </si>
  <si>
    <t>32,5111744,78388,49865,69,863361,526,45,15534,121,1795,1352,1562259,19,851</t>
  </si>
  <si>
    <t>(5,*5,*4,*1,*9,*4,*7,*6,4,4,3,6),(6,8,1,*7,*7,*7,3,1,2,9,7,7),(1,3,8,9,*6,*5,2,9,1,6,*2,*8),(*5,2,3,7,*1,*9,*7,9,8,*5,*5,2),(7,*3,4,7,*1,*9,1,*5,*5,*6,7,5),(3,6,*4,6,*2,*3,4,*8,*7,9,*2,3),(*4,1,6,*7,*3,7,*3,*4,1,*8,*3,2),(2,*2,*8,5,*8,*1,*3,6,*1,6,*2,6),(*6,1,9,7,*5,6,4,*3,8,5,3,1),(2,*7,3,7,8,2,*6,7,8,3,4,2),(4,5,*4,1,8,*5,5,3,1,4,*9,2),(6,6,6,*5,*7,5,7,7,9,8,*6,9)</t>
  </si>
  <si>
    <t>2558315,79,578,5419476,53478,856743,24,777,13657,232,28,6745,3995,61123,96</t>
  </si>
  <si>
    <t>(5,8,2,7,4,7,3,6,4,5,5,8),(5,4,1,6,1,8,9,*8,*5,*9,6,6),(4,6,6,3,3,2,7,9,7,9,6,4),(4,1,*5,*4,3,7,4,6,2,4,9,9),(9,8,3,*4,*4,2,4,*3,2,*1,*7,*4),(4,1,*5,*5,*6,*4,4,*6,7,1,*6,*8),(6,6,9,1,5,8,*7,9,4,8,9,7),(2,7,8,*5,1,9,9,*6,1,7,9,1),(4,7,4,*7,3,3,1,1,1,9,6,6),(8,8,3,8,1,6,6,5,6,9,6,3),(8,7,*9,*9,*5,*2,*4,*2,*2,3,4,7),(5,2,8,3,6,4,1,1,9,1,8,3)</t>
  </si>
  <si>
    <t>174,36,859,55,2242599,67444,68,*9849,546,8426,19183,75,42331,279796,3816656</t>
  </si>
  <si>
    <t>(5,8,2,7,4,7,3,6,4,5,5,8),(5,4,*1,6,1,8,9,*8,*5,*9,6,6),(4,6,6,*3,3,*2,*7,*9,*7,*9,*6,4),(4,1,*5,*4,*3,7,4,6,2,4,9,9),(9,8,3,*4,*4,*2,4,*3,2,*1,*7,*4),(4,1,*5,*5,*6,*4,*4,*6,7,1,*6,*8),(*6,6,9,1,5,8,*7,*9,*4,*8,*9,7),(*2,7,8,*5,1,9,9,*6,1,7,9,1),(*4,7,4,*7,3,3,1,1,1,9,6,6),(*8,8,*3,*8,*1,*6,*6,*5,*6,9,6,3),(8,7,*9,*9,*5,*2,*4,*2,*2,3,4,7),(5,2,8,3,6,4,1,*1,*9,*1,*8,*3)</t>
  </si>
  <si>
    <t>174,36,859,55,2242599,67444,68,9849,546,8426,19183,75,42331,279796,3816656</t>
  </si>
  <si>
    <t>(1,1,5,2,8,1,*7,*9,*7,*7,*9,4),(*1,*5,*5,*8,*9,*6,*5,*9,3,9,2,2),(*2,7,6,*4,9,6,2,5,9,6,7,1),(*6,*2,6,*9,*6,6,8,9,5,8,9,6),(*4,3,*4,3,*9,*5,1,9,6,7,6,1),(*3,3,4,*7,4,6,1,6,3,8,1,2),(*2,4,*9,*3,*6,*1,*6,*8,*4,*4,*2,1),(*1,5,*9,*7,*2,2,6,2,9,4,*8,9),(5,*9,*1,*4,*3,*2,*7,1,8,6,1,7),(4,9,9,4,*7,*3,*7,*8,*8,3,9,5),(9,9,1,3,8,2,*6,*7,*1,5,4,4),(*7,*3,*1,*6,1,4,*1,3,7,6,9,7)</t>
  </si>
  <si>
    <t>99,2476,465,39,97797,723419,972,44861,9569855,761,88737,1264321,82,6137,17</t>
  </si>
  <si>
    <t>(5,3,5,*7,*9,*9,*7,*5,*2,*9,1,3),(8,5,9,8,4,*3,4,3,2,2,*3,5),(6,4,5,4,6,*8,2,6,1,*6,1,9),(6,2,9,1,*9,*8,*9,*3,*9,4,5,9),(5,8,*9,1,*1,*6,5,*9,9,9,4,5),(4,9,*5,*1,*6,7,*6,*4,1,6,*9,5),(*9,9,*9,7,*2,*5,1,8,1,1,*5,2),(*1,1,*5,*1,8,6,2,2,3,5,*3,2),(*9,8,*4,5,9,2,8,*1,4,9,*9,5),(5,6,6,5,7,*8,8,*1,8,7,*6,7),(5,6,8,6,2,*2,*2,*3,*6,*8,*5,7),(*8,*7,*9,*6,*3,*7,*5,9,5,6,1,1)</t>
  </si>
  <si>
    <t>5736978,51,23685,6883,45959,219,98,95396,493,919,9162,369965,11,28,9257997</t>
  </si>
  <si>
    <t>(8,7,3,5,2,6,1,5,9,4,7,1),(9,2,9,9,9,2,3,2,4,2,5,*1),(2,9,1,*7,5,7,1,*1,1,2,*6,9),(6,6,4,*8,2,1,*6,7,1,*7,3,*7),(8,2,4,*4,7,*9,8,9,*2,4,3,*2),(8,9,2,*2,*4,7,8,*9,9,9,9,*2),(4,8,*6,*5,7,*9,*3,4,1,6,8,*8),(2,*3,*6,*8,3,*5,5,4,6,6,4,*3),(4,*6,*2,8,4,*2,7,9,6,*4,5,*7),(5,*7,*4,*6,5,5,2,9,5,*7,1,*6),(8,*6,*5,*9,*1,3,*9,*7,*5,*2,*1,*4),(3,*1,6,*6,8,3,3,6,8,*3,8,9)</t>
  </si>
  <si>
    <t>1672935,19,259,6738227,4266,16763,542,4961,15437,41,12579,74,696,784258,32</t>
  </si>
  <si>
    <t>(4,1,9,4,2,*4,*5,*8,*7,2,2,6),(5,*9,*2,*7,*8,*7,5,3,1,3,1,1),(6,8,6,*5,*7,*4,*2,*3,*7,*9,*6,3),(9,4,*8,*1,7,*1,1,1,*4,*9,4,8),(5,*5,*7,2,4,6,*7,6,1,*2,7,6),(4,*8,8,*2,3,6,1,*7,*8,4,4,3),(*1,2,*9,*5,*2,4,1,*7,*1,7,8,7),(3,*5,5,5,6,5,*8,1,*6,*4,1,7),(*3,2,8,6,3,*2,7,*5,1,5,*2,2),(4,3,1,9,*4,*2,*9,*9,*3,8,5,*2),(3,8,3,*4,9,4,2,8,9,3,1,1),(3,5,9,8,5,3,*1,*3,*1,*3,*9,*9)</t>
  </si>
  <si>
    <t>187177,52,65,3592,97324,1771422,3992,49,131,2878244,96,48585,587,927,99313</t>
  </si>
  <si>
    <t>(8,4,9,8,*9,1,7,*1,4,9,5,2),(8,1,6,*1,2,1,*2,4,*2,3,8,8),(9,1,*9,7,6,*9,2,5,2,*8,*6,2),(4,*6,*6,8,*6,9,6,3,5,4,*7,7),(*2,8,*8,*4,*8,*8,*7,*6,*2,*4,*4,4),(4,7,*3,*4,*7,*2,*2,*5,*5,*4,*8,4),(3,3,4,*2,*5,*2,*4,8,9,3,*8,1),(6,6,1,*4,*9,*2,*3,*4,*3,*5,*6,5),(3,1,4,*6,*6,*6,2,7,8,*3,9,9),(9,7,*9,*5,6,8,1,9,*9,4,7,5),(*9,*9,*8,6,8,6,1,*4,3,8,3,7),(4,*7,*1,4,2,1,*9,8,2,8,7,8)</t>
  </si>
  <si>
    <t>9493,34692,128,68,189,4552274,88476,99,66,6534329,4252,564,426788,17,26919</t>
  </si>
  <si>
    <t>(3,*1,*5,2,6,3,9,9,8,4,5,1),(9,*5,2,*2,4,*9,6,2,5,7,7,*7),(8,*6,9,8,*8,*1,*2,5,6,3,*4,*3),(8,*3,9,2,6,*1,4,2,9,*1,*6,5),(*9,*5,*9,*3,*5,*5,*6,9,*4,*8,8,2),(9,*6,*6,*8,2,1,1,*7,*4,7,8,3),(3,7,*7,7,5,2,1,*5,8,5,9,1),(8,*4,*4,4,3,7,8,4,6,3,4,7),(3,3,*3,*2,*5,*6,*8,*5,4,6,7,*4),(8,1,*6,5,7,7,1,1,3,7,4,*8),(2,2,*1,7,*7,*2,*2,*8,*1,*7,4,*1),(1,9,*6,*1,*5,*4,*4,*2,*4,*9,3,6)</t>
  </si>
  <si>
    <t>66,4863,9424451,29,43616,11,825,722817,1563,6553959,874,184,74147,25685,57</t>
  </si>
  <si>
    <t>(5,3,6,2,7,*7,9,8,7,5,5,2),(7,*9,*3,*5,8,*6,3,4,7,8,6,9),(*2,3,7,5,5,*1,5,8,7,*1,8,8),(*6,3,*8,3,3,*5,1,5,4,*1,1,*5),(*6,3,*9,9,2,*6,4,6,1,*4,2,*1),(*6,4,*2,2,9,*1,4,*1,*2,*8,7,*3),(*1,9,*9,3,9,*1,*1,*8,*1,5,6,*5),(*4,9,8,5,9,*1,4,5,*6,3,2,*5),(*7,5,*1,1,*9,*4,*3,7,*1,8,6,9),(6,4,*4,*7,4,7,3,2,*2,6,4,4),(2,8,*2,7,2,*9,7,*6,*3,2,1,6),(2,*9,*4,*6,*9,*1,*3,*3,2,7,4,5)</t>
  </si>
  <si>
    <t>1165167,8411,8929,21612,36,416662,51355,79111,241,147,99,3319649,34,86,539</t>
  </si>
  <si>
    <t>(9,2,6,*1,4,*6,2,8,7,1,5,7),(8,7,*2,4,*7,*8,*4,7,8,9,6,3),(6,4,4,*3,*3,*9,3,*6,6,*6,9,*9),(3,6,9,*3,*5,7,*7,3,4,*6,9,*7),(5,4,*4,7,9,*9,8,*1,*8,*2,1,*6),(3,*9,*1,9,*6,3,*3,*7,2,*1,*6,*7),(*7,7,*9,4,*3,5,3,*6,8,*6,*2,5),(*2,6,9,5,*8,9,8,8,*4,9,*2,2),(2,*3,*1,*2,*1,*6,4,5,8,7,*4,6),(3,9,8,6,*8,*7,*6,*1,*8,*3,*2,*5),(9,7,2,9,7,4,7,8,5,3,7,9),(8,6,9,4,2,5,9,1,4,2,6,5)</t>
  </si>
  <si>
    <t>61213,4639532,419,836,7679,73,646,68,5238167,833497,27,4226,17971,78,66216</t>
  </si>
  <si>
    <t>(4,5,1,1,*6,*5,*6,*1,*3,9,6,6),(3,8,8,2,2,5,*9,*5,*3,*6,4,8),(*4,*7,*6,*6,*1,*2,*5,*6,5,2,5,2),(*6,4,4,3,*4,*7,*9,4,4,8,1,7),(*7,4,8,4,2,5,*8,6,9,6,1,*7),(*8,9,2,*2,8,5,*2,4,*6,6,8,*6),(*1,*7,8,*1,*8,1,4,*3,*3,1,7,*8),(*9,*4,*7,*6,*1,2,*2,*8,*9,1,7,9),(7,*1,9,*6,*1,5,2,8,*2,4,7,4),(8,*4,5,*7,*1,5,2,7,*1,1,4,4),(3,3,1,*5,*4,3,3,2,7,*1,*9,*5),(9,2,6,*1,1,4,6,1,4,9,9,8)</t>
  </si>
  <si>
    <t>31656,7661256,768,6359,41118,63921,4147,1576612,479,28,195,38,918764,23,17</t>
  </si>
  <si>
    <t>(4,*6,8,8,*8,5,4,5,5,6,4,7),(8,*5,6,9,7,*9,*6,6,*1,6,5,7),(5,*4,1,3,6,3,*1,*3,6,*2,3,8),(*3,*8,*5,*2,*7,*7,*5,*9,*8,5,*5,1),(5,4,4,6,*3,*8,9,2,*4,*9,*4,6),(7,4,1,1,*5,*6,9,4,2,4,*4,1),(*9,3,2,1,*3,7,*6,9,4,1,*8,8),(1,*4,3,6,*6,7,5,*6,9,3,5,5),(1,8,*3,9,*5,6,*3,4,*5,5,3,5),(5,4,9,*7,*4,*1,*1,*5,*5,*9,*7,8),(2,1,7,2,*1,8,5,7,1,9,2,1),(5,3,2,2,3,*9,*4,*5,*9,*8,*3,4)</t>
  </si>
  <si>
    <t>917349,4115597,654,549,31,49198,48,5365,5983,3852775,44,86,56663,63894,125</t>
  </si>
  <si>
    <t>(4,5,9,2,6,4,7,2,3,4,5,7),(*1,4,3,3,9,3,2,7,5,4,6,2),(*5,*7,*4,*2,*2,*9,*1,*4,*4,*5,*9,9),(2,5,*8,*7,*3,8,7,*7,*7,*5,*3,1),(5,*5,*2,*3,*7,*7,*3,*1,9,*7,4,4),(*2,6,8,1,9,*8,1,7,*9,*3,4,7),(8,*7,2,3,7,*4,9,9,9,*6,*1,1),(2,2,*9,9,*7,*8,*6,*6,6,*1,*2,7),(5,8,2,*1,8,*6,6,3,1,*8,*8,1),(7,3,6,6,*4,9,6,7,1,1,*6,3),(7,3,3,9,7,4,*8,*6,*3,8,2,3),(8,6,7,3,2,*2,*6,*3,*4,*7,*7,*8)</t>
  </si>
  <si>
    <t>41972,76,1286,848,66,14459,93,8774362,5237731,922475,7753,73618,368,15,378</t>
  </si>
  <si>
    <t>(3,*2,*6,*8,*9,*4,*4,*7,6,3,4,6),(6,3,7,2,*5,*4,8,4,2,9,6,1),(5,*4,*4,*1,*3,8,7,9,8,5,3,8),(8,9,1,*9,8,*4,*2,*4,*2,*5,1,5),(5,9,2,*6,*5,6,4,8,9,5,8,7),(5,3,*3,*6,*4,*2,*7,*2,*4,*4,2,*1),(7,*6,7,*2,4,3,9,6,*6,7,5,*2),(7,6,6,*4,5,3,7,*1,8,9,3,*9),(1,6,6,*1,4,8,*6,7,1,7,7,*4),(1,4,3,*6,*4,*2,7,8,7,*8,8,*7),(6,9,*5,*7,2,*3,*9,*7,9,*7,9,8),(4,4,*6,*7,*1,*2,*2,*3,*2,*8,8,4)</t>
  </si>
  <si>
    <t>62416,442724,95,74921,636,3144,6712232,6162,75,52424,97,34,254,7449862,878</t>
  </si>
  <si>
    <t>(*4,*2,*8,*6,*3,*8,*8,3,6,3,4,7),(6,2,1,4,6,7,5,5,1,8,2,*1),(2,*5,*2,3,5,7,3,*6,9,2,2,*4),(5,9,4,2,8,7,*3,*7,1,9,2,*2),(7,7,1,2,3,*1,8,1,6,6,4,*4),(9,*4,*2,4,*5,1,2,2,9,*7,*7,*2),(6,*6,*9,*5,9,5,1,5,*9,*5,*9,*2),(*8,7,*1,*2,*7,*7,*1,*1,8,9,*3,1),(6,6,*1,1,*7,5,*2,5,4,5,*3,*7),(5,4,*5,8,5,*6,2,9,5,1,*2,*4),(9,6,*7,1,*1,9,5,2,5,4,6,*4),(4,8,7,*1,2,8,2,4,7,1,9,9)</t>
  </si>
  <si>
    <t>224241,744,52,862,73,63155,59,46,79332,1162197,771,4286388,35782,1157,4927</t>
  </si>
  <si>
    <t>(9,2,2,7,*6,*6,*7,*7,*9,*4,*7,*7),(4,3,*6,*3,*9,4,4,6,4,7,4,*3),(5,7,*1,*8,*5,3,1,5,5,6,2,*9),(5,5,9,4,*1,*5,*4,*5,6,*5,8,*4),(5,4,*8,6,1,9,6,3,*1,9,2,*5),(2,*3,*5,*7,*5,8,2,*4,*8,4,9,*8),(3,7,2,*2,*5,4,*3,*9,4,*9,7,7),(7,8,2,*2,*9,*2,*7,7,7,*5,*7,1),(4,8,7,*7,3,*1,9,4,9,*6,*3,9),(1,7,*9,7,*9,9,7,1,5,*4,*6,5),(9,*9,8,*9,1,8,3,7,7,*8,8,1),(*5,1,*4,*6,3,7,5,7,1,8,4,9)</t>
  </si>
  <si>
    <t>739458,23415,84659,639,87,5451,6677947,59979,185,3575,4991798,55,22,69,637</t>
  </si>
  <si>
    <t>(7,6,2,1,6,7,7,5,6,6,3,2),(7,4,9,6,1,2,4,3,7,8,7,5),(3,3,8,6,2,5,9,6,9,9,9,5),(3,3,7,7,*1,*6,8,1,9,8,1,2),(9,7,2,6,2,*8,6,3,9,6,2,4),(*5,*5,*5,4,*4,1,9,5,9,8,2,4),(6,7,2,9,4,*7,8,2,2,3,8,4),(1,8,3,9,*2,2,6,7,7,6,7,5),(4,4,1,*8,5,4,4,3,9,2,5,8),(6,1,3,6,8,*9,3,5,2,8,5,6),(4,9,4,5,5,4,*6,4,7,6,4,7),(9,4,6,5,8,7,1,6,8,2,5,4)</t>
  </si>
  <si>
    <t>81,84,*4674645,987,8739385,61,827,57873,36746,6632,332442,555,52729,5414,96</t>
  </si>
  <si>
    <t>(7,6,2,1,6,7,7,5,*6,*6,*3,*2),(7,4,*9,6,1,2,4,*3,*7,*8,*7,*5),(*3,3,*8,6,2,*5,9,6,9,9,9,5),(3,*3,*7,7,*1,*6,*8,1,9,8,1,2),(9,7,*2,*6,2,*8,6,*3,9,6,2,4),(*5,*5,*5,*4,*4,1,*9,5,*9,8,2,4),(6,7,2,9,*4,*7,8,*2,2,*3,8,4),(1,8,3,9,*2,*2,*6,7,*7,6,*7,5),(*4,4,1,*8,5,4,4,*3,9,*2,5,*8),(6,*1,3,6,8,*9,3,5,2,8,*5,6),(4,9,*4,5,*5,*4,*6,*4,*7,*6,*4,7),(9,4,6,*5,8,7,1,6,8,2,5,4)</t>
  </si>
  <si>
    <t>81,84,4674645,987,8739385,61,827,57873,36746,6632,332442,555,52729,5414,96</t>
  </si>
  <si>
    <t>(*5,1,8,3,4,6,4,4,9,4,8,1),(5,*2,7,*3,*9,*4,*9,*6,*5,*7,2,7),(2,4,*7,1,9,*6,8,4,9,2,8,9),(7,9,4,*1,*9,8,6,1,5,7,*9,*2),(8,*9,3,*7,*9,4,1,3,*6,*2,*6,3),(*2,*4,*5,3,*3,*4,*6,*7,*6,*6,*9,*8),(*1,*3,4,7,*3,7,*3,5,6,8,*8,2),(*3,*7,2,7,*6,4,1,*8,*1,7,4,4),(*5,*5,3,1,*7,6,*2,*4,*1,8,7,8),(*3,5,7,6,*1,4,9,6,*5,1,3,3),(*4,8,3,3,*3,4,2,1,5,9,5,2),(*4,6,8,9,*9,*1,*2,*1,*3,1,2,8)</t>
  </si>
  <si>
    <t>866,6975,317633,29,62,83,3949657,511,91725,24,91213,2135344,896,4676,94375</t>
  </si>
  <si>
    <t>(*7,*4,*4,5,1,8,6,2,8,8,7,2),(3,2,8,*4,5,9,3,9,2,5,8,4),(*4,*7,*9,*1,1,6,*2,4,1,3,8,9),(2,9,7,*9,7,2,*6,*3,*1,*3,*8,*6),(9,7,9,*5,8,*2,9,*6,*1,5,7,3),(6,4,8,*2,*4,*2,3,3,*5,*1,8,1),(9,*9,*1,*7,*7,*7,*5,*1,6,*6,*6,6),(3,6,6,6,*1,*3,*2,*6,*1,*1,*1,9),(2,9,9,8,8,7,4,6,5,2,9,7),(1,3,9,2,1,5,3,3,9,2,6,1),(9,8,3,4,5,*7,*8,*5,*6,*6,*7,*3),(*3,*3,*4,1,4,5,*9,*5,*9,*1,4,8)</t>
  </si>
  <si>
    <t>334,6831,1577719,479,66561,27,54,22,3766587,42,744,25914,9591,23116,116231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</si>
</sst>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データ!$A$3:$A$294</c:f>
              <c:numCache>
                <c:formatCode>m/d/yyyy\ h:mm</c:formatCode>
                <c:ptCount val="292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</c:numCache>
            </c:numRef>
          </c:xVal>
          <c:yVal>
            <c:numRef>
              <c:f>データ!$B$3:$B$294</c:f>
              <c:numCache>
                <c:formatCode>General</c:formatCode>
                <c:ptCount val="292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50</c:v>
                </c:pt>
                <c:pt idx="234">
                  <c:v>60</c:v>
                </c:pt>
                <c:pt idx="235">
                  <c:v>55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55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60</c:v>
                </c:pt>
                <c:pt idx="284">
                  <c:v>60</c:v>
                </c:pt>
                <c:pt idx="285">
                  <c:v>57</c:v>
                </c:pt>
                <c:pt idx="286">
                  <c:v>55</c:v>
                </c:pt>
                <c:pt idx="287">
                  <c:v>60</c:v>
                </c:pt>
                <c:pt idx="289">
                  <c:v>60</c:v>
                </c:pt>
                <c:pt idx="290">
                  <c:v>60</c:v>
                </c:pt>
                <c:pt idx="291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69-4696-A4A7-7224360D1EA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5769-4696-A4A7-7224360D1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4736959"/>
        <c:axId val="1144737439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データ!$A$3:$A$294</c:f>
              <c:numCache>
                <c:formatCode>m/d/yyyy\ h:mm</c:formatCode>
                <c:ptCount val="292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</c:numCache>
            </c:numRef>
          </c:xVal>
          <c:yVal>
            <c:numRef>
              <c:f>データ!$Q$3:$Q$294</c:f>
              <c:numCache>
                <c:formatCode>[h]:mm</c:formatCode>
                <c:ptCount val="292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  <c:pt idx="227" formatCode="General">
                  <c:v>8.8773148163454607E-3</c:v>
                </c:pt>
                <c:pt idx="228" formatCode="General">
                  <c:v>6.3425925909541547E-3</c:v>
                </c:pt>
                <c:pt idx="229" formatCode="General">
                  <c:v>4.7337962969322689E-3</c:v>
                </c:pt>
                <c:pt idx="230" formatCode="General">
                  <c:v>5.3819444437976927E-3</c:v>
                </c:pt>
                <c:pt idx="231" formatCode="General">
                  <c:v>9.0393518476048484E-3</c:v>
                </c:pt>
                <c:pt idx="232" formatCode="General">
                  <c:v>8.3796296312357299E-3</c:v>
                </c:pt>
                <c:pt idx="233" formatCode="General">
                  <c:v>8.3564814849523827E-3</c:v>
                </c:pt>
                <c:pt idx="234" formatCode="General">
                  <c:v>1.1747685188311152E-2</c:v>
                </c:pt>
                <c:pt idx="235" formatCode="General">
                  <c:v>7.1412037068512291E-3</c:v>
                </c:pt>
                <c:pt idx="236" formatCode="General">
                  <c:v>5.2314814820419997E-3</c:v>
                </c:pt>
                <c:pt idx="237" formatCode="General">
                  <c:v>9.0393518476048484E-3</c:v>
                </c:pt>
                <c:pt idx="238" formatCode="General">
                  <c:v>4.6180555509636179E-3</c:v>
                </c:pt>
                <c:pt idx="239" formatCode="General">
                  <c:v>5.6365740747423843E-3</c:v>
                </c:pt>
                <c:pt idx="240" formatCode="General">
                  <c:v>1.2511574073869269E-2</c:v>
                </c:pt>
                <c:pt idx="241" formatCode="General">
                  <c:v>#N/A</c:v>
                </c:pt>
                <c:pt idx="242" formatCode="General">
                  <c:v>6.1111111135687679E-3</c:v>
                </c:pt>
                <c:pt idx="243" formatCode="General">
                  <c:v>6.7824074067175388E-3</c:v>
                </c:pt>
                <c:pt idx="244" formatCode="General">
                  <c:v>6.8402777760638855E-3</c:v>
                </c:pt>
                <c:pt idx="245" formatCode="General">
                  <c:v>6.1458333366317675E-3</c:v>
                </c:pt>
                <c:pt idx="246" formatCode="General">
                  <c:v>9.0856481474475004E-3</c:v>
                </c:pt>
                <c:pt idx="247" formatCode="General">
                  <c:v>6.3888888907968067E-3</c:v>
                </c:pt>
                <c:pt idx="248" formatCode="General">
                  <c:v>6.0879629600094631E-3</c:v>
                </c:pt>
                <c:pt idx="249" formatCode="General">
                  <c:v>#N/A</c:v>
                </c:pt>
                <c:pt idx="250" formatCode="General">
                  <c:v>#N/A</c:v>
                </c:pt>
                <c:pt idx="251" formatCode="General">
                  <c:v>6.6203703681821935E-3</c:v>
                </c:pt>
                <c:pt idx="252" formatCode="General">
                  <c:v>5.8680555594037287E-3</c:v>
                </c:pt>
                <c:pt idx="253" formatCode="General">
                  <c:v>6.1574074134114198E-3</c:v>
                </c:pt>
                <c:pt idx="254" formatCode="General">
                  <c:v>5.7291666671517305E-3</c:v>
                </c:pt>
                <c:pt idx="255" formatCode="General">
                  <c:v>#N/A</c:v>
                </c:pt>
                <c:pt idx="256" formatCode="General">
                  <c:v>4.4907407354912721E-3</c:v>
                </c:pt>
                <c:pt idx="257" formatCode="General">
                  <c:v>7.3495370379532687E-3</c:v>
                </c:pt>
                <c:pt idx="258" formatCode="General">
                  <c:v>5.9490740750334226E-3</c:v>
                </c:pt>
                <c:pt idx="259" formatCode="General">
                  <c:v>6.5856481451191939E-3</c:v>
                </c:pt>
                <c:pt idx="260" formatCode="General">
                  <c:v>7.2337962919846177E-3</c:v>
                </c:pt>
                <c:pt idx="261" formatCode="General">
                  <c:v>1.0648148148902692E-2</c:v>
                </c:pt>
                <c:pt idx="262" formatCode="General">
                  <c:v>9.1203703705104999E-3</c:v>
                </c:pt>
                <c:pt idx="263" formatCode="General">
                  <c:v>5.173611112695653E-3</c:v>
                </c:pt>
                <c:pt idx="264" formatCode="General">
                  <c:v>9.4675925938645378E-3</c:v>
                </c:pt>
                <c:pt idx="265" formatCode="General">
                  <c:v>8.1134259307873435E-3</c:v>
                </c:pt>
                <c:pt idx="266" formatCode="General">
                  <c:v>1.0937499995634425E-2</c:v>
                </c:pt>
                <c:pt idx="267" formatCode="General">
                  <c:v>5.6828703745850362E-3</c:v>
                </c:pt>
                <c:pt idx="268" formatCode="General">
                  <c:v>7.6851851845276542E-3</c:v>
                </c:pt>
                <c:pt idx="269" formatCode="General">
                  <c:v>6.6666666680248454E-3</c:v>
                </c:pt>
                <c:pt idx="270" formatCode="General">
                  <c:v>8.9236111161881126E-3</c:v>
                </c:pt>
                <c:pt idx="271" formatCode="General">
                  <c:v>6.7245370373711921E-3</c:v>
                </c:pt>
                <c:pt idx="272" formatCode="General">
                  <c:v>#N/A</c:v>
                </c:pt>
                <c:pt idx="273" formatCode="General">
                  <c:v>4.7916666735545732E-3</c:v>
                </c:pt>
                <c:pt idx="274" formatCode="General">
                  <c:v>3.8888888884685002E-3</c:v>
                </c:pt>
                <c:pt idx="275" formatCode="General">
                  <c:v>9.9652777789742686E-3</c:v>
                </c:pt>
                <c:pt idx="276" formatCode="General">
                  <c:v>8.7384259313694201E-3</c:v>
                </c:pt>
                <c:pt idx="277" formatCode="General">
                  <c:v>5.7175925903720781E-3</c:v>
                </c:pt>
                <c:pt idx="278" formatCode="General">
                  <c:v>1.1863425927003846E-2</c:v>
                </c:pt>
                <c:pt idx="279" formatCode="General">
                  <c:v>1.0497685187146999E-2</c:v>
                </c:pt>
                <c:pt idx="280" formatCode="General">
                  <c:v>4.9537037048139609E-3</c:v>
                </c:pt>
                <c:pt idx="281" formatCode="General">
                  <c:v>6.9907407378195785E-3</c:v>
                </c:pt>
                <c:pt idx="282" formatCode="General">
                  <c:v>4.8611111124046147E-3</c:v>
                </c:pt>
                <c:pt idx="283" formatCode="General">
                  <c:v>1.2199074073578231E-2</c:v>
                </c:pt>
                <c:pt idx="284" formatCode="General">
                  <c:v>8.1250000002910383E-3</c:v>
                </c:pt>
                <c:pt idx="285" formatCode="General">
                  <c:v>5.0810185202863067E-3</c:v>
                </c:pt>
                <c:pt idx="286" formatCode="General">
                  <c:v>1.003472221782431E-2</c:v>
                </c:pt>
                <c:pt idx="287" formatCode="General">
                  <c:v>5.6828703745850362E-3</c:v>
                </c:pt>
                <c:pt idx="288" formatCode="General">
                  <c:v>#N/A</c:v>
                </c:pt>
                <c:pt idx="289" formatCode="General">
                  <c:v>7.928240745968651E-3</c:v>
                </c:pt>
                <c:pt idx="290" formatCode="General">
                  <c:v>4.2476851813262329E-3</c:v>
                </c:pt>
                <c:pt idx="291" formatCode="General">
                  <c:v>6.7476851836545393E-3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69-4696-A4A7-7224360D1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0036383"/>
        <c:axId val="1230034943"/>
      </c:scatterChart>
      <c:valAx>
        <c:axId val="1144736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44737439"/>
        <c:crosses val="autoZero"/>
        <c:crossBetween val="midCat"/>
      </c:valAx>
      <c:valAx>
        <c:axId val="1144737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44736959"/>
        <c:crosses val="autoZero"/>
        <c:crossBetween val="midCat"/>
      </c:valAx>
      <c:valAx>
        <c:axId val="1230034943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30036383"/>
        <c:crosses val="max"/>
        <c:crossBetween val="midCat"/>
      </c:valAx>
      <c:valAx>
        <c:axId val="1230036383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30034943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211931</xdr:colOff>
      <xdr:row>11</xdr:row>
      <xdr:rowOff>178593</xdr:rowOff>
    </xdr:from>
    <xdr:to>
      <xdr:col>2</xdr:col>
      <xdr:colOff>211931</xdr:colOff>
      <xdr:row>11</xdr:row>
      <xdr:rowOff>178593</xdr:rowOff>
    </xdr:to>
    <xdr:cxnSp macro="">
      <xdr:nvCxnSpPr>
        <xdr:cNvPr id="1026" name="Match0">
          <a:extLst>
            <a:ext uri="{FF2B5EF4-FFF2-40B4-BE49-F238E27FC236}">
              <a16:creationId xmlns:a16="http://schemas.microsoft.com/office/drawing/2014/main" id="{F674F426-5B7A-63B7-8E57-DCF730419D72}"/>
            </a:ext>
          </a:extLst>
        </xdr:cNvPr>
        <xdr:cNvCxnSpPr/>
      </xdr:nvCxnSpPr>
      <xdr:spPr>
        <a:xfrm>
          <a:off x="211931" y="4107656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3</xdr:row>
      <xdr:rowOff>178593</xdr:rowOff>
    </xdr:from>
    <xdr:to>
      <xdr:col>11</xdr:col>
      <xdr:colOff>211931</xdr:colOff>
      <xdr:row>3</xdr:row>
      <xdr:rowOff>178593</xdr:rowOff>
    </xdr:to>
    <xdr:cxnSp macro="">
      <xdr:nvCxnSpPr>
        <xdr:cNvPr id="1027" name="Match1">
          <a:extLst>
            <a:ext uri="{FF2B5EF4-FFF2-40B4-BE49-F238E27FC236}">
              <a16:creationId xmlns:a16="http://schemas.microsoft.com/office/drawing/2014/main" id="{55122EB8-0155-FCEC-5EEC-1CEFBBBF472C}"/>
            </a:ext>
          </a:extLst>
        </xdr:cNvPr>
        <xdr:cNvCxnSpPr/>
      </xdr:nvCxnSpPr>
      <xdr:spPr>
        <a:xfrm flipH="1">
          <a:off x="3602831" y="1250156"/>
          <a:ext cx="1271588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6</xdr:row>
      <xdr:rowOff>178594</xdr:rowOff>
    </xdr:from>
    <xdr:to>
      <xdr:col>7</xdr:col>
      <xdr:colOff>211931</xdr:colOff>
      <xdr:row>6</xdr:row>
      <xdr:rowOff>178594</xdr:rowOff>
    </xdr:to>
    <xdr:cxnSp macro="">
      <xdr:nvCxnSpPr>
        <xdr:cNvPr id="1028" name="Match2">
          <a:extLst>
            <a:ext uri="{FF2B5EF4-FFF2-40B4-BE49-F238E27FC236}">
              <a16:creationId xmlns:a16="http://schemas.microsoft.com/office/drawing/2014/main" id="{4B2CA290-05C0-1B32-5C0C-45AD17834212}"/>
            </a:ext>
          </a:extLst>
        </xdr:cNvPr>
        <xdr:cNvCxnSpPr/>
      </xdr:nvCxnSpPr>
      <xdr:spPr>
        <a:xfrm flipH="1">
          <a:off x="635794" y="2321719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2</xdr:row>
      <xdr:rowOff>178594</xdr:rowOff>
    </xdr:from>
    <xdr:to>
      <xdr:col>2</xdr:col>
      <xdr:colOff>211931</xdr:colOff>
      <xdr:row>2</xdr:row>
      <xdr:rowOff>178594</xdr:rowOff>
    </xdr:to>
    <xdr:cxnSp macro="">
      <xdr:nvCxnSpPr>
        <xdr:cNvPr id="1029" name="Match3">
          <a:extLst>
            <a:ext uri="{FF2B5EF4-FFF2-40B4-BE49-F238E27FC236}">
              <a16:creationId xmlns:a16="http://schemas.microsoft.com/office/drawing/2014/main" id="{6BE6C893-0D88-21EC-1C6C-A66E7F372123}"/>
            </a:ext>
          </a:extLst>
        </xdr:cNvPr>
        <xdr:cNvCxnSpPr/>
      </xdr:nvCxnSpPr>
      <xdr:spPr>
        <a:xfrm>
          <a:off x="211931" y="892969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3</xdr:row>
      <xdr:rowOff>178593</xdr:rowOff>
    </xdr:from>
    <xdr:to>
      <xdr:col>1</xdr:col>
      <xdr:colOff>211931</xdr:colOff>
      <xdr:row>5</xdr:row>
      <xdr:rowOff>178593</xdr:rowOff>
    </xdr:to>
    <xdr:cxnSp macro="">
      <xdr:nvCxnSpPr>
        <xdr:cNvPr id="1030" name="Match4">
          <a:extLst>
            <a:ext uri="{FF2B5EF4-FFF2-40B4-BE49-F238E27FC236}">
              <a16:creationId xmlns:a16="http://schemas.microsoft.com/office/drawing/2014/main" id="{176EB204-A5E3-941D-19C3-B7E3A135C567}"/>
            </a:ext>
          </a:extLst>
        </xdr:cNvPr>
        <xdr:cNvCxnSpPr/>
      </xdr:nvCxnSpPr>
      <xdr:spPr>
        <a:xfrm flipV="1">
          <a:off x="635794" y="1250156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3</xdr:row>
      <xdr:rowOff>178593</xdr:rowOff>
    </xdr:from>
    <xdr:to>
      <xdr:col>10</xdr:col>
      <xdr:colOff>211931</xdr:colOff>
      <xdr:row>7</xdr:row>
      <xdr:rowOff>178593</xdr:rowOff>
    </xdr:to>
    <xdr:cxnSp macro="">
      <xdr:nvCxnSpPr>
        <xdr:cNvPr id="1031" name="Match5">
          <a:extLst>
            <a:ext uri="{FF2B5EF4-FFF2-40B4-BE49-F238E27FC236}">
              <a16:creationId xmlns:a16="http://schemas.microsoft.com/office/drawing/2014/main" id="{4798331F-522D-E2B0-D9FE-4704A9B07674}"/>
            </a:ext>
          </a:extLst>
        </xdr:cNvPr>
        <xdr:cNvCxnSpPr/>
      </xdr:nvCxnSpPr>
      <xdr:spPr>
        <a:xfrm>
          <a:off x="2755106" y="1250156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0</xdr:row>
      <xdr:rowOff>178594</xdr:rowOff>
    </xdr:from>
    <xdr:to>
      <xdr:col>11</xdr:col>
      <xdr:colOff>211931</xdr:colOff>
      <xdr:row>0</xdr:row>
      <xdr:rowOff>178594</xdr:rowOff>
    </xdr:to>
    <xdr:cxnSp macro="">
      <xdr:nvCxnSpPr>
        <xdr:cNvPr id="1032" name="Match6">
          <a:extLst>
            <a:ext uri="{FF2B5EF4-FFF2-40B4-BE49-F238E27FC236}">
              <a16:creationId xmlns:a16="http://schemas.microsoft.com/office/drawing/2014/main" id="{81D1F954-0532-143A-2AEA-616200A6FCB0}"/>
            </a:ext>
          </a:extLst>
        </xdr:cNvPr>
        <xdr:cNvCxnSpPr/>
      </xdr:nvCxnSpPr>
      <xdr:spPr>
        <a:xfrm flipH="1">
          <a:off x="4450556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</xdr:row>
      <xdr:rowOff>178593</xdr:rowOff>
    </xdr:from>
    <xdr:to>
      <xdr:col>1</xdr:col>
      <xdr:colOff>211931</xdr:colOff>
      <xdr:row>2</xdr:row>
      <xdr:rowOff>178594</xdr:rowOff>
    </xdr:to>
    <xdr:cxnSp macro="">
      <xdr:nvCxnSpPr>
        <xdr:cNvPr id="1033" name="Match7">
          <a:extLst>
            <a:ext uri="{FF2B5EF4-FFF2-40B4-BE49-F238E27FC236}">
              <a16:creationId xmlns:a16="http://schemas.microsoft.com/office/drawing/2014/main" id="{F51DA75D-38B9-B3CB-39B0-09F8662AE746}"/>
            </a:ext>
          </a:extLst>
        </xdr:cNvPr>
        <xdr:cNvCxnSpPr/>
      </xdr:nvCxnSpPr>
      <xdr:spPr>
        <a:xfrm>
          <a:off x="635794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0</xdr:row>
      <xdr:rowOff>203994</xdr:rowOff>
    </xdr:from>
    <xdr:to>
      <xdr:col>1</xdr:col>
      <xdr:colOff>237331</xdr:colOff>
      <xdr:row>1</xdr:row>
      <xdr:rowOff>203993</xdr:rowOff>
    </xdr:to>
    <xdr:cxnSp macro="">
      <xdr:nvCxnSpPr>
        <xdr:cNvPr id="1034" name="Match8">
          <a:extLst>
            <a:ext uri="{FF2B5EF4-FFF2-40B4-BE49-F238E27FC236}">
              <a16:creationId xmlns:a16="http://schemas.microsoft.com/office/drawing/2014/main" id="{56F968D4-25B6-47BD-04D9-AB3AD1C495E3}"/>
            </a:ext>
          </a:extLst>
        </xdr:cNvPr>
        <xdr:cNvCxnSpPr/>
      </xdr:nvCxnSpPr>
      <xdr:spPr>
        <a:xfrm flipH="1" flipV="1">
          <a:off x="237331" y="2039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1</xdr:col>
      <xdr:colOff>211931</xdr:colOff>
      <xdr:row>4</xdr:row>
      <xdr:rowOff>178594</xdr:rowOff>
    </xdr:to>
    <xdr:cxnSp macro="">
      <xdr:nvCxnSpPr>
        <xdr:cNvPr id="1035" name="Match9">
          <a:extLst>
            <a:ext uri="{FF2B5EF4-FFF2-40B4-BE49-F238E27FC236}">
              <a16:creationId xmlns:a16="http://schemas.microsoft.com/office/drawing/2014/main" id="{BCFD44DA-FB26-1FD5-72FB-902DBBBD4B15}"/>
            </a:ext>
          </a:extLst>
        </xdr:cNvPr>
        <xdr:cNvCxnSpPr/>
      </xdr:nvCxnSpPr>
      <xdr:spPr>
        <a:xfrm>
          <a:off x="211931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2</xdr:row>
      <xdr:rowOff>203994</xdr:rowOff>
    </xdr:from>
    <xdr:to>
      <xdr:col>1</xdr:col>
      <xdr:colOff>237331</xdr:colOff>
      <xdr:row>3</xdr:row>
      <xdr:rowOff>203993</xdr:rowOff>
    </xdr:to>
    <xdr:cxnSp macro="">
      <xdr:nvCxnSpPr>
        <xdr:cNvPr id="1036" name="Match10">
          <a:extLst>
            <a:ext uri="{FF2B5EF4-FFF2-40B4-BE49-F238E27FC236}">
              <a16:creationId xmlns:a16="http://schemas.microsoft.com/office/drawing/2014/main" id="{5B7880E6-5D7B-762F-FA29-9814D461A886}"/>
            </a:ext>
          </a:extLst>
        </xdr:cNvPr>
        <xdr:cNvCxnSpPr/>
      </xdr:nvCxnSpPr>
      <xdr:spPr>
        <a:xfrm flipV="1">
          <a:off x="237331" y="9183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3</xdr:row>
      <xdr:rowOff>178593</xdr:rowOff>
    </xdr:from>
    <xdr:to>
      <xdr:col>5</xdr:col>
      <xdr:colOff>211931</xdr:colOff>
      <xdr:row>3</xdr:row>
      <xdr:rowOff>178593</xdr:rowOff>
    </xdr:to>
    <xdr:cxnSp macro="">
      <xdr:nvCxnSpPr>
        <xdr:cNvPr id="1037" name="Match11">
          <a:extLst>
            <a:ext uri="{FF2B5EF4-FFF2-40B4-BE49-F238E27FC236}">
              <a16:creationId xmlns:a16="http://schemas.microsoft.com/office/drawing/2014/main" id="{34D6C16A-DCA7-7A8B-6E8E-9ADDDCFA1709}"/>
            </a:ext>
          </a:extLst>
        </xdr:cNvPr>
        <xdr:cNvCxnSpPr/>
      </xdr:nvCxnSpPr>
      <xdr:spPr>
        <a:xfrm flipH="1">
          <a:off x="1907381" y="12501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3</xdr:row>
      <xdr:rowOff>178593</xdr:rowOff>
    </xdr:from>
    <xdr:to>
      <xdr:col>5</xdr:col>
      <xdr:colOff>211931</xdr:colOff>
      <xdr:row>4</xdr:row>
      <xdr:rowOff>178594</xdr:rowOff>
    </xdr:to>
    <xdr:cxnSp macro="">
      <xdr:nvCxnSpPr>
        <xdr:cNvPr id="1038" name="Match12">
          <a:extLst>
            <a:ext uri="{FF2B5EF4-FFF2-40B4-BE49-F238E27FC236}">
              <a16:creationId xmlns:a16="http://schemas.microsoft.com/office/drawing/2014/main" id="{C69FB6BA-1314-51F8-A0CF-F268F30B3446}"/>
            </a:ext>
          </a:extLst>
        </xdr:cNvPr>
        <xdr:cNvCxnSpPr/>
      </xdr:nvCxnSpPr>
      <xdr:spPr>
        <a:xfrm flipH="1" flipV="1">
          <a:off x="1907381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5</xdr:row>
      <xdr:rowOff>178593</xdr:rowOff>
    </xdr:from>
    <xdr:to>
      <xdr:col>4</xdr:col>
      <xdr:colOff>211931</xdr:colOff>
      <xdr:row>6</xdr:row>
      <xdr:rowOff>178594</xdr:rowOff>
    </xdr:to>
    <xdr:cxnSp macro="">
      <xdr:nvCxnSpPr>
        <xdr:cNvPr id="1039" name="Match13">
          <a:extLst>
            <a:ext uri="{FF2B5EF4-FFF2-40B4-BE49-F238E27FC236}">
              <a16:creationId xmlns:a16="http://schemas.microsoft.com/office/drawing/2014/main" id="{98C23061-721D-F094-B38A-DC78F0B4FD16}"/>
            </a:ext>
          </a:extLst>
        </xdr:cNvPr>
        <xdr:cNvCxnSpPr/>
      </xdr:nvCxnSpPr>
      <xdr:spPr>
        <a:xfrm>
          <a:off x="1483519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5</xdr:row>
      <xdr:rowOff>203993</xdr:rowOff>
    </xdr:from>
    <xdr:to>
      <xdr:col>3</xdr:col>
      <xdr:colOff>237331</xdr:colOff>
      <xdr:row>6</xdr:row>
      <xdr:rowOff>203994</xdr:rowOff>
    </xdr:to>
    <xdr:cxnSp macro="">
      <xdr:nvCxnSpPr>
        <xdr:cNvPr id="1040" name="Match14">
          <a:extLst>
            <a:ext uri="{FF2B5EF4-FFF2-40B4-BE49-F238E27FC236}">
              <a16:creationId xmlns:a16="http://schemas.microsoft.com/office/drawing/2014/main" id="{49BF514A-D747-89AF-F037-9DDB436F9A59}"/>
            </a:ext>
          </a:extLst>
        </xdr:cNvPr>
        <xdr:cNvCxnSpPr/>
      </xdr:nvCxnSpPr>
      <xdr:spPr>
        <a:xfrm>
          <a:off x="1508919" y="198993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5</xdr:row>
      <xdr:rowOff>178593</xdr:rowOff>
    </xdr:from>
    <xdr:to>
      <xdr:col>5</xdr:col>
      <xdr:colOff>211931</xdr:colOff>
      <xdr:row>6</xdr:row>
      <xdr:rowOff>178594</xdr:rowOff>
    </xdr:to>
    <xdr:cxnSp macro="">
      <xdr:nvCxnSpPr>
        <xdr:cNvPr id="1041" name="Match15">
          <a:extLst>
            <a:ext uri="{FF2B5EF4-FFF2-40B4-BE49-F238E27FC236}">
              <a16:creationId xmlns:a16="http://schemas.microsoft.com/office/drawing/2014/main" id="{24C67404-B7C7-3F5E-E493-47214396387D}"/>
            </a:ext>
          </a:extLst>
        </xdr:cNvPr>
        <xdr:cNvCxnSpPr/>
      </xdr:nvCxnSpPr>
      <xdr:spPr>
        <a:xfrm>
          <a:off x="2331244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5</xdr:row>
      <xdr:rowOff>203993</xdr:rowOff>
    </xdr:from>
    <xdr:to>
      <xdr:col>5</xdr:col>
      <xdr:colOff>237331</xdr:colOff>
      <xdr:row>6</xdr:row>
      <xdr:rowOff>203994</xdr:rowOff>
    </xdr:to>
    <xdr:cxnSp macro="">
      <xdr:nvCxnSpPr>
        <xdr:cNvPr id="1042" name="Match16">
          <a:extLst>
            <a:ext uri="{FF2B5EF4-FFF2-40B4-BE49-F238E27FC236}">
              <a16:creationId xmlns:a16="http://schemas.microsoft.com/office/drawing/2014/main" id="{741353C1-2842-A3F5-C90F-55030CDA5D73}"/>
            </a:ext>
          </a:extLst>
        </xdr:cNvPr>
        <xdr:cNvCxnSpPr/>
      </xdr:nvCxnSpPr>
      <xdr:spPr>
        <a:xfrm flipH="1">
          <a:off x="1932781" y="198993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7</xdr:row>
      <xdr:rowOff>178593</xdr:rowOff>
    </xdr:from>
    <xdr:to>
      <xdr:col>6</xdr:col>
      <xdr:colOff>211931</xdr:colOff>
      <xdr:row>8</xdr:row>
      <xdr:rowOff>178594</xdr:rowOff>
    </xdr:to>
    <xdr:cxnSp macro="">
      <xdr:nvCxnSpPr>
        <xdr:cNvPr id="1043" name="Match17">
          <a:extLst>
            <a:ext uri="{FF2B5EF4-FFF2-40B4-BE49-F238E27FC236}">
              <a16:creationId xmlns:a16="http://schemas.microsoft.com/office/drawing/2014/main" id="{F695973A-8925-192E-7020-DD96FDAE1CEA}"/>
            </a:ext>
          </a:extLst>
        </xdr:cNvPr>
        <xdr:cNvCxnSpPr/>
      </xdr:nvCxnSpPr>
      <xdr:spPr>
        <a:xfrm flipH="1">
          <a:off x="2331244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6</xdr:row>
      <xdr:rowOff>203994</xdr:rowOff>
    </xdr:from>
    <xdr:to>
      <xdr:col>6</xdr:col>
      <xdr:colOff>237331</xdr:colOff>
      <xdr:row>7</xdr:row>
      <xdr:rowOff>203993</xdr:rowOff>
    </xdr:to>
    <xdr:cxnSp macro="">
      <xdr:nvCxnSpPr>
        <xdr:cNvPr id="1044" name="Match18">
          <a:extLst>
            <a:ext uri="{FF2B5EF4-FFF2-40B4-BE49-F238E27FC236}">
              <a16:creationId xmlns:a16="http://schemas.microsoft.com/office/drawing/2014/main" id="{CC637BC6-8FEF-C021-82F4-F7FAB3D11FBB}"/>
            </a:ext>
          </a:extLst>
        </xdr:cNvPr>
        <xdr:cNvCxnSpPr/>
      </xdr:nvCxnSpPr>
      <xdr:spPr>
        <a:xfrm flipH="1" flipV="1">
          <a:off x="2356644" y="234711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9</xdr:row>
      <xdr:rowOff>178593</xdr:rowOff>
    </xdr:from>
    <xdr:to>
      <xdr:col>10</xdr:col>
      <xdr:colOff>211931</xdr:colOff>
      <xdr:row>10</xdr:row>
      <xdr:rowOff>178594</xdr:rowOff>
    </xdr:to>
    <xdr:cxnSp macro="">
      <xdr:nvCxnSpPr>
        <xdr:cNvPr id="1045" name="Match19">
          <a:extLst>
            <a:ext uri="{FF2B5EF4-FFF2-40B4-BE49-F238E27FC236}">
              <a16:creationId xmlns:a16="http://schemas.microsoft.com/office/drawing/2014/main" id="{C939376A-AA5B-2285-0CF7-5577C4000D31}"/>
            </a:ext>
          </a:extLst>
        </xdr:cNvPr>
        <xdr:cNvCxnSpPr/>
      </xdr:nvCxnSpPr>
      <xdr:spPr>
        <a:xfrm>
          <a:off x="4026694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0</xdr:row>
      <xdr:rowOff>178594</xdr:rowOff>
    </xdr:from>
    <xdr:to>
      <xdr:col>3</xdr:col>
      <xdr:colOff>211931</xdr:colOff>
      <xdr:row>1</xdr:row>
      <xdr:rowOff>178593</xdr:rowOff>
    </xdr:to>
    <xdr:cxnSp macro="">
      <xdr:nvCxnSpPr>
        <xdr:cNvPr id="1046" name="Match20">
          <a:extLst>
            <a:ext uri="{FF2B5EF4-FFF2-40B4-BE49-F238E27FC236}">
              <a16:creationId xmlns:a16="http://schemas.microsoft.com/office/drawing/2014/main" id="{F9033FD6-142D-5651-2872-404A9E67C387}"/>
            </a:ext>
          </a:extLst>
        </xdr:cNvPr>
        <xdr:cNvCxnSpPr/>
      </xdr:nvCxnSpPr>
      <xdr:spPr>
        <a:xfrm>
          <a:off x="1483519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0</xdr:row>
      <xdr:rowOff>203994</xdr:rowOff>
    </xdr:from>
    <xdr:to>
      <xdr:col>3</xdr:col>
      <xdr:colOff>237331</xdr:colOff>
      <xdr:row>0</xdr:row>
      <xdr:rowOff>203994</xdr:rowOff>
    </xdr:to>
    <xdr:cxnSp macro="">
      <xdr:nvCxnSpPr>
        <xdr:cNvPr id="1047" name="Match21">
          <a:extLst>
            <a:ext uri="{FF2B5EF4-FFF2-40B4-BE49-F238E27FC236}">
              <a16:creationId xmlns:a16="http://schemas.microsoft.com/office/drawing/2014/main" id="{4FF7D1FD-B54E-DF39-4990-DF920E68D9A0}"/>
            </a:ext>
          </a:extLst>
        </xdr:cNvPr>
        <xdr:cNvCxnSpPr/>
      </xdr:nvCxnSpPr>
      <xdr:spPr>
        <a:xfrm flipH="1">
          <a:off x="1085056" y="203994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</xdr:row>
      <xdr:rowOff>178593</xdr:rowOff>
    </xdr:from>
    <xdr:to>
      <xdr:col>4</xdr:col>
      <xdr:colOff>211931</xdr:colOff>
      <xdr:row>1</xdr:row>
      <xdr:rowOff>178593</xdr:rowOff>
    </xdr:to>
    <xdr:cxnSp macro="">
      <xdr:nvCxnSpPr>
        <xdr:cNvPr id="1048" name="Match22">
          <a:extLst>
            <a:ext uri="{FF2B5EF4-FFF2-40B4-BE49-F238E27FC236}">
              <a16:creationId xmlns:a16="http://schemas.microsoft.com/office/drawing/2014/main" id="{EB296C15-1328-2CAF-E767-81E1C5FF16D3}"/>
            </a:ext>
          </a:extLst>
        </xdr:cNvPr>
        <xdr:cNvCxnSpPr/>
      </xdr:nvCxnSpPr>
      <xdr:spPr>
        <a:xfrm flipH="1">
          <a:off x="1483519" y="5357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4</xdr:row>
      <xdr:rowOff>178594</xdr:rowOff>
    </xdr:from>
    <xdr:to>
      <xdr:col>4</xdr:col>
      <xdr:colOff>211931</xdr:colOff>
      <xdr:row>5</xdr:row>
      <xdr:rowOff>178593</xdr:rowOff>
    </xdr:to>
    <xdr:cxnSp macro="">
      <xdr:nvCxnSpPr>
        <xdr:cNvPr id="1049" name="Match23">
          <a:extLst>
            <a:ext uri="{FF2B5EF4-FFF2-40B4-BE49-F238E27FC236}">
              <a16:creationId xmlns:a16="http://schemas.microsoft.com/office/drawing/2014/main" id="{45AD35C5-BD79-86B9-2503-342B0531BCAD}"/>
            </a:ext>
          </a:extLst>
        </xdr:cNvPr>
        <xdr:cNvCxnSpPr/>
      </xdr:nvCxnSpPr>
      <xdr:spPr>
        <a:xfrm>
          <a:off x="1483519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8</xdr:row>
      <xdr:rowOff>178594</xdr:rowOff>
    </xdr:from>
    <xdr:to>
      <xdr:col>6</xdr:col>
      <xdr:colOff>211931</xdr:colOff>
      <xdr:row>9</xdr:row>
      <xdr:rowOff>178593</xdr:rowOff>
    </xdr:to>
    <xdr:cxnSp macro="">
      <xdr:nvCxnSpPr>
        <xdr:cNvPr id="1055" name="Match24">
          <a:extLst>
            <a:ext uri="{FF2B5EF4-FFF2-40B4-BE49-F238E27FC236}">
              <a16:creationId xmlns:a16="http://schemas.microsoft.com/office/drawing/2014/main" id="{600630CE-C2D3-B146-EA00-FC0CC9E26B10}"/>
            </a:ext>
          </a:extLst>
        </xdr:cNvPr>
        <xdr:cNvCxnSpPr/>
      </xdr:nvCxnSpPr>
      <xdr:spPr>
        <a:xfrm flipV="1">
          <a:off x="2331244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10</xdr:row>
      <xdr:rowOff>178594</xdr:rowOff>
    </xdr:from>
    <xdr:to>
      <xdr:col>4</xdr:col>
      <xdr:colOff>211931</xdr:colOff>
      <xdr:row>11</xdr:row>
      <xdr:rowOff>178593</xdr:rowOff>
    </xdr:to>
    <xdr:cxnSp macro="">
      <xdr:nvCxnSpPr>
        <xdr:cNvPr id="1056" name="Match25">
          <a:extLst>
            <a:ext uri="{FF2B5EF4-FFF2-40B4-BE49-F238E27FC236}">
              <a16:creationId xmlns:a16="http://schemas.microsoft.com/office/drawing/2014/main" id="{76D5D663-4044-BC0F-10AE-E2ED8C931F20}"/>
            </a:ext>
          </a:extLst>
        </xdr:cNvPr>
        <xdr:cNvCxnSpPr/>
      </xdr:nvCxnSpPr>
      <xdr:spPr>
        <a:xfrm>
          <a:off x="1907381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10</xdr:row>
      <xdr:rowOff>203994</xdr:rowOff>
    </xdr:from>
    <xdr:to>
      <xdr:col>4</xdr:col>
      <xdr:colOff>237331</xdr:colOff>
      <xdr:row>10</xdr:row>
      <xdr:rowOff>203994</xdr:rowOff>
    </xdr:to>
    <xdr:cxnSp macro="">
      <xdr:nvCxnSpPr>
        <xdr:cNvPr id="1057" name="Match26">
          <a:extLst>
            <a:ext uri="{FF2B5EF4-FFF2-40B4-BE49-F238E27FC236}">
              <a16:creationId xmlns:a16="http://schemas.microsoft.com/office/drawing/2014/main" id="{D897E0B7-A1A1-7EDA-FB9A-9C2C151E2E66}"/>
            </a:ext>
          </a:extLst>
        </xdr:cNvPr>
        <xdr:cNvCxnSpPr/>
      </xdr:nvCxnSpPr>
      <xdr:spPr>
        <a:xfrm flipH="1">
          <a:off x="1508919" y="3775869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11</xdr:row>
      <xdr:rowOff>178593</xdr:rowOff>
    </xdr:from>
    <xdr:to>
      <xdr:col>5</xdr:col>
      <xdr:colOff>211931</xdr:colOff>
      <xdr:row>11</xdr:row>
      <xdr:rowOff>178593</xdr:rowOff>
    </xdr:to>
    <xdr:cxnSp macro="">
      <xdr:nvCxnSpPr>
        <xdr:cNvPr id="1061" name="Match27">
          <a:extLst>
            <a:ext uri="{FF2B5EF4-FFF2-40B4-BE49-F238E27FC236}">
              <a16:creationId xmlns:a16="http://schemas.microsoft.com/office/drawing/2014/main" id="{78F867B6-DC54-ADBC-4609-B90FE6D008FD}"/>
            </a:ext>
          </a:extLst>
        </xdr:cNvPr>
        <xdr:cNvCxnSpPr/>
      </xdr:nvCxnSpPr>
      <xdr:spPr>
        <a:xfrm flipH="1">
          <a:off x="1907381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0</xdr:row>
      <xdr:rowOff>178594</xdr:rowOff>
    </xdr:from>
    <xdr:to>
      <xdr:col>8</xdr:col>
      <xdr:colOff>211931</xdr:colOff>
      <xdr:row>1</xdr:row>
      <xdr:rowOff>178593</xdr:rowOff>
    </xdr:to>
    <xdr:cxnSp macro="">
      <xdr:nvCxnSpPr>
        <xdr:cNvPr id="1064" name="Match28">
          <a:extLst>
            <a:ext uri="{FF2B5EF4-FFF2-40B4-BE49-F238E27FC236}">
              <a16:creationId xmlns:a16="http://schemas.microsoft.com/office/drawing/2014/main" id="{2F33363B-ADB5-0F29-DA64-629273AE92A2}"/>
            </a:ext>
          </a:extLst>
        </xdr:cNvPr>
        <xdr:cNvCxnSpPr/>
      </xdr:nvCxnSpPr>
      <xdr:spPr>
        <a:xfrm>
          <a:off x="3178969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0</xdr:row>
      <xdr:rowOff>178594</xdr:rowOff>
    </xdr:from>
    <xdr:to>
      <xdr:col>8</xdr:col>
      <xdr:colOff>211931</xdr:colOff>
      <xdr:row>1</xdr:row>
      <xdr:rowOff>178593</xdr:rowOff>
    </xdr:to>
    <xdr:cxnSp macro="">
      <xdr:nvCxnSpPr>
        <xdr:cNvPr id="1065" name="Match29">
          <a:extLst>
            <a:ext uri="{FF2B5EF4-FFF2-40B4-BE49-F238E27FC236}">
              <a16:creationId xmlns:a16="http://schemas.microsoft.com/office/drawing/2014/main" id="{1950433A-6F9D-9ACC-FBDB-A21163A46253}"/>
            </a:ext>
          </a:extLst>
        </xdr:cNvPr>
        <xdr:cNvCxnSpPr/>
      </xdr:nvCxnSpPr>
      <xdr:spPr>
        <a:xfrm flipH="1" flipV="1">
          <a:off x="3178969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2</xdr:row>
      <xdr:rowOff>178594</xdr:rowOff>
    </xdr:from>
    <xdr:to>
      <xdr:col>6</xdr:col>
      <xdr:colOff>211931</xdr:colOff>
      <xdr:row>3</xdr:row>
      <xdr:rowOff>178593</xdr:rowOff>
    </xdr:to>
    <xdr:cxnSp macro="">
      <xdr:nvCxnSpPr>
        <xdr:cNvPr id="1066" name="Match30">
          <a:extLst>
            <a:ext uri="{FF2B5EF4-FFF2-40B4-BE49-F238E27FC236}">
              <a16:creationId xmlns:a16="http://schemas.microsoft.com/office/drawing/2014/main" id="{2B8FC0A3-1948-E206-3944-189C3DC75C2C}"/>
            </a:ext>
          </a:extLst>
        </xdr:cNvPr>
        <xdr:cNvCxnSpPr/>
      </xdr:nvCxnSpPr>
      <xdr:spPr>
        <a:xfrm flipH="1">
          <a:off x="2331244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3</xdr:row>
      <xdr:rowOff>203993</xdr:rowOff>
    </xdr:from>
    <xdr:to>
      <xdr:col>5</xdr:col>
      <xdr:colOff>237331</xdr:colOff>
      <xdr:row>4</xdr:row>
      <xdr:rowOff>203994</xdr:rowOff>
    </xdr:to>
    <xdr:cxnSp macro="">
      <xdr:nvCxnSpPr>
        <xdr:cNvPr id="1067" name="Match31">
          <a:extLst>
            <a:ext uri="{FF2B5EF4-FFF2-40B4-BE49-F238E27FC236}">
              <a16:creationId xmlns:a16="http://schemas.microsoft.com/office/drawing/2014/main" id="{44C1F773-9D00-CC0F-FA43-CAE0326C9D78}"/>
            </a:ext>
          </a:extLst>
        </xdr:cNvPr>
        <xdr:cNvCxnSpPr/>
      </xdr:nvCxnSpPr>
      <xdr:spPr>
        <a:xfrm>
          <a:off x="2356644" y="127555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2</xdr:row>
      <xdr:rowOff>229394</xdr:rowOff>
    </xdr:from>
    <xdr:to>
      <xdr:col>6</xdr:col>
      <xdr:colOff>262731</xdr:colOff>
      <xdr:row>3</xdr:row>
      <xdr:rowOff>229393</xdr:rowOff>
    </xdr:to>
    <xdr:cxnSp macro="">
      <xdr:nvCxnSpPr>
        <xdr:cNvPr id="1068" name="Match32">
          <a:extLst>
            <a:ext uri="{FF2B5EF4-FFF2-40B4-BE49-F238E27FC236}">
              <a16:creationId xmlns:a16="http://schemas.microsoft.com/office/drawing/2014/main" id="{529FC33F-03DE-E629-A67A-16D00344B1C9}"/>
            </a:ext>
          </a:extLst>
        </xdr:cNvPr>
        <xdr:cNvCxnSpPr/>
      </xdr:nvCxnSpPr>
      <xdr:spPr>
        <a:xfrm flipV="1">
          <a:off x="2382044" y="943769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4</xdr:row>
      <xdr:rowOff>203994</xdr:rowOff>
    </xdr:from>
    <xdr:to>
      <xdr:col>5</xdr:col>
      <xdr:colOff>237331</xdr:colOff>
      <xdr:row>5</xdr:row>
      <xdr:rowOff>203993</xdr:rowOff>
    </xdr:to>
    <xdr:cxnSp macro="">
      <xdr:nvCxnSpPr>
        <xdr:cNvPr id="1069" name="Match33">
          <a:extLst>
            <a:ext uri="{FF2B5EF4-FFF2-40B4-BE49-F238E27FC236}">
              <a16:creationId xmlns:a16="http://schemas.microsoft.com/office/drawing/2014/main" id="{F967D46B-6AAE-10BA-2FA5-724501A7E7F0}"/>
            </a:ext>
          </a:extLst>
        </xdr:cNvPr>
        <xdr:cNvCxnSpPr/>
      </xdr:nvCxnSpPr>
      <xdr:spPr>
        <a:xfrm>
          <a:off x="2356644" y="163274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3</xdr:row>
      <xdr:rowOff>229393</xdr:rowOff>
    </xdr:from>
    <xdr:to>
      <xdr:col>5</xdr:col>
      <xdr:colOff>262731</xdr:colOff>
      <xdr:row>4</xdr:row>
      <xdr:rowOff>229394</xdr:rowOff>
    </xdr:to>
    <xdr:cxnSp macro="">
      <xdr:nvCxnSpPr>
        <xdr:cNvPr id="1070" name="Match34">
          <a:extLst>
            <a:ext uri="{FF2B5EF4-FFF2-40B4-BE49-F238E27FC236}">
              <a16:creationId xmlns:a16="http://schemas.microsoft.com/office/drawing/2014/main" id="{B3EDC8BD-3F9B-7062-E5A2-E2EB5D48D712}"/>
            </a:ext>
          </a:extLst>
        </xdr:cNvPr>
        <xdr:cNvCxnSpPr/>
      </xdr:nvCxnSpPr>
      <xdr:spPr>
        <a:xfrm flipV="1">
          <a:off x="2382044" y="1300956"/>
          <a:ext cx="0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4</xdr:row>
      <xdr:rowOff>229394</xdr:rowOff>
    </xdr:from>
    <xdr:to>
      <xdr:col>5</xdr:col>
      <xdr:colOff>262731</xdr:colOff>
      <xdr:row>5</xdr:row>
      <xdr:rowOff>229393</xdr:rowOff>
    </xdr:to>
    <xdr:cxnSp macro="">
      <xdr:nvCxnSpPr>
        <xdr:cNvPr id="1071" name="Match35">
          <a:extLst>
            <a:ext uri="{FF2B5EF4-FFF2-40B4-BE49-F238E27FC236}">
              <a16:creationId xmlns:a16="http://schemas.microsoft.com/office/drawing/2014/main" id="{1738529E-07A5-2CA6-1030-72D12214DCD6}"/>
            </a:ext>
          </a:extLst>
        </xdr:cNvPr>
        <xdr:cNvCxnSpPr/>
      </xdr:nvCxnSpPr>
      <xdr:spPr>
        <a:xfrm flipV="1">
          <a:off x="2382044" y="1658144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8</xdr:row>
      <xdr:rowOff>178594</xdr:rowOff>
    </xdr:from>
    <xdr:to>
      <xdr:col>9</xdr:col>
      <xdr:colOff>211931</xdr:colOff>
      <xdr:row>9</xdr:row>
      <xdr:rowOff>178593</xdr:rowOff>
    </xdr:to>
    <xdr:cxnSp macro="">
      <xdr:nvCxnSpPr>
        <xdr:cNvPr id="1072" name="Match36">
          <a:extLst>
            <a:ext uri="{FF2B5EF4-FFF2-40B4-BE49-F238E27FC236}">
              <a16:creationId xmlns:a16="http://schemas.microsoft.com/office/drawing/2014/main" id="{1148DAD3-1B4D-99EE-412D-F1A817FFBF26}"/>
            </a:ext>
          </a:extLst>
        </xdr:cNvPr>
        <xdr:cNvCxnSpPr/>
      </xdr:nvCxnSpPr>
      <xdr:spPr>
        <a:xfrm>
          <a:off x="4026694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8</xdr:row>
      <xdr:rowOff>203994</xdr:rowOff>
    </xdr:from>
    <xdr:to>
      <xdr:col>9</xdr:col>
      <xdr:colOff>237331</xdr:colOff>
      <xdr:row>9</xdr:row>
      <xdr:rowOff>203993</xdr:rowOff>
    </xdr:to>
    <xdr:cxnSp macro="">
      <xdr:nvCxnSpPr>
        <xdr:cNvPr id="1073" name="Match37">
          <a:extLst>
            <a:ext uri="{FF2B5EF4-FFF2-40B4-BE49-F238E27FC236}">
              <a16:creationId xmlns:a16="http://schemas.microsoft.com/office/drawing/2014/main" id="{516C4B3E-1DEE-06B4-8D4C-B7CF7769724F}"/>
            </a:ext>
          </a:extLst>
        </xdr:cNvPr>
        <xdr:cNvCxnSpPr/>
      </xdr:nvCxnSpPr>
      <xdr:spPr>
        <a:xfrm flipV="1">
          <a:off x="4052094" y="30614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10</xdr:row>
      <xdr:rowOff>178594</xdr:rowOff>
    </xdr:from>
    <xdr:to>
      <xdr:col>11</xdr:col>
      <xdr:colOff>211931</xdr:colOff>
      <xdr:row>10</xdr:row>
      <xdr:rowOff>178594</xdr:rowOff>
    </xdr:to>
    <xdr:cxnSp macro="">
      <xdr:nvCxnSpPr>
        <xdr:cNvPr id="1074" name="Match38">
          <a:extLst>
            <a:ext uri="{FF2B5EF4-FFF2-40B4-BE49-F238E27FC236}">
              <a16:creationId xmlns:a16="http://schemas.microsoft.com/office/drawing/2014/main" id="{F4C0F98F-31CE-AC86-D52D-9166244F83CF}"/>
            </a:ext>
          </a:extLst>
        </xdr:cNvPr>
        <xdr:cNvCxnSpPr/>
      </xdr:nvCxnSpPr>
      <xdr:spPr>
        <a:xfrm flipH="1">
          <a:off x="2331244" y="3750469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0</xdr:row>
      <xdr:rowOff>178594</xdr:rowOff>
    </xdr:from>
    <xdr:to>
      <xdr:col>1</xdr:col>
      <xdr:colOff>211931</xdr:colOff>
      <xdr:row>1</xdr:row>
      <xdr:rowOff>178593</xdr:rowOff>
    </xdr:to>
    <xdr:cxnSp macro="">
      <xdr:nvCxnSpPr>
        <xdr:cNvPr id="1075" name="Match39">
          <a:extLst>
            <a:ext uri="{FF2B5EF4-FFF2-40B4-BE49-F238E27FC236}">
              <a16:creationId xmlns:a16="http://schemas.microsoft.com/office/drawing/2014/main" id="{B740B21F-47DD-2359-DA8F-7109643789EF}"/>
            </a:ext>
          </a:extLst>
        </xdr:cNvPr>
        <xdr:cNvCxnSpPr/>
      </xdr:nvCxnSpPr>
      <xdr:spPr>
        <a:xfrm>
          <a:off x="635794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0</xdr:row>
      <xdr:rowOff>178594</xdr:rowOff>
    </xdr:from>
    <xdr:to>
      <xdr:col>2</xdr:col>
      <xdr:colOff>211931</xdr:colOff>
      <xdr:row>1</xdr:row>
      <xdr:rowOff>178593</xdr:rowOff>
    </xdr:to>
    <xdr:cxnSp macro="">
      <xdr:nvCxnSpPr>
        <xdr:cNvPr id="1076" name="Match40">
          <a:extLst>
            <a:ext uri="{FF2B5EF4-FFF2-40B4-BE49-F238E27FC236}">
              <a16:creationId xmlns:a16="http://schemas.microsoft.com/office/drawing/2014/main" id="{2DC25DB0-4C61-AF38-3783-D509CE65BF4C}"/>
            </a:ext>
          </a:extLst>
        </xdr:cNvPr>
        <xdr:cNvCxnSpPr/>
      </xdr:nvCxnSpPr>
      <xdr:spPr>
        <a:xfrm flipH="1">
          <a:off x="635794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0</xdr:row>
      <xdr:rowOff>178594</xdr:rowOff>
    </xdr:from>
    <xdr:to>
      <xdr:col>11</xdr:col>
      <xdr:colOff>211931</xdr:colOff>
      <xdr:row>1</xdr:row>
      <xdr:rowOff>178593</xdr:rowOff>
    </xdr:to>
    <xdr:cxnSp macro="">
      <xdr:nvCxnSpPr>
        <xdr:cNvPr id="1077" name="Match41">
          <a:extLst>
            <a:ext uri="{FF2B5EF4-FFF2-40B4-BE49-F238E27FC236}">
              <a16:creationId xmlns:a16="http://schemas.microsoft.com/office/drawing/2014/main" id="{C4C19CE3-C443-1A8C-9D40-4D0184AAB46C}"/>
            </a:ext>
          </a:extLst>
        </xdr:cNvPr>
        <xdr:cNvCxnSpPr/>
      </xdr:nvCxnSpPr>
      <xdr:spPr>
        <a:xfrm flipV="1">
          <a:off x="4874419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2</xdr:row>
      <xdr:rowOff>203994</xdr:rowOff>
    </xdr:from>
    <xdr:to>
      <xdr:col>0</xdr:col>
      <xdr:colOff>237331</xdr:colOff>
      <xdr:row>3</xdr:row>
      <xdr:rowOff>203993</xdr:rowOff>
    </xdr:to>
    <xdr:cxnSp macro="">
      <xdr:nvCxnSpPr>
        <xdr:cNvPr id="1078" name="Match42">
          <a:extLst>
            <a:ext uri="{FF2B5EF4-FFF2-40B4-BE49-F238E27FC236}">
              <a16:creationId xmlns:a16="http://schemas.microsoft.com/office/drawing/2014/main" id="{19051152-0443-5895-B4A7-1621D8E7C325}"/>
            </a:ext>
          </a:extLst>
        </xdr:cNvPr>
        <xdr:cNvCxnSpPr/>
      </xdr:nvCxnSpPr>
      <xdr:spPr>
        <a:xfrm>
          <a:off x="237331" y="9183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262731</xdr:colOff>
      <xdr:row>1</xdr:row>
      <xdr:rowOff>229393</xdr:rowOff>
    </xdr:from>
    <xdr:to>
      <xdr:col>1</xdr:col>
      <xdr:colOff>262731</xdr:colOff>
      <xdr:row>2</xdr:row>
      <xdr:rowOff>229394</xdr:rowOff>
    </xdr:to>
    <xdr:cxnSp macro="">
      <xdr:nvCxnSpPr>
        <xdr:cNvPr id="1079" name="Match43">
          <a:extLst>
            <a:ext uri="{FF2B5EF4-FFF2-40B4-BE49-F238E27FC236}">
              <a16:creationId xmlns:a16="http://schemas.microsoft.com/office/drawing/2014/main" id="{45D0F83D-26E0-E956-36DE-9A0AAB195C7B}"/>
            </a:ext>
          </a:extLst>
        </xdr:cNvPr>
        <xdr:cNvCxnSpPr/>
      </xdr:nvCxnSpPr>
      <xdr:spPr>
        <a:xfrm flipV="1">
          <a:off x="262731" y="586581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2</xdr:row>
      <xdr:rowOff>178594</xdr:rowOff>
    </xdr:from>
    <xdr:to>
      <xdr:col>7</xdr:col>
      <xdr:colOff>211931</xdr:colOff>
      <xdr:row>2</xdr:row>
      <xdr:rowOff>178594</xdr:rowOff>
    </xdr:to>
    <xdr:cxnSp macro="">
      <xdr:nvCxnSpPr>
        <xdr:cNvPr id="1080" name="Match44">
          <a:extLst>
            <a:ext uri="{FF2B5EF4-FFF2-40B4-BE49-F238E27FC236}">
              <a16:creationId xmlns:a16="http://schemas.microsoft.com/office/drawing/2014/main" id="{77F1D14D-FFB6-6AE9-861C-62B5D0DE0DE8}"/>
            </a:ext>
          </a:extLst>
        </xdr:cNvPr>
        <xdr:cNvCxnSpPr/>
      </xdr:nvCxnSpPr>
      <xdr:spPr>
        <a:xfrm flipH="1">
          <a:off x="2755106" y="8929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1</xdr:row>
      <xdr:rowOff>203993</xdr:rowOff>
    </xdr:from>
    <xdr:to>
      <xdr:col>8</xdr:col>
      <xdr:colOff>237331</xdr:colOff>
      <xdr:row>2</xdr:row>
      <xdr:rowOff>203994</xdr:rowOff>
    </xdr:to>
    <xdr:cxnSp macro="">
      <xdr:nvCxnSpPr>
        <xdr:cNvPr id="1081" name="Match45">
          <a:extLst>
            <a:ext uri="{FF2B5EF4-FFF2-40B4-BE49-F238E27FC236}">
              <a16:creationId xmlns:a16="http://schemas.microsoft.com/office/drawing/2014/main" id="{68F5573E-7617-DBB6-B348-9FC5A95F5C27}"/>
            </a:ext>
          </a:extLst>
        </xdr:cNvPr>
        <xdr:cNvCxnSpPr/>
      </xdr:nvCxnSpPr>
      <xdr:spPr>
        <a:xfrm flipV="1">
          <a:off x="3204369" y="5611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5</xdr:row>
      <xdr:rowOff>178593</xdr:rowOff>
    </xdr:from>
    <xdr:to>
      <xdr:col>5</xdr:col>
      <xdr:colOff>211931</xdr:colOff>
      <xdr:row>5</xdr:row>
      <xdr:rowOff>178593</xdr:rowOff>
    </xdr:to>
    <xdr:cxnSp macro="">
      <xdr:nvCxnSpPr>
        <xdr:cNvPr id="1082" name="Match46">
          <a:extLst>
            <a:ext uri="{FF2B5EF4-FFF2-40B4-BE49-F238E27FC236}">
              <a16:creationId xmlns:a16="http://schemas.microsoft.com/office/drawing/2014/main" id="{0949FDE6-08B6-29B7-9DE2-993DBC817528}"/>
            </a:ext>
          </a:extLst>
        </xdr:cNvPr>
        <xdr:cNvCxnSpPr/>
      </xdr:nvCxnSpPr>
      <xdr:spPr>
        <a:xfrm>
          <a:off x="1907381" y="196453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5</xdr:row>
      <xdr:rowOff>203993</xdr:rowOff>
    </xdr:from>
    <xdr:to>
      <xdr:col>4</xdr:col>
      <xdr:colOff>237331</xdr:colOff>
      <xdr:row>5</xdr:row>
      <xdr:rowOff>203993</xdr:rowOff>
    </xdr:to>
    <xdr:cxnSp macro="">
      <xdr:nvCxnSpPr>
        <xdr:cNvPr id="1083" name="Match47">
          <a:extLst>
            <a:ext uri="{FF2B5EF4-FFF2-40B4-BE49-F238E27FC236}">
              <a16:creationId xmlns:a16="http://schemas.microsoft.com/office/drawing/2014/main" id="{F3475238-A735-7637-90DC-B89DA922018E}"/>
            </a:ext>
          </a:extLst>
        </xdr:cNvPr>
        <xdr:cNvCxnSpPr/>
      </xdr:nvCxnSpPr>
      <xdr:spPr>
        <a:xfrm flipH="1">
          <a:off x="1508919" y="1989931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262731</xdr:colOff>
      <xdr:row>4</xdr:row>
      <xdr:rowOff>229394</xdr:rowOff>
    </xdr:from>
    <xdr:to>
      <xdr:col>5</xdr:col>
      <xdr:colOff>262731</xdr:colOff>
      <xdr:row>5</xdr:row>
      <xdr:rowOff>229393</xdr:rowOff>
    </xdr:to>
    <xdr:cxnSp macro="">
      <xdr:nvCxnSpPr>
        <xdr:cNvPr id="1084" name="Match48">
          <a:extLst>
            <a:ext uri="{FF2B5EF4-FFF2-40B4-BE49-F238E27FC236}">
              <a16:creationId xmlns:a16="http://schemas.microsoft.com/office/drawing/2014/main" id="{0E543AF0-BD3E-C95E-C5B6-8B5E01872322}"/>
            </a:ext>
          </a:extLst>
        </xdr:cNvPr>
        <xdr:cNvCxnSpPr/>
      </xdr:nvCxnSpPr>
      <xdr:spPr>
        <a:xfrm flipV="1">
          <a:off x="1958181" y="1658144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7</xdr:row>
      <xdr:rowOff>178593</xdr:rowOff>
    </xdr:from>
    <xdr:to>
      <xdr:col>6</xdr:col>
      <xdr:colOff>211931</xdr:colOff>
      <xdr:row>8</xdr:row>
      <xdr:rowOff>178594</xdr:rowOff>
    </xdr:to>
    <xdr:cxnSp macro="">
      <xdr:nvCxnSpPr>
        <xdr:cNvPr id="1085" name="Match49">
          <a:extLst>
            <a:ext uri="{FF2B5EF4-FFF2-40B4-BE49-F238E27FC236}">
              <a16:creationId xmlns:a16="http://schemas.microsoft.com/office/drawing/2014/main" id="{EA7DDC4F-73AF-D012-5CE0-11298200E274}"/>
            </a:ext>
          </a:extLst>
        </xdr:cNvPr>
        <xdr:cNvCxnSpPr/>
      </xdr:nvCxnSpPr>
      <xdr:spPr>
        <a:xfrm flipV="1">
          <a:off x="2755106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9</xdr:row>
      <xdr:rowOff>178593</xdr:rowOff>
    </xdr:from>
    <xdr:to>
      <xdr:col>3</xdr:col>
      <xdr:colOff>211931</xdr:colOff>
      <xdr:row>10</xdr:row>
      <xdr:rowOff>178594</xdr:rowOff>
    </xdr:to>
    <xdr:cxnSp macro="">
      <xdr:nvCxnSpPr>
        <xdr:cNvPr id="1086" name="Match50">
          <a:extLst>
            <a:ext uri="{FF2B5EF4-FFF2-40B4-BE49-F238E27FC236}">
              <a16:creationId xmlns:a16="http://schemas.microsoft.com/office/drawing/2014/main" id="{1438DD18-5A71-4831-652B-CA9D808DB619}"/>
            </a:ext>
          </a:extLst>
        </xdr:cNvPr>
        <xdr:cNvCxnSpPr/>
      </xdr:nvCxnSpPr>
      <xdr:spPr>
        <a:xfrm flipV="1">
          <a:off x="1483519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0</xdr:row>
      <xdr:rowOff>178594</xdr:rowOff>
    </xdr:from>
    <xdr:to>
      <xdr:col>2</xdr:col>
      <xdr:colOff>211931</xdr:colOff>
      <xdr:row>0</xdr:row>
      <xdr:rowOff>178594</xdr:rowOff>
    </xdr:to>
    <xdr:cxnSp macro="">
      <xdr:nvCxnSpPr>
        <xdr:cNvPr id="1087" name="Match51">
          <a:extLst>
            <a:ext uri="{FF2B5EF4-FFF2-40B4-BE49-F238E27FC236}">
              <a16:creationId xmlns:a16="http://schemas.microsoft.com/office/drawing/2014/main" id="{A059C54C-0D46-3616-3A85-D95E9FEB4C80}"/>
            </a:ext>
          </a:extLst>
        </xdr:cNvPr>
        <xdr:cNvCxnSpPr/>
      </xdr:nvCxnSpPr>
      <xdr:spPr>
        <a:xfrm>
          <a:off x="211931" y="17859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262731</xdr:colOff>
      <xdr:row>1</xdr:row>
      <xdr:rowOff>229393</xdr:rowOff>
    </xdr:from>
    <xdr:to>
      <xdr:col>3</xdr:col>
      <xdr:colOff>262731</xdr:colOff>
      <xdr:row>5</xdr:row>
      <xdr:rowOff>229393</xdr:rowOff>
    </xdr:to>
    <xdr:cxnSp macro="">
      <xdr:nvCxnSpPr>
        <xdr:cNvPr id="1408" name="Match52">
          <a:extLst>
            <a:ext uri="{FF2B5EF4-FFF2-40B4-BE49-F238E27FC236}">
              <a16:creationId xmlns:a16="http://schemas.microsoft.com/office/drawing/2014/main" id="{1CF1F8E5-5598-B805-BEBC-AA6DF40A7CA0}"/>
            </a:ext>
          </a:extLst>
        </xdr:cNvPr>
        <xdr:cNvCxnSpPr/>
      </xdr:nvCxnSpPr>
      <xdr:spPr>
        <a:xfrm flipV="1">
          <a:off x="1534319" y="586581"/>
          <a:ext cx="0" cy="142875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11</xdr:row>
      <xdr:rowOff>178593</xdr:rowOff>
    </xdr:from>
    <xdr:to>
      <xdr:col>9</xdr:col>
      <xdr:colOff>211931</xdr:colOff>
      <xdr:row>11</xdr:row>
      <xdr:rowOff>178593</xdr:rowOff>
    </xdr:to>
    <xdr:cxnSp macro="">
      <xdr:nvCxnSpPr>
        <xdr:cNvPr id="1409" name="Match53">
          <a:extLst>
            <a:ext uri="{FF2B5EF4-FFF2-40B4-BE49-F238E27FC236}">
              <a16:creationId xmlns:a16="http://schemas.microsoft.com/office/drawing/2014/main" id="{B8F2F217-A1AF-258B-A610-7D614AF12E90}"/>
            </a:ext>
          </a:extLst>
        </xdr:cNvPr>
        <xdr:cNvCxnSpPr/>
      </xdr:nvCxnSpPr>
      <xdr:spPr>
        <a:xfrm>
          <a:off x="2755106" y="4107656"/>
          <a:ext cx="1271588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2</xdr:row>
      <xdr:rowOff>203994</xdr:rowOff>
    </xdr:from>
    <xdr:to>
      <xdr:col>10</xdr:col>
      <xdr:colOff>237331</xdr:colOff>
      <xdr:row>6</xdr:row>
      <xdr:rowOff>203994</xdr:rowOff>
    </xdr:to>
    <xdr:cxnSp macro="">
      <xdr:nvCxnSpPr>
        <xdr:cNvPr id="1410" name="Match54">
          <a:extLst>
            <a:ext uri="{FF2B5EF4-FFF2-40B4-BE49-F238E27FC236}">
              <a16:creationId xmlns:a16="http://schemas.microsoft.com/office/drawing/2014/main" id="{833C326D-AB3F-493D-EBDB-3C6F4A1BD047}"/>
            </a:ext>
          </a:extLst>
        </xdr:cNvPr>
        <xdr:cNvCxnSpPr/>
      </xdr:nvCxnSpPr>
      <xdr:spPr>
        <a:xfrm>
          <a:off x="2780506" y="918369"/>
          <a:ext cx="1695450" cy="142875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7</xdr:row>
      <xdr:rowOff>178593</xdr:rowOff>
    </xdr:from>
    <xdr:to>
      <xdr:col>9</xdr:col>
      <xdr:colOff>211931</xdr:colOff>
      <xdr:row>7</xdr:row>
      <xdr:rowOff>178593</xdr:rowOff>
    </xdr:to>
    <xdr:cxnSp macro="">
      <xdr:nvCxnSpPr>
        <xdr:cNvPr id="1411" name="Match55">
          <a:extLst>
            <a:ext uri="{FF2B5EF4-FFF2-40B4-BE49-F238E27FC236}">
              <a16:creationId xmlns:a16="http://schemas.microsoft.com/office/drawing/2014/main" id="{3769F4EC-7F19-BA90-B9DB-8FF999A9E74A}"/>
            </a:ext>
          </a:extLst>
        </xdr:cNvPr>
        <xdr:cNvCxnSpPr/>
      </xdr:nvCxnSpPr>
      <xdr:spPr>
        <a:xfrm flipH="1">
          <a:off x="1907381" y="2678906"/>
          <a:ext cx="211931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1341EC4-8ED9-AE89-EA17-95340794DA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E8" sqref="E8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2">
        <v>7</v>
      </c>
      <c r="B1" s="22">
        <v>4</v>
      </c>
      <c r="C1" s="22">
        <v>4</v>
      </c>
      <c r="D1" s="23">
        <v>5</v>
      </c>
      <c r="E1" s="27">
        <v>1</v>
      </c>
      <c r="F1" s="27">
        <v>8</v>
      </c>
      <c r="G1" s="27">
        <v>6</v>
      </c>
      <c r="H1" s="23">
        <v>2</v>
      </c>
      <c r="I1" s="27">
        <v>8</v>
      </c>
      <c r="J1" s="27">
        <v>8</v>
      </c>
      <c r="K1" s="23">
        <v>7</v>
      </c>
      <c r="L1" s="23">
        <v>2</v>
      </c>
      <c r="N1" s="2">
        <v>334</v>
      </c>
      <c r="O1" s="1">
        <v>1</v>
      </c>
    </row>
    <row r="2" spans="1:15" s="2" customFormat="1" ht="28.25" customHeight="1">
      <c r="A2" s="27">
        <v>3</v>
      </c>
      <c r="B2" s="23">
        <v>2</v>
      </c>
      <c r="C2" s="27">
        <v>8</v>
      </c>
      <c r="D2" s="22">
        <v>4</v>
      </c>
      <c r="E2" s="23">
        <v>5</v>
      </c>
      <c r="F2" s="27">
        <v>9</v>
      </c>
      <c r="G2" s="27">
        <v>3</v>
      </c>
      <c r="H2" s="27">
        <v>9</v>
      </c>
      <c r="I2" s="23">
        <v>2</v>
      </c>
      <c r="J2" s="27">
        <v>5</v>
      </c>
      <c r="K2" s="27">
        <v>8</v>
      </c>
      <c r="L2" s="23">
        <v>4</v>
      </c>
      <c r="N2" s="2">
        <v>6831</v>
      </c>
      <c r="O2" s="2">
        <v>1</v>
      </c>
    </row>
    <row r="3" spans="1:15" ht="28.25" customHeight="1">
      <c r="A3" s="22">
        <v>4</v>
      </c>
      <c r="B3" s="22">
        <v>7</v>
      </c>
      <c r="C3" s="22">
        <v>9</v>
      </c>
      <c r="D3" s="22">
        <v>1</v>
      </c>
      <c r="E3" s="27">
        <v>1</v>
      </c>
      <c r="F3" s="27">
        <v>6</v>
      </c>
      <c r="G3" s="22">
        <v>2</v>
      </c>
      <c r="H3" s="23">
        <v>4</v>
      </c>
      <c r="I3" s="27">
        <v>1</v>
      </c>
      <c r="J3" s="27">
        <v>3</v>
      </c>
      <c r="K3" s="27">
        <v>8</v>
      </c>
      <c r="L3" s="27">
        <v>9</v>
      </c>
      <c r="N3" s="2">
        <v>1577719</v>
      </c>
      <c r="O3" s="1">
        <v>1</v>
      </c>
    </row>
    <row r="4" spans="1:15" ht="28.25" customHeight="1">
      <c r="A4" s="23">
        <v>2</v>
      </c>
      <c r="B4" s="23">
        <v>9</v>
      </c>
      <c r="C4" s="27">
        <v>7</v>
      </c>
      <c r="D4" s="22">
        <v>9</v>
      </c>
      <c r="E4" s="23">
        <v>7</v>
      </c>
      <c r="F4" s="23">
        <v>2</v>
      </c>
      <c r="G4" s="22">
        <v>6</v>
      </c>
      <c r="H4" s="22">
        <v>3</v>
      </c>
      <c r="I4" s="22">
        <v>1</v>
      </c>
      <c r="J4" s="22">
        <v>3</v>
      </c>
      <c r="K4" s="22">
        <v>8</v>
      </c>
      <c r="L4" s="22">
        <v>6</v>
      </c>
      <c r="N4" s="2">
        <v>479</v>
      </c>
      <c r="O4" s="1">
        <v>2</v>
      </c>
    </row>
    <row r="5" spans="1:15" ht="28.25" customHeight="1">
      <c r="A5" s="27">
        <v>9</v>
      </c>
      <c r="B5" s="23">
        <v>7</v>
      </c>
      <c r="C5" s="27">
        <v>9</v>
      </c>
      <c r="D5" s="22">
        <v>5</v>
      </c>
      <c r="E5" s="27">
        <v>8</v>
      </c>
      <c r="F5" s="22">
        <v>2</v>
      </c>
      <c r="G5" s="27">
        <v>9</v>
      </c>
      <c r="H5" s="22">
        <v>6</v>
      </c>
      <c r="I5" s="22">
        <v>1</v>
      </c>
      <c r="J5" s="27">
        <v>5</v>
      </c>
      <c r="K5" s="27">
        <v>7</v>
      </c>
      <c r="L5" s="27">
        <v>3</v>
      </c>
      <c r="N5" s="2">
        <v>66561</v>
      </c>
      <c r="O5" s="1">
        <v>1</v>
      </c>
    </row>
    <row r="6" spans="1:15" ht="28.25" customHeight="1">
      <c r="A6" s="27">
        <v>6</v>
      </c>
      <c r="B6" s="23">
        <v>4</v>
      </c>
      <c r="C6" s="27">
        <v>8</v>
      </c>
      <c r="D6" s="22">
        <v>2</v>
      </c>
      <c r="E6" s="22">
        <v>4</v>
      </c>
      <c r="F6" s="22">
        <v>2</v>
      </c>
      <c r="G6" s="27">
        <v>3</v>
      </c>
      <c r="H6" s="27">
        <v>3</v>
      </c>
      <c r="I6" s="22">
        <v>5</v>
      </c>
      <c r="J6" s="22">
        <v>1</v>
      </c>
      <c r="K6" s="27">
        <v>8</v>
      </c>
      <c r="L6" s="27">
        <v>1</v>
      </c>
      <c r="N6" s="2">
        <v>27</v>
      </c>
      <c r="O6" s="1">
        <v>14</v>
      </c>
    </row>
    <row r="7" spans="1:15" ht="28.25" customHeight="1">
      <c r="A7" s="27">
        <v>9</v>
      </c>
      <c r="B7" s="22">
        <v>9</v>
      </c>
      <c r="C7" s="22">
        <v>1</v>
      </c>
      <c r="D7" s="22">
        <v>7</v>
      </c>
      <c r="E7" s="22">
        <v>7</v>
      </c>
      <c r="F7" s="22">
        <v>7</v>
      </c>
      <c r="G7" s="22">
        <v>5</v>
      </c>
      <c r="H7" s="22">
        <v>1</v>
      </c>
      <c r="I7" s="27">
        <v>6</v>
      </c>
      <c r="J7" s="22">
        <v>6</v>
      </c>
      <c r="K7" s="22">
        <v>6</v>
      </c>
      <c r="L7" s="27">
        <v>6</v>
      </c>
      <c r="N7" s="2">
        <v>54</v>
      </c>
      <c r="O7" s="1">
        <v>8</v>
      </c>
    </row>
    <row r="8" spans="1:15" ht="28.25" customHeight="1">
      <c r="A8" s="27">
        <v>3</v>
      </c>
      <c r="B8" s="27">
        <v>6</v>
      </c>
      <c r="C8" s="27">
        <v>6</v>
      </c>
      <c r="D8" s="27">
        <v>6</v>
      </c>
      <c r="E8" s="22">
        <v>1</v>
      </c>
      <c r="F8" s="22">
        <v>3</v>
      </c>
      <c r="G8" s="22">
        <v>2</v>
      </c>
      <c r="H8" s="22">
        <v>6</v>
      </c>
      <c r="I8" s="22">
        <v>1</v>
      </c>
      <c r="J8" s="22">
        <v>1</v>
      </c>
      <c r="K8" s="22">
        <v>1</v>
      </c>
      <c r="L8" s="27">
        <v>9</v>
      </c>
      <c r="N8" s="2">
        <v>22</v>
      </c>
      <c r="O8" s="1">
        <v>10</v>
      </c>
    </row>
    <row r="9" spans="1:15" ht="28.25" customHeight="1">
      <c r="A9" s="27">
        <v>2</v>
      </c>
      <c r="B9" s="27">
        <v>9</v>
      </c>
      <c r="C9" s="27">
        <v>9</v>
      </c>
      <c r="D9" s="27">
        <v>8</v>
      </c>
      <c r="E9" s="27">
        <v>8</v>
      </c>
      <c r="F9" s="23">
        <v>7</v>
      </c>
      <c r="G9" s="23">
        <v>4</v>
      </c>
      <c r="H9" s="27">
        <v>6</v>
      </c>
      <c r="I9" s="27">
        <v>5</v>
      </c>
      <c r="J9" s="23">
        <v>2</v>
      </c>
      <c r="K9" s="27">
        <v>9</v>
      </c>
      <c r="L9" s="27">
        <v>7</v>
      </c>
      <c r="N9" s="2">
        <v>3766587</v>
      </c>
      <c r="O9" s="1">
        <v>1</v>
      </c>
    </row>
    <row r="10" spans="1:15" ht="28.25" customHeight="1">
      <c r="A10" s="27">
        <v>1</v>
      </c>
      <c r="B10" s="27">
        <v>3</v>
      </c>
      <c r="C10" s="27">
        <v>9</v>
      </c>
      <c r="D10" s="23">
        <v>2</v>
      </c>
      <c r="E10" s="27">
        <v>1</v>
      </c>
      <c r="F10" s="23">
        <v>5</v>
      </c>
      <c r="G10" s="27">
        <v>3</v>
      </c>
      <c r="H10" s="27">
        <v>3</v>
      </c>
      <c r="I10" s="27">
        <v>9</v>
      </c>
      <c r="J10" s="23">
        <v>2</v>
      </c>
      <c r="K10" s="27">
        <v>6</v>
      </c>
      <c r="L10" s="27">
        <v>1</v>
      </c>
      <c r="N10" s="2">
        <v>42</v>
      </c>
      <c r="O10" s="1">
        <v>12</v>
      </c>
    </row>
    <row r="11" spans="1:15" ht="28.25" customHeight="1">
      <c r="A11" s="27">
        <v>9</v>
      </c>
      <c r="B11" s="27">
        <v>8</v>
      </c>
      <c r="C11" s="27">
        <v>3</v>
      </c>
      <c r="D11" s="23">
        <v>4</v>
      </c>
      <c r="E11" s="23">
        <v>5</v>
      </c>
      <c r="F11" s="22">
        <v>7</v>
      </c>
      <c r="G11" s="22">
        <v>8</v>
      </c>
      <c r="H11" s="22">
        <v>5</v>
      </c>
      <c r="I11" s="22">
        <v>6</v>
      </c>
      <c r="J11" s="22">
        <v>6</v>
      </c>
      <c r="K11" s="22">
        <v>7</v>
      </c>
      <c r="L11" s="22">
        <v>3</v>
      </c>
      <c r="N11" s="2">
        <v>744</v>
      </c>
      <c r="O11" s="1">
        <v>1</v>
      </c>
    </row>
    <row r="12" spans="1:15" ht="28.25" customHeight="1">
      <c r="A12" s="22">
        <v>3</v>
      </c>
      <c r="B12" s="22">
        <v>3</v>
      </c>
      <c r="C12" s="22">
        <v>4</v>
      </c>
      <c r="D12" s="27">
        <v>1</v>
      </c>
      <c r="E12" s="23">
        <v>4</v>
      </c>
      <c r="F12" s="23">
        <v>5</v>
      </c>
      <c r="G12" s="22">
        <v>9</v>
      </c>
      <c r="H12" s="22">
        <v>5</v>
      </c>
      <c r="I12" s="22">
        <v>9</v>
      </c>
      <c r="J12" s="22">
        <v>1</v>
      </c>
      <c r="K12" s="27">
        <v>4</v>
      </c>
      <c r="L12" s="27">
        <v>8</v>
      </c>
      <c r="N12" s="2">
        <v>25914</v>
      </c>
      <c r="O12" s="1">
        <v>1</v>
      </c>
    </row>
    <row r="13" spans="1:15" ht="28.25" customHeight="1">
      <c r="N13" s="2">
        <v>9591</v>
      </c>
      <c r="O13" s="1">
        <v>1</v>
      </c>
    </row>
    <row r="14" spans="1:15" ht="28.25" customHeight="1">
      <c r="N14" s="2">
        <v>23116</v>
      </c>
      <c r="O14" s="1">
        <v>1</v>
      </c>
    </row>
    <row r="15" spans="1:15" ht="28.25" customHeight="1">
      <c r="N15" s="2">
        <v>116231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294"/>
  <sheetViews>
    <sheetView tabSelected="1" zoomScaleNormal="100" workbookViewId="0">
      <pane ySplit="2" topLeftCell="A289" activePane="bottomLeft" state="frozen"/>
      <selection pane="bottomLeft" activeCell="A294" sqref="A294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437</v>
      </c>
      <c r="L2" s="4" t="s">
        <v>163</v>
      </c>
      <c r="M2" s="4" t="s">
        <v>249</v>
      </c>
      <c r="N2" s="4" t="s">
        <v>178</v>
      </c>
      <c r="O2" s="4" t="s">
        <v>487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510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17" si="192">IF(A211&gt;=DATEVALUE("2025/11/8")+TIMEVALUE("6:00"),1,0)-IF(A210&gt;=DATEVALUE("2025/11/8")+TIMEVALUE("6:00"),1,0)
+IF(A211&gt;=DATEVALUE("2026/1/22")+TIMEVALUE("6:00"),3,0)-IF(A210&gt;=DATEVALUE("2026/1/22")+TIMEVALUE("6:00"),3,0)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511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511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488</v>
      </c>
      <c r="I218" t="s">
        <v>489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ref="O218" si="235">IF(A218&gt;=DATEVALUE("2025/11/8")+TIMEVALUE("6:00"),1,0)-IF(A217&gt;=DATEVALUE("2025/11/8")+TIMEVALUE("6:00"),1,0)
+IF(A218&gt;=DATEVALUE("2026/1/22")+TIMEVALUE("6:00"),3,0)-IF(A217&gt;=DATEVALUE("2026/1/22")+TIMEVALUE("6:00"),3,0)</f>
        <v>0</v>
      </c>
      <c r="P218" t="str">
        <f t="shared" ref="P218" si="236">IF(L218&lt;N218,"未達成（"&amp;N218-L218&amp;"）",IF(L218=N218,"達成","前倒し（"&amp;L218-N218&amp;"）"))</f>
        <v>未達成（4）</v>
      </c>
      <c r="Q218">
        <f t="shared" ref="Q218" si="237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490</v>
      </c>
      <c r="I219" t="s">
        <v>491</v>
      </c>
      <c r="J219">
        <v>0</v>
      </c>
      <c r="K219">
        <f t="shared" ref="K219" si="238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9">L218+K219</f>
        <v>261</v>
      </c>
      <c r="M219">
        <f t="shared" ref="M219" si="240">2+IF(A219&gt;=DATEVALUE("2025/11/30")+TIMEVALUE("6:00"),1,0)+IF(A219&gt;=DATEVALUE("2025/12/11")+TIMEVALUE("6:00"),1,0)</f>
        <v>4</v>
      </c>
      <c r="N219">
        <f t="shared" ref="N219" si="241">N218+M219*(INT(A219-6/24)-INT(A218-6/24))+O219</f>
        <v>263</v>
      </c>
      <c r="O219">
        <f t="shared" ref="O219" si="242">IF(A219&gt;=DATEVALUE("2025/11/8")+TIMEVALUE("6:00"),1,0)-IF(A218&gt;=DATEVALUE("2025/11/8")+TIMEVALUE("6:00"),1,0)
+IF(A219&gt;=DATEVALUE("2026/1/22")+TIMEVALUE("6:00"),3,0)-IF(A218&gt;=DATEVALUE("2026/1/22")+TIMEVALUE("6:00"),3,0)</f>
        <v>0</v>
      </c>
      <c r="P219" t="str">
        <f t="shared" ref="P219" si="243">IF(L219&lt;N219,"未達成（"&amp;N219-L219&amp;"）",IF(L219=N219,"達成","前倒し（"&amp;L219-N219&amp;"）"))</f>
        <v>未達成（2）</v>
      </c>
      <c r="Q219">
        <f t="shared" ref="Q219" si="244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492</v>
      </c>
      <c r="I220" t="s">
        <v>493</v>
      </c>
      <c r="J220">
        <v>0</v>
      </c>
      <c r="K220">
        <f t="shared" ref="K220" si="245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6">L219+K220</f>
        <v>263</v>
      </c>
      <c r="M220">
        <f t="shared" ref="M220" si="247">2+IF(A220&gt;=DATEVALUE("2025/11/30")+TIMEVALUE("6:00"),1,0)+IF(A220&gt;=DATEVALUE("2025/12/11")+TIMEVALUE("6:00"),1,0)</f>
        <v>4</v>
      </c>
      <c r="N220">
        <f t="shared" ref="N220" si="248">N219+M220*(INT(A220-6/24)-INT(A219-6/24))+O220</f>
        <v>263</v>
      </c>
      <c r="O220">
        <f t="shared" ref="O220" si="249">IF(A220&gt;=DATEVALUE("2025/11/8")+TIMEVALUE("6:00"),1,0)-IF(A219&gt;=DATEVALUE("2025/11/8")+TIMEVALUE("6:00"),1,0)
+IF(A220&gt;=DATEVALUE("2026/1/22")+TIMEVALUE("6:00"),3,0)-IF(A219&gt;=DATEVALUE("2026/1/22")+TIMEVALUE("6:00"),3,0)</f>
        <v>0</v>
      </c>
      <c r="P220" t="str">
        <f t="shared" ref="P220" si="250">IF(L220&lt;N220,"未達成（"&amp;N220-L220&amp;"）",IF(L220=N220,"達成","前倒し（"&amp;L220-N220&amp;"）"))</f>
        <v>達成</v>
      </c>
      <c r="Q220">
        <f t="shared" ref="Q220" si="251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494</v>
      </c>
      <c r="I221" t="s">
        <v>495</v>
      </c>
      <c r="J221">
        <v>0</v>
      </c>
      <c r="K221">
        <f t="shared" ref="K221" si="252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3">L220+K221</f>
        <v>265</v>
      </c>
      <c r="M221">
        <f t="shared" ref="M221" si="254">2+IF(A221&gt;=DATEVALUE("2025/11/30")+TIMEVALUE("6:00"),1,0)+IF(A221&gt;=DATEVALUE("2025/12/11")+TIMEVALUE("6:00"),1,0)</f>
        <v>4</v>
      </c>
      <c r="N221">
        <f t="shared" ref="N221" si="255">N220+M221*(INT(A221-6/24)-INT(A220-6/24))+O221</f>
        <v>267</v>
      </c>
      <c r="O221">
        <f t="shared" ref="O221" si="256">IF(A221&gt;=DATEVALUE("2025/11/8")+TIMEVALUE("6:00"),1,0)-IF(A220&gt;=DATEVALUE("2025/11/8")+TIMEVALUE("6:00"),1,0)
+IF(A221&gt;=DATEVALUE("2026/1/22")+TIMEVALUE("6:00"),3,0)-IF(A220&gt;=DATEVALUE("2026/1/22")+TIMEVALUE("6:00"),3,0)</f>
        <v>0</v>
      </c>
      <c r="P221" t="str">
        <f t="shared" ref="P221" si="257">IF(L221&lt;N221,"未達成（"&amp;N221-L221&amp;"）",IF(L221=N221,"達成","前倒し（"&amp;L221-N221&amp;"）"))</f>
        <v>未達成（2）</v>
      </c>
      <c r="Q221">
        <f t="shared" ref="Q221" si="258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496</v>
      </c>
      <c r="I222" t="s">
        <v>497</v>
      </c>
      <c r="J222">
        <v>0</v>
      </c>
      <c r="K222">
        <f t="shared" ref="K222" si="259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60">L221+K222</f>
        <v>267</v>
      </c>
      <c r="M222">
        <f t="shared" ref="M222" si="261">2+IF(A222&gt;=DATEVALUE("2025/11/30")+TIMEVALUE("6:00"),1,0)+IF(A222&gt;=DATEVALUE("2025/12/11")+TIMEVALUE("6:00"),1,0)</f>
        <v>4</v>
      </c>
      <c r="N222">
        <f t="shared" ref="N222" si="262">N221+M222*(INT(A222-6/24)-INT(A221-6/24))+O222</f>
        <v>267</v>
      </c>
      <c r="O222">
        <f t="shared" ref="O222" si="263">IF(A222&gt;=DATEVALUE("2025/11/8")+TIMEVALUE("6:00"),1,0)-IF(A221&gt;=DATEVALUE("2025/11/8")+TIMEVALUE("6:00"),1,0)
+IF(A222&gt;=DATEVALUE("2026/1/22")+TIMEVALUE("6:00"),3,0)-IF(A221&gt;=DATEVALUE("2026/1/22")+TIMEVALUE("6:00"),3,0)</f>
        <v>0</v>
      </c>
      <c r="P222" t="str">
        <f t="shared" ref="P222" si="264">IF(L222&lt;N222,"未達成（"&amp;N222-L222&amp;"）",IF(L222=N222,"達成","前倒し（"&amp;L222-N222&amp;"）"))</f>
        <v>達成</v>
      </c>
      <c r="Q222">
        <f t="shared" ref="Q222" si="265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498</v>
      </c>
      <c r="I223" t="s">
        <v>499</v>
      </c>
      <c r="J223">
        <v>0</v>
      </c>
      <c r="K223">
        <f t="shared" ref="K223" si="266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7">L222+K223</f>
        <v>268</v>
      </c>
      <c r="M223">
        <f t="shared" ref="M223" si="268">2+IF(A223&gt;=DATEVALUE("2025/11/30")+TIMEVALUE("6:00"),1,0)+IF(A223&gt;=DATEVALUE("2025/12/11")+TIMEVALUE("6:00"),1,0)</f>
        <v>4</v>
      </c>
      <c r="N223">
        <f t="shared" ref="N223" si="269">N222+M223*(INT(A223-6/24)-INT(A222-6/24))+O223</f>
        <v>271</v>
      </c>
      <c r="O223">
        <f t="shared" ref="O223" si="270">IF(A223&gt;=DATEVALUE("2025/11/8")+TIMEVALUE("6:00"),1,0)-IF(A222&gt;=DATEVALUE("2025/11/8")+TIMEVALUE("6:00"),1,0)
+IF(A223&gt;=DATEVALUE("2026/1/22")+TIMEVALUE("6:00"),3,0)-IF(A222&gt;=DATEVALUE("2026/1/22")+TIMEVALUE("6:00"),3,0)</f>
        <v>0</v>
      </c>
      <c r="P223" t="str">
        <f t="shared" ref="P223" si="271">IF(L223&lt;N223,"未達成（"&amp;N223-L223&amp;"）",IF(L223=N223,"達成","前倒し（"&amp;L223-N223&amp;"）"))</f>
        <v>未達成（3）</v>
      </c>
      <c r="Q223">
        <f t="shared" ref="Q223" si="272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500</v>
      </c>
      <c r="I224" t="s">
        <v>501</v>
      </c>
      <c r="J224">
        <v>0</v>
      </c>
      <c r="K224">
        <f t="shared" ref="K224" si="273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74">L223+K224</f>
        <v>270</v>
      </c>
      <c r="M224">
        <f t="shared" ref="M224" si="275">2+IF(A224&gt;=DATEVALUE("2025/11/30")+TIMEVALUE("6:00"),1,0)+IF(A224&gt;=DATEVALUE("2025/12/11")+TIMEVALUE("6:00"),1,0)</f>
        <v>4</v>
      </c>
      <c r="N224">
        <f t="shared" ref="N224" si="276">N223+M224*(INT(A224-6/24)-INT(A223-6/24))+O224</f>
        <v>271</v>
      </c>
      <c r="O224">
        <f t="shared" ref="O224" si="277">IF(A224&gt;=DATEVALUE("2025/11/8")+TIMEVALUE("6:00"),1,0)-IF(A223&gt;=DATEVALUE("2025/11/8")+TIMEVALUE("6:00"),1,0)
+IF(A224&gt;=DATEVALUE("2026/1/22")+TIMEVALUE("6:00"),3,0)-IF(A223&gt;=DATEVALUE("2026/1/22")+TIMEVALUE("6:00"),3,0)</f>
        <v>0</v>
      </c>
      <c r="P224" t="str">
        <f t="shared" ref="P224" si="278">IF(L224&lt;N224,"未達成（"&amp;N224-L224&amp;"）",IF(L224=N224,"達成","前倒し（"&amp;L224-N224&amp;"）"))</f>
        <v>未達成（1）</v>
      </c>
      <c r="Q224">
        <f t="shared" ref="Q224" si="279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502</v>
      </c>
      <c r="I225" t="s">
        <v>503</v>
      </c>
      <c r="J225">
        <v>0</v>
      </c>
      <c r="K225">
        <f t="shared" ref="K225" si="280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81">L224+K225</f>
        <v>271</v>
      </c>
      <c r="M225">
        <f t="shared" ref="M225" si="282">2+IF(A225&gt;=DATEVALUE("2025/11/30")+TIMEVALUE("6:00"),1,0)+IF(A225&gt;=DATEVALUE("2025/12/11")+TIMEVALUE("6:00"),1,0)</f>
        <v>4</v>
      </c>
      <c r="N225">
        <f t="shared" ref="N225" si="283">N224+M225*(INT(A225-6/24)-INT(A224-6/24))+O225</f>
        <v>271</v>
      </c>
      <c r="O225">
        <f t="shared" ref="O225" si="284">IF(A225&gt;=DATEVALUE("2025/11/8")+TIMEVALUE("6:00"),1,0)-IF(A224&gt;=DATEVALUE("2025/11/8")+TIMEVALUE("6:00"),1,0)
+IF(A225&gt;=DATEVALUE("2026/1/22")+TIMEVALUE("6:00"),3,0)-IF(A224&gt;=DATEVALUE("2026/1/22")+TIMEVALUE("6:00"),3,0)</f>
        <v>0</v>
      </c>
      <c r="P225" t="str">
        <f t="shared" ref="P225" si="285">IF(L225&lt;N225,"未達成（"&amp;N225-L225&amp;"）",IF(L225=N225,"達成","前倒し（"&amp;L225-N225&amp;"）"))</f>
        <v>達成</v>
      </c>
      <c r="Q225">
        <f t="shared" ref="Q225" si="286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504</v>
      </c>
      <c r="I226" t="s">
        <v>505</v>
      </c>
      <c r="J226">
        <v>0</v>
      </c>
      <c r="K226">
        <f t="shared" ref="K226" si="287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8">L225+K226</f>
        <v>272</v>
      </c>
      <c r="M226">
        <f t="shared" ref="M226" si="289">2+IF(A226&gt;=DATEVALUE("2025/11/30")+TIMEVALUE("6:00"),1,0)+IF(A226&gt;=DATEVALUE("2025/12/11")+TIMEVALUE("6:00"),1,0)</f>
        <v>4</v>
      </c>
      <c r="N226">
        <f t="shared" ref="N226" si="290">N225+M226*(INT(A226-6/24)-INT(A225-6/24))+O226</f>
        <v>275</v>
      </c>
      <c r="O226">
        <f t="shared" ref="O226" si="291">IF(A226&gt;=DATEVALUE("2025/11/8")+TIMEVALUE("6:00"),1,0)-IF(A225&gt;=DATEVALUE("2025/11/8")+TIMEVALUE("6:00"),1,0)
+IF(A226&gt;=DATEVALUE("2026/1/22")+TIMEVALUE("6:00"),3,0)-IF(A225&gt;=DATEVALUE("2026/1/22")+TIMEVALUE("6:00"),3,0)</f>
        <v>0</v>
      </c>
      <c r="P226" t="str">
        <f t="shared" ref="P226" si="292">IF(L226&lt;N226,"未達成（"&amp;N226-L226&amp;"）",IF(L226=N226,"達成","前倒し（"&amp;L226-N226&amp;"）"))</f>
        <v>未達成（3）</v>
      </c>
      <c r="Q226">
        <f t="shared" ref="Q226" si="293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506</v>
      </c>
      <c r="I227" t="s">
        <v>507</v>
      </c>
      <c r="J227">
        <v>0</v>
      </c>
      <c r="K227">
        <f t="shared" ref="K227" si="294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95">L226+K227</f>
        <v>274</v>
      </c>
      <c r="M227">
        <f t="shared" ref="M227" si="296">2+IF(A227&gt;=DATEVALUE("2025/11/30")+TIMEVALUE("6:00"),1,0)+IF(A227&gt;=DATEVALUE("2025/12/11")+TIMEVALUE("6:00"),1,0)</f>
        <v>4</v>
      </c>
      <c r="N227">
        <f t="shared" ref="N227" si="297">N226+M227*(INT(A227-6/24)-INT(A226-6/24))+O227</f>
        <v>275</v>
      </c>
      <c r="O227">
        <f t="shared" ref="O227" si="298">IF(A227&gt;=DATEVALUE("2025/11/8")+TIMEVALUE("6:00"),1,0)-IF(A226&gt;=DATEVALUE("2025/11/8")+TIMEVALUE("6:00"),1,0)
+IF(A227&gt;=DATEVALUE("2026/1/22")+TIMEVALUE("6:00"),3,0)-IF(A226&gt;=DATEVALUE("2026/1/22")+TIMEVALUE("6:00"),3,0)</f>
        <v>0</v>
      </c>
      <c r="P227" t="str">
        <f t="shared" ref="P227" si="299">IF(L227&lt;N227,"未達成（"&amp;N227-L227&amp;"）",IF(L227=N227,"達成","前倒し（"&amp;L227-N227&amp;"）"))</f>
        <v>未達成（1）</v>
      </c>
      <c r="Q227">
        <f t="shared" ref="Q227" si="30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508</v>
      </c>
      <c r="I228" t="s">
        <v>512</v>
      </c>
      <c r="J228">
        <v>1</v>
      </c>
      <c r="K228">
        <f t="shared" ref="K228" si="30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302">L227+K228</f>
        <v>274</v>
      </c>
      <c r="M228">
        <f t="shared" ref="M228" si="303">2+IF(A228&gt;=DATEVALUE("2025/11/30")+TIMEVALUE("6:00"),1,0)+IF(A228&gt;=DATEVALUE("2025/12/11")+TIMEVALUE("6:00"),1,0)</f>
        <v>4</v>
      </c>
      <c r="N228">
        <f t="shared" ref="N228" si="304">N227+M228*(INT(A228-6/24)-INT(A227-6/24))+O228</f>
        <v>275</v>
      </c>
      <c r="O228">
        <f t="shared" ref="O228" si="305">IF(A228&gt;=DATEVALUE("2025/11/8")+TIMEVALUE("6:00"),1,0)-IF(A227&gt;=DATEVALUE("2025/11/8")+TIMEVALUE("6:00"),1,0)
+IF(A228&gt;=DATEVALUE("2026/1/22")+TIMEVALUE("6:00"),3,0)-IF(A227&gt;=DATEVALUE("2026/1/22")+TIMEVALUE("6:00"),3,0)</f>
        <v>0</v>
      </c>
      <c r="P228" t="str">
        <f t="shared" ref="P228" si="306">IF(L228&lt;N228,"未達成（"&amp;N228-L228&amp;"）",IF(L228=N228,"達成","前倒し（"&amp;L228-N228&amp;"）"))</f>
        <v>未達成（1）</v>
      </c>
      <c r="Q228" t="e">
        <f t="shared" ref="Q228" si="307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513</v>
      </c>
      <c r="I229" t="s">
        <v>509</v>
      </c>
      <c r="J229">
        <v>0</v>
      </c>
      <c r="K229">
        <f t="shared" ref="K229" si="308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309">L228+K229</f>
        <v>275</v>
      </c>
      <c r="M229">
        <f t="shared" ref="M229" si="310">2+IF(A229&gt;=DATEVALUE("2025/11/30")+TIMEVALUE("6:00"),1,0)+IF(A229&gt;=DATEVALUE("2025/12/11")+TIMEVALUE("6:00"),1,0)</f>
        <v>4</v>
      </c>
      <c r="N229">
        <f t="shared" ref="N229" si="311">N228+M229*(INT(A229-6/24)-INT(A228-6/24))+O229</f>
        <v>275</v>
      </c>
      <c r="O229">
        <f t="shared" ref="O229" si="312">IF(A229&gt;=DATEVALUE("2025/11/8")+TIMEVALUE("6:00"),1,0)-IF(A228&gt;=DATEVALUE("2025/11/8")+TIMEVALUE("6:00"),1,0)
+IF(A229&gt;=DATEVALUE("2026/1/22")+TIMEVALUE("6:00"),3,0)-IF(A228&gt;=DATEVALUE("2026/1/22")+TIMEVALUE("6:00"),3,0)</f>
        <v>0</v>
      </c>
      <c r="P229" t="str">
        <f t="shared" ref="P229" si="313">IF(L229&lt;N229,"未達成（"&amp;N229-L229&amp;"）",IF(L229=N229,"達成","前倒し（"&amp;L229-N229&amp;"）"))</f>
        <v>達成</v>
      </c>
      <c r="Q229">
        <f t="shared" ref="Q229" si="314">IF(B229="",NA(),G229)</f>
        <v>7.2685185223235749E-3</v>
      </c>
    </row>
    <row r="230" spans="1:17">
      <c r="A230" s="3">
        <v>46048.302210648151</v>
      </c>
      <c r="B230">
        <v>60</v>
      </c>
      <c r="C230">
        <v>20</v>
      </c>
      <c r="D230">
        <v>0</v>
      </c>
      <c r="E230">
        <v>0</v>
      </c>
      <c r="F230">
        <v>0</v>
      </c>
      <c r="G230" s="5">
        <v>8.8773148163454607E-3</v>
      </c>
      <c r="H230" t="s">
        <v>514</v>
      </c>
      <c r="I230" t="s">
        <v>515</v>
      </c>
      <c r="J230">
        <v>0</v>
      </c>
      <c r="K230">
        <f t="shared" ref="K230" si="315">IF(A230&lt;DATEVALUE("2025/11/20")+TIMEVALUE("6:00"),1,IF(OR(B230&lt;&gt;60,SUM(D230:F230)&lt;&gt;0,G230&gt;=IF(A230&lt;DATEVALUE("2025/12/28")+TIMEVALUE("6:00"),20,18)/24/60),0,2-INT(G230*24*60/10)))</f>
        <v>1</v>
      </c>
      <c r="L230">
        <f t="shared" ref="L230" si="316">L229+K230</f>
        <v>276</v>
      </c>
      <c r="M230">
        <f t="shared" ref="M230" si="317">2+IF(A230&gt;=DATEVALUE("2025/11/30")+TIMEVALUE("6:00"),1,0)+IF(A230&gt;=DATEVALUE("2025/12/11")+TIMEVALUE("6:00"),1,0)</f>
        <v>4</v>
      </c>
      <c r="N230">
        <f t="shared" ref="N230" si="318">N229+M230*(INT(A230-6/24)-INT(A229-6/24))+O230</f>
        <v>279</v>
      </c>
      <c r="O230">
        <f t="shared" ref="O230" si="319">IF(A230&gt;=DATEVALUE("2025/11/8")+TIMEVALUE("6:00"),1,0)-IF(A229&gt;=DATEVALUE("2025/11/8")+TIMEVALUE("6:00"),1,0)
+IF(A230&gt;=DATEVALUE("2026/1/22")+TIMEVALUE("6:00"),3,0)-IF(A229&gt;=DATEVALUE("2026/1/22")+TIMEVALUE("6:00"),3,0)</f>
        <v>0</v>
      </c>
      <c r="P230" t="str">
        <f t="shared" ref="P230" si="320">IF(L230&lt;N230,"未達成（"&amp;N230-L230&amp;"）",IF(L230=N230,"達成","前倒し（"&amp;L230-N230&amp;"）"))</f>
        <v>未達成（3）</v>
      </c>
      <c r="Q230">
        <f t="shared" ref="Q230" si="321">IF(B230="",NA(),G230)</f>
        <v>8.8773148163454607E-3</v>
      </c>
    </row>
    <row r="231" spans="1:17">
      <c r="A231" s="3">
        <v>46048.309108796297</v>
      </c>
      <c r="B231">
        <v>60</v>
      </c>
      <c r="C231">
        <v>23</v>
      </c>
      <c r="D231">
        <v>0</v>
      </c>
      <c r="E231">
        <v>0</v>
      </c>
      <c r="F231">
        <v>0</v>
      </c>
      <c r="G231" s="5">
        <v>6.3425925909541547E-3</v>
      </c>
      <c r="H231" t="s">
        <v>516</v>
      </c>
      <c r="I231" t="s">
        <v>517</v>
      </c>
      <c r="J231">
        <v>0</v>
      </c>
      <c r="K231">
        <f t="shared" ref="K231" si="322">IF(A231&lt;DATEVALUE("2025/11/20")+TIMEVALUE("6:00"),1,IF(OR(B231&lt;&gt;60,SUM(D231:F231)&lt;&gt;0,G231&gt;=IF(A231&lt;DATEVALUE("2025/12/28")+TIMEVALUE("6:00"),20,18)/24/60),0,2-INT(G231*24*60/10)))</f>
        <v>2</v>
      </c>
      <c r="L231">
        <f t="shared" ref="L231" si="323">L230+K231</f>
        <v>278</v>
      </c>
      <c r="M231">
        <f t="shared" ref="M231" si="324">2+IF(A231&gt;=DATEVALUE("2025/11/30")+TIMEVALUE("6:00"),1,0)+IF(A231&gt;=DATEVALUE("2025/12/11")+TIMEVALUE("6:00"),1,0)</f>
        <v>4</v>
      </c>
      <c r="N231">
        <f t="shared" ref="N231" si="325">N230+M231*(INT(A231-6/24)-INT(A230-6/24))+O231</f>
        <v>279</v>
      </c>
      <c r="O231">
        <f t="shared" ref="O231" si="326">IF(A231&gt;=DATEVALUE("2025/11/8")+TIMEVALUE("6:00"),1,0)-IF(A230&gt;=DATEVALUE("2025/11/8")+TIMEVALUE("6:00"),1,0)
+IF(A231&gt;=DATEVALUE("2026/1/22")+TIMEVALUE("6:00"),3,0)-IF(A230&gt;=DATEVALUE("2026/1/22")+TIMEVALUE("6:00"),3,0)</f>
        <v>0</v>
      </c>
      <c r="P231" t="str">
        <f t="shared" ref="P231" si="327">IF(L231&lt;N231,"未達成（"&amp;N231-L231&amp;"）",IF(L231=N231,"達成","前倒し（"&amp;L231-N231&amp;"）"))</f>
        <v>未達成（1）</v>
      </c>
      <c r="Q231">
        <f t="shared" ref="Q231" si="328">IF(B231="",NA(),G231)</f>
        <v>6.3425925909541547E-3</v>
      </c>
    </row>
    <row r="232" spans="1:17">
      <c r="A232" s="3">
        <v>46048.314803240741</v>
      </c>
      <c r="B232">
        <v>60</v>
      </c>
      <c r="C232">
        <v>11</v>
      </c>
      <c r="D232">
        <v>0</v>
      </c>
      <c r="E232">
        <v>0</v>
      </c>
      <c r="F232">
        <v>0</v>
      </c>
      <c r="G232" s="5">
        <v>4.7337962969322689E-3</v>
      </c>
      <c r="H232" t="s">
        <v>518</v>
      </c>
      <c r="I232" t="s">
        <v>519</v>
      </c>
      <c r="J232">
        <v>0</v>
      </c>
      <c r="K232">
        <f t="shared" ref="K232" si="329">IF(A232&lt;DATEVALUE("2025/11/20")+TIMEVALUE("6:00"),1,IF(OR(B232&lt;&gt;60,SUM(D232:F232)&lt;&gt;0,G232&gt;=IF(A232&lt;DATEVALUE("2025/12/28")+TIMEVALUE("6:00"),20,18)/24/60),0,2-INT(G232*24*60/10)))</f>
        <v>2</v>
      </c>
      <c r="L232">
        <f t="shared" ref="L232" si="330">L231+K232</f>
        <v>280</v>
      </c>
      <c r="M232">
        <f t="shared" ref="M232" si="331">2+IF(A232&gt;=DATEVALUE("2025/11/30")+TIMEVALUE("6:00"),1,0)+IF(A232&gt;=DATEVALUE("2025/12/11")+TIMEVALUE("6:00"),1,0)</f>
        <v>4</v>
      </c>
      <c r="N232">
        <f t="shared" ref="N232" si="332">N231+M232*(INT(A232-6/24)-INT(A231-6/24))+O232</f>
        <v>279</v>
      </c>
      <c r="O232">
        <f t="shared" ref="O232" si="333">IF(A232&gt;=DATEVALUE("2025/11/8")+TIMEVALUE("6:00"),1,0)-IF(A231&gt;=DATEVALUE("2025/11/8")+TIMEVALUE("6:00"),1,0)
+IF(A232&gt;=DATEVALUE("2026/1/22")+TIMEVALUE("6:00"),3,0)-IF(A231&gt;=DATEVALUE("2026/1/22")+TIMEVALUE("6:00"),3,0)</f>
        <v>0</v>
      </c>
      <c r="P232" t="str">
        <f t="shared" ref="P232" si="334">IF(L232&lt;N232,"未達成（"&amp;N232-L232&amp;"）",IF(L232=N232,"達成","前倒し（"&amp;L232-N232&amp;"）"))</f>
        <v>前倒し（1）</v>
      </c>
      <c r="Q232">
        <f t="shared" ref="Q232" si="335">IF(B232="",NA(),G232)</f>
        <v>4.7337962969322689E-3</v>
      </c>
    </row>
    <row r="233" spans="1:17">
      <c r="A233" s="3">
        <v>46049.283483796295</v>
      </c>
      <c r="B233">
        <v>60</v>
      </c>
      <c r="C233">
        <v>15</v>
      </c>
      <c r="D233">
        <v>0</v>
      </c>
      <c r="E233">
        <v>0</v>
      </c>
      <c r="F233">
        <v>0</v>
      </c>
      <c r="G233" s="5">
        <v>5.3819444437976927E-3</v>
      </c>
      <c r="H233" t="s">
        <v>520</v>
      </c>
      <c r="I233" t="s">
        <v>521</v>
      </c>
      <c r="J233">
        <v>0</v>
      </c>
      <c r="K233">
        <f t="shared" ref="K233" si="336">IF(A233&lt;DATEVALUE("2025/11/20")+TIMEVALUE("6:00"),1,IF(OR(B233&lt;&gt;60,SUM(D233:F233)&lt;&gt;0,G233&gt;=IF(A233&lt;DATEVALUE("2025/12/28")+TIMEVALUE("6:00"),20,18)/24/60),0,2-INT(G233*24*60/10)))</f>
        <v>2</v>
      </c>
      <c r="L233">
        <f t="shared" ref="L233" si="337">L232+K233</f>
        <v>282</v>
      </c>
      <c r="M233">
        <f t="shared" ref="M233" si="338">2+IF(A233&gt;=DATEVALUE("2025/11/30")+TIMEVALUE("6:00"),1,0)+IF(A233&gt;=DATEVALUE("2025/12/11")+TIMEVALUE("6:00"),1,0)</f>
        <v>4</v>
      </c>
      <c r="N233">
        <f t="shared" ref="N233" si="339">N232+M233*(INT(A233-6/24)-INT(A232-6/24))+O233</f>
        <v>283</v>
      </c>
      <c r="O233">
        <f t="shared" ref="O233" si="340">IF(A233&gt;=DATEVALUE("2025/11/8")+TIMEVALUE("6:00"),1,0)-IF(A232&gt;=DATEVALUE("2025/11/8")+TIMEVALUE("6:00"),1,0)
+IF(A233&gt;=DATEVALUE("2026/1/22")+TIMEVALUE("6:00"),3,0)-IF(A232&gt;=DATEVALUE("2026/1/22")+TIMEVALUE("6:00"),3,0)</f>
        <v>0</v>
      </c>
      <c r="P233" t="str">
        <f t="shared" ref="P233" si="341">IF(L233&lt;N233,"未達成（"&amp;N233-L233&amp;"）",IF(L233=N233,"達成","前倒し（"&amp;L233-N233&amp;"）"))</f>
        <v>未達成（1）</v>
      </c>
      <c r="Q233">
        <f t="shared" ref="Q233" si="342">IF(B233="",NA(),G233)</f>
        <v>5.3819444437976927E-3</v>
      </c>
    </row>
    <row r="234" spans="1:17">
      <c r="A234" s="3">
        <v>46049.293564814812</v>
      </c>
      <c r="B234">
        <v>60</v>
      </c>
      <c r="C234">
        <v>14</v>
      </c>
      <c r="D234">
        <v>0</v>
      </c>
      <c r="E234">
        <v>0</v>
      </c>
      <c r="F234">
        <v>0</v>
      </c>
      <c r="G234" s="5">
        <v>9.0393518476048484E-3</v>
      </c>
      <c r="H234" t="s">
        <v>522</v>
      </c>
      <c r="I234" t="s">
        <v>523</v>
      </c>
      <c r="J234">
        <v>0</v>
      </c>
      <c r="K234">
        <f t="shared" ref="K234" si="343">IF(A234&lt;DATEVALUE("2025/11/20")+TIMEVALUE("6:00"),1,IF(OR(B234&lt;&gt;60,SUM(D234:F234)&lt;&gt;0,G234&gt;=IF(A234&lt;DATEVALUE("2025/12/28")+TIMEVALUE("6:00"),20,18)/24/60),0,2-INT(G234*24*60/10)))</f>
        <v>1</v>
      </c>
      <c r="L234">
        <f t="shared" ref="L234" si="344">L233+K234</f>
        <v>283</v>
      </c>
      <c r="M234">
        <f t="shared" ref="M234" si="345">2+IF(A234&gt;=DATEVALUE("2025/11/30")+TIMEVALUE("6:00"),1,0)+IF(A234&gt;=DATEVALUE("2025/12/11")+TIMEVALUE("6:00"),1,0)</f>
        <v>4</v>
      </c>
      <c r="N234">
        <f t="shared" ref="N234" si="346">N233+M234*(INT(A234-6/24)-INT(A233-6/24))+O234</f>
        <v>283</v>
      </c>
      <c r="O234">
        <f t="shared" ref="O234" si="347">IF(A234&gt;=DATEVALUE("2025/11/8")+TIMEVALUE("6:00"),1,0)-IF(A233&gt;=DATEVALUE("2025/11/8")+TIMEVALUE("6:00"),1,0)
+IF(A234&gt;=DATEVALUE("2026/1/22")+TIMEVALUE("6:00"),3,0)-IF(A233&gt;=DATEVALUE("2026/1/22")+TIMEVALUE("6:00"),3,0)</f>
        <v>0</v>
      </c>
      <c r="P234" t="str">
        <f t="shared" ref="P234" si="348">IF(L234&lt;N234,"未達成（"&amp;N234-L234&amp;"）",IF(L234=N234,"達成","前倒し（"&amp;L234-N234&amp;"）"))</f>
        <v>達成</v>
      </c>
      <c r="Q234">
        <f t="shared" ref="Q234" si="349">IF(B234="",NA(),G234)</f>
        <v>9.0393518476048484E-3</v>
      </c>
    </row>
    <row r="235" spans="1:17">
      <c r="A235" s="3">
        <v>46050.283703703702</v>
      </c>
      <c r="B235">
        <v>60</v>
      </c>
      <c r="C235">
        <v>24</v>
      </c>
      <c r="D235">
        <v>0</v>
      </c>
      <c r="E235">
        <v>0</v>
      </c>
      <c r="F235">
        <v>0</v>
      </c>
      <c r="G235" s="5">
        <v>8.3796296312357299E-3</v>
      </c>
      <c r="H235" t="s">
        <v>524</v>
      </c>
      <c r="I235" t="s">
        <v>525</v>
      </c>
      <c r="J235">
        <v>0</v>
      </c>
      <c r="K235">
        <f t="shared" ref="K235" si="350">IF(A235&lt;DATEVALUE("2025/11/20")+TIMEVALUE("6:00"),1,IF(OR(B235&lt;&gt;60,SUM(D235:F235)&lt;&gt;0,G235&gt;=IF(A235&lt;DATEVALUE("2025/12/28")+TIMEVALUE("6:00"),20,18)/24/60),0,2-INT(G235*24*60/10)))</f>
        <v>1</v>
      </c>
      <c r="L235">
        <f t="shared" ref="L235" si="351">L234+K235</f>
        <v>284</v>
      </c>
      <c r="M235">
        <f t="shared" ref="M235" si="352">2+IF(A235&gt;=DATEVALUE("2025/11/30")+TIMEVALUE("6:00"),1,0)+IF(A235&gt;=DATEVALUE("2025/12/11")+TIMEVALUE("6:00"),1,0)</f>
        <v>4</v>
      </c>
      <c r="N235">
        <f t="shared" ref="N235" si="353">N234+M235*(INT(A235-6/24)-INT(A234-6/24))+O235</f>
        <v>287</v>
      </c>
      <c r="O235">
        <f t="shared" ref="O235" si="354">IF(A235&gt;=DATEVALUE("2025/11/8")+TIMEVALUE("6:00"),1,0)-IF(A234&gt;=DATEVALUE("2025/11/8")+TIMEVALUE("6:00"),1,0)
+IF(A235&gt;=DATEVALUE("2026/1/22")+TIMEVALUE("6:00"),3,0)-IF(A234&gt;=DATEVALUE("2026/1/22")+TIMEVALUE("6:00"),3,0)</f>
        <v>0</v>
      </c>
      <c r="P235" t="str">
        <f t="shared" ref="P235" si="355">IF(L235&lt;N235,"未達成（"&amp;N235-L235&amp;"）",IF(L235=N235,"達成","前倒し（"&amp;L235-N235&amp;"）"))</f>
        <v>未達成（3）</v>
      </c>
      <c r="Q235">
        <f t="shared" ref="Q235" si="356">IF(B235="",NA(),G235)</f>
        <v>8.3796296312357299E-3</v>
      </c>
    </row>
    <row r="236" spans="1:17">
      <c r="A236" s="3">
        <v>46050.293333333335</v>
      </c>
      <c r="B236">
        <v>50</v>
      </c>
      <c r="C236">
        <v>2</v>
      </c>
      <c r="D236">
        <v>0</v>
      </c>
      <c r="E236">
        <v>10</v>
      </c>
      <c r="F236">
        <v>0</v>
      </c>
      <c r="G236" s="5">
        <v>8.3564814849523827E-3</v>
      </c>
      <c r="H236" t="s">
        <v>526</v>
      </c>
      <c r="I236" t="s">
        <v>527</v>
      </c>
      <c r="J236">
        <v>0</v>
      </c>
      <c r="K236">
        <f t="shared" ref="K236" si="357">IF(A236&lt;DATEVALUE("2025/11/20")+TIMEVALUE("6:00"),1,IF(OR(B236&lt;&gt;60,SUM(D236:F236)&lt;&gt;0,G236&gt;=IF(A236&lt;DATEVALUE("2025/12/28")+TIMEVALUE("6:00"),20,18)/24/60),0,2-INT(G236*24*60/10)))</f>
        <v>0</v>
      </c>
      <c r="L236">
        <f t="shared" ref="L236" si="358">L235+K236</f>
        <v>284</v>
      </c>
      <c r="M236">
        <f t="shared" ref="M236" si="359">2+IF(A236&gt;=DATEVALUE("2025/11/30")+TIMEVALUE("6:00"),1,0)+IF(A236&gt;=DATEVALUE("2025/12/11")+TIMEVALUE("6:00"),1,0)</f>
        <v>4</v>
      </c>
      <c r="N236">
        <f t="shared" ref="N236" si="360">N235+M236*(INT(A236-6/24)-INT(A235-6/24))+O236</f>
        <v>287</v>
      </c>
      <c r="O236">
        <f t="shared" ref="O236" si="361">IF(A236&gt;=DATEVALUE("2025/11/8")+TIMEVALUE("6:00"),1,0)-IF(A235&gt;=DATEVALUE("2025/11/8")+TIMEVALUE("6:00"),1,0)
+IF(A236&gt;=DATEVALUE("2026/1/22")+TIMEVALUE("6:00"),3,0)-IF(A235&gt;=DATEVALUE("2026/1/22")+TIMEVALUE("6:00"),3,0)</f>
        <v>0</v>
      </c>
      <c r="P236" t="str">
        <f t="shared" ref="P236" si="362">IF(L236&lt;N236,"未達成（"&amp;N236-L236&amp;"）",IF(L236=N236,"達成","前倒し（"&amp;L236-N236&amp;"）"))</f>
        <v>未達成（3）</v>
      </c>
      <c r="Q236">
        <f t="shared" ref="Q236" si="363">IF(B236="",NA(),G236)</f>
        <v>8.3564814849523827E-3</v>
      </c>
    </row>
    <row r="237" spans="1:17">
      <c r="A237" s="3">
        <v>46050.305752314816</v>
      </c>
      <c r="B237">
        <v>60</v>
      </c>
      <c r="C237">
        <v>0</v>
      </c>
      <c r="D237">
        <v>0</v>
      </c>
      <c r="E237">
        <v>0</v>
      </c>
      <c r="F237">
        <v>0</v>
      </c>
      <c r="G237" s="5">
        <v>1.1747685188311152E-2</v>
      </c>
      <c r="H237" t="s">
        <v>528</v>
      </c>
      <c r="I237" t="s">
        <v>529</v>
      </c>
      <c r="J237">
        <v>0</v>
      </c>
      <c r="K237">
        <f t="shared" ref="K237" si="364">IF(A237&lt;DATEVALUE("2025/11/20")+TIMEVALUE("6:00"),1,IF(OR(B237&lt;&gt;60,SUM(D237:F237)&lt;&gt;0,G237&gt;=IF(A237&lt;DATEVALUE("2025/12/28")+TIMEVALUE("6:00"),20,18)/24/60),0,2-INT(G237*24*60/10)))</f>
        <v>1</v>
      </c>
      <c r="L237">
        <f t="shared" ref="L237" si="365">L236+K237</f>
        <v>285</v>
      </c>
      <c r="M237">
        <f t="shared" ref="M237" si="366">2+IF(A237&gt;=DATEVALUE("2025/11/30")+TIMEVALUE("6:00"),1,0)+IF(A237&gt;=DATEVALUE("2025/12/11")+TIMEVALUE("6:00"),1,0)</f>
        <v>4</v>
      </c>
      <c r="N237">
        <f t="shared" ref="N237" si="367">N236+M237*(INT(A237-6/24)-INT(A236-6/24))+O237</f>
        <v>287</v>
      </c>
      <c r="O237">
        <f t="shared" ref="O237" si="368">IF(A237&gt;=DATEVALUE("2025/11/8")+TIMEVALUE("6:00"),1,0)-IF(A236&gt;=DATEVALUE("2025/11/8")+TIMEVALUE("6:00"),1,0)
+IF(A237&gt;=DATEVALUE("2026/1/22")+TIMEVALUE("6:00"),3,0)-IF(A236&gt;=DATEVALUE("2026/1/22")+TIMEVALUE("6:00"),3,0)</f>
        <v>0</v>
      </c>
      <c r="P237" t="str">
        <f t="shared" ref="P237" si="369">IF(L237&lt;N237,"未達成（"&amp;N237-L237&amp;"）",IF(L237=N237,"達成","前倒し（"&amp;L237-N237&amp;"）"))</f>
        <v>未達成（2）</v>
      </c>
      <c r="Q237">
        <f t="shared" ref="Q237" si="370">IF(B237="",NA(),G237)</f>
        <v>1.1747685188311152E-2</v>
      </c>
    </row>
    <row r="238" spans="1:17">
      <c r="A238" s="3">
        <v>46050.313449074078</v>
      </c>
      <c r="B238">
        <v>55</v>
      </c>
      <c r="C238">
        <v>7</v>
      </c>
      <c r="D238">
        <v>0</v>
      </c>
      <c r="E238">
        <v>5</v>
      </c>
      <c r="F238">
        <v>0</v>
      </c>
      <c r="G238" s="5">
        <v>7.1412037068512291E-3</v>
      </c>
      <c r="H238" t="s">
        <v>530</v>
      </c>
      <c r="I238" t="s">
        <v>531</v>
      </c>
      <c r="J238">
        <v>0</v>
      </c>
      <c r="K238">
        <f t="shared" ref="K238" si="371">IF(A238&lt;DATEVALUE("2025/11/20")+TIMEVALUE("6:00"),1,IF(OR(B238&lt;&gt;60,SUM(D238:F238)&lt;&gt;0,G238&gt;=IF(A238&lt;DATEVALUE("2025/12/28")+TIMEVALUE("6:00"),20,18)/24/60),0,2-INT(G238*24*60/10)))</f>
        <v>0</v>
      </c>
      <c r="L238">
        <f t="shared" ref="L238" si="372">L237+K238</f>
        <v>285</v>
      </c>
      <c r="M238">
        <f t="shared" ref="M238" si="373">2+IF(A238&gt;=DATEVALUE("2025/11/30")+TIMEVALUE("6:00"),1,0)+IF(A238&gt;=DATEVALUE("2025/12/11")+TIMEVALUE("6:00"),1,0)</f>
        <v>4</v>
      </c>
      <c r="N238">
        <f t="shared" ref="N238" si="374">N237+M238*(INT(A238-6/24)-INT(A237-6/24))+O238</f>
        <v>287</v>
      </c>
      <c r="O238">
        <f t="shared" ref="O238" si="375">IF(A238&gt;=DATEVALUE("2025/11/8")+TIMEVALUE("6:00"),1,0)-IF(A237&gt;=DATEVALUE("2025/11/8")+TIMEVALUE("6:00"),1,0)
+IF(A238&gt;=DATEVALUE("2026/1/22")+TIMEVALUE("6:00"),3,0)-IF(A237&gt;=DATEVALUE("2026/1/22")+TIMEVALUE("6:00"),3,0)</f>
        <v>0</v>
      </c>
      <c r="P238" t="str">
        <f t="shared" ref="P238" si="376">IF(L238&lt;N238,"未達成（"&amp;N238-L238&amp;"）",IF(L238=N238,"達成","前倒し（"&amp;L238-N238&amp;"）"))</f>
        <v>未達成（2）</v>
      </c>
      <c r="Q238">
        <f t="shared" ref="Q238" si="377">IF(B238="",NA(),G238)</f>
        <v>7.1412037068512291E-3</v>
      </c>
    </row>
    <row r="239" spans="1:17">
      <c r="A239" s="3">
        <v>46050.319131944445</v>
      </c>
      <c r="B239">
        <v>60</v>
      </c>
      <c r="C239">
        <v>9</v>
      </c>
      <c r="D239">
        <v>0</v>
      </c>
      <c r="E239">
        <v>0</v>
      </c>
      <c r="F239">
        <v>0</v>
      </c>
      <c r="G239" s="5">
        <v>5.2314814820419997E-3</v>
      </c>
      <c r="H239" t="s">
        <v>532</v>
      </c>
      <c r="I239" t="s">
        <v>533</v>
      </c>
      <c r="J239">
        <v>0</v>
      </c>
      <c r="K239">
        <f t="shared" ref="K239" si="378">IF(A239&lt;DATEVALUE("2025/11/20")+TIMEVALUE("6:00"),1,IF(OR(B239&lt;&gt;60,SUM(D239:F239)&lt;&gt;0,G239&gt;=IF(A239&lt;DATEVALUE("2025/12/28")+TIMEVALUE("6:00"),20,18)/24/60),0,2-INT(G239*24*60/10)))</f>
        <v>2</v>
      </c>
      <c r="L239">
        <f t="shared" ref="L239" si="379">L238+K239</f>
        <v>287</v>
      </c>
      <c r="M239">
        <f t="shared" ref="M239" si="380">2+IF(A239&gt;=DATEVALUE("2025/11/30")+TIMEVALUE("6:00"),1,0)+IF(A239&gt;=DATEVALUE("2025/12/11")+TIMEVALUE("6:00"),1,0)</f>
        <v>4</v>
      </c>
      <c r="N239">
        <f t="shared" ref="N239" si="381">N238+M239*(INT(A239-6/24)-INT(A238-6/24))+O239</f>
        <v>287</v>
      </c>
      <c r="O239">
        <f t="shared" ref="O239" si="382">IF(A239&gt;=DATEVALUE("2025/11/8")+TIMEVALUE("6:00"),1,0)-IF(A238&gt;=DATEVALUE("2025/11/8")+TIMEVALUE("6:00"),1,0)
+IF(A239&gt;=DATEVALUE("2026/1/22")+TIMEVALUE("6:00"),3,0)-IF(A238&gt;=DATEVALUE("2026/1/22")+TIMEVALUE("6:00"),3,0)</f>
        <v>0</v>
      </c>
      <c r="P239" t="str">
        <f t="shared" ref="P239" si="383">IF(L239&lt;N239,"未達成（"&amp;N239-L239&amp;"）",IF(L239=N239,"達成","前倒し（"&amp;L239-N239&amp;"）"))</f>
        <v>達成</v>
      </c>
      <c r="Q239">
        <f t="shared" ref="Q239" si="384">IF(B239="",NA(),G239)</f>
        <v>5.2314814820419997E-3</v>
      </c>
    </row>
    <row r="240" spans="1:17">
      <c r="A240" s="3">
        <v>46051.269594907404</v>
      </c>
      <c r="B240">
        <v>60</v>
      </c>
      <c r="C240">
        <v>13</v>
      </c>
      <c r="D240">
        <v>0</v>
      </c>
      <c r="E240">
        <v>0</v>
      </c>
      <c r="F240">
        <v>0</v>
      </c>
      <c r="G240" s="5">
        <v>9.0393518476048484E-3</v>
      </c>
      <c r="H240" t="s">
        <v>534</v>
      </c>
      <c r="I240" t="s">
        <v>535</v>
      </c>
      <c r="J240">
        <v>0</v>
      </c>
      <c r="K240">
        <f t="shared" ref="K240" si="385">IF(A240&lt;DATEVALUE("2025/11/20")+TIMEVALUE("6:00"),1,IF(OR(B240&lt;&gt;60,SUM(D240:F240)&lt;&gt;0,G240&gt;=IF(A240&lt;DATEVALUE("2025/12/28")+TIMEVALUE("6:00"),20,18)/24/60),0,2-INT(G240*24*60/10)))</f>
        <v>1</v>
      </c>
      <c r="L240">
        <f t="shared" ref="L240" si="386">L239+K240</f>
        <v>288</v>
      </c>
      <c r="M240">
        <f t="shared" ref="M240" si="387">2+IF(A240&gt;=DATEVALUE("2025/11/30")+TIMEVALUE("6:00"),1,0)+IF(A240&gt;=DATEVALUE("2025/12/11")+TIMEVALUE("6:00"),1,0)</f>
        <v>4</v>
      </c>
      <c r="N240">
        <f t="shared" ref="N240" si="388">N239+M240*(INT(A240-6/24)-INT(A239-6/24))+O240</f>
        <v>291</v>
      </c>
      <c r="O240">
        <f t="shared" ref="O240" si="389">IF(A240&gt;=DATEVALUE("2025/11/8")+TIMEVALUE("6:00"),1,0)-IF(A239&gt;=DATEVALUE("2025/11/8")+TIMEVALUE("6:00"),1,0)
+IF(A240&gt;=DATEVALUE("2026/1/22")+TIMEVALUE("6:00"),3,0)-IF(A239&gt;=DATEVALUE("2026/1/22")+TIMEVALUE("6:00"),3,0)</f>
        <v>0</v>
      </c>
      <c r="P240" t="str">
        <f t="shared" ref="P240" si="390">IF(L240&lt;N240,"未達成（"&amp;N240-L240&amp;"）",IF(L240=N240,"達成","前倒し（"&amp;L240-N240&amp;"）"))</f>
        <v>未達成（3）</v>
      </c>
      <c r="Q240">
        <f t="shared" ref="Q240" si="391">IF(B240="",NA(),G240)</f>
        <v>9.0393518476048484E-3</v>
      </c>
    </row>
    <row r="241" spans="1:17">
      <c r="A241" s="3">
        <v>46051.275104166663</v>
      </c>
      <c r="B241">
        <v>60</v>
      </c>
      <c r="C241">
        <v>9</v>
      </c>
      <c r="D241">
        <v>0</v>
      </c>
      <c r="E241">
        <v>0</v>
      </c>
      <c r="F241">
        <v>0</v>
      </c>
      <c r="G241" s="5">
        <v>4.6180555509636179E-3</v>
      </c>
      <c r="H241" t="s">
        <v>536</v>
      </c>
      <c r="I241" t="s">
        <v>537</v>
      </c>
      <c r="J241">
        <v>0</v>
      </c>
      <c r="K241">
        <f t="shared" ref="K241" si="392">IF(A241&lt;DATEVALUE("2025/11/20")+TIMEVALUE("6:00"),1,IF(OR(B241&lt;&gt;60,SUM(D241:F241)&lt;&gt;0,G241&gt;=IF(A241&lt;DATEVALUE("2025/12/28")+TIMEVALUE("6:00"),20,18)/24/60),0,2-INT(G241*24*60/10)))</f>
        <v>2</v>
      </c>
      <c r="L241">
        <f t="shared" ref="L241" si="393">L240+K241</f>
        <v>290</v>
      </c>
      <c r="M241">
        <f t="shared" ref="M241" si="394">2+IF(A241&gt;=DATEVALUE("2025/11/30")+TIMEVALUE("6:00"),1,0)+IF(A241&gt;=DATEVALUE("2025/12/11")+TIMEVALUE("6:00"),1,0)</f>
        <v>4</v>
      </c>
      <c r="N241">
        <f t="shared" ref="N241" si="395">N240+M241*(INT(A241-6/24)-INT(A240-6/24))+O241</f>
        <v>291</v>
      </c>
      <c r="O241">
        <f t="shared" ref="O241" si="396">IF(A241&gt;=DATEVALUE("2025/11/8")+TIMEVALUE("6:00"),1,0)-IF(A240&gt;=DATEVALUE("2025/11/8")+TIMEVALUE("6:00"),1,0)
+IF(A241&gt;=DATEVALUE("2026/1/22")+TIMEVALUE("6:00"),3,0)-IF(A240&gt;=DATEVALUE("2026/1/22")+TIMEVALUE("6:00"),3,0)</f>
        <v>0</v>
      </c>
      <c r="P241" t="str">
        <f t="shared" ref="P241" si="397">IF(L241&lt;N241,"未達成（"&amp;N241-L241&amp;"）",IF(L241=N241,"達成","前倒し（"&amp;L241-N241&amp;"）"))</f>
        <v>未達成（1）</v>
      </c>
      <c r="Q241">
        <f t="shared" ref="Q241" si="398">IF(B241="",NA(),G241)</f>
        <v>4.6180555509636179E-3</v>
      </c>
    </row>
    <row r="242" spans="1:17">
      <c r="A242" s="3">
        <v>46051.281990740739</v>
      </c>
      <c r="B242">
        <v>60</v>
      </c>
      <c r="C242">
        <v>10</v>
      </c>
      <c r="D242">
        <v>0</v>
      </c>
      <c r="E242">
        <v>0</v>
      </c>
      <c r="F242">
        <v>0</v>
      </c>
      <c r="G242" s="5">
        <v>5.6365740747423843E-3</v>
      </c>
      <c r="H242" t="s">
        <v>538</v>
      </c>
      <c r="I242" t="s">
        <v>539</v>
      </c>
      <c r="J242">
        <v>0</v>
      </c>
      <c r="K242">
        <f t="shared" ref="K242" si="399">IF(A242&lt;DATEVALUE("2025/11/20")+TIMEVALUE("6:00"),1,IF(OR(B242&lt;&gt;60,SUM(D242:F242)&lt;&gt;0,G242&gt;=IF(A242&lt;DATEVALUE("2025/12/28")+TIMEVALUE("6:00"),20,18)/24/60),0,2-INT(G242*24*60/10)))</f>
        <v>2</v>
      </c>
      <c r="L242">
        <f t="shared" ref="L242" si="400">L241+K242</f>
        <v>292</v>
      </c>
      <c r="M242">
        <f t="shared" ref="M242" si="401">2+IF(A242&gt;=DATEVALUE("2025/11/30")+TIMEVALUE("6:00"),1,0)+IF(A242&gt;=DATEVALUE("2025/12/11")+TIMEVALUE("6:00"),1,0)</f>
        <v>4</v>
      </c>
      <c r="N242">
        <f t="shared" ref="N242" si="402">N241+M242*(INT(A242-6/24)-INT(A241-6/24))+O242</f>
        <v>291</v>
      </c>
      <c r="O242">
        <f t="shared" ref="O242" si="403">IF(A242&gt;=DATEVALUE("2025/11/8")+TIMEVALUE("6:00"),1,0)-IF(A241&gt;=DATEVALUE("2025/11/8")+TIMEVALUE("6:00"),1,0)
+IF(A242&gt;=DATEVALUE("2026/1/22")+TIMEVALUE("6:00"),3,0)-IF(A241&gt;=DATEVALUE("2026/1/22")+TIMEVALUE("6:00"),3,0)</f>
        <v>0</v>
      </c>
      <c r="P242" t="str">
        <f t="shared" ref="P242" si="404">IF(L242&lt;N242,"未達成（"&amp;N242-L242&amp;"）",IF(L242=N242,"達成","前倒し（"&amp;L242-N242&amp;"）"))</f>
        <v>前倒し（1）</v>
      </c>
      <c r="Q242">
        <f t="shared" ref="Q242" si="405">IF(B242="",NA(),G242)</f>
        <v>5.6365740747423843E-3</v>
      </c>
    </row>
    <row r="243" spans="1:17">
      <c r="A243" s="3">
        <v>46052.310162037036</v>
      </c>
      <c r="B243">
        <v>60</v>
      </c>
      <c r="C243">
        <v>10</v>
      </c>
      <c r="D243">
        <v>0</v>
      </c>
      <c r="E243">
        <v>0</v>
      </c>
      <c r="F243">
        <v>0</v>
      </c>
      <c r="G243" s="5">
        <v>1.2511574073869269E-2</v>
      </c>
      <c r="H243" t="s">
        <v>540</v>
      </c>
      <c r="I243" t="s">
        <v>541</v>
      </c>
      <c r="J243">
        <v>0</v>
      </c>
      <c r="K243">
        <f t="shared" ref="K243" si="406">IF(A243&lt;DATEVALUE("2025/11/20")+TIMEVALUE("6:00"),1,IF(OR(B243&lt;&gt;60,SUM(D243:F243)&lt;&gt;0,G243&gt;=IF(A243&lt;DATEVALUE("2025/12/28")+TIMEVALUE("6:00"),20,18)/24/60),0,2-INT(G243*24*60/10)))</f>
        <v>0</v>
      </c>
      <c r="L243">
        <f t="shared" ref="L243" si="407">L242+K243</f>
        <v>292</v>
      </c>
      <c r="M243">
        <f t="shared" ref="M243" si="408">2+IF(A243&gt;=DATEVALUE("2025/11/30")+TIMEVALUE("6:00"),1,0)+IF(A243&gt;=DATEVALUE("2025/12/11")+TIMEVALUE("6:00"),1,0)</f>
        <v>4</v>
      </c>
      <c r="N243">
        <f t="shared" ref="N243" si="409">N242+M243*(INT(A243-6/24)-INT(A242-6/24))+O243</f>
        <v>295</v>
      </c>
      <c r="O243">
        <f t="shared" ref="O243" si="410">IF(A243&gt;=DATEVALUE("2025/11/8")+TIMEVALUE("6:00"),1,0)-IF(A242&gt;=DATEVALUE("2025/11/8")+TIMEVALUE("6:00"),1,0)
+IF(A243&gt;=DATEVALUE("2026/1/22")+TIMEVALUE("6:00"),3,0)-IF(A242&gt;=DATEVALUE("2026/1/22")+TIMEVALUE("6:00"),3,0)</f>
        <v>0</v>
      </c>
      <c r="P243" t="str">
        <f t="shared" ref="P243" si="411">IF(L243&lt;N243,"未達成（"&amp;N243-L243&amp;"）",IF(L243=N243,"達成","前倒し（"&amp;L243-N243&amp;"）"))</f>
        <v>未達成（3）</v>
      </c>
      <c r="Q243">
        <f t="shared" ref="Q243" si="412">IF(B243="",NA(),G243)</f>
        <v>1.2511574073869269E-2</v>
      </c>
    </row>
    <row r="244" spans="1:17">
      <c r="A244" s="3">
        <v>46052.638495370367</v>
      </c>
      <c r="G244" s="5">
        <v>3.9467592578148469E-3</v>
      </c>
      <c r="H244" t="s">
        <v>542</v>
      </c>
      <c r="I244" t="s">
        <v>544</v>
      </c>
      <c r="J244">
        <v>1</v>
      </c>
      <c r="K244">
        <f t="shared" ref="K244" si="413">IF(A244&lt;DATEVALUE("2025/11/20")+TIMEVALUE("6:00"),1,IF(OR(B244&lt;&gt;60,SUM(D244:F244)&lt;&gt;0,G244&gt;=IF(A244&lt;DATEVALUE("2025/12/28")+TIMEVALUE("6:00"),20,18)/24/60),0,2-INT(G244*24*60/10)))</f>
        <v>0</v>
      </c>
      <c r="L244">
        <f t="shared" ref="L244" si="414">L243+K244</f>
        <v>292</v>
      </c>
      <c r="M244">
        <f t="shared" ref="M244" si="415">2+IF(A244&gt;=DATEVALUE("2025/11/30")+TIMEVALUE("6:00"),1,0)+IF(A244&gt;=DATEVALUE("2025/12/11")+TIMEVALUE("6:00"),1,0)</f>
        <v>4</v>
      </c>
      <c r="N244">
        <f t="shared" ref="N244" si="416">N243+M244*(INT(A244-6/24)-INT(A243-6/24))+O244</f>
        <v>295</v>
      </c>
      <c r="O244">
        <f t="shared" ref="O244" si="417">IF(A244&gt;=DATEVALUE("2025/11/8")+TIMEVALUE("6:00"),1,0)-IF(A243&gt;=DATEVALUE("2025/11/8")+TIMEVALUE("6:00"),1,0)
+IF(A244&gt;=DATEVALUE("2026/1/22")+TIMEVALUE("6:00"),3,0)-IF(A243&gt;=DATEVALUE("2026/1/22")+TIMEVALUE("6:00"),3,0)</f>
        <v>0</v>
      </c>
      <c r="P244" t="str">
        <f t="shared" ref="P244" si="418">IF(L244&lt;N244,"未達成（"&amp;N244-L244&amp;"）",IF(L244=N244,"達成","前倒し（"&amp;L244-N244&amp;"）"))</f>
        <v>未達成（3）</v>
      </c>
      <c r="Q244" t="e">
        <f t="shared" ref="Q244" si="419">IF(B244="",NA(),G244)</f>
        <v>#N/A</v>
      </c>
    </row>
    <row r="245" spans="1:17">
      <c r="A245" s="3">
        <v>46052.645300925928</v>
      </c>
      <c r="B245">
        <v>60</v>
      </c>
      <c r="C245">
        <v>12</v>
      </c>
      <c r="D245">
        <v>0</v>
      </c>
      <c r="E245">
        <v>0</v>
      </c>
      <c r="F245">
        <v>0</v>
      </c>
      <c r="G245" s="5">
        <v>6.1111111135687679E-3</v>
      </c>
      <c r="H245" t="s">
        <v>545</v>
      </c>
      <c r="I245" t="s">
        <v>543</v>
      </c>
      <c r="J245">
        <v>0</v>
      </c>
      <c r="K245">
        <f t="shared" ref="K245" si="420">IF(A245&lt;DATEVALUE("2025/11/20")+TIMEVALUE("6:00"),1,IF(OR(B245&lt;&gt;60,SUM(D245:F245)&lt;&gt;0,G245&gt;=IF(A245&lt;DATEVALUE("2025/12/28")+TIMEVALUE("6:00"),20,18)/24/60),0,2-INT(G245*24*60/10)))</f>
        <v>2</v>
      </c>
      <c r="L245">
        <f t="shared" ref="L245" si="421">L244+K245</f>
        <v>294</v>
      </c>
      <c r="M245">
        <f t="shared" ref="M245" si="422">2+IF(A245&gt;=DATEVALUE("2025/11/30")+TIMEVALUE("6:00"),1,0)+IF(A245&gt;=DATEVALUE("2025/12/11")+TIMEVALUE("6:00"),1,0)</f>
        <v>4</v>
      </c>
      <c r="N245">
        <f t="shared" ref="N245" si="423">N244+M245*(INT(A245-6/24)-INT(A244-6/24))+O245</f>
        <v>295</v>
      </c>
      <c r="O245">
        <f t="shared" ref="O245" si="424">IF(A245&gt;=DATEVALUE("2025/11/8")+TIMEVALUE("6:00"),1,0)-IF(A244&gt;=DATEVALUE("2025/11/8")+TIMEVALUE("6:00"),1,0)
+IF(A245&gt;=DATEVALUE("2026/1/22")+TIMEVALUE("6:00"),3,0)-IF(A244&gt;=DATEVALUE("2026/1/22")+TIMEVALUE("6:00"),3,0)</f>
        <v>0</v>
      </c>
      <c r="P245" t="str">
        <f t="shared" ref="P245" si="425">IF(L245&lt;N245,"未達成（"&amp;N245-L245&amp;"）",IF(L245=N245,"達成","前倒し（"&amp;L245-N245&amp;"）"))</f>
        <v>未達成（1）</v>
      </c>
      <c r="Q245">
        <f t="shared" ref="Q245" si="426">IF(B245="",NA(),G245)</f>
        <v>6.1111111135687679E-3</v>
      </c>
    </row>
    <row r="246" spans="1:17">
      <c r="A246" s="3">
        <v>46052.653009259258</v>
      </c>
      <c r="B246">
        <v>60</v>
      </c>
      <c r="C246">
        <v>18</v>
      </c>
      <c r="D246">
        <v>0</v>
      </c>
      <c r="E246">
        <v>0</v>
      </c>
      <c r="F246">
        <v>0</v>
      </c>
      <c r="G246" s="5">
        <v>6.7824074067175388E-3</v>
      </c>
      <c r="H246" t="s">
        <v>546</v>
      </c>
      <c r="I246" t="s">
        <v>547</v>
      </c>
      <c r="J246">
        <v>0</v>
      </c>
      <c r="K246">
        <f t="shared" ref="K246" si="427">IF(A246&lt;DATEVALUE("2025/11/20")+TIMEVALUE("6:00"),1,IF(OR(B246&lt;&gt;60,SUM(D246:F246)&lt;&gt;0,G246&gt;=IF(A246&lt;DATEVALUE("2025/12/28")+TIMEVALUE("6:00"),20,18)/24/60),0,2-INT(G246*24*60/10)))</f>
        <v>2</v>
      </c>
      <c r="L246">
        <f t="shared" ref="L246" si="428">L245+K246</f>
        <v>296</v>
      </c>
      <c r="M246">
        <f t="shared" ref="M246" si="429">2+IF(A246&gt;=DATEVALUE("2025/11/30")+TIMEVALUE("6:00"),1,0)+IF(A246&gt;=DATEVALUE("2025/12/11")+TIMEVALUE("6:00"),1,0)</f>
        <v>4</v>
      </c>
      <c r="N246">
        <f t="shared" ref="N246" si="430">N245+M246*(INT(A246-6/24)-INT(A245-6/24))+O246</f>
        <v>295</v>
      </c>
      <c r="O246">
        <f t="shared" ref="O246" si="431">IF(A246&gt;=DATEVALUE("2025/11/8")+TIMEVALUE("6:00"),1,0)-IF(A245&gt;=DATEVALUE("2025/11/8")+TIMEVALUE("6:00"),1,0)
+IF(A246&gt;=DATEVALUE("2026/1/22")+TIMEVALUE("6:00"),3,0)-IF(A245&gt;=DATEVALUE("2026/1/22")+TIMEVALUE("6:00"),3,0)</f>
        <v>0</v>
      </c>
      <c r="P246" t="str">
        <f t="shared" ref="P246" si="432">IF(L246&lt;N246,"未達成（"&amp;N246-L246&amp;"）",IF(L246=N246,"達成","前倒し（"&amp;L246-N246&amp;"）"))</f>
        <v>前倒し（1）</v>
      </c>
      <c r="Q246">
        <f t="shared" ref="Q246" si="433">IF(B246="",NA(),G246)</f>
        <v>6.7824074067175388E-3</v>
      </c>
    </row>
    <row r="247" spans="1:17">
      <c r="A247" s="3">
        <v>46053.287557870368</v>
      </c>
      <c r="B247">
        <v>60</v>
      </c>
      <c r="C247">
        <v>14</v>
      </c>
      <c r="D247">
        <v>0</v>
      </c>
      <c r="E247">
        <v>0</v>
      </c>
      <c r="F247">
        <v>0</v>
      </c>
      <c r="G247" s="5">
        <v>6.8402777760638855E-3</v>
      </c>
      <c r="H247" t="s">
        <v>548</v>
      </c>
      <c r="I247" t="s">
        <v>549</v>
      </c>
      <c r="J247">
        <v>0</v>
      </c>
      <c r="K247">
        <f t="shared" ref="K247" si="434">IF(A247&lt;DATEVALUE("2025/11/20")+TIMEVALUE("6:00"),1,IF(OR(B247&lt;&gt;60,SUM(D247:F247)&lt;&gt;0,G247&gt;=IF(A247&lt;DATEVALUE("2025/12/28")+TIMEVALUE("6:00"),20,18)/24/60),0,2-INT(G247*24*60/10)))</f>
        <v>2</v>
      </c>
      <c r="L247">
        <f t="shared" ref="L247" si="435">L246+K247</f>
        <v>298</v>
      </c>
      <c r="M247">
        <f t="shared" ref="M247" si="436">2+IF(A247&gt;=DATEVALUE("2025/11/30")+TIMEVALUE("6:00"),1,0)+IF(A247&gt;=DATEVALUE("2025/12/11")+TIMEVALUE("6:00"),1,0)</f>
        <v>4</v>
      </c>
      <c r="N247">
        <f t="shared" ref="N247" si="437">N246+M247*(INT(A247-6/24)-INT(A246-6/24))+O247</f>
        <v>299</v>
      </c>
      <c r="O247">
        <f t="shared" ref="O247" si="438">IF(A247&gt;=DATEVALUE("2025/11/8")+TIMEVALUE("6:00"),1,0)-IF(A246&gt;=DATEVALUE("2025/11/8")+TIMEVALUE("6:00"),1,0)
+IF(A247&gt;=DATEVALUE("2026/1/22")+TIMEVALUE("6:00"),3,0)-IF(A246&gt;=DATEVALUE("2026/1/22")+TIMEVALUE("6:00"),3,0)</f>
        <v>0</v>
      </c>
      <c r="P247" t="str">
        <f t="shared" ref="P247" si="439">IF(L247&lt;N247,"未達成（"&amp;N247-L247&amp;"）",IF(L247=N247,"達成","前倒し（"&amp;L247-N247&amp;"）"))</f>
        <v>未達成（1）</v>
      </c>
      <c r="Q247">
        <f t="shared" ref="Q247" si="440">IF(B247="",NA(),G247)</f>
        <v>6.8402777760638855E-3</v>
      </c>
    </row>
    <row r="248" spans="1:17">
      <c r="A248" s="3">
        <v>46053.29488425926</v>
      </c>
      <c r="B248">
        <v>60</v>
      </c>
      <c r="C248">
        <v>16</v>
      </c>
      <c r="D248">
        <v>0</v>
      </c>
      <c r="E248">
        <v>0</v>
      </c>
      <c r="F248">
        <v>0</v>
      </c>
      <c r="G248" s="5">
        <v>6.1458333366317675E-3</v>
      </c>
      <c r="H248" t="s">
        <v>550</v>
      </c>
      <c r="I248" t="s">
        <v>551</v>
      </c>
      <c r="J248">
        <v>0</v>
      </c>
      <c r="K248">
        <f t="shared" ref="K248" si="441">IF(A248&lt;DATEVALUE("2025/11/20")+TIMEVALUE("6:00"),1,IF(OR(B248&lt;&gt;60,SUM(D248:F248)&lt;&gt;0,G248&gt;=IF(A248&lt;DATEVALUE("2025/12/28")+TIMEVALUE("6:00"),20,18)/24/60),0,2-INT(G248*24*60/10)))</f>
        <v>2</v>
      </c>
      <c r="L248">
        <f t="shared" ref="L248" si="442">L247+K248</f>
        <v>300</v>
      </c>
      <c r="M248">
        <f t="shared" ref="M248" si="443">2+IF(A248&gt;=DATEVALUE("2025/11/30")+TIMEVALUE("6:00"),1,0)+IF(A248&gt;=DATEVALUE("2025/12/11")+TIMEVALUE("6:00"),1,0)</f>
        <v>4</v>
      </c>
      <c r="N248">
        <f t="shared" ref="N248" si="444">N247+M248*(INT(A248-6/24)-INT(A247-6/24))+O248</f>
        <v>299</v>
      </c>
      <c r="O248">
        <f t="shared" ref="O248" si="445">IF(A248&gt;=DATEVALUE("2025/11/8")+TIMEVALUE("6:00"),1,0)-IF(A247&gt;=DATEVALUE("2025/11/8")+TIMEVALUE("6:00"),1,0)
+IF(A248&gt;=DATEVALUE("2026/1/22")+TIMEVALUE("6:00"),3,0)-IF(A247&gt;=DATEVALUE("2026/1/22")+TIMEVALUE("6:00"),3,0)</f>
        <v>0</v>
      </c>
      <c r="P248" t="str">
        <f t="shared" ref="P248" si="446">IF(L248&lt;N248,"未達成（"&amp;N248-L248&amp;"）",IF(L248=N248,"達成","前倒し（"&amp;L248-N248&amp;"）"))</f>
        <v>前倒し（1）</v>
      </c>
      <c r="Q248">
        <f t="shared" ref="Q248" si="447">IF(B248="",NA(),G248)</f>
        <v>6.1458333366317675E-3</v>
      </c>
    </row>
    <row r="249" spans="1:17">
      <c r="A249" s="3">
        <v>46054.298888888887</v>
      </c>
      <c r="B249">
        <v>60</v>
      </c>
      <c r="C249">
        <v>6</v>
      </c>
      <c r="D249">
        <v>0</v>
      </c>
      <c r="E249">
        <v>0</v>
      </c>
      <c r="F249">
        <v>0</v>
      </c>
      <c r="G249" s="5">
        <v>9.0856481474475004E-3</v>
      </c>
      <c r="H249" t="s">
        <v>552</v>
      </c>
      <c r="I249" t="s">
        <v>553</v>
      </c>
      <c r="J249">
        <v>0</v>
      </c>
      <c r="K249">
        <f t="shared" ref="K249" si="448">IF(A249&lt;DATEVALUE("2025/11/20")+TIMEVALUE("6:00"),1,IF(OR(B249&lt;&gt;60,SUM(D249:F249)&lt;&gt;0,G249&gt;=IF(A249&lt;DATEVALUE("2025/12/28")+TIMEVALUE("6:00"),20,18)/24/60),0,2-INT(G249*24*60/10)))</f>
        <v>1</v>
      </c>
      <c r="L249">
        <f t="shared" ref="L249" si="449">L248+K249</f>
        <v>301</v>
      </c>
      <c r="M249">
        <f t="shared" ref="M249" si="450">2+IF(A249&gt;=DATEVALUE("2025/11/30")+TIMEVALUE("6:00"),1,0)+IF(A249&gt;=DATEVALUE("2025/12/11")+TIMEVALUE("6:00"),1,0)</f>
        <v>4</v>
      </c>
      <c r="N249">
        <f t="shared" ref="N249" si="451">N248+M249*(INT(A249-6/24)-INT(A248-6/24))+O249</f>
        <v>303</v>
      </c>
      <c r="O249">
        <f t="shared" ref="O249" si="452">IF(A249&gt;=DATEVALUE("2025/11/8")+TIMEVALUE("6:00"),1,0)-IF(A248&gt;=DATEVALUE("2025/11/8")+TIMEVALUE("6:00"),1,0)
+IF(A249&gt;=DATEVALUE("2026/1/22")+TIMEVALUE("6:00"),3,0)-IF(A248&gt;=DATEVALUE("2026/1/22")+TIMEVALUE("6:00"),3,0)</f>
        <v>0</v>
      </c>
      <c r="P249" t="str">
        <f t="shared" ref="P249" si="453">IF(L249&lt;N249,"未達成（"&amp;N249-L249&amp;"）",IF(L249=N249,"達成","前倒し（"&amp;L249-N249&amp;"）"))</f>
        <v>未達成（2）</v>
      </c>
      <c r="Q249">
        <f t="shared" ref="Q249" si="454">IF(B249="",NA(),G249)</f>
        <v>9.0856481474475004E-3</v>
      </c>
    </row>
    <row r="250" spans="1:17">
      <c r="A250" s="3">
        <v>46054.306226851855</v>
      </c>
      <c r="B250">
        <v>60</v>
      </c>
      <c r="C250">
        <v>19</v>
      </c>
      <c r="D250">
        <v>0</v>
      </c>
      <c r="E250">
        <v>0</v>
      </c>
      <c r="F250">
        <v>0</v>
      </c>
      <c r="G250" s="5">
        <v>6.3888888907968067E-3</v>
      </c>
      <c r="H250" t="s">
        <v>554</v>
      </c>
      <c r="I250" t="s">
        <v>555</v>
      </c>
      <c r="J250">
        <v>0</v>
      </c>
      <c r="K250">
        <f t="shared" ref="K250" si="455">IF(A250&lt;DATEVALUE("2025/11/20")+TIMEVALUE("6:00"),1,IF(OR(B250&lt;&gt;60,SUM(D250:F250)&lt;&gt;0,G250&gt;=IF(A250&lt;DATEVALUE("2025/12/28")+TIMEVALUE("6:00"),20,18)/24/60),0,2-INT(G250*24*60/10)))</f>
        <v>2</v>
      </c>
      <c r="L250">
        <f t="shared" ref="L250" si="456">L249+K250</f>
        <v>303</v>
      </c>
      <c r="M250">
        <f t="shared" ref="M250" si="457">2+IF(A250&gt;=DATEVALUE("2025/11/30")+TIMEVALUE("6:00"),1,0)+IF(A250&gt;=DATEVALUE("2025/12/11")+TIMEVALUE("6:00"),1,0)</f>
        <v>4</v>
      </c>
      <c r="N250">
        <f t="shared" ref="N250" si="458">N249+M250*(INT(A250-6/24)-INT(A249-6/24))+O250</f>
        <v>303</v>
      </c>
      <c r="O250">
        <f t="shared" ref="O250" si="459">IF(A250&gt;=DATEVALUE("2025/11/8")+TIMEVALUE("6:00"),1,0)-IF(A249&gt;=DATEVALUE("2025/11/8")+TIMEVALUE("6:00"),1,0)
+IF(A250&gt;=DATEVALUE("2026/1/22")+TIMEVALUE("6:00"),3,0)-IF(A249&gt;=DATEVALUE("2026/1/22")+TIMEVALUE("6:00"),3,0)</f>
        <v>0</v>
      </c>
      <c r="P250" t="str">
        <f t="shared" ref="P250" si="460">IF(L250&lt;N250,"未達成（"&amp;N250-L250&amp;"）",IF(L250=N250,"達成","前倒し（"&amp;L250-N250&amp;"）"))</f>
        <v>達成</v>
      </c>
      <c r="Q250">
        <f t="shared" ref="Q250" si="461">IF(B250="",NA(),G250)</f>
        <v>6.3888888907968067E-3</v>
      </c>
    </row>
    <row r="251" spans="1:17">
      <c r="A251" s="3">
        <v>46055.319432870368</v>
      </c>
      <c r="B251">
        <v>60</v>
      </c>
      <c r="C251">
        <v>10</v>
      </c>
      <c r="D251">
        <v>0</v>
      </c>
      <c r="E251">
        <v>0</v>
      </c>
      <c r="F251">
        <v>0</v>
      </c>
      <c r="G251" s="5">
        <v>6.0879629600094631E-3</v>
      </c>
      <c r="H251" t="s">
        <v>556</v>
      </c>
      <c r="I251" t="s">
        <v>557</v>
      </c>
      <c r="J251">
        <v>0</v>
      </c>
      <c r="K251">
        <f t="shared" ref="K251" si="462">IF(A251&lt;DATEVALUE("2025/11/20")+TIMEVALUE("6:00"),1,IF(OR(B251&lt;&gt;60,SUM(D251:F251)&lt;&gt;0,G251&gt;=IF(A251&lt;DATEVALUE("2025/12/28")+TIMEVALUE("6:00"),20,18)/24/60),0,2-INT(G251*24*60/10)))</f>
        <v>2</v>
      </c>
      <c r="L251">
        <f t="shared" ref="L251" si="463">L250+K251</f>
        <v>305</v>
      </c>
      <c r="M251">
        <f t="shared" ref="M251" si="464">2+IF(A251&gt;=DATEVALUE("2025/11/30")+TIMEVALUE("6:00"),1,0)+IF(A251&gt;=DATEVALUE("2025/12/11")+TIMEVALUE("6:00"),1,0)</f>
        <v>4</v>
      </c>
      <c r="N251">
        <f t="shared" ref="N251" si="465">N250+M251*(INT(A251-6/24)-INT(A250-6/24))+O251</f>
        <v>307</v>
      </c>
      <c r="O251">
        <f t="shared" ref="O251" si="466">IF(A251&gt;=DATEVALUE("2025/11/8")+TIMEVALUE("6:00"),1,0)-IF(A250&gt;=DATEVALUE("2025/11/8")+TIMEVALUE("6:00"),1,0)
+IF(A251&gt;=DATEVALUE("2026/1/22")+TIMEVALUE("6:00"),3,0)-IF(A250&gt;=DATEVALUE("2026/1/22")+TIMEVALUE("6:00"),3,0)</f>
        <v>0</v>
      </c>
      <c r="P251" t="str">
        <f t="shared" ref="P251" si="467">IF(L251&lt;N251,"未達成（"&amp;N251-L251&amp;"）",IF(L251=N251,"達成","前倒し（"&amp;L251-N251&amp;"）"))</f>
        <v>未達成（2）</v>
      </c>
      <c r="Q251">
        <f t="shared" ref="Q251" si="468">IF(B251="",NA(),G251)</f>
        <v>6.0879629600094631E-3</v>
      </c>
    </row>
    <row r="252" spans="1:17">
      <c r="A252" s="3">
        <v>46055.418067129627</v>
      </c>
      <c r="G252" s="5">
        <v>4.9768518510973081E-4</v>
      </c>
      <c r="H252" t="s">
        <v>558</v>
      </c>
      <c r="I252" t="s">
        <v>561</v>
      </c>
      <c r="J252">
        <v>1</v>
      </c>
      <c r="K252">
        <f t="shared" ref="K252" si="469">IF(A252&lt;DATEVALUE("2025/11/20")+TIMEVALUE("6:00"),1,IF(OR(B252&lt;&gt;60,SUM(D252:F252)&lt;&gt;0,G252&gt;=IF(A252&lt;DATEVALUE("2025/12/28")+TIMEVALUE("6:00"),20,18)/24/60),0,2-INT(G252*24*60/10)))</f>
        <v>0</v>
      </c>
      <c r="L252">
        <f t="shared" ref="L252" si="470">L251+K252</f>
        <v>305</v>
      </c>
      <c r="M252">
        <f t="shared" ref="M252" si="471">2+IF(A252&gt;=DATEVALUE("2025/11/30")+TIMEVALUE("6:00"),1,0)+IF(A252&gt;=DATEVALUE("2025/12/11")+TIMEVALUE("6:00"),1,0)</f>
        <v>4</v>
      </c>
      <c r="N252">
        <f t="shared" ref="N252" si="472">N251+M252*(INT(A252-6/24)-INT(A251-6/24))+O252</f>
        <v>307</v>
      </c>
      <c r="O252">
        <f t="shared" ref="O252" si="473">IF(A252&gt;=DATEVALUE("2025/11/8")+TIMEVALUE("6:00"),1,0)-IF(A251&gt;=DATEVALUE("2025/11/8")+TIMEVALUE("6:00"),1,0)
+IF(A252&gt;=DATEVALUE("2026/1/22")+TIMEVALUE("6:00"),3,0)-IF(A251&gt;=DATEVALUE("2026/1/22")+TIMEVALUE("6:00"),3,0)</f>
        <v>0</v>
      </c>
      <c r="P252" t="str">
        <f t="shared" ref="P252" si="474">IF(L252&lt;N252,"未達成（"&amp;N252-L252&amp;"）",IF(L252=N252,"達成","前倒し（"&amp;L252-N252&amp;"）"))</f>
        <v>未達成（2）</v>
      </c>
      <c r="Q252" t="e">
        <f t="shared" ref="Q252" si="475">IF(B252="",NA(),G252)</f>
        <v>#N/A</v>
      </c>
    </row>
    <row r="253" spans="1:17">
      <c r="A253" s="3">
        <v>46055.420219907406</v>
      </c>
      <c r="G253" s="5">
        <v>2.3379629637929611E-3</v>
      </c>
      <c r="H253" t="s">
        <v>559</v>
      </c>
      <c r="I253" t="s">
        <v>560</v>
      </c>
      <c r="J253">
        <v>1</v>
      </c>
      <c r="K253">
        <f t="shared" ref="K253" si="476">IF(A253&lt;DATEVALUE("2025/11/20")+TIMEVALUE("6:00"),1,IF(OR(B253&lt;&gt;60,SUM(D253:F253)&lt;&gt;0,G253&gt;=IF(A253&lt;DATEVALUE("2025/12/28")+TIMEVALUE("6:00"),20,18)/24/60),0,2-INT(G253*24*60/10)))</f>
        <v>0</v>
      </c>
      <c r="L253">
        <f t="shared" ref="L253" si="477">L252+K253</f>
        <v>305</v>
      </c>
      <c r="M253">
        <f t="shared" ref="M253" si="478">2+IF(A253&gt;=DATEVALUE("2025/11/30")+TIMEVALUE("6:00"),1,0)+IF(A253&gt;=DATEVALUE("2025/12/11")+TIMEVALUE("6:00"),1,0)</f>
        <v>4</v>
      </c>
      <c r="N253">
        <f t="shared" ref="N253" si="479">N252+M253*(INT(A253-6/24)-INT(A252-6/24))+O253</f>
        <v>307</v>
      </c>
      <c r="O253">
        <f t="shared" ref="O253" si="480">IF(A253&gt;=DATEVALUE("2025/11/8")+TIMEVALUE("6:00"),1,0)-IF(A252&gt;=DATEVALUE("2025/11/8")+TIMEVALUE("6:00"),1,0)
+IF(A253&gt;=DATEVALUE("2026/1/22")+TIMEVALUE("6:00"),3,0)-IF(A252&gt;=DATEVALUE("2026/1/22")+TIMEVALUE("6:00"),3,0)</f>
        <v>0</v>
      </c>
      <c r="P253" t="str">
        <f t="shared" ref="P253" si="481">IF(L253&lt;N253,"未達成（"&amp;N253-L253&amp;"）",IF(L253=N253,"達成","前倒し（"&amp;L253-N253&amp;"）"))</f>
        <v>未達成（2）</v>
      </c>
      <c r="Q253" t="e">
        <f t="shared" ref="Q253" si="482">IF(B253="",NA(),G253)</f>
        <v>#N/A</v>
      </c>
    </row>
    <row r="254" spans="1:17">
      <c r="A254" s="3">
        <v>46055.425706018519</v>
      </c>
      <c r="B254">
        <v>60</v>
      </c>
      <c r="C254">
        <v>14</v>
      </c>
      <c r="D254">
        <v>0</v>
      </c>
      <c r="E254">
        <v>0</v>
      </c>
      <c r="F254">
        <v>0</v>
      </c>
      <c r="G254" s="5">
        <v>6.6203703681821935E-3</v>
      </c>
      <c r="H254" t="s">
        <v>562</v>
      </c>
      <c r="I254" t="s">
        <v>563</v>
      </c>
      <c r="J254">
        <v>0</v>
      </c>
      <c r="K254">
        <f t="shared" ref="K254" si="483">IF(A254&lt;DATEVALUE("2025/11/20")+TIMEVALUE("6:00"),1,IF(OR(B254&lt;&gt;60,SUM(D254:F254)&lt;&gt;0,G254&gt;=IF(A254&lt;DATEVALUE("2025/12/28")+TIMEVALUE("6:00"),20,18)/24/60),0,2-INT(G254*24*60/10)))</f>
        <v>2</v>
      </c>
      <c r="L254">
        <f t="shared" ref="L254" si="484">L253+K254</f>
        <v>307</v>
      </c>
      <c r="M254">
        <f t="shared" ref="M254" si="485">2+IF(A254&gt;=DATEVALUE("2025/11/30")+TIMEVALUE("6:00"),1,0)+IF(A254&gt;=DATEVALUE("2025/12/11")+TIMEVALUE("6:00"),1,0)</f>
        <v>4</v>
      </c>
      <c r="N254">
        <f t="shared" ref="N254" si="486">N253+M254*(INT(A254-6/24)-INT(A253-6/24))+O254</f>
        <v>307</v>
      </c>
      <c r="O254">
        <f t="shared" ref="O254" si="487">IF(A254&gt;=DATEVALUE("2025/11/8")+TIMEVALUE("6:00"),1,0)-IF(A253&gt;=DATEVALUE("2025/11/8")+TIMEVALUE("6:00"),1,0)
+IF(A254&gt;=DATEVALUE("2026/1/22")+TIMEVALUE("6:00"),3,0)-IF(A253&gt;=DATEVALUE("2026/1/22")+TIMEVALUE("6:00"),3,0)</f>
        <v>0</v>
      </c>
      <c r="P254" t="str">
        <f t="shared" ref="P254" si="488">IF(L254&lt;N254,"未達成（"&amp;N254-L254&amp;"）",IF(L254=N254,"達成","前倒し（"&amp;L254-N254&amp;"）"))</f>
        <v>達成</v>
      </c>
      <c r="Q254">
        <f t="shared" ref="Q254" si="489">IF(B254="",NA(),G254)</f>
        <v>6.6203703681821935E-3</v>
      </c>
    </row>
    <row r="255" spans="1:17">
      <c r="A255" s="3">
        <v>46056.293865740743</v>
      </c>
      <c r="B255">
        <v>60</v>
      </c>
      <c r="C255">
        <v>5</v>
      </c>
      <c r="D255">
        <v>0</v>
      </c>
      <c r="E255">
        <v>0</v>
      </c>
      <c r="F255">
        <v>0</v>
      </c>
      <c r="G255" s="5">
        <v>5.8680555594037287E-3</v>
      </c>
      <c r="H255" t="s">
        <v>564</v>
      </c>
      <c r="I255" t="s">
        <v>565</v>
      </c>
      <c r="J255">
        <v>0</v>
      </c>
      <c r="K255">
        <f t="shared" ref="K255" si="490">IF(A255&lt;DATEVALUE("2025/11/20")+TIMEVALUE("6:00"),1,IF(OR(B255&lt;&gt;60,SUM(D255:F255)&lt;&gt;0,G255&gt;=IF(A255&lt;DATEVALUE("2025/12/28")+TIMEVALUE("6:00"),20,18)/24/60),0,2-INT(G255*24*60/10)))</f>
        <v>2</v>
      </c>
      <c r="L255">
        <f t="shared" ref="L255" si="491">L254+K255</f>
        <v>309</v>
      </c>
      <c r="M255">
        <f t="shared" ref="M255" si="492">2+IF(A255&gt;=DATEVALUE("2025/11/30")+TIMEVALUE("6:00"),1,0)+IF(A255&gt;=DATEVALUE("2025/12/11")+TIMEVALUE("6:00"),1,0)</f>
        <v>4</v>
      </c>
      <c r="N255">
        <f t="shared" ref="N255" si="493">N254+M255*(INT(A255-6/24)-INT(A254-6/24))+O255</f>
        <v>311</v>
      </c>
      <c r="O255">
        <f t="shared" ref="O255" si="494">IF(A255&gt;=DATEVALUE("2025/11/8")+TIMEVALUE("6:00"),1,0)-IF(A254&gt;=DATEVALUE("2025/11/8")+TIMEVALUE("6:00"),1,0)
+IF(A255&gt;=DATEVALUE("2026/1/22")+TIMEVALUE("6:00"),3,0)-IF(A254&gt;=DATEVALUE("2026/1/22")+TIMEVALUE("6:00"),3,0)</f>
        <v>0</v>
      </c>
      <c r="P255" t="str">
        <f t="shared" ref="P255" si="495">IF(L255&lt;N255,"未達成（"&amp;N255-L255&amp;"）",IF(L255=N255,"達成","前倒し（"&amp;L255-N255&amp;"）"))</f>
        <v>未達成（2）</v>
      </c>
      <c r="Q255">
        <f t="shared" ref="Q255" si="496">IF(B255="",NA(),G255)</f>
        <v>5.8680555594037287E-3</v>
      </c>
    </row>
    <row r="256" spans="1:17">
      <c r="A256" s="3">
        <v>46056.301400462966</v>
      </c>
      <c r="B256">
        <v>60</v>
      </c>
      <c r="C256">
        <v>32</v>
      </c>
      <c r="D256">
        <v>0</v>
      </c>
      <c r="E256">
        <v>0</v>
      </c>
      <c r="F256">
        <v>0</v>
      </c>
      <c r="G256" s="5">
        <v>6.1574074134114198E-3</v>
      </c>
      <c r="H256" t="s">
        <v>566</v>
      </c>
      <c r="I256" t="s">
        <v>567</v>
      </c>
      <c r="J256">
        <v>0</v>
      </c>
      <c r="K256">
        <f t="shared" ref="K256" si="497">IF(A256&lt;DATEVALUE("2025/11/20")+TIMEVALUE("6:00"),1,IF(OR(B256&lt;&gt;60,SUM(D256:F256)&lt;&gt;0,G256&gt;=IF(A256&lt;DATEVALUE("2025/12/28")+TIMEVALUE("6:00"),20,18)/24/60),0,2-INT(G256*24*60/10)))</f>
        <v>2</v>
      </c>
      <c r="L256">
        <f t="shared" ref="L256" si="498">L255+K256</f>
        <v>311</v>
      </c>
      <c r="M256">
        <f t="shared" ref="M256" si="499">2+IF(A256&gt;=DATEVALUE("2025/11/30")+TIMEVALUE("6:00"),1,0)+IF(A256&gt;=DATEVALUE("2025/12/11")+TIMEVALUE("6:00"),1,0)</f>
        <v>4</v>
      </c>
      <c r="N256">
        <f t="shared" ref="N256" si="500">N255+M256*(INT(A256-6/24)-INT(A255-6/24))+O256</f>
        <v>311</v>
      </c>
      <c r="O256">
        <f t="shared" ref="O256" si="501">IF(A256&gt;=DATEVALUE("2025/11/8")+TIMEVALUE("6:00"),1,0)-IF(A255&gt;=DATEVALUE("2025/11/8")+TIMEVALUE("6:00"),1,0)
+IF(A256&gt;=DATEVALUE("2026/1/22")+TIMEVALUE("6:00"),3,0)-IF(A255&gt;=DATEVALUE("2026/1/22")+TIMEVALUE("6:00"),3,0)</f>
        <v>0</v>
      </c>
      <c r="P256" t="str">
        <f t="shared" ref="P256" si="502">IF(L256&lt;N256,"未達成（"&amp;N256-L256&amp;"）",IF(L256=N256,"達成","前倒し（"&amp;L256-N256&amp;"）"))</f>
        <v>達成</v>
      </c>
      <c r="Q256">
        <f t="shared" ref="Q256" si="503">IF(B256="",NA(),G256)</f>
        <v>6.1574074134114198E-3</v>
      </c>
    </row>
    <row r="257" spans="1:17">
      <c r="A257" s="3">
        <v>46057.297500000001</v>
      </c>
      <c r="B257">
        <v>60</v>
      </c>
      <c r="C257">
        <v>11</v>
      </c>
      <c r="D257">
        <v>0</v>
      </c>
      <c r="E257">
        <v>0</v>
      </c>
      <c r="F257">
        <v>0</v>
      </c>
      <c r="G257" s="5">
        <v>5.7291666671517305E-3</v>
      </c>
      <c r="H257" t="s">
        <v>568</v>
      </c>
      <c r="I257" t="s">
        <v>569</v>
      </c>
      <c r="J257">
        <v>0</v>
      </c>
      <c r="K257">
        <f t="shared" ref="K257" si="504">IF(A257&lt;DATEVALUE("2025/11/20")+TIMEVALUE("6:00"),1,IF(OR(B257&lt;&gt;60,SUM(D257:F257)&lt;&gt;0,G257&gt;=IF(A257&lt;DATEVALUE("2025/12/28")+TIMEVALUE("6:00"),20,18)/24/60),0,2-INT(G257*24*60/10)))</f>
        <v>2</v>
      </c>
      <c r="L257">
        <f t="shared" ref="L257" si="505">L256+K257</f>
        <v>313</v>
      </c>
      <c r="M257">
        <f t="shared" ref="M257" si="506">2+IF(A257&gt;=DATEVALUE("2025/11/30")+TIMEVALUE("6:00"),1,0)+IF(A257&gt;=DATEVALUE("2025/12/11")+TIMEVALUE("6:00"),1,0)</f>
        <v>4</v>
      </c>
      <c r="N257">
        <f t="shared" ref="N257" si="507">N256+M257*(INT(A257-6/24)-INT(A256-6/24))+O257</f>
        <v>315</v>
      </c>
      <c r="O257">
        <f t="shared" ref="O257" si="508">IF(A257&gt;=DATEVALUE("2025/11/8")+TIMEVALUE("6:00"),1,0)-IF(A256&gt;=DATEVALUE("2025/11/8")+TIMEVALUE("6:00"),1,0)
+IF(A257&gt;=DATEVALUE("2026/1/22")+TIMEVALUE("6:00"),3,0)-IF(A256&gt;=DATEVALUE("2026/1/22")+TIMEVALUE("6:00"),3,0)</f>
        <v>0</v>
      </c>
      <c r="P257" t="str">
        <f t="shared" ref="P257" si="509">IF(L257&lt;N257,"未達成（"&amp;N257-L257&amp;"）",IF(L257=N257,"達成","前倒し（"&amp;L257-N257&amp;"）"))</f>
        <v>未達成（2）</v>
      </c>
      <c r="Q257">
        <f t="shared" ref="Q257" si="510">IF(B257="",NA(),G257)</f>
        <v>5.7291666671517305E-3</v>
      </c>
    </row>
    <row r="258" spans="1:17">
      <c r="A258" s="3">
        <v>46057.299641203703</v>
      </c>
      <c r="G258" s="5">
        <v>9.4907407037680969E-4</v>
      </c>
      <c r="H258" t="s">
        <v>570</v>
      </c>
      <c r="I258" t="s">
        <v>572</v>
      </c>
      <c r="J258">
        <v>1</v>
      </c>
      <c r="K258">
        <f t="shared" ref="K258" si="511">IF(A258&lt;DATEVALUE("2025/11/20")+TIMEVALUE("6:00"),1,IF(OR(B258&lt;&gt;60,SUM(D258:F258)&lt;&gt;0,G258&gt;=IF(A258&lt;DATEVALUE("2025/12/28")+TIMEVALUE("6:00"),20,18)/24/60),0,2-INT(G258*24*60/10)))</f>
        <v>0</v>
      </c>
      <c r="L258">
        <f t="shared" ref="L258" si="512">L257+K258</f>
        <v>313</v>
      </c>
      <c r="M258">
        <f t="shared" ref="M258" si="513">2+IF(A258&gt;=DATEVALUE("2025/11/30")+TIMEVALUE("6:00"),1,0)+IF(A258&gt;=DATEVALUE("2025/12/11")+TIMEVALUE("6:00"),1,0)</f>
        <v>4</v>
      </c>
      <c r="N258">
        <f t="shared" ref="N258" si="514">N257+M258*(INT(A258-6/24)-INT(A257-6/24))+O258</f>
        <v>315</v>
      </c>
      <c r="O258">
        <f t="shared" ref="O258" si="515">IF(A258&gt;=DATEVALUE("2025/11/8")+TIMEVALUE("6:00"),1,0)-IF(A257&gt;=DATEVALUE("2025/11/8")+TIMEVALUE("6:00"),1,0)
+IF(A258&gt;=DATEVALUE("2026/1/22")+TIMEVALUE("6:00"),3,0)-IF(A257&gt;=DATEVALUE("2026/1/22")+TIMEVALUE("6:00"),3,0)</f>
        <v>0</v>
      </c>
      <c r="P258" t="str">
        <f t="shared" ref="P258" si="516">IF(L258&lt;N258,"未達成（"&amp;N258-L258&amp;"）",IF(L258=N258,"達成","前倒し（"&amp;L258-N258&amp;"）"))</f>
        <v>未達成（2）</v>
      </c>
      <c r="Q258" t="e">
        <f t="shared" ref="Q258" si="517">IF(B258="",NA(),G258)</f>
        <v>#N/A</v>
      </c>
    </row>
    <row r="259" spans="1:17">
      <c r="A259" s="3">
        <v>46057.36550925926</v>
      </c>
      <c r="B259">
        <v>60</v>
      </c>
      <c r="C259">
        <v>15</v>
      </c>
      <c r="D259">
        <v>0</v>
      </c>
      <c r="E259">
        <v>0</v>
      </c>
      <c r="F259">
        <v>0</v>
      </c>
      <c r="G259" s="5">
        <v>4.4907407354912721E-3</v>
      </c>
      <c r="H259" t="s">
        <v>573</v>
      </c>
      <c r="I259" t="s">
        <v>571</v>
      </c>
      <c r="J259">
        <v>0</v>
      </c>
      <c r="K259">
        <f t="shared" ref="K259" si="518">IF(A259&lt;DATEVALUE("2025/11/20")+TIMEVALUE("6:00"),1,IF(OR(B259&lt;&gt;60,SUM(D259:F259)&lt;&gt;0,G259&gt;=IF(A259&lt;DATEVALUE("2025/12/28")+TIMEVALUE("6:00"),20,18)/24/60),0,2-INT(G259*24*60/10)))</f>
        <v>2</v>
      </c>
      <c r="L259">
        <f t="shared" ref="L259" si="519">L258+K259</f>
        <v>315</v>
      </c>
      <c r="M259">
        <f t="shared" ref="M259" si="520">2+IF(A259&gt;=DATEVALUE("2025/11/30")+TIMEVALUE("6:00"),1,0)+IF(A259&gt;=DATEVALUE("2025/12/11")+TIMEVALUE("6:00"),1,0)</f>
        <v>4</v>
      </c>
      <c r="N259">
        <f t="shared" ref="N259" si="521">N258+M259*(INT(A259-6/24)-INT(A258-6/24))+O259</f>
        <v>315</v>
      </c>
      <c r="O259">
        <f t="shared" ref="O259" si="522">IF(A259&gt;=DATEVALUE("2025/11/8")+TIMEVALUE("6:00"),1,0)-IF(A258&gt;=DATEVALUE("2025/11/8")+TIMEVALUE("6:00"),1,0)
+IF(A259&gt;=DATEVALUE("2026/1/22")+TIMEVALUE("6:00"),3,0)-IF(A258&gt;=DATEVALUE("2026/1/22")+TIMEVALUE("6:00"),3,0)</f>
        <v>0</v>
      </c>
      <c r="P259" t="str">
        <f t="shared" ref="P259" si="523">IF(L259&lt;N259,"未達成（"&amp;N259-L259&amp;"）",IF(L259=N259,"達成","前倒し（"&amp;L259-N259&amp;"）"))</f>
        <v>達成</v>
      </c>
      <c r="Q259">
        <f t="shared" ref="Q259" si="524">IF(B259="",NA(),G259)</f>
        <v>4.4907407354912721E-3</v>
      </c>
    </row>
    <row r="260" spans="1:17">
      <c r="A260" s="3">
        <v>46058.304814814815</v>
      </c>
      <c r="B260">
        <v>60</v>
      </c>
      <c r="C260">
        <v>16</v>
      </c>
      <c r="D260">
        <v>0</v>
      </c>
      <c r="E260">
        <v>0</v>
      </c>
      <c r="F260">
        <v>0</v>
      </c>
      <c r="G260" s="5">
        <v>7.3495370379532687E-3</v>
      </c>
      <c r="H260" t="s">
        <v>574</v>
      </c>
      <c r="I260" t="s">
        <v>575</v>
      </c>
      <c r="J260">
        <v>0</v>
      </c>
      <c r="K260">
        <f t="shared" ref="K260" si="525">IF(A260&lt;DATEVALUE("2025/11/20")+TIMEVALUE("6:00"),1,IF(OR(B260&lt;&gt;60,SUM(D260:F260)&lt;&gt;0,G260&gt;=IF(A260&lt;DATEVALUE("2025/12/28")+TIMEVALUE("6:00"),20,18)/24/60),0,2-INT(G260*24*60/10)))</f>
        <v>1</v>
      </c>
      <c r="L260">
        <f t="shared" ref="L260" si="526">L259+K260</f>
        <v>316</v>
      </c>
      <c r="M260">
        <f t="shared" ref="M260" si="527">2+IF(A260&gt;=DATEVALUE("2025/11/30")+TIMEVALUE("6:00"),1,0)+IF(A260&gt;=DATEVALUE("2025/12/11")+TIMEVALUE("6:00"),1,0)</f>
        <v>4</v>
      </c>
      <c r="N260">
        <f t="shared" ref="N260" si="528">N259+M260*(INT(A260-6/24)-INT(A259-6/24))+O260</f>
        <v>319</v>
      </c>
      <c r="O260">
        <f t="shared" ref="O260" si="529">IF(A260&gt;=DATEVALUE("2025/11/8")+TIMEVALUE("6:00"),1,0)-IF(A259&gt;=DATEVALUE("2025/11/8")+TIMEVALUE("6:00"),1,0)
+IF(A260&gt;=DATEVALUE("2026/1/22")+TIMEVALUE("6:00"),3,0)-IF(A259&gt;=DATEVALUE("2026/1/22")+TIMEVALUE("6:00"),3,0)</f>
        <v>0</v>
      </c>
      <c r="P260" t="str">
        <f t="shared" ref="P260" si="530">IF(L260&lt;N260,"未達成（"&amp;N260-L260&amp;"）",IF(L260=N260,"達成","前倒し（"&amp;L260-N260&amp;"）"))</f>
        <v>未達成（3）</v>
      </c>
      <c r="Q260">
        <f t="shared" ref="Q260" si="531">IF(B260="",NA(),G260)</f>
        <v>7.3495370379532687E-3</v>
      </c>
    </row>
    <row r="261" spans="1:17">
      <c r="A261" s="3">
        <v>46058.311574074076</v>
      </c>
      <c r="B261">
        <v>60</v>
      </c>
      <c r="C261">
        <v>17</v>
      </c>
      <c r="D261">
        <v>0</v>
      </c>
      <c r="E261">
        <v>0</v>
      </c>
      <c r="F261">
        <v>0</v>
      </c>
      <c r="G261" s="5">
        <v>5.9490740750334226E-3</v>
      </c>
      <c r="H261" t="s">
        <v>576</v>
      </c>
      <c r="I261" t="s">
        <v>577</v>
      </c>
      <c r="J261">
        <v>0</v>
      </c>
      <c r="K261">
        <f t="shared" ref="K261" si="532">IF(A261&lt;DATEVALUE("2025/11/20")+TIMEVALUE("6:00"),1,IF(OR(B261&lt;&gt;60,SUM(D261:F261)&lt;&gt;0,G261&gt;=IF(A261&lt;DATEVALUE("2025/12/28")+TIMEVALUE("6:00"),20,18)/24/60),0,2-INT(G261*24*60/10)))</f>
        <v>2</v>
      </c>
      <c r="L261">
        <f t="shared" ref="L261" si="533">L260+K261</f>
        <v>318</v>
      </c>
      <c r="M261">
        <f t="shared" ref="M261" si="534">2+IF(A261&gt;=DATEVALUE("2025/11/30")+TIMEVALUE("6:00"),1,0)+IF(A261&gt;=DATEVALUE("2025/12/11")+TIMEVALUE("6:00"),1,0)</f>
        <v>4</v>
      </c>
      <c r="N261">
        <f t="shared" ref="N261" si="535">N260+M261*(INT(A261-6/24)-INT(A260-6/24))+O261</f>
        <v>319</v>
      </c>
      <c r="O261">
        <f t="shared" ref="O261" si="536">IF(A261&gt;=DATEVALUE("2025/11/8")+TIMEVALUE("6:00"),1,0)-IF(A260&gt;=DATEVALUE("2025/11/8")+TIMEVALUE("6:00"),1,0)
+IF(A261&gt;=DATEVALUE("2026/1/22")+TIMEVALUE("6:00"),3,0)-IF(A260&gt;=DATEVALUE("2026/1/22")+TIMEVALUE("6:00"),3,0)</f>
        <v>0</v>
      </c>
      <c r="P261" t="str">
        <f t="shared" ref="P261" si="537">IF(L261&lt;N261,"未達成（"&amp;N261-L261&amp;"）",IF(L261=N261,"達成","前倒し（"&amp;L261-N261&amp;"）"))</f>
        <v>未達成（1）</v>
      </c>
      <c r="Q261">
        <f t="shared" ref="Q261" si="538">IF(B261="",NA(),G261)</f>
        <v>5.9490740750334226E-3</v>
      </c>
    </row>
    <row r="262" spans="1:17">
      <c r="A262" s="3">
        <v>46058.318773148145</v>
      </c>
      <c r="B262">
        <v>60</v>
      </c>
      <c r="C262">
        <v>2</v>
      </c>
      <c r="D262">
        <v>0</v>
      </c>
      <c r="E262">
        <v>0</v>
      </c>
      <c r="F262">
        <v>0</v>
      </c>
      <c r="G262" s="5">
        <v>6.5856481451191939E-3</v>
      </c>
      <c r="H262" t="s">
        <v>578</v>
      </c>
      <c r="I262" t="s">
        <v>579</v>
      </c>
      <c r="J262">
        <v>0</v>
      </c>
      <c r="K262">
        <f t="shared" ref="K262" si="539">IF(A262&lt;DATEVALUE("2025/11/20")+TIMEVALUE("6:00"),1,IF(OR(B262&lt;&gt;60,SUM(D262:F262)&lt;&gt;0,G262&gt;=IF(A262&lt;DATEVALUE("2025/12/28")+TIMEVALUE("6:00"),20,18)/24/60),0,2-INT(G262*24*60/10)))</f>
        <v>2</v>
      </c>
      <c r="L262">
        <f t="shared" ref="L262" si="540">L261+K262</f>
        <v>320</v>
      </c>
      <c r="M262">
        <f t="shared" ref="M262" si="541">2+IF(A262&gt;=DATEVALUE("2025/11/30")+TIMEVALUE("6:00"),1,0)+IF(A262&gt;=DATEVALUE("2025/12/11")+TIMEVALUE("6:00"),1,0)</f>
        <v>4</v>
      </c>
      <c r="N262">
        <f t="shared" ref="N262" si="542">N261+M262*(INT(A262-6/24)-INT(A261-6/24))+O262</f>
        <v>319</v>
      </c>
      <c r="O262">
        <f t="shared" ref="O262" si="543">IF(A262&gt;=DATEVALUE("2025/11/8")+TIMEVALUE("6:00"),1,0)-IF(A261&gt;=DATEVALUE("2025/11/8")+TIMEVALUE("6:00"),1,0)
+IF(A262&gt;=DATEVALUE("2026/1/22")+TIMEVALUE("6:00"),3,0)-IF(A261&gt;=DATEVALUE("2026/1/22")+TIMEVALUE("6:00"),3,0)</f>
        <v>0</v>
      </c>
      <c r="P262" t="str">
        <f t="shared" ref="P262" si="544">IF(L262&lt;N262,"未達成（"&amp;N262-L262&amp;"）",IF(L262=N262,"達成","前倒し（"&amp;L262-N262&amp;"）"))</f>
        <v>前倒し（1）</v>
      </c>
      <c r="Q262">
        <f t="shared" ref="Q262" si="545">IF(B262="",NA(),G262)</f>
        <v>6.5856481451191939E-3</v>
      </c>
    </row>
    <row r="263" spans="1:17">
      <c r="A263" s="3">
        <v>46059.313368055555</v>
      </c>
      <c r="B263">
        <v>60</v>
      </c>
      <c r="C263">
        <v>8</v>
      </c>
      <c r="D263">
        <v>0</v>
      </c>
      <c r="E263">
        <v>0</v>
      </c>
      <c r="F263">
        <v>0</v>
      </c>
      <c r="G263" s="5">
        <v>7.2337962919846177E-3</v>
      </c>
      <c r="H263" t="s">
        <v>580</v>
      </c>
      <c r="I263" t="s">
        <v>581</v>
      </c>
      <c r="J263">
        <v>0</v>
      </c>
      <c r="K263">
        <f t="shared" ref="K263" si="546">IF(A263&lt;DATEVALUE("2025/11/20")+TIMEVALUE("6:00"),1,IF(OR(B263&lt;&gt;60,SUM(D263:F263)&lt;&gt;0,G263&gt;=IF(A263&lt;DATEVALUE("2025/12/28")+TIMEVALUE("6:00"),20,18)/24/60),0,2-INT(G263*24*60/10)))</f>
        <v>1</v>
      </c>
      <c r="L263">
        <f t="shared" ref="L263" si="547">L262+K263</f>
        <v>321</v>
      </c>
      <c r="M263">
        <f t="shared" ref="M263" si="548">2+IF(A263&gt;=DATEVALUE("2025/11/30")+TIMEVALUE("6:00"),1,0)+IF(A263&gt;=DATEVALUE("2025/12/11")+TIMEVALUE("6:00"),1,0)</f>
        <v>4</v>
      </c>
      <c r="N263">
        <f t="shared" ref="N263" si="549">N262+M263*(INT(A263-6/24)-INT(A262-6/24))+O263</f>
        <v>323</v>
      </c>
      <c r="O263">
        <f t="shared" ref="O263" si="550">IF(A263&gt;=DATEVALUE("2025/11/8")+TIMEVALUE("6:00"),1,0)-IF(A262&gt;=DATEVALUE("2025/11/8")+TIMEVALUE("6:00"),1,0)
+IF(A263&gt;=DATEVALUE("2026/1/22")+TIMEVALUE("6:00"),3,0)-IF(A262&gt;=DATEVALUE("2026/1/22")+TIMEVALUE("6:00"),3,0)</f>
        <v>0</v>
      </c>
      <c r="P263" t="str">
        <f t="shared" ref="P263" si="551">IF(L263&lt;N263,"未達成（"&amp;N263-L263&amp;"）",IF(L263=N263,"達成","前倒し（"&amp;L263-N263&amp;"）"))</f>
        <v>未達成（2）</v>
      </c>
      <c r="Q263">
        <f t="shared" ref="Q263" si="552">IF(B263="",NA(),G263)</f>
        <v>7.2337962919846177E-3</v>
      </c>
    </row>
    <row r="264" spans="1:17">
      <c r="A264" s="3">
        <v>46059.324537037035</v>
      </c>
      <c r="B264">
        <v>60</v>
      </c>
      <c r="C264">
        <v>12</v>
      </c>
      <c r="D264">
        <v>0</v>
      </c>
      <c r="E264">
        <v>0</v>
      </c>
      <c r="F264">
        <v>0</v>
      </c>
      <c r="G264" s="5">
        <v>1.0648148148902692E-2</v>
      </c>
      <c r="H264" t="s">
        <v>582</v>
      </c>
      <c r="I264" t="s">
        <v>583</v>
      </c>
      <c r="J264">
        <v>0</v>
      </c>
      <c r="K264">
        <f t="shared" ref="K264" si="553">IF(A264&lt;DATEVALUE("2025/11/20")+TIMEVALUE("6:00"),1,IF(OR(B264&lt;&gt;60,SUM(D264:F264)&lt;&gt;0,G264&gt;=IF(A264&lt;DATEVALUE("2025/12/28")+TIMEVALUE("6:00"),20,18)/24/60),0,2-INT(G264*24*60/10)))</f>
        <v>1</v>
      </c>
      <c r="L264">
        <f t="shared" ref="L264" si="554">L263+K264</f>
        <v>322</v>
      </c>
      <c r="M264">
        <f t="shared" ref="M264" si="555">2+IF(A264&gt;=DATEVALUE("2025/11/30")+TIMEVALUE("6:00"),1,0)+IF(A264&gt;=DATEVALUE("2025/12/11")+TIMEVALUE("6:00"),1,0)</f>
        <v>4</v>
      </c>
      <c r="N264">
        <f t="shared" ref="N264" si="556">N263+M264*(INT(A264-6/24)-INT(A263-6/24))+O264</f>
        <v>323</v>
      </c>
      <c r="O264">
        <f t="shared" ref="O264" si="557">IF(A264&gt;=DATEVALUE("2025/11/8")+TIMEVALUE("6:00"),1,0)-IF(A263&gt;=DATEVALUE("2025/11/8")+TIMEVALUE("6:00"),1,0)
+IF(A264&gt;=DATEVALUE("2026/1/22")+TIMEVALUE("6:00"),3,0)-IF(A263&gt;=DATEVALUE("2026/1/22")+TIMEVALUE("6:00"),3,0)</f>
        <v>0</v>
      </c>
      <c r="P264" t="str">
        <f t="shared" ref="P264" si="558">IF(L264&lt;N264,"未達成（"&amp;N264-L264&amp;"）",IF(L264=N264,"達成","前倒し（"&amp;L264-N264&amp;"）"))</f>
        <v>未達成（1）</v>
      </c>
      <c r="Q264">
        <f t="shared" ref="Q264" si="559">IF(B264="",NA(),G264)</f>
        <v>1.0648148148902692E-2</v>
      </c>
    </row>
    <row r="265" spans="1:17">
      <c r="A265" s="3">
        <v>46059.887974537036</v>
      </c>
      <c r="B265">
        <v>60</v>
      </c>
      <c r="C265">
        <v>16</v>
      </c>
      <c r="D265">
        <v>0</v>
      </c>
      <c r="E265">
        <v>0</v>
      </c>
      <c r="F265">
        <v>0</v>
      </c>
      <c r="G265" s="5">
        <v>9.1203703705104999E-3</v>
      </c>
      <c r="H265" t="s">
        <v>584</v>
      </c>
      <c r="I265" t="s">
        <v>585</v>
      </c>
      <c r="J265">
        <v>0</v>
      </c>
      <c r="K265">
        <f t="shared" ref="K265" si="560">IF(A265&lt;DATEVALUE("2025/11/20")+TIMEVALUE("6:00"),1,IF(OR(B265&lt;&gt;60,SUM(D265:F265)&lt;&gt;0,G265&gt;=IF(A265&lt;DATEVALUE("2025/12/28")+TIMEVALUE("6:00"),20,18)/24/60),0,2-INT(G265*24*60/10)))</f>
        <v>1</v>
      </c>
      <c r="L265">
        <f t="shared" ref="L265" si="561">L264+K265</f>
        <v>323</v>
      </c>
      <c r="M265">
        <f t="shared" ref="M265" si="562">2+IF(A265&gt;=DATEVALUE("2025/11/30")+TIMEVALUE("6:00"),1,0)+IF(A265&gt;=DATEVALUE("2025/12/11")+TIMEVALUE("6:00"),1,0)</f>
        <v>4</v>
      </c>
      <c r="N265">
        <f t="shared" ref="N265" si="563">N264+M265*(INT(A265-6/24)-INT(A264-6/24))+O265</f>
        <v>323</v>
      </c>
      <c r="O265">
        <f t="shared" ref="O265" si="564">IF(A265&gt;=DATEVALUE("2025/11/8")+TIMEVALUE("6:00"),1,0)-IF(A264&gt;=DATEVALUE("2025/11/8")+TIMEVALUE("6:00"),1,0)
+IF(A265&gt;=DATEVALUE("2026/1/22")+TIMEVALUE("6:00"),3,0)-IF(A264&gt;=DATEVALUE("2026/1/22")+TIMEVALUE("6:00"),3,0)</f>
        <v>0</v>
      </c>
      <c r="P265" t="str">
        <f t="shared" ref="P265" si="565">IF(L265&lt;N265,"未達成（"&amp;N265-L265&amp;"）",IF(L265=N265,"達成","前倒し（"&amp;L265-N265&amp;"）"))</f>
        <v>達成</v>
      </c>
      <c r="Q265">
        <f t="shared" ref="Q265" si="566">IF(B265="",NA(),G265)</f>
        <v>9.1203703705104999E-3</v>
      </c>
    </row>
    <row r="266" spans="1:17">
      <c r="A266" s="3">
        <v>46060.286041666666</v>
      </c>
      <c r="B266">
        <v>60</v>
      </c>
      <c r="C266">
        <v>28</v>
      </c>
      <c r="D266">
        <v>0</v>
      </c>
      <c r="E266">
        <v>0</v>
      </c>
      <c r="F266">
        <v>0</v>
      </c>
      <c r="G266" s="5">
        <v>5.173611112695653E-3</v>
      </c>
      <c r="H266" t="s">
        <v>586</v>
      </c>
      <c r="I266" t="s">
        <v>587</v>
      </c>
      <c r="J266">
        <v>0</v>
      </c>
      <c r="K266">
        <f t="shared" ref="K266" si="567">IF(A266&lt;DATEVALUE("2025/11/20")+TIMEVALUE("6:00"),1,IF(OR(B266&lt;&gt;60,SUM(D266:F266)&lt;&gt;0,G266&gt;=IF(A266&lt;DATEVALUE("2025/12/28")+TIMEVALUE("6:00"),20,18)/24/60),0,2-INT(G266*24*60/10)))</f>
        <v>2</v>
      </c>
      <c r="L266">
        <f t="shared" ref="L266" si="568">L265+K266</f>
        <v>325</v>
      </c>
      <c r="M266">
        <f t="shared" ref="M266" si="569">2+IF(A266&gt;=DATEVALUE("2025/11/30")+TIMEVALUE("6:00"),1,0)+IF(A266&gt;=DATEVALUE("2025/12/11")+TIMEVALUE("6:00"),1,0)</f>
        <v>4</v>
      </c>
      <c r="N266">
        <f t="shared" ref="N266" si="570">N265+M266*(INT(A266-6/24)-INT(A265-6/24))+O266</f>
        <v>327</v>
      </c>
      <c r="O266">
        <f t="shared" ref="O266" si="571">IF(A266&gt;=DATEVALUE("2025/11/8")+TIMEVALUE("6:00"),1,0)-IF(A265&gt;=DATEVALUE("2025/11/8")+TIMEVALUE("6:00"),1,0)
+IF(A266&gt;=DATEVALUE("2026/1/22")+TIMEVALUE("6:00"),3,0)-IF(A265&gt;=DATEVALUE("2026/1/22")+TIMEVALUE("6:00"),3,0)</f>
        <v>0</v>
      </c>
      <c r="P266" t="str">
        <f t="shared" ref="P266" si="572">IF(L266&lt;N266,"未達成（"&amp;N266-L266&amp;"）",IF(L266=N266,"達成","前倒し（"&amp;L266-N266&amp;"）"))</f>
        <v>未達成（2）</v>
      </c>
      <c r="Q266">
        <f t="shared" ref="Q266" si="573">IF(B266="",NA(),G266)</f>
        <v>5.173611112695653E-3</v>
      </c>
    </row>
    <row r="267" spans="1:17">
      <c r="A267" s="3">
        <v>46060.305289351854</v>
      </c>
      <c r="B267">
        <v>60</v>
      </c>
      <c r="C267">
        <v>16</v>
      </c>
      <c r="D267">
        <v>0</v>
      </c>
      <c r="E267">
        <v>0</v>
      </c>
      <c r="F267">
        <v>0</v>
      </c>
      <c r="G267" s="5">
        <v>9.4675925938645378E-3</v>
      </c>
      <c r="H267" t="s">
        <v>588</v>
      </c>
      <c r="I267" t="s">
        <v>589</v>
      </c>
      <c r="J267">
        <v>0</v>
      </c>
      <c r="K267">
        <f t="shared" ref="K267" si="574">IF(A267&lt;DATEVALUE("2025/11/20")+TIMEVALUE("6:00"),1,IF(OR(B267&lt;&gt;60,SUM(D267:F267)&lt;&gt;0,G267&gt;=IF(A267&lt;DATEVALUE("2025/12/28")+TIMEVALUE("6:00"),20,18)/24/60),0,2-INT(G267*24*60/10)))</f>
        <v>1</v>
      </c>
      <c r="L267">
        <f t="shared" ref="L267" si="575">L266+K267</f>
        <v>326</v>
      </c>
      <c r="M267">
        <f t="shared" ref="M267" si="576">2+IF(A267&gt;=DATEVALUE("2025/11/30")+TIMEVALUE("6:00"),1,0)+IF(A267&gt;=DATEVALUE("2025/12/11")+TIMEVALUE("6:00"),1,0)</f>
        <v>4</v>
      </c>
      <c r="N267">
        <f t="shared" ref="N267" si="577">N266+M267*(INT(A267-6/24)-INT(A266-6/24))+O267</f>
        <v>327</v>
      </c>
      <c r="O267">
        <f t="shared" ref="O267" si="578">IF(A267&gt;=DATEVALUE("2025/11/8")+TIMEVALUE("6:00"),1,0)-IF(A266&gt;=DATEVALUE("2025/11/8")+TIMEVALUE("6:00"),1,0)
+IF(A267&gt;=DATEVALUE("2026/1/22")+TIMEVALUE("6:00"),3,0)-IF(A266&gt;=DATEVALUE("2026/1/22")+TIMEVALUE("6:00"),3,0)</f>
        <v>0</v>
      </c>
      <c r="P267" t="str">
        <f t="shared" ref="P267" si="579">IF(L267&lt;N267,"未達成（"&amp;N267-L267&amp;"）",IF(L267=N267,"達成","前倒し（"&amp;L267-N267&amp;"）"))</f>
        <v>未達成（1）</v>
      </c>
      <c r="Q267">
        <f t="shared" ref="Q267" si="580">IF(B267="",NA(),G267)</f>
        <v>9.4675925938645378E-3</v>
      </c>
    </row>
    <row r="268" spans="1:17">
      <c r="A268" s="3">
        <v>46060.31490740741</v>
      </c>
      <c r="B268">
        <v>60</v>
      </c>
      <c r="C268">
        <v>6</v>
      </c>
      <c r="D268">
        <v>0</v>
      </c>
      <c r="E268">
        <v>0</v>
      </c>
      <c r="F268">
        <v>0</v>
      </c>
      <c r="G268" s="5">
        <v>8.1134259307873435E-3</v>
      </c>
      <c r="H268" t="s">
        <v>590</v>
      </c>
      <c r="I268" t="s">
        <v>591</v>
      </c>
      <c r="J268">
        <v>0</v>
      </c>
      <c r="K268">
        <f t="shared" ref="K268" si="581">IF(A268&lt;DATEVALUE("2025/11/20")+TIMEVALUE("6:00"),1,IF(OR(B268&lt;&gt;60,SUM(D268:F268)&lt;&gt;0,G268&gt;=IF(A268&lt;DATEVALUE("2025/12/28")+TIMEVALUE("6:00"),20,18)/24/60),0,2-INT(G268*24*60/10)))</f>
        <v>1</v>
      </c>
      <c r="L268">
        <f t="shared" ref="L268" si="582">L267+K268</f>
        <v>327</v>
      </c>
      <c r="M268">
        <f t="shared" ref="M268" si="583">2+IF(A268&gt;=DATEVALUE("2025/11/30")+TIMEVALUE("6:00"),1,0)+IF(A268&gt;=DATEVALUE("2025/12/11")+TIMEVALUE("6:00"),1,0)</f>
        <v>4</v>
      </c>
      <c r="N268">
        <f t="shared" ref="N268" si="584">N267+M268*(INT(A268-6/24)-INT(A267-6/24))+O268</f>
        <v>327</v>
      </c>
      <c r="O268">
        <f t="shared" ref="O268" si="585">IF(A268&gt;=DATEVALUE("2025/11/8")+TIMEVALUE("6:00"),1,0)-IF(A267&gt;=DATEVALUE("2025/11/8")+TIMEVALUE("6:00"),1,0)
+IF(A268&gt;=DATEVALUE("2026/1/22")+TIMEVALUE("6:00"),3,0)-IF(A267&gt;=DATEVALUE("2026/1/22")+TIMEVALUE("6:00"),3,0)</f>
        <v>0</v>
      </c>
      <c r="P268" t="str">
        <f t="shared" ref="P268" si="586">IF(L268&lt;N268,"未達成（"&amp;N268-L268&amp;"）",IF(L268=N268,"達成","前倒し（"&amp;L268-N268&amp;"）"))</f>
        <v>達成</v>
      </c>
      <c r="Q268">
        <f t="shared" ref="Q268" si="587">IF(B268="",NA(),G268)</f>
        <v>8.1134259307873435E-3</v>
      </c>
    </row>
    <row r="269" spans="1:17">
      <c r="A269" s="3">
        <v>46061.276041666664</v>
      </c>
      <c r="B269">
        <v>60</v>
      </c>
      <c r="C269">
        <v>14</v>
      </c>
      <c r="D269">
        <v>0</v>
      </c>
      <c r="E269">
        <v>0</v>
      </c>
      <c r="F269">
        <v>0</v>
      </c>
      <c r="G269" s="5">
        <v>1.0937499995634425E-2</v>
      </c>
      <c r="H269" t="s">
        <v>592</v>
      </c>
      <c r="I269" t="s">
        <v>593</v>
      </c>
      <c r="J269">
        <v>0</v>
      </c>
      <c r="K269">
        <f t="shared" ref="K269" si="588">IF(A269&lt;DATEVALUE("2025/11/20")+TIMEVALUE("6:00"),1,IF(OR(B269&lt;&gt;60,SUM(D269:F269)&lt;&gt;0,G269&gt;=IF(A269&lt;DATEVALUE("2025/12/28")+TIMEVALUE("6:00"),20,18)/24/60),0,2-INT(G269*24*60/10)))</f>
        <v>1</v>
      </c>
      <c r="L269">
        <f t="shared" ref="L269" si="589">L268+K269</f>
        <v>328</v>
      </c>
      <c r="M269">
        <f t="shared" ref="M269" si="590">2+IF(A269&gt;=DATEVALUE("2025/11/30")+TIMEVALUE("6:00"),1,0)+IF(A269&gt;=DATEVALUE("2025/12/11")+TIMEVALUE("6:00"),1,0)</f>
        <v>4</v>
      </c>
      <c r="N269">
        <f t="shared" ref="N269" si="591">N268+M269*(INT(A269-6/24)-INT(A268-6/24))+O269</f>
        <v>331</v>
      </c>
      <c r="O269">
        <f t="shared" ref="O269" si="592">IF(A269&gt;=DATEVALUE("2025/11/8")+TIMEVALUE("6:00"),1,0)-IF(A268&gt;=DATEVALUE("2025/11/8")+TIMEVALUE("6:00"),1,0)
+IF(A269&gt;=DATEVALUE("2026/1/22")+TIMEVALUE("6:00"),3,0)-IF(A268&gt;=DATEVALUE("2026/1/22")+TIMEVALUE("6:00"),3,0)</f>
        <v>0</v>
      </c>
      <c r="P269" t="str">
        <f t="shared" ref="P269" si="593">IF(L269&lt;N269,"未達成（"&amp;N269-L269&amp;"）",IF(L269=N269,"達成","前倒し（"&amp;L269-N269&amp;"）"))</f>
        <v>未達成（3）</v>
      </c>
      <c r="Q269">
        <f t="shared" ref="Q269" si="594">IF(B269="",NA(),G269)</f>
        <v>1.0937499995634425E-2</v>
      </c>
    </row>
    <row r="270" spans="1:17">
      <c r="A270" s="3">
        <v>46061.305439814816</v>
      </c>
      <c r="B270">
        <v>60</v>
      </c>
      <c r="C270">
        <v>15</v>
      </c>
      <c r="D270">
        <v>0</v>
      </c>
      <c r="E270">
        <v>0</v>
      </c>
      <c r="F270">
        <v>0</v>
      </c>
      <c r="G270" s="5">
        <v>5.6828703745850362E-3</v>
      </c>
      <c r="H270" t="s">
        <v>594</v>
      </c>
      <c r="I270" t="s">
        <v>595</v>
      </c>
      <c r="J270">
        <v>0</v>
      </c>
      <c r="K270">
        <f t="shared" ref="K270" si="595">IF(A270&lt;DATEVALUE("2025/11/20")+TIMEVALUE("6:00"),1,IF(OR(B270&lt;&gt;60,SUM(D270:F270)&lt;&gt;0,G270&gt;=IF(A270&lt;DATEVALUE("2025/12/28")+TIMEVALUE("6:00"),20,18)/24/60),0,2-INT(G270*24*60/10)))</f>
        <v>2</v>
      </c>
      <c r="L270">
        <f t="shared" ref="L270" si="596">L269+K270</f>
        <v>330</v>
      </c>
      <c r="M270">
        <f t="shared" ref="M270" si="597">2+IF(A270&gt;=DATEVALUE("2025/11/30")+TIMEVALUE("6:00"),1,0)+IF(A270&gt;=DATEVALUE("2025/12/11")+TIMEVALUE("6:00"),1,0)</f>
        <v>4</v>
      </c>
      <c r="N270">
        <f t="shared" ref="N270" si="598">N269+M270*(INT(A270-6/24)-INT(A269-6/24))+O270</f>
        <v>331</v>
      </c>
      <c r="O270">
        <f t="shared" ref="O270" si="599">IF(A270&gt;=DATEVALUE("2025/11/8")+TIMEVALUE("6:00"),1,0)-IF(A269&gt;=DATEVALUE("2025/11/8")+TIMEVALUE("6:00"),1,0)
+IF(A270&gt;=DATEVALUE("2026/1/22")+TIMEVALUE("6:00"),3,0)-IF(A269&gt;=DATEVALUE("2026/1/22")+TIMEVALUE("6:00"),3,0)</f>
        <v>0</v>
      </c>
      <c r="P270" t="str">
        <f t="shared" ref="P270" si="600">IF(L270&lt;N270,"未達成（"&amp;N270-L270&amp;"）",IF(L270=N270,"達成","前倒し（"&amp;L270-N270&amp;"）"))</f>
        <v>未達成（1）</v>
      </c>
      <c r="Q270">
        <f t="shared" ref="Q270" si="601">IF(B270="",NA(),G270)</f>
        <v>5.6828703745850362E-3</v>
      </c>
    </row>
    <row r="271" spans="1:17">
      <c r="A271" s="3">
        <v>46061.313645833332</v>
      </c>
      <c r="B271">
        <v>60</v>
      </c>
      <c r="C271">
        <v>20</v>
      </c>
      <c r="D271">
        <v>0</v>
      </c>
      <c r="E271">
        <v>0</v>
      </c>
      <c r="F271">
        <v>0</v>
      </c>
      <c r="G271" s="5">
        <v>7.6851851845276542E-3</v>
      </c>
      <c r="H271" t="s">
        <v>596</v>
      </c>
      <c r="I271" t="s">
        <v>597</v>
      </c>
      <c r="J271">
        <v>0</v>
      </c>
      <c r="K271">
        <f t="shared" ref="K271" si="602">IF(A271&lt;DATEVALUE("2025/11/20")+TIMEVALUE("6:00"),1,IF(OR(B271&lt;&gt;60,SUM(D271:F271)&lt;&gt;0,G271&gt;=IF(A271&lt;DATEVALUE("2025/12/28")+TIMEVALUE("6:00"),20,18)/24/60),0,2-INT(G271*24*60/10)))</f>
        <v>1</v>
      </c>
      <c r="L271">
        <f t="shared" ref="L271" si="603">L270+K271</f>
        <v>331</v>
      </c>
      <c r="M271">
        <f t="shared" ref="M271" si="604">2+IF(A271&gt;=DATEVALUE("2025/11/30")+TIMEVALUE("6:00"),1,0)+IF(A271&gt;=DATEVALUE("2025/12/11")+TIMEVALUE("6:00"),1,0)</f>
        <v>4</v>
      </c>
      <c r="N271">
        <f t="shared" ref="N271" si="605">N270+M271*(INT(A271-6/24)-INT(A270-6/24))+O271</f>
        <v>331</v>
      </c>
      <c r="O271">
        <f t="shared" ref="O271" si="606">IF(A271&gt;=DATEVALUE("2025/11/8")+TIMEVALUE("6:00"),1,0)-IF(A270&gt;=DATEVALUE("2025/11/8")+TIMEVALUE("6:00"),1,0)
+IF(A271&gt;=DATEVALUE("2026/1/22")+TIMEVALUE("6:00"),3,0)-IF(A270&gt;=DATEVALUE("2026/1/22")+TIMEVALUE("6:00"),3,0)</f>
        <v>0</v>
      </c>
      <c r="P271" t="str">
        <f t="shared" ref="P271" si="607">IF(L271&lt;N271,"未達成（"&amp;N271-L271&amp;"）",IF(L271=N271,"達成","前倒し（"&amp;L271-N271&amp;"）"))</f>
        <v>達成</v>
      </c>
      <c r="Q271">
        <f t="shared" ref="Q271" si="608">IF(B271="",NA(),G271)</f>
        <v>7.6851851845276542E-3</v>
      </c>
    </row>
    <row r="272" spans="1:17">
      <c r="A272" s="3">
        <v>46062.293506944443</v>
      </c>
      <c r="B272">
        <v>60</v>
      </c>
      <c r="C272">
        <v>12</v>
      </c>
      <c r="D272">
        <v>0</v>
      </c>
      <c r="E272">
        <v>0</v>
      </c>
      <c r="F272">
        <v>0</v>
      </c>
      <c r="G272" s="5">
        <v>6.6666666680248454E-3</v>
      </c>
      <c r="H272" t="s">
        <v>598</v>
      </c>
      <c r="I272" t="s">
        <v>599</v>
      </c>
      <c r="J272">
        <v>0</v>
      </c>
      <c r="K272">
        <f t="shared" ref="K272" si="609">IF(A272&lt;DATEVALUE("2025/11/20")+TIMEVALUE("6:00"),1,IF(OR(B272&lt;&gt;60,SUM(D272:F272)&lt;&gt;0,G272&gt;=IF(A272&lt;DATEVALUE("2025/12/28")+TIMEVALUE("6:00"),20,18)/24/60),0,2-INT(G272*24*60/10)))</f>
        <v>2</v>
      </c>
      <c r="L272">
        <f t="shared" ref="L272" si="610">L271+K272</f>
        <v>333</v>
      </c>
      <c r="M272">
        <f t="shared" ref="M272" si="611">2+IF(A272&gt;=DATEVALUE("2025/11/30")+TIMEVALUE("6:00"),1,0)+IF(A272&gt;=DATEVALUE("2025/12/11")+TIMEVALUE("6:00"),1,0)</f>
        <v>4</v>
      </c>
      <c r="N272">
        <f t="shared" ref="N272" si="612">N271+M272*(INT(A272-6/24)-INT(A271-6/24))+O272</f>
        <v>335</v>
      </c>
      <c r="O272">
        <f t="shared" ref="O272" si="613">IF(A272&gt;=DATEVALUE("2025/11/8")+TIMEVALUE("6:00"),1,0)-IF(A271&gt;=DATEVALUE("2025/11/8")+TIMEVALUE("6:00"),1,0)
+IF(A272&gt;=DATEVALUE("2026/1/22")+TIMEVALUE("6:00"),3,0)-IF(A271&gt;=DATEVALUE("2026/1/22")+TIMEVALUE("6:00"),3,0)</f>
        <v>0</v>
      </c>
      <c r="P272" t="str">
        <f t="shared" ref="P272" si="614">IF(L272&lt;N272,"未達成（"&amp;N272-L272&amp;"）",IF(L272=N272,"達成","前倒し（"&amp;L272-N272&amp;"）"))</f>
        <v>未達成（2）</v>
      </c>
      <c r="Q272">
        <f t="shared" ref="Q272" si="615">IF(B272="",NA(),G272)</f>
        <v>6.6666666680248454E-3</v>
      </c>
    </row>
    <row r="273" spans="1:17">
      <c r="A273" s="3">
        <v>46062.303078703706</v>
      </c>
      <c r="B273">
        <v>60</v>
      </c>
      <c r="C273">
        <v>14</v>
      </c>
      <c r="D273">
        <v>0</v>
      </c>
      <c r="E273">
        <v>0</v>
      </c>
      <c r="F273">
        <v>0</v>
      </c>
      <c r="G273" s="5">
        <v>8.9236111161881126E-3</v>
      </c>
      <c r="H273" t="s">
        <v>600</v>
      </c>
      <c r="I273" t="s">
        <v>601</v>
      </c>
      <c r="J273">
        <v>0</v>
      </c>
      <c r="K273">
        <f t="shared" ref="K273" si="616">IF(A273&lt;DATEVALUE("2025/11/20")+TIMEVALUE("6:00"),1,IF(OR(B273&lt;&gt;60,SUM(D273:F273)&lt;&gt;0,G273&gt;=IF(A273&lt;DATEVALUE("2025/12/28")+TIMEVALUE("6:00"),20,18)/24/60),0,2-INT(G273*24*60/10)))</f>
        <v>1</v>
      </c>
      <c r="L273">
        <f t="shared" ref="L273" si="617">L272+K273</f>
        <v>334</v>
      </c>
      <c r="M273">
        <f t="shared" ref="M273" si="618">2+IF(A273&gt;=DATEVALUE("2025/11/30")+TIMEVALUE("6:00"),1,0)+IF(A273&gt;=DATEVALUE("2025/12/11")+TIMEVALUE("6:00"),1,0)</f>
        <v>4</v>
      </c>
      <c r="N273">
        <f t="shared" ref="N273" si="619">N272+M273*(INT(A273-6/24)-INT(A272-6/24))+O273</f>
        <v>335</v>
      </c>
      <c r="O273">
        <f t="shared" ref="O273" si="620">IF(A273&gt;=DATEVALUE("2025/11/8")+TIMEVALUE("6:00"),1,0)-IF(A272&gt;=DATEVALUE("2025/11/8")+TIMEVALUE("6:00"),1,0)
+IF(A273&gt;=DATEVALUE("2026/1/22")+TIMEVALUE("6:00"),3,0)-IF(A272&gt;=DATEVALUE("2026/1/22")+TIMEVALUE("6:00"),3,0)</f>
        <v>0</v>
      </c>
      <c r="P273" t="str">
        <f t="shared" ref="P273" si="621">IF(L273&lt;N273,"未達成（"&amp;N273-L273&amp;"）",IF(L273=N273,"達成","前倒し（"&amp;L273-N273&amp;"）"))</f>
        <v>未達成（1）</v>
      </c>
      <c r="Q273">
        <f t="shared" ref="Q273" si="622">IF(B273="",NA(),G273)</f>
        <v>8.9236111161881126E-3</v>
      </c>
    </row>
    <row r="274" spans="1:17">
      <c r="A274" s="3">
        <v>46062.310277777775</v>
      </c>
      <c r="B274">
        <v>60</v>
      </c>
      <c r="C274">
        <v>22</v>
      </c>
      <c r="D274">
        <v>0</v>
      </c>
      <c r="E274">
        <v>0</v>
      </c>
      <c r="F274">
        <v>0</v>
      </c>
      <c r="G274" s="5">
        <v>6.7245370373711921E-3</v>
      </c>
      <c r="H274" t="s">
        <v>602</v>
      </c>
      <c r="I274" t="s">
        <v>603</v>
      </c>
      <c r="J274">
        <v>0</v>
      </c>
      <c r="K274">
        <f t="shared" ref="K274" si="623">IF(A274&lt;DATEVALUE("2025/11/20")+TIMEVALUE("6:00"),1,IF(OR(B274&lt;&gt;60,SUM(D274:F274)&lt;&gt;0,G274&gt;=IF(A274&lt;DATEVALUE("2025/12/28")+TIMEVALUE("6:00"),20,18)/24/60),0,2-INT(G274*24*60/10)))</f>
        <v>2</v>
      </c>
      <c r="L274">
        <f t="shared" ref="L274" si="624">L273+K274</f>
        <v>336</v>
      </c>
      <c r="M274">
        <f t="shared" ref="M274" si="625">2+IF(A274&gt;=DATEVALUE("2025/11/30")+TIMEVALUE("6:00"),1,0)+IF(A274&gt;=DATEVALUE("2025/12/11")+TIMEVALUE("6:00"),1,0)</f>
        <v>4</v>
      </c>
      <c r="N274">
        <f t="shared" ref="N274" si="626">N273+M274*(INT(A274-6/24)-INT(A273-6/24))+O274</f>
        <v>335</v>
      </c>
      <c r="O274">
        <f t="shared" ref="O274" si="627">IF(A274&gt;=DATEVALUE("2025/11/8")+TIMEVALUE("6:00"),1,0)-IF(A273&gt;=DATEVALUE("2025/11/8")+TIMEVALUE("6:00"),1,0)
+IF(A274&gt;=DATEVALUE("2026/1/22")+TIMEVALUE("6:00"),3,0)-IF(A273&gt;=DATEVALUE("2026/1/22")+TIMEVALUE("6:00"),3,0)</f>
        <v>0</v>
      </c>
      <c r="P274" t="str">
        <f t="shared" ref="P274" si="628">IF(L274&lt;N274,"未達成（"&amp;N274-L274&amp;"）",IF(L274=N274,"達成","前倒し（"&amp;L274-N274&amp;"）"))</f>
        <v>前倒し（1）</v>
      </c>
      <c r="Q274">
        <f t="shared" ref="Q274" si="629">IF(B274="",NA(),G274)</f>
        <v>6.7245370373711921E-3</v>
      </c>
    </row>
    <row r="275" spans="1:17">
      <c r="A275" s="3">
        <v>46063.323738425926</v>
      </c>
      <c r="G275" s="5">
        <v>2.2800925944466144E-3</v>
      </c>
      <c r="H275" t="s">
        <v>604</v>
      </c>
      <c r="I275" t="s">
        <v>605</v>
      </c>
      <c r="J275">
        <v>1</v>
      </c>
      <c r="K275">
        <f t="shared" ref="K275" si="630">IF(A275&lt;DATEVALUE("2025/11/20")+TIMEVALUE("6:00"),1,IF(OR(B275&lt;&gt;60,SUM(D275:F275)&lt;&gt;0,G275&gt;=IF(A275&lt;DATEVALUE("2025/12/28")+TIMEVALUE("6:00"),20,18)/24/60),0,2-INT(G275*24*60/10)))</f>
        <v>0</v>
      </c>
      <c r="L275">
        <f t="shared" ref="L275" si="631">L274+K275</f>
        <v>336</v>
      </c>
      <c r="M275">
        <f t="shared" ref="M275" si="632">2+IF(A275&gt;=DATEVALUE("2025/11/30")+TIMEVALUE("6:00"),1,0)+IF(A275&gt;=DATEVALUE("2025/12/11")+TIMEVALUE("6:00"),1,0)</f>
        <v>4</v>
      </c>
      <c r="N275">
        <f t="shared" ref="N275" si="633">N274+M275*(INT(A275-6/24)-INT(A274-6/24))+O275</f>
        <v>339</v>
      </c>
      <c r="O275">
        <f t="shared" ref="O275" si="634">IF(A275&gt;=DATEVALUE("2025/11/8")+TIMEVALUE("6:00"),1,0)-IF(A274&gt;=DATEVALUE("2025/11/8")+TIMEVALUE("6:00"),1,0)
+IF(A275&gt;=DATEVALUE("2026/1/22")+TIMEVALUE("6:00"),3,0)-IF(A274&gt;=DATEVALUE("2026/1/22")+TIMEVALUE("6:00"),3,0)</f>
        <v>0</v>
      </c>
      <c r="P275" t="str">
        <f t="shared" ref="P275" si="635">IF(L275&lt;N275,"未達成（"&amp;N275-L275&amp;"）",IF(L275=N275,"達成","前倒し（"&amp;L275-N275&amp;"）"))</f>
        <v>未達成（3）</v>
      </c>
      <c r="Q275" t="e">
        <f t="shared" ref="Q275" si="636">IF(B275="",NA(),G275)</f>
        <v>#N/A</v>
      </c>
    </row>
    <row r="276" spans="1:17">
      <c r="A276" s="3">
        <v>46063.368935185186</v>
      </c>
      <c r="B276">
        <v>60</v>
      </c>
      <c r="C276">
        <v>6</v>
      </c>
      <c r="D276">
        <v>0</v>
      </c>
      <c r="E276">
        <v>0</v>
      </c>
      <c r="F276">
        <v>0</v>
      </c>
      <c r="G276" s="5">
        <v>4.7916666735545732E-3</v>
      </c>
      <c r="H276" t="s">
        <v>606</v>
      </c>
      <c r="I276" t="s">
        <v>607</v>
      </c>
      <c r="J276">
        <v>0</v>
      </c>
      <c r="K276">
        <f t="shared" ref="K276" si="637">IF(A276&lt;DATEVALUE("2025/11/20")+TIMEVALUE("6:00"),1,IF(OR(B276&lt;&gt;60,SUM(D276:F276)&lt;&gt;0,G276&gt;=IF(A276&lt;DATEVALUE("2025/12/28")+TIMEVALUE("6:00"),20,18)/24/60),0,2-INT(G276*24*60/10)))</f>
        <v>2</v>
      </c>
      <c r="L276">
        <f t="shared" ref="L276" si="638">L275+K276</f>
        <v>338</v>
      </c>
      <c r="M276">
        <f t="shared" ref="M276" si="639">2+IF(A276&gt;=DATEVALUE("2025/11/30")+TIMEVALUE("6:00"),1,0)+IF(A276&gt;=DATEVALUE("2025/12/11")+TIMEVALUE("6:00"),1,0)</f>
        <v>4</v>
      </c>
      <c r="N276">
        <f t="shared" ref="N276" si="640">N275+M276*(INT(A276-6/24)-INT(A275-6/24))+O276</f>
        <v>339</v>
      </c>
      <c r="O276">
        <f t="shared" ref="O276" si="641">IF(A276&gt;=DATEVALUE("2025/11/8")+TIMEVALUE("6:00"),1,0)-IF(A275&gt;=DATEVALUE("2025/11/8")+TIMEVALUE("6:00"),1,0)
+IF(A276&gt;=DATEVALUE("2026/1/22")+TIMEVALUE("6:00"),3,0)-IF(A275&gt;=DATEVALUE("2026/1/22")+TIMEVALUE("6:00"),3,0)</f>
        <v>0</v>
      </c>
      <c r="P276" t="str">
        <f t="shared" ref="P276" si="642">IF(L276&lt;N276,"未達成（"&amp;N276-L276&amp;"）",IF(L276=N276,"達成","前倒し（"&amp;L276-N276&amp;"）"))</f>
        <v>未達成（1）</v>
      </c>
      <c r="Q276">
        <f t="shared" ref="Q276" si="643">IF(B276="",NA(),G276)</f>
        <v>4.7916666735545732E-3</v>
      </c>
    </row>
    <row r="277" spans="1:17">
      <c r="A277" s="3">
        <v>46063.476840277777</v>
      </c>
      <c r="B277">
        <v>60</v>
      </c>
      <c r="C277">
        <v>20</v>
      </c>
      <c r="D277">
        <v>0</v>
      </c>
      <c r="E277">
        <v>0</v>
      </c>
      <c r="F277">
        <v>0</v>
      </c>
      <c r="G277" s="5">
        <v>3.8888888884685002E-3</v>
      </c>
      <c r="H277" t="s">
        <v>608</v>
      </c>
      <c r="I277" t="s">
        <v>609</v>
      </c>
      <c r="J277">
        <v>0</v>
      </c>
      <c r="K277">
        <f t="shared" ref="K277" si="644">IF(A277&lt;DATEVALUE("2025/11/20")+TIMEVALUE("6:00"),1,IF(OR(B277&lt;&gt;60,SUM(D277:F277)&lt;&gt;0,G277&gt;=IF(A277&lt;DATEVALUE("2025/12/28")+TIMEVALUE("6:00"),20,18)/24/60),0,2-INT(G277*24*60/10)))</f>
        <v>2</v>
      </c>
      <c r="L277">
        <f t="shared" ref="L277" si="645">L276+K277</f>
        <v>340</v>
      </c>
      <c r="M277">
        <f t="shared" ref="M277" si="646">2+IF(A277&gt;=DATEVALUE("2025/11/30")+TIMEVALUE("6:00"),1,0)+IF(A277&gt;=DATEVALUE("2025/12/11")+TIMEVALUE("6:00"),1,0)</f>
        <v>4</v>
      </c>
      <c r="N277">
        <f t="shared" ref="N277" si="647">N276+M277*(INT(A277-6/24)-INT(A276-6/24))+O277</f>
        <v>339</v>
      </c>
      <c r="O277">
        <f t="shared" ref="O277" si="648">IF(A277&gt;=DATEVALUE("2025/11/8")+TIMEVALUE("6:00"),1,0)-IF(A276&gt;=DATEVALUE("2025/11/8")+TIMEVALUE("6:00"),1,0)
+IF(A277&gt;=DATEVALUE("2026/1/22")+TIMEVALUE("6:00"),3,0)-IF(A276&gt;=DATEVALUE("2026/1/22")+TIMEVALUE("6:00"),3,0)</f>
        <v>0</v>
      </c>
      <c r="P277" t="str">
        <f t="shared" ref="P277" si="649">IF(L277&lt;N277,"未達成（"&amp;N277-L277&amp;"）",IF(L277=N277,"達成","前倒し（"&amp;L277-N277&amp;"）"))</f>
        <v>前倒し（1）</v>
      </c>
      <c r="Q277">
        <f t="shared" ref="Q277" si="650">IF(B277="",NA(),G277)</f>
        <v>3.8888888884685002E-3</v>
      </c>
    </row>
    <row r="278" spans="1:17">
      <c r="A278" s="3">
        <v>46064.307627314818</v>
      </c>
      <c r="B278">
        <v>60</v>
      </c>
      <c r="C278">
        <v>19</v>
      </c>
      <c r="D278">
        <v>0</v>
      </c>
      <c r="E278">
        <v>0</v>
      </c>
      <c r="F278">
        <v>0</v>
      </c>
      <c r="G278" s="5">
        <v>9.9652777789742686E-3</v>
      </c>
      <c r="H278" t="s">
        <v>610</v>
      </c>
      <c r="I278" t="s">
        <v>611</v>
      </c>
      <c r="J278">
        <v>0</v>
      </c>
      <c r="K278">
        <f t="shared" ref="K278" si="651">IF(A278&lt;DATEVALUE("2025/11/20")+TIMEVALUE("6:00"),1,IF(OR(B278&lt;&gt;60,SUM(D278:F278)&lt;&gt;0,G278&gt;=IF(A278&lt;DATEVALUE("2025/12/28")+TIMEVALUE("6:00"),20,18)/24/60),0,2-INT(G278*24*60/10)))</f>
        <v>1</v>
      </c>
      <c r="L278">
        <f t="shared" ref="L278" si="652">L277+K278</f>
        <v>341</v>
      </c>
      <c r="M278">
        <f t="shared" ref="M278" si="653">2+IF(A278&gt;=DATEVALUE("2025/11/30")+TIMEVALUE("6:00"),1,0)+IF(A278&gt;=DATEVALUE("2025/12/11")+TIMEVALUE("6:00"),1,0)</f>
        <v>4</v>
      </c>
      <c r="N278">
        <f t="shared" ref="N278" si="654">N277+M278*(INT(A278-6/24)-INT(A277-6/24))+O278</f>
        <v>343</v>
      </c>
      <c r="O278">
        <f t="shared" ref="O278" si="655">IF(A278&gt;=DATEVALUE("2025/11/8")+TIMEVALUE("6:00"),1,0)-IF(A277&gt;=DATEVALUE("2025/11/8")+TIMEVALUE("6:00"),1,0)
+IF(A278&gt;=DATEVALUE("2026/1/22")+TIMEVALUE("6:00"),3,0)-IF(A277&gt;=DATEVALUE("2026/1/22")+TIMEVALUE("6:00"),3,0)</f>
        <v>0</v>
      </c>
      <c r="P278" t="str">
        <f t="shared" ref="P278" si="656">IF(L278&lt;N278,"未達成（"&amp;N278-L278&amp;"）",IF(L278=N278,"達成","前倒し（"&amp;L278-N278&amp;"）"))</f>
        <v>未達成（2）</v>
      </c>
      <c r="Q278">
        <f t="shared" ref="Q278" si="657">IF(B278="",NA(),G278)</f>
        <v>9.9652777789742686E-3</v>
      </c>
    </row>
    <row r="279" spans="1:17">
      <c r="A279" s="3">
        <v>46064.317152777781</v>
      </c>
      <c r="B279">
        <v>55</v>
      </c>
      <c r="C279">
        <v>7</v>
      </c>
      <c r="D279">
        <v>0</v>
      </c>
      <c r="E279">
        <v>5</v>
      </c>
      <c r="F279">
        <v>0</v>
      </c>
      <c r="G279" s="5">
        <v>8.7384259313694201E-3</v>
      </c>
      <c r="H279" t="s">
        <v>612</v>
      </c>
      <c r="I279" t="s">
        <v>613</v>
      </c>
      <c r="J279">
        <v>0</v>
      </c>
      <c r="K279">
        <f t="shared" ref="K279" si="658">IF(A279&lt;DATEVALUE("2025/11/20")+TIMEVALUE("6:00"),1,IF(OR(B279&lt;&gt;60,SUM(D279:F279)&lt;&gt;0,G279&gt;=IF(A279&lt;DATEVALUE("2025/12/28")+TIMEVALUE("6:00"),20,18)/24/60),0,2-INT(G279*24*60/10)))</f>
        <v>0</v>
      </c>
      <c r="L279">
        <f t="shared" ref="L279" si="659">L278+K279</f>
        <v>341</v>
      </c>
      <c r="M279">
        <f t="shared" ref="M279" si="660">2+IF(A279&gt;=DATEVALUE("2025/11/30")+TIMEVALUE("6:00"),1,0)+IF(A279&gt;=DATEVALUE("2025/12/11")+TIMEVALUE("6:00"),1,0)</f>
        <v>4</v>
      </c>
      <c r="N279">
        <f t="shared" ref="N279" si="661">N278+M279*(INT(A279-6/24)-INT(A278-6/24))+O279</f>
        <v>343</v>
      </c>
      <c r="O279">
        <f t="shared" ref="O279" si="662">IF(A279&gt;=DATEVALUE("2025/11/8")+TIMEVALUE("6:00"),1,0)-IF(A278&gt;=DATEVALUE("2025/11/8")+TIMEVALUE("6:00"),1,0)
+IF(A279&gt;=DATEVALUE("2026/1/22")+TIMEVALUE("6:00"),3,0)-IF(A278&gt;=DATEVALUE("2026/1/22")+TIMEVALUE("6:00"),3,0)</f>
        <v>0</v>
      </c>
      <c r="P279" t="str">
        <f t="shared" ref="P279" si="663">IF(L279&lt;N279,"未達成（"&amp;N279-L279&amp;"）",IF(L279=N279,"達成","前倒し（"&amp;L279-N279&amp;"）"))</f>
        <v>未達成（2）</v>
      </c>
      <c r="Q279">
        <f t="shared" ref="Q279" si="664">IF(B279="",NA(),G279)</f>
        <v>8.7384259313694201E-3</v>
      </c>
    </row>
    <row r="280" spans="1:17">
      <c r="A280" s="3">
        <v>46064.323912037034</v>
      </c>
      <c r="B280">
        <v>60</v>
      </c>
      <c r="C280">
        <v>11</v>
      </c>
      <c r="D280">
        <v>0</v>
      </c>
      <c r="E280">
        <v>0</v>
      </c>
      <c r="F280">
        <v>0</v>
      </c>
      <c r="G280" s="5">
        <v>5.7175925903720781E-3</v>
      </c>
      <c r="H280" t="s">
        <v>614</v>
      </c>
      <c r="I280" t="s">
        <v>615</v>
      </c>
      <c r="J280">
        <v>0</v>
      </c>
      <c r="K280">
        <f t="shared" ref="K280" si="665">IF(A280&lt;DATEVALUE("2025/11/20")+TIMEVALUE("6:00"),1,IF(OR(B280&lt;&gt;60,SUM(D280:F280)&lt;&gt;0,G280&gt;=IF(A280&lt;DATEVALUE("2025/12/28")+TIMEVALUE("6:00"),20,18)/24/60),0,2-INT(G280*24*60/10)))</f>
        <v>2</v>
      </c>
      <c r="L280">
        <f t="shared" ref="L280" si="666">L279+K280</f>
        <v>343</v>
      </c>
      <c r="M280">
        <f t="shared" ref="M280" si="667">2+IF(A280&gt;=DATEVALUE("2025/11/30")+TIMEVALUE("6:00"),1,0)+IF(A280&gt;=DATEVALUE("2025/12/11")+TIMEVALUE("6:00"),1,0)</f>
        <v>4</v>
      </c>
      <c r="N280">
        <f t="shared" ref="N280" si="668">N279+M280*(INT(A280-6/24)-INT(A279-6/24))+O280</f>
        <v>343</v>
      </c>
      <c r="O280">
        <f t="shared" ref="O280" si="669">IF(A280&gt;=DATEVALUE("2025/11/8")+TIMEVALUE("6:00"),1,0)-IF(A279&gt;=DATEVALUE("2025/11/8")+TIMEVALUE("6:00"),1,0)
+IF(A280&gt;=DATEVALUE("2026/1/22")+TIMEVALUE("6:00"),3,0)-IF(A279&gt;=DATEVALUE("2026/1/22")+TIMEVALUE("6:00"),3,0)</f>
        <v>0</v>
      </c>
      <c r="P280" t="str">
        <f t="shared" ref="P280" si="670">IF(L280&lt;N280,"未達成（"&amp;N280-L280&amp;"）",IF(L280=N280,"達成","前倒し（"&amp;L280-N280&amp;"）"))</f>
        <v>達成</v>
      </c>
      <c r="Q280">
        <f t="shared" ref="Q280" si="671">IF(B280="",NA(),G280)</f>
        <v>5.7175925903720781E-3</v>
      </c>
    </row>
    <row r="281" spans="1:17">
      <c r="A281" s="3">
        <v>46065.287199074075</v>
      </c>
      <c r="B281">
        <v>60</v>
      </c>
      <c r="C281">
        <v>26</v>
      </c>
      <c r="D281">
        <v>0</v>
      </c>
      <c r="E281">
        <v>0</v>
      </c>
      <c r="F281">
        <v>0</v>
      </c>
      <c r="G281" s="5">
        <v>1.1863425927003846E-2</v>
      </c>
      <c r="H281" t="s">
        <v>616</v>
      </c>
      <c r="I281" t="s">
        <v>617</v>
      </c>
      <c r="J281">
        <v>0</v>
      </c>
      <c r="K281">
        <f t="shared" ref="K281" si="672">IF(A281&lt;DATEVALUE("2025/11/20")+TIMEVALUE("6:00"),1,IF(OR(B281&lt;&gt;60,SUM(D281:F281)&lt;&gt;0,G281&gt;=IF(A281&lt;DATEVALUE("2025/12/28")+TIMEVALUE("6:00"),20,18)/24/60),0,2-INT(G281*24*60/10)))</f>
        <v>1</v>
      </c>
      <c r="L281">
        <f t="shared" ref="L281" si="673">L280+K281</f>
        <v>344</v>
      </c>
      <c r="M281">
        <f t="shared" ref="M281" si="674">2+IF(A281&gt;=DATEVALUE("2025/11/30")+TIMEVALUE("6:00"),1,0)+IF(A281&gt;=DATEVALUE("2025/12/11")+TIMEVALUE("6:00"),1,0)</f>
        <v>4</v>
      </c>
      <c r="N281">
        <f t="shared" ref="N281" si="675">N280+M281*(INT(A281-6/24)-INT(A280-6/24))+O281</f>
        <v>347</v>
      </c>
      <c r="O281">
        <f t="shared" ref="O281" si="676">IF(A281&gt;=DATEVALUE("2025/11/8")+TIMEVALUE("6:00"),1,0)-IF(A280&gt;=DATEVALUE("2025/11/8")+TIMEVALUE("6:00"),1,0)
+IF(A281&gt;=DATEVALUE("2026/1/22")+TIMEVALUE("6:00"),3,0)-IF(A280&gt;=DATEVALUE("2026/1/22")+TIMEVALUE("6:00"),3,0)</f>
        <v>0</v>
      </c>
      <c r="P281" t="str">
        <f t="shared" ref="P281" si="677">IF(L281&lt;N281,"未達成（"&amp;N281-L281&amp;"）",IF(L281=N281,"達成","前倒し（"&amp;L281-N281&amp;"）"))</f>
        <v>未達成（3）</v>
      </c>
      <c r="Q281">
        <f t="shared" ref="Q281" si="678">IF(B281="",NA(),G281)</f>
        <v>1.1863425927003846E-2</v>
      </c>
    </row>
    <row r="282" spans="1:17">
      <c r="A282" s="3">
        <v>46065.298506944448</v>
      </c>
      <c r="B282">
        <v>60</v>
      </c>
      <c r="C282">
        <v>15</v>
      </c>
      <c r="D282">
        <v>0</v>
      </c>
      <c r="E282">
        <v>0</v>
      </c>
      <c r="F282">
        <v>0</v>
      </c>
      <c r="G282" s="5">
        <v>1.0497685187146999E-2</v>
      </c>
      <c r="H282" t="s">
        <v>618</v>
      </c>
      <c r="I282" t="s">
        <v>619</v>
      </c>
      <c r="J282">
        <v>0</v>
      </c>
      <c r="K282">
        <f t="shared" ref="K282" si="679">IF(A282&lt;DATEVALUE("2025/11/20")+TIMEVALUE("6:00"),1,IF(OR(B282&lt;&gt;60,SUM(D282:F282)&lt;&gt;0,G282&gt;=IF(A282&lt;DATEVALUE("2025/12/28")+TIMEVALUE("6:00"),20,18)/24/60),0,2-INT(G282*24*60/10)))</f>
        <v>1</v>
      </c>
      <c r="L282">
        <f t="shared" ref="L282" si="680">L281+K282</f>
        <v>345</v>
      </c>
      <c r="M282">
        <f t="shared" ref="M282" si="681">2+IF(A282&gt;=DATEVALUE("2025/11/30")+TIMEVALUE("6:00"),1,0)+IF(A282&gt;=DATEVALUE("2025/12/11")+TIMEVALUE("6:00"),1,0)</f>
        <v>4</v>
      </c>
      <c r="N282">
        <f t="shared" ref="N282" si="682">N281+M282*(INT(A282-6/24)-INT(A281-6/24))+O282</f>
        <v>347</v>
      </c>
      <c r="O282">
        <f t="shared" ref="O282" si="683">IF(A282&gt;=DATEVALUE("2025/11/8")+TIMEVALUE("6:00"),1,0)-IF(A281&gt;=DATEVALUE("2025/11/8")+TIMEVALUE("6:00"),1,0)
+IF(A282&gt;=DATEVALUE("2026/1/22")+TIMEVALUE("6:00"),3,0)-IF(A281&gt;=DATEVALUE("2026/1/22")+TIMEVALUE("6:00"),3,0)</f>
        <v>0</v>
      </c>
      <c r="P282" t="str">
        <f t="shared" ref="P282" si="684">IF(L282&lt;N282,"未達成（"&amp;N282-L282&amp;"）",IF(L282=N282,"達成","前倒し（"&amp;L282-N282&amp;"）"))</f>
        <v>未達成（2）</v>
      </c>
      <c r="Q282">
        <f t="shared" ref="Q282" si="685">IF(B282="",NA(),G282)</f>
        <v>1.0497685187146999E-2</v>
      </c>
    </row>
    <row r="283" spans="1:17">
      <c r="A283" s="3">
        <v>46065.31585648148</v>
      </c>
      <c r="B283">
        <v>60</v>
      </c>
      <c r="C283">
        <v>11</v>
      </c>
      <c r="D283">
        <v>0</v>
      </c>
      <c r="E283">
        <v>0</v>
      </c>
      <c r="F283">
        <v>0</v>
      </c>
      <c r="G283" s="5">
        <v>4.9537037048139609E-3</v>
      </c>
      <c r="H283" t="s">
        <v>620</v>
      </c>
      <c r="I283" t="s">
        <v>621</v>
      </c>
      <c r="J283">
        <v>0</v>
      </c>
      <c r="K283">
        <f t="shared" ref="K283" si="686">IF(A283&lt;DATEVALUE("2025/11/20")+TIMEVALUE("6:00"),1,IF(OR(B283&lt;&gt;60,SUM(D283:F283)&lt;&gt;0,G283&gt;=IF(A283&lt;DATEVALUE("2025/12/28")+TIMEVALUE("6:00"),20,18)/24/60),0,2-INT(G283*24*60/10)))</f>
        <v>2</v>
      </c>
      <c r="L283">
        <f t="shared" ref="L283" si="687">L282+K283</f>
        <v>347</v>
      </c>
      <c r="M283">
        <f t="shared" ref="M283" si="688">2+IF(A283&gt;=DATEVALUE("2025/11/30")+TIMEVALUE("6:00"),1,0)+IF(A283&gt;=DATEVALUE("2025/12/11")+TIMEVALUE("6:00"),1,0)</f>
        <v>4</v>
      </c>
      <c r="N283">
        <f t="shared" ref="N283" si="689">N282+M283*(INT(A283-6/24)-INT(A282-6/24))+O283</f>
        <v>347</v>
      </c>
      <c r="O283">
        <f t="shared" ref="O283" si="690">IF(A283&gt;=DATEVALUE("2025/11/8")+TIMEVALUE("6:00"),1,0)-IF(A282&gt;=DATEVALUE("2025/11/8")+TIMEVALUE("6:00"),1,0)
+IF(A283&gt;=DATEVALUE("2026/1/22")+TIMEVALUE("6:00"),3,0)-IF(A282&gt;=DATEVALUE("2026/1/22")+TIMEVALUE("6:00"),3,0)</f>
        <v>0</v>
      </c>
      <c r="P283" t="str">
        <f t="shared" ref="P283" si="691">IF(L283&lt;N283,"未達成（"&amp;N283-L283&amp;"）",IF(L283=N283,"達成","前倒し（"&amp;L283-N283&amp;"）"))</f>
        <v>達成</v>
      </c>
      <c r="Q283">
        <f t="shared" ref="Q283" si="692">IF(B283="",NA(),G283)</f>
        <v>4.9537037048139609E-3</v>
      </c>
    </row>
    <row r="284" spans="1:17">
      <c r="A284" s="3">
        <v>46066.28324074074</v>
      </c>
      <c r="B284">
        <v>60</v>
      </c>
      <c r="C284">
        <v>24</v>
      </c>
      <c r="D284">
        <v>0</v>
      </c>
      <c r="E284">
        <v>0</v>
      </c>
      <c r="F284">
        <v>0</v>
      </c>
      <c r="G284" s="5">
        <v>6.9907407378195785E-3</v>
      </c>
      <c r="H284" t="s">
        <v>622</v>
      </c>
      <c r="I284" t="s">
        <v>623</v>
      </c>
      <c r="J284">
        <v>0</v>
      </c>
      <c r="K284">
        <f t="shared" ref="K284" si="693">IF(A284&lt;DATEVALUE("2025/11/20")+TIMEVALUE("6:00"),1,IF(OR(B284&lt;&gt;60,SUM(D284:F284)&lt;&gt;0,G284&gt;=IF(A284&lt;DATEVALUE("2025/12/28")+TIMEVALUE("6:00"),20,18)/24/60),0,2-INT(G284*24*60/10)))</f>
        <v>1</v>
      </c>
      <c r="L284">
        <f t="shared" ref="L284" si="694">L283+K284</f>
        <v>348</v>
      </c>
      <c r="M284">
        <f t="shared" ref="M284" si="695">2+IF(A284&gt;=DATEVALUE("2025/11/30")+TIMEVALUE("6:00"),1,0)+IF(A284&gt;=DATEVALUE("2025/12/11")+TIMEVALUE("6:00"),1,0)</f>
        <v>4</v>
      </c>
      <c r="N284">
        <f t="shared" ref="N284" si="696">N283+M284*(INT(A284-6/24)-INT(A283-6/24))+O284</f>
        <v>351</v>
      </c>
      <c r="O284">
        <f t="shared" ref="O284" si="697">IF(A284&gt;=DATEVALUE("2025/11/8")+TIMEVALUE("6:00"),1,0)-IF(A283&gt;=DATEVALUE("2025/11/8")+TIMEVALUE("6:00"),1,0)
+IF(A284&gt;=DATEVALUE("2026/1/22")+TIMEVALUE("6:00"),3,0)-IF(A283&gt;=DATEVALUE("2026/1/22")+TIMEVALUE("6:00"),3,0)</f>
        <v>0</v>
      </c>
      <c r="P284" t="str">
        <f t="shared" ref="P284" si="698">IF(L284&lt;N284,"未達成（"&amp;N284-L284&amp;"）",IF(L284=N284,"達成","前倒し（"&amp;L284-N284&amp;"）"))</f>
        <v>未達成（3）</v>
      </c>
      <c r="Q284">
        <f t="shared" ref="Q284" si="699">IF(B284="",NA(),G284)</f>
        <v>6.9907407378195785E-3</v>
      </c>
    </row>
    <row r="285" spans="1:17">
      <c r="A285" s="3">
        <v>46066.288854166669</v>
      </c>
      <c r="B285">
        <v>60</v>
      </c>
      <c r="C285">
        <v>20</v>
      </c>
      <c r="D285">
        <v>0</v>
      </c>
      <c r="E285">
        <v>0</v>
      </c>
      <c r="F285">
        <v>0</v>
      </c>
      <c r="G285" s="5">
        <v>4.8611111124046147E-3</v>
      </c>
      <c r="H285" t="s">
        <v>624</v>
      </c>
      <c r="I285" t="s">
        <v>625</v>
      </c>
      <c r="J285">
        <v>0</v>
      </c>
      <c r="K285">
        <f t="shared" ref="K285" si="700">IF(A285&lt;DATEVALUE("2025/11/20")+TIMEVALUE("6:00"),1,IF(OR(B285&lt;&gt;60,SUM(D285:F285)&lt;&gt;0,G285&gt;=IF(A285&lt;DATEVALUE("2025/12/28")+TIMEVALUE("6:00"),20,18)/24/60),0,2-INT(G285*24*60/10)))</f>
        <v>2</v>
      </c>
      <c r="L285">
        <f t="shared" ref="L285" si="701">L284+K285</f>
        <v>350</v>
      </c>
      <c r="M285">
        <f t="shared" ref="M285" si="702">2+IF(A285&gt;=DATEVALUE("2025/11/30")+TIMEVALUE("6:00"),1,0)+IF(A285&gt;=DATEVALUE("2025/12/11")+TIMEVALUE("6:00"),1,0)</f>
        <v>4</v>
      </c>
      <c r="N285">
        <f t="shared" ref="N285" si="703">N284+M285*(INT(A285-6/24)-INT(A284-6/24))+O285</f>
        <v>351</v>
      </c>
      <c r="O285">
        <f t="shared" ref="O285" si="704">IF(A285&gt;=DATEVALUE("2025/11/8")+TIMEVALUE("6:00"),1,0)-IF(A284&gt;=DATEVALUE("2025/11/8")+TIMEVALUE("6:00"),1,0)
+IF(A285&gt;=DATEVALUE("2026/1/22")+TIMEVALUE("6:00"),3,0)-IF(A284&gt;=DATEVALUE("2026/1/22")+TIMEVALUE("6:00"),3,0)</f>
        <v>0</v>
      </c>
      <c r="P285" t="str">
        <f t="shared" ref="P285" si="705">IF(L285&lt;N285,"未達成（"&amp;N285-L285&amp;"）",IF(L285=N285,"達成","前倒し（"&amp;L285-N285&amp;"）"))</f>
        <v>未達成（1）</v>
      </c>
      <c r="Q285">
        <f t="shared" ref="Q285" si="706">IF(B285="",NA(),G285)</f>
        <v>4.8611111124046147E-3</v>
      </c>
    </row>
    <row r="286" spans="1:17">
      <c r="A286" s="3">
        <v>46066.301921296297</v>
      </c>
      <c r="B286">
        <v>60</v>
      </c>
      <c r="C286">
        <v>15</v>
      </c>
      <c r="D286">
        <v>0</v>
      </c>
      <c r="E286">
        <v>0</v>
      </c>
      <c r="F286">
        <v>0</v>
      </c>
      <c r="G286" s="5">
        <v>1.2199074073578231E-2</v>
      </c>
      <c r="H286" t="s">
        <v>626</v>
      </c>
      <c r="I286" t="s">
        <v>627</v>
      </c>
      <c r="J286">
        <v>0</v>
      </c>
      <c r="K286">
        <f t="shared" ref="K286" si="707">IF(A286&lt;DATEVALUE("2025/11/20")+TIMEVALUE("6:00"),1,IF(OR(B286&lt;&gt;60,SUM(D286:F286)&lt;&gt;0,G286&gt;=IF(A286&lt;DATEVALUE("2025/12/28")+TIMEVALUE("6:00"),20,18)/24/60),0,2-INT(G286*24*60/10)))</f>
        <v>1</v>
      </c>
      <c r="L286">
        <f t="shared" ref="L286" si="708">L285+K286</f>
        <v>351</v>
      </c>
      <c r="M286">
        <f t="shared" ref="M286" si="709">2+IF(A286&gt;=DATEVALUE("2025/11/30")+TIMEVALUE("6:00"),1,0)+IF(A286&gt;=DATEVALUE("2025/12/11")+TIMEVALUE("6:00"),1,0)</f>
        <v>4</v>
      </c>
      <c r="N286">
        <f t="shared" ref="N286" si="710">N285+M286*(INT(A286-6/24)-INT(A285-6/24))+O286</f>
        <v>351</v>
      </c>
      <c r="O286">
        <f t="shared" ref="O286" si="711">IF(A286&gt;=DATEVALUE("2025/11/8")+TIMEVALUE("6:00"),1,0)-IF(A285&gt;=DATEVALUE("2025/11/8")+TIMEVALUE("6:00"),1,0)
+IF(A286&gt;=DATEVALUE("2026/1/22")+TIMEVALUE("6:00"),3,0)-IF(A285&gt;=DATEVALUE("2026/1/22")+TIMEVALUE("6:00"),3,0)</f>
        <v>0</v>
      </c>
      <c r="P286" t="str">
        <f t="shared" ref="P286" si="712">IF(L286&lt;N286,"未達成（"&amp;N286-L286&amp;"）",IF(L286=N286,"達成","前倒し（"&amp;L286-N286&amp;"）"))</f>
        <v>達成</v>
      </c>
      <c r="Q286">
        <f t="shared" ref="Q286" si="713">IF(B286="",NA(),G286)</f>
        <v>1.2199074073578231E-2</v>
      </c>
    </row>
    <row r="287" spans="1:17">
      <c r="A287" s="3">
        <v>46067.296168981484</v>
      </c>
      <c r="B287">
        <v>60</v>
      </c>
      <c r="C287">
        <v>17</v>
      </c>
      <c r="D287">
        <v>0</v>
      </c>
      <c r="E287">
        <v>0</v>
      </c>
      <c r="F287">
        <v>0</v>
      </c>
      <c r="G287" s="5">
        <v>8.1250000002910383E-3</v>
      </c>
      <c r="H287" t="s">
        <v>628</v>
      </c>
      <c r="I287" t="s">
        <v>629</v>
      </c>
      <c r="J287">
        <v>0</v>
      </c>
      <c r="K287">
        <f t="shared" ref="K287" si="714">IF(A287&lt;DATEVALUE("2025/11/20")+TIMEVALUE("6:00"),1,IF(OR(B287&lt;&gt;60,SUM(D287:F287)&lt;&gt;0,G287&gt;=IF(A287&lt;DATEVALUE("2025/12/28")+TIMEVALUE("6:00"),20,18)/24/60),0,2-INT(G287*24*60/10)))</f>
        <v>1</v>
      </c>
      <c r="L287">
        <f t="shared" ref="L287" si="715">L286+K287</f>
        <v>352</v>
      </c>
      <c r="M287">
        <f t="shared" ref="M287" si="716">2+IF(A287&gt;=DATEVALUE("2025/11/30")+TIMEVALUE("6:00"),1,0)+IF(A287&gt;=DATEVALUE("2025/12/11")+TIMEVALUE("6:00"),1,0)</f>
        <v>4</v>
      </c>
      <c r="N287">
        <f t="shared" ref="N287" si="717">N286+M287*(INT(A287-6/24)-INT(A286-6/24))+O287</f>
        <v>355</v>
      </c>
      <c r="O287">
        <f t="shared" ref="O287" si="718">IF(A287&gt;=DATEVALUE("2025/11/8")+TIMEVALUE("6:00"),1,0)-IF(A286&gt;=DATEVALUE("2025/11/8")+TIMEVALUE("6:00"),1,0)
+IF(A287&gt;=DATEVALUE("2026/1/22")+TIMEVALUE("6:00"),3,0)-IF(A286&gt;=DATEVALUE("2026/1/22")+TIMEVALUE("6:00"),3,0)</f>
        <v>0</v>
      </c>
      <c r="P287" t="str">
        <f t="shared" ref="P287" si="719">IF(L287&lt;N287,"未達成（"&amp;N287-L287&amp;"）",IF(L287=N287,"達成","前倒し（"&amp;L287-N287&amp;"）"))</f>
        <v>未達成（3）</v>
      </c>
      <c r="Q287">
        <f t="shared" ref="Q287" si="720">IF(B287="",NA(),G287)</f>
        <v>8.1250000002910383E-3</v>
      </c>
    </row>
    <row r="288" spans="1:17">
      <c r="A288" s="3">
        <v>46067.302523148152</v>
      </c>
      <c r="B288">
        <v>57</v>
      </c>
      <c r="C288">
        <v>14</v>
      </c>
      <c r="D288">
        <v>0</v>
      </c>
      <c r="E288">
        <v>3</v>
      </c>
      <c r="F288">
        <v>0</v>
      </c>
      <c r="G288" s="5">
        <v>5.0810185202863067E-3</v>
      </c>
      <c r="H288" t="s">
        <v>630</v>
      </c>
      <c r="I288" t="s">
        <v>631</v>
      </c>
      <c r="J288">
        <v>0</v>
      </c>
      <c r="K288">
        <f t="shared" ref="K288" si="721">IF(A288&lt;DATEVALUE("2025/11/20")+TIMEVALUE("6:00"),1,IF(OR(B288&lt;&gt;60,SUM(D288:F288)&lt;&gt;0,G288&gt;=IF(A288&lt;DATEVALUE("2025/12/28")+TIMEVALUE("6:00"),20,18)/24/60),0,2-INT(G288*24*60/10)))</f>
        <v>0</v>
      </c>
      <c r="L288">
        <f t="shared" ref="L288" si="722">L287+K288</f>
        <v>352</v>
      </c>
      <c r="M288">
        <f t="shared" ref="M288" si="723">2+IF(A288&gt;=DATEVALUE("2025/11/30")+TIMEVALUE("6:00"),1,0)+IF(A288&gt;=DATEVALUE("2025/12/11")+TIMEVALUE("6:00"),1,0)</f>
        <v>4</v>
      </c>
      <c r="N288">
        <f t="shared" ref="N288" si="724">N287+M288*(INT(A288-6/24)-INT(A287-6/24))+O288</f>
        <v>355</v>
      </c>
      <c r="O288">
        <f t="shared" ref="O288" si="725">IF(A288&gt;=DATEVALUE("2025/11/8")+TIMEVALUE("6:00"),1,0)-IF(A287&gt;=DATEVALUE("2025/11/8")+TIMEVALUE("6:00"),1,0)
+IF(A288&gt;=DATEVALUE("2026/1/22")+TIMEVALUE("6:00"),3,0)-IF(A287&gt;=DATEVALUE("2026/1/22")+TIMEVALUE("6:00"),3,0)</f>
        <v>0</v>
      </c>
      <c r="P288" t="str">
        <f t="shared" ref="P288" si="726">IF(L288&lt;N288,"未達成（"&amp;N288-L288&amp;"）",IF(L288=N288,"達成","前倒し（"&amp;L288-N288&amp;"）"))</f>
        <v>未達成（3）</v>
      </c>
      <c r="Q288">
        <f t="shared" ref="Q288" si="727">IF(B288="",NA(),G288)</f>
        <v>5.0810185202863067E-3</v>
      </c>
    </row>
    <row r="289" spans="1:17">
      <c r="A289" s="3">
        <v>46067.313206018516</v>
      </c>
      <c r="B289">
        <v>55</v>
      </c>
      <c r="C289">
        <v>12</v>
      </c>
      <c r="D289">
        <v>0</v>
      </c>
      <c r="E289">
        <v>5</v>
      </c>
      <c r="F289">
        <v>0</v>
      </c>
      <c r="G289" s="5">
        <v>1.003472221782431E-2</v>
      </c>
      <c r="H289" t="s">
        <v>632</v>
      </c>
      <c r="I289" t="s">
        <v>633</v>
      </c>
      <c r="J289">
        <v>0</v>
      </c>
      <c r="K289">
        <f t="shared" ref="K289" si="728">IF(A289&lt;DATEVALUE("2025/11/20")+TIMEVALUE("6:00"),1,IF(OR(B289&lt;&gt;60,SUM(D289:F289)&lt;&gt;0,G289&gt;=IF(A289&lt;DATEVALUE("2025/12/28")+TIMEVALUE("6:00"),20,18)/24/60),0,2-INT(G289*24*60/10)))</f>
        <v>0</v>
      </c>
      <c r="L289">
        <f t="shared" ref="L289" si="729">L288+K289</f>
        <v>352</v>
      </c>
      <c r="M289">
        <f t="shared" ref="M289" si="730">2+IF(A289&gt;=DATEVALUE("2025/11/30")+TIMEVALUE("6:00"),1,0)+IF(A289&gt;=DATEVALUE("2025/12/11")+TIMEVALUE("6:00"),1,0)</f>
        <v>4</v>
      </c>
      <c r="N289">
        <f t="shared" ref="N289" si="731">N288+M289*(INT(A289-6/24)-INT(A288-6/24))+O289</f>
        <v>355</v>
      </c>
      <c r="O289">
        <f t="shared" ref="O289" si="732">IF(A289&gt;=DATEVALUE("2025/11/8")+TIMEVALUE("6:00"),1,0)-IF(A288&gt;=DATEVALUE("2025/11/8")+TIMEVALUE("6:00"),1,0)
+IF(A289&gt;=DATEVALUE("2026/1/22")+TIMEVALUE("6:00"),3,0)-IF(A288&gt;=DATEVALUE("2026/1/22")+TIMEVALUE("6:00"),3,0)</f>
        <v>0</v>
      </c>
      <c r="P289" t="str">
        <f t="shared" ref="P289" si="733">IF(L289&lt;N289,"未達成（"&amp;N289-L289&amp;"）",IF(L289=N289,"達成","前倒し（"&amp;L289-N289&amp;"）"))</f>
        <v>未達成（3）</v>
      </c>
      <c r="Q289">
        <f t="shared" ref="Q289" si="734">IF(B289="",NA(),G289)</f>
        <v>1.003472221782431E-2</v>
      </c>
    </row>
    <row r="290" spans="1:17">
      <c r="A290" s="3">
        <v>46067.319328703707</v>
      </c>
      <c r="B290">
        <v>60</v>
      </c>
      <c r="C290">
        <v>12</v>
      </c>
      <c r="D290">
        <v>0</v>
      </c>
      <c r="E290">
        <v>0</v>
      </c>
      <c r="F290">
        <v>0</v>
      </c>
      <c r="G290" s="5">
        <v>5.6828703745850362E-3</v>
      </c>
      <c r="H290" t="s">
        <v>634</v>
      </c>
      <c r="I290" t="s">
        <v>635</v>
      </c>
      <c r="J290">
        <v>0</v>
      </c>
      <c r="K290">
        <f t="shared" ref="K290" si="735">IF(A290&lt;DATEVALUE("2025/11/20")+TIMEVALUE("6:00"),1,IF(OR(B290&lt;&gt;60,SUM(D290:F290)&lt;&gt;0,G290&gt;=IF(A290&lt;DATEVALUE("2025/12/28")+TIMEVALUE("6:00"),20,18)/24/60),0,2-INT(G290*24*60/10)))</f>
        <v>2</v>
      </c>
      <c r="L290">
        <f t="shared" ref="L290" si="736">L289+K290</f>
        <v>354</v>
      </c>
      <c r="M290">
        <f t="shared" ref="M290" si="737">2+IF(A290&gt;=DATEVALUE("2025/11/30")+TIMEVALUE("6:00"),1,0)+IF(A290&gt;=DATEVALUE("2025/12/11")+TIMEVALUE("6:00"),1,0)</f>
        <v>4</v>
      </c>
      <c r="N290">
        <f t="shared" ref="N290" si="738">N289+M290*(INT(A290-6/24)-INT(A289-6/24))+O290</f>
        <v>355</v>
      </c>
      <c r="O290">
        <f t="shared" ref="O290" si="739">IF(A290&gt;=DATEVALUE("2025/11/8")+TIMEVALUE("6:00"),1,0)-IF(A289&gt;=DATEVALUE("2025/11/8")+TIMEVALUE("6:00"),1,0)
+IF(A290&gt;=DATEVALUE("2026/1/22")+TIMEVALUE("6:00"),3,0)-IF(A289&gt;=DATEVALUE("2026/1/22")+TIMEVALUE("6:00"),3,0)</f>
        <v>0</v>
      </c>
      <c r="P290" t="str">
        <f t="shared" ref="P290" si="740">IF(L290&lt;N290,"未達成（"&amp;N290-L290&amp;"）",IF(L290=N290,"達成","前倒し（"&amp;L290-N290&amp;"）"))</f>
        <v>未達成（1）</v>
      </c>
      <c r="Q290">
        <f t="shared" ref="Q290" si="741">IF(B290="",NA(),G290)</f>
        <v>5.6828703745850362E-3</v>
      </c>
    </row>
    <row r="291" spans="1:17">
      <c r="A291" s="3">
        <v>46067.367638888885</v>
      </c>
      <c r="G291" s="5">
        <v>1.5393518478958867E-3</v>
      </c>
      <c r="H291" t="s">
        <v>636</v>
      </c>
      <c r="I291" t="s">
        <v>637</v>
      </c>
      <c r="J291">
        <v>1</v>
      </c>
      <c r="K291">
        <f t="shared" ref="K291" si="742">IF(A291&lt;DATEVALUE("2025/11/20")+TIMEVALUE("6:00"),1,IF(OR(B291&lt;&gt;60,SUM(D291:F291)&lt;&gt;0,G291&gt;=IF(A291&lt;DATEVALUE("2025/12/28")+TIMEVALUE("6:00"),20,18)/24/60),0,2-INT(G291*24*60/10)))</f>
        <v>0</v>
      </c>
      <c r="L291">
        <f t="shared" ref="L291" si="743">L290+K291</f>
        <v>354</v>
      </c>
      <c r="M291">
        <f t="shared" ref="M291" si="744">2+IF(A291&gt;=DATEVALUE("2025/11/30")+TIMEVALUE("6:00"),1,0)+IF(A291&gt;=DATEVALUE("2025/12/11")+TIMEVALUE("6:00"),1,0)</f>
        <v>4</v>
      </c>
      <c r="N291">
        <f t="shared" ref="N291" si="745">N290+M291*(INT(A291-6/24)-INT(A290-6/24))+O291</f>
        <v>355</v>
      </c>
      <c r="O291">
        <f t="shared" ref="O291" si="746">IF(A291&gt;=DATEVALUE("2025/11/8")+TIMEVALUE("6:00"),1,0)-IF(A290&gt;=DATEVALUE("2025/11/8")+TIMEVALUE("6:00"),1,0)
+IF(A291&gt;=DATEVALUE("2026/1/22")+TIMEVALUE("6:00"),3,0)-IF(A290&gt;=DATEVALUE("2026/1/22")+TIMEVALUE("6:00"),3,0)</f>
        <v>0</v>
      </c>
      <c r="P291" t="str">
        <f t="shared" ref="P291" si="747">IF(L291&lt;N291,"未達成（"&amp;N291-L291&amp;"）",IF(L291=N291,"達成","前倒し（"&amp;L291-N291&amp;"）"))</f>
        <v>未達成（1）</v>
      </c>
      <c r="Q291" t="e">
        <f t="shared" ref="Q291" si="748">IF(B291="",NA(),G291)</f>
        <v>#N/A</v>
      </c>
    </row>
    <row r="292" spans="1:17">
      <c r="A292" s="3">
        <v>46067.445856481485</v>
      </c>
      <c r="B292">
        <v>60</v>
      </c>
      <c r="C292">
        <v>5</v>
      </c>
      <c r="D292">
        <v>0</v>
      </c>
      <c r="E292">
        <v>0</v>
      </c>
      <c r="F292">
        <v>0</v>
      </c>
      <c r="G292" s="5">
        <v>7.928240745968651E-3</v>
      </c>
      <c r="H292" t="s">
        <v>638</v>
      </c>
      <c r="I292" t="s">
        <v>639</v>
      </c>
      <c r="J292">
        <v>0</v>
      </c>
      <c r="K292">
        <f t="shared" ref="K292" si="749">IF(A292&lt;DATEVALUE("2025/11/20")+TIMEVALUE("6:00"),1,IF(OR(B292&lt;&gt;60,SUM(D292:F292)&lt;&gt;0,G292&gt;=IF(A292&lt;DATEVALUE("2025/12/28")+TIMEVALUE("6:00"),20,18)/24/60),0,2-INT(G292*24*60/10)))</f>
        <v>1</v>
      </c>
      <c r="L292">
        <f t="shared" ref="L292" si="750">L291+K292</f>
        <v>355</v>
      </c>
      <c r="M292">
        <f t="shared" ref="M292" si="751">2+IF(A292&gt;=DATEVALUE("2025/11/30")+TIMEVALUE("6:00"),1,0)+IF(A292&gt;=DATEVALUE("2025/12/11")+TIMEVALUE("6:00"),1,0)</f>
        <v>4</v>
      </c>
      <c r="N292">
        <f t="shared" ref="N292" si="752">N291+M292*(INT(A292-6/24)-INT(A291-6/24))+O292</f>
        <v>355</v>
      </c>
      <c r="O292">
        <f t="shared" ref="O292" si="753">IF(A292&gt;=DATEVALUE("2025/11/8")+TIMEVALUE("6:00"),1,0)-IF(A291&gt;=DATEVALUE("2025/11/8")+TIMEVALUE("6:00"),1,0)
+IF(A292&gt;=DATEVALUE("2026/1/22")+TIMEVALUE("6:00"),3,0)-IF(A291&gt;=DATEVALUE("2026/1/22")+TIMEVALUE("6:00"),3,0)</f>
        <v>0</v>
      </c>
      <c r="P292" t="str">
        <f t="shared" ref="P292" si="754">IF(L292&lt;N292,"未達成（"&amp;N292-L292&amp;"）",IF(L292=N292,"達成","前倒し（"&amp;L292-N292&amp;"）"))</f>
        <v>達成</v>
      </c>
      <c r="Q292">
        <f t="shared" ref="Q292" si="755">IF(B292="",NA(),G292)</f>
        <v>7.928240745968651E-3</v>
      </c>
    </row>
    <row r="293" spans="1:17">
      <c r="A293" s="3">
        <v>46068.290046296293</v>
      </c>
      <c r="B293">
        <v>60</v>
      </c>
      <c r="C293">
        <v>19</v>
      </c>
      <c r="D293">
        <v>0</v>
      </c>
      <c r="E293">
        <v>0</v>
      </c>
      <c r="F293">
        <v>0</v>
      </c>
      <c r="G293" s="5">
        <v>4.2476851813262329E-3</v>
      </c>
      <c r="H293" t="s">
        <v>640</v>
      </c>
      <c r="I293" t="s">
        <v>641</v>
      </c>
      <c r="J293">
        <v>0</v>
      </c>
      <c r="K293">
        <f t="shared" ref="K293" si="756">IF(A293&lt;DATEVALUE("2025/11/20")+TIMEVALUE("6:00"),1,IF(OR(B293&lt;&gt;60,SUM(D293:F293)&lt;&gt;0,G293&gt;=IF(A293&lt;DATEVALUE("2025/12/28")+TIMEVALUE("6:00"),20,18)/24/60),0,2-INT(G293*24*60/10)))</f>
        <v>2</v>
      </c>
      <c r="L293">
        <f t="shared" ref="L293" si="757">L292+K293</f>
        <v>357</v>
      </c>
      <c r="M293">
        <f t="shared" ref="M293" si="758">2+IF(A293&gt;=DATEVALUE("2025/11/30")+TIMEVALUE("6:00"),1,0)+IF(A293&gt;=DATEVALUE("2025/12/11")+TIMEVALUE("6:00"),1,0)</f>
        <v>4</v>
      </c>
      <c r="N293">
        <f t="shared" ref="N293" si="759">N292+M293*(INT(A293-6/24)-INT(A292-6/24))+O293</f>
        <v>359</v>
      </c>
      <c r="O293">
        <f t="shared" ref="O293" si="760">IF(A293&gt;=DATEVALUE("2025/11/8")+TIMEVALUE("6:00"),1,0)-IF(A292&gt;=DATEVALUE("2025/11/8")+TIMEVALUE("6:00"),1,0)
+IF(A293&gt;=DATEVALUE("2026/1/22")+TIMEVALUE("6:00"),3,0)-IF(A292&gt;=DATEVALUE("2026/1/22")+TIMEVALUE("6:00"),3,0)</f>
        <v>0</v>
      </c>
      <c r="P293" t="str">
        <f t="shared" ref="P293" si="761">IF(L293&lt;N293,"未達成（"&amp;N293-L293&amp;"）",IF(L293=N293,"達成","前倒し（"&amp;L293-N293&amp;"）"))</f>
        <v>未達成（2）</v>
      </c>
      <c r="Q293">
        <f t="shared" ref="Q293" si="762">IF(B293="",NA(),G293)</f>
        <v>4.2476851813262329E-3</v>
      </c>
    </row>
    <row r="294" spans="1:17">
      <c r="A294" s="3">
        <v>46068.297442129631</v>
      </c>
      <c r="B294">
        <v>60</v>
      </c>
      <c r="C294">
        <v>14</v>
      </c>
      <c r="D294">
        <v>0</v>
      </c>
      <c r="E294">
        <v>0</v>
      </c>
      <c r="F294">
        <v>0</v>
      </c>
      <c r="G294" s="5">
        <v>6.7476851836545393E-3</v>
      </c>
      <c r="H294" t="s">
        <v>642</v>
      </c>
      <c r="I294" t="s">
        <v>643</v>
      </c>
      <c r="J294">
        <v>0</v>
      </c>
      <c r="K294">
        <f t="shared" ref="K294" si="763">IF(A294&lt;DATEVALUE("2025/11/20")+TIMEVALUE("6:00"),1,IF(OR(B294&lt;&gt;60,SUM(D294:F294)&lt;&gt;0,G294&gt;=IF(A294&lt;DATEVALUE("2025/12/28")+TIMEVALUE("6:00"),20,18)/24/60),0,2-INT(G294*24*60/10)))</f>
        <v>2</v>
      </c>
      <c r="L294">
        <f t="shared" ref="L294" si="764">L293+K294</f>
        <v>359</v>
      </c>
      <c r="M294">
        <f t="shared" ref="M294" si="765">2+IF(A294&gt;=DATEVALUE("2025/11/30")+TIMEVALUE("6:00"),1,0)+IF(A294&gt;=DATEVALUE("2025/12/11")+TIMEVALUE("6:00"),1,0)</f>
        <v>4</v>
      </c>
      <c r="N294">
        <f t="shared" ref="N294" si="766">N293+M294*(INT(A294-6/24)-INT(A293-6/24))+O294</f>
        <v>359</v>
      </c>
      <c r="O294">
        <f t="shared" ref="O294" si="767">IF(A294&gt;=DATEVALUE("2025/11/8")+TIMEVALUE("6:00"),1,0)-IF(A293&gt;=DATEVALUE("2025/11/8")+TIMEVALUE("6:00"),1,0)
+IF(A294&gt;=DATEVALUE("2026/1/22")+TIMEVALUE("6:00"),3,0)-IF(A293&gt;=DATEVALUE("2026/1/22")+TIMEVALUE("6:00"),3,0)</f>
        <v>0</v>
      </c>
      <c r="P294" t="str">
        <f t="shared" ref="P294" si="768">IF(L294&lt;N294,"未達成（"&amp;N294-L294&amp;"）",IF(L294=N294,"達成","前倒し（"&amp;L294-N294&amp;"）"))</f>
        <v>達成</v>
      </c>
      <c r="Q294">
        <f t="shared" ref="Q294" si="769">IF(B294="",NA(),G294)</f>
        <v>6.7476851836545393E-3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46068.290694444448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2026-02-14T22:08:43Z</dcterms:modified>
</cp:coreProperties>
</file>
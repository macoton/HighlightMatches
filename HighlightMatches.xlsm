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7ED4BA04-6811-4FE5-A640-30AC5ED31681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8" i="4" l="1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17" i="4"/>
  <c r="K58" i="4"/>
  <c r="K57" i="4"/>
  <c r="K56" i="4"/>
  <c r="K55" i="4"/>
  <c r="K54" i="4"/>
  <c r="L17" i="4"/>
  <c r="L18" i="4" l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s="1"/>
  <c r="L56" i="4" s="1"/>
  <c r="L57" i="4" s="1"/>
  <c r="L58" i="4" s="1"/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<sst xmlns="http://schemas.openxmlformats.org/spreadsheetml/2006/main" count="194" uniqueCount="173">
  <si>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</si>
  <si>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</si>
  <si>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</si>
  <si>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</si>
  <si>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</si>
  <si>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</si>
  <si>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</si>
  <si>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</si>
  <si>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</si>
  <si>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</si>
  <si>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</si>
  <si>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</si>
  <si>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</si>
  <si>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</si>
  <si>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</si>
  <si>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</si>
  <si>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</si>
  <si>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</si>
  <si>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</si>
  <si>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</si>
  <si>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</si>
  <si>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</si>
  <si>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</si>
  <si>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</si>
  <si>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</si>
  <si>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</si>
  <si>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</si>
  <si>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</si>
  <si>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</si>
  <si>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</si>
  <si>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</si>
  <si>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</si>
  <si>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</si>
  <si>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</si>
  <si>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</si>
  <si>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</si>
  <si>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</si>
  <si>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</si>
  <si>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</si>
  <si>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</si>
  <si>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</si>
  <si>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</si>
  <si>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</si>
  <si>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</si>
  <si>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</si>
  <si>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</si>
  <si>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</si>
  <si>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</si>
  <si>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</si>
  <si>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</si>
  <si>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</si>
  <si>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</si>
  <si>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</si>
  <si>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</si>
  <si>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</si>
  <si>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</si>
  <si>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</si>
  <si>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</si>
  <si>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</si>
  <si>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</si>
  <si>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</si>
  <si>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</si>
  <si>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</si>
  <si>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</si>
  <si>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</si>
  <si>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</si>
  <si>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</si>
  <si>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</si>
  <si>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</si>
  <si>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</si>
  <si>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</si>
  <si>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</si>
  <si>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</si>
  <si>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</si>
  <si>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</si>
  <si>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</si>
  <si>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</si>
  <si>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</si>
  <si>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</si>
  <si>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</si>
  <si>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</si>
  <si>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</si>
  <si>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</si>
  <si>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</si>
  <si>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</si>
  <si>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</si>
  <si>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</si>
  <si>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</si>
  <si>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</si>
  <si>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</si>
  <si>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</si>
  <si>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</si>
  <si>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</si>
  <si>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</si>
  <si>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</si>
  <si>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</si>
  <si>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</si>
  <si>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</si>
  <si>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</si>
  <si>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</si>
  <si>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</si>
  <si>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</si>
  <si>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</si>
  <si>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</si>
  <si>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</si>
  <si>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</si>
  <si>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</si>
  <si>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</si>
  <si>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</si>
  <si>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</si>
  <si>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</si>
  <si>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</si>
  <si>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</si>
  <si>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</si>
  <si>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</si>
  <si>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</si>
  <si>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</si>
  <si>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</si>
  <si>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</si>
  <si>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</si>
  <si>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</si>
  <si>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</si>
  <si>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</si>
  <si>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</si>
  <si>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</si>
  <si>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</si>
  <si>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</si>
  <si>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</si>
  <si>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</si>
  <si>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</si>
  <si>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</si>
  <si>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</si>
  <si>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</si>
  <si>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</si>
  <si>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</si>
  <si>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</si>
  <si>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</si>
  <si>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</si>
  <si>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</si>
  <si>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</si>
  <si>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</si>
  <si>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</si>
  <si>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</si>
  <si>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</si>
  <si>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</si>
  <si>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</si>
  <si>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</si>
  <si>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</si>
  <si>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</si>
  <si>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</si>
  <si>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</si>
  <si>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</si>
  <si>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</si>
  <si>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</si>
  <si>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</si>
  <si>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</si>
  <si>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</si>
  <si>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</si>
  <si>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</si>
  <si>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</si>
  <si>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</si>
  <si>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</si>
  <si>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</si>
  <si>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</si>
  <si>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</si>
  <si>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</si>
  <si>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ノルマ</t>
    <phoneticPr fontId="1"/>
  </si>
  <si>
    <t>罰</t>
    <rPh sb="0" eb="1">
      <t>バツ</t>
    </rPh>
    <phoneticPr fontId="1"/>
  </si>
  <si>
    <t>ポイント</t>
    <phoneticPr fontId="1"/>
  </si>
  <si>
    <t>累計ポイント</t>
    <rPh sb="0" eb="2">
      <t>ルイケイ</t>
    </rPh>
    <phoneticPr fontId="1"/>
  </si>
  <si>
    <t>目標ポイント</t>
    <phoneticPr fontId="1"/>
  </si>
  <si>
    <t>累計目標ポイント</t>
    <rPh sb="0" eb="2">
      <t>ルイケイ</t>
    </rPh>
    <phoneticPr fontId="1"/>
  </si>
  <si>
    <t>目標達成／目標未達</t>
    <rPh sb="7" eb="9">
      <t>ミタツ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</si>
</sst>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データ!$P$1:$P$15</c:f>
              <c:strCache>
                <c:ptCount val="15"/>
                <c:pt idx="0">
                  <c:v>22</c:v>
                </c:pt>
                <c:pt idx="1">
                  <c:v>78</c:v>
                </c:pt>
                <c:pt idx="2">
                  <c:v>74</c:v>
                </c:pt>
                <c:pt idx="3">
                  <c:v>69</c:v>
                </c:pt>
                <c:pt idx="4">
                  <c:v>74</c:v>
                </c:pt>
                <c:pt idx="5">
                  <c:v>57</c:v>
                </c:pt>
                <c:pt idx="6">
                  <c:v>61</c:v>
                </c:pt>
                <c:pt idx="7">
                  <c:v>63</c:v>
                </c:pt>
                <c:pt idx="8">
                  <c:v>64</c:v>
                </c:pt>
                <c:pt idx="9">
                  <c:v>60</c:v>
                </c:pt>
                <c:pt idx="14">
                  <c:v>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データ!$A$2:$A$58</c:f>
              <c:numCache>
                <c:formatCode>m/d/yyyy\ h:mm</c:formatCode>
                <c:ptCount val="5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</c:numCache>
            </c:numRef>
          </c:xVal>
          <c:yVal>
            <c:numRef>
              <c:f>データ!$B$2:$B$58</c:f>
              <c:numCache>
                <c:formatCode>General</c:formatCode>
                <c:ptCount val="57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5E-4E81-8A3A-120ED615D98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85E-4E81-8A3A-120ED615D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185008"/>
        <c:axId val="136418308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データ!$A$2:$A$58</c:f>
              <c:numCache>
                <c:formatCode>m/d/yyyy\ h:mm</c:formatCode>
                <c:ptCount val="5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</c:numCache>
            </c:numRef>
          </c:xVal>
          <c:yVal>
            <c:numRef>
              <c:f>データ!$G$2:$G$58</c:f>
              <c:numCache>
                <c:formatCode>[h]:mm</c:formatCode>
                <c:ptCount val="57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5E-4E81-8A3A-120ED615D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187888"/>
        <c:axId val="1364181648"/>
      </c:scatterChart>
      <c:valAx>
        <c:axId val="1364185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4183088"/>
        <c:crosses val="autoZero"/>
        <c:crossBetween val="midCat"/>
      </c:valAx>
      <c:valAx>
        <c:axId val="13641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4185008"/>
        <c:crosses val="autoZero"/>
        <c:crossBetween val="midCat"/>
      </c:valAx>
      <c:valAx>
        <c:axId val="1364181648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4187888"/>
        <c:crosses val="max"/>
        <c:crossBetween val="midCat"/>
      </c:valAx>
      <c:valAx>
        <c:axId val="1364187888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4181648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C661F96-6CBE-578D-0B3D-91414CC54A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49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K10" sqref="K10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4</v>
      </c>
      <c r="B1" s="23">
        <v>6</v>
      </c>
      <c r="C1" s="22">
        <v>5</v>
      </c>
      <c r="D1" s="26">
        <v>7</v>
      </c>
      <c r="E1" s="23">
        <v>2</v>
      </c>
      <c r="F1" s="23">
        <v>1</v>
      </c>
      <c r="G1" s="23">
        <v>9</v>
      </c>
      <c r="H1" s="23">
        <v>6</v>
      </c>
      <c r="I1" s="23">
        <v>6</v>
      </c>
      <c r="J1" s="23">
        <v>1</v>
      </c>
      <c r="K1" s="23">
        <v>3</v>
      </c>
      <c r="L1" s="22">
        <v>9</v>
      </c>
      <c r="N1" s="2">
        <v>991168</v>
      </c>
      <c r="O1" s="1">
        <v>1</v>
      </c>
    </row>
    <row r="2" spans="1:15" ht="28.25" customHeight="1">
      <c r="A2" s="22">
        <v>5</v>
      </c>
      <c r="B2" s="22">
        <v>5</v>
      </c>
      <c r="C2" s="23">
        <v>3</v>
      </c>
      <c r="D2" s="26">
        <v>3</v>
      </c>
      <c r="E2" s="26">
        <v>8</v>
      </c>
      <c r="F2" s="22">
        <v>7</v>
      </c>
      <c r="G2" s="23">
        <v>5</v>
      </c>
      <c r="H2" s="23">
        <v>6</v>
      </c>
      <c r="I2" s="26">
        <v>2</v>
      </c>
      <c r="J2" s="22">
        <v>7</v>
      </c>
      <c r="K2" s="22">
        <v>1</v>
      </c>
      <c r="L2" s="22">
        <v>5</v>
      </c>
      <c r="N2" s="2">
        <v>3166912</v>
      </c>
      <c r="O2" s="1">
        <v>1</v>
      </c>
    </row>
    <row r="3" spans="1:15" ht="28.25" customHeight="1">
      <c r="A3" s="26">
        <v>3</v>
      </c>
      <c r="B3" s="22">
        <v>5</v>
      </c>
      <c r="C3" s="22">
        <v>2</v>
      </c>
      <c r="D3" s="23">
        <v>2</v>
      </c>
      <c r="E3" s="23">
        <v>2</v>
      </c>
      <c r="F3" s="22">
        <v>4</v>
      </c>
      <c r="G3" s="22">
        <v>6</v>
      </c>
      <c r="H3" s="23">
        <v>8</v>
      </c>
      <c r="I3" s="22">
        <v>9</v>
      </c>
      <c r="J3" s="22">
        <v>7</v>
      </c>
      <c r="K3" s="22">
        <v>5</v>
      </c>
      <c r="L3" s="22">
        <v>5</v>
      </c>
      <c r="N3" s="2">
        <v>112</v>
      </c>
      <c r="O3" s="1">
        <v>2</v>
      </c>
    </row>
    <row r="4" spans="1:15" ht="28.25" customHeight="1">
      <c r="A4" s="22">
        <v>4</v>
      </c>
      <c r="B4" s="22">
        <v>9</v>
      </c>
      <c r="C4" s="22">
        <v>8</v>
      </c>
      <c r="D4" s="23">
        <v>8</v>
      </c>
      <c r="E4" s="23">
        <v>8</v>
      </c>
      <c r="F4" s="22">
        <v>6</v>
      </c>
      <c r="G4" s="26">
        <v>1</v>
      </c>
      <c r="H4" s="23">
        <v>2</v>
      </c>
      <c r="I4" s="22">
        <v>7</v>
      </c>
      <c r="J4" s="22">
        <v>7</v>
      </c>
      <c r="K4" s="22">
        <v>1</v>
      </c>
      <c r="L4" s="22">
        <v>2</v>
      </c>
      <c r="N4" s="2">
        <v>56</v>
      </c>
      <c r="O4" s="1">
        <v>15</v>
      </c>
    </row>
    <row r="5" spans="1:15" ht="28.25" customHeight="1">
      <c r="A5" s="22">
        <v>2</v>
      </c>
      <c r="B5" s="23">
        <v>6</v>
      </c>
      <c r="C5" s="23">
        <v>6</v>
      </c>
      <c r="D5" s="22">
        <v>2</v>
      </c>
      <c r="E5" s="22">
        <v>5</v>
      </c>
      <c r="F5" s="23">
        <v>4</v>
      </c>
      <c r="G5" s="22">
        <v>7</v>
      </c>
      <c r="H5" s="26">
        <v>1</v>
      </c>
      <c r="I5" s="23">
        <v>1</v>
      </c>
      <c r="J5" s="26">
        <v>8</v>
      </c>
      <c r="K5" s="22">
        <v>4</v>
      </c>
      <c r="L5" s="22">
        <v>2</v>
      </c>
      <c r="N5" s="2">
        <v>28659</v>
      </c>
      <c r="O5" s="1">
        <v>1</v>
      </c>
    </row>
    <row r="6" spans="1:15" ht="28.25" customHeight="1">
      <c r="A6" s="22">
        <v>5</v>
      </c>
      <c r="B6" s="23">
        <v>5</v>
      </c>
      <c r="C6" s="22">
        <v>3</v>
      </c>
      <c r="D6" s="22">
        <v>8</v>
      </c>
      <c r="E6" s="22">
        <v>7</v>
      </c>
      <c r="F6" s="22">
        <v>9</v>
      </c>
      <c r="G6" s="26">
        <v>8</v>
      </c>
      <c r="H6" s="26">
        <v>7</v>
      </c>
      <c r="I6" s="26">
        <v>7</v>
      </c>
      <c r="J6" s="23">
        <v>1</v>
      </c>
      <c r="K6" s="22">
        <v>2</v>
      </c>
      <c r="L6" s="26">
        <v>1</v>
      </c>
      <c r="N6" s="2">
        <v>48236</v>
      </c>
      <c r="O6" s="1">
        <v>2</v>
      </c>
    </row>
    <row r="7" spans="1:15" ht="28.25" customHeight="1">
      <c r="A7" s="23">
        <v>9</v>
      </c>
      <c r="B7" s="22">
        <v>6</v>
      </c>
      <c r="C7" s="26">
        <v>4</v>
      </c>
      <c r="D7" s="23">
        <v>4</v>
      </c>
      <c r="E7" s="23">
        <v>2</v>
      </c>
      <c r="F7" s="22">
        <v>1</v>
      </c>
      <c r="G7" s="22">
        <v>7</v>
      </c>
      <c r="H7" s="22">
        <v>7</v>
      </c>
      <c r="I7" s="26">
        <v>3</v>
      </c>
      <c r="J7" s="22">
        <v>7</v>
      </c>
      <c r="K7" s="23">
        <v>2</v>
      </c>
      <c r="L7" s="23">
        <v>7</v>
      </c>
      <c r="N7" s="2">
        <v>15</v>
      </c>
      <c r="O7" s="1">
        <v>16</v>
      </c>
    </row>
    <row r="8" spans="1:15" ht="28.25" customHeight="1">
      <c r="A8" s="26">
        <v>4</v>
      </c>
      <c r="B8" s="22">
        <v>1</v>
      </c>
      <c r="C8" s="23">
        <v>5</v>
      </c>
      <c r="D8" s="22">
        <v>5</v>
      </c>
      <c r="E8" s="22">
        <v>5</v>
      </c>
      <c r="F8" s="26">
        <v>3</v>
      </c>
      <c r="G8" s="26">
        <v>3</v>
      </c>
      <c r="H8" s="26">
        <v>8</v>
      </c>
      <c r="I8" s="22">
        <v>9</v>
      </c>
      <c r="J8" s="26">
        <v>3</v>
      </c>
      <c r="K8" s="23">
        <v>4</v>
      </c>
      <c r="L8" s="23">
        <v>9</v>
      </c>
      <c r="N8" s="2">
        <v>3163</v>
      </c>
      <c r="O8" s="1">
        <v>1</v>
      </c>
    </row>
    <row r="9" spans="1:15" ht="28.25" customHeight="1">
      <c r="A9" s="22">
        <v>1</v>
      </c>
      <c r="B9" s="22">
        <v>9</v>
      </c>
      <c r="C9" s="22">
        <v>5</v>
      </c>
      <c r="D9" s="23">
        <v>5</v>
      </c>
      <c r="E9" s="26">
        <v>8</v>
      </c>
      <c r="F9" s="22">
        <v>5</v>
      </c>
      <c r="G9" s="22">
        <v>2</v>
      </c>
      <c r="H9" s="22">
        <v>8</v>
      </c>
      <c r="I9" s="22">
        <v>6</v>
      </c>
      <c r="J9" s="23">
        <v>3</v>
      </c>
      <c r="K9" s="23">
        <v>1</v>
      </c>
      <c r="L9" s="23">
        <v>9</v>
      </c>
      <c r="N9" s="2">
        <v>24</v>
      </c>
      <c r="O9" s="1">
        <v>10</v>
      </c>
    </row>
    <row r="10" spans="1:15" ht="28.25" customHeight="1">
      <c r="A10" s="22">
        <v>5</v>
      </c>
      <c r="B10" s="26">
        <v>4</v>
      </c>
      <c r="C10" s="23">
        <v>7</v>
      </c>
      <c r="D10" s="23">
        <v>9</v>
      </c>
      <c r="E10" s="23">
        <v>9</v>
      </c>
      <c r="F10" s="23">
        <v>1</v>
      </c>
      <c r="G10" s="23">
        <v>1</v>
      </c>
      <c r="H10" s="23">
        <v>6</v>
      </c>
      <c r="I10" s="23">
        <v>8</v>
      </c>
      <c r="J10" s="23">
        <v>6</v>
      </c>
      <c r="K10" s="23">
        <v>9</v>
      </c>
      <c r="L10" s="23">
        <v>3</v>
      </c>
      <c r="N10" s="2">
        <v>559</v>
      </c>
      <c r="O10" s="1">
        <v>6</v>
      </c>
    </row>
    <row r="11" spans="1:15" ht="28.25" customHeight="1">
      <c r="A11" s="26">
        <v>8</v>
      </c>
      <c r="B11" s="26">
        <v>5</v>
      </c>
      <c r="C11" s="26">
        <v>8</v>
      </c>
      <c r="D11" s="22">
        <v>9</v>
      </c>
      <c r="E11" s="22">
        <v>9</v>
      </c>
      <c r="F11" s="22">
        <v>5</v>
      </c>
      <c r="G11" s="22">
        <v>5</v>
      </c>
      <c r="H11" s="22">
        <v>6</v>
      </c>
      <c r="I11" s="22">
        <v>2</v>
      </c>
      <c r="J11" s="23">
        <v>1</v>
      </c>
      <c r="K11" s="26">
        <v>2</v>
      </c>
      <c r="L11" s="23">
        <v>1</v>
      </c>
      <c r="N11" s="2">
        <v>7742484</v>
      </c>
      <c r="O11" s="1">
        <v>1</v>
      </c>
    </row>
    <row r="12" spans="1:15" ht="28.25" customHeight="1">
      <c r="A12" s="26">
        <v>5</v>
      </c>
      <c r="B12" s="23">
        <v>7</v>
      </c>
      <c r="C12" s="23">
        <v>7</v>
      </c>
      <c r="D12" s="23">
        <v>4</v>
      </c>
      <c r="E12" s="23">
        <v>2</v>
      </c>
      <c r="F12" s="23">
        <v>4</v>
      </c>
      <c r="G12" s="23">
        <v>8</v>
      </c>
      <c r="H12" s="23">
        <v>4</v>
      </c>
      <c r="I12" s="26">
        <v>6</v>
      </c>
      <c r="J12" s="23">
        <v>3</v>
      </c>
      <c r="K12" s="26">
        <v>3</v>
      </c>
      <c r="L12" s="26">
        <v>3</v>
      </c>
      <c r="N12" s="2">
        <v>97</v>
      </c>
      <c r="O12" s="1">
        <v>15</v>
      </c>
    </row>
    <row r="13" spans="1:15" ht="28.25" customHeight="1">
      <c r="N13" s="2">
        <v>79931</v>
      </c>
      <c r="O13" s="1">
        <v>1</v>
      </c>
    </row>
    <row r="14" spans="1:15" ht="28.25" customHeight="1">
      <c r="N14" s="2">
        <v>286</v>
      </c>
      <c r="O14" s="1">
        <v>7</v>
      </c>
    </row>
    <row r="15" spans="1:15" ht="28.25" customHeight="1">
      <c r="N15" s="2">
        <v>2419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58"/>
  <sheetViews>
    <sheetView tabSelected="1" zoomScaleNormal="100" workbookViewId="0">
      <pane ySplit="1" topLeftCell="A47" activePane="bottomLeft" state="frozen"/>
      <selection pane="bottomLeft" activeCell="A58" sqref="A58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  <c r="L13" t="s">
        <v>166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  <row r="15" spans="1:29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78</v>
      </c>
      <c r="I15" t="s">
        <v>79</v>
      </c>
      <c r="J15">
        <v>0</v>
      </c>
      <c r="K15" t="s">
        <v>168</v>
      </c>
      <c r="L15" t="s">
        <v>169</v>
      </c>
      <c r="M15" t="s">
        <v>170</v>
      </c>
      <c r="N15" t="s">
        <v>171</v>
      </c>
      <c r="O15" t="s">
        <v>172</v>
      </c>
      <c r="P15" t="s">
        <v>167</v>
      </c>
    </row>
    <row r="16" spans="1:29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80</v>
      </c>
      <c r="I16" t="s">
        <v>81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82</v>
      </c>
      <c r="I17" t="s">
        <v>83</v>
      </c>
      <c r="J17">
        <v>0</v>
      </c>
      <c r="K17">
        <v>1</v>
      </c>
      <c r="L17">
        <f>L16+K17</f>
        <v>1</v>
      </c>
      <c r="M17">
        <v>2</v>
      </c>
      <c r="N17">
        <f>N16+M17*(INT(A17-6/24)-INT(A16-6/24))+P17</f>
        <v>2</v>
      </c>
      <c r="O17" t="str">
        <f t="shared" ref="O17:O58" si="1"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84</v>
      </c>
      <c r="I18" t="s">
        <v>85</v>
      </c>
      <c r="J18">
        <v>0</v>
      </c>
      <c r="K18">
        <v>1</v>
      </c>
      <c r="L18">
        <f t="shared" ref="L18:L58" si="2">L17+K18</f>
        <v>2</v>
      </c>
      <c r="M18">
        <v>2</v>
      </c>
      <c r="N18">
        <f t="shared" ref="N18:N58" si="3">N17+M18*(INT(A18-6/24)-INT(A17-6/24))+P18</f>
        <v>2</v>
      </c>
      <c r="O18" t="str">
        <f t="shared" si="1"/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86</v>
      </c>
      <c r="I19" t="s">
        <v>87</v>
      </c>
      <c r="J19">
        <v>0</v>
      </c>
      <c r="K19">
        <v>1</v>
      </c>
      <c r="L19">
        <f t="shared" si="2"/>
        <v>3</v>
      </c>
      <c r="M19">
        <v>2</v>
      </c>
      <c r="N19">
        <f t="shared" si="3"/>
        <v>4</v>
      </c>
      <c r="O19" t="str">
        <f t="shared" si="1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88</v>
      </c>
      <c r="I20" t="s">
        <v>89</v>
      </c>
      <c r="J20">
        <v>0</v>
      </c>
      <c r="K20">
        <v>1</v>
      </c>
      <c r="L20">
        <f t="shared" si="2"/>
        <v>4</v>
      </c>
      <c r="M20">
        <v>2</v>
      </c>
      <c r="N20">
        <f t="shared" si="3"/>
        <v>4</v>
      </c>
      <c r="O20" t="str">
        <f t="shared" si="1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90</v>
      </c>
      <c r="I21" t="s">
        <v>91</v>
      </c>
      <c r="J21">
        <v>0</v>
      </c>
      <c r="K21">
        <v>1</v>
      </c>
      <c r="L21">
        <f t="shared" si="2"/>
        <v>5</v>
      </c>
      <c r="M21">
        <v>2</v>
      </c>
      <c r="N21">
        <f t="shared" si="3"/>
        <v>6</v>
      </c>
      <c r="O21" t="str">
        <f t="shared" si="1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92</v>
      </c>
      <c r="I22" t="s">
        <v>93</v>
      </c>
      <c r="J22">
        <v>0</v>
      </c>
      <c r="K22">
        <v>1</v>
      </c>
      <c r="L22">
        <f t="shared" si="2"/>
        <v>6</v>
      </c>
      <c r="M22">
        <v>2</v>
      </c>
      <c r="N22">
        <f t="shared" si="3"/>
        <v>6</v>
      </c>
      <c r="O22" t="str">
        <f t="shared" si="1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94</v>
      </c>
      <c r="I23" t="s">
        <v>95</v>
      </c>
      <c r="J23">
        <v>0</v>
      </c>
      <c r="K23">
        <v>1</v>
      </c>
      <c r="L23">
        <f t="shared" si="2"/>
        <v>7</v>
      </c>
      <c r="M23">
        <v>2</v>
      </c>
      <c r="N23">
        <f t="shared" si="3"/>
        <v>8</v>
      </c>
      <c r="O23" t="str">
        <f t="shared" si="1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96</v>
      </c>
      <c r="I24" t="s">
        <v>97</v>
      </c>
      <c r="J24">
        <v>0</v>
      </c>
      <c r="K24">
        <v>1</v>
      </c>
      <c r="L24">
        <f t="shared" si="2"/>
        <v>8</v>
      </c>
      <c r="M24">
        <v>2</v>
      </c>
      <c r="N24">
        <f t="shared" si="3"/>
        <v>8</v>
      </c>
      <c r="O24" t="str">
        <f t="shared" si="1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98</v>
      </c>
      <c r="I25" t="s">
        <v>99</v>
      </c>
      <c r="J25">
        <v>0</v>
      </c>
      <c r="K25">
        <v>1</v>
      </c>
      <c r="L25">
        <f t="shared" si="2"/>
        <v>9</v>
      </c>
      <c r="M25">
        <v>2</v>
      </c>
      <c r="N25">
        <f t="shared" si="3"/>
        <v>10</v>
      </c>
      <c r="O25" t="str">
        <f t="shared" si="1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100</v>
      </c>
      <c r="I26" t="s">
        <v>101</v>
      </c>
      <c r="J26">
        <v>0</v>
      </c>
      <c r="K26">
        <v>1</v>
      </c>
      <c r="L26">
        <f t="shared" si="2"/>
        <v>10</v>
      </c>
      <c r="M26">
        <v>2</v>
      </c>
      <c r="N26">
        <f t="shared" si="3"/>
        <v>10</v>
      </c>
      <c r="O26" t="str">
        <f t="shared" si="1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102</v>
      </c>
      <c r="I27" t="s">
        <v>103</v>
      </c>
      <c r="J27">
        <v>0</v>
      </c>
      <c r="K27">
        <v>1</v>
      </c>
      <c r="L27">
        <f t="shared" si="2"/>
        <v>11</v>
      </c>
      <c r="M27">
        <v>2</v>
      </c>
      <c r="N27">
        <f t="shared" si="3"/>
        <v>13</v>
      </c>
      <c r="O27" t="str">
        <f t="shared" si="1"/>
        <v>未達成（2）</v>
      </c>
      <c r="P27">
        <v>1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104</v>
      </c>
      <c r="I28" t="s">
        <v>105</v>
      </c>
      <c r="J28">
        <v>0</v>
      </c>
      <c r="K28">
        <v>1</v>
      </c>
      <c r="L28">
        <f t="shared" si="2"/>
        <v>12</v>
      </c>
      <c r="M28">
        <v>2</v>
      </c>
      <c r="N28">
        <f t="shared" si="3"/>
        <v>13</v>
      </c>
      <c r="O28" t="str">
        <f t="shared" si="1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106</v>
      </c>
      <c r="I29" t="s">
        <v>107</v>
      </c>
      <c r="J29">
        <v>0</v>
      </c>
      <c r="K29">
        <v>1</v>
      </c>
      <c r="L29">
        <f t="shared" si="2"/>
        <v>13</v>
      </c>
      <c r="M29">
        <v>2</v>
      </c>
      <c r="N29">
        <f t="shared" si="3"/>
        <v>13</v>
      </c>
      <c r="O29" t="str">
        <f t="shared" si="1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108</v>
      </c>
      <c r="I30" t="s">
        <v>109</v>
      </c>
      <c r="J30">
        <v>0</v>
      </c>
      <c r="K30">
        <v>1</v>
      </c>
      <c r="L30">
        <f t="shared" si="2"/>
        <v>14</v>
      </c>
      <c r="M30">
        <v>2</v>
      </c>
      <c r="N30">
        <f t="shared" si="3"/>
        <v>15</v>
      </c>
      <c r="O30" t="str">
        <f t="shared" si="1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110</v>
      </c>
      <c r="I31" t="s">
        <v>111</v>
      </c>
      <c r="J31">
        <v>0</v>
      </c>
      <c r="K31">
        <v>1</v>
      </c>
      <c r="L31">
        <f t="shared" si="2"/>
        <v>15</v>
      </c>
      <c r="M31">
        <v>2</v>
      </c>
      <c r="N31">
        <f t="shared" si="3"/>
        <v>15</v>
      </c>
      <c r="O31" t="str">
        <f t="shared" si="1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112</v>
      </c>
      <c r="I32" t="s">
        <v>113</v>
      </c>
      <c r="J32">
        <v>0</v>
      </c>
      <c r="K32">
        <v>1</v>
      </c>
      <c r="L32">
        <f t="shared" si="2"/>
        <v>16</v>
      </c>
      <c r="M32">
        <v>2</v>
      </c>
      <c r="N32">
        <f t="shared" si="3"/>
        <v>17</v>
      </c>
      <c r="O32" t="str">
        <f t="shared" si="1"/>
        <v>未達成（1）</v>
      </c>
    </row>
    <row r="33" spans="1:15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114</v>
      </c>
      <c r="I33" t="s">
        <v>115</v>
      </c>
      <c r="J33">
        <v>0</v>
      </c>
      <c r="K33">
        <v>1</v>
      </c>
      <c r="L33">
        <f t="shared" si="2"/>
        <v>17</v>
      </c>
      <c r="M33">
        <v>2</v>
      </c>
      <c r="N33">
        <f t="shared" si="3"/>
        <v>17</v>
      </c>
      <c r="O33" t="str">
        <f t="shared" si="1"/>
        <v>達成</v>
      </c>
    </row>
    <row r="34" spans="1:15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116</v>
      </c>
      <c r="I34" t="s">
        <v>117</v>
      </c>
      <c r="J34">
        <v>0</v>
      </c>
      <c r="K34">
        <v>1</v>
      </c>
      <c r="L34">
        <f t="shared" si="2"/>
        <v>18</v>
      </c>
      <c r="M34">
        <v>2</v>
      </c>
      <c r="N34">
        <f t="shared" si="3"/>
        <v>19</v>
      </c>
      <c r="O34" t="str">
        <f t="shared" si="1"/>
        <v>未達成（1）</v>
      </c>
    </row>
    <row r="35" spans="1:15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118</v>
      </c>
      <c r="I35" t="s">
        <v>119</v>
      </c>
      <c r="J35">
        <v>0</v>
      </c>
      <c r="K35">
        <v>1</v>
      </c>
      <c r="L35">
        <f t="shared" si="2"/>
        <v>19</v>
      </c>
      <c r="M35">
        <v>2</v>
      </c>
      <c r="N35">
        <f t="shared" si="3"/>
        <v>19</v>
      </c>
      <c r="O35" t="str">
        <f t="shared" si="1"/>
        <v>達成</v>
      </c>
    </row>
    <row r="36" spans="1:15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122</v>
      </c>
      <c r="I36" t="s">
        <v>123</v>
      </c>
      <c r="J36">
        <v>0</v>
      </c>
      <c r="K36">
        <v>1</v>
      </c>
      <c r="L36">
        <f t="shared" si="2"/>
        <v>20</v>
      </c>
      <c r="M36">
        <v>2</v>
      </c>
      <c r="N36">
        <f t="shared" si="3"/>
        <v>21</v>
      </c>
      <c r="O36" t="str">
        <f t="shared" si="1"/>
        <v>未達成（1）</v>
      </c>
    </row>
    <row r="37" spans="1:15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120</v>
      </c>
      <c r="I37" t="s">
        <v>121</v>
      </c>
      <c r="J37">
        <v>0</v>
      </c>
      <c r="K37">
        <v>1</v>
      </c>
      <c r="L37">
        <f t="shared" si="2"/>
        <v>21</v>
      </c>
      <c r="M37">
        <v>2</v>
      </c>
      <c r="N37">
        <f t="shared" si="3"/>
        <v>21</v>
      </c>
      <c r="O37" t="str">
        <f t="shared" si="1"/>
        <v>達成</v>
      </c>
    </row>
    <row r="38" spans="1:15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124</v>
      </c>
      <c r="I38" t="s">
        <v>125</v>
      </c>
      <c r="J38">
        <v>0</v>
      </c>
      <c r="K38">
        <v>1</v>
      </c>
      <c r="L38">
        <f t="shared" si="2"/>
        <v>22</v>
      </c>
      <c r="M38">
        <v>2</v>
      </c>
      <c r="N38">
        <f t="shared" si="3"/>
        <v>25</v>
      </c>
      <c r="O38" t="str">
        <f t="shared" si="1"/>
        <v>未達成（3）</v>
      </c>
    </row>
    <row r="39" spans="1:15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126</v>
      </c>
      <c r="I39" t="s">
        <v>127</v>
      </c>
      <c r="J39">
        <v>0</v>
      </c>
      <c r="K39">
        <v>1</v>
      </c>
      <c r="L39">
        <f t="shared" si="2"/>
        <v>23</v>
      </c>
      <c r="M39">
        <v>2</v>
      </c>
      <c r="N39">
        <f t="shared" si="3"/>
        <v>25</v>
      </c>
      <c r="O39" t="str">
        <f t="shared" si="1"/>
        <v>未達成（2）</v>
      </c>
    </row>
    <row r="40" spans="1:15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128</v>
      </c>
      <c r="I40" t="s">
        <v>129</v>
      </c>
      <c r="J40">
        <v>0</v>
      </c>
      <c r="K40">
        <v>1</v>
      </c>
      <c r="L40">
        <f t="shared" si="2"/>
        <v>24</v>
      </c>
      <c r="M40">
        <v>2</v>
      </c>
      <c r="N40">
        <f t="shared" si="3"/>
        <v>27</v>
      </c>
      <c r="O40" t="str">
        <f t="shared" si="1"/>
        <v>未達成（3）</v>
      </c>
    </row>
    <row r="41" spans="1:15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130</v>
      </c>
      <c r="I41" t="s">
        <v>131</v>
      </c>
      <c r="J41">
        <v>0</v>
      </c>
      <c r="K41">
        <v>1</v>
      </c>
      <c r="L41">
        <f t="shared" si="2"/>
        <v>25</v>
      </c>
      <c r="M41">
        <v>2</v>
      </c>
      <c r="N41">
        <f t="shared" si="3"/>
        <v>27</v>
      </c>
      <c r="O41" t="str">
        <f t="shared" si="1"/>
        <v>未達成（2）</v>
      </c>
    </row>
    <row r="42" spans="1:15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132</v>
      </c>
      <c r="I42" t="s">
        <v>133</v>
      </c>
      <c r="J42">
        <v>0</v>
      </c>
      <c r="K42">
        <v>1</v>
      </c>
      <c r="L42">
        <f t="shared" si="2"/>
        <v>26</v>
      </c>
      <c r="M42">
        <v>2</v>
      </c>
      <c r="N42">
        <f t="shared" si="3"/>
        <v>29</v>
      </c>
      <c r="O42" t="str">
        <f t="shared" si="1"/>
        <v>未達成（3）</v>
      </c>
    </row>
    <row r="43" spans="1:15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134</v>
      </c>
      <c r="I43" t="s">
        <v>135</v>
      </c>
      <c r="J43">
        <v>0</v>
      </c>
      <c r="K43">
        <v>1</v>
      </c>
      <c r="L43">
        <f t="shared" si="2"/>
        <v>27</v>
      </c>
      <c r="M43">
        <v>2</v>
      </c>
      <c r="N43">
        <f t="shared" si="3"/>
        <v>29</v>
      </c>
      <c r="O43" t="str">
        <f t="shared" si="1"/>
        <v>未達成（2）</v>
      </c>
    </row>
    <row r="44" spans="1:15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136</v>
      </c>
      <c r="I44" t="s">
        <v>137</v>
      </c>
      <c r="J44">
        <v>0</v>
      </c>
      <c r="K44">
        <v>1</v>
      </c>
      <c r="L44">
        <f t="shared" si="2"/>
        <v>28</v>
      </c>
      <c r="M44">
        <v>2</v>
      </c>
      <c r="N44">
        <f t="shared" si="3"/>
        <v>29</v>
      </c>
      <c r="O44" t="str">
        <f t="shared" si="1"/>
        <v>未達成（1）</v>
      </c>
    </row>
    <row r="45" spans="1:15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138</v>
      </c>
      <c r="I45" t="s">
        <v>139</v>
      </c>
      <c r="J45">
        <v>0</v>
      </c>
      <c r="K45">
        <v>1</v>
      </c>
      <c r="L45">
        <f t="shared" si="2"/>
        <v>29</v>
      </c>
      <c r="M45">
        <v>2</v>
      </c>
      <c r="N45">
        <f t="shared" si="3"/>
        <v>29</v>
      </c>
      <c r="O45" t="str">
        <f t="shared" si="1"/>
        <v>達成</v>
      </c>
    </row>
    <row r="46" spans="1:15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140</v>
      </c>
      <c r="I46" t="s">
        <v>141</v>
      </c>
      <c r="J46">
        <v>0</v>
      </c>
      <c r="K46">
        <v>1</v>
      </c>
      <c r="L46">
        <f t="shared" si="2"/>
        <v>30</v>
      </c>
      <c r="M46">
        <v>2</v>
      </c>
      <c r="N46">
        <f t="shared" si="3"/>
        <v>29</v>
      </c>
      <c r="O46" t="str">
        <f t="shared" si="1"/>
        <v>前倒し（1）</v>
      </c>
    </row>
    <row r="47" spans="1:15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142</v>
      </c>
      <c r="I47" t="s">
        <v>143</v>
      </c>
      <c r="J47">
        <v>0</v>
      </c>
      <c r="K47">
        <v>1</v>
      </c>
      <c r="L47">
        <f t="shared" si="2"/>
        <v>31</v>
      </c>
      <c r="M47">
        <v>2</v>
      </c>
      <c r="N47">
        <f t="shared" si="3"/>
        <v>29</v>
      </c>
      <c r="O47" t="str">
        <f t="shared" si="1"/>
        <v>前倒し（2）</v>
      </c>
    </row>
    <row r="48" spans="1:15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144</v>
      </c>
      <c r="I48" t="s">
        <v>145</v>
      </c>
      <c r="J48">
        <v>0</v>
      </c>
      <c r="K48">
        <v>1</v>
      </c>
      <c r="L48">
        <f t="shared" si="2"/>
        <v>32</v>
      </c>
      <c r="M48">
        <v>2</v>
      </c>
      <c r="N48">
        <f t="shared" si="3"/>
        <v>31</v>
      </c>
      <c r="O48" t="str">
        <f t="shared" si="1"/>
        <v>前倒し（1）</v>
      </c>
    </row>
    <row r="49" spans="1:15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146</v>
      </c>
      <c r="I49" t="s">
        <v>147</v>
      </c>
      <c r="J49">
        <v>0</v>
      </c>
      <c r="K49">
        <v>1</v>
      </c>
      <c r="L49">
        <f t="shared" si="2"/>
        <v>33</v>
      </c>
      <c r="M49">
        <v>2</v>
      </c>
      <c r="N49">
        <f t="shared" si="3"/>
        <v>31</v>
      </c>
      <c r="O49" t="str">
        <f t="shared" si="1"/>
        <v>前倒し（2）</v>
      </c>
    </row>
    <row r="50" spans="1:15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148</v>
      </c>
      <c r="I50" t="s">
        <v>149</v>
      </c>
      <c r="J50">
        <v>0</v>
      </c>
      <c r="K50">
        <v>1</v>
      </c>
      <c r="L50">
        <f t="shared" si="2"/>
        <v>34</v>
      </c>
      <c r="M50">
        <v>2</v>
      </c>
      <c r="N50">
        <f t="shared" si="3"/>
        <v>31</v>
      </c>
      <c r="O50" t="str">
        <f t="shared" si="1"/>
        <v>前倒し（3）</v>
      </c>
    </row>
    <row r="51" spans="1:15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150</v>
      </c>
      <c r="I51" t="s">
        <v>151</v>
      </c>
      <c r="J51">
        <v>0</v>
      </c>
      <c r="K51">
        <v>1</v>
      </c>
      <c r="L51">
        <f t="shared" si="2"/>
        <v>35</v>
      </c>
      <c r="M51">
        <v>2</v>
      </c>
      <c r="N51">
        <f t="shared" si="3"/>
        <v>31</v>
      </c>
      <c r="O51" t="str">
        <f t="shared" si="1"/>
        <v>前倒し（4）</v>
      </c>
    </row>
    <row r="52" spans="1:15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152</v>
      </c>
      <c r="I52" t="s">
        <v>153</v>
      </c>
      <c r="J52">
        <v>0</v>
      </c>
      <c r="K52">
        <v>1</v>
      </c>
      <c r="L52">
        <f t="shared" si="2"/>
        <v>36</v>
      </c>
      <c r="M52">
        <v>2</v>
      </c>
      <c r="N52">
        <f t="shared" si="3"/>
        <v>35</v>
      </c>
      <c r="O52" t="str">
        <f t="shared" si="1"/>
        <v>前倒し（1）</v>
      </c>
    </row>
    <row r="53" spans="1:15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154</v>
      </c>
      <c r="I53" t="s">
        <v>155</v>
      </c>
      <c r="J53">
        <v>0</v>
      </c>
      <c r="K53">
        <v>1</v>
      </c>
      <c r="L53">
        <f t="shared" si="2"/>
        <v>37</v>
      </c>
      <c r="M53">
        <v>2</v>
      </c>
      <c r="N53">
        <f t="shared" si="3"/>
        <v>35</v>
      </c>
      <c r="O53" t="str">
        <f t="shared" si="1"/>
        <v>前倒し（2）</v>
      </c>
    </row>
    <row r="54" spans="1:15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156</v>
      </c>
      <c r="I54" t="s">
        <v>157</v>
      </c>
      <c r="J54">
        <v>0</v>
      </c>
      <c r="K54">
        <f>MAX(2-INT(G54*24*60/10),0)</f>
        <v>1</v>
      </c>
      <c r="L54">
        <f t="shared" si="2"/>
        <v>38</v>
      </c>
      <c r="M54">
        <v>2</v>
      </c>
      <c r="N54">
        <f t="shared" si="3"/>
        <v>37</v>
      </c>
      <c r="O54" t="str">
        <f t="shared" si="1"/>
        <v>前倒し（1）</v>
      </c>
    </row>
    <row r="55" spans="1:15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158</v>
      </c>
      <c r="I55" t="s">
        <v>159</v>
      </c>
      <c r="J55">
        <v>0</v>
      </c>
      <c r="K55">
        <f t="shared" ref="K55:K58" si="4">MAX(2-INT(G55*24*60/10),0)</f>
        <v>0</v>
      </c>
      <c r="L55">
        <f t="shared" si="2"/>
        <v>38</v>
      </c>
      <c r="M55">
        <v>2</v>
      </c>
      <c r="N55">
        <f t="shared" si="3"/>
        <v>37</v>
      </c>
      <c r="O55" t="str">
        <f t="shared" si="1"/>
        <v>前倒し（1）</v>
      </c>
    </row>
    <row r="56" spans="1:15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160</v>
      </c>
      <c r="I56" t="s">
        <v>161</v>
      </c>
      <c r="J56">
        <v>0</v>
      </c>
      <c r="K56">
        <f t="shared" si="4"/>
        <v>1</v>
      </c>
      <c r="L56">
        <f t="shared" si="2"/>
        <v>39</v>
      </c>
      <c r="M56">
        <v>2</v>
      </c>
      <c r="N56">
        <f t="shared" si="3"/>
        <v>39</v>
      </c>
      <c r="O56" t="str">
        <f t="shared" si="1"/>
        <v>達成</v>
      </c>
    </row>
    <row r="57" spans="1:15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162</v>
      </c>
      <c r="I57" t="s">
        <v>163</v>
      </c>
      <c r="J57">
        <v>0</v>
      </c>
      <c r="K57">
        <f t="shared" si="4"/>
        <v>1</v>
      </c>
      <c r="L57">
        <f t="shared" si="2"/>
        <v>40</v>
      </c>
      <c r="M57">
        <v>2</v>
      </c>
      <c r="N57">
        <f t="shared" si="3"/>
        <v>41</v>
      </c>
      <c r="O57" t="str">
        <f t="shared" si="1"/>
        <v>未達成（1）</v>
      </c>
    </row>
    <row r="58" spans="1:15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164</v>
      </c>
      <c r="I58" t="s">
        <v>165</v>
      </c>
      <c r="J58">
        <v>0</v>
      </c>
      <c r="K58">
        <f t="shared" si="4"/>
        <v>1</v>
      </c>
      <c r="L58">
        <f t="shared" si="2"/>
        <v>41</v>
      </c>
      <c r="M58">
        <v>2</v>
      </c>
      <c r="N58">
        <f t="shared" si="3"/>
        <v>41</v>
      </c>
      <c r="O58" t="str">
        <f t="shared" si="1"/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45983.588877314818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45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2025-11-23T05:47:16Z</dcterms:modified>
</cp:coreProperties>
</file>
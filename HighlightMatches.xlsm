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2F1A4BEF-DC4E-43E7-A7F5-26AEF5704065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14" i="4" l="1"/>
  <c r="O214" i="4"/>
  <c r="M214" i="4"/>
  <c r="N214" i="4" s="1"/>
  <c r="K214" i="4"/>
  <c r="L214" i="4" s="1"/>
  <c r="P214" i="4" s="1"/>
  <c r="Q213" i="4"/>
  <c r="O213" i="4"/>
  <c r="M213" i="4"/>
  <c r="N213" i="4" s="1"/>
  <c r="K213" i="4"/>
  <c r="L213" i="4" s="1"/>
  <c r="Q212" i="4"/>
  <c r="O212" i="4"/>
  <c r="M212" i="4"/>
  <c r="N212" i="4" s="1"/>
  <c r="K212" i="4"/>
  <c r="L212" i="4" s="1"/>
  <c r="P212" i="4" s="1"/>
  <c r="Q211" i="4"/>
  <c r="O211" i="4"/>
  <c r="M211" i="4"/>
  <c r="N211" i="4" s="1"/>
  <c r="K211" i="4"/>
  <c r="L211" i="4" s="1"/>
  <c r="Q210" i="4"/>
  <c r="O210" i="4"/>
  <c r="M210" i="4"/>
  <c r="N210" i="4" s="1"/>
  <c r="K210" i="4"/>
  <c r="L210" i="4" s="1"/>
  <c r="Q209" i="4"/>
  <c r="O209" i="4"/>
  <c r="M209" i="4"/>
  <c r="N209" i="4" s="1"/>
  <c r="K209" i="4"/>
  <c r="L209" i="4" s="1"/>
  <c r="P209" i="4" s="1"/>
  <c r="Q208" i="4"/>
  <c r="O208" i="4"/>
  <c r="M208" i="4"/>
  <c r="N208" i="4" s="1"/>
  <c r="K208" i="4"/>
  <c r="L208" i="4" s="1"/>
  <c r="Q207" i="4"/>
  <c r="O207" i="4"/>
  <c r="M207" i="4"/>
  <c r="N207" i="4" s="1"/>
  <c r="K207" i="4"/>
  <c r="L207" i="4" s="1"/>
  <c r="Q206" i="4"/>
  <c r="O206" i="4"/>
  <c r="M206" i="4"/>
  <c r="N206" i="4" s="1"/>
  <c r="K206" i="4"/>
  <c r="L206" i="4" s="1"/>
  <c r="P206" i="4" s="1"/>
  <c r="Q205" i="4"/>
  <c r="O205" i="4"/>
  <c r="M205" i="4"/>
  <c r="N205" i="4" s="1"/>
  <c r="K205" i="4"/>
  <c r="L205" i="4" s="1"/>
  <c r="P205" i="4" s="1"/>
  <c r="Q204" i="4"/>
  <c r="O204" i="4"/>
  <c r="M204" i="4"/>
  <c r="N204" i="4" s="1"/>
  <c r="K204" i="4"/>
  <c r="L204" i="4" s="1"/>
  <c r="P204" i="4" s="1"/>
  <c r="Q203" i="4"/>
  <c r="O203" i="4"/>
  <c r="M203" i="4"/>
  <c r="N203" i="4" s="1"/>
  <c r="K203" i="4"/>
  <c r="L203" i="4" s="1"/>
  <c r="P203" i="4" s="1"/>
  <c r="Q202" i="4"/>
  <c r="O202" i="4"/>
  <c r="M202" i="4"/>
  <c r="N202" i="4" s="1"/>
  <c r="K202" i="4"/>
  <c r="L202" i="4" s="1"/>
  <c r="P202" i="4" s="1"/>
  <c r="Q201" i="4"/>
  <c r="O201" i="4"/>
  <c r="M201" i="4"/>
  <c r="N201" i="4" s="1"/>
  <c r="K201" i="4"/>
  <c r="L201" i="4" s="1"/>
  <c r="Q200" i="4"/>
  <c r="O200" i="4"/>
  <c r="M200" i="4"/>
  <c r="N200" i="4" s="1"/>
  <c r="K200" i="4"/>
  <c r="L200" i="4" s="1"/>
  <c r="Q199" i="4"/>
  <c r="O199" i="4"/>
  <c r="M199" i="4"/>
  <c r="N199" i="4" s="1"/>
  <c r="K199" i="4"/>
  <c r="L199" i="4" s="1"/>
  <c r="P199" i="4" s="1"/>
  <c r="Q198" i="4"/>
  <c r="O198" i="4"/>
  <c r="M198" i="4"/>
  <c r="N198" i="4" s="1"/>
  <c r="K198" i="4"/>
  <c r="L198" i="4" s="1"/>
  <c r="Q197" i="4"/>
  <c r="O197" i="4"/>
  <c r="M197" i="4"/>
  <c r="N197" i="4" s="1"/>
  <c r="K197" i="4"/>
  <c r="L197" i="4" s="1"/>
  <c r="P197" i="4" s="1"/>
  <c r="Q196" i="4"/>
  <c r="O196" i="4"/>
  <c r="M196" i="4"/>
  <c r="N196" i="4" s="1"/>
  <c r="K196" i="4"/>
  <c r="L196" i="4" s="1"/>
  <c r="P196" i="4" s="1"/>
  <c r="Q195" i="4"/>
  <c r="O195" i="4"/>
  <c r="M195" i="4"/>
  <c r="N195" i="4" s="1"/>
  <c r="K195" i="4"/>
  <c r="L195" i="4" s="1"/>
  <c r="P195" i="4" s="1"/>
  <c r="Q194" i="4"/>
  <c r="O194" i="4"/>
  <c r="M194" i="4"/>
  <c r="N194" i="4" s="1"/>
  <c r="K194" i="4"/>
  <c r="L194" i="4" s="1"/>
  <c r="P194" i="4" s="1"/>
  <c r="Q193" i="4"/>
  <c r="O193" i="4"/>
  <c r="M193" i="4"/>
  <c r="N193" i="4" s="1"/>
  <c r="K193" i="4"/>
  <c r="L193" i="4" s="1"/>
  <c r="P193" i="4" s="1"/>
  <c r="Q192" i="4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213" i="4" l="1"/>
  <c r="P211" i="4"/>
  <c r="P210" i="4"/>
  <c r="P208" i="4"/>
  <c r="P207" i="4"/>
  <c r="P201" i="4"/>
  <c r="P200" i="4"/>
  <c r="P198" i="4"/>
  <c r="P192" i="4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<sst xmlns="http://schemas.openxmlformats.org/spreadsheetml/2006/main" count="505" uniqueCount="485">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</sst>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データ!$A$3:$A$214</c:f>
              <c:numCache>
                <c:formatCode>m/d/yyyy\ h:mm</c:formatCode>
                <c:ptCount val="21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</c:numCache>
            </c:numRef>
          </c:xVal>
          <c:yVal>
            <c:numRef>
              <c:f>データ!$B$3:$B$214</c:f>
              <c:numCache>
                <c:formatCode>General</c:formatCode>
                <c:ptCount val="21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0-4402-9D2C-39E75BD115E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A80-4402-9D2C-39E75BD11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236911"/>
        <c:axId val="120723883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データ!$A$3:$A$214</c:f>
              <c:numCache>
                <c:formatCode>m/d/yyyy\ h:mm</c:formatCode>
                <c:ptCount val="21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</c:numCache>
            </c:numRef>
          </c:xVal>
          <c:yVal>
            <c:numRef>
              <c:f>データ!$Q$3:$Q$214</c:f>
              <c:numCache>
                <c:formatCode>[h]:mm</c:formatCode>
                <c:ptCount val="21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0-4402-9D2C-39E75BD11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150431"/>
        <c:axId val="1440151871"/>
      </c:scatterChart>
      <c:valAx>
        <c:axId val="1207236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7238831"/>
        <c:crosses val="autoZero"/>
        <c:crossBetween val="midCat"/>
      </c:valAx>
      <c:valAx>
        <c:axId val="120723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7236911"/>
        <c:crosses val="autoZero"/>
        <c:crossBetween val="midCat"/>
      </c:valAx>
      <c:valAx>
        <c:axId val="1440151871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0150431"/>
        <c:crosses val="max"/>
        <c:crossBetween val="midCat"/>
      </c:valAx>
      <c:valAx>
        <c:axId val="1440150431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015187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10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60" name="Match0">
          <a:extLst>
            <a:ext uri="{FF2B5EF4-FFF2-40B4-BE49-F238E27FC236}">
              <a16:creationId xmlns:a16="http://schemas.microsoft.com/office/drawing/2014/main" id="{DEFF32BA-4C92-6D49-6E52-7399775908E2}"/>
            </a:ext>
          </a:extLst>
        </xdr:cNvPr>
        <xdr:cNvCxnSpPr/>
      </xdr:nvCxnSpPr>
      <xdr:spPr>
        <a:xfrm>
          <a:off x="1059656" y="3750469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61" name="Match1">
          <a:extLst>
            <a:ext uri="{FF2B5EF4-FFF2-40B4-BE49-F238E27FC236}">
              <a16:creationId xmlns:a16="http://schemas.microsoft.com/office/drawing/2014/main" id="{72E89762-2709-9B69-9DE7-C9CDDD2C7C20}"/>
            </a:ext>
          </a:extLst>
        </xdr:cNvPr>
        <xdr:cNvCxnSpPr/>
      </xdr:nvCxnSpPr>
      <xdr:spPr>
        <a:xfrm>
          <a:off x="402669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62" name="Match2">
          <a:extLst>
            <a:ext uri="{FF2B5EF4-FFF2-40B4-BE49-F238E27FC236}">
              <a16:creationId xmlns:a16="http://schemas.microsoft.com/office/drawing/2014/main" id="{C8920205-FAA3-23FE-C05C-65087A2868A0}"/>
            </a:ext>
          </a:extLst>
        </xdr:cNvPr>
        <xdr:cNvCxnSpPr/>
      </xdr:nvCxnSpPr>
      <xdr:spPr>
        <a:xfrm flipV="1"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63" name="Match3">
          <a:extLst>
            <a:ext uri="{FF2B5EF4-FFF2-40B4-BE49-F238E27FC236}">
              <a16:creationId xmlns:a16="http://schemas.microsoft.com/office/drawing/2014/main" id="{8B5A158F-07F5-2A94-ED9D-D911A2CDABBE}"/>
            </a:ext>
          </a:extLst>
        </xdr:cNvPr>
        <xdr:cNvCxnSpPr/>
      </xdr:nvCxnSpPr>
      <xdr:spPr>
        <a:xfrm>
          <a:off x="36028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024" name="Match4">
          <a:extLst>
            <a:ext uri="{FF2B5EF4-FFF2-40B4-BE49-F238E27FC236}">
              <a16:creationId xmlns:a16="http://schemas.microsoft.com/office/drawing/2014/main" id="{C3E40338-B297-0B3B-EE02-AC802B61FAAE}"/>
            </a:ext>
          </a:extLst>
        </xdr:cNvPr>
        <xdr:cNvCxnSpPr/>
      </xdr:nvCxnSpPr>
      <xdr:spPr>
        <a:xfrm flipH="1"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025" name="Match5">
          <a:extLst>
            <a:ext uri="{FF2B5EF4-FFF2-40B4-BE49-F238E27FC236}">
              <a16:creationId xmlns:a16="http://schemas.microsoft.com/office/drawing/2014/main" id="{7CFBE806-8607-8E43-1B5C-4E8C74317518}"/>
            </a:ext>
          </a:extLst>
        </xdr:cNvPr>
        <xdr:cNvCxnSpPr/>
      </xdr:nvCxnSpPr>
      <xdr:spPr>
        <a:xfrm>
          <a:off x="3178969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5</xdr:row>
      <xdr:rowOff>203993</xdr:rowOff>
    </xdr:to>
    <xdr:cxnSp macro="">
      <xdr:nvCxnSpPr>
        <xdr:cNvPr id="1026" name="Match6">
          <a:extLst>
            <a:ext uri="{FF2B5EF4-FFF2-40B4-BE49-F238E27FC236}">
              <a16:creationId xmlns:a16="http://schemas.microsoft.com/office/drawing/2014/main" id="{EBA21F30-F33D-C16A-A930-23F2D240B033}"/>
            </a:ext>
          </a:extLst>
        </xdr:cNvPr>
        <xdr:cNvCxnSpPr/>
      </xdr:nvCxnSpPr>
      <xdr:spPr>
        <a:xfrm flipH="1">
          <a:off x="278050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027" name="Match7">
          <a:extLst>
            <a:ext uri="{FF2B5EF4-FFF2-40B4-BE49-F238E27FC236}">
              <a16:creationId xmlns:a16="http://schemas.microsoft.com/office/drawing/2014/main" id="{1755FB8C-792D-1C43-CF40-52D1CF067103}"/>
            </a:ext>
          </a:extLst>
        </xdr:cNvPr>
        <xdr:cNvCxnSpPr/>
      </xdr:nvCxnSpPr>
      <xdr:spPr>
        <a:xfrm>
          <a:off x="6357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028" name="Match8">
          <a:extLst>
            <a:ext uri="{FF2B5EF4-FFF2-40B4-BE49-F238E27FC236}">
              <a16:creationId xmlns:a16="http://schemas.microsoft.com/office/drawing/2014/main" id="{574A2084-83FC-15C6-C0A3-47B49E20A742}"/>
            </a:ext>
          </a:extLst>
        </xdr:cNvPr>
        <xdr:cNvCxnSpPr/>
      </xdr:nvCxnSpPr>
      <xdr:spPr>
        <a:xfrm flipH="1"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029" name="Match9">
          <a:extLst>
            <a:ext uri="{FF2B5EF4-FFF2-40B4-BE49-F238E27FC236}">
              <a16:creationId xmlns:a16="http://schemas.microsoft.com/office/drawing/2014/main" id="{CBC8B477-D3C1-1A34-221B-9F102B060626}"/>
            </a:ext>
          </a:extLst>
        </xdr:cNvPr>
        <xdr:cNvCxnSpPr/>
      </xdr:nvCxnSpPr>
      <xdr:spPr>
        <a:xfrm>
          <a:off x="6357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030" name="Match10">
          <a:extLst>
            <a:ext uri="{FF2B5EF4-FFF2-40B4-BE49-F238E27FC236}">
              <a16:creationId xmlns:a16="http://schemas.microsoft.com/office/drawing/2014/main" id="{9E5FC326-F7D5-E030-E63B-B94742698F92}"/>
            </a:ext>
          </a:extLst>
        </xdr:cNvPr>
        <xdr:cNvCxnSpPr/>
      </xdr:nvCxnSpPr>
      <xdr:spPr>
        <a:xfrm flipV="1">
          <a:off x="66119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031" name="Match11">
          <a:extLst>
            <a:ext uri="{FF2B5EF4-FFF2-40B4-BE49-F238E27FC236}">
              <a16:creationId xmlns:a16="http://schemas.microsoft.com/office/drawing/2014/main" id="{FED380A8-FE87-C20C-2395-56C63C7F08CC}"/>
            </a:ext>
          </a:extLst>
        </xdr:cNvPr>
        <xdr:cNvCxnSpPr/>
      </xdr:nvCxnSpPr>
      <xdr:spPr>
        <a:xfrm flipV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032" name="Match12">
          <a:extLst>
            <a:ext uri="{FF2B5EF4-FFF2-40B4-BE49-F238E27FC236}">
              <a16:creationId xmlns:a16="http://schemas.microsoft.com/office/drawing/2014/main" id="{D33D5010-81E4-203A-AC87-92B30048E67A}"/>
            </a:ext>
          </a:extLst>
        </xdr:cNvPr>
        <xdr:cNvCxnSpPr/>
      </xdr:nvCxnSpPr>
      <xdr:spPr>
        <a:xfrm flipH="1"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033" name="Match13">
          <a:extLst>
            <a:ext uri="{FF2B5EF4-FFF2-40B4-BE49-F238E27FC236}">
              <a16:creationId xmlns:a16="http://schemas.microsoft.com/office/drawing/2014/main" id="{01FE4E47-536B-DA8F-F2AE-43E381EAC31E}"/>
            </a:ext>
          </a:extLst>
        </xdr:cNvPr>
        <xdr:cNvCxnSpPr/>
      </xdr:nvCxnSpPr>
      <xdr:spPr>
        <a:xfrm flipH="1" flipV="1">
          <a:off x="635794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034" name="Match14">
          <a:extLst>
            <a:ext uri="{FF2B5EF4-FFF2-40B4-BE49-F238E27FC236}">
              <a16:creationId xmlns:a16="http://schemas.microsoft.com/office/drawing/2014/main" id="{B8086207-D8E6-C7C0-EF31-07D5896022DB}"/>
            </a:ext>
          </a:extLst>
        </xdr:cNvPr>
        <xdr:cNvCxnSpPr/>
      </xdr:nvCxnSpPr>
      <xdr:spPr>
        <a:xfrm>
          <a:off x="2755106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1</xdr:row>
      <xdr:rowOff>178593</xdr:rowOff>
    </xdr:to>
    <xdr:cxnSp macro="">
      <xdr:nvCxnSpPr>
        <xdr:cNvPr id="1035" name="Match15">
          <a:extLst>
            <a:ext uri="{FF2B5EF4-FFF2-40B4-BE49-F238E27FC236}">
              <a16:creationId xmlns:a16="http://schemas.microsoft.com/office/drawing/2014/main" id="{0F3A33F3-90E4-40CB-AE43-F55C20C08C56}"/>
            </a:ext>
          </a:extLst>
        </xdr:cNvPr>
        <xdr:cNvCxnSpPr/>
      </xdr:nvCxnSpPr>
      <xdr:spPr>
        <a:xfrm>
          <a:off x="105965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036" name="Match16">
          <a:extLst>
            <a:ext uri="{FF2B5EF4-FFF2-40B4-BE49-F238E27FC236}">
              <a16:creationId xmlns:a16="http://schemas.microsoft.com/office/drawing/2014/main" id="{7349459D-BBBE-B684-6BDA-C169B4CA56D8}"/>
            </a:ext>
          </a:extLst>
        </xdr:cNvPr>
        <xdr:cNvCxnSpPr/>
      </xdr:nvCxnSpPr>
      <xdr:spPr>
        <a:xfrm flipV="1">
          <a:off x="233124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1037" name="Match17">
          <a:extLst>
            <a:ext uri="{FF2B5EF4-FFF2-40B4-BE49-F238E27FC236}">
              <a16:creationId xmlns:a16="http://schemas.microsoft.com/office/drawing/2014/main" id="{249A0E27-3582-03C1-DB55-5C249681A69D}"/>
            </a:ext>
          </a:extLst>
        </xdr:cNvPr>
        <xdr:cNvCxnSpPr/>
      </xdr:nvCxnSpPr>
      <xdr:spPr>
        <a:xfrm>
          <a:off x="211931" y="267890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038" name="Match18">
          <a:extLst>
            <a:ext uri="{FF2B5EF4-FFF2-40B4-BE49-F238E27FC236}">
              <a16:creationId xmlns:a16="http://schemas.microsoft.com/office/drawing/2014/main" id="{0B47552C-C8DB-DEC6-78A8-57635ACCB9CE}"/>
            </a:ext>
          </a:extLst>
        </xdr:cNvPr>
        <xdr:cNvCxnSpPr/>
      </xdr:nvCxnSpPr>
      <xdr:spPr>
        <a:xfrm>
          <a:off x="4026694" y="892969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039" name="Match19">
          <a:extLst>
            <a:ext uri="{FF2B5EF4-FFF2-40B4-BE49-F238E27FC236}">
              <a16:creationId xmlns:a16="http://schemas.microsoft.com/office/drawing/2014/main" id="{2592AF3F-007B-9EB8-977D-00D7F7316E72}"/>
            </a:ext>
          </a:extLst>
        </xdr:cNvPr>
        <xdr:cNvCxnSpPr/>
      </xdr:nvCxnSpPr>
      <xdr:spPr>
        <a:xfrm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040" name="Match20">
          <a:extLst>
            <a:ext uri="{FF2B5EF4-FFF2-40B4-BE49-F238E27FC236}">
              <a16:creationId xmlns:a16="http://schemas.microsoft.com/office/drawing/2014/main" id="{755026F1-4094-A23C-4268-9FDCFEDFC3C6}"/>
            </a:ext>
          </a:extLst>
        </xdr:cNvPr>
        <xdr:cNvCxnSpPr/>
      </xdr:nvCxnSpPr>
      <xdr:spPr>
        <a:xfrm>
          <a:off x="48744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041" name="Match21">
          <a:extLst>
            <a:ext uri="{FF2B5EF4-FFF2-40B4-BE49-F238E27FC236}">
              <a16:creationId xmlns:a16="http://schemas.microsoft.com/office/drawing/2014/main" id="{AEA8FF60-D3DB-85F9-978C-52E9F967711B}"/>
            </a:ext>
          </a:extLst>
        </xdr:cNvPr>
        <xdr:cNvCxnSpPr/>
      </xdr:nvCxnSpPr>
      <xdr:spPr>
        <a:xfrm>
          <a:off x="148351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1042" name="Match22">
          <a:extLst>
            <a:ext uri="{FF2B5EF4-FFF2-40B4-BE49-F238E27FC236}">
              <a16:creationId xmlns:a16="http://schemas.microsoft.com/office/drawing/2014/main" id="{26604C7C-F8A5-E1E7-532D-37F42A48BDA2}"/>
            </a:ext>
          </a:extLst>
        </xdr:cNvPr>
        <xdr:cNvCxnSpPr/>
      </xdr:nvCxnSpPr>
      <xdr:spPr>
        <a:xfrm flipV="1">
          <a:off x="1508919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043" name="Match23">
          <a:extLst>
            <a:ext uri="{FF2B5EF4-FFF2-40B4-BE49-F238E27FC236}">
              <a16:creationId xmlns:a16="http://schemas.microsoft.com/office/drawing/2014/main" id="{4107C18E-8FED-983B-44AF-1C8015CD472D}"/>
            </a:ext>
          </a:extLst>
        </xdr:cNvPr>
        <xdr:cNvCxnSpPr/>
      </xdr:nvCxnSpPr>
      <xdr:spPr>
        <a:xfrm>
          <a:off x="275510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044" name="Match24">
          <a:extLst>
            <a:ext uri="{FF2B5EF4-FFF2-40B4-BE49-F238E27FC236}">
              <a16:creationId xmlns:a16="http://schemas.microsoft.com/office/drawing/2014/main" id="{7C6A6AAE-DB7F-6CF3-B500-FB53ED7DDE66}"/>
            </a:ext>
          </a:extLst>
        </xdr:cNvPr>
        <xdr:cNvCxnSpPr/>
      </xdr:nvCxnSpPr>
      <xdr:spPr>
        <a:xfrm flipV="1">
          <a:off x="48744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6</xdr:col>
      <xdr:colOff>237331</xdr:colOff>
      <xdr:row>8</xdr:row>
      <xdr:rowOff>203994</xdr:rowOff>
    </xdr:to>
    <xdr:cxnSp macro="">
      <xdr:nvCxnSpPr>
        <xdr:cNvPr id="1045" name="Match25">
          <a:extLst>
            <a:ext uri="{FF2B5EF4-FFF2-40B4-BE49-F238E27FC236}">
              <a16:creationId xmlns:a16="http://schemas.microsoft.com/office/drawing/2014/main" id="{94384A5A-0A08-D159-2742-9900C51306FE}"/>
            </a:ext>
          </a:extLst>
        </xdr:cNvPr>
        <xdr:cNvCxnSpPr/>
      </xdr:nvCxnSpPr>
      <xdr:spPr>
        <a:xfrm flipV="1">
          <a:off x="235664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046" name="Match26">
          <a:extLst>
            <a:ext uri="{FF2B5EF4-FFF2-40B4-BE49-F238E27FC236}">
              <a16:creationId xmlns:a16="http://schemas.microsoft.com/office/drawing/2014/main" id="{C312A6B5-3AFC-8908-722F-1237BA0C0287}"/>
            </a:ext>
          </a:extLst>
        </xdr:cNvPr>
        <xdr:cNvCxnSpPr/>
      </xdr:nvCxnSpPr>
      <xdr:spPr>
        <a:xfrm flipV="1">
          <a:off x="2755106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9</xdr:row>
      <xdr:rowOff>203993</xdr:rowOff>
    </xdr:from>
    <xdr:to>
      <xdr:col>3</xdr:col>
      <xdr:colOff>237331</xdr:colOff>
      <xdr:row>10</xdr:row>
      <xdr:rowOff>203994</xdr:rowOff>
    </xdr:to>
    <xdr:cxnSp macro="">
      <xdr:nvCxnSpPr>
        <xdr:cNvPr id="1047" name="Match27">
          <a:extLst>
            <a:ext uri="{FF2B5EF4-FFF2-40B4-BE49-F238E27FC236}">
              <a16:creationId xmlns:a16="http://schemas.microsoft.com/office/drawing/2014/main" id="{05CC75AD-A2A0-087C-9DD4-E6AB83FD3145}"/>
            </a:ext>
          </a:extLst>
        </xdr:cNvPr>
        <xdr:cNvCxnSpPr/>
      </xdr:nvCxnSpPr>
      <xdr:spPr>
        <a:xfrm flipV="1">
          <a:off x="1085056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048" name="Match28">
          <a:extLst>
            <a:ext uri="{FF2B5EF4-FFF2-40B4-BE49-F238E27FC236}">
              <a16:creationId xmlns:a16="http://schemas.microsoft.com/office/drawing/2014/main" id="{6E2F7018-222B-1AE7-253F-A3FBD3690A32}"/>
            </a:ext>
          </a:extLst>
        </xdr:cNvPr>
        <xdr:cNvCxnSpPr/>
      </xdr:nvCxnSpPr>
      <xdr:spPr>
        <a:xfrm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10</xdr:col>
      <xdr:colOff>237331</xdr:colOff>
      <xdr:row>11</xdr:row>
      <xdr:rowOff>203993</xdr:rowOff>
    </xdr:to>
    <xdr:cxnSp macro="">
      <xdr:nvCxnSpPr>
        <xdr:cNvPr id="1049" name="Match29">
          <a:extLst>
            <a:ext uri="{FF2B5EF4-FFF2-40B4-BE49-F238E27FC236}">
              <a16:creationId xmlns:a16="http://schemas.microsoft.com/office/drawing/2014/main" id="{714470EF-49D1-E3F0-FA59-6D2CFC059B07}"/>
            </a:ext>
          </a:extLst>
        </xdr:cNvPr>
        <xdr:cNvCxnSpPr/>
      </xdr:nvCxnSpPr>
      <xdr:spPr>
        <a:xfrm>
          <a:off x="40520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055" name="Match30">
          <a:extLst>
            <a:ext uri="{FF2B5EF4-FFF2-40B4-BE49-F238E27FC236}">
              <a16:creationId xmlns:a16="http://schemas.microsoft.com/office/drawing/2014/main" id="{1A345084-5FAA-138A-2169-0247F17281D3}"/>
            </a:ext>
          </a:extLst>
        </xdr:cNvPr>
        <xdr:cNvCxnSpPr/>
      </xdr:nvCxnSpPr>
      <xdr:spPr>
        <a:xfrm flipH="1"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10</xdr:row>
      <xdr:rowOff>203994</xdr:rowOff>
    </xdr:from>
    <xdr:to>
      <xdr:col>11</xdr:col>
      <xdr:colOff>237331</xdr:colOff>
      <xdr:row>11</xdr:row>
      <xdr:rowOff>203993</xdr:rowOff>
    </xdr:to>
    <xdr:cxnSp macro="">
      <xdr:nvCxnSpPr>
        <xdr:cNvPr id="1056" name="Match31">
          <a:extLst>
            <a:ext uri="{FF2B5EF4-FFF2-40B4-BE49-F238E27FC236}">
              <a16:creationId xmlns:a16="http://schemas.microsoft.com/office/drawing/2014/main" id="{BD03D9A8-4935-BAD6-329B-B7C03A9958FE}"/>
            </a:ext>
          </a:extLst>
        </xdr:cNvPr>
        <xdr:cNvCxnSpPr/>
      </xdr:nvCxnSpPr>
      <xdr:spPr>
        <a:xfrm flipH="1" flipV="1">
          <a:off x="4475956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057" name="Match32">
          <a:extLst>
            <a:ext uri="{FF2B5EF4-FFF2-40B4-BE49-F238E27FC236}">
              <a16:creationId xmlns:a16="http://schemas.microsoft.com/office/drawing/2014/main" id="{E54690A0-B86A-7E0F-5BA7-FE8A5D00ED6E}"/>
            </a:ext>
          </a:extLst>
        </xdr:cNvPr>
        <xdr:cNvCxnSpPr/>
      </xdr:nvCxnSpPr>
      <xdr:spPr>
        <a:xfrm>
          <a:off x="190738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1061" name="Match33">
          <a:extLst>
            <a:ext uri="{FF2B5EF4-FFF2-40B4-BE49-F238E27FC236}">
              <a16:creationId xmlns:a16="http://schemas.microsoft.com/office/drawing/2014/main" id="{A82F5052-D80C-085B-3F9E-C397BA3B8286}"/>
            </a:ext>
          </a:extLst>
        </xdr:cNvPr>
        <xdr:cNvCxnSpPr/>
      </xdr:nvCxnSpPr>
      <xdr:spPr>
        <a:xfrm flipH="1">
          <a:off x="150891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0</xdr:row>
      <xdr:rowOff>229394</xdr:rowOff>
    </xdr:from>
    <xdr:to>
      <xdr:col>4</xdr:col>
      <xdr:colOff>262731</xdr:colOff>
      <xdr:row>1</xdr:row>
      <xdr:rowOff>229393</xdr:rowOff>
    </xdr:to>
    <xdr:cxnSp macro="">
      <xdr:nvCxnSpPr>
        <xdr:cNvPr id="1064" name="Match34">
          <a:extLst>
            <a:ext uri="{FF2B5EF4-FFF2-40B4-BE49-F238E27FC236}">
              <a16:creationId xmlns:a16="http://schemas.microsoft.com/office/drawing/2014/main" id="{CD538E32-6907-913D-A782-A02ED674C621}"/>
            </a:ext>
          </a:extLst>
        </xdr:cNvPr>
        <xdr:cNvCxnSpPr/>
      </xdr:nvCxnSpPr>
      <xdr:spPr>
        <a:xfrm flipH="1" flipV="1">
          <a:off x="1534319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065" name="Match35">
          <a:extLst>
            <a:ext uri="{FF2B5EF4-FFF2-40B4-BE49-F238E27FC236}">
              <a16:creationId xmlns:a16="http://schemas.microsoft.com/office/drawing/2014/main" id="{7919DD98-E535-5DC0-1F76-EDD60A71F14B}"/>
            </a:ext>
          </a:extLst>
        </xdr:cNvPr>
        <xdr:cNvCxnSpPr/>
      </xdr:nvCxnSpPr>
      <xdr:spPr>
        <a:xfrm flipH="1"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1</xdr:row>
      <xdr:rowOff>203993</xdr:rowOff>
    </xdr:to>
    <xdr:cxnSp macro="">
      <xdr:nvCxnSpPr>
        <xdr:cNvPr id="1066" name="Match36">
          <a:extLst>
            <a:ext uri="{FF2B5EF4-FFF2-40B4-BE49-F238E27FC236}">
              <a16:creationId xmlns:a16="http://schemas.microsoft.com/office/drawing/2014/main" id="{B05C871B-F0A1-05C1-3874-4317B897BE5B}"/>
            </a:ext>
          </a:extLst>
        </xdr:cNvPr>
        <xdr:cNvCxnSpPr/>
      </xdr:nvCxnSpPr>
      <xdr:spPr>
        <a:xfrm flipH="1">
          <a:off x="3204369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067" name="Match37">
          <a:extLst>
            <a:ext uri="{FF2B5EF4-FFF2-40B4-BE49-F238E27FC236}">
              <a16:creationId xmlns:a16="http://schemas.microsoft.com/office/drawing/2014/main" id="{01E2C1C0-988B-6050-011D-55DAED1AACD9}"/>
            </a:ext>
          </a:extLst>
        </xdr:cNvPr>
        <xdr:cNvCxnSpPr/>
      </xdr:nvCxnSpPr>
      <xdr:spPr>
        <a:xfrm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1068" name="Match38">
          <a:extLst>
            <a:ext uri="{FF2B5EF4-FFF2-40B4-BE49-F238E27FC236}">
              <a16:creationId xmlns:a16="http://schemas.microsoft.com/office/drawing/2014/main" id="{306B892E-DD13-DB22-2328-6FB48DEE480E}"/>
            </a:ext>
          </a:extLst>
        </xdr:cNvPr>
        <xdr:cNvCxnSpPr/>
      </xdr:nvCxnSpPr>
      <xdr:spPr>
        <a:xfrm flipH="1">
          <a:off x="2119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4</xdr:row>
      <xdr:rowOff>178594</xdr:rowOff>
    </xdr:to>
    <xdr:cxnSp macro="">
      <xdr:nvCxnSpPr>
        <xdr:cNvPr id="1069" name="Match39">
          <a:extLst>
            <a:ext uri="{FF2B5EF4-FFF2-40B4-BE49-F238E27FC236}">
              <a16:creationId xmlns:a16="http://schemas.microsoft.com/office/drawing/2014/main" id="{76E19585-499A-D532-565B-8873ED000B89}"/>
            </a:ext>
          </a:extLst>
        </xdr:cNvPr>
        <xdr:cNvCxnSpPr/>
      </xdr:nvCxnSpPr>
      <xdr:spPr>
        <a:xfrm flipV="1">
          <a:off x="2119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070" name="Match40">
          <a:extLst>
            <a:ext uri="{FF2B5EF4-FFF2-40B4-BE49-F238E27FC236}">
              <a16:creationId xmlns:a16="http://schemas.microsoft.com/office/drawing/2014/main" id="{8D528A9E-C9C3-7F25-BC64-3C70F55C472E}"/>
            </a:ext>
          </a:extLst>
        </xdr:cNvPr>
        <xdr:cNvCxnSpPr/>
      </xdr:nvCxnSpPr>
      <xdr:spPr>
        <a:xfrm flipH="1">
          <a:off x="233124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4</xdr:row>
      <xdr:rowOff>203994</xdr:rowOff>
    </xdr:to>
    <xdr:cxnSp macro="">
      <xdr:nvCxnSpPr>
        <xdr:cNvPr id="1071" name="Match41">
          <a:extLst>
            <a:ext uri="{FF2B5EF4-FFF2-40B4-BE49-F238E27FC236}">
              <a16:creationId xmlns:a16="http://schemas.microsoft.com/office/drawing/2014/main" id="{73F86BDE-ED2A-6F88-8463-37FDA7107168}"/>
            </a:ext>
          </a:extLst>
        </xdr:cNvPr>
        <xdr:cNvCxnSpPr/>
      </xdr:nvCxnSpPr>
      <xdr:spPr>
        <a:xfrm flipH="1">
          <a:off x="2356644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6</xdr:col>
      <xdr:colOff>262731</xdr:colOff>
      <xdr:row>4</xdr:row>
      <xdr:rowOff>229394</xdr:rowOff>
    </xdr:to>
    <xdr:cxnSp macro="">
      <xdr:nvCxnSpPr>
        <xdr:cNvPr id="1072" name="Match42">
          <a:extLst>
            <a:ext uri="{FF2B5EF4-FFF2-40B4-BE49-F238E27FC236}">
              <a16:creationId xmlns:a16="http://schemas.microsoft.com/office/drawing/2014/main" id="{9C8ED979-32F9-B058-C88F-15EB3A86D2E0}"/>
            </a:ext>
          </a:extLst>
        </xdr:cNvPr>
        <xdr:cNvCxnSpPr/>
      </xdr:nvCxnSpPr>
      <xdr:spPr>
        <a:xfrm flipH="1" flipV="1">
          <a:off x="238204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6</xdr:row>
      <xdr:rowOff>178594</xdr:rowOff>
    </xdr:to>
    <xdr:cxnSp macro="">
      <xdr:nvCxnSpPr>
        <xdr:cNvPr id="1073" name="Match43">
          <a:extLst>
            <a:ext uri="{FF2B5EF4-FFF2-40B4-BE49-F238E27FC236}">
              <a16:creationId xmlns:a16="http://schemas.microsoft.com/office/drawing/2014/main" id="{2199C7B6-64BF-CE96-2FEA-CBD318FD18B3}"/>
            </a:ext>
          </a:extLst>
        </xdr:cNvPr>
        <xdr:cNvCxnSpPr/>
      </xdr:nvCxnSpPr>
      <xdr:spPr>
        <a:xfrm>
          <a:off x="21193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074" name="Match44">
          <a:extLst>
            <a:ext uri="{FF2B5EF4-FFF2-40B4-BE49-F238E27FC236}">
              <a16:creationId xmlns:a16="http://schemas.microsoft.com/office/drawing/2014/main" id="{D3E624FD-3501-0A9A-5C0E-E979051151E3}"/>
            </a:ext>
          </a:extLst>
        </xdr:cNvPr>
        <xdr:cNvCxnSpPr/>
      </xdr:nvCxnSpPr>
      <xdr:spPr>
        <a:xfrm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075" name="Match45">
          <a:extLst>
            <a:ext uri="{FF2B5EF4-FFF2-40B4-BE49-F238E27FC236}">
              <a16:creationId xmlns:a16="http://schemas.microsoft.com/office/drawing/2014/main" id="{C7CCC52A-6793-9974-CB67-B5E4E84E9E2E}"/>
            </a:ext>
          </a:extLst>
        </xdr:cNvPr>
        <xdr:cNvCxnSpPr/>
      </xdr:nvCxnSpPr>
      <xdr:spPr>
        <a:xfrm flipH="1">
          <a:off x="148351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076" name="Match46">
          <a:extLst>
            <a:ext uri="{FF2B5EF4-FFF2-40B4-BE49-F238E27FC236}">
              <a16:creationId xmlns:a16="http://schemas.microsoft.com/office/drawing/2014/main" id="{14CC76C2-346F-0F74-7F36-795681C4B05C}"/>
            </a:ext>
          </a:extLst>
        </xdr:cNvPr>
        <xdr:cNvCxnSpPr/>
      </xdr:nvCxnSpPr>
      <xdr:spPr>
        <a:xfrm flipV="1">
          <a:off x="193278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077" name="Match47">
          <a:extLst>
            <a:ext uri="{FF2B5EF4-FFF2-40B4-BE49-F238E27FC236}">
              <a16:creationId xmlns:a16="http://schemas.microsoft.com/office/drawing/2014/main" id="{9CFD8D71-6EBE-2A85-5221-EC1F495CE610}"/>
            </a:ext>
          </a:extLst>
        </xdr:cNvPr>
        <xdr:cNvCxnSpPr/>
      </xdr:nvCxnSpPr>
      <xdr:spPr>
        <a:xfrm flipH="1">
          <a:off x="40266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078" name="Match48">
          <a:extLst>
            <a:ext uri="{FF2B5EF4-FFF2-40B4-BE49-F238E27FC236}">
              <a16:creationId xmlns:a16="http://schemas.microsoft.com/office/drawing/2014/main" id="{0614D0E2-039E-FB31-A322-1EAE7A7AAA99}"/>
            </a:ext>
          </a:extLst>
        </xdr:cNvPr>
        <xdr:cNvCxnSpPr/>
      </xdr:nvCxnSpPr>
      <xdr:spPr>
        <a:xfrm flipH="1" flipV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079" name="Match49">
          <a:extLst>
            <a:ext uri="{FF2B5EF4-FFF2-40B4-BE49-F238E27FC236}">
              <a16:creationId xmlns:a16="http://schemas.microsoft.com/office/drawing/2014/main" id="{A7DE5253-326C-7DBC-8416-D276FEDFE31F}"/>
            </a:ext>
          </a:extLst>
        </xdr:cNvPr>
        <xdr:cNvCxnSpPr/>
      </xdr:nvCxnSpPr>
      <xdr:spPr>
        <a:xfrm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080" name="Match50">
          <a:extLst>
            <a:ext uri="{FF2B5EF4-FFF2-40B4-BE49-F238E27FC236}">
              <a16:creationId xmlns:a16="http://schemas.microsoft.com/office/drawing/2014/main" id="{6CFF4B7B-A1D4-7FFE-C34C-AE9FA2639E16}"/>
            </a:ext>
          </a:extLst>
        </xdr:cNvPr>
        <xdr:cNvCxnSpPr/>
      </xdr:nvCxnSpPr>
      <xdr:spPr>
        <a:xfrm flipV="1">
          <a:off x="233124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081" name="Match51">
          <a:extLst>
            <a:ext uri="{FF2B5EF4-FFF2-40B4-BE49-F238E27FC236}">
              <a16:creationId xmlns:a16="http://schemas.microsoft.com/office/drawing/2014/main" id="{707C6885-423F-0926-B2A9-A0923D7458AC}"/>
            </a:ext>
          </a:extLst>
        </xdr:cNvPr>
        <xdr:cNvCxnSpPr/>
      </xdr:nvCxnSpPr>
      <xdr:spPr>
        <a:xfrm flipH="1" flipV="1"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1082" name="Match52">
          <a:extLst>
            <a:ext uri="{FF2B5EF4-FFF2-40B4-BE49-F238E27FC236}">
              <a16:creationId xmlns:a16="http://schemas.microsoft.com/office/drawing/2014/main" id="{8567E4E5-0007-3CBB-EE9C-4A243F90AD78}"/>
            </a:ext>
          </a:extLst>
        </xdr:cNvPr>
        <xdr:cNvCxnSpPr/>
      </xdr:nvCxnSpPr>
      <xdr:spPr>
        <a:xfrm flipV="1">
          <a:off x="320436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083" name="Match53">
          <a:extLst>
            <a:ext uri="{FF2B5EF4-FFF2-40B4-BE49-F238E27FC236}">
              <a16:creationId xmlns:a16="http://schemas.microsoft.com/office/drawing/2014/main" id="{4F742A27-1FA9-1048-38AD-06AB5AAF1B54}"/>
            </a:ext>
          </a:extLst>
        </xdr:cNvPr>
        <xdr:cNvCxnSpPr/>
      </xdr:nvCxnSpPr>
      <xdr:spPr>
        <a:xfrm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1084" name="Match54">
          <a:extLst>
            <a:ext uri="{FF2B5EF4-FFF2-40B4-BE49-F238E27FC236}">
              <a16:creationId xmlns:a16="http://schemas.microsoft.com/office/drawing/2014/main" id="{A8B78765-F807-473B-9363-338BD1CEC8A5}"/>
            </a:ext>
          </a:extLst>
        </xdr:cNvPr>
        <xdr:cNvCxnSpPr/>
      </xdr:nvCxnSpPr>
      <xdr:spPr>
        <a:xfrm flipV="1">
          <a:off x="362823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085" name="Match55">
          <a:extLst>
            <a:ext uri="{FF2B5EF4-FFF2-40B4-BE49-F238E27FC236}">
              <a16:creationId xmlns:a16="http://schemas.microsoft.com/office/drawing/2014/main" id="{FB43D548-5881-9B32-ECB8-696218CDF61D}"/>
            </a:ext>
          </a:extLst>
        </xdr:cNvPr>
        <xdr:cNvCxnSpPr/>
      </xdr:nvCxnSpPr>
      <xdr:spPr>
        <a:xfrm>
          <a:off x="10596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086" name="Match56">
          <a:extLst>
            <a:ext uri="{FF2B5EF4-FFF2-40B4-BE49-F238E27FC236}">
              <a16:creationId xmlns:a16="http://schemas.microsoft.com/office/drawing/2014/main" id="{0103C0D1-68BC-FB5C-9893-CC3F1BA0C52E}"/>
            </a:ext>
          </a:extLst>
        </xdr:cNvPr>
        <xdr:cNvCxnSpPr/>
      </xdr:nvCxnSpPr>
      <xdr:spPr>
        <a:xfrm flipV="1">
          <a:off x="2331244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4</xdr:col>
      <xdr:colOff>237331</xdr:colOff>
      <xdr:row>0</xdr:row>
      <xdr:rowOff>203994</xdr:rowOff>
    </xdr:to>
    <xdr:cxnSp macro="">
      <xdr:nvCxnSpPr>
        <xdr:cNvPr id="1087" name="Match57">
          <a:extLst>
            <a:ext uri="{FF2B5EF4-FFF2-40B4-BE49-F238E27FC236}">
              <a16:creationId xmlns:a16="http://schemas.microsoft.com/office/drawing/2014/main" id="{24F87769-78D3-D686-D395-BB2A616C6A7B}"/>
            </a:ext>
          </a:extLst>
        </xdr:cNvPr>
        <xdr:cNvCxnSpPr/>
      </xdr:nvCxnSpPr>
      <xdr:spPr>
        <a:xfrm>
          <a:off x="237331" y="203994"/>
          <a:ext cx="1695450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6</xdr:col>
      <xdr:colOff>237331</xdr:colOff>
      <xdr:row>8</xdr:row>
      <xdr:rowOff>203994</xdr:rowOff>
    </xdr:to>
    <xdr:cxnSp macro="">
      <xdr:nvCxnSpPr>
        <xdr:cNvPr id="2048" name="Match58">
          <a:extLst>
            <a:ext uri="{FF2B5EF4-FFF2-40B4-BE49-F238E27FC236}">
              <a16:creationId xmlns:a16="http://schemas.microsoft.com/office/drawing/2014/main" id="{E2794415-F654-DEAA-01B6-3E43F1919249}"/>
            </a:ext>
          </a:extLst>
        </xdr:cNvPr>
        <xdr:cNvCxnSpPr/>
      </xdr:nvCxnSpPr>
      <xdr:spPr>
        <a:xfrm flipH="1" flipV="1">
          <a:off x="237331" y="918369"/>
          <a:ext cx="2543175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4</xdr:col>
      <xdr:colOff>211931</xdr:colOff>
      <xdr:row>4</xdr:row>
      <xdr:rowOff>178594</xdr:rowOff>
    </xdr:to>
    <xdr:cxnSp macro="">
      <xdr:nvCxnSpPr>
        <xdr:cNvPr id="2049" name="Match59">
          <a:extLst>
            <a:ext uri="{FF2B5EF4-FFF2-40B4-BE49-F238E27FC236}">
              <a16:creationId xmlns:a16="http://schemas.microsoft.com/office/drawing/2014/main" id="{BEA9B3E3-7E6F-49A6-EBEE-060EAD95ED8D}"/>
            </a:ext>
          </a:extLst>
        </xdr:cNvPr>
        <xdr:cNvCxnSpPr/>
      </xdr:nvCxnSpPr>
      <xdr:spPr>
        <a:xfrm>
          <a:off x="1059656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2</xdr:row>
      <xdr:rowOff>203994</xdr:rowOff>
    </xdr:from>
    <xdr:to>
      <xdr:col>10</xdr:col>
      <xdr:colOff>237331</xdr:colOff>
      <xdr:row>4</xdr:row>
      <xdr:rowOff>203994</xdr:rowOff>
    </xdr:to>
    <xdr:cxnSp macro="">
      <xdr:nvCxnSpPr>
        <xdr:cNvPr id="2050" name="Match60">
          <a:extLst>
            <a:ext uri="{FF2B5EF4-FFF2-40B4-BE49-F238E27FC236}">
              <a16:creationId xmlns:a16="http://schemas.microsoft.com/office/drawing/2014/main" id="{DDB3C979-24CC-0C80-857F-8E20BB079372}"/>
            </a:ext>
          </a:extLst>
        </xdr:cNvPr>
        <xdr:cNvCxnSpPr/>
      </xdr:nvCxnSpPr>
      <xdr:spPr>
        <a:xfrm>
          <a:off x="3628231" y="918369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2051" name="Match61">
          <a:extLst>
            <a:ext uri="{FF2B5EF4-FFF2-40B4-BE49-F238E27FC236}">
              <a16:creationId xmlns:a16="http://schemas.microsoft.com/office/drawing/2014/main" id="{1BC3A6EB-7549-639E-104B-7DF10BE22EBE}"/>
            </a:ext>
          </a:extLst>
        </xdr:cNvPr>
        <xdr:cNvCxnSpPr/>
      </xdr:nvCxnSpPr>
      <xdr:spPr>
        <a:xfrm flipH="1">
          <a:off x="635794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4</xdr:col>
      <xdr:colOff>237331</xdr:colOff>
      <xdr:row>8</xdr:row>
      <xdr:rowOff>203994</xdr:rowOff>
    </xdr:to>
    <xdr:cxnSp macro="">
      <xdr:nvCxnSpPr>
        <xdr:cNvPr id="2052" name="Match62">
          <a:extLst>
            <a:ext uri="{FF2B5EF4-FFF2-40B4-BE49-F238E27FC236}">
              <a16:creationId xmlns:a16="http://schemas.microsoft.com/office/drawing/2014/main" id="{0E006590-F39C-F83B-F6C5-730C99CBDA75}"/>
            </a:ext>
          </a:extLst>
        </xdr:cNvPr>
        <xdr:cNvCxnSpPr/>
      </xdr:nvCxnSpPr>
      <xdr:spPr>
        <a:xfrm>
          <a:off x="1085056" y="2347119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2053" name="Match63">
          <a:extLst>
            <a:ext uri="{FF2B5EF4-FFF2-40B4-BE49-F238E27FC236}">
              <a16:creationId xmlns:a16="http://schemas.microsoft.com/office/drawing/2014/main" id="{FCEFD914-9FCB-6F11-2B61-B7C311C0E18E}"/>
            </a:ext>
          </a:extLst>
        </xdr:cNvPr>
        <xdr:cNvCxnSpPr/>
      </xdr:nvCxnSpPr>
      <xdr:spPr>
        <a:xfrm flipH="1" flipV="1">
          <a:off x="63579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2054" name="Match64">
          <a:extLst>
            <a:ext uri="{FF2B5EF4-FFF2-40B4-BE49-F238E27FC236}">
              <a16:creationId xmlns:a16="http://schemas.microsoft.com/office/drawing/2014/main" id="{76C91F43-2725-6332-14B9-E3FB6D51D457}"/>
            </a:ext>
          </a:extLst>
        </xdr:cNvPr>
        <xdr:cNvCxnSpPr/>
      </xdr:nvCxnSpPr>
      <xdr:spPr>
        <a:xfrm flipH="1">
          <a:off x="2755106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2055" name="Match65">
          <a:extLst>
            <a:ext uri="{FF2B5EF4-FFF2-40B4-BE49-F238E27FC236}">
              <a16:creationId xmlns:a16="http://schemas.microsoft.com/office/drawing/2014/main" id="{0FE1B032-5F0C-4C9A-9964-B779563E8277}"/>
            </a:ext>
          </a:extLst>
        </xdr:cNvPr>
        <xdr:cNvCxnSpPr/>
      </xdr:nvCxnSpPr>
      <xdr:spPr>
        <a:xfrm>
          <a:off x="1059656" y="3393281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2056" name="Match66">
          <a:extLst>
            <a:ext uri="{FF2B5EF4-FFF2-40B4-BE49-F238E27FC236}">
              <a16:creationId xmlns:a16="http://schemas.microsoft.com/office/drawing/2014/main" id="{E78A7B84-91B8-1A84-EF72-78523E24CCD5}"/>
            </a:ext>
          </a:extLst>
        </xdr:cNvPr>
        <xdr:cNvCxnSpPr/>
      </xdr:nvCxnSpPr>
      <xdr:spPr>
        <a:xfrm flipH="1">
          <a:off x="635794" y="3393281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2057" name="Match67">
          <a:extLst>
            <a:ext uri="{FF2B5EF4-FFF2-40B4-BE49-F238E27FC236}">
              <a16:creationId xmlns:a16="http://schemas.microsoft.com/office/drawing/2014/main" id="{025BF7D0-109E-74CA-004A-922D1B10FC45}"/>
            </a:ext>
          </a:extLst>
        </xdr:cNvPr>
        <xdr:cNvCxnSpPr/>
      </xdr:nvCxnSpPr>
      <xdr:spPr>
        <a:xfrm>
          <a:off x="1483519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2058" name="Match68">
          <a:extLst>
            <a:ext uri="{FF2B5EF4-FFF2-40B4-BE49-F238E27FC236}">
              <a16:creationId xmlns:a16="http://schemas.microsoft.com/office/drawing/2014/main" id="{2B161881-ABE9-57D5-31B4-6E31AA04F737}"/>
            </a:ext>
          </a:extLst>
        </xdr:cNvPr>
        <xdr:cNvCxnSpPr/>
      </xdr:nvCxnSpPr>
      <xdr:spPr>
        <a:xfrm flipH="1" flipV="1">
          <a:off x="233124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2059" name="Match69">
          <a:extLst>
            <a:ext uri="{FF2B5EF4-FFF2-40B4-BE49-F238E27FC236}">
              <a16:creationId xmlns:a16="http://schemas.microsoft.com/office/drawing/2014/main" id="{FE957E3F-8FE3-96B7-0BE7-33419A4B883C}"/>
            </a:ext>
          </a:extLst>
        </xdr:cNvPr>
        <xdr:cNvCxnSpPr/>
      </xdr:nvCxnSpPr>
      <xdr:spPr>
        <a:xfrm flipV="1">
          <a:off x="3602831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A612D9B-1269-E240-0BD8-1D0BAEAADF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3" sqref="A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9</v>
      </c>
      <c r="B1" s="22">
        <v>5</v>
      </c>
      <c r="C1" s="22">
        <v>6</v>
      </c>
      <c r="D1" s="22">
        <v>6</v>
      </c>
      <c r="E1" s="22">
        <v>8</v>
      </c>
      <c r="F1" s="22">
        <v>4</v>
      </c>
      <c r="G1" s="27">
        <v>8</v>
      </c>
      <c r="H1" s="27">
        <v>7</v>
      </c>
      <c r="I1" s="27">
        <v>2</v>
      </c>
      <c r="J1" s="22">
        <v>8</v>
      </c>
      <c r="K1" s="27">
        <v>1</v>
      </c>
      <c r="L1" s="27">
        <v>7</v>
      </c>
      <c r="N1" s="2">
        <v>918141</v>
      </c>
      <c r="O1" s="1">
        <v>1</v>
      </c>
    </row>
    <row r="2" spans="1:15" s="2" customFormat="1" ht="28.25" customHeight="1">
      <c r="A2" s="27">
        <v>6</v>
      </c>
      <c r="B2" s="23">
        <v>2</v>
      </c>
      <c r="C2" s="22">
        <v>3</v>
      </c>
      <c r="D2" s="22">
        <v>4</v>
      </c>
      <c r="E2" s="23">
        <v>1</v>
      </c>
      <c r="F2" s="23">
        <v>3</v>
      </c>
      <c r="G2" s="23">
        <v>8</v>
      </c>
      <c r="H2" s="23">
        <v>6</v>
      </c>
      <c r="I2" s="23">
        <v>1</v>
      </c>
      <c r="J2" s="22">
        <v>5</v>
      </c>
      <c r="K2" s="27">
        <v>4</v>
      </c>
      <c r="L2" s="23">
        <v>9</v>
      </c>
      <c r="N2" s="2">
        <v>85</v>
      </c>
      <c r="O2" s="2">
        <v>12</v>
      </c>
    </row>
    <row r="3" spans="1:15" ht="28.25" customHeight="1">
      <c r="A3" s="22">
        <v>7</v>
      </c>
      <c r="B3" s="27">
        <v>7</v>
      </c>
      <c r="C3" s="23">
        <v>8</v>
      </c>
      <c r="D3" s="23">
        <v>6</v>
      </c>
      <c r="E3" s="27">
        <v>2</v>
      </c>
      <c r="F3" s="22">
        <v>6</v>
      </c>
      <c r="G3" s="27">
        <v>8</v>
      </c>
      <c r="H3" s="23">
        <v>6</v>
      </c>
      <c r="I3" s="23">
        <v>8</v>
      </c>
      <c r="J3" s="22">
        <v>7</v>
      </c>
      <c r="K3" s="23">
        <v>1</v>
      </c>
      <c r="L3" s="23">
        <v>2</v>
      </c>
      <c r="N3" s="2">
        <v>98682</v>
      </c>
      <c r="O3" s="1">
        <v>1</v>
      </c>
    </row>
    <row r="4" spans="1:15" ht="28.25" customHeight="1">
      <c r="A4" s="23">
        <v>6</v>
      </c>
      <c r="B4" s="22">
        <v>1</v>
      </c>
      <c r="C4" s="27">
        <v>2</v>
      </c>
      <c r="D4" s="23">
        <v>8</v>
      </c>
      <c r="E4" s="27">
        <v>2</v>
      </c>
      <c r="F4" s="22">
        <v>6</v>
      </c>
      <c r="G4" s="22">
        <v>7</v>
      </c>
      <c r="H4" s="27">
        <v>3</v>
      </c>
      <c r="I4" s="23">
        <v>8</v>
      </c>
      <c r="J4" s="22">
        <v>8</v>
      </c>
      <c r="K4" s="27">
        <v>7</v>
      </c>
      <c r="L4" s="23">
        <v>6</v>
      </c>
      <c r="N4" s="2">
        <v>715</v>
      </c>
      <c r="O4" s="1">
        <v>1</v>
      </c>
    </row>
    <row r="5" spans="1:15" ht="28.25" customHeight="1">
      <c r="A5" s="23">
        <v>1</v>
      </c>
      <c r="B5" s="22">
        <v>2</v>
      </c>
      <c r="C5" s="22">
        <v>8</v>
      </c>
      <c r="D5" s="23">
        <v>2</v>
      </c>
      <c r="E5" s="23">
        <v>4</v>
      </c>
      <c r="F5" s="22">
        <v>6</v>
      </c>
      <c r="G5" s="22">
        <v>1</v>
      </c>
      <c r="H5" s="23">
        <v>8</v>
      </c>
      <c r="I5" s="23">
        <v>5</v>
      </c>
      <c r="J5" s="22">
        <v>1</v>
      </c>
      <c r="K5" s="23">
        <v>4</v>
      </c>
      <c r="L5" s="27">
        <v>2</v>
      </c>
      <c r="N5" s="2">
        <v>34</v>
      </c>
      <c r="O5" s="1">
        <v>2</v>
      </c>
    </row>
    <row r="6" spans="1:15" ht="28.25" customHeight="1">
      <c r="A6" s="23">
        <v>1</v>
      </c>
      <c r="B6" s="22">
        <v>4</v>
      </c>
      <c r="C6" s="22">
        <v>8</v>
      </c>
      <c r="D6" s="22">
        <v>9</v>
      </c>
      <c r="E6" s="23">
        <v>2</v>
      </c>
      <c r="F6" s="22">
        <v>6</v>
      </c>
      <c r="G6" s="22">
        <v>5</v>
      </c>
      <c r="H6" s="27">
        <v>7</v>
      </c>
      <c r="I6" s="23">
        <v>1</v>
      </c>
      <c r="J6" s="22">
        <v>9</v>
      </c>
      <c r="K6" s="27">
        <v>7</v>
      </c>
      <c r="L6" s="27">
        <v>4</v>
      </c>
      <c r="N6" s="2">
        <v>6568</v>
      </c>
      <c r="O6" s="1">
        <v>1</v>
      </c>
    </row>
    <row r="7" spans="1:15" ht="28.25" customHeight="1">
      <c r="A7" s="23">
        <v>6</v>
      </c>
      <c r="B7" s="23">
        <v>8</v>
      </c>
      <c r="C7" s="22">
        <v>8</v>
      </c>
      <c r="D7" s="22">
        <v>6</v>
      </c>
      <c r="E7" s="22">
        <v>1</v>
      </c>
      <c r="F7" s="22">
        <v>4</v>
      </c>
      <c r="G7" s="22">
        <v>9</v>
      </c>
      <c r="H7" s="27">
        <v>4</v>
      </c>
      <c r="I7" s="27">
        <v>9</v>
      </c>
      <c r="J7" s="22">
        <v>6</v>
      </c>
      <c r="K7" s="23">
        <v>1</v>
      </c>
      <c r="L7" s="23">
        <v>2</v>
      </c>
      <c r="N7" s="2">
        <v>7819697</v>
      </c>
      <c r="O7" s="1">
        <v>1</v>
      </c>
    </row>
    <row r="8" spans="1:15" ht="28.25" customHeight="1">
      <c r="A8" s="22">
        <v>6</v>
      </c>
      <c r="B8" s="22">
        <v>5</v>
      </c>
      <c r="C8" s="22">
        <v>6</v>
      </c>
      <c r="D8" s="22">
        <v>8</v>
      </c>
      <c r="E8" s="22">
        <v>8</v>
      </c>
      <c r="F8" s="22">
        <v>8</v>
      </c>
      <c r="G8" s="22">
        <v>2</v>
      </c>
      <c r="H8" s="27">
        <v>8</v>
      </c>
      <c r="I8" s="23">
        <v>4</v>
      </c>
      <c r="J8" s="22">
        <v>9</v>
      </c>
      <c r="K8" s="23">
        <v>1</v>
      </c>
      <c r="L8" s="23">
        <v>9</v>
      </c>
      <c r="N8" s="2">
        <v>92</v>
      </c>
      <c r="O8" s="1">
        <v>13</v>
      </c>
    </row>
    <row r="9" spans="1:15" ht="28.25" customHeight="1">
      <c r="A9" s="27">
        <v>7</v>
      </c>
      <c r="B9" s="23">
        <v>8</v>
      </c>
      <c r="C9" s="27">
        <v>4</v>
      </c>
      <c r="D9" s="27">
        <v>7</v>
      </c>
      <c r="E9" s="23">
        <v>4</v>
      </c>
      <c r="F9" s="22">
        <v>9</v>
      </c>
      <c r="G9" s="22">
        <v>9</v>
      </c>
      <c r="H9" s="27">
        <v>4</v>
      </c>
      <c r="I9" s="23">
        <v>8</v>
      </c>
      <c r="J9" s="22">
        <v>7</v>
      </c>
      <c r="K9" s="27">
        <v>7</v>
      </c>
      <c r="L9" s="27">
        <v>5</v>
      </c>
      <c r="N9" s="2">
        <v>16</v>
      </c>
      <c r="O9" s="1">
        <v>24</v>
      </c>
    </row>
    <row r="10" spans="1:15" ht="28.25" customHeight="1">
      <c r="A10" s="27">
        <v>9</v>
      </c>
      <c r="B10" s="22">
        <v>5</v>
      </c>
      <c r="C10" s="22">
        <v>7</v>
      </c>
      <c r="D10" s="22">
        <v>2</v>
      </c>
      <c r="E10" s="22">
        <v>7</v>
      </c>
      <c r="F10" s="23">
        <v>5</v>
      </c>
      <c r="G10" s="22">
        <v>6</v>
      </c>
      <c r="H10" s="23">
        <v>8</v>
      </c>
      <c r="I10" s="23">
        <v>6</v>
      </c>
      <c r="J10" s="27">
        <v>3</v>
      </c>
      <c r="K10" s="27">
        <v>5</v>
      </c>
      <c r="L10" s="27">
        <v>2</v>
      </c>
      <c r="N10" s="2">
        <v>46666</v>
      </c>
      <c r="O10" s="1">
        <v>1</v>
      </c>
    </row>
    <row r="11" spans="1:15" ht="28.25" customHeight="1">
      <c r="A11" s="23">
        <v>5</v>
      </c>
      <c r="B11" s="27">
        <v>3</v>
      </c>
      <c r="C11" s="22">
        <v>9</v>
      </c>
      <c r="D11" s="22">
        <v>1</v>
      </c>
      <c r="E11" s="22">
        <v>8</v>
      </c>
      <c r="F11" s="22">
        <v>1</v>
      </c>
      <c r="G11" s="22">
        <v>4</v>
      </c>
      <c r="H11" s="22">
        <v>1</v>
      </c>
      <c r="I11" s="23">
        <v>1</v>
      </c>
      <c r="J11" s="23">
        <v>9</v>
      </c>
      <c r="K11" s="23">
        <v>2</v>
      </c>
      <c r="L11" s="27">
        <v>5</v>
      </c>
      <c r="N11" s="2">
        <v>95668</v>
      </c>
      <c r="O11" s="1">
        <v>1</v>
      </c>
    </row>
    <row r="12" spans="1:15" ht="28.25" customHeight="1">
      <c r="A12" s="27">
        <v>3</v>
      </c>
      <c r="B12" s="23">
        <v>8</v>
      </c>
      <c r="C12" s="23">
        <v>1</v>
      </c>
      <c r="D12" s="23">
        <v>6</v>
      </c>
      <c r="E12" s="27">
        <v>3</v>
      </c>
      <c r="F12" s="27">
        <v>9</v>
      </c>
      <c r="G12" s="27">
        <v>7</v>
      </c>
      <c r="H12" s="27">
        <v>7</v>
      </c>
      <c r="I12" s="27">
        <v>3</v>
      </c>
      <c r="J12" s="23">
        <v>6</v>
      </c>
      <c r="K12" s="23">
        <v>2</v>
      </c>
      <c r="L12" s="23">
        <v>9</v>
      </c>
      <c r="N12" s="2">
        <v>9819817</v>
      </c>
      <c r="O12" s="1">
        <v>1</v>
      </c>
    </row>
    <row r="13" spans="1:15" ht="28.25" customHeight="1">
      <c r="N13" s="2">
        <v>884</v>
      </c>
      <c r="O13" s="1">
        <v>6</v>
      </c>
    </row>
    <row r="14" spans="1:15" ht="28.25" customHeight="1">
      <c r="N14" s="2">
        <v>7275</v>
      </c>
      <c r="O14" s="1">
        <v>2</v>
      </c>
    </row>
    <row r="15" spans="1:15" ht="28.25" customHeight="1">
      <c r="N15" s="2">
        <v>684</v>
      </c>
      <c r="O15" s="1">
        <v>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14"/>
  <sheetViews>
    <sheetView tabSelected="1" zoomScaleNormal="100" workbookViewId="0">
      <pane ySplit="2" topLeftCell="A208" activePane="bottomLeft" state="frozen"/>
      <selection pane="bottomLeft" activeCell="A214" sqref="A21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441</v>
      </c>
      <c r="I193" t="s">
        <v>442</v>
      </c>
      <c r="J193">
        <v>0</v>
      </c>
      <c r="K193">
        <f t="shared" ref="K193" si="9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91">L192+K193</f>
        <v>221</v>
      </c>
      <c r="M193">
        <f t="shared" ref="M193" si="92">2+IF(A193&gt;=DATEVALUE("2025/11/30")+TIMEVALUE("6:00"),1,0)+IF(A193&gt;=DATEVALUE("2025/12/11")+TIMEVALUE("6:00"),1,0)</f>
        <v>4</v>
      </c>
      <c r="N193">
        <f t="shared" ref="N193" si="93">N192+M193*(INT(A193-6/24)-INT(A192-6/24))+O193</f>
        <v>224</v>
      </c>
      <c r="O193">
        <f t="shared" ref="O193" si="94">IF(A193&gt;=DATEVALUE("2025/11/8")+TIMEVALUE("6:00"),1,0)-IF(A192&gt;=DATEVALUE("2025/11/8")+TIMEVALUE("6:00"),1,0)</f>
        <v>0</v>
      </c>
      <c r="P193" t="str">
        <f t="shared" ref="P193" si="95">IF(L193&lt;N193,"未達成（"&amp;N193-L193&amp;"）",IF(L193=N193,"達成","前倒し（"&amp;L193-N193&amp;"）"))</f>
        <v>未達成（3）</v>
      </c>
      <c r="Q193">
        <f t="shared" ref="Q193" si="96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443</v>
      </c>
      <c r="I194" t="s">
        <v>444</v>
      </c>
      <c r="J194">
        <v>0</v>
      </c>
      <c r="K194">
        <f t="shared" ref="K194" si="97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98">L193+K194</f>
        <v>223</v>
      </c>
      <c r="M194">
        <f t="shared" ref="M194" si="99">2+IF(A194&gt;=DATEVALUE("2025/11/30")+TIMEVALUE("6:00"),1,0)+IF(A194&gt;=DATEVALUE("2025/12/11")+TIMEVALUE("6:00"),1,0)</f>
        <v>4</v>
      </c>
      <c r="N194">
        <f t="shared" ref="N194" si="100">N193+M194*(INT(A194-6/24)-INT(A193-6/24))+O194</f>
        <v>224</v>
      </c>
      <c r="O194">
        <f t="shared" ref="O194" si="101">IF(A194&gt;=DATEVALUE("2025/11/8")+TIMEVALUE("6:00"),1,0)-IF(A193&gt;=DATEVALUE("2025/11/8")+TIMEVALUE("6:00"),1,0)</f>
        <v>0</v>
      </c>
      <c r="P194" t="str">
        <f t="shared" ref="P194" si="102">IF(L194&lt;N194,"未達成（"&amp;N194-L194&amp;"）",IF(L194=N194,"達成","前倒し（"&amp;L194-N194&amp;"）"))</f>
        <v>未達成（1）</v>
      </c>
      <c r="Q194">
        <f t="shared" ref="Q194" si="103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445</v>
      </c>
      <c r="I195" t="s">
        <v>446</v>
      </c>
      <c r="J195">
        <v>0</v>
      </c>
      <c r="K195">
        <f t="shared" ref="K195" si="104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105">L194+K195</f>
        <v>225</v>
      </c>
      <c r="M195">
        <f t="shared" ref="M195" si="106">2+IF(A195&gt;=DATEVALUE("2025/11/30")+TIMEVALUE("6:00"),1,0)+IF(A195&gt;=DATEVALUE("2025/12/11")+TIMEVALUE("6:00"),1,0)</f>
        <v>4</v>
      </c>
      <c r="N195">
        <f t="shared" ref="N195" si="107">N194+M195*(INT(A195-6/24)-INT(A194-6/24))+O195</f>
        <v>224</v>
      </c>
      <c r="O195">
        <f t="shared" ref="O195" si="108">IF(A195&gt;=DATEVALUE("2025/11/8")+TIMEVALUE("6:00"),1,0)-IF(A194&gt;=DATEVALUE("2025/11/8")+TIMEVALUE("6:00"),1,0)</f>
        <v>0</v>
      </c>
      <c r="P195" t="str">
        <f t="shared" ref="P195" si="109">IF(L195&lt;N195,"未達成（"&amp;N195-L195&amp;"）",IF(L195=N195,"達成","前倒し（"&amp;L195-N195&amp;"）"))</f>
        <v>前倒し（1）</v>
      </c>
      <c r="Q195">
        <f t="shared" ref="Q195" si="110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447</v>
      </c>
      <c r="I196" t="s">
        <v>448</v>
      </c>
      <c r="J196">
        <v>0</v>
      </c>
      <c r="K196">
        <f t="shared" ref="K196" si="111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112">L195+K196</f>
        <v>227</v>
      </c>
      <c r="M196">
        <f t="shared" ref="M196" si="113">2+IF(A196&gt;=DATEVALUE("2025/11/30")+TIMEVALUE("6:00"),1,0)+IF(A196&gt;=DATEVALUE("2025/12/11")+TIMEVALUE("6:00"),1,0)</f>
        <v>4</v>
      </c>
      <c r="N196">
        <f t="shared" ref="N196" si="114">N195+M196*(INT(A196-6/24)-INT(A195-6/24))+O196</f>
        <v>228</v>
      </c>
      <c r="O196">
        <f t="shared" ref="O196" si="115">IF(A196&gt;=DATEVALUE("2025/11/8")+TIMEVALUE("6:00"),1,0)-IF(A195&gt;=DATEVALUE("2025/11/8")+TIMEVALUE("6:00"),1,0)</f>
        <v>0</v>
      </c>
      <c r="P196" t="str">
        <f t="shared" ref="P196" si="116">IF(L196&lt;N196,"未達成（"&amp;N196-L196&amp;"）",IF(L196=N196,"達成","前倒し（"&amp;L196-N196&amp;"）"))</f>
        <v>未達成（1）</v>
      </c>
      <c r="Q196">
        <f t="shared" ref="Q196" si="117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449</v>
      </c>
      <c r="I197" t="s">
        <v>450</v>
      </c>
      <c r="J197">
        <v>0</v>
      </c>
      <c r="K197">
        <f t="shared" ref="K197" si="118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19">L196+K197</f>
        <v>229</v>
      </c>
      <c r="M197">
        <f t="shared" ref="M197" si="120">2+IF(A197&gt;=DATEVALUE("2025/11/30")+TIMEVALUE("6:00"),1,0)+IF(A197&gt;=DATEVALUE("2025/12/11")+TIMEVALUE("6:00"),1,0)</f>
        <v>4</v>
      </c>
      <c r="N197">
        <f t="shared" ref="N197" si="121">N196+M197*(INT(A197-6/24)-INT(A196-6/24))+O197</f>
        <v>228</v>
      </c>
      <c r="O197">
        <f t="shared" ref="O197" si="122">IF(A197&gt;=DATEVALUE("2025/11/8")+TIMEVALUE("6:00"),1,0)-IF(A196&gt;=DATEVALUE("2025/11/8")+TIMEVALUE("6:00"),1,0)</f>
        <v>0</v>
      </c>
      <c r="P197" t="str">
        <f t="shared" ref="P197" si="123">IF(L197&lt;N197,"未達成（"&amp;N197-L197&amp;"）",IF(L197=N197,"達成","前倒し（"&amp;L197-N197&amp;"）"))</f>
        <v>前倒し（1）</v>
      </c>
      <c r="Q197">
        <f t="shared" ref="Q197" si="124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451</v>
      </c>
      <c r="I198" t="s">
        <v>452</v>
      </c>
      <c r="J198">
        <v>0</v>
      </c>
      <c r="K198">
        <f t="shared" ref="K198" si="125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26">L197+K198</f>
        <v>230</v>
      </c>
      <c r="M198">
        <f t="shared" ref="M198" si="127">2+IF(A198&gt;=DATEVALUE("2025/11/30")+TIMEVALUE("6:00"),1,0)+IF(A198&gt;=DATEVALUE("2025/12/11")+TIMEVALUE("6:00"),1,0)</f>
        <v>4</v>
      </c>
      <c r="N198">
        <f t="shared" ref="N198" si="128">N197+M198*(INT(A198-6/24)-INT(A197-6/24))+O198</f>
        <v>232</v>
      </c>
      <c r="O198">
        <f t="shared" ref="O198" si="129">IF(A198&gt;=DATEVALUE("2025/11/8")+TIMEVALUE("6:00"),1,0)-IF(A197&gt;=DATEVALUE("2025/11/8")+TIMEVALUE("6:00"),1,0)</f>
        <v>0</v>
      </c>
      <c r="P198" t="str">
        <f t="shared" ref="P198" si="130">IF(L198&lt;N198,"未達成（"&amp;N198-L198&amp;"）",IF(L198=N198,"達成","前倒し（"&amp;L198-N198&amp;"）"))</f>
        <v>未達成（2）</v>
      </c>
      <c r="Q198">
        <f t="shared" ref="Q198" si="131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453</v>
      </c>
      <c r="I199" t="s">
        <v>454</v>
      </c>
      <c r="J199">
        <v>0</v>
      </c>
      <c r="K199">
        <f t="shared" ref="K199" si="132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33">L198+K199</f>
        <v>231</v>
      </c>
      <c r="M199">
        <f t="shared" ref="M199" si="134">2+IF(A199&gt;=DATEVALUE("2025/11/30")+TIMEVALUE("6:00"),1,0)+IF(A199&gt;=DATEVALUE("2025/12/11")+TIMEVALUE("6:00"),1,0)</f>
        <v>4</v>
      </c>
      <c r="N199">
        <f t="shared" ref="N199" si="135">N198+M199*(INT(A199-6/24)-INT(A198-6/24))+O199</f>
        <v>232</v>
      </c>
      <c r="O199">
        <f t="shared" ref="O199" si="136">IF(A199&gt;=DATEVALUE("2025/11/8")+TIMEVALUE("6:00"),1,0)-IF(A198&gt;=DATEVALUE("2025/11/8")+TIMEVALUE("6:00"),1,0)</f>
        <v>0</v>
      </c>
      <c r="P199" t="str">
        <f t="shared" ref="P199" si="137">IF(L199&lt;N199,"未達成（"&amp;N199-L199&amp;"）",IF(L199=N199,"達成","前倒し（"&amp;L199-N199&amp;"）"))</f>
        <v>未達成（1）</v>
      </c>
      <c r="Q199">
        <f t="shared" ref="Q199" si="138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455</v>
      </c>
      <c r="I200" t="s">
        <v>456</v>
      </c>
      <c r="J200">
        <v>0</v>
      </c>
      <c r="K200">
        <f t="shared" ref="K200" si="139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40">L199+K200</f>
        <v>233</v>
      </c>
      <c r="M200">
        <f t="shared" ref="M200" si="141">2+IF(A200&gt;=DATEVALUE("2025/11/30")+TIMEVALUE("6:00"),1,0)+IF(A200&gt;=DATEVALUE("2025/12/11")+TIMEVALUE("6:00"),1,0)</f>
        <v>4</v>
      </c>
      <c r="N200">
        <f t="shared" ref="N200" si="142">N199+M200*(INT(A200-6/24)-INT(A199-6/24))+O200</f>
        <v>232</v>
      </c>
      <c r="O200">
        <f t="shared" ref="O200" si="143">IF(A200&gt;=DATEVALUE("2025/11/8")+TIMEVALUE("6:00"),1,0)-IF(A199&gt;=DATEVALUE("2025/11/8")+TIMEVALUE("6:00"),1,0)</f>
        <v>0</v>
      </c>
      <c r="P200" t="str">
        <f t="shared" ref="P200" si="144">IF(L200&lt;N200,"未達成（"&amp;N200-L200&amp;"）",IF(L200=N200,"達成","前倒し（"&amp;L200-N200&amp;"）"))</f>
        <v>前倒し（1）</v>
      </c>
      <c r="Q200">
        <f t="shared" ref="Q200" si="145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457</v>
      </c>
      <c r="I201" t="s">
        <v>458</v>
      </c>
      <c r="J201">
        <v>0</v>
      </c>
      <c r="K201">
        <f t="shared" ref="K201" si="146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47">L200+K201</f>
        <v>234</v>
      </c>
      <c r="M201">
        <f t="shared" ref="M201" si="148">2+IF(A201&gt;=DATEVALUE("2025/11/30")+TIMEVALUE("6:00"),1,0)+IF(A201&gt;=DATEVALUE("2025/12/11")+TIMEVALUE("6:00"),1,0)</f>
        <v>4</v>
      </c>
      <c r="N201">
        <f t="shared" ref="N201" si="149">N200+M201*(INT(A201-6/24)-INT(A200-6/24))+O201</f>
        <v>236</v>
      </c>
      <c r="O201">
        <f t="shared" ref="O201" si="150">IF(A201&gt;=DATEVALUE("2025/11/8")+TIMEVALUE("6:00"),1,0)-IF(A200&gt;=DATEVALUE("2025/11/8")+TIMEVALUE("6:00"),1,0)</f>
        <v>0</v>
      </c>
      <c r="P201" t="str">
        <f t="shared" ref="P201" si="151">IF(L201&lt;N201,"未達成（"&amp;N201-L201&amp;"）",IF(L201=N201,"達成","前倒し（"&amp;L201-N201&amp;"）"))</f>
        <v>未達成（2）</v>
      </c>
      <c r="Q201">
        <f t="shared" ref="Q201" si="152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459</v>
      </c>
      <c r="I202" t="s">
        <v>460</v>
      </c>
      <c r="J202">
        <v>0</v>
      </c>
      <c r="K202">
        <f t="shared" ref="K202" si="153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54">L201+K202</f>
        <v>235</v>
      </c>
      <c r="M202">
        <f t="shared" ref="M202" si="155">2+IF(A202&gt;=DATEVALUE("2025/11/30")+TIMEVALUE("6:00"),1,0)+IF(A202&gt;=DATEVALUE("2025/12/11")+TIMEVALUE("6:00"),1,0)</f>
        <v>4</v>
      </c>
      <c r="N202">
        <f t="shared" ref="N202" si="156">N201+M202*(INT(A202-6/24)-INT(A201-6/24))+O202</f>
        <v>236</v>
      </c>
      <c r="O202">
        <f t="shared" ref="O202" si="157">IF(A202&gt;=DATEVALUE("2025/11/8")+TIMEVALUE("6:00"),1,0)-IF(A201&gt;=DATEVALUE("2025/11/8")+TIMEVALUE("6:00"),1,0)</f>
        <v>0</v>
      </c>
      <c r="P202" t="str">
        <f t="shared" ref="P202" si="158">IF(L202&lt;N202,"未達成（"&amp;N202-L202&amp;"）",IF(L202=N202,"達成","前倒し（"&amp;L202-N202&amp;"）"))</f>
        <v>未達成（1）</v>
      </c>
      <c r="Q202">
        <f t="shared" ref="Q202" si="15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461</v>
      </c>
      <c r="I203" t="s">
        <v>462</v>
      </c>
      <c r="J203">
        <v>0</v>
      </c>
      <c r="K203">
        <f t="shared" ref="K203" si="16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61">L202+K203</f>
        <v>237</v>
      </c>
      <c r="M203">
        <f t="shared" ref="M203" si="162">2+IF(A203&gt;=DATEVALUE("2025/11/30")+TIMEVALUE("6:00"),1,0)+IF(A203&gt;=DATEVALUE("2025/12/11")+TIMEVALUE("6:00"),1,0)</f>
        <v>4</v>
      </c>
      <c r="N203">
        <f t="shared" ref="N203" si="163">N202+M203*(INT(A203-6/24)-INT(A202-6/24))+O203</f>
        <v>236</v>
      </c>
      <c r="O203">
        <f t="shared" ref="O203" si="164">IF(A203&gt;=DATEVALUE("2025/11/8")+TIMEVALUE("6:00"),1,0)-IF(A202&gt;=DATEVALUE("2025/11/8")+TIMEVALUE("6:00"),1,0)</f>
        <v>0</v>
      </c>
      <c r="P203" t="str">
        <f t="shared" ref="P203" si="165">IF(L203&lt;N203,"未達成（"&amp;N203-L203&amp;"）",IF(L203=N203,"達成","前倒し（"&amp;L203-N203&amp;"）"))</f>
        <v>前倒し（1）</v>
      </c>
      <c r="Q203">
        <f t="shared" ref="Q203" si="166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463</v>
      </c>
      <c r="I204" t="s">
        <v>464</v>
      </c>
      <c r="J204">
        <v>0</v>
      </c>
      <c r="K204">
        <f t="shared" ref="K204" si="167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68">L203+K204</f>
        <v>239</v>
      </c>
      <c r="M204">
        <f t="shared" ref="M204" si="169">2+IF(A204&gt;=DATEVALUE("2025/11/30")+TIMEVALUE("6:00"),1,0)+IF(A204&gt;=DATEVALUE("2025/12/11")+TIMEVALUE("6:00"),1,0)</f>
        <v>4</v>
      </c>
      <c r="N204">
        <f t="shared" ref="N204" si="170">N203+M204*(INT(A204-6/24)-INT(A203-6/24))+O204</f>
        <v>240</v>
      </c>
      <c r="O204">
        <f t="shared" ref="O204" si="171">IF(A204&gt;=DATEVALUE("2025/11/8")+TIMEVALUE("6:00"),1,0)-IF(A203&gt;=DATEVALUE("2025/11/8")+TIMEVALUE("6:00"),1,0)</f>
        <v>0</v>
      </c>
      <c r="P204" t="str">
        <f t="shared" ref="P204" si="172">IF(L204&lt;N204,"未達成（"&amp;N204-L204&amp;"）",IF(L204=N204,"達成","前倒し（"&amp;L204-N204&amp;"）"))</f>
        <v>未達成（1）</v>
      </c>
      <c r="Q204">
        <f t="shared" ref="Q204" si="173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465</v>
      </c>
      <c r="I205" t="s">
        <v>466</v>
      </c>
      <c r="J205">
        <v>0</v>
      </c>
      <c r="K205">
        <f t="shared" ref="K205" si="174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75">L204+K205</f>
        <v>241</v>
      </c>
      <c r="M205">
        <f t="shared" ref="M205" si="176">2+IF(A205&gt;=DATEVALUE("2025/11/30")+TIMEVALUE("6:00"),1,0)+IF(A205&gt;=DATEVALUE("2025/12/11")+TIMEVALUE("6:00"),1,0)</f>
        <v>4</v>
      </c>
      <c r="N205">
        <f t="shared" ref="N205" si="177">N204+M205*(INT(A205-6/24)-INT(A204-6/24))+O205</f>
        <v>240</v>
      </c>
      <c r="O205">
        <f t="shared" ref="O205" si="178">IF(A205&gt;=DATEVALUE("2025/11/8")+TIMEVALUE("6:00"),1,0)-IF(A204&gt;=DATEVALUE("2025/11/8")+TIMEVALUE("6:00"),1,0)</f>
        <v>0</v>
      </c>
      <c r="P205" t="str">
        <f t="shared" ref="P205" si="179">IF(L205&lt;N205,"未達成（"&amp;N205-L205&amp;"）",IF(L205=N205,"達成","前倒し（"&amp;L205-N205&amp;"）"))</f>
        <v>前倒し（1）</v>
      </c>
      <c r="Q205">
        <f t="shared" ref="Q205" si="180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467</v>
      </c>
      <c r="I206" t="s">
        <v>468</v>
      </c>
      <c r="J206">
        <v>0</v>
      </c>
      <c r="K206">
        <f t="shared" ref="K206" si="181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82">L205+K206</f>
        <v>243</v>
      </c>
      <c r="M206">
        <f t="shared" ref="M206" si="183">2+IF(A206&gt;=DATEVALUE("2025/11/30")+TIMEVALUE("6:00"),1,0)+IF(A206&gt;=DATEVALUE("2025/12/11")+TIMEVALUE("6:00"),1,0)</f>
        <v>4</v>
      </c>
      <c r="N206">
        <f t="shared" ref="N206" si="184">N205+M206*(INT(A206-6/24)-INT(A205-6/24))+O206</f>
        <v>244</v>
      </c>
      <c r="O206">
        <f t="shared" ref="O206" si="185">IF(A206&gt;=DATEVALUE("2025/11/8")+TIMEVALUE("6:00"),1,0)-IF(A205&gt;=DATEVALUE("2025/11/8")+TIMEVALUE("6:00"),1,0)</f>
        <v>0</v>
      </c>
      <c r="P206" t="str">
        <f t="shared" ref="P206" si="186">IF(L206&lt;N206,"未達成（"&amp;N206-L206&amp;"）",IF(L206=N206,"達成","前倒し（"&amp;L206-N206&amp;"）"))</f>
        <v>未達成（1）</v>
      </c>
      <c r="Q206">
        <f t="shared" ref="Q206" si="187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469</v>
      </c>
      <c r="I207" t="s">
        <v>470</v>
      </c>
      <c r="J207">
        <v>0</v>
      </c>
      <c r="K207">
        <f t="shared" ref="K207" si="188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89">L206+K207</f>
        <v>245</v>
      </c>
      <c r="M207">
        <f t="shared" ref="M207" si="190">2+IF(A207&gt;=DATEVALUE("2025/11/30")+TIMEVALUE("6:00"),1,0)+IF(A207&gt;=DATEVALUE("2025/12/11")+TIMEVALUE("6:00"),1,0)</f>
        <v>4</v>
      </c>
      <c r="N207">
        <f t="shared" ref="N207" si="191">N206+M207*(INT(A207-6/24)-INT(A206-6/24))+O207</f>
        <v>244</v>
      </c>
      <c r="O207">
        <f t="shared" ref="O207" si="192">IF(A207&gt;=DATEVALUE("2025/11/8")+TIMEVALUE("6:00"),1,0)-IF(A206&gt;=DATEVALUE("2025/11/8")+TIMEVALUE("6:00"),1,0)</f>
        <v>0</v>
      </c>
      <c r="P207" t="str">
        <f t="shared" ref="P207" si="193">IF(L207&lt;N207,"未達成（"&amp;N207-L207&amp;"）",IF(L207=N207,"達成","前倒し（"&amp;L207-N207&amp;"）"))</f>
        <v>前倒し（1）</v>
      </c>
      <c r="Q207">
        <f t="shared" ref="Q207" si="194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471</v>
      </c>
      <c r="I208" t="s">
        <v>472</v>
      </c>
      <c r="J208">
        <v>0</v>
      </c>
      <c r="K208">
        <f t="shared" ref="K208" si="195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96">L207+K208</f>
        <v>246</v>
      </c>
      <c r="M208">
        <f t="shared" ref="M208" si="197">2+IF(A208&gt;=DATEVALUE("2025/11/30")+TIMEVALUE("6:00"),1,0)+IF(A208&gt;=DATEVALUE("2025/12/11")+TIMEVALUE("6:00"),1,0)</f>
        <v>4</v>
      </c>
      <c r="N208">
        <f t="shared" ref="N208" si="198">N207+M208*(INT(A208-6/24)-INT(A207-6/24))+O208</f>
        <v>248</v>
      </c>
      <c r="O208">
        <f t="shared" ref="O208" si="199">IF(A208&gt;=DATEVALUE("2025/11/8")+TIMEVALUE("6:00"),1,0)-IF(A207&gt;=DATEVALUE("2025/11/8")+TIMEVALUE("6:00"),1,0)</f>
        <v>0</v>
      </c>
      <c r="P208" t="str">
        <f t="shared" ref="P208" si="200">IF(L208&lt;N208,"未達成（"&amp;N208-L208&amp;"）",IF(L208=N208,"達成","前倒し（"&amp;L208-N208&amp;"）"))</f>
        <v>未達成（2）</v>
      </c>
      <c r="Q208">
        <f t="shared" ref="Q208" si="201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473</v>
      </c>
      <c r="I209" t="s">
        <v>474</v>
      </c>
      <c r="J209">
        <v>0</v>
      </c>
      <c r="K209">
        <f t="shared" ref="K209" si="202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203">L208+K209</f>
        <v>248</v>
      </c>
      <c r="M209">
        <f t="shared" ref="M209" si="204">2+IF(A209&gt;=DATEVALUE("2025/11/30")+TIMEVALUE("6:00"),1,0)+IF(A209&gt;=DATEVALUE("2025/12/11")+TIMEVALUE("6:00"),1,0)</f>
        <v>4</v>
      </c>
      <c r="N209">
        <f t="shared" ref="N209" si="205">N208+M209*(INT(A209-6/24)-INT(A208-6/24))+O209</f>
        <v>248</v>
      </c>
      <c r="O209">
        <f t="shared" ref="O209" si="206">IF(A209&gt;=DATEVALUE("2025/11/8")+TIMEVALUE("6:00"),1,0)-IF(A208&gt;=DATEVALUE("2025/11/8")+TIMEVALUE("6:00"),1,0)</f>
        <v>0</v>
      </c>
      <c r="P209" t="str">
        <f t="shared" ref="P209" si="207">IF(L209&lt;N209,"未達成（"&amp;N209-L209&amp;"）",IF(L209=N209,"達成","前倒し（"&amp;L209-N209&amp;"）"))</f>
        <v>達成</v>
      </c>
      <c r="Q209">
        <f t="shared" ref="Q209" si="208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475</v>
      </c>
      <c r="I210" t="s">
        <v>476</v>
      </c>
      <c r="J210">
        <v>0</v>
      </c>
      <c r="K210">
        <f t="shared" ref="K210" si="209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210">L209+K210</f>
        <v>250</v>
      </c>
      <c r="M210">
        <f t="shared" ref="M210" si="211">2+IF(A210&gt;=DATEVALUE("2025/11/30")+TIMEVALUE("6:00"),1,0)+IF(A210&gt;=DATEVALUE("2025/12/11")+TIMEVALUE("6:00"),1,0)</f>
        <v>4</v>
      </c>
      <c r="N210">
        <f t="shared" ref="N210" si="212">N209+M210*(INT(A210-6/24)-INT(A209-6/24))+O210</f>
        <v>252</v>
      </c>
      <c r="O210">
        <f t="shared" ref="O210" si="213">IF(A210&gt;=DATEVALUE("2025/11/8")+TIMEVALUE("6:00"),1,0)-IF(A209&gt;=DATEVALUE("2025/11/8")+TIMEVALUE("6:00"),1,0)</f>
        <v>0</v>
      </c>
      <c r="P210" t="str">
        <f t="shared" ref="P210" si="214">IF(L210&lt;N210,"未達成（"&amp;N210-L210&amp;"）",IF(L210=N210,"達成","前倒し（"&amp;L210-N210&amp;"）"))</f>
        <v>未達成（2）</v>
      </c>
      <c r="Q210">
        <f t="shared" ref="Q210" si="215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477</v>
      </c>
      <c r="I211" t="s">
        <v>478</v>
      </c>
      <c r="J211">
        <v>0</v>
      </c>
      <c r="K211">
        <f t="shared" ref="K211" si="216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217">L210+K211</f>
        <v>251</v>
      </c>
      <c r="M211">
        <f t="shared" ref="M211" si="218">2+IF(A211&gt;=DATEVALUE("2025/11/30")+TIMEVALUE("6:00"),1,0)+IF(A211&gt;=DATEVALUE("2025/12/11")+TIMEVALUE("6:00"),1,0)</f>
        <v>4</v>
      </c>
      <c r="N211">
        <f t="shared" ref="N211" si="219">N210+M211*(INT(A211-6/24)-INT(A210-6/24))+O211</f>
        <v>252</v>
      </c>
      <c r="O211">
        <f t="shared" ref="O211" si="220">IF(A211&gt;=DATEVALUE("2025/11/8")+TIMEVALUE("6:00"),1,0)-IF(A210&gt;=DATEVALUE("2025/11/8")+TIMEVALUE("6:00"),1,0)</f>
        <v>0</v>
      </c>
      <c r="P211" t="str">
        <f t="shared" ref="P211" si="221">IF(L211&lt;N211,"未達成（"&amp;N211-L211&amp;"）",IF(L211=N211,"達成","前倒し（"&amp;L211-N211&amp;"）"))</f>
        <v>未達成（1）</v>
      </c>
      <c r="Q211">
        <f t="shared" ref="Q211" si="222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479</v>
      </c>
      <c r="I212" t="s">
        <v>480</v>
      </c>
      <c r="J212">
        <v>0</v>
      </c>
      <c r="K212">
        <f t="shared" ref="K212" si="223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224">L211+K212</f>
        <v>252</v>
      </c>
      <c r="M212">
        <f t="shared" ref="M212" si="225">2+IF(A212&gt;=DATEVALUE("2025/11/30")+TIMEVALUE("6:00"),1,0)+IF(A212&gt;=DATEVALUE("2025/12/11")+TIMEVALUE("6:00"),1,0)</f>
        <v>4</v>
      </c>
      <c r="N212">
        <f t="shared" ref="N212" si="226">N211+M212*(INT(A212-6/24)-INT(A211-6/24))+O212</f>
        <v>252</v>
      </c>
      <c r="O212">
        <f t="shared" ref="O212" si="227">IF(A212&gt;=DATEVALUE("2025/11/8")+TIMEVALUE("6:00"),1,0)-IF(A211&gt;=DATEVALUE("2025/11/8")+TIMEVALUE("6:00"),1,0)</f>
        <v>0</v>
      </c>
      <c r="P212" t="str">
        <f t="shared" ref="P212" si="228">IF(L212&lt;N212,"未達成（"&amp;N212-L212&amp;"）",IF(L212=N212,"達成","前倒し（"&amp;L212-N212&amp;"）"))</f>
        <v>達成</v>
      </c>
      <c r="Q212">
        <f t="shared" ref="Q212" si="229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481</v>
      </c>
      <c r="I213" t="s">
        <v>482</v>
      </c>
      <c r="J213">
        <v>0</v>
      </c>
      <c r="K213">
        <f t="shared" ref="K213" si="230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31">L212+K213</f>
        <v>254</v>
      </c>
      <c r="M213">
        <f t="shared" ref="M213" si="232">2+IF(A213&gt;=DATEVALUE("2025/11/30")+TIMEVALUE("6:00"),1,0)+IF(A213&gt;=DATEVALUE("2025/12/11")+TIMEVALUE("6:00"),1,0)</f>
        <v>4</v>
      </c>
      <c r="N213">
        <f t="shared" ref="N213" si="233">N212+M213*(INT(A213-6/24)-INT(A212-6/24))+O213</f>
        <v>256</v>
      </c>
      <c r="O213">
        <f t="shared" ref="O213" si="234">IF(A213&gt;=DATEVALUE("2025/11/8")+TIMEVALUE("6:00"),1,0)-IF(A212&gt;=DATEVALUE("2025/11/8")+TIMEVALUE("6:00"),1,0)</f>
        <v>0</v>
      </c>
      <c r="P213" t="str">
        <f t="shared" ref="P213" si="235">IF(L213&lt;N213,"未達成（"&amp;N213-L213&amp;"）",IF(L213=N213,"達成","前倒し（"&amp;L213-N213&amp;"）"))</f>
        <v>未達成（2）</v>
      </c>
      <c r="Q213">
        <f t="shared" ref="Q213" si="23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483</v>
      </c>
      <c r="I214" t="s">
        <v>484</v>
      </c>
      <c r="J214">
        <v>0</v>
      </c>
      <c r="K214">
        <f t="shared" ref="K214" si="23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38">L213+K214</f>
        <v>256</v>
      </c>
      <c r="M214">
        <f t="shared" ref="M214" si="239">2+IF(A214&gt;=DATEVALUE("2025/11/30")+TIMEVALUE("6:00"),1,0)+IF(A214&gt;=DATEVALUE("2025/12/11")+TIMEVALUE("6:00"),1,0)</f>
        <v>4</v>
      </c>
      <c r="N214">
        <f t="shared" ref="N214" si="240">N213+M214*(INT(A214-6/24)-INT(A213-6/24))+O214</f>
        <v>256</v>
      </c>
      <c r="O214">
        <f t="shared" ref="O214" si="241">IF(A214&gt;=DATEVALUE("2025/11/8")+TIMEVALUE("6:00"),1,0)-IF(A213&gt;=DATEVALUE("2025/11/8")+TIMEVALUE("6:00"),1,0)</f>
        <v>0</v>
      </c>
      <c r="P214" t="str">
        <f t="shared" ref="P214" si="242">IF(L214&lt;N214,"未達成（"&amp;N214-L214&amp;"）",IF(L214=N214,"達成","前倒し（"&amp;L214-N214&amp;"）"))</f>
        <v>達成</v>
      </c>
      <c r="Q214">
        <f t="shared" ref="Q214" si="243">IF(B214="",NA(),G214)</f>
        <v>5.3587962975143455E-3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46043.285138888888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2026-01-20T21:59:17Z</dcterms:modified>
</cp:coreProperties>
</file>
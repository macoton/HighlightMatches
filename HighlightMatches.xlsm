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174F2C7-43BD-431F-95AB-107BD544F98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4" i="4" l="1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O174" i="4"/>
  <c r="M174" i="4"/>
  <c r="O173" i="4"/>
  <c r="M173" i="4"/>
  <c r="O172" i="4"/>
  <c r="M172" i="4"/>
  <c r="O171" i="4"/>
  <c r="M171" i="4"/>
  <c r="O170" i="4"/>
  <c r="M170" i="4"/>
  <c r="O169" i="4"/>
  <c r="M169" i="4"/>
  <c r="O168" i="4"/>
  <c r="M168" i="4"/>
  <c r="O167" i="4"/>
  <c r="M167" i="4"/>
  <c r="O166" i="4"/>
  <c r="M166" i="4"/>
  <c r="O165" i="4"/>
  <c r="M165" i="4"/>
  <c r="O164" i="4"/>
  <c r="M164" i="4"/>
  <c r="O163" i="4"/>
  <c r="M163" i="4"/>
  <c r="O162" i="4"/>
  <c r="M162" i="4"/>
  <c r="O161" i="4"/>
  <c r="M161" i="4"/>
  <c r="O160" i="4"/>
  <c r="M160" i="4"/>
  <c r="O159" i="4"/>
  <c r="M159" i="4"/>
  <c r="O158" i="4"/>
  <c r="M158" i="4"/>
  <c r="O157" i="4"/>
  <c r="M157" i="4"/>
  <c r="O156" i="4"/>
  <c r="M156" i="4"/>
  <c r="O155" i="4"/>
  <c r="M155" i="4"/>
  <c r="O154" i="4"/>
  <c r="M154" i="4"/>
  <c r="O153" i="4"/>
  <c r="M153" i="4"/>
  <c r="O152" i="4"/>
  <c r="M152" i="4"/>
  <c r="O151" i="4"/>
  <c r="M151" i="4"/>
  <c r="O150" i="4"/>
  <c r="M150" i="4"/>
  <c r="O149" i="4"/>
  <c r="M149" i="4"/>
  <c r="O148" i="4"/>
  <c r="M148" i="4"/>
  <c r="O147" i="4"/>
  <c r="M147" i="4"/>
  <c r="O146" i="4"/>
  <c r="M146" i="4"/>
  <c r="O145" i="4"/>
  <c r="M145" i="4"/>
  <c r="O144" i="4"/>
  <c r="M144" i="4"/>
  <c r="O143" i="4"/>
  <c r="M143" i="4"/>
  <c r="O142" i="4"/>
  <c r="M142" i="4"/>
  <c r="O141" i="4"/>
  <c r="M141" i="4"/>
  <c r="O140" i="4"/>
  <c r="M140" i="4"/>
  <c r="O139" i="4"/>
  <c r="M139" i="4"/>
  <c r="O138" i="4"/>
  <c r="M138" i="4"/>
  <c r="O137" i="4"/>
  <c r="M137" i="4"/>
  <c r="O136" i="4"/>
  <c r="M136" i="4"/>
  <c r="O135" i="4"/>
  <c r="M135" i="4"/>
  <c r="O134" i="4"/>
  <c r="M134" i="4"/>
  <c r="O133" i="4"/>
  <c r="M133" i="4"/>
  <c r="O132" i="4"/>
  <c r="M132" i="4"/>
  <c r="O131" i="4"/>
  <c r="M131" i="4"/>
  <c r="O130" i="4"/>
  <c r="M130" i="4"/>
  <c r="O129" i="4"/>
  <c r="M129" i="4"/>
  <c r="O128" i="4"/>
  <c r="M128" i="4"/>
  <c r="O127" i="4"/>
  <c r="M127" i="4"/>
  <c r="O126" i="4"/>
  <c r="M126" i="4"/>
  <c r="O125" i="4"/>
  <c r="M125" i="4"/>
  <c r="O124" i="4"/>
  <c r="M124" i="4"/>
  <c r="O123" i="4"/>
  <c r="M123" i="4"/>
  <c r="O122" i="4"/>
  <c r="M122" i="4"/>
  <c r="O121" i="4"/>
  <c r="M121" i="4"/>
  <c r="O120" i="4"/>
  <c r="M120" i="4"/>
  <c r="O119" i="4"/>
  <c r="M119" i="4"/>
  <c r="O118" i="4"/>
  <c r="M118" i="4"/>
  <c r="O117" i="4"/>
  <c r="M117" i="4"/>
  <c r="O116" i="4"/>
  <c r="M116" i="4"/>
  <c r="O115" i="4"/>
  <c r="M115" i="4"/>
  <c r="O114" i="4"/>
  <c r="M114" i="4"/>
  <c r="O113" i="4"/>
  <c r="M113" i="4"/>
  <c r="O112" i="4"/>
  <c r="M112" i="4"/>
  <c r="O111" i="4"/>
  <c r="M111" i="4"/>
  <c r="O110" i="4"/>
  <c r="M110" i="4"/>
  <c r="O109" i="4"/>
  <c r="M109" i="4"/>
  <c r="O108" i="4"/>
  <c r="M108" i="4"/>
  <c r="O107" i="4"/>
  <c r="M107" i="4"/>
  <c r="O106" i="4"/>
  <c r="M106" i="4"/>
  <c r="O105" i="4"/>
  <c r="M105" i="4"/>
  <c r="O104" i="4"/>
  <c r="M104" i="4"/>
  <c r="O103" i="4"/>
  <c r="M103" i="4"/>
  <c r="O102" i="4"/>
  <c r="M102" i="4"/>
  <c r="O101" i="4"/>
  <c r="M101" i="4"/>
  <c r="O100" i="4"/>
  <c r="M100" i="4"/>
  <c r="O99" i="4"/>
  <c r="M99" i="4"/>
  <c r="O98" i="4"/>
  <c r="M98" i="4"/>
  <c r="O97" i="4"/>
  <c r="M97" i="4"/>
  <c r="O96" i="4"/>
  <c r="M96" i="4"/>
  <c r="O95" i="4"/>
  <c r="M95" i="4"/>
  <c r="O94" i="4"/>
  <c r="M94" i="4"/>
  <c r="O93" i="4"/>
  <c r="M93" i="4"/>
  <c r="O92" i="4"/>
  <c r="M92" i="4"/>
  <c r="O91" i="4"/>
  <c r="M91" i="4"/>
  <c r="O90" i="4"/>
  <c r="M90" i="4"/>
  <c r="O89" i="4"/>
  <c r="M89" i="4"/>
  <c r="O88" i="4"/>
  <c r="M88" i="4"/>
  <c r="O87" i="4"/>
  <c r="M87" i="4"/>
  <c r="O86" i="4"/>
  <c r="M86" i="4"/>
  <c r="O85" i="4"/>
  <c r="M85" i="4"/>
  <c r="O84" i="4"/>
  <c r="M84" i="4"/>
  <c r="O83" i="4"/>
  <c r="M83" i="4"/>
  <c r="O82" i="4"/>
  <c r="M82" i="4"/>
  <c r="O81" i="4"/>
  <c r="M81" i="4"/>
  <c r="O80" i="4"/>
  <c r="M80" i="4"/>
  <c r="O79" i="4"/>
  <c r="M79" i="4"/>
  <c r="O78" i="4"/>
  <c r="M78" i="4"/>
  <c r="O77" i="4"/>
  <c r="M77" i="4"/>
  <c r="O76" i="4"/>
  <c r="M76" i="4"/>
  <c r="O75" i="4"/>
  <c r="M75" i="4"/>
  <c r="O74" i="4"/>
  <c r="M74" i="4"/>
  <c r="O73" i="4"/>
  <c r="M73" i="4"/>
  <c r="O72" i="4"/>
  <c r="M72" i="4"/>
  <c r="O71" i="4"/>
  <c r="M71" i="4"/>
  <c r="O70" i="4"/>
  <c r="M70" i="4"/>
  <c r="O69" i="4"/>
  <c r="M69" i="4"/>
  <c r="O68" i="4"/>
  <c r="M68" i="4"/>
  <c r="O67" i="4"/>
  <c r="M67" i="4"/>
  <c r="O66" i="4"/>
  <c r="M66" i="4"/>
  <c r="O65" i="4"/>
  <c r="M65" i="4"/>
  <c r="O64" i="4"/>
  <c r="M64" i="4"/>
  <c r="O63" i="4"/>
  <c r="M63" i="4"/>
  <c r="O62" i="4"/>
  <c r="M62" i="4"/>
  <c r="O61" i="4"/>
  <c r="M61" i="4"/>
  <c r="O60" i="4"/>
  <c r="M60" i="4"/>
  <c r="O59" i="4"/>
  <c r="M59" i="4"/>
  <c r="O58" i="4"/>
  <c r="M58" i="4"/>
  <c r="O57" i="4"/>
  <c r="M57" i="4"/>
  <c r="O56" i="4"/>
  <c r="M56" i="4"/>
  <c r="O55" i="4"/>
  <c r="M55" i="4"/>
  <c r="O54" i="4"/>
  <c r="M54" i="4"/>
  <c r="O53" i="4"/>
  <c r="M53" i="4"/>
  <c r="O52" i="4"/>
  <c r="M52" i="4"/>
  <c r="O51" i="4"/>
  <c r="M51" i="4"/>
  <c r="O50" i="4"/>
  <c r="M50" i="4"/>
  <c r="O49" i="4"/>
  <c r="M49" i="4"/>
  <c r="O48" i="4"/>
  <c r="M48" i="4"/>
  <c r="O47" i="4"/>
  <c r="M47" i="4"/>
  <c r="O46" i="4"/>
  <c r="M46" i="4"/>
  <c r="O45" i="4"/>
  <c r="M45" i="4"/>
  <c r="O44" i="4"/>
  <c r="M44" i="4"/>
  <c r="O43" i="4"/>
  <c r="M43" i="4"/>
  <c r="O42" i="4"/>
  <c r="M42" i="4"/>
  <c r="O41" i="4"/>
  <c r="M41" i="4"/>
  <c r="O40" i="4"/>
  <c r="M40" i="4"/>
  <c r="O39" i="4"/>
  <c r="M39" i="4"/>
  <c r="O38" i="4"/>
  <c r="M38" i="4"/>
  <c r="O37" i="4"/>
  <c r="M37" i="4"/>
  <c r="O36" i="4"/>
  <c r="M36" i="4"/>
  <c r="O35" i="4"/>
  <c r="M35" i="4"/>
  <c r="O34" i="4"/>
  <c r="M34" i="4"/>
  <c r="O33" i="4"/>
  <c r="M33" i="4"/>
  <c r="O32" i="4"/>
  <c r="M32" i="4"/>
  <c r="O31" i="4"/>
  <c r="M31" i="4"/>
  <c r="O30" i="4"/>
  <c r="M30" i="4"/>
  <c r="O29" i="4"/>
  <c r="M29" i="4"/>
  <c r="O28" i="4"/>
  <c r="M28" i="4"/>
  <c r="O27" i="4"/>
  <c r="M27" i="4"/>
  <c r="O26" i="4"/>
  <c r="M26" i="4"/>
  <c r="O25" i="4"/>
  <c r="M25" i="4"/>
  <c r="O24" i="4"/>
  <c r="M24" i="4"/>
  <c r="O23" i="4"/>
  <c r="M23" i="4"/>
  <c r="O22" i="4"/>
  <c r="M22" i="4"/>
  <c r="O21" i="4"/>
  <c r="M21" i="4"/>
  <c r="O20" i="4"/>
  <c r="M20" i="4"/>
  <c r="O19" i="4"/>
  <c r="M19" i="4"/>
  <c r="O18" i="4"/>
  <c r="M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P21" i="4" l="1"/>
  <c r="L22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P32" i="4" l="1"/>
  <c r="L33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P40" i="4" l="1"/>
  <c r="L41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P48" i="4" l="1"/>
  <c r="L49" i="4"/>
  <c r="P49" i="4" l="1"/>
  <c r="L50" i="4"/>
  <c r="L51" i="4" l="1"/>
  <c r="P50" i="4"/>
  <c r="L52" i="4" l="1"/>
  <c r="P51" i="4"/>
  <c r="P52" i="4" l="1"/>
  <c r="L53" i="4"/>
  <c r="P53" i="4" l="1"/>
  <c r="L54" i="4"/>
  <c r="L55" i="4" l="1"/>
  <c r="P54" i="4"/>
  <c r="L56" i="4" l="1"/>
  <c r="P55" i="4"/>
  <c r="P56" i="4" l="1"/>
  <c r="L57" i="4"/>
  <c r="P57" i="4" l="1"/>
  <c r="L58" i="4"/>
  <c r="L59" i="4" l="1"/>
  <c r="P58" i="4"/>
  <c r="L60" i="4" l="1"/>
  <c r="P59" i="4"/>
  <c r="P60" i="4" l="1"/>
  <c r="L61" i="4"/>
  <c r="P61" i="4" l="1"/>
  <c r="L62" i="4"/>
  <c r="L63" i="4" l="1"/>
  <c r="P62" i="4"/>
  <c r="L64" i="4" l="1"/>
  <c r="P63" i="4"/>
  <c r="P64" i="4" l="1"/>
  <c r="L65" i="4"/>
  <c r="P65" i="4" l="1"/>
  <c r="L66" i="4"/>
  <c r="L67" i="4" l="1"/>
  <c r="P66" i="4"/>
  <c r="L68" i="4" l="1"/>
  <c r="P67" i="4"/>
  <c r="P68" i="4" l="1"/>
  <c r="L69" i="4"/>
  <c r="P69" i="4" l="1"/>
  <c r="L70" i="4"/>
  <c r="L71" i="4" l="1"/>
  <c r="P70" i="4"/>
  <c r="P71" i="4" l="1"/>
  <c r="L72" i="4"/>
  <c r="L73" i="4" l="1"/>
  <c r="P72" i="4"/>
  <c r="L74" i="4" l="1"/>
  <c r="P73" i="4"/>
  <c r="L75" i="4" l="1"/>
  <c r="P74" i="4"/>
  <c r="P75" i="4" l="1"/>
  <c r="L76" i="4"/>
  <c r="L77" i="4" l="1"/>
  <c r="P76" i="4"/>
  <c r="L78" i="4" l="1"/>
  <c r="P77" i="4"/>
  <c r="L79" i="4" l="1"/>
  <c r="P78" i="4"/>
  <c r="P79" i="4" l="1"/>
  <c r="L80" i="4"/>
  <c r="L81" i="4" l="1"/>
  <c r="P80" i="4"/>
  <c r="L82" i="4" l="1"/>
  <c r="P81" i="4"/>
  <c r="L83" i="4" l="1"/>
  <c r="P82" i="4"/>
  <c r="P83" i="4" l="1"/>
  <c r="L84" i="4"/>
  <c r="L85" i="4" l="1"/>
  <c r="P84" i="4"/>
  <c r="L86" i="4" l="1"/>
  <c r="P85" i="4"/>
  <c r="L87" i="4" l="1"/>
  <c r="P86" i="4"/>
  <c r="P87" i="4" l="1"/>
  <c r="L88" i="4"/>
  <c r="L89" i="4" l="1"/>
  <c r="P88" i="4"/>
  <c r="L90" i="4" l="1"/>
  <c r="P89" i="4"/>
  <c r="L91" i="4" l="1"/>
  <c r="P90" i="4"/>
  <c r="P91" i="4" l="1"/>
  <c r="L92" i="4"/>
  <c r="L93" i="4" l="1"/>
  <c r="P92" i="4"/>
  <c r="L94" i="4" l="1"/>
  <c r="P93" i="4"/>
  <c r="L95" i="4" l="1"/>
  <c r="P94" i="4"/>
  <c r="P95" i="4" l="1"/>
  <c r="L96" i="4"/>
  <c r="L97" i="4" l="1"/>
  <c r="P96" i="4"/>
  <c r="L98" i="4" l="1"/>
  <c r="P97" i="4"/>
  <c r="L99" i="4" l="1"/>
  <c r="P98" i="4"/>
  <c r="P99" i="4" l="1"/>
  <c r="L100" i="4"/>
  <c r="L101" i="4" l="1"/>
  <c r="P100" i="4"/>
  <c r="L102" i="4" l="1"/>
  <c r="P101" i="4"/>
  <c r="L103" i="4" l="1"/>
  <c r="P102" i="4"/>
  <c r="P103" i="4" l="1"/>
  <c r="L104" i="4"/>
  <c r="L105" i="4" l="1"/>
  <c r="P104" i="4"/>
  <c r="L106" i="4" l="1"/>
  <c r="P105" i="4"/>
  <c r="L107" i="4" l="1"/>
  <c r="P106" i="4"/>
  <c r="P107" i="4" l="1"/>
  <c r="L108" i="4"/>
  <c r="L109" i="4" l="1"/>
  <c r="P108" i="4"/>
  <c r="L110" i="4" l="1"/>
  <c r="P109" i="4"/>
  <c r="L111" i="4" l="1"/>
  <c r="P110" i="4"/>
  <c r="P111" i="4" l="1"/>
  <c r="L112" i="4"/>
  <c r="L113" i="4" l="1"/>
  <c r="P112" i="4"/>
  <c r="L114" i="4" l="1"/>
  <c r="P113" i="4"/>
  <c r="L115" i="4" l="1"/>
  <c r="P114" i="4"/>
  <c r="P115" i="4" l="1"/>
  <c r="L116" i="4"/>
  <c r="L117" i="4" l="1"/>
  <c r="P116" i="4"/>
  <c r="L118" i="4" l="1"/>
  <c r="P117" i="4"/>
  <c r="L119" i="4" l="1"/>
  <c r="P118" i="4"/>
  <c r="P119" i="4" l="1"/>
  <c r="L120" i="4"/>
  <c r="L121" i="4" l="1"/>
  <c r="P120" i="4"/>
  <c r="L122" i="4" l="1"/>
  <c r="P121" i="4"/>
  <c r="L123" i="4" l="1"/>
  <c r="P122" i="4"/>
  <c r="P123" i="4" l="1"/>
  <c r="L124" i="4"/>
  <c r="L125" i="4" l="1"/>
  <c r="P124" i="4"/>
  <c r="L126" i="4" l="1"/>
  <c r="P125" i="4"/>
  <c r="L127" i="4" l="1"/>
  <c r="P126" i="4"/>
  <c r="P127" i="4" l="1"/>
  <c r="L128" i="4"/>
  <c r="L129" i="4" l="1"/>
  <c r="P128" i="4"/>
  <c r="L130" i="4" l="1"/>
  <c r="P129" i="4"/>
  <c r="L131" i="4" l="1"/>
  <c r="P130" i="4"/>
  <c r="P131" i="4" l="1"/>
  <c r="L132" i="4"/>
  <c r="L133" i="4" l="1"/>
  <c r="P132" i="4"/>
  <c r="L134" i="4" l="1"/>
  <c r="P133" i="4"/>
  <c r="L135" i="4" l="1"/>
  <c r="P134" i="4"/>
  <c r="P135" i="4" l="1"/>
  <c r="L136" i="4"/>
  <c r="L137" i="4" l="1"/>
  <c r="P136" i="4"/>
  <c r="L138" i="4" l="1"/>
  <c r="P137" i="4"/>
  <c r="L139" i="4" l="1"/>
  <c r="P138" i="4"/>
  <c r="P139" i="4" l="1"/>
  <c r="L140" i="4"/>
  <c r="L141" i="4" l="1"/>
  <c r="P140" i="4"/>
  <c r="L142" i="4" l="1"/>
  <c r="P141" i="4"/>
  <c r="L143" i="4" l="1"/>
  <c r="P142" i="4"/>
  <c r="P143" i="4" l="1"/>
  <c r="L144" i="4"/>
  <c r="L145" i="4" l="1"/>
  <c r="P144" i="4"/>
  <c r="L146" i="4" l="1"/>
  <c r="P145" i="4"/>
  <c r="L147" i="4" l="1"/>
  <c r="P146" i="4"/>
  <c r="P147" i="4" l="1"/>
  <c r="L148" i="4"/>
  <c r="L149" i="4" l="1"/>
  <c r="P148" i="4"/>
  <c r="L150" i="4" l="1"/>
  <c r="P149" i="4"/>
  <c r="L151" i="4" l="1"/>
  <c r="P150" i="4"/>
  <c r="P151" i="4" l="1"/>
  <c r="L152" i="4"/>
  <c r="L153" i="4" l="1"/>
  <c r="P152" i="4"/>
  <c r="L154" i="4" l="1"/>
  <c r="P153" i="4"/>
  <c r="L155" i="4" l="1"/>
  <c r="P154" i="4"/>
  <c r="P155" i="4" l="1"/>
  <c r="L156" i="4"/>
  <c r="L157" i="4" l="1"/>
  <c r="P156" i="4"/>
  <c r="L158" i="4" l="1"/>
  <c r="P157" i="4"/>
  <c r="L159" i="4" l="1"/>
  <c r="P158" i="4"/>
  <c r="P159" i="4" l="1"/>
  <c r="L160" i="4"/>
  <c r="L161" i="4" l="1"/>
  <c r="P160" i="4"/>
  <c r="L162" i="4" l="1"/>
  <c r="P161" i="4"/>
  <c r="L163" i="4" l="1"/>
  <c r="P162" i="4"/>
  <c r="P163" i="4" l="1"/>
  <c r="L164" i="4"/>
  <c r="L165" i="4" l="1"/>
  <c r="P164" i="4"/>
  <c r="L166" i="4" l="1"/>
  <c r="P165" i="4"/>
  <c r="L167" i="4" l="1"/>
  <c r="P166" i="4"/>
  <c r="P167" i="4" l="1"/>
  <c r="L168" i="4"/>
  <c r="L169" i="4" l="1"/>
  <c r="P168" i="4"/>
  <c r="L170" i="4" l="1"/>
  <c r="P169" i="4"/>
  <c r="L171" i="4" l="1"/>
  <c r="P170" i="4"/>
  <c r="P171" i="4" l="1"/>
  <c r="L172" i="4"/>
  <c r="L173" i="4" l="1"/>
  <c r="P172" i="4"/>
  <c r="L174" i="4" l="1"/>
  <c r="P173" i="4"/>
  <c r="P174" i="4" l="1"/>
</calcChain>
</file>

<file path=xl/sharedStrings.xml><?xml version="1.0" encoding="utf-8"?>
<sst xmlns="http://schemas.openxmlformats.org/spreadsheetml/2006/main" count="424" uniqueCount="405">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</sst>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データ!$P$2:$P$173</c:f>
              <c:strCache>
                <c:ptCount val="172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  <c:pt idx="165">
                  <c:v>前倒し（1）</c:v>
                </c:pt>
                <c:pt idx="166">
                  <c:v>未達成（2）</c:v>
                </c:pt>
                <c:pt idx="167">
                  <c:v>達成</c:v>
                </c:pt>
                <c:pt idx="168">
                  <c:v>未達成（2）</c:v>
                </c:pt>
                <c:pt idx="169">
                  <c:v>達成</c:v>
                </c:pt>
                <c:pt idx="170">
                  <c:v>未達成（3）</c:v>
                </c:pt>
                <c:pt idx="171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データ!$A$3:$A$174</c:f>
              <c:numCache>
                <c:formatCode>m/d/yyyy\ h:mm</c:formatCode>
                <c:ptCount val="17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</c:numCache>
            </c:numRef>
          </c:xVal>
          <c:yVal>
            <c:numRef>
              <c:f>データ!$B$3:$B$174</c:f>
              <c:numCache>
                <c:formatCode>General</c:formatCode>
                <c:ptCount val="17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9-46A1-A7A5-CECE600D6A7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A89-46A1-A7A5-CECE600D6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636880"/>
        <c:axId val="147564456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データ!$A$3:$A$174</c:f>
              <c:numCache>
                <c:formatCode>m/d/yyyy\ h:mm</c:formatCode>
                <c:ptCount val="17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</c:numCache>
            </c:numRef>
          </c:xVal>
          <c:yVal>
            <c:numRef>
              <c:f>データ!$G$3:$G$174</c:f>
              <c:numCache>
                <c:formatCode>[h]:mm</c:formatCode>
                <c:ptCount val="17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89-46A1-A7A5-CECE600D6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632080"/>
        <c:axId val="1475636881"/>
      </c:scatterChart>
      <c:valAx>
        <c:axId val="147563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5644560"/>
        <c:crosses val="autoZero"/>
        <c:crossBetween val="midCat"/>
      </c:valAx>
      <c:valAx>
        <c:axId val="147564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5636880"/>
        <c:crosses val="autoZero"/>
        <c:crossBetween val="midCat"/>
      </c:valAx>
      <c:valAx>
        <c:axId val="147563688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5632080"/>
        <c:crosses val="max"/>
        <c:crossBetween val="midCat"/>
      </c:valAx>
      <c:valAx>
        <c:axId val="14756320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563688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3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179" name="Match0">
          <a:extLst>
            <a:ext uri="{FF2B5EF4-FFF2-40B4-BE49-F238E27FC236}">
              <a16:creationId xmlns:a16="http://schemas.microsoft.com/office/drawing/2014/main" id="{C0E497C8-440C-18C8-5094-C1D29C6EBA2A}"/>
            </a:ext>
          </a:extLst>
        </xdr:cNvPr>
        <xdr:cNvCxnSpPr/>
      </xdr:nvCxnSpPr>
      <xdr:spPr>
        <a:xfrm>
          <a:off x="211931" y="125015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180" name="Match1">
          <a:extLst>
            <a:ext uri="{FF2B5EF4-FFF2-40B4-BE49-F238E27FC236}">
              <a16:creationId xmlns:a16="http://schemas.microsoft.com/office/drawing/2014/main" id="{3B026726-BD39-82B4-19EE-0972B6CF574B}"/>
            </a:ext>
          </a:extLst>
        </xdr:cNvPr>
        <xdr:cNvCxnSpPr/>
      </xdr:nvCxnSpPr>
      <xdr:spPr>
        <a:xfrm>
          <a:off x="211931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181" name="Match2">
          <a:extLst>
            <a:ext uri="{FF2B5EF4-FFF2-40B4-BE49-F238E27FC236}">
              <a16:creationId xmlns:a16="http://schemas.microsoft.com/office/drawing/2014/main" id="{6C3D3710-817C-9922-4160-46118A52D9EA}"/>
            </a:ext>
          </a:extLst>
        </xdr:cNvPr>
        <xdr:cNvCxnSpPr/>
      </xdr:nvCxnSpPr>
      <xdr:spPr>
        <a:xfrm>
          <a:off x="3178969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182" name="Match3">
          <a:extLst>
            <a:ext uri="{FF2B5EF4-FFF2-40B4-BE49-F238E27FC236}">
              <a16:creationId xmlns:a16="http://schemas.microsoft.com/office/drawing/2014/main" id="{59EA2639-9208-1F17-EEEB-93AB06BD0877}"/>
            </a:ext>
          </a:extLst>
        </xdr:cNvPr>
        <xdr:cNvCxnSpPr/>
      </xdr:nvCxnSpPr>
      <xdr:spPr>
        <a:xfrm flipH="1">
          <a:off x="1059656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6</xdr:row>
      <xdr:rowOff>178594</xdr:rowOff>
    </xdr:to>
    <xdr:cxnSp macro="">
      <xdr:nvCxnSpPr>
        <xdr:cNvPr id="1183" name="Match4">
          <a:extLst>
            <a:ext uri="{FF2B5EF4-FFF2-40B4-BE49-F238E27FC236}">
              <a16:creationId xmlns:a16="http://schemas.microsoft.com/office/drawing/2014/main" id="{DCDC5A50-7C6B-C71D-0979-54C34B1D4A05}"/>
            </a:ext>
          </a:extLst>
        </xdr:cNvPr>
        <xdr:cNvCxnSpPr/>
      </xdr:nvCxnSpPr>
      <xdr:spPr>
        <a:xfrm flipV="1">
          <a:off x="211931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184" name="Match5">
          <a:extLst>
            <a:ext uri="{FF2B5EF4-FFF2-40B4-BE49-F238E27FC236}">
              <a16:creationId xmlns:a16="http://schemas.microsoft.com/office/drawing/2014/main" id="{B024219B-37E9-CE14-569F-FA63A30D3FA8}"/>
            </a:ext>
          </a:extLst>
        </xdr:cNvPr>
        <xdr:cNvCxnSpPr/>
      </xdr:nvCxnSpPr>
      <xdr:spPr>
        <a:xfrm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185" name="Match6">
          <a:extLst>
            <a:ext uri="{FF2B5EF4-FFF2-40B4-BE49-F238E27FC236}">
              <a16:creationId xmlns:a16="http://schemas.microsoft.com/office/drawing/2014/main" id="{3EE881BD-710A-EBCC-5825-53FA39F2CC8D}"/>
            </a:ext>
          </a:extLst>
        </xdr:cNvPr>
        <xdr:cNvCxnSpPr/>
      </xdr:nvCxnSpPr>
      <xdr:spPr>
        <a:xfrm flipH="1"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186" name="Match7">
          <a:extLst>
            <a:ext uri="{FF2B5EF4-FFF2-40B4-BE49-F238E27FC236}">
              <a16:creationId xmlns:a16="http://schemas.microsoft.com/office/drawing/2014/main" id="{20D555A7-8C95-C42D-CDE0-D787EF4AE1E3}"/>
            </a:ext>
          </a:extLst>
        </xdr:cNvPr>
        <xdr:cNvCxnSpPr/>
      </xdr:nvCxnSpPr>
      <xdr:spPr>
        <a:xfrm flipH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187" name="Match8">
          <a:extLst>
            <a:ext uri="{FF2B5EF4-FFF2-40B4-BE49-F238E27FC236}">
              <a16:creationId xmlns:a16="http://schemas.microsoft.com/office/drawing/2014/main" id="{E84288BC-8659-E79B-7532-CE094B36DA83}"/>
            </a:ext>
          </a:extLst>
        </xdr:cNvPr>
        <xdr:cNvCxnSpPr/>
      </xdr:nvCxnSpPr>
      <xdr:spPr>
        <a:xfrm flipV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188" name="Match9">
          <a:extLst>
            <a:ext uri="{FF2B5EF4-FFF2-40B4-BE49-F238E27FC236}">
              <a16:creationId xmlns:a16="http://schemas.microsoft.com/office/drawing/2014/main" id="{EE2B1531-31A3-0804-86A7-A9CEE37792BD}"/>
            </a:ext>
          </a:extLst>
        </xdr:cNvPr>
        <xdr:cNvCxnSpPr/>
      </xdr:nvCxnSpPr>
      <xdr:spPr>
        <a:xfrm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189" name="Match10">
          <a:extLst>
            <a:ext uri="{FF2B5EF4-FFF2-40B4-BE49-F238E27FC236}">
              <a16:creationId xmlns:a16="http://schemas.microsoft.com/office/drawing/2014/main" id="{BD42188F-A581-E69F-6BB7-5A4CB5340E1E}"/>
            </a:ext>
          </a:extLst>
        </xdr:cNvPr>
        <xdr:cNvCxnSpPr/>
      </xdr:nvCxnSpPr>
      <xdr:spPr>
        <a:xfrm flipH="1"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190" name="Match11">
          <a:extLst>
            <a:ext uri="{FF2B5EF4-FFF2-40B4-BE49-F238E27FC236}">
              <a16:creationId xmlns:a16="http://schemas.microsoft.com/office/drawing/2014/main" id="{9FDD7BAB-50BE-E189-870F-53CE9E1DC8EB}"/>
            </a:ext>
          </a:extLst>
        </xdr:cNvPr>
        <xdr:cNvCxnSpPr/>
      </xdr:nvCxnSpPr>
      <xdr:spPr>
        <a:xfrm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191" name="Match12">
          <a:extLst>
            <a:ext uri="{FF2B5EF4-FFF2-40B4-BE49-F238E27FC236}">
              <a16:creationId xmlns:a16="http://schemas.microsoft.com/office/drawing/2014/main" id="{493ACB40-BDF4-5481-4D46-7C429DA287E7}"/>
            </a:ext>
          </a:extLst>
        </xdr:cNvPr>
        <xdr:cNvCxnSpPr/>
      </xdr:nvCxnSpPr>
      <xdr:spPr>
        <a:xfrm flipH="1"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192" name="Match13">
          <a:extLst>
            <a:ext uri="{FF2B5EF4-FFF2-40B4-BE49-F238E27FC236}">
              <a16:creationId xmlns:a16="http://schemas.microsoft.com/office/drawing/2014/main" id="{2D0B2D0D-1069-FB21-5ECA-0B671366C326}"/>
            </a:ext>
          </a:extLst>
        </xdr:cNvPr>
        <xdr:cNvCxnSpPr/>
      </xdr:nvCxnSpPr>
      <xdr:spPr>
        <a:xfrm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1193" name="Match14">
          <a:extLst>
            <a:ext uri="{FF2B5EF4-FFF2-40B4-BE49-F238E27FC236}">
              <a16:creationId xmlns:a16="http://schemas.microsoft.com/office/drawing/2014/main" id="{705F6456-04E2-5530-9165-BFA9B2D6E1E8}"/>
            </a:ext>
          </a:extLst>
        </xdr:cNvPr>
        <xdr:cNvCxnSpPr/>
      </xdr:nvCxnSpPr>
      <xdr:spPr>
        <a:xfrm>
          <a:off x="278050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194" name="Match15">
          <a:extLst>
            <a:ext uri="{FF2B5EF4-FFF2-40B4-BE49-F238E27FC236}">
              <a16:creationId xmlns:a16="http://schemas.microsoft.com/office/drawing/2014/main" id="{215CBAAC-D159-B689-2CDC-DE36D43CAE86}"/>
            </a:ext>
          </a:extLst>
        </xdr:cNvPr>
        <xdr:cNvCxnSpPr/>
      </xdr:nvCxnSpPr>
      <xdr:spPr>
        <a:xfrm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195" name="Match16">
          <a:extLst>
            <a:ext uri="{FF2B5EF4-FFF2-40B4-BE49-F238E27FC236}">
              <a16:creationId xmlns:a16="http://schemas.microsoft.com/office/drawing/2014/main" id="{82A8EBEC-1C7D-5B91-60E0-6E44C3019608}"/>
            </a:ext>
          </a:extLst>
        </xdr:cNvPr>
        <xdr:cNvCxnSpPr/>
      </xdr:nvCxnSpPr>
      <xdr:spPr>
        <a:xfrm>
          <a:off x="275510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1196" name="Match17">
          <a:extLst>
            <a:ext uri="{FF2B5EF4-FFF2-40B4-BE49-F238E27FC236}">
              <a16:creationId xmlns:a16="http://schemas.microsoft.com/office/drawing/2014/main" id="{F6B384DA-5BAF-C329-B1DF-A9E293CE4222}"/>
            </a:ext>
          </a:extLst>
        </xdr:cNvPr>
        <xdr:cNvCxnSpPr/>
      </xdr:nvCxnSpPr>
      <xdr:spPr>
        <a:xfrm flipV="1">
          <a:off x="278050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197" name="Match18">
          <a:extLst>
            <a:ext uri="{FF2B5EF4-FFF2-40B4-BE49-F238E27FC236}">
              <a16:creationId xmlns:a16="http://schemas.microsoft.com/office/drawing/2014/main" id="{DBEC79CC-FA1D-18CB-6003-C9D1649409F6}"/>
            </a:ext>
          </a:extLst>
        </xdr:cNvPr>
        <xdr:cNvCxnSpPr/>
      </xdr:nvCxnSpPr>
      <xdr:spPr>
        <a:xfrm flipH="1">
          <a:off x="275510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7</xdr:col>
      <xdr:colOff>237331</xdr:colOff>
      <xdr:row>11</xdr:row>
      <xdr:rowOff>203993</xdr:rowOff>
    </xdr:to>
    <xdr:cxnSp macro="">
      <xdr:nvCxnSpPr>
        <xdr:cNvPr id="1198" name="Match19">
          <a:extLst>
            <a:ext uri="{FF2B5EF4-FFF2-40B4-BE49-F238E27FC236}">
              <a16:creationId xmlns:a16="http://schemas.microsoft.com/office/drawing/2014/main" id="{30DE64EF-D931-7AE0-3469-2BF500729209}"/>
            </a:ext>
          </a:extLst>
        </xdr:cNvPr>
        <xdr:cNvCxnSpPr/>
      </xdr:nvCxnSpPr>
      <xdr:spPr>
        <a:xfrm flipH="1" flipV="1">
          <a:off x="278050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199" name="Match20">
          <a:extLst>
            <a:ext uri="{FF2B5EF4-FFF2-40B4-BE49-F238E27FC236}">
              <a16:creationId xmlns:a16="http://schemas.microsoft.com/office/drawing/2014/main" id="{902D3CCC-7CD0-D3F5-902D-3EC148F7D3F0}"/>
            </a:ext>
          </a:extLst>
        </xdr:cNvPr>
        <xdr:cNvCxnSpPr/>
      </xdr:nvCxnSpPr>
      <xdr:spPr>
        <a:xfrm flipV="1"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200" name="Match21">
          <a:extLst>
            <a:ext uri="{FF2B5EF4-FFF2-40B4-BE49-F238E27FC236}">
              <a16:creationId xmlns:a16="http://schemas.microsoft.com/office/drawing/2014/main" id="{66BD52DF-F11F-3C7E-C1DD-D3BD1348FEA3}"/>
            </a:ext>
          </a:extLst>
        </xdr:cNvPr>
        <xdr:cNvCxnSpPr/>
      </xdr:nvCxnSpPr>
      <xdr:spPr>
        <a:xfrm flipH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11</xdr:col>
      <xdr:colOff>237331</xdr:colOff>
      <xdr:row>3</xdr:row>
      <xdr:rowOff>203993</xdr:rowOff>
    </xdr:to>
    <xdr:cxnSp macro="">
      <xdr:nvCxnSpPr>
        <xdr:cNvPr id="1201" name="Match22">
          <a:extLst>
            <a:ext uri="{FF2B5EF4-FFF2-40B4-BE49-F238E27FC236}">
              <a16:creationId xmlns:a16="http://schemas.microsoft.com/office/drawing/2014/main" id="{90CBF32A-E078-EA83-EEA2-154CC0D80F6C}"/>
            </a:ext>
          </a:extLst>
        </xdr:cNvPr>
        <xdr:cNvCxnSpPr/>
      </xdr:nvCxnSpPr>
      <xdr:spPr>
        <a:xfrm>
          <a:off x="44759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202" name="Match23">
          <a:extLst>
            <a:ext uri="{FF2B5EF4-FFF2-40B4-BE49-F238E27FC236}">
              <a16:creationId xmlns:a16="http://schemas.microsoft.com/office/drawing/2014/main" id="{76D49A37-08C5-2CA4-6583-08C04A125E2C}"/>
            </a:ext>
          </a:extLst>
        </xdr:cNvPr>
        <xdr:cNvCxnSpPr/>
      </xdr:nvCxnSpPr>
      <xdr:spPr>
        <a:xfrm flipV="1">
          <a:off x="66119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203" name="Match24">
          <a:extLst>
            <a:ext uri="{FF2B5EF4-FFF2-40B4-BE49-F238E27FC236}">
              <a16:creationId xmlns:a16="http://schemas.microsoft.com/office/drawing/2014/main" id="{F32AB61B-771B-D857-4F66-E9A6520FB450}"/>
            </a:ext>
          </a:extLst>
        </xdr:cNvPr>
        <xdr:cNvCxnSpPr/>
      </xdr:nvCxnSpPr>
      <xdr:spPr>
        <a:xfrm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204" name="Match25">
          <a:extLst>
            <a:ext uri="{FF2B5EF4-FFF2-40B4-BE49-F238E27FC236}">
              <a16:creationId xmlns:a16="http://schemas.microsoft.com/office/drawing/2014/main" id="{6DF12F74-02E1-3393-AC86-F220EAF49693}"/>
            </a:ext>
          </a:extLst>
        </xdr:cNvPr>
        <xdr:cNvCxnSpPr/>
      </xdr:nvCxnSpPr>
      <xdr:spPr>
        <a:xfrm flipH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1205" name="Match26">
          <a:extLst>
            <a:ext uri="{FF2B5EF4-FFF2-40B4-BE49-F238E27FC236}">
              <a16:creationId xmlns:a16="http://schemas.microsoft.com/office/drawing/2014/main" id="{59E6EDDC-D3EE-F39B-D0FB-3867303BDA1F}"/>
            </a:ext>
          </a:extLst>
        </xdr:cNvPr>
        <xdr:cNvCxnSpPr/>
      </xdr:nvCxnSpPr>
      <xdr:spPr>
        <a:xfrm flipH="1">
          <a:off x="6611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206" name="Match27">
          <a:extLst>
            <a:ext uri="{FF2B5EF4-FFF2-40B4-BE49-F238E27FC236}">
              <a16:creationId xmlns:a16="http://schemas.microsoft.com/office/drawing/2014/main" id="{761921CD-38EE-4D4C-1275-649AA8EEBD16}"/>
            </a:ext>
          </a:extLst>
        </xdr:cNvPr>
        <xdr:cNvCxnSpPr/>
      </xdr:nvCxnSpPr>
      <xdr:spPr>
        <a:xfrm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5</xdr:row>
      <xdr:rowOff>229393</xdr:rowOff>
    </xdr:from>
    <xdr:to>
      <xdr:col>5</xdr:col>
      <xdr:colOff>262731</xdr:colOff>
      <xdr:row>6</xdr:row>
      <xdr:rowOff>229394</xdr:rowOff>
    </xdr:to>
    <xdr:cxnSp macro="">
      <xdr:nvCxnSpPr>
        <xdr:cNvPr id="1207" name="Match28">
          <a:extLst>
            <a:ext uri="{FF2B5EF4-FFF2-40B4-BE49-F238E27FC236}">
              <a16:creationId xmlns:a16="http://schemas.microsoft.com/office/drawing/2014/main" id="{B19237C4-58A3-886D-C9A1-1A2AF853665E}"/>
            </a:ext>
          </a:extLst>
        </xdr:cNvPr>
        <xdr:cNvCxnSpPr/>
      </xdr:nvCxnSpPr>
      <xdr:spPr>
        <a:xfrm flipV="1">
          <a:off x="1958181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208" name="Match29">
          <a:extLst>
            <a:ext uri="{FF2B5EF4-FFF2-40B4-BE49-F238E27FC236}">
              <a16:creationId xmlns:a16="http://schemas.microsoft.com/office/drawing/2014/main" id="{712A0D0A-CE55-F823-7D17-955FF4C72CA3}"/>
            </a:ext>
          </a:extLst>
        </xdr:cNvPr>
        <xdr:cNvCxnSpPr/>
      </xdr:nvCxnSpPr>
      <xdr:spPr>
        <a:xfrm>
          <a:off x="235664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5</xdr:row>
      <xdr:rowOff>229393</xdr:rowOff>
    </xdr:from>
    <xdr:to>
      <xdr:col>5</xdr:col>
      <xdr:colOff>262731</xdr:colOff>
      <xdr:row>6</xdr:row>
      <xdr:rowOff>229394</xdr:rowOff>
    </xdr:to>
    <xdr:cxnSp macro="">
      <xdr:nvCxnSpPr>
        <xdr:cNvPr id="1209" name="Match30">
          <a:extLst>
            <a:ext uri="{FF2B5EF4-FFF2-40B4-BE49-F238E27FC236}">
              <a16:creationId xmlns:a16="http://schemas.microsoft.com/office/drawing/2014/main" id="{23E217DA-E6C8-2ED2-3BBD-E5C61F14ED71}"/>
            </a:ext>
          </a:extLst>
        </xdr:cNvPr>
        <xdr:cNvCxnSpPr/>
      </xdr:nvCxnSpPr>
      <xdr:spPr>
        <a:xfrm flipV="1">
          <a:off x="2382044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210" name="Match31">
          <a:extLst>
            <a:ext uri="{FF2B5EF4-FFF2-40B4-BE49-F238E27FC236}">
              <a16:creationId xmlns:a16="http://schemas.microsoft.com/office/drawing/2014/main" id="{ADA484CC-134F-336B-4CCA-9FEC0252971D}"/>
            </a:ext>
          </a:extLst>
        </xdr:cNvPr>
        <xdr:cNvCxnSpPr/>
      </xdr:nvCxnSpPr>
      <xdr:spPr>
        <a:xfrm flipH="1" flipV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10</xdr:row>
      <xdr:rowOff>229394</xdr:rowOff>
    </xdr:from>
    <xdr:to>
      <xdr:col>6</xdr:col>
      <xdr:colOff>262731</xdr:colOff>
      <xdr:row>10</xdr:row>
      <xdr:rowOff>229394</xdr:rowOff>
    </xdr:to>
    <xdr:cxnSp macro="">
      <xdr:nvCxnSpPr>
        <xdr:cNvPr id="1211" name="Match32">
          <a:extLst>
            <a:ext uri="{FF2B5EF4-FFF2-40B4-BE49-F238E27FC236}">
              <a16:creationId xmlns:a16="http://schemas.microsoft.com/office/drawing/2014/main" id="{25112A92-C494-378E-8719-E15A43B10B88}"/>
            </a:ext>
          </a:extLst>
        </xdr:cNvPr>
        <xdr:cNvCxnSpPr/>
      </xdr:nvCxnSpPr>
      <xdr:spPr>
        <a:xfrm flipH="1">
          <a:off x="2382044" y="3801269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10</xdr:row>
      <xdr:rowOff>229394</xdr:rowOff>
    </xdr:from>
    <xdr:to>
      <xdr:col>6</xdr:col>
      <xdr:colOff>262731</xdr:colOff>
      <xdr:row>11</xdr:row>
      <xdr:rowOff>229393</xdr:rowOff>
    </xdr:to>
    <xdr:cxnSp macro="">
      <xdr:nvCxnSpPr>
        <xdr:cNvPr id="1212" name="Match33">
          <a:extLst>
            <a:ext uri="{FF2B5EF4-FFF2-40B4-BE49-F238E27FC236}">
              <a16:creationId xmlns:a16="http://schemas.microsoft.com/office/drawing/2014/main" id="{BC32F983-5F58-C4C4-516B-AF7C44222F99}"/>
            </a:ext>
          </a:extLst>
        </xdr:cNvPr>
        <xdr:cNvCxnSpPr/>
      </xdr:nvCxnSpPr>
      <xdr:spPr>
        <a:xfrm flipH="1" flipV="1">
          <a:off x="2382044" y="38012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213" name="Match34">
          <a:extLst>
            <a:ext uri="{FF2B5EF4-FFF2-40B4-BE49-F238E27FC236}">
              <a16:creationId xmlns:a16="http://schemas.microsoft.com/office/drawing/2014/main" id="{40C80940-EDDC-9BC2-7288-A8D75B7AFE76}"/>
            </a:ext>
          </a:extLst>
        </xdr:cNvPr>
        <xdr:cNvCxnSpPr/>
      </xdr:nvCxnSpPr>
      <xdr:spPr>
        <a:xfrm flipH="1">
          <a:off x="3178969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214" name="Match35">
          <a:extLst>
            <a:ext uri="{FF2B5EF4-FFF2-40B4-BE49-F238E27FC236}">
              <a16:creationId xmlns:a16="http://schemas.microsoft.com/office/drawing/2014/main" id="{73FE1840-3328-80D5-7279-A808422BFDDF}"/>
            </a:ext>
          </a:extLst>
        </xdr:cNvPr>
        <xdr:cNvCxnSpPr/>
      </xdr:nvCxnSpPr>
      <xdr:spPr>
        <a:xfrm flipH="1" flipV="1">
          <a:off x="2755106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215" name="Match36">
          <a:extLst>
            <a:ext uri="{FF2B5EF4-FFF2-40B4-BE49-F238E27FC236}">
              <a16:creationId xmlns:a16="http://schemas.microsoft.com/office/drawing/2014/main" id="{C9F35AB7-7067-4941-9C87-54D1BB4135EE}"/>
            </a:ext>
          </a:extLst>
        </xdr:cNvPr>
        <xdr:cNvCxnSpPr/>
      </xdr:nvCxnSpPr>
      <xdr:spPr>
        <a:xfrm flipH="1">
          <a:off x="3602831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216" name="Match37">
          <a:extLst>
            <a:ext uri="{FF2B5EF4-FFF2-40B4-BE49-F238E27FC236}">
              <a16:creationId xmlns:a16="http://schemas.microsoft.com/office/drawing/2014/main" id="{E332D72C-CC67-9AC2-15FF-64BCDC207335}"/>
            </a:ext>
          </a:extLst>
        </xdr:cNvPr>
        <xdr:cNvCxnSpPr/>
      </xdr:nvCxnSpPr>
      <xdr:spPr>
        <a:xfrm>
          <a:off x="1932781" y="1989931"/>
          <a:ext cx="1271588" cy="1071563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217" name="Match38">
          <a:extLst>
            <a:ext uri="{FF2B5EF4-FFF2-40B4-BE49-F238E27FC236}">
              <a16:creationId xmlns:a16="http://schemas.microsoft.com/office/drawing/2014/main" id="{085C895E-B22F-D153-28C8-E8C30A2DA4BB}"/>
            </a:ext>
          </a:extLst>
        </xdr:cNvPr>
        <xdr:cNvCxnSpPr/>
      </xdr:nvCxnSpPr>
      <xdr:spPr>
        <a:xfrm flipH="1">
          <a:off x="3178969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218" name="Match39">
          <a:extLst>
            <a:ext uri="{FF2B5EF4-FFF2-40B4-BE49-F238E27FC236}">
              <a16:creationId xmlns:a16="http://schemas.microsoft.com/office/drawing/2014/main" id="{9B531A9F-A1A9-6D5A-1AAE-78BC65D983C0}"/>
            </a:ext>
          </a:extLst>
        </xdr:cNvPr>
        <xdr:cNvCxnSpPr/>
      </xdr:nvCxnSpPr>
      <xdr:spPr>
        <a:xfrm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219" name="Match40">
          <a:extLst>
            <a:ext uri="{FF2B5EF4-FFF2-40B4-BE49-F238E27FC236}">
              <a16:creationId xmlns:a16="http://schemas.microsoft.com/office/drawing/2014/main" id="{C31628B7-392D-D61D-8908-CD878096205A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220" name="Match41">
          <a:extLst>
            <a:ext uri="{FF2B5EF4-FFF2-40B4-BE49-F238E27FC236}">
              <a16:creationId xmlns:a16="http://schemas.microsoft.com/office/drawing/2014/main" id="{F6EDA4BB-FBD2-4266-6064-205B4F28990A}"/>
            </a:ext>
          </a:extLst>
        </xdr:cNvPr>
        <xdr:cNvCxnSpPr/>
      </xdr:nvCxnSpPr>
      <xdr:spPr>
        <a:xfrm flipH="1" flipV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221" name="Match42">
          <a:extLst>
            <a:ext uri="{FF2B5EF4-FFF2-40B4-BE49-F238E27FC236}">
              <a16:creationId xmlns:a16="http://schemas.microsoft.com/office/drawing/2014/main" id="{598A68D7-B4CC-D9DF-1B23-4FADBF5BDFED}"/>
            </a:ext>
          </a:extLst>
        </xdr:cNvPr>
        <xdr:cNvCxnSpPr/>
      </xdr:nvCxnSpPr>
      <xdr:spPr>
        <a:xfrm flipV="1"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222" name="Match43">
          <a:extLst>
            <a:ext uri="{FF2B5EF4-FFF2-40B4-BE49-F238E27FC236}">
              <a16:creationId xmlns:a16="http://schemas.microsoft.com/office/drawing/2014/main" id="{B7916A6B-A514-2828-E67F-DD1B1F956F57}"/>
            </a:ext>
          </a:extLst>
        </xdr:cNvPr>
        <xdr:cNvCxnSpPr/>
      </xdr:nvCxnSpPr>
      <xdr:spPr>
        <a:xfrm flipH="1"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223" name="Match44">
          <a:extLst>
            <a:ext uri="{FF2B5EF4-FFF2-40B4-BE49-F238E27FC236}">
              <a16:creationId xmlns:a16="http://schemas.microsoft.com/office/drawing/2014/main" id="{C11AC53D-E613-8E06-7388-ADE092859F3A}"/>
            </a:ext>
          </a:extLst>
        </xdr:cNvPr>
        <xdr:cNvCxnSpPr/>
      </xdr:nvCxnSpPr>
      <xdr:spPr>
        <a:xfrm flipV="1"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224" name="Match45">
          <a:extLst>
            <a:ext uri="{FF2B5EF4-FFF2-40B4-BE49-F238E27FC236}">
              <a16:creationId xmlns:a16="http://schemas.microsoft.com/office/drawing/2014/main" id="{F4AE8511-3641-8064-1F7E-45A2A39BC9E7}"/>
            </a:ext>
          </a:extLst>
        </xdr:cNvPr>
        <xdr:cNvCxnSpPr/>
      </xdr:nvCxnSpPr>
      <xdr:spPr>
        <a:xfrm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225" name="Match46">
          <a:extLst>
            <a:ext uri="{FF2B5EF4-FFF2-40B4-BE49-F238E27FC236}">
              <a16:creationId xmlns:a16="http://schemas.microsoft.com/office/drawing/2014/main" id="{96124ABE-5DE4-8901-03FF-9448F03F55E6}"/>
            </a:ext>
          </a:extLst>
        </xdr:cNvPr>
        <xdr:cNvCxnSpPr/>
      </xdr:nvCxnSpPr>
      <xdr:spPr>
        <a:xfrm flipH="1"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226" name="Match47">
          <a:extLst>
            <a:ext uri="{FF2B5EF4-FFF2-40B4-BE49-F238E27FC236}">
              <a16:creationId xmlns:a16="http://schemas.microsoft.com/office/drawing/2014/main" id="{AC0C7137-5742-E00E-9C91-B49974A42F91}"/>
            </a:ext>
          </a:extLst>
        </xdr:cNvPr>
        <xdr:cNvCxnSpPr/>
      </xdr:nvCxnSpPr>
      <xdr:spPr>
        <a:xfrm flipV="1">
          <a:off x="402669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227" name="Match48">
          <a:extLst>
            <a:ext uri="{FF2B5EF4-FFF2-40B4-BE49-F238E27FC236}">
              <a16:creationId xmlns:a16="http://schemas.microsoft.com/office/drawing/2014/main" id="{53DD1380-CFE6-DA68-5DE9-F5C197603444}"/>
            </a:ext>
          </a:extLst>
        </xdr:cNvPr>
        <xdr:cNvCxnSpPr/>
      </xdr:nvCxnSpPr>
      <xdr:spPr>
        <a:xfrm flipV="1">
          <a:off x="4874419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228" name="Match49">
          <a:extLst>
            <a:ext uri="{FF2B5EF4-FFF2-40B4-BE49-F238E27FC236}">
              <a16:creationId xmlns:a16="http://schemas.microsoft.com/office/drawing/2014/main" id="{E88176BB-806D-5E86-0A5F-7BB353FF68DD}"/>
            </a:ext>
          </a:extLst>
        </xdr:cNvPr>
        <xdr:cNvCxnSpPr/>
      </xdr:nvCxnSpPr>
      <xdr:spPr>
        <a:xfrm flipH="1">
          <a:off x="635794" y="232171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2</xdr:row>
      <xdr:rowOff>229394</xdr:rowOff>
    </xdr:from>
    <xdr:to>
      <xdr:col>10</xdr:col>
      <xdr:colOff>262731</xdr:colOff>
      <xdr:row>7</xdr:row>
      <xdr:rowOff>229393</xdr:rowOff>
    </xdr:to>
    <xdr:cxnSp macro="">
      <xdr:nvCxnSpPr>
        <xdr:cNvPr id="1229" name="Match50">
          <a:extLst>
            <a:ext uri="{FF2B5EF4-FFF2-40B4-BE49-F238E27FC236}">
              <a16:creationId xmlns:a16="http://schemas.microsoft.com/office/drawing/2014/main" id="{6C2BF272-3363-89AF-EC36-4E347CA2C8DD}"/>
            </a:ext>
          </a:extLst>
        </xdr:cNvPr>
        <xdr:cNvCxnSpPr/>
      </xdr:nvCxnSpPr>
      <xdr:spPr>
        <a:xfrm>
          <a:off x="4501356" y="943769"/>
          <a:ext cx="0" cy="178593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230" name="Match51">
          <a:extLst>
            <a:ext uri="{FF2B5EF4-FFF2-40B4-BE49-F238E27FC236}">
              <a16:creationId xmlns:a16="http://schemas.microsoft.com/office/drawing/2014/main" id="{E37F8636-6C7D-FE1B-8313-78845480F085}"/>
            </a:ext>
          </a:extLst>
        </xdr:cNvPr>
        <xdr:cNvCxnSpPr/>
      </xdr:nvCxnSpPr>
      <xdr:spPr>
        <a:xfrm flipH="1">
          <a:off x="1483519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231" name="Match52">
          <a:extLst>
            <a:ext uri="{FF2B5EF4-FFF2-40B4-BE49-F238E27FC236}">
              <a16:creationId xmlns:a16="http://schemas.microsoft.com/office/drawing/2014/main" id="{B71C613E-3C3B-C1E3-2590-274DFB94561A}"/>
            </a:ext>
          </a:extLst>
        </xdr:cNvPr>
        <xdr:cNvCxnSpPr/>
      </xdr:nvCxnSpPr>
      <xdr:spPr>
        <a:xfrm>
          <a:off x="211931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232" name="Match53">
          <a:extLst>
            <a:ext uri="{FF2B5EF4-FFF2-40B4-BE49-F238E27FC236}">
              <a16:creationId xmlns:a16="http://schemas.microsoft.com/office/drawing/2014/main" id="{2D1C1D6F-ECE3-A027-E370-3C876CDB435D}"/>
            </a:ext>
          </a:extLst>
        </xdr:cNvPr>
        <xdr:cNvCxnSpPr/>
      </xdr:nvCxnSpPr>
      <xdr:spPr>
        <a:xfrm flipH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233" name="Match54">
          <a:extLst>
            <a:ext uri="{FF2B5EF4-FFF2-40B4-BE49-F238E27FC236}">
              <a16:creationId xmlns:a16="http://schemas.microsoft.com/office/drawing/2014/main" id="{29BDEE8F-92C5-4D6A-A6A4-41E820DDAAEA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5</xdr:row>
      <xdr:rowOff>203993</xdr:rowOff>
    </xdr:to>
    <xdr:cxnSp macro="">
      <xdr:nvCxnSpPr>
        <xdr:cNvPr id="1234" name="Match55">
          <a:extLst>
            <a:ext uri="{FF2B5EF4-FFF2-40B4-BE49-F238E27FC236}">
              <a16:creationId xmlns:a16="http://schemas.microsoft.com/office/drawing/2014/main" id="{65506B59-28DC-61CC-D161-DC7EBBE20944}"/>
            </a:ext>
          </a:extLst>
        </xdr:cNvPr>
        <xdr:cNvCxnSpPr/>
      </xdr:nvCxnSpPr>
      <xdr:spPr>
        <a:xfrm flipH="1">
          <a:off x="1932781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235" name="Match56">
          <a:extLst>
            <a:ext uri="{FF2B5EF4-FFF2-40B4-BE49-F238E27FC236}">
              <a16:creationId xmlns:a16="http://schemas.microsoft.com/office/drawing/2014/main" id="{3ECED40A-38BB-1231-F6D3-DE850362747A}"/>
            </a:ext>
          </a:extLst>
        </xdr:cNvPr>
        <xdr:cNvCxnSpPr/>
      </xdr:nvCxnSpPr>
      <xdr:spPr>
        <a:xfrm flipH="1" flipV="1">
          <a:off x="195818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236" name="Match57">
          <a:extLst>
            <a:ext uri="{FF2B5EF4-FFF2-40B4-BE49-F238E27FC236}">
              <a16:creationId xmlns:a16="http://schemas.microsoft.com/office/drawing/2014/main" id="{EBA75D4E-608B-1712-1813-C787CBDE43F9}"/>
            </a:ext>
          </a:extLst>
        </xdr:cNvPr>
        <xdr:cNvCxnSpPr/>
      </xdr:nvCxnSpPr>
      <xdr:spPr>
        <a:xfrm flipH="1"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237" name="Match58">
          <a:extLst>
            <a:ext uri="{FF2B5EF4-FFF2-40B4-BE49-F238E27FC236}">
              <a16:creationId xmlns:a16="http://schemas.microsoft.com/office/drawing/2014/main" id="{2B25C517-E0AD-676A-7901-E88BE6475E5E}"/>
            </a:ext>
          </a:extLst>
        </xdr:cNvPr>
        <xdr:cNvCxnSpPr/>
      </xdr:nvCxnSpPr>
      <xdr:spPr>
        <a:xfrm flipV="1"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238" name="Match59">
          <a:extLst>
            <a:ext uri="{FF2B5EF4-FFF2-40B4-BE49-F238E27FC236}">
              <a16:creationId xmlns:a16="http://schemas.microsoft.com/office/drawing/2014/main" id="{F5716A38-95AA-B8C5-9979-85377C5D5E24}"/>
            </a:ext>
          </a:extLst>
        </xdr:cNvPr>
        <xdr:cNvCxnSpPr/>
      </xdr:nvCxnSpPr>
      <xdr:spPr>
        <a:xfrm flipH="1" flipV="1"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239" name="Match60">
          <a:extLst>
            <a:ext uri="{FF2B5EF4-FFF2-40B4-BE49-F238E27FC236}">
              <a16:creationId xmlns:a16="http://schemas.microsoft.com/office/drawing/2014/main" id="{4DC7B039-74FD-EFC8-00C5-7E44D7232C33}"/>
            </a:ext>
          </a:extLst>
        </xdr:cNvPr>
        <xdr:cNvCxnSpPr/>
      </xdr:nvCxnSpPr>
      <xdr:spPr>
        <a:xfrm flipV="1"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6</xdr:col>
      <xdr:colOff>237331</xdr:colOff>
      <xdr:row>1</xdr:row>
      <xdr:rowOff>203993</xdr:rowOff>
    </xdr:to>
    <xdr:cxnSp macro="">
      <xdr:nvCxnSpPr>
        <xdr:cNvPr id="1240" name="Match61">
          <a:extLst>
            <a:ext uri="{FF2B5EF4-FFF2-40B4-BE49-F238E27FC236}">
              <a16:creationId xmlns:a16="http://schemas.microsoft.com/office/drawing/2014/main" id="{E405AC0C-8266-A46A-4990-ED5A9D8B9BFB}"/>
            </a:ext>
          </a:extLst>
        </xdr:cNvPr>
        <xdr:cNvCxnSpPr/>
      </xdr:nvCxnSpPr>
      <xdr:spPr>
        <a:xfrm>
          <a:off x="1085056" y="561181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CA65D15D-9A92-0AF8-5798-92456A2F3F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2" sqref="G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5</v>
      </c>
      <c r="B1" s="2">
        <v>8</v>
      </c>
      <c r="C1" s="2">
        <v>1</v>
      </c>
      <c r="D1" s="2">
        <v>5</v>
      </c>
      <c r="E1" s="2">
        <v>6</v>
      </c>
      <c r="F1" s="2">
        <v>2</v>
      </c>
      <c r="G1" s="2">
        <v>1</v>
      </c>
      <c r="H1" s="23">
        <v>1</v>
      </c>
      <c r="I1" s="23">
        <v>5</v>
      </c>
      <c r="J1" s="23">
        <v>9</v>
      </c>
      <c r="K1" s="23">
        <v>8</v>
      </c>
      <c r="L1" s="23">
        <v>1</v>
      </c>
      <c r="N1" s="2">
        <v>8892</v>
      </c>
      <c r="O1" s="1">
        <v>1</v>
      </c>
    </row>
    <row r="2" spans="1:15" s="2" customFormat="1" ht="28.25" customHeight="1">
      <c r="A2" s="2">
        <v>6</v>
      </c>
      <c r="B2" s="22">
        <v>5</v>
      </c>
      <c r="C2" s="23">
        <v>9</v>
      </c>
      <c r="D2" s="23">
        <v>8</v>
      </c>
      <c r="E2" s="23">
        <v>1</v>
      </c>
      <c r="F2" s="23">
        <v>1</v>
      </c>
      <c r="G2" s="23">
        <v>6</v>
      </c>
      <c r="H2" s="22">
        <v>1</v>
      </c>
      <c r="I2" s="22">
        <v>5</v>
      </c>
      <c r="J2" s="22">
        <v>8</v>
      </c>
      <c r="K2" s="2">
        <v>7</v>
      </c>
      <c r="L2" s="2">
        <v>8</v>
      </c>
      <c r="N2" s="2">
        <v>51791</v>
      </c>
      <c r="O2" s="2">
        <v>1</v>
      </c>
    </row>
    <row r="3" spans="1:15" ht="28.25" customHeight="1">
      <c r="A3" s="23">
        <v>2</v>
      </c>
      <c r="B3" s="23">
        <v>4</v>
      </c>
      <c r="C3" s="23">
        <v>8</v>
      </c>
      <c r="D3" s="23">
        <v>3</v>
      </c>
      <c r="E3" s="23">
        <v>2</v>
      </c>
      <c r="F3" s="23">
        <v>6</v>
      </c>
      <c r="G3" s="23">
        <v>2</v>
      </c>
      <c r="H3" s="22">
        <v>7</v>
      </c>
      <c r="I3" s="22">
        <v>1</v>
      </c>
      <c r="J3" s="22">
        <v>9</v>
      </c>
      <c r="K3" s="23">
        <v>9</v>
      </c>
      <c r="L3" s="2">
        <v>6</v>
      </c>
      <c r="N3" s="2">
        <v>719</v>
      </c>
      <c r="O3" s="1">
        <v>3</v>
      </c>
    </row>
    <row r="4" spans="1:15" ht="28.25" customHeight="1">
      <c r="A4" s="23">
        <v>8</v>
      </c>
      <c r="B4" s="22">
        <v>9</v>
      </c>
      <c r="C4" s="2">
        <v>1</v>
      </c>
      <c r="D4" s="23">
        <v>6</v>
      </c>
      <c r="E4" s="23">
        <v>6</v>
      </c>
      <c r="F4" s="23">
        <v>3</v>
      </c>
      <c r="G4" s="23">
        <v>6</v>
      </c>
      <c r="H4" s="23">
        <v>9</v>
      </c>
      <c r="I4" s="23">
        <v>6</v>
      </c>
      <c r="J4" s="23">
        <v>8</v>
      </c>
      <c r="K4" s="23">
        <v>5</v>
      </c>
      <c r="L4" s="23">
        <v>4</v>
      </c>
      <c r="N4" s="2">
        <v>99</v>
      </c>
      <c r="O4" s="1">
        <v>16</v>
      </c>
    </row>
    <row r="5" spans="1:15" ht="28.25" customHeight="1">
      <c r="A5" s="23">
        <v>9</v>
      </c>
      <c r="B5" s="23">
        <v>8</v>
      </c>
      <c r="C5" s="2">
        <v>1</v>
      </c>
      <c r="D5" s="2">
        <v>8</v>
      </c>
      <c r="E5" s="22">
        <v>7</v>
      </c>
      <c r="F5" s="2">
        <v>2</v>
      </c>
      <c r="G5" s="2">
        <v>2</v>
      </c>
      <c r="H5" s="2">
        <v>2</v>
      </c>
      <c r="I5" s="2">
        <v>7</v>
      </c>
      <c r="J5" s="22">
        <v>5</v>
      </c>
      <c r="K5" s="23">
        <v>2</v>
      </c>
      <c r="L5" s="23">
        <v>2</v>
      </c>
      <c r="N5" s="2">
        <v>94</v>
      </c>
      <c r="O5" s="1">
        <v>13</v>
      </c>
    </row>
    <row r="6" spans="1:15" ht="28.25" customHeight="1">
      <c r="A6" s="23">
        <v>1</v>
      </c>
      <c r="B6" s="22">
        <v>4</v>
      </c>
      <c r="C6" s="23">
        <v>9</v>
      </c>
      <c r="D6" s="22">
        <v>1</v>
      </c>
      <c r="E6" s="23">
        <v>7</v>
      </c>
      <c r="F6" s="22">
        <v>4</v>
      </c>
      <c r="G6" s="22">
        <v>7</v>
      </c>
      <c r="H6" s="2">
        <v>8</v>
      </c>
      <c r="I6" s="2">
        <v>6</v>
      </c>
      <c r="J6" s="22">
        <v>2</v>
      </c>
      <c r="K6" s="23">
        <v>3</v>
      </c>
      <c r="L6" s="23">
        <v>2</v>
      </c>
      <c r="N6" s="2">
        <v>851</v>
      </c>
      <c r="O6" s="1">
        <v>3</v>
      </c>
    </row>
    <row r="7" spans="1:15" ht="28.25" customHeight="1">
      <c r="A7" s="23">
        <v>7</v>
      </c>
      <c r="B7" s="22">
        <v>4</v>
      </c>
      <c r="C7" s="22">
        <v>2</v>
      </c>
      <c r="D7" s="23">
        <v>2</v>
      </c>
      <c r="E7" s="23">
        <v>9</v>
      </c>
      <c r="F7" s="23">
        <v>9</v>
      </c>
      <c r="G7" s="22">
        <v>1</v>
      </c>
      <c r="H7" s="2">
        <v>3</v>
      </c>
      <c r="I7" s="22">
        <v>9</v>
      </c>
      <c r="J7" s="2">
        <v>3</v>
      </c>
      <c r="K7" s="23">
        <v>6</v>
      </c>
      <c r="L7" s="2">
        <v>3</v>
      </c>
      <c r="N7" s="2">
        <v>7981</v>
      </c>
      <c r="O7" s="1">
        <v>1</v>
      </c>
    </row>
    <row r="8" spans="1:15" ht="28.25" customHeight="1">
      <c r="A8" s="22">
        <v>4</v>
      </c>
      <c r="B8" s="2">
        <v>3</v>
      </c>
      <c r="C8" s="22">
        <v>9</v>
      </c>
      <c r="D8" s="2">
        <v>3</v>
      </c>
      <c r="E8" s="2">
        <v>6</v>
      </c>
      <c r="F8" s="23">
        <v>4</v>
      </c>
      <c r="G8" s="23">
        <v>8</v>
      </c>
      <c r="H8" s="23">
        <v>5</v>
      </c>
      <c r="I8" s="23">
        <v>5</v>
      </c>
      <c r="J8" s="22">
        <v>9</v>
      </c>
      <c r="K8" s="23">
        <v>6</v>
      </c>
      <c r="L8" s="2">
        <v>6</v>
      </c>
      <c r="N8" s="2">
        <v>18951</v>
      </c>
      <c r="O8" s="1">
        <v>1</v>
      </c>
    </row>
    <row r="9" spans="1:15" ht="28.25" customHeight="1">
      <c r="A9" s="2">
        <v>3</v>
      </c>
      <c r="B9" s="2">
        <v>3</v>
      </c>
      <c r="C9" s="2">
        <v>8</v>
      </c>
      <c r="D9" s="2">
        <v>8</v>
      </c>
      <c r="E9" s="2">
        <v>2</v>
      </c>
      <c r="F9" s="2">
        <v>1</v>
      </c>
      <c r="G9" s="2">
        <v>6</v>
      </c>
      <c r="H9" s="23">
        <v>1</v>
      </c>
      <c r="I9" s="22">
        <v>8</v>
      </c>
      <c r="J9" s="2">
        <v>3</v>
      </c>
      <c r="K9" s="2">
        <v>7</v>
      </c>
      <c r="L9" s="2">
        <v>3</v>
      </c>
      <c r="N9" s="2">
        <v>55</v>
      </c>
      <c r="O9" s="1">
        <v>8</v>
      </c>
    </row>
    <row r="10" spans="1:15" ht="28.25" customHeight="1">
      <c r="A10" s="23">
        <v>5</v>
      </c>
      <c r="B10" s="23">
        <v>1</v>
      </c>
      <c r="C10" s="23">
        <v>7</v>
      </c>
      <c r="D10" s="23">
        <v>9</v>
      </c>
      <c r="E10" s="23">
        <v>1</v>
      </c>
      <c r="F10" s="2">
        <v>8</v>
      </c>
      <c r="G10" s="2">
        <v>6</v>
      </c>
      <c r="H10" s="2">
        <v>7</v>
      </c>
      <c r="I10" s="23">
        <v>7</v>
      </c>
      <c r="J10" s="2">
        <v>3</v>
      </c>
      <c r="K10" s="22">
        <v>7</v>
      </c>
      <c r="L10" s="2">
        <v>6</v>
      </c>
      <c r="N10" s="2">
        <v>224</v>
      </c>
      <c r="O10" s="1">
        <v>3</v>
      </c>
    </row>
    <row r="11" spans="1:15" ht="28.25" customHeight="1">
      <c r="A11" s="2">
        <v>2</v>
      </c>
      <c r="B11" s="2">
        <v>2</v>
      </c>
      <c r="C11" s="2">
        <v>6</v>
      </c>
      <c r="D11" s="2">
        <v>5</v>
      </c>
      <c r="E11" s="2">
        <v>2</v>
      </c>
      <c r="F11" s="22">
        <v>4</v>
      </c>
      <c r="G11" s="22">
        <v>9</v>
      </c>
      <c r="H11" s="2">
        <v>6</v>
      </c>
      <c r="I11" s="2">
        <v>2</v>
      </c>
      <c r="J11" s="23">
        <v>4</v>
      </c>
      <c r="K11" s="2">
        <v>3</v>
      </c>
      <c r="L11" s="22">
        <v>9</v>
      </c>
      <c r="N11" s="2">
        <v>952366</v>
      </c>
      <c r="O11" s="1">
        <v>1</v>
      </c>
    </row>
    <row r="12" spans="1:15" ht="28.25" customHeight="1">
      <c r="A12" s="2">
        <v>7</v>
      </c>
      <c r="B12" s="2">
        <v>1</v>
      </c>
      <c r="C12" s="2">
        <v>3</v>
      </c>
      <c r="D12" s="2">
        <v>3</v>
      </c>
      <c r="E12" s="2">
        <v>8</v>
      </c>
      <c r="F12" s="2">
        <v>5</v>
      </c>
      <c r="G12" s="22">
        <v>9</v>
      </c>
      <c r="H12" s="22">
        <v>9</v>
      </c>
      <c r="I12" s="23">
        <v>1</v>
      </c>
      <c r="J12" s="23">
        <v>5</v>
      </c>
      <c r="K12" s="23">
        <v>8</v>
      </c>
      <c r="L12" s="22">
        <v>9</v>
      </c>
      <c r="N12" s="2">
        <v>8696366</v>
      </c>
      <c r="O12" s="1">
        <v>1</v>
      </c>
    </row>
    <row r="13" spans="1:15" ht="28.25" customHeight="1">
      <c r="N13" s="2">
        <v>2483262</v>
      </c>
      <c r="O13" s="1">
        <v>1</v>
      </c>
    </row>
    <row r="14" spans="1:15" ht="28.25" customHeight="1">
      <c r="N14" s="2">
        <v>47</v>
      </c>
      <c r="O14" s="1">
        <v>8</v>
      </c>
    </row>
    <row r="15" spans="1:15" ht="28.25" customHeight="1">
      <c r="N15" s="2">
        <v>98116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74"/>
  <sheetViews>
    <sheetView tabSelected="1" zoomScaleNormal="100" workbookViewId="0">
      <pane ySplit="2" topLeftCell="A166" activePane="bottomLeft" state="frozen"/>
      <selection pane="bottomLeft" activeCell="A174" sqref="A17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404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8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9">L82+K83</f>
        <v>66</v>
      </c>
      <c r="M83">
        <f t="shared" ref="M83:M146" si="10">2+IF(A83&gt;=DATEVALUE("2025/11/30")+TIMEVALUE("6:00"),1,0)+IF(A83&gt;=DATEVALUE("2025/12/11")+TIMEVALUE("6:00"),1,0)</f>
        <v>3</v>
      </c>
      <c r="N83">
        <f t="shared" ref="N83:N146" si="11">N82+M83*(INT(A83-6/24)-INT(A82-6/24))+O83</f>
        <v>67</v>
      </c>
      <c r="O83">
        <f t="shared" ref="O83:O146" si="12">IF(A83&gt;=DATEVALUE("2025/11/8")+TIMEVALUE("6:00"),1,0)-IF(A82&gt;=DATEVALUE("2025/11/8")+TIMEVALUE("6:00"),1,0)</f>
        <v>0</v>
      </c>
      <c r="P83" t="str">
        <f t="shared" ref="P83:P146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8"/>
        <v>1</v>
      </c>
      <c r="L99">
        <f t="shared" si="9"/>
        <v>89</v>
      </c>
      <c r="M99">
        <f t="shared" si="10"/>
        <v>4</v>
      </c>
      <c r="N99">
        <f t="shared" si="11"/>
        <v>92</v>
      </c>
      <c r="O99">
        <f t="shared" si="12"/>
        <v>0</v>
      </c>
      <c r="P99" t="str">
        <f t="shared" si="13"/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8"/>
        <v>0</v>
      </c>
      <c r="L100">
        <f t="shared" si="9"/>
        <v>89</v>
      </c>
      <c r="M100">
        <f t="shared" si="10"/>
        <v>4</v>
      </c>
      <c r="N100">
        <f t="shared" si="11"/>
        <v>92</v>
      </c>
      <c r="O100">
        <f t="shared" si="12"/>
        <v>0</v>
      </c>
      <c r="P100" t="str">
        <f t="shared" si="13"/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8"/>
        <v>1</v>
      </c>
      <c r="L101">
        <f t="shared" si="9"/>
        <v>90</v>
      </c>
      <c r="M101">
        <f t="shared" si="10"/>
        <v>4</v>
      </c>
      <c r="N101">
        <f t="shared" si="11"/>
        <v>92</v>
      </c>
      <c r="O101">
        <f t="shared" si="12"/>
        <v>0</v>
      </c>
      <c r="P101" t="str">
        <f t="shared" si="13"/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8"/>
        <v>1</v>
      </c>
      <c r="L102">
        <f t="shared" si="9"/>
        <v>91</v>
      </c>
      <c r="M102">
        <f t="shared" si="10"/>
        <v>4</v>
      </c>
      <c r="N102">
        <f t="shared" si="11"/>
        <v>92</v>
      </c>
      <c r="O102">
        <f t="shared" si="12"/>
        <v>0</v>
      </c>
      <c r="P102" t="str">
        <f t="shared" si="13"/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8"/>
        <v>1</v>
      </c>
      <c r="L103">
        <f t="shared" si="9"/>
        <v>92</v>
      </c>
      <c r="M103">
        <f t="shared" si="10"/>
        <v>4</v>
      </c>
      <c r="N103">
        <f t="shared" si="11"/>
        <v>92</v>
      </c>
      <c r="O103">
        <f t="shared" si="12"/>
        <v>0</v>
      </c>
      <c r="P103" t="str">
        <f t="shared" si="13"/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8"/>
        <v>2</v>
      </c>
      <c r="L104">
        <f t="shared" si="9"/>
        <v>94</v>
      </c>
      <c r="M104">
        <f t="shared" si="10"/>
        <v>4</v>
      </c>
      <c r="N104">
        <f t="shared" si="11"/>
        <v>96</v>
      </c>
      <c r="O104">
        <f t="shared" si="12"/>
        <v>0</v>
      </c>
      <c r="P104" t="str">
        <f t="shared" si="13"/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8"/>
        <v>1</v>
      </c>
      <c r="L105">
        <f t="shared" si="9"/>
        <v>95</v>
      </c>
      <c r="M105">
        <f t="shared" si="10"/>
        <v>4</v>
      </c>
      <c r="N105">
        <f t="shared" si="11"/>
        <v>96</v>
      </c>
      <c r="O105">
        <f t="shared" si="12"/>
        <v>0</v>
      </c>
      <c r="P105" t="str">
        <f t="shared" si="13"/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8"/>
        <v>2</v>
      </c>
      <c r="L106">
        <f t="shared" si="9"/>
        <v>97</v>
      </c>
      <c r="M106">
        <f t="shared" si="10"/>
        <v>4</v>
      </c>
      <c r="N106">
        <f t="shared" si="11"/>
        <v>96</v>
      </c>
      <c r="O106">
        <f t="shared" si="12"/>
        <v>0</v>
      </c>
      <c r="P106" t="str">
        <f t="shared" si="13"/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8"/>
        <v>1</v>
      </c>
      <c r="L107">
        <f t="shared" si="9"/>
        <v>98</v>
      </c>
      <c r="M107">
        <f t="shared" si="10"/>
        <v>4</v>
      </c>
      <c r="N107">
        <f t="shared" si="11"/>
        <v>100</v>
      </c>
      <c r="O107">
        <f t="shared" si="12"/>
        <v>0</v>
      </c>
      <c r="P107" t="str">
        <f t="shared" si="13"/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8"/>
        <v>2</v>
      </c>
      <c r="L108">
        <f t="shared" si="9"/>
        <v>100</v>
      </c>
      <c r="M108">
        <f t="shared" si="10"/>
        <v>4</v>
      </c>
      <c r="N108">
        <f t="shared" si="11"/>
        <v>100</v>
      </c>
      <c r="O108">
        <f t="shared" si="12"/>
        <v>0</v>
      </c>
      <c r="P108" t="str">
        <f t="shared" si="13"/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8"/>
        <v>1</v>
      </c>
      <c r="L109">
        <f t="shared" si="9"/>
        <v>101</v>
      </c>
      <c r="M109">
        <f t="shared" si="10"/>
        <v>4</v>
      </c>
      <c r="N109">
        <f t="shared" si="11"/>
        <v>104</v>
      </c>
      <c r="O109">
        <f t="shared" si="12"/>
        <v>0</v>
      </c>
      <c r="P109" t="str">
        <f t="shared" si="13"/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8"/>
        <v>2</v>
      </c>
      <c r="L110">
        <f t="shared" si="9"/>
        <v>103</v>
      </c>
      <c r="M110">
        <f t="shared" si="10"/>
        <v>4</v>
      </c>
      <c r="N110">
        <f t="shared" si="11"/>
        <v>104</v>
      </c>
      <c r="O110">
        <f t="shared" si="12"/>
        <v>0</v>
      </c>
      <c r="P110" t="str">
        <f t="shared" si="13"/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8"/>
        <v>2</v>
      </c>
      <c r="L111">
        <f t="shared" si="9"/>
        <v>105</v>
      </c>
      <c r="M111">
        <f t="shared" si="10"/>
        <v>4</v>
      </c>
      <c r="N111">
        <f t="shared" si="11"/>
        <v>104</v>
      </c>
      <c r="O111">
        <f t="shared" si="12"/>
        <v>0</v>
      </c>
      <c r="P111" t="str">
        <f t="shared" si="13"/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8"/>
        <v>2</v>
      </c>
      <c r="L112">
        <f t="shared" si="9"/>
        <v>107</v>
      </c>
      <c r="M112">
        <f t="shared" si="10"/>
        <v>4</v>
      </c>
      <c r="N112">
        <f t="shared" si="11"/>
        <v>108</v>
      </c>
      <c r="O112">
        <f t="shared" si="12"/>
        <v>0</v>
      </c>
      <c r="P112" t="str">
        <f t="shared" si="13"/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8"/>
        <v>1</v>
      </c>
      <c r="L113">
        <f t="shared" si="9"/>
        <v>108</v>
      </c>
      <c r="M113">
        <f t="shared" si="10"/>
        <v>4</v>
      </c>
      <c r="N113">
        <f t="shared" si="11"/>
        <v>108</v>
      </c>
      <c r="O113">
        <f t="shared" si="12"/>
        <v>0</v>
      </c>
      <c r="P113" t="str">
        <f t="shared" si="13"/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8"/>
        <v>2</v>
      </c>
      <c r="L114">
        <f t="shared" si="9"/>
        <v>110</v>
      </c>
      <c r="M114">
        <f t="shared" si="10"/>
        <v>4</v>
      </c>
      <c r="N114">
        <f t="shared" si="11"/>
        <v>112</v>
      </c>
      <c r="O114">
        <f t="shared" si="12"/>
        <v>0</v>
      </c>
      <c r="P114" t="str">
        <f t="shared" si="13"/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8"/>
        <v>1</v>
      </c>
      <c r="L115">
        <f t="shared" si="9"/>
        <v>111</v>
      </c>
      <c r="M115">
        <f t="shared" si="10"/>
        <v>4</v>
      </c>
      <c r="N115">
        <f t="shared" si="11"/>
        <v>112</v>
      </c>
      <c r="O115">
        <f t="shared" si="12"/>
        <v>0</v>
      </c>
      <c r="P115" t="str">
        <f t="shared" si="13"/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8"/>
        <v>1</v>
      </c>
      <c r="L116">
        <f t="shared" si="9"/>
        <v>112</v>
      </c>
      <c r="M116">
        <f t="shared" si="10"/>
        <v>4</v>
      </c>
      <c r="N116">
        <f t="shared" si="11"/>
        <v>112</v>
      </c>
      <c r="O116">
        <f t="shared" si="12"/>
        <v>0</v>
      </c>
      <c r="P116" t="str">
        <f t="shared" si="13"/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8"/>
        <v>1</v>
      </c>
      <c r="L117">
        <f t="shared" si="9"/>
        <v>113</v>
      </c>
      <c r="M117">
        <f t="shared" si="10"/>
        <v>4</v>
      </c>
      <c r="N117">
        <f t="shared" si="11"/>
        <v>116</v>
      </c>
      <c r="O117">
        <f t="shared" si="12"/>
        <v>0</v>
      </c>
      <c r="P117" t="str">
        <f t="shared" si="13"/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8"/>
        <v>0</v>
      </c>
      <c r="L118">
        <f t="shared" si="9"/>
        <v>113</v>
      </c>
      <c r="M118">
        <f t="shared" si="10"/>
        <v>4</v>
      </c>
      <c r="N118">
        <f t="shared" si="11"/>
        <v>116</v>
      </c>
      <c r="O118">
        <f t="shared" si="12"/>
        <v>0</v>
      </c>
      <c r="P118" t="str">
        <f t="shared" si="13"/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8"/>
        <v>1</v>
      </c>
      <c r="L119">
        <f t="shared" si="9"/>
        <v>114</v>
      </c>
      <c r="M119">
        <f t="shared" si="10"/>
        <v>4</v>
      </c>
      <c r="N119">
        <f t="shared" si="11"/>
        <v>116</v>
      </c>
      <c r="O119">
        <f t="shared" si="12"/>
        <v>0</v>
      </c>
      <c r="P119" t="str">
        <f t="shared" si="13"/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8"/>
        <v>2</v>
      </c>
      <c r="L120">
        <f t="shared" si="9"/>
        <v>116</v>
      </c>
      <c r="M120">
        <f t="shared" si="10"/>
        <v>4</v>
      </c>
      <c r="N120">
        <f t="shared" si="11"/>
        <v>116</v>
      </c>
      <c r="O120">
        <f t="shared" si="12"/>
        <v>0</v>
      </c>
      <c r="P120" t="str">
        <f t="shared" si="13"/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8"/>
        <v>1</v>
      </c>
      <c r="L121">
        <f t="shared" si="9"/>
        <v>117</v>
      </c>
      <c r="M121">
        <f t="shared" si="10"/>
        <v>4</v>
      </c>
      <c r="N121">
        <f t="shared" si="11"/>
        <v>120</v>
      </c>
      <c r="O121">
        <f t="shared" si="12"/>
        <v>0</v>
      </c>
      <c r="P121" t="str">
        <f t="shared" si="13"/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8"/>
        <v>1</v>
      </c>
      <c r="L122">
        <f t="shared" si="9"/>
        <v>118</v>
      </c>
      <c r="M122">
        <f t="shared" si="10"/>
        <v>4</v>
      </c>
      <c r="N122">
        <f t="shared" si="11"/>
        <v>120</v>
      </c>
      <c r="O122">
        <f t="shared" si="12"/>
        <v>0</v>
      </c>
      <c r="P122" t="str">
        <f t="shared" si="13"/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8"/>
        <v>0</v>
      </c>
      <c r="L123">
        <f t="shared" si="9"/>
        <v>118</v>
      </c>
      <c r="M123">
        <f t="shared" si="10"/>
        <v>4</v>
      </c>
      <c r="N123">
        <f t="shared" si="11"/>
        <v>120</v>
      </c>
      <c r="O123">
        <f t="shared" si="12"/>
        <v>0</v>
      </c>
      <c r="P123" t="str">
        <f t="shared" si="13"/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8"/>
        <v>2</v>
      </c>
      <c r="L124">
        <f t="shared" si="9"/>
        <v>120</v>
      </c>
      <c r="M124">
        <f t="shared" si="10"/>
        <v>4</v>
      </c>
      <c r="N124">
        <f t="shared" si="11"/>
        <v>120</v>
      </c>
      <c r="O124">
        <f t="shared" si="12"/>
        <v>0</v>
      </c>
      <c r="P124" t="str">
        <f t="shared" si="13"/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8"/>
        <v>1</v>
      </c>
      <c r="L125">
        <f t="shared" si="9"/>
        <v>121</v>
      </c>
      <c r="M125">
        <f t="shared" si="10"/>
        <v>4</v>
      </c>
      <c r="N125">
        <f t="shared" si="11"/>
        <v>124</v>
      </c>
      <c r="O125">
        <f t="shared" si="12"/>
        <v>0</v>
      </c>
      <c r="P125" t="str">
        <f t="shared" si="13"/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8"/>
        <v>2</v>
      </c>
      <c r="L126">
        <f t="shared" si="9"/>
        <v>123</v>
      </c>
      <c r="M126">
        <f t="shared" si="10"/>
        <v>4</v>
      </c>
      <c r="N126">
        <f t="shared" si="11"/>
        <v>124</v>
      </c>
      <c r="O126">
        <f t="shared" si="12"/>
        <v>0</v>
      </c>
      <c r="P126" t="str">
        <f t="shared" si="13"/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8"/>
        <v>1</v>
      </c>
      <c r="L127">
        <f t="shared" si="9"/>
        <v>124</v>
      </c>
      <c r="M127">
        <f t="shared" si="10"/>
        <v>4</v>
      </c>
      <c r="N127">
        <f t="shared" si="11"/>
        <v>124</v>
      </c>
      <c r="O127">
        <f t="shared" si="12"/>
        <v>0</v>
      </c>
      <c r="P127" t="str">
        <f t="shared" si="13"/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8"/>
        <v>1</v>
      </c>
      <c r="L128">
        <f t="shared" si="9"/>
        <v>125</v>
      </c>
      <c r="M128">
        <f t="shared" si="10"/>
        <v>4</v>
      </c>
      <c r="N128">
        <f t="shared" si="11"/>
        <v>128</v>
      </c>
      <c r="O128">
        <f t="shared" si="12"/>
        <v>0</v>
      </c>
      <c r="P128" t="str">
        <f t="shared" si="13"/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8"/>
        <v>2</v>
      </c>
      <c r="L129">
        <f t="shared" si="9"/>
        <v>127</v>
      </c>
      <c r="M129">
        <f t="shared" si="10"/>
        <v>4</v>
      </c>
      <c r="N129">
        <f t="shared" si="11"/>
        <v>128</v>
      </c>
      <c r="O129">
        <f t="shared" si="12"/>
        <v>0</v>
      </c>
      <c r="P129" t="str">
        <f t="shared" si="13"/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8"/>
        <v>1</v>
      </c>
      <c r="L130">
        <f t="shared" si="9"/>
        <v>128</v>
      </c>
      <c r="M130">
        <f t="shared" si="10"/>
        <v>4</v>
      </c>
      <c r="N130">
        <f t="shared" si="11"/>
        <v>128</v>
      </c>
      <c r="O130">
        <f t="shared" si="12"/>
        <v>0</v>
      </c>
      <c r="P130" t="str">
        <f t="shared" si="13"/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8"/>
        <v>2</v>
      </c>
      <c r="L131">
        <f t="shared" si="9"/>
        <v>130</v>
      </c>
      <c r="M131">
        <f t="shared" si="10"/>
        <v>4</v>
      </c>
      <c r="N131">
        <f t="shared" si="11"/>
        <v>132</v>
      </c>
      <c r="O131">
        <f t="shared" si="12"/>
        <v>0</v>
      </c>
      <c r="P131" t="str">
        <f t="shared" si="13"/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8"/>
        <v>2</v>
      </c>
      <c r="L132">
        <f t="shared" si="9"/>
        <v>132</v>
      </c>
      <c r="M132">
        <f t="shared" si="10"/>
        <v>4</v>
      </c>
      <c r="N132">
        <f t="shared" si="11"/>
        <v>132</v>
      </c>
      <c r="O132">
        <f t="shared" si="12"/>
        <v>0</v>
      </c>
      <c r="P132" t="str">
        <f t="shared" si="13"/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8"/>
        <v>1</v>
      </c>
      <c r="L133">
        <f t="shared" si="9"/>
        <v>133</v>
      </c>
      <c r="M133">
        <f t="shared" si="10"/>
        <v>4</v>
      </c>
      <c r="N133">
        <f t="shared" si="11"/>
        <v>136</v>
      </c>
      <c r="O133">
        <f t="shared" si="12"/>
        <v>0</v>
      </c>
      <c r="P133" t="str">
        <f t="shared" si="13"/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8"/>
        <v>0</v>
      </c>
      <c r="L134">
        <f t="shared" si="9"/>
        <v>133</v>
      </c>
      <c r="M134">
        <f t="shared" si="10"/>
        <v>4</v>
      </c>
      <c r="N134">
        <f t="shared" si="11"/>
        <v>136</v>
      </c>
      <c r="O134">
        <f t="shared" si="12"/>
        <v>0</v>
      </c>
      <c r="P134" t="str">
        <f t="shared" si="13"/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8"/>
        <v>1</v>
      </c>
      <c r="L135">
        <f t="shared" si="9"/>
        <v>134</v>
      </c>
      <c r="M135">
        <f t="shared" si="10"/>
        <v>4</v>
      </c>
      <c r="N135">
        <f t="shared" si="11"/>
        <v>136</v>
      </c>
      <c r="O135">
        <f t="shared" si="12"/>
        <v>0</v>
      </c>
      <c r="P135" t="str">
        <f t="shared" si="13"/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8"/>
        <v>2</v>
      </c>
      <c r="L136">
        <f t="shared" si="9"/>
        <v>136</v>
      </c>
      <c r="M136">
        <f t="shared" si="10"/>
        <v>4</v>
      </c>
      <c r="N136">
        <f t="shared" si="11"/>
        <v>136</v>
      </c>
      <c r="O136">
        <f t="shared" si="12"/>
        <v>0</v>
      </c>
      <c r="P136" t="str">
        <f t="shared" si="13"/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8"/>
        <v>2</v>
      </c>
      <c r="L137">
        <f t="shared" si="9"/>
        <v>138</v>
      </c>
      <c r="M137">
        <f t="shared" si="10"/>
        <v>4</v>
      </c>
      <c r="N137">
        <f t="shared" si="11"/>
        <v>140</v>
      </c>
      <c r="O137">
        <f t="shared" si="12"/>
        <v>0</v>
      </c>
      <c r="P137" t="str">
        <f t="shared" si="13"/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8"/>
        <v>0</v>
      </c>
      <c r="L138">
        <f t="shared" si="9"/>
        <v>138</v>
      </c>
      <c r="M138">
        <f t="shared" si="10"/>
        <v>4</v>
      </c>
      <c r="N138">
        <f t="shared" si="11"/>
        <v>140</v>
      </c>
      <c r="O138">
        <f t="shared" si="12"/>
        <v>0</v>
      </c>
      <c r="P138" t="str">
        <f t="shared" si="13"/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8"/>
        <v>2</v>
      </c>
      <c r="L139">
        <f t="shared" si="9"/>
        <v>140</v>
      </c>
      <c r="M139">
        <f t="shared" si="10"/>
        <v>4</v>
      </c>
      <c r="N139">
        <f t="shared" si="11"/>
        <v>140</v>
      </c>
      <c r="O139">
        <f t="shared" si="12"/>
        <v>0</v>
      </c>
      <c r="P139" t="str">
        <f t="shared" si="13"/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8"/>
        <v>1</v>
      </c>
      <c r="L140">
        <f t="shared" si="9"/>
        <v>141</v>
      </c>
      <c r="M140">
        <f t="shared" si="10"/>
        <v>4</v>
      </c>
      <c r="N140">
        <f t="shared" si="11"/>
        <v>144</v>
      </c>
      <c r="O140">
        <f t="shared" si="12"/>
        <v>0</v>
      </c>
      <c r="P140" t="str">
        <f t="shared" si="13"/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8"/>
        <v>2</v>
      </c>
      <c r="L141">
        <f t="shared" si="9"/>
        <v>143</v>
      </c>
      <c r="M141">
        <f t="shared" si="10"/>
        <v>4</v>
      </c>
      <c r="N141">
        <f t="shared" si="11"/>
        <v>144</v>
      </c>
      <c r="O141">
        <f t="shared" si="12"/>
        <v>0</v>
      </c>
      <c r="P141" t="str">
        <f t="shared" si="13"/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8"/>
        <v>1</v>
      </c>
      <c r="L142">
        <f t="shared" si="9"/>
        <v>144</v>
      </c>
      <c r="M142">
        <f t="shared" si="10"/>
        <v>4</v>
      </c>
      <c r="N142">
        <f t="shared" si="11"/>
        <v>144</v>
      </c>
      <c r="O142">
        <f t="shared" si="12"/>
        <v>0</v>
      </c>
      <c r="P142" t="str">
        <f t="shared" si="13"/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8"/>
        <v>1</v>
      </c>
      <c r="L143">
        <f t="shared" si="9"/>
        <v>145</v>
      </c>
      <c r="M143">
        <f t="shared" si="10"/>
        <v>4</v>
      </c>
      <c r="N143">
        <f t="shared" si="11"/>
        <v>148</v>
      </c>
      <c r="O143">
        <f t="shared" si="12"/>
        <v>0</v>
      </c>
      <c r="P143" t="str">
        <f t="shared" si="13"/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8"/>
        <v>1</v>
      </c>
      <c r="L144">
        <f t="shared" si="9"/>
        <v>146</v>
      </c>
      <c r="M144">
        <f t="shared" si="10"/>
        <v>4</v>
      </c>
      <c r="N144">
        <f t="shared" si="11"/>
        <v>148</v>
      </c>
      <c r="O144">
        <f t="shared" si="12"/>
        <v>0</v>
      </c>
      <c r="P144" t="str">
        <f t="shared" si="13"/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8"/>
        <v>2</v>
      </c>
      <c r="L145">
        <f t="shared" si="9"/>
        <v>148</v>
      </c>
      <c r="M145">
        <f t="shared" si="10"/>
        <v>4</v>
      </c>
      <c r="N145">
        <f t="shared" si="11"/>
        <v>148</v>
      </c>
      <c r="O145">
        <f t="shared" si="12"/>
        <v>0</v>
      </c>
      <c r="P145" t="str">
        <f t="shared" si="13"/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8"/>
        <v>1</v>
      </c>
      <c r="L146">
        <f t="shared" si="9"/>
        <v>149</v>
      </c>
      <c r="M146">
        <f t="shared" si="10"/>
        <v>4</v>
      </c>
      <c r="N146">
        <f t="shared" si="11"/>
        <v>152</v>
      </c>
      <c r="O146">
        <f t="shared" si="12"/>
        <v>0</v>
      </c>
      <c r="P146" t="str">
        <f t="shared" si="13"/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74" si="14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74" si="15">L146+K147</f>
        <v>150</v>
      </c>
      <c r="M147">
        <f t="shared" ref="M147:M174" si="16">2+IF(A147&gt;=DATEVALUE("2025/11/30")+TIMEVALUE("6:00"),1,0)+IF(A147&gt;=DATEVALUE("2025/12/11")+TIMEVALUE("6:00"),1,0)</f>
        <v>4</v>
      </c>
      <c r="N147">
        <f t="shared" ref="N147:N174" si="17">N146+M147*(INT(A147-6/24)-INT(A146-6/24))+O147</f>
        <v>152</v>
      </c>
      <c r="O147">
        <f t="shared" ref="O147:O174" si="18">IF(A147&gt;=DATEVALUE("2025/11/8")+TIMEVALUE("6:00"),1,0)-IF(A146&gt;=DATEVALUE("2025/11/8")+TIMEVALUE("6:00"),1,0)</f>
        <v>0</v>
      </c>
      <c r="P147" t="str">
        <f t="shared" ref="P147:P174" si="19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4"/>
        <v>2</v>
      </c>
      <c r="L148">
        <f t="shared" si="15"/>
        <v>152</v>
      </c>
      <c r="M148">
        <f t="shared" si="16"/>
        <v>4</v>
      </c>
      <c r="N148">
        <f t="shared" si="17"/>
        <v>152</v>
      </c>
      <c r="O148">
        <f t="shared" si="18"/>
        <v>0</v>
      </c>
      <c r="P148" t="str">
        <f t="shared" si="19"/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4"/>
        <v>1</v>
      </c>
      <c r="L149">
        <f t="shared" si="15"/>
        <v>153</v>
      </c>
      <c r="M149">
        <f t="shared" si="16"/>
        <v>4</v>
      </c>
      <c r="N149">
        <f t="shared" si="17"/>
        <v>156</v>
      </c>
      <c r="O149">
        <f t="shared" si="18"/>
        <v>0</v>
      </c>
      <c r="P149" t="str">
        <f t="shared" si="19"/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4"/>
        <v>2</v>
      </c>
      <c r="L150">
        <f t="shared" si="15"/>
        <v>155</v>
      </c>
      <c r="M150">
        <f t="shared" si="16"/>
        <v>4</v>
      </c>
      <c r="N150">
        <f t="shared" si="17"/>
        <v>156</v>
      </c>
      <c r="O150">
        <f t="shared" si="18"/>
        <v>0</v>
      </c>
      <c r="P150" t="str">
        <f t="shared" si="19"/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4"/>
        <v>1</v>
      </c>
      <c r="L151">
        <f t="shared" si="15"/>
        <v>156</v>
      </c>
      <c r="M151">
        <f t="shared" si="16"/>
        <v>4</v>
      </c>
      <c r="N151">
        <f t="shared" si="17"/>
        <v>156</v>
      </c>
      <c r="O151">
        <f t="shared" si="18"/>
        <v>0</v>
      </c>
      <c r="P151" t="str">
        <f t="shared" si="19"/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4"/>
        <v>2</v>
      </c>
      <c r="L152">
        <f t="shared" si="15"/>
        <v>158</v>
      </c>
      <c r="M152">
        <f t="shared" si="16"/>
        <v>4</v>
      </c>
      <c r="N152">
        <f t="shared" si="17"/>
        <v>160</v>
      </c>
      <c r="O152">
        <f t="shared" si="18"/>
        <v>0</v>
      </c>
      <c r="P152" t="str">
        <f t="shared" si="19"/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4"/>
        <v>2</v>
      </c>
      <c r="L153">
        <f t="shared" si="15"/>
        <v>160</v>
      </c>
      <c r="M153">
        <f t="shared" si="16"/>
        <v>4</v>
      </c>
      <c r="N153">
        <f t="shared" si="17"/>
        <v>160</v>
      </c>
      <c r="O153">
        <f t="shared" si="18"/>
        <v>0</v>
      </c>
      <c r="P153" t="str">
        <f t="shared" si="19"/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4"/>
        <v>1</v>
      </c>
      <c r="L154">
        <f t="shared" si="15"/>
        <v>161</v>
      </c>
      <c r="M154">
        <f t="shared" si="16"/>
        <v>4</v>
      </c>
      <c r="N154">
        <f t="shared" si="17"/>
        <v>164</v>
      </c>
      <c r="O154">
        <f t="shared" si="18"/>
        <v>0</v>
      </c>
      <c r="P154" t="str">
        <f t="shared" si="19"/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4"/>
        <v>2</v>
      </c>
      <c r="L155">
        <f t="shared" si="15"/>
        <v>163</v>
      </c>
      <c r="M155">
        <f t="shared" si="16"/>
        <v>4</v>
      </c>
      <c r="N155">
        <f t="shared" si="17"/>
        <v>164</v>
      </c>
      <c r="O155">
        <f t="shared" si="18"/>
        <v>0</v>
      </c>
      <c r="P155" t="str">
        <f t="shared" si="19"/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4"/>
        <v>2</v>
      </c>
      <c r="L156">
        <f t="shared" si="15"/>
        <v>165</v>
      </c>
      <c r="M156">
        <f t="shared" si="16"/>
        <v>4</v>
      </c>
      <c r="N156">
        <f t="shared" si="17"/>
        <v>164</v>
      </c>
      <c r="O156">
        <f t="shared" si="18"/>
        <v>0</v>
      </c>
      <c r="P156" t="str">
        <f t="shared" si="19"/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4"/>
        <v>2</v>
      </c>
      <c r="L157">
        <f t="shared" si="15"/>
        <v>167</v>
      </c>
      <c r="M157">
        <f t="shared" si="16"/>
        <v>4</v>
      </c>
      <c r="N157">
        <f t="shared" si="17"/>
        <v>168</v>
      </c>
      <c r="O157">
        <f t="shared" si="18"/>
        <v>0</v>
      </c>
      <c r="P157" t="str">
        <f t="shared" si="19"/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4"/>
        <v>1</v>
      </c>
      <c r="L158">
        <f t="shared" si="15"/>
        <v>168</v>
      </c>
      <c r="M158">
        <f t="shared" si="16"/>
        <v>4</v>
      </c>
      <c r="N158">
        <f t="shared" si="17"/>
        <v>168</v>
      </c>
      <c r="O158">
        <f t="shared" si="18"/>
        <v>0</v>
      </c>
      <c r="P158" t="str">
        <f t="shared" si="19"/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4"/>
        <v>1</v>
      </c>
      <c r="L159">
        <f t="shared" si="15"/>
        <v>169</v>
      </c>
      <c r="M159">
        <f t="shared" si="16"/>
        <v>4</v>
      </c>
      <c r="N159">
        <f t="shared" si="17"/>
        <v>172</v>
      </c>
      <c r="O159">
        <f t="shared" si="18"/>
        <v>0</v>
      </c>
      <c r="P159" t="str">
        <f t="shared" si="19"/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4"/>
        <v>2</v>
      </c>
      <c r="L160">
        <f t="shared" si="15"/>
        <v>171</v>
      </c>
      <c r="M160">
        <f t="shared" si="16"/>
        <v>4</v>
      </c>
      <c r="N160">
        <f t="shared" si="17"/>
        <v>172</v>
      </c>
      <c r="O160">
        <f t="shared" si="18"/>
        <v>0</v>
      </c>
      <c r="P160" t="str">
        <f t="shared" si="19"/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4"/>
        <v>1</v>
      </c>
      <c r="L161">
        <f t="shared" si="15"/>
        <v>172</v>
      </c>
      <c r="M161">
        <f t="shared" si="16"/>
        <v>4</v>
      </c>
      <c r="N161">
        <f t="shared" si="17"/>
        <v>172</v>
      </c>
      <c r="O161">
        <f t="shared" si="18"/>
        <v>0</v>
      </c>
      <c r="P161" t="str">
        <f t="shared" si="19"/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4"/>
        <v>2</v>
      </c>
      <c r="L162">
        <f t="shared" si="15"/>
        <v>174</v>
      </c>
      <c r="M162">
        <f t="shared" si="16"/>
        <v>4</v>
      </c>
      <c r="N162">
        <f t="shared" si="17"/>
        <v>176</v>
      </c>
      <c r="O162">
        <f t="shared" si="18"/>
        <v>0</v>
      </c>
      <c r="P162" t="str">
        <f t="shared" si="19"/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4"/>
        <v>1</v>
      </c>
      <c r="L163">
        <f t="shared" si="15"/>
        <v>175</v>
      </c>
      <c r="M163">
        <f t="shared" si="16"/>
        <v>4</v>
      </c>
      <c r="N163">
        <f t="shared" si="17"/>
        <v>176</v>
      </c>
      <c r="O163">
        <f t="shared" si="18"/>
        <v>0</v>
      </c>
      <c r="P163" t="str">
        <f t="shared" si="19"/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4"/>
        <v>2</v>
      </c>
      <c r="L164">
        <f t="shared" si="15"/>
        <v>177</v>
      </c>
      <c r="M164">
        <f t="shared" si="16"/>
        <v>4</v>
      </c>
      <c r="N164">
        <f t="shared" si="17"/>
        <v>176</v>
      </c>
      <c r="O164">
        <f t="shared" si="18"/>
        <v>0</v>
      </c>
      <c r="P164" t="str">
        <f t="shared" si="19"/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4"/>
        <v>1</v>
      </c>
      <c r="L165">
        <f t="shared" si="15"/>
        <v>178</v>
      </c>
      <c r="M165">
        <f t="shared" si="16"/>
        <v>4</v>
      </c>
      <c r="N165">
        <f t="shared" si="17"/>
        <v>180</v>
      </c>
      <c r="O165">
        <f t="shared" si="18"/>
        <v>0</v>
      </c>
      <c r="P165" t="str">
        <f t="shared" si="19"/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4"/>
        <v>1</v>
      </c>
      <c r="L166">
        <f t="shared" si="15"/>
        <v>179</v>
      </c>
      <c r="M166">
        <f t="shared" si="16"/>
        <v>4</v>
      </c>
      <c r="N166">
        <f t="shared" si="17"/>
        <v>180</v>
      </c>
      <c r="O166">
        <f t="shared" si="18"/>
        <v>0</v>
      </c>
      <c r="P166" t="str">
        <f t="shared" si="19"/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4"/>
        <v>2</v>
      </c>
      <c r="L167">
        <f t="shared" si="15"/>
        <v>181</v>
      </c>
      <c r="M167">
        <f t="shared" si="16"/>
        <v>4</v>
      </c>
      <c r="N167">
        <f t="shared" si="17"/>
        <v>180</v>
      </c>
      <c r="O167">
        <f t="shared" si="18"/>
        <v>0</v>
      </c>
      <c r="P167" t="str">
        <f t="shared" si="19"/>
        <v>前倒し（1）</v>
      </c>
    </row>
    <row r="168" spans="1:16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4"/>
        <v>1</v>
      </c>
      <c r="L168">
        <f t="shared" si="15"/>
        <v>182</v>
      </c>
      <c r="M168">
        <f t="shared" si="16"/>
        <v>4</v>
      </c>
      <c r="N168">
        <f t="shared" si="17"/>
        <v>184</v>
      </c>
      <c r="O168">
        <f t="shared" si="18"/>
        <v>0</v>
      </c>
      <c r="P168" t="str">
        <f t="shared" si="19"/>
        <v>未達成（2）</v>
      </c>
    </row>
    <row r="169" spans="1:16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4"/>
        <v>2</v>
      </c>
      <c r="L169">
        <f t="shared" si="15"/>
        <v>184</v>
      </c>
      <c r="M169">
        <f t="shared" si="16"/>
        <v>4</v>
      </c>
      <c r="N169">
        <f t="shared" si="17"/>
        <v>184</v>
      </c>
      <c r="O169">
        <f t="shared" si="18"/>
        <v>0</v>
      </c>
      <c r="P169" t="str">
        <f t="shared" si="19"/>
        <v>達成</v>
      </c>
    </row>
    <row r="170" spans="1:16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4"/>
        <v>2</v>
      </c>
      <c r="L170">
        <f t="shared" si="15"/>
        <v>186</v>
      </c>
      <c r="M170">
        <f t="shared" si="16"/>
        <v>4</v>
      </c>
      <c r="N170">
        <f t="shared" si="17"/>
        <v>188</v>
      </c>
      <c r="O170">
        <f t="shared" si="18"/>
        <v>0</v>
      </c>
      <c r="P170" t="str">
        <f t="shared" si="19"/>
        <v>未達成（2）</v>
      </c>
    </row>
    <row r="171" spans="1:16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4"/>
        <v>2</v>
      </c>
      <c r="L171">
        <f t="shared" si="15"/>
        <v>188</v>
      </c>
      <c r="M171">
        <f t="shared" si="16"/>
        <v>4</v>
      </c>
      <c r="N171">
        <f t="shared" si="17"/>
        <v>188</v>
      </c>
      <c r="O171">
        <f t="shared" si="18"/>
        <v>0</v>
      </c>
      <c r="P171" t="str">
        <f t="shared" si="19"/>
        <v>達成</v>
      </c>
    </row>
    <row r="172" spans="1:16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4"/>
        <v>1</v>
      </c>
      <c r="L172">
        <f t="shared" si="15"/>
        <v>189</v>
      </c>
      <c r="M172">
        <f t="shared" si="16"/>
        <v>4</v>
      </c>
      <c r="N172">
        <f t="shared" si="17"/>
        <v>192</v>
      </c>
      <c r="O172">
        <f t="shared" si="18"/>
        <v>0</v>
      </c>
      <c r="P172" t="str">
        <f t="shared" si="19"/>
        <v>未達成（3）</v>
      </c>
    </row>
    <row r="173" spans="1:16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4"/>
        <v>1</v>
      </c>
      <c r="L173">
        <f t="shared" si="15"/>
        <v>190</v>
      </c>
      <c r="M173">
        <f t="shared" si="16"/>
        <v>4</v>
      </c>
      <c r="N173">
        <f t="shared" si="17"/>
        <v>192</v>
      </c>
      <c r="O173">
        <f t="shared" si="18"/>
        <v>0</v>
      </c>
      <c r="P173" t="str">
        <f t="shared" si="19"/>
        <v>未達成（2）</v>
      </c>
    </row>
    <row r="174" spans="1:16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4"/>
        <v>2</v>
      </c>
      <c r="L174">
        <f t="shared" si="15"/>
        <v>192</v>
      </c>
      <c r="M174">
        <f t="shared" si="16"/>
        <v>4</v>
      </c>
      <c r="N174">
        <f t="shared" si="17"/>
        <v>192</v>
      </c>
      <c r="O174">
        <f t="shared" si="18"/>
        <v>0</v>
      </c>
      <c r="P174" t="str">
        <f t="shared" si="19"/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46027.608900462961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2026-01-05T12:30:37Z</dcterms:modified>
</cp:coreProperties>
</file>
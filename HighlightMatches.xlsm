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07B99A50-980D-4DDF-8E3F-C050837879EB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83" i="4" l="1"/>
  <c r="O283" i="4"/>
  <c r="M283" i="4"/>
  <c r="N283" i="4" s="1"/>
  <c r="K283" i="4"/>
  <c r="L283" i="4" s="1"/>
  <c r="Q282" i="4"/>
  <c r="O282" i="4"/>
  <c r="M282" i="4"/>
  <c r="N282" i="4" s="1"/>
  <c r="K282" i="4"/>
  <c r="L282" i="4" s="1"/>
  <c r="P282" i="4" s="1"/>
  <c r="Q281" i="4"/>
  <c r="O281" i="4"/>
  <c r="M281" i="4"/>
  <c r="N281" i="4" s="1"/>
  <c r="K281" i="4"/>
  <c r="L281" i="4" s="1"/>
  <c r="Q280" i="4"/>
  <c r="O280" i="4"/>
  <c r="M280" i="4"/>
  <c r="N280" i="4" s="1"/>
  <c r="K280" i="4"/>
  <c r="L280" i="4" s="1"/>
  <c r="Q279" i="4"/>
  <c r="O279" i="4"/>
  <c r="M279" i="4"/>
  <c r="K279" i="4"/>
  <c r="Q278" i="4"/>
  <c r="O278" i="4"/>
  <c r="M278" i="4"/>
  <c r="K278" i="4"/>
  <c r="Q277" i="4"/>
  <c r="O277" i="4"/>
  <c r="M277" i="4"/>
  <c r="K277" i="4"/>
  <c r="Q276" i="4"/>
  <c r="O276" i="4"/>
  <c r="M276" i="4"/>
  <c r="K276" i="4"/>
  <c r="Q275" i="4"/>
  <c r="O275" i="4"/>
  <c r="M275" i="4"/>
  <c r="K275" i="4"/>
  <c r="Q274" i="4"/>
  <c r="O274" i="4"/>
  <c r="M274" i="4"/>
  <c r="K274" i="4"/>
  <c r="Q273" i="4"/>
  <c r="O273" i="4"/>
  <c r="M273" i="4"/>
  <c r="K273" i="4"/>
  <c r="Q272" i="4"/>
  <c r="O272" i="4"/>
  <c r="M272" i="4"/>
  <c r="K272" i="4"/>
  <c r="Q271" i="4"/>
  <c r="O271" i="4"/>
  <c r="M271" i="4"/>
  <c r="K271" i="4"/>
  <c r="Q270" i="4"/>
  <c r="O270" i="4"/>
  <c r="M270" i="4"/>
  <c r="K270" i="4"/>
  <c r="Q269" i="4"/>
  <c r="O269" i="4"/>
  <c r="M269" i="4"/>
  <c r="K269" i="4"/>
  <c r="Q268" i="4"/>
  <c r="O268" i="4"/>
  <c r="M268" i="4"/>
  <c r="K268" i="4"/>
  <c r="Q267" i="4"/>
  <c r="O267" i="4"/>
  <c r="M267" i="4"/>
  <c r="K267" i="4"/>
  <c r="Q266" i="4"/>
  <c r="O266" i="4"/>
  <c r="M266" i="4"/>
  <c r="K266" i="4"/>
  <c r="Q265" i="4"/>
  <c r="O265" i="4"/>
  <c r="M265" i="4"/>
  <c r="K265" i="4"/>
  <c r="Q264" i="4"/>
  <c r="O264" i="4"/>
  <c r="M264" i="4"/>
  <c r="K264" i="4"/>
  <c r="Q263" i="4"/>
  <c r="O263" i="4"/>
  <c r="M263" i="4"/>
  <c r="K263" i="4"/>
  <c r="Q262" i="4"/>
  <c r="O262" i="4"/>
  <c r="M262" i="4"/>
  <c r="K262" i="4"/>
  <c r="Q261" i="4"/>
  <c r="O261" i="4"/>
  <c r="M261" i="4"/>
  <c r="K261" i="4"/>
  <c r="Q260" i="4"/>
  <c r="O260" i="4"/>
  <c r="M260" i="4"/>
  <c r="K260" i="4"/>
  <c r="Q259" i="4"/>
  <c r="O259" i="4"/>
  <c r="M259" i="4"/>
  <c r="K259" i="4"/>
  <c r="Q258" i="4"/>
  <c r="O258" i="4"/>
  <c r="M258" i="4"/>
  <c r="K258" i="4"/>
  <c r="Q257" i="4"/>
  <c r="O257" i="4"/>
  <c r="M257" i="4"/>
  <c r="K257" i="4"/>
  <c r="Q256" i="4"/>
  <c r="O256" i="4"/>
  <c r="M256" i="4"/>
  <c r="K256" i="4"/>
  <c r="Q255" i="4"/>
  <c r="O255" i="4"/>
  <c r="M255" i="4"/>
  <c r="K255" i="4"/>
  <c r="Q254" i="4"/>
  <c r="O254" i="4"/>
  <c r="M254" i="4"/>
  <c r="K254" i="4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83" i="4" l="1"/>
  <c r="P281" i="4"/>
  <c r="P280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9" i="4" s="1"/>
  <c r="P278" i="4"/>
</calcChain>
</file>

<file path=xl/sharedStrings.xml><?xml version="1.0" encoding="utf-8"?>
<sst xmlns="http://schemas.openxmlformats.org/spreadsheetml/2006/main" count="643" uniqueCount="622">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</sst>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データ!$A$3:$A$283</c:f>
              <c:numCache>
                <c:formatCode>m/d/yyyy\ h:mm</c:formatCode>
                <c:ptCount val="28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</c:numCache>
            </c:numRef>
          </c:xVal>
          <c:yVal>
            <c:numRef>
              <c:f>データ!$B$3:$B$283</c:f>
              <c:numCache>
                <c:formatCode>General</c:formatCode>
                <c:ptCount val="281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DD-48DC-9260-98F536782DC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8DD-48DC-9260-98F536782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844240"/>
        <c:axId val="456850960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データ!$A$3:$A$283</c:f>
              <c:numCache>
                <c:formatCode>m/d/yyyy\ h:mm</c:formatCode>
                <c:ptCount val="28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</c:numCache>
            </c:numRef>
          </c:xVal>
          <c:yVal>
            <c:numRef>
              <c:f>データ!$Q$3:$Q$283</c:f>
              <c:numCache>
                <c:formatCode>[h]:mm</c:formatCode>
                <c:ptCount val="281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DD-48DC-9260-98F536782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855760"/>
        <c:axId val="456865840"/>
      </c:scatterChart>
      <c:valAx>
        <c:axId val="456844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6850960"/>
        <c:crosses val="autoZero"/>
        <c:crossBetween val="midCat"/>
      </c:valAx>
      <c:valAx>
        <c:axId val="45685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6844240"/>
        <c:crosses val="autoZero"/>
        <c:crossBetween val="midCat"/>
      </c:valAx>
      <c:valAx>
        <c:axId val="456865840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6855760"/>
        <c:crosses val="max"/>
        <c:crossBetween val="midCat"/>
      </c:valAx>
      <c:valAx>
        <c:axId val="45685576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686584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211931</xdr:colOff>
      <xdr:row>0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4" name="Match0">
          <a:extLst>
            <a:ext uri="{FF2B5EF4-FFF2-40B4-BE49-F238E27FC236}">
              <a16:creationId xmlns:a16="http://schemas.microsoft.com/office/drawing/2014/main" id="{AE5BAA08-1A50-B4A0-A96E-05A68718BD73}"/>
            </a:ext>
          </a:extLst>
        </xdr:cNvPr>
        <xdr:cNvCxnSpPr/>
      </xdr:nvCxnSpPr>
      <xdr:spPr>
        <a:xfrm flipV="1">
          <a:off x="2331244" y="178594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5" name="Match1">
          <a:extLst>
            <a:ext uri="{FF2B5EF4-FFF2-40B4-BE49-F238E27FC236}">
              <a16:creationId xmlns:a16="http://schemas.microsoft.com/office/drawing/2014/main" id="{CB157FDB-879D-B177-09C4-9184BBE333E4}"/>
            </a:ext>
          </a:extLst>
        </xdr:cNvPr>
        <xdr:cNvCxnSpPr/>
      </xdr:nvCxnSpPr>
      <xdr:spPr>
        <a:xfrm flipV="1">
          <a:off x="4026694" y="892969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6" name="Match2">
          <a:extLst>
            <a:ext uri="{FF2B5EF4-FFF2-40B4-BE49-F238E27FC236}">
              <a16:creationId xmlns:a16="http://schemas.microsoft.com/office/drawing/2014/main" id="{222EA8F2-1D7B-B5CD-CD8E-0380B0C9E502}"/>
            </a:ext>
          </a:extLst>
        </xdr:cNvPr>
        <xdr:cNvCxnSpPr/>
      </xdr:nvCxnSpPr>
      <xdr:spPr>
        <a:xfrm>
          <a:off x="1059656" y="1250156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2</xdr:col>
      <xdr:colOff>211931</xdr:colOff>
      <xdr:row>7</xdr:row>
      <xdr:rowOff>178593</xdr:rowOff>
    </xdr:to>
    <xdr:cxnSp macro="">
      <xdr:nvCxnSpPr>
        <xdr:cNvPr id="7" name="Match3">
          <a:extLst>
            <a:ext uri="{FF2B5EF4-FFF2-40B4-BE49-F238E27FC236}">
              <a16:creationId xmlns:a16="http://schemas.microsoft.com/office/drawing/2014/main" id="{820716C7-BA44-1221-0654-82FDB3F08DF7}"/>
            </a:ext>
          </a:extLst>
        </xdr:cNvPr>
        <xdr:cNvCxnSpPr/>
      </xdr:nvCxnSpPr>
      <xdr:spPr>
        <a:xfrm flipV="1">
          <a:off x="1059656" y="1607344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8</xdr:col>
      <xdr:colOff>211931</xdr:colOff>
      <xdr:row>9</xdr:row>
      <xdr:rowOff>178593</xdr:rowOff>
    </xdr:to>
    <xdr:cxnSp macro="">
      <xdr:nvCxnSpPr>
        <xdr:cNvPr id="8" name="Match4">
          <a:extLst>
            <a:ext uri="{FF2B5EF4-FFF2-40B4-BE49-F238E27FC236}">
              <a16:creationId xmlns:a16="http://schemas.microsoft.com/office/drawing/2014/main" id="{2D148C78-E049-40CF-09BE-8C2BFB0487AA}"/>
            </a:ext>
          </a:extLst>
        </xdr:cNvPr>
        <xdr:cNvCxnSpPr/>
      </xdr:nvCxnSpPr>
      <xdr:spPr>
        <a:xfrm>
          <a:off x="3602831" y="196453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8</xdr:col>
      <xdr:colOff>211931</xdr:colOff>
      <xdr:row>9</xdr:row>
      <xdr:rowOff>178593</xdr:rowOff>
    </xdr:to>
    <xdr:cxnSp macro="">
      <xdr:nvCxnSpPr>
        <xdr:cNvPr id="9" name="Match5">
          <a:extLst>
            <a:ext uri="{FF2B5EF4-FFF2-40B4-BE49-F238E27FC236}">
              <a16:creationId xmlns:a16="http://schemas.microsoft.com/office/drawing/2014/main" id="{39DB92CA-05EF-FCC3-7AE9-B67B1FBD7F82}"/>
            </a:ext>
          </a:extLst>
        </xdr:cNvPr>
        <xdr:cNvCxnSpPr/>
      </xdr:nvCxnSpPr>
      <xdr:spPr>
        <a:xfrm flipV="1">
          <a:off x="3602831" y="196453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2</xdr:col>
      <xdr:colOff>211931</xdr:colOff>
      <xdr:row>0</xdr:row>
      <xdr:rowOff>178594</xdr:rowOff>
    </xdr:to>
    <xdr:cxnSp macro="">
      <xdr:nvCxnSpPr>
        <xdr:cNvPr id="10" name="Match6">
          <a:extLst>
            <a:ext uri="{FF2B5EF4-FFF2-40B4-BE49-F238E27FC236}">
              <a16:creationId xmlns:a16="http://schemas.microsoft.com/office/drawing/2014/main" id="{D4869498-C241-CAC7-3B90-B619CED062FF}"/>
            </a:ext>
          </a:extLst>
        </xdr:cNvPr>
        <xdr:cNvCxnSpPr/>
      </xdr:nvCxnSpPr>
      <xdr:spPr>
        <a:xfrm>
          <a:off x="63579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11" name="Match7">
          <a:extLst>
            <a:ext uri="{FF2B5EF4-FFF2-40B4-BE49-F238E27FC236}">
              <a16:creationId xmlns:a16="http://schemas.microsoft.com/office/drawing/2014/main" id="{53007D3E-EB37-E035-E7AA-74D7575D5953}"/>
            </a:ext>
          </a:extLst>
        </xdr:cNvPr>
        <xdr:cNvCxnSpPr/>
      </xdr:nvCxnSpPr>
      <xdr:spPr>
        <a:xfrm flipV="1">
          <a:off x="105965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1</xdr:row>
      <xdr:rowOff>178593</xdr:rowOff>
    </xdr:to>
    <xdr:cxnSp macro="">
      <xdr:nvCxnSpPr>
        <xdr:cNvPr id="12" name="Match8">
          <a:extLst>
            <a:ext uri="{FF2B5EF4-FFF2-40B4-BE49-F238E27FC236}">
              <a16:creationId xmlns:a16="http://schemas.microsoft.com/office/drawing/2014/main" id="{FDD3AEE3-EE30-3FAE-5BDB-F35853767089}"/>
            </a:ext>
          </a:extLst>
        </xdr:cNvPr>
        <xdr:cNvCxnSpPr/>
      </xdr:nvCxnSpPr>
      <xdr:spPr>
        <a:xfrm flipH="1">
          <a:off x="233124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13" name="Match9">
          <a:extLst>
            <a:ext uri="{FF2B5EF4-FFF2-40B4-BE49-F238E27FC236}">
              <a16:creationId xmlns:a16="http://schemas.microsoft.com/office/drawing/2014/main" id="{D5F15B54-992E-2DF4-A474-74FFA5641405}"/>
            </a:ext>
          </a:extLst>
        </xdr:cNvPr>
        <xdr:cNvCxnSpPr/>
      </xdr:nvCxnSpPr>
      <xdr:spPr>
        <a:xfrm flipH="1">
          <a:off x="2119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4</xdr:row>
      <xdr:rowOff>178594</xdr:rowOff>
    </xdr:to>
    <xdr:cxnSp macro="">
      <xdr:nvCxnSpPr>
        <xdr:cNvPr id="14" name="Match10">
          <a:extLst>
            <a:ext uri="{FF2B5EF4-FFF2-40B4-BE49-F238E27FC236}">
              <a16:creationId xmlns:a16="http://schemas.microsoft.com/office/drawing/2014/main" id="{5BEEF7C0-D021-B976-FD09-2F474BAD0350}"/>
            </a:ext>
          </a:extLst>
        </xdr:cNvPr>
        <xdr:cNvCxnSpPr/>
      </xdr:nvCxnSpPr>
      <xdr:spPr>
        <a:xfrm flipH="1">
          <a:off x="2119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3</xdr:row>
      <xdr:rowOff>203993</xdr:rowOff>
    </xdr:from>
    <xdr:to>
      <xdr:col>1</xdr:col>
      <xdr:colOff>237331</xdr:colOff>
      <xdr:row>3</xdr:row>
      <xdr:rowOff>203993</xdr:rowOff>
    </xdr:to>
    <xdr:cxnSp macro="">
      <xdr:nvCxnSpPr>
        <xdr:cNvPr id="15" name="Match11">
          <a:extLst>
            <a:ext uri="{FF2B5EF4-FFF2-40B4-BE49-F238E27FC236}">
              <a16:creationId xmlns:a16="http://schemas.microsoft.com/office/drawing/2014/main" id="{D10387E9-26B9-61A8-1FA5-5DE1FB50D751}"/>
            </a:ext>
          </a:extLst>
        </xdr:cNvPr>
        <xdr:cNvCxnSpPr/>
      </xdr:nvCxnSpPr>
      <xdr:spPr>
        <a:xfrm flipH="1">
          <a:off x="237331" y="12755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16" name="Match12">
          <a:extLst>
            <a:ext uri="{FF2B5EF4-FFF2-40B4-BE49-F238E27FC236}">
              <a16:creationId xmlns:a16="http://schemas.microsoft.com/office/drawing/2014/main" id="{8FE97322-394D-7A1F-B77E-AEDD9E33DDAD}"/>
            </a:ext>
          </a:extLst>
        </xdr:cNvPr>
        <xdr:cNvCxnSpPr/>
      </xdr:nvCxnSpPr>
      <xdr:spPr>
        <a:xfrm>
          <a:off x="190738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17" name="Match13">
          <a:extLst>
            <a:ext uri="{FF2B5EF4-FFF2-40B4-BE49-F238E27FC236}">
              <a16:creationId xmlns:a16="http://schemas.microsoft.com/office/drawing/2014/main" id="{8AB22811-1D75-4FE4-0AFF-9061DFC28A91}"/>
            </a:ext>
          </a:extLst>
        </xdr:cNvPr>
        <xdr:cNvCxnSpPr/>
      </xdr:nvCxnSpPr>
      <xdr:spPr>
        <a:xfrm flipH="1">
          <a:off x="2119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4</xdr:row>
      <xdr:rowOff>203994</xdr:rowOff>
    </xdr:from>
    <xdr:to>
      <xdr:col>1</xdr:col>
      <xdr:colOff>237331</xdr:colOff>
      <xdr:row>4</xdr:row>
      <xdr:rowOff>203994</xdr:rowOff>
    </xdr:to>
    <xdr:cxnSp macro="">
      <xdr:nvCxnSpPr>
        <xdr:cNvPr id="18" name="Match14">
          <a:extLst>
            <a:ext uri="{FF2B5EF4-FFF2-40B4-BE49-F238E27FC236}">
              <a16:creationId xmlns:a16="http://schemas.microsoft.com/office/drawing/2014/main" id="{F0CA900E-CEC2-36D7-1D84-CD4EAB074D08}"/>
            </a:ext>
          </a:extLst>
        </xdr:cNvPr>
        <xdr:cNvCxnSpPr/>
      </xdr:nvCxnSpPr>
      <xdr:spPr>
        <a:xfrm flipH="1">
          <a:off x="237331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3</xdr:row>
      <xdr:rowOff>229393</xdr:rowOff>
    </xdr:from>
    <xdr:to>
      <xdr:col>1</xdr:col>
      <xdr:colOff>262731</xdr:colOff>
      <xdr:row>4</xdr:row>
      <xdr:rowOff>229394</xdr:rowOff>
    </xdr:to>
    <xdr:cxnSp macro="">
      <xdr:nvCxnSpPr>
        <xdr:cNvPr id="19" name="Match15">
          <a:extLst>
            <a:ext uri="{FF2B5EF4-FFF2-40B4-BE49-F238E27FC236}">
              <a16:creationId xmlns:a16="http://schemas.microsoft.com/office/drawing/2014/main" id="{10C715AB-7674-569D-C908-C0FC7330EC55}"/>
            </a:ext>
          </a:extLst>
        </xdr:cNvPr>
        <xdr:cNvCxnSpPr/>
      </xdr:nvCxnSpPr>
      <xdr:spPr>
        <a:xfrm flipH="1" flipV="1">
          <a:off x="262731" y="130095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20" name="Match16">
          <a:extLst>
            <a:ext uri="{FF2B5EF4-FFF2-40B4-BE49-F238E27FC236}">
              <a16:creationId xmlns:a16="http://schemas.microsoft.com/office/drawing/2014/main" id="{84292A7C-F62E-7AE6-7A1E-06D318D01915}"/>
            </a:ext>
          </a:extLst>
        </xdr:cNvPr>
        <xdr:cNvCxnSpPr/>
      </xdr:nvCxnSpPr>
      <xdr:spPr>
        <a:xfrm flipH="1">
          <a:off x="44505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10</xdr:col>
      <xdr:colOff>211931</xdr:colOff>
      <xdr:row>8</xdr:row>
      <xdr:rowOff>178594</xdr:rowOff>
    </xdr:to>
    <xdr:cxnSp macro="">
      <xdr:nvCxnSpPr>
        <xdr:cNvPr id="21" name="Match17">
          <a:extLst>
            <a:ext uri="{FF2B5EF4-FFF2-40B4-BE49-F238E27FC236}">
              <a16:creationId xmlns:a16="http://schemas.microsoft.com/office/drawing/2014/main" id="{83D6B4B1-BCAB-CFCA-C0A5-6078A2E67C27}"/>
            </a:ext>
          </a:extLst>
        </xdr:cNvPr>
        <xdr:cNvCxnSpPr/>
      </xdr:nvCxnSpPr>
      <xdr:spPr>
        <a:xfrm>
          <a:off x="40266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7</xdr:row>
      <xdr:rowOff>203993</xdr:rowOff>
    </xdr:from>
    <xdr:to>
      <xdr:col>9</xdr:col>
      <xdr:colOff>237331</xdr:colOff>
      <xdr:row>7</xdr:row>
      <xdr:rowOff>203993</xdr:rowOff>
    </xdr:to>
    <xdr:cxnSp macro="">
      <xdr:nvCxnSpPr>
        <xdr:cNvPr id="22" name="Match18">
          <a:extLst>
            <a:ext uri="{FF2B5EF4-FFF2-40B4-BE49-F238E27FC236}">
              <a16:creationId xmlns:a16="http://schemas.microsoft.com/office/drawing/2014/main" id="{A0AB3D89-08D8-DB2F-CBC7-27FCCBF9C5D3}"/>
            </a:ext>
          </a:extLst>
        </xdr:cNvPr>
        <xdr:cNvCxnSpPr/>
      </xdr:nvCxnSpPr>
      <xdr:spPr>
        <a:xfrm flipH="1">
          <a:off x="3628231" y="270430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6</xdr:row>
      <xdr:rowOff>229394</xdr:rowOff>
    </xdr:from>
    <xdr:to>
      <xdr:col>10</xdr:col>
      <xdr:colOff>262731</xdr:colOff>
      <xdr:row>7</xdr:row>
      <xdr:rowOff>229393</xdr:rowOff>
    </xdr:to>
    <xdr:cxnSp macro="">
      <xdr:nvCxnSpPr>
        <xdr:cNvPr id="23" name="Match19">
          <a:extLst>
            <a:ext uri="{FF2B5EF4-FFF2-40B4-BE49-F238E27FC236}">
              <a16:creationId xmlns:a16="http://schemas.microsoft.com/office/drawing/2014/main" id="{4014DF10-9425-E025-73DE-4AF14C517FD8}"/>
            </a:ext>
          </a:extLst>
        </xdr:cNvPr>
        <xdr:cNvCxnSpPr/>
      </xdr:nvCxnSpPr>
      <xdr:spPr>
        <a:xfrm flipV="1">
          <a:off x="4077494" y="2372519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7</xdr:col>
      <xdr:colOff>211931</xdr:colOff>
      <xdr:row>10</xdr:row>
      <xdr:rowOff>178594</xdr:rowOff>
    </xdr:to>
    <xdr:cxnSp macro="">
      <xdr:nvCxnSpPr>
        <xdr:cNvPr id="24" name="Match20">
          <a:extLst>
            <a:ext uri="{FF2B5EF4-FFF2-40B4-BE49-F238E27FC236}">
              <a16:creationId xmlns:a16="http://schemas.microsoft.com/office/drawing/2014/main" id="{08696390-D263-0718-8278-84B839D3DA0B}"/>
            </a:ext>
          </a:extLst>
        </xdr:cNvPr>
        <xdr:cNvCxnSpPr/>
      </xdr:nvCxnSpPr>
      <xdr:spPr>
        <a:xfrm>
          <a:off x="275510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10</xdr:row>
      <xdr:rowOff>178594</xdr:rowOff>
    </xdr:to>
    <xdr:cxnSp macro="">
      <xdr:nvCxnSpPr>
        <xdr:cNvPr id="25" name="Match21">
          <a:extLst>
            <a:ext uri="{FF2B5EF4-FFF2-40B4-BE49-F238E27FC236}">
              <a16:creationId xmlns:a16="http://schemas.microsoft.com/office/drawing/2014/main" id="{67EA8024-6CFC-A229-F2D6-418874455CF6}"/>
            </a:ext>
          </a:extLst>
        </xdr:cNvPr>
        <xdr:cNvCxnSpPr/>
      </xdr:nvCxnSpPr>
      <xdr:spPr>
        <a:xfrm flipH="1">
          <a:off x="3178969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9</xdr:row>
      <xdr:rowOff>203993</xdr:rowOff>
    </xdr:from>
    <xdr:to>
      <xdr:col>9</xdr:col>
      <xdr:colOff>237331</xdr:colOff>
      <xdr:row>10</xdr:row>
      <xdr:rowOff>203994</xdr:rowOff>
    </xdr:to>
    <xdr:cxnSp macro="">
      <xdr:nvCxnSpPr>
        <xdr:cNvPr id="26" name="Match22">
          <a:extLst>
            <a:ext uri="{FF2B5EF4-FFF2-40B4-BE49-F238E27FC236}">
              <a16:creationId xmlns:a16="http://schemas.microsoft.com/office/drawing/2014/main" id="{A7E76D3E-20AF-4D10-F4E3-61AAEF6632A5}"/>
            </a:ext>
          </a:extLst>
        </xdr:cNvPr>
        <xdr:cNvCxnSpPr/>
      </xdr:nvCxnSpPr>
      <xdr:spPr>
        <a:xfrm flipV="1">
          <a:off x="362823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7</xdr:col>
      <xdr:colOff>211931</xdr:colOff>
      <xdr:row>11</xdr:row>
      <xdr:rowOff>178593</xdr:rowOff>
    </xdr:to>
    <xdr:cxnSp macro="">
      <xdr:nvCxnSpPr>
        <xdr:cNvPr id="27" name="Match23">
          <a:extLst>
            <a:ext uri="{FF2B5EF4-FFF2-40B4-BE49-F238E27FC236}">
              <a16:creationId xmlns:a16="http://schemas.microsoft.com/office/drawing/2014/main" id="{33AAB2B7-193F-73AF-0103-495829E41319}"/>
            </a:ext>
          </a:extLst>
        </xdr:cNvPr>
        <xdr:cNvCxnSpPr/>
      </xdr:nvCxnSpPr>
      <xdr:spPr>
        <a:xfrm flipV="1">
          <a:off x="275510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7</xdr:col>
      <xdr:colOff>211931</xdr:colOff>
      <xdr:row>11</xdr:row>
      <xdr:rowOff>178593</xdr:rowOff>
    </xdr:to>
    <xdr:cxnSp macro="">
      <xdr:nvCxnSpPr>
        <xdr:cNvPr id="28" name="Match24">
          <a:extLst>
            <a:ext uri="{FF2B5EF4-FFF2-40B4-BE49-F238E27FC236}">
              <a16:creationId xmlns:a16="http://schemas.microsoft.com/office/drawing/2014/main" id="{931AAFEF-835B-C55A-7E89-E207C953C1C5}"/>
            </a:ext>
          </a:extLst>
        </xdr:cNvPr>
        <xdr:cNvCxnSpPr/>
      </xdr:nvCxnSpPr>
      <xdr:spPr>
        <a:xfrm flipV="1">
          <a:off x="317896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0</xdr:col>
      <xdr:colOff>211931</xdr:colOff>
      <xdr:row>7</xdr:row>
      <xdr:rowOff>178593</xdr:rowOff>
    </xdr:to>
    <xdr:cxnSp macro="">
      <xdr:nvCxnSpPr>
        <xdr:cNvPr id="29" name="Match25">
          <a:extLst>
            <a:ext uri="{FF2B5EF4-FFF2-40B4-BE49-F238E27FC236}">
              <a16:creationId xmlns:a16="http://schemas.microsoft.com/office/drawing/2014/main" id="{5B8C2D5B-E1DF-C09B-7452-2B64CE83C12E}"/>
            </a:ext>
          </a:extLst>
        </xdr:cNvPr>
        <xdr:cNvCxnSpPr/>
      </xdr:nvCxnSpPr>
      <xdr:spPr>
        <a:xfrm flipV="1">
          <a:off x="211931" y="892969"/>
          <a:ext cx="0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3</xdr:row>
      <xdr:rowOff>178593</xdr:rowOff>
    </xdr:from>
    <xdr:to>
      <xdr:col>11</xdr:col>
      <xdr:colOff>211931</xdr:colOff>
      <xdr:row>7</xdr:row>
      <xdr:rowOff>178593</xdr:rowOff>
    </xdr:to>
    <xdr:cxnSp macro="">
      <xdr:nvCxnSpPr>
        <xdr:cNvPr id="30" name="Match26">
          <a:extLst>
            <a:ext uri="{FF2B5EF4-FFF2-40B4-BE49-F238E27FC236}">
              <a16:creationId xmlns:a16="http://schemas.microsoft.com/office/drawing/2014/main" id="{ED0F21E3-9AEC-4A38-115C-B9245080B1C1}"/>
            </a:ext>
          </a:extLst>
        </xdr:cNvPr>
        <xdr:cNvCxnSpPr/>
      </xdr:nvCxnSpPr>
      <xdr:spPr>
        <a:xfrm>
          <a:off x="4874419" y="125015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7</xdr:col>
      <xdr:colOff>211931</xdr:colOff>
      <xdr:row>9</xdr:row>
      <xdr:rowOff>178593</xdr:rowOff>
    </xdr:to>
    <xdr:cxnSp macro="">
      <xdr:nvCxnSpPr>
        <xdr:cNvPr id="31" name="Match27">
          <a:extLst>
            <a:ext uri="{FF2B5EF4-FFF2-40B4-BE49-F238E27FC236}">
              <a16:creationId xmlns:a16="http://schemas.microsoft.com/office/drawing/2014/main" id="{73111314-AAE2-7986-ACE5-D1D0325F6288}"/>
            </a:ext>
          </a:extLst>
        </xdr:cNvPr>
        <xdr:cNvCxnSpPr/>
      </xdr:nvCxnSpPr>
      <xdr:spPr>
        <a:xfrm flipV="1">
          <a:off x="1483519" y="196453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10</xdr:col>
      <xdr:colOff>211931</xdr:colOff>
      <xdr:row>4</xdr:row>
      <xdr:rowOff>178594</xdr:rowOff>
    </xdr:to>
    <xdr:cxnSp macro="">
      <xdr:nvCxnSpPr>
        <xdr:cNvPr id="32" name="Match28">
          <a:extLst>
            <a:ext uri="{FF2B5EF4-FFF2-40B4-BE49-F238E27FC236}">
              <a16:creationId xmlns:a16="http://schemas.microsoft.com/office/drawing/2014/main" id="{EC9A290C-BA06-8D3B-A929-8360168CB6EA}"/>
            </a:ext>
          </a:extLst>
        </xdr:cNvPr>
        <xdr:cNvCxnSpPr/>
      </xdr:nvCxnSpPr>
      <xdr:spPr>
        <a:xfrm flipH="1">
          <a:off x="3602831" y="160734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3</xdr:row>
      <xdr:rowOff>203993</xdr:rowOff>
    </xdr:from>
    <xdr:to>
      <xdr:col>10</xdr:col>
      <xdr:colOff>237331</xdr:colOff>
      <xdr:row>5</xdr:row>
      <xdr:rowOff>203993</xdr:rowOff>
    </xdr:to>
    <xdr:cxnSp macro="">
      <xdr:nvCxnSpPr>
        <xdr:cNvPr id="33" name="Match29">
          <a:extLst>
            <a:ext uri="{FF2B5EF4-FFF2-40B4-BE49-F238E27FC236}">
              <a16:creationId xmlns:a16="http://schemas.microsoft.com/office/drawing/2014/main" id="{863CFAA0-8912-4FE9-2CC0-CA06C1E8F09D}"/>
            </a:ext>
          </a:extLst>
        </xdr:cNvPr>
        <xdr:cNvCxnSpPr/>
      </xdr:nvCxnSpPr>
      <xdr:spPr>
        <a:xfrm flipV="1">
          <a:off x="3628231" y="1275556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2</xdr:col>
      <xdr:colOff>211931</xdr:colOff>
      <xdr:row>10</xdr:row>
      <xdr:rowOff>178594</xdr:rowOff>
    </xdr:to>
    <xdr:cxnSp macro="">
      <xdr:nvCxnSpPr>
        <xdr:cNvPr id="34" name="Match30">
          <a:extLst>
            <a:ext uri="{FF2B5EF4-FFF2-40B4-BE49-F238E27FC236}">
              <a16:creationId xmlns:a16="http://schemas.microsoft.com/office/drawing/2014/main" id="{1987F26D-F228-94AD-2AA6-4955E63DA5F4}"/>
            </a:ext>
          </a:extLst>
        </xdr:cNvPr>
        <xdr:cNvCxnSpPr/>
      </xdr:nvCxnSpPr>
      <xdr:spPr>
        <a:xfrm flipV="1">
          <a:off x="211931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2</xdr:col>
      <xdr:colOff>211931</xdr:colOff>
      <xdr:row>10</xdr:row>
      <xdr:rowOff>178594</xdr:rowOff>
    </xdr:to>
    <xdr:cxnSp macro="">
      <xdr:nvCxnSpPr>
        <xdr:cNvPr id="35" name="Match31">
          <a:extLst>
            <a:ext uri="{FF2B5EF4-FFF2-40B4-BE49-F238E27FC236}">
              <a16:creationId xmlns:a16="http://schemas.microsoft.com/office/drawing/2014/main" id="{9879EAA4-F508-90C3-1E8E-73A8C897CFD9}"/>
            </a:ext>
          </a:extLst>
        </xdr:cNvPr>
        <xdr:cNvCxnSpPr/>
      </xdr:nvCxnSpPr>
      <xdr:spPr>
        <a:xfrm flipV="1">
          <a:off x="1059656" y="30360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8</xdr:col>
      <xdr:colOff>211931</xdr:colOff>
      <xdr:row>4</xdr:row>
      <xdr:rowOff>178594</xdr:rowOff>
    </xdr:to>
    <xdr:cxnSp macro="">
      <xdr:nvCxnSpPr>
        <xdr:cNvPr id="36" name="Match32">
          <a:extLst>
            <a:ext uri="{FF2B5EF4-FFF2-40B4-BE49-F238E27FC236}">
              <a16:creationId xmlns:a16="http://schemas.microsoft.com/office/drawing/2014/main" id="{24C78973-EE2F-E352-F48D-8A468EDA73DC}"/>
            </a:ext>
          </a:extLst>
        </xdr:cNvPr>
        <xdr:cNvCxnSpPr/>
      </xdr:nvCxnSpPr>
      <xdr:spPr>
        <a:xfrm flipV="1">
          <a:off x="3602831" y="89296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0</xdr:col>
      <xdr:colOff>211931</xdr:colOff>
      <xdr:row>8</xdr:row>
      <xdr:rowOff>178594</xdr:rowOff>
    </xdr:to>
    <xdr:cxnSp macro="">
      <xdr:nvCxnSpPr>
        <xdr:cNvPr id="37" name="Match33">
          <a:extLst>
            <a:ext uri="{FF2B5EF4-FFF2-40B4-BE49-F238E27FC236}">
              <a16:creationId xmlns:a16="http://schemas.microsoft.com/office/drawing/2014/main" id="{631115C6-B9A9-EC91-8B35-0D53055ED6B5}"/>
            </a:ext>
          </a:extLst>
        </xdr:cNvPr>
        <xdr:cNvCxnSpPr/>
      </xdr:nvCxnSpPr>
      <xdr:spPr>
        <a:xfrm>
          <a:off x="211931" y="232171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6</xdr:row>
      <xdr:rowOff>203994</xdr:rowOff>
    </xdr:from>
    <xdr:to>
      <xdr:col>7</xdr:col>
      <xdr:colOff>237331</xdr:colOff>
      <xdr:row>8</xdr:row>
      <xdr:rowOff>203994</xdr:rowOff>
    </xdr:to>
    <xdr:cxnSp macro="">
      <xdr:nvCxnSpPr>
        <xdr:cNvPr id="38" name="Match34">
          <a:extLst>
            <a:ext uri="{FF2B5EF4-FFF2-40B4-BE49-F238E27FC236}">
              <a16:creationId xmlns:a16="http://schemas.microsoft.com/office/drawing/2014/main" id="{9F3336C3-42B6-810E-950C-4B822DB940C7}"/>
            </a:ext>
          </a:extLst>
        </xdr:cNvPr>
        <xdr:cNvCxnSpPr/>
      </xdr:nvCxnSpPr>
      <xdr:spPr>
        <a:xfrm>
          <a:off x="2356644" y="2347119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39" name="Match35">
          <a:extLst>
            <a:ext uri="{FF2B5EF4-FFF2-40B4-BE49-F238E27FC236}">
              <a16:creationId xmlns:a16="http://schemas.microsoft.com/office/drawing/2014/main" id="{0C257924-FBA3-D51A-4469-5F4A3C5B3A51}"/>
            </a:ext>
          </a:extLst>
        </xdr:cNvPr>
        <xdr:cNvCxnSpPr/>
      </xdr:nvCxnSpPr>
      <xdr:spPr>
        <a:xfrm>
          <a:off x="2331244" y="267890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40" name="Match36">
          <a:extLst>
            <a:ext uri="{FF2B5EF4-FFF2-40B4-BE49-F238E27FC236}">
              <a16:creationId xmlns:a16="http://schemas.microsoft.com/office/drawing/2014/main" id="{54C5055E-5309-89EE-F450-42706E9551B1}"/>
            </a:ext>
          </a:extLst>
        </xdr:cNvPr>
        <xdr:cNvCxnSpPr/>
      </xdr:nvCxnSpPr>
      <xdr:spPr>
        <a:xfrm>
          <a:off x="105965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4</xdr:col>
      <xdr:colOff>211931</xdr:colOff>
      <xdr:row>5</xdr:row>
      <xdr:rowOff>178593</xdr:rowOff>
    </xdr:to>
    <xdr:cxnSp macro="">
      <xdr:nvCxnSpPr>
        <xdr:cNvPr id="41" name="Match37">
          <a:extLst>
            <a:ext uri="{FF2B5EF4-FFF2-40B4-BE49-F238E27FC236}">
              <a16:creationId xmlns:a16="http://schemas.microsoft.com/office/drawing/2014/main" id="{1C4B30CB-16F3-9F3A-494B-BBBB7A1EFC05}"/>
            </a:ext>
          </a:extLst>
        </xdr:cNvPr>
        <xdr:cNvCxnSpPr/>
      </xdr:nvCxnSpPr>
      <xdr:spPr>
        <a:xfrm>
          <a:off x="148351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4</xdr:row>
      <xdr:rowOff>203994</xdr:rowOff>
    </xdr:from>
    <xdr:to>
      <xdr:col>3</xdr:col>
      <xdr:colOff>237331</xdr:colOff>
      <xdr:row>4</xdr:row>
      <xdr:rowOff>203994</xdr:rowOff>
    </xdr:to>
    <xdr:cxnSp macro="">
      <xdr:nvCxnSpPr>
        <xdr:cNvPr id="42" name="Match38">
          <a:extLst>
            <a:ext uri="{FF2B5EF4-FFF2-40B4-BE49-F238E27FC236}">
              <a16:creationId xmlns:a16="http://schemas.microsoft.com/office/drawing/2014/main" id="{119BCC0E-35BB-0C54-17F5-18D619EF3DDE}"/>
            </a:ext>
          </a:extLst>
        </xdr:cNvPr>
        <xdr:cNvCxnSpPr/>
      </xdr:nvCxnSpPr>
      <xdr:spPr>
        <a:xfrm flipH="1">
          <a:off x="1085056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43" name="Match39">
          <a:extLst>
            <a:ext uri="{FF2B5EF4-FFF2-40B4-BE49-F238E27FC236}">
              <a16:creationId xmlns:a16="http://schemas.microsoft.com/office/drawing/2014/main" id="{D8A6AC08-08B1-6670-C38B-6B7B1117C3E0}"/>
            </a:ext>
          </a:extLst>
        </xdr:cNvPr>
        <xdr:cNvCxnSpPr/>
      </xdr:nvCxnSpPr>
      <xdr:spPr>
        <a:xfrm>
          <a:off x="1907381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4</xdr:row>
      <xdr:rowOff>203994</xdr:rowOff>
    </xdr:from>
    <xdr:to>
      <xdr:col>4</xdr:col>
      <xdr:colOff>237331</xdr:colOff>
      <xdr:row>5</xdr:row>
      <xdr:rowOff>203993</xdr:rowOff>
    </xdr:to>
    <xdr:cxnSp macro="">
      <xdr:nvCxnSpPr>
        <xdr:cNvPr id="44" name="Match40">
          <a:extLst>
            <a:ext uri="{FF2B5EF4-FFF2-40B4-BE49-F238E27FC236}">
              <a16:creationId xmlns:a16="http://schemas.microsoft.com/office/drawing/2014/main" id="{6772DFD7-73D0-FDE5-D76C-17AD685B6125}"/>
            </a:ext>
          </a:extLst>
        </xdr:cNvPr>
        <xdr:cNvCxnSpPr/>
      </xdr:nvCxnSpPr>
      <xdr:spPr>
        <a:xfrm flipH="1" flipV="1">
          <a:off x="1508919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6</xdr:row>
      <xdr:rowOff>178594</xdr:rowOff>
    </xdr:to>
    <xdr:cxnSp macro="">
      <xdr:nvCxnSpPr>
        <xdr:cNvPr id="45" name="Match41">
          <a:extLst>
            <a:ext uri="{FF2B5EF4-FFF2-40B4-BE49-F238E27FC236}">
              <a16:creationId xmlns:a16="http://schemas.microsoft.com/office/drawing/2014/main" id="{08BB1682-1969-3AA3-CEDC-41A59D3DB57D}"/>
            </a:ext>
          </a:extLst>
        </xdr:cNvPr>
        <xdr:cNvCxnSpPr/>
      </xdr:nvCxnSpPr>
      <xdr:spPr>
        <a:xfrm>
          <a:off x="635794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6</xdr:row>
      <xdr:rowOff>203994</xdr:rowOff>
    </xdr:from>
    <xdr:to>
      <xdr:col>1</xdr:col>
      <xdr:colOff>237331</xdr:colOff>
      <xdr:row>7</xdr:row>
      <xdr:rowOff>203993</xdr:rowOff>
    </xdr:to>
    <xdr:cxnSp macro="">
      <xdr:nvCxnSpPr>
        <xdr:cNvPr id="46" name="Match42">
          <a:extLst>
            <a:ext uri="{FF2B5EF4-FFF2-40B4-BE49-F238E27FC236}">
              <a16:creationId xmlns:a16="http://schemas.microsoft.com/office/drawing/2014/main" id="{E731E7D9-8961-71D8-7085-6576B2833A3E}"/>
            </a:ext>
          </a:extLst>
        </xdr:cNvPr>
        <xdr:cNvCxnSpPr/>
      </xdr:nvCxnSpPr>
      <xdr:spPr>
        <a:xfrm>
          <a:off x="661194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7</xdr:row>
      <xdr:rowOff>178593</xdr:rowOff>
    </xdr:to>
    <xdr:cxnSp macro="">
      <xdr:nvCxnSpPr>
        <xdr:cNvPr id="47" name="Match43">
          <a:extLst>
            <a:ext uri="{FF2B5EF4-FFF2-40B4-BE49-F238E27FC236}">
              <a16:creationId xmlns:a16="http://schemas.microsoft.com/office/drawing/2014/main" id="{FA120444-D8A0-E281-D364-61C2EA6172A7}"/>
            </a:ext>
          </a:extLst>
        </xdr:cNvPr>
        <xdr:cNvCxnSpPr/>
      </xdr:nvCxnSpPr>
      <xdr:spPr>
        <a:xfrm flipH="1">
          <a:off x="6357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6</xdr:row>
      <xdr:rowOff>203994</xdr:rowOff>
    </xdr:from>
    <xdr:to>
      <xdr:col>2</xdr:col>
      <xdr:colOff>237331</xdr:colOff>
      <xdr:row>6</xdr:row>
      <xdr:rowOff>203994</xdr:rowOff>
    </xdr:to>
    <xdr:cxnSp macro="">
      <xdr:nvCxnSpPr>
        <xdr:cNvPr id="48" name="Match44">
          <a:extLst>
            <a:ext uri="{FF2B5EF4-FFF2-40B4-BE49-F238E27FC236}">
              <a16:creationId xmlns:a16="http://schemas.microsoft.com/office/drawing/2014/main" id="{3B88C213-D2ED-E827-EF0F-3F0E02761142}"/>
            </a:ext>
          </a:extLst>
        </xdr:cNvPr>
        <xdr:cNvCxnSpPr/>
      </xdr:nvCxnSpPr>
      <xdr:spPr>
        <a:xfrm flipH="1">
          <a:off x="661194" y="234711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49" name="Match45">
          <a:extLst>
            <a:ext uri="{FF2B5EF4-FFF2-40B4-BE49-F238E27FC236}">
              <a16:creationId xmlns:a16="http://schemas.microsoft.com/office/drawing/2014/main" id="{00320333-CD85-FC6C-6F90-805AC792FF47}"/>
            </a:ext>
          </a:extLst>
        </xdr:cNvPr>
        <xdr:cNvCxnSpPr/>
      </xdr:nvCxnSpPr>
      <xdr:spPr>
        <a:xfrm>
          <a:off x="190738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5</xdr:row>
      <xdr:rowOff>203993</xdr:rowOff>
    </xdr:from>
    <xdr:to>
      <xdr:col>4</xdr:col>
      <xdr:colOff>237331</xdr:colOff>
      <xdr:row>6</xdr:row>
      <xdr:rowOff>203994</xdr:rowOff>
    </xdr:to>
    <xdr:cxnSp macro="">
      <xdr:nvCxnSpPr>
        <xdr:cNvPr id="50" name="Match46">
          <a:extLst>
            <a:ext uri="{FF2B5EF4-FFF2-40B4-BE49-F238E27FC236}">
              <a16:creationId xmlns:a16="http://schemas.microsoft.com/office/drawing/2014/main" id="{99D0A35F-BDC6-344A-3748-721BFB74B7FA}"/>
            </a:ext>
          </a:extLst>
        </xdr:cNvPr>
        <xdr:cNvCxnSpPr/>
      </xdr:nvCxnSpPr>
      <xdr:spPr>
        <a:xfrm flipV="1">
          <a:off x="1932781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51" name="Match47">
          <a:extLst>
            <a:ext uri="{FF2B5EF4-FFF2-40B4-BE49-F238E27FC236}">
              <a16:creationId xmlns:a16="http://schemas.microsoft.com/office/drawing/2014/main" id="{B3BEC7DD-AEBA-5702-D452-FD058F43A166}"/>
            </a:ext>
          </a:extLst>
        </xdr:cNvPr>
        <xdr:cNvCxnSpPr/>
      </xdr:nvCxnSpPr>
      <xdr:spPr>
        <a:xfrm flipV="1">
          <a:off x="635794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6</xdr:row>
      <xdr:rowOff>203994</xdr:rowOff>
    </xdr:from>
    <xdr:to>
      <xdr:col>2</xdr:col>
      <xdr:colOff>237331</xdr:colOff>
      <xdr:row>7</xdr:row>
      <xdr:rowOff>203993</xdr:rowOff>
    </xdr:to>
    <xdr:cxnSp macro="">
      <xdr:nvCxnSpPr>
        <xdr:cNvPr id="52" name="Match48">
          <a:extLst>
            <a:ext uri="{FF2B5EF4-FFF2-40B4-BE49-F238E27FC236}">
              <a16:creationId xmlns:a16="http://schemas.microsoft.com/office/drawing/2014/main" id="{373F7CCF-1C13-EFAE-EEAA-79A804B1C524}"/>
            </a:ext>
          </a:extLst>
        </xdr:cNvPr>
        <xdr:cNvCxnSpPr/>
      </xdr:nvCxnSpPr>
      <xdr:spPr>
        <a:xfrm flipV="1">
          <a:off x="66119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53" name="Match49">
          <a:extLst>
            <a:ext uri="{FF2B5EF4-FFF2-40B4-BE49-F238E27FC236}">
              <a16:creationId xmlns:a16="http://schemas.microsoft.com/office/drawing/2014/main" id="{C845875A-A75C-92F2-879D-61D3FC1EB71F}"/>
            </a:ext>
          </a:extLst>
        </xdr:cNvPr>
        <xdr:cNvCxnSpPr/>
      </xdr:nvCxnSpPr>
      <xdr:spPr>
        <a:xfrm>
          <a:off x="1907381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6</xdr:row>
      <xdr:rowOff>203994</xdr:rowOff>
    </xdr:from>
    <xdr:to>
      <xdr:col>4</xdr:col>
      <xdr:colOff>237331</xdr:colOff>
      <xdr:row>7</xdr:row>
      <xdr:rowOff>203993</xdr:rowOff>
    </xdr:to>
    <xdr:cxnSp macro="">
      <xdr:nvCxnSpPr>
        <xdr:cNvPr id="54" name="Match50">
          <a:extLst>
            <a:ext uri="{FF2B5EF4-FFF2-40B4-BE49-F238E27FC236}">
              <a16:creationId xmlns:a16="http://schemas.microsoft.com/office/drawing/2014/main" id="{49AC2738-9744-BA5E-8325-D09B17E7AD7E}"/>
            </a:ext>
          </a:extLst>
        </xdr:cNvPr>
        <xdr:cNvCxnSpPr/>
      </xdr:nvCxnSpPr>
      <xdr:spPr>
        <a:xfrm flipV="1">
          <a:off x="1932781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55" name="Match51">
          <a:extLst>
            <a:ext uri="{FF2B5EF4-FFF2-40B4-BE49-F238E27FC236}">
              <a16:creationId xmlns:a16="http://schemas.microsoft.com/office/drawing/2014/main" id="{80F2A0ED-E048-37A5-C6B2-BB9A8C2635E5}"/>
            </a:ext>
          </a:extLst>
        </xdr:cNvPr>
        <xdr:cNvCxnSpPr/>
      </xdr:nvCxnSpPr>
      <xdr:spPr>
        <a:xfrm flipV="1">
          <a:off x="1907381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56" name="Match52">
          <a:extLst>
            <a:ext uri="{FF2B5EF4-FFF2-40B4-BE49-F238E27FC236}">
              <a16:creationId xmlns:a16="http://schemas.microsoft.com/office/drawing/2014/main" id="{F0C666E4-341E-BA42-6027-D23460944B6C}"/>
            </a:ext>
          </a:extLst>
        </xdr:cNvPr>
        <xdr:cNvCxnSpPr/>
      </xdr:nvCxnSpPr>
      <xdr:spPr>
        <a:xfrm flipH="1">
          <a:off x="190738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57" name="Match53">
          <a:extLst>
            <a:ext uri="{FF2B5EF4-FFF2-40B4-BE49-F238E27FC236}">
              <a16:creationId xmlns:a16="http://schemas.microsoft.com/office/drawing/2014/main" id="{FF545EB4-31CA-0899-97F7-D88A2A6A27AD}"/>
            </a:ext>
          </a:extLst>
        </xdr:cNvPr>
        <xdr:cNvCxnSpPr/>
      </xdr:nvCxnSpPr>
      <xdr:spPr>
        <a:xfrm flipV="1">
          <a:off x="190738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11</xdr:row>
      <xdr:rowOff>203993</xdr:rowOff>
    </xdr:from>
    <xdr:to>
      <xdr:col>7</xdr:col>
      <xdr:colOff>237331</xdr:colOff>
      <xdr:row>11</xdr:row>
      <xdr:rowOff>203993</xdr:rowOff>
    </xdr:to>
    <xdr:cxnSp macro="">
      <xdr:nvCxnSpPr>
        <xdr:cNvPr id="58" name="Match54">
          <a:extLst>
            <a:ext uri="{FF2B5EF4-FFF2-40B4-BE49-F238E27FC236}">
              <a16:creationId xmlns:a16="http://schemas.microsoft.com/office/drawing/2014/main" id="{F7CCEBE1-BAB4-625A-FF0E-0D644362FCB2}"/>
            </a:ext>
          </a:extLst>
        </xdr:cNvPr>
        <xdr:cNvCxnSpPr/>
      </xdr:nvCxnSpPr>
      <xdr:spPr>
        <a:xfrm flipH="1">
          <a:off x="661194" y="4133056"/>
          <a:ext cx="254317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</xdr:row>
      <xdr:rowOff>203993</xdr:rowOff>
    </xdr:from>
    <xdr:to>
      <xdr:col>7</xdr:col>
      <xdr:colOff>237331</xdr:colOff>
      <xdr:row>1</xdr:row>
      <xdr:rowOff>203993</xdr:rowOff>
    </xdr:to>
    <xdr:cxnSp macro="">
      <xdr:nvCxnSpPr>
        <xdr:cNvPr id="59" name="Match55">
          <a:extLst>
            <a:ext uri="{FF2B5EF4-FFF2-40B4-BE49-F238E27FC236}">
              <a16:creationId xmlns:a16="http://schemas.microsoft.com/office/drawing/2014/main" id="{C4707DAF-5573-71BD-42F3-611CB9489A39}"/>
            </a:ext>
          </a:extLst>
        </xdr:cNvPr>
        <xdr:cNvCxnSpPr/>
      </xdr:nvCxnSpPr>
      <xdr:spPr>
        <a:xfrm>
          <a:off x="2780506" y="5611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288131</xdr:colOff>
      <xdr:row>4</xdr:row>
      <xdr:rowOff>254794</xdr:rowOff>
    </xdr:from>
    <xdr:to>
      <xdr:col>1</xdr:col>
      <xdr:colOff>288131</xdr:colOff>
      <xdr:row>5</xdr:row>
      <xdr:rowOff>254793</xdr:rowOff>
    </xdr:to>
    <xdr:cxnSp macro="">
      <xdr:nvCxnSpPr>
        <xdr:cNvPr id="60" name="Match56">
          <a:extLst>
            <a:ext uri="{FF2B5EF4-FFF2-40B4-BE49-F238E27FC236}">
              <a16:creationId xmlns:a16="http://schemas.microsoft.com/office/drawing/2014/main" id="{DC0AFB5B-C94F-FE6C-DFC1-0DC4A794D72B}"/>
            </a:ext>
          </a:extLst>
        </xdr:cNvPr>
        <xdr:cNvCxnSpPr/>
      </xdr:nvCxnSpPr>
      <xdr:spPr>
        <a:xfrm>
          <a:off x="711994" y="1683544"/>
          <a:ext cx="0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6</xdr:col>
      <xdr:colOff>211931</xdr:colOff>
      <xdr:row>8</xdr:row>
      <xdr:rowOff>178594</xdr:rowOff>
    </xdr:to>
    <xdr:cxnSp macro="">
      <xdr:nvCxnSpPr>
        <xdr:cNvPr id="61" name="Match57">
          <a:extLst>
            <a:ext uri="{FF2B5EF4-FFF2-40B4-BE49-F238E27FC236}">
              <a16:creationId xmlns:a16="http://schemas.microsoft.com/office/drawing/2014/main" id="{6211D1DC-A0C7-0A85-F22E-5088404FEA44}"/>
            </a:ext>
          </a:extLst>
        </xdr:cNvPr>
        <xdr:cNvCxnSpPr/>
      </xdr:nvCxnSpPr>
      <xdr:spPr>
        <a:xfrm flipH="1">
          <a:off x="233124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7</xdr:row>
      <xdr:rowOff>203993</xdr:rowOff>
    </xdr:from>
    <xdr:to>
      <xdr:col>6</xdr:col>
      <xdr:colOff>237331</xdr:colOff>
      <xdr:row>8</xdr:row>
      <xdr:rowOff>203994</xdr:rowOff>
    </xdr:to>
    <xdr:cxnSp macro="">
      <xdr:nvCxnSpPr>
        <xdr:cNvPr id="62" name="Match58">
          <a:extLst>
            <a:ext uri="{FF2B5EF4-FFF2-40B4-BE49-F238E27FC236}">
              <a16:creationId xmlns:a16="http://schemas.microsoft.com/office/drawing/2014/main" id="{4968FBBE-F1CC-61F5-FE66-F2C3232EB636}"/>
            </a:ext>
          </a:extLst>
        </xdr:cNvPr>
        <xdr:cNvCxnSpPr/>
      </xdr:nvCxnSpPr>
      <xdr:spPr>
        <a:xfrm flipV="1">
          <a:off x="2780506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8</xdr:row>
      <xdr:rowOff>203994</xdr:rowOff>
    </xdr:from>
    <xdr:to>
      <xdr:col>6</xdr:col>
      <xdr:colOff>237331</xdr:colOff>
      <xdr:row>9</xdr:row>
      <xdr:rowOff>203993</xdr:rowOff>
    </xdr:to>
    <xdr:cxnSp macro="">
      <xdr:nvCxnSpPr>
        <xdr:cNvPr id="63" name="Match59">
          <a:extLst>
            <a:ext uri="{FF2B5EF4-FFF2-40B4-BE49-F238E27FC236}">
              <a16:creationId xmlns:a16="http://schemas.microsoft.com/office/drawing/2014/main" id="{CFB822D3-7D0E-6CFD-5BA7-29F22FE2B866}"/>
            </a:ext>
          </a:extLst>
        </xdr:cNvPr>
        <xdr:cNvCxnSpPr/>
      </xdr:nvCxnSpPr>
      <xdr:spPr>
        <a:xfrm flipH="1" flipV="1">
          <a:off x="2356644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5</xdr:col>
      <xdr:colOff>211931</xdr:colOff>
      <xdr:row>1</xdr:row>
      <xdr:rowOff>178593</xdr:rowOff>
    </xdr:to>
    <xdr:cxnSp macro="">
      <xdr:nvCxnSpPr>
        <xdr:cNvPr id="1024" name="Match60">
          <a:extLst>
            <a:ext uri="{FF2B5EF4-FFF2-40B4-BE49-F238E27FC236}">
              <a16:creationId xmlns:a16="http://schemas.microsoft.com/office/drawing/2014/main" id="{5BA78E37-B4F6-74A2-EC27-ADECAA9132C4}"/>
            </a:ext>
          </a:extLst>
        </xdr:cNvPr>
        <xdr:cNvCxnSpPr/>
      </xdr:nvCxnSpPr>
      <xdr:spPr>
        <a:xfrm>
          <a:off x="190738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10</xdr:col>
      <xdr:colOff>211931</xdr:colOff>
      <xdr:row>1</xdr:row>
      <xdr:rowOff>178593</xdr:rowOff>
    </xdr:to>
    <xdr:cxnSp macro="">
      <xdr:nvCxnSpPr>
        <xdr:cNvPr id="1025" name="Match61">
          <a:extLst>
            <a:ext uri="{FF2B5EF4-FFF2-40B4-BE49-F238E27FC236}">
              <a16:creationId xmlns:a16="http://schemas.microsoft.com/office/drawing/2014/main" id="{3592C0C7-C52E-7D6C-8BCC-CAE77235E6F1}"/>
            </a:ext>
          </a:extLst>
        </xdr:cNvPr>
        <xdr:cNvCxnSpPr/>
      </xdr:nvCxnSpPr>
      <xdr:spPr>
        <a:xfrm>
          <a:off x="402669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10</xdr:col>
      <xdr:colOff>211931</xdr:colOff>
      <xdr:row>2</xdr:row>
      <xdr:rowOff>178594</xdr:rowOff>
    </xdr:to>
    <xdr:cxnSp macro="">
      <xdr:nvCxnSpPr>
        <xdr:cNvPr id="1026" name="Match62">
          <a:extLst>
            <a:ext uri="{FF2B5EF4-FFF2-40B4-BE49-F238E27FC236}">
              <a16:creationId xmlns:a16="http://schemas.microsoft.com/office/drawing/2014/main" id="{9C373EDB-0FEC-E0F6-E629-8B95954A54F8}"/>
            </a:ext>
          </a:extLst>
        </xdr:cNvPr>
        <xdr:cNvCxnSpPr/>
      </xdr:nvCxnSpPr>
      <xdr:spPr>
        <a:xfrm flipV="1">
          <a:off x="445055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11</xdr:col>
      <xdr:colOff>211931</xdr:colOff>
      <xdr:row>2</xdr:row>
      <xdr:rowOff>178594</xdr:rowOff>
    </xdr:to>
    <xdr:cxnSp macro="">
      <xdr:nvCxnSpPr>
        <xdr:cNvPr id="1027" name="Match63">
          <a:extLst>
            <a:ext uri="{FF2B5EF4-FFF2-40B4-BE49-F238E27FC236}">
              <a16:creationId xmlns:a16="http://schemas.microsoft.com/office/drawing/2014/main" id="{C2DA9952-65BA-350E-57E9-716871B0B09D}"/>
            </a:ext>
          </a:extLst>
        </xdr:cNvPr>
        <xdr:cNvCxnSpPr/>
      </xdr:nvCxnSpPr>
      <xdr:spPr>
        <a:xfrm flipH="1" flipV="1">
          <a:off x="44505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5</xdr:row>
      <xdr:rowOff>203993</xdr:rowOff>
    </xdr:from>
    <xdr:to>
      <xdr:col>10</xdr:col>
      <xdr:colOff>237331</xdr:colOff>
      <xdr:row>6</xdr:row>
      <xdr:rowOff>203994</xdr:rowOff>
    </xdr:to>
    <xdr:cxnSp macro="">
      <xdr:nvCxnSpPr>
        <xdr:cNvPr id="1028" name="Match64">
          <a:extLst>
            <a:ext uri="{FF2B5EF4-FFF2-40B4-BE49-F238E27FC236}">
              <a16:creationId xmlns:a16="http://schemas.microsoft.com/office/drawing/2014/main" id="{DE9BCFA0-04FC-12B6-A4A3-5670A9B5756D}"/>
            </a:ext>
          </a:extLst>
        </xdr:cNvPr>
        <xdr:cNvCxnSpPr/>
      </xdr:nvCxnSpPr>
      <xdr:spPr>
        <a:xfrm>
          <a:off x="405209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7</xdr:row>
      <xdr:rowOff>178593</xdr:rowOff>
    </xdr:to>
    <xdr:cxnSp macro="">
      <xdr:nvCxnSpPr>
        <xdr:cNvPr id="1029" name="Match65">
          <a:extLst>
            <a:ext uri="{FF2B5EF4-FFF2-40B4-BE49-F238E27FC236}">
              <a16:creationId xmlns:a16="http://schemas.microsoft.com/office/drawing/2014/main" id="{B66DC355-2E44-A1EB-C8BE-18AE90C4DE47}"/>
            </a:ext>
          </a:extLst>
        </xdr:cNvPr>
        <xdr:cNvCxnSpPr/>
      </xdr:nvCxnSpPr>
      <xdr:spPr>
        <a:xfrm>
          <a:off x="317896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030" name="Match66">
          <a:extLst>
            <a:ext uri="{FF2B5EF4-FFF2-40B4-BE49-F238E27FC236}">
              <a16:creationId xmlns:a16="http://schemas.microsoft.com/office/drawing/2014/main" id="{703F5A8E-DA3D-A6BB-7DC7-4B194134E42B}"/>
            </a:ext>
          </a:extLst>
        </xdr:cNvPr>
        <xdr:cNvCxnSpPr/>
      </xdr:nvCxnSpPr>
      <xdr:spPr>
        <a:xfrm>
          <a:off x="402669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9</xdr:col>
      <xdr:colOff>237331</xdr:colOff>
      <xdr:row>9</xdr:row>
      <xdr:rowOff>203993</xdr:rowOff>
    </xdr:to>
    <xdr:cxnSp macro="">
      <xdr:nvCxnSpPr>
        <xdr:cNvPr id="1031" name="Match67">
          <a:extLst>
            <a:ext uri="{FF2B5EF4-FFF2-40B4-BE49-F238E27FC236}">
              <a16:creationId xmlns:a16="http://schemas.microsoft.com/office/drawing/2014/main" id="{5475C7A2-940D-51AB-AF53-004A082599D6}"/>
            </a:ext>
          </a:extLst>
        </xdr:cNvPr>
        <xdr:cNvCxnSpPr/>
      </xdr:nvCxnSpPr>
      <xdr:spPr>
        <a:xfrm>
          <a:off x="4052094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7</xdr:row>
      <xdr:rowOff>229393</xdr:rowOff>
    </xdr:from>
    <xdr:to>
      <xdr:col>9</xdr:col>
      <xdr:colOff>262731</xdr:colOff>
      <xdr:row>8</xdr:row>
      <xdr:rowOff>229394</xdr:rowOff>
    </xdr:to>
    <xdr:cxnSp macro="">
      <xdr:nvCxnSpPr>
        <xdr:cNvPr id="1032" name="Match68">
          <a:extLst>
            <a:ext uri="{FF2B5EF4-FFF2-40B4-BE49-F238E27FC236}">
              <a16:creationId xmlns:a16="http://schemas.microsoft.com/office/drawing/2014/main" id="{97DD82EE-0628-F248-EE9F-695384085F70}"/>
            </a:ext>
          </a:extLst>
        </xdr:cNvPr>
        <xdr:cNvCxnSpPr/>
      </xdr:nvCxnSpPr>
      <xdr:spPr>
        <a:xfrm flipH="1" flipV="1">
          <a:off x="3653631" y="272970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1033" name="Match69">
          <a:extLst>
            <a:ext uri="{FF2B5EF4-FFF2-40B4-BE49-F238E27FC236}">
              <a16:creationId xmlns:a16="http://schemas.microsoft.com/office/drawing/2014/main" id="{6D5E2846-C36A-927A-9CEB-8B86EEF39F18}"/>
            </a:ext>
          </a:extLst>
        </xdr:cNvPr>
        <xdr:cNvCxnSpPr/>
      </xdr:nvCxnSpPr>
      <xdr:spPr>
        <a:xfrm flipH="1" flipV="1">
          <a:off x="2119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3</xdr:col>
      <xdr:colOff>211931</xdr:colOff>
      <xdr:row>1</xdr:row>
      <xdr:rowOff>178593</xdr:rowOff>
    </xdr:to>
    <xdr:cxnSp macro="">
      <xdr:nvCxnSpPr>
        <xdr:cNvPr id="1034" name="Match70">
          <a:extLst>
            <a:ext uri="{FF2B5EF4-FFF2-40B4-BE49-F238E27FC236}">
              <a16:creationId xmlns:a16="http://schemas.microsoft.com/office/drawing/2014/main" id="{790DC5B7-CDAA-5786-103D-57F9B8DA942D}"/>
            </a:ext>
          </a:extLst>
        </xdr:cNvPr>
        <xdr:cNvCxnSpPr/>
      </xdr:nvCxnSpPr>
      <xdr:spPr>
        <a:xfrm flipH="1">
          <a:off x="635794" y="5357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1035" name="Match71">
          <a:extLst>
            <a:ext uri="{FF2B5EF4-FFF2-40B4-BE49-F238E27FC236}">
              <a16:creationId xmlns:a16="http://schemas.microsoft.com/office/drawing/2014/main" id="{00ABC632-ADF0-78E5-B6B9-54F3AB63F185}"/>
            </a:ext>
          </a:extLst>
        </xdr:cNvPr>
        <xdr:cNvCxnSpPr/>
      </xdr:nvCxnSpPr>
      <xdr:spPr>
        <a:xfrm>
          <a:off x="1483519" y="89296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4</xdr:col>
      <xdr:colOff>211931</xdr:colOff>
      <xdr:row>4</xdr:row>
      <xdr:rowOff>178594</xdr:rowOff>
    </xdr:to>
    <xdr:cxnSp macro="">
      <xdr:nvCxnSpPr>
        <xdr:cNvPr id="1036" name="Match72">
          <a:extLst>
            <a:ext uri="{FF2B5EF4-FFF2-40B4-BE49-F238E27FC236}">
              <a16:creationId xmlns:a16="http://schemas.microsoft.com/office/drawing/2014/main" id="{85D449AC-5432-4E43-835F-7FCBB4AFEFA7}"/>
            </a:ext>
          </a:extLst>
        </xdr:cNvPr>
        <xdr:cNvCxnSpPr/>
      </xdr:nvCxnSpPr>
      <xdr:spPr>
        <a:xfrm flipH="1">
          <a:off x="1059656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6</xdr:col>
      <xdr:colOff>211931</xdr:colOff>
      <xdr:row>2</xdr:row>
      <xdr:rowOff>178594</xdr:rowOff>
    </xdr:to>
    <xdr:cxnSp macro="">
      <xdr:nvCxnSpPr>
        <xdr:cNvPr id="1037" name="Match73">
          <a:extLst>
            <a:ext uri="{FF2B5EF4-FFF2-40B4-BE49-F238E27FC236}">
              <a16:creationId xmlns:a16="http://schemas.microsoft.com/office/drawing/2014/main" id="{5636E004-4457-6FD3-9F57-5B51F3508CB6}"/>
            </a:ext>
          </a:extLst>
        </xdr:cNvPr>
        <xdr:cNvCxnSpPr/>
      </xdr:nvCxnSpPr>
      <xdr:spPr>
        <a:xfrm flipV="1">
          <a:off x="2755106" y="1785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9AA3573B-2046-EFB5-A00E-9329B38DAD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B12" sqref="B1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5</v>
      </c>
      <c r="B1" s="23">
        <v>3</v>
      </c>
      <c r="C1" s="23">
        <v>6</v>
      </c>
      <c r="D1" s="27">
        <v>2</v>
      </c>
      <c r="E1" s="27">
        <v>7</v>
      </c>
      <c r="F1" s="22">
        <v>7</v>
      </c>
      <c r="G1" s="23">
        <v>9</v>
      </c>
      <c r="H1" s="27">
        <v>8</v>
      </c>
      <c r="I1" s="27">
        <v>7</v>
      </c>
      <c r="J1" s="27">
        <v>5</v>
      </c>
      <c r="K1" s="27">
        <v>5</v>
      </c>
      <c r="L1" s="27">
        <v>2</v>
      </c>
      <c r="N1" s="2">
        <v>1165167</v>
      </c>
      <c r="O1" s="1">
        <v>1</v>
      </c>
    </row>
    <row r="2" spans="1:15" s="2" customFormat="1" ht="28.25" customHeight="1">
      <c r="A2" s="27">
        <v>7</v>
      </c>
      <c r="B2" s="22">
        <v>9</v>
      </c>
      <c r="C2" s="22">
        <v>3</v>
      </c>
      <c r="D2" s="22">
        <v>5</v>
      </c>
      <c r="E2" s="23">
        <v>8</v>
      </c>
      <c r="F2" s="22">
        <v>6</v>
      </c>
      <c r="G2" s="23">
        <v>3</v>
      </c>
      <c r="H2" s="23">
        <v>4</v>
      </c>
      <c r="I2" s="27">
        <v>7</v>
      </c>
      <c r="J2" s="23">
        <v>8</v>
      </c>
      <c r="K2" s="23">
        <v>6</v>
      </c>
      <c r="L2" s="27">
        <v>9</v>
      </c>
      <c r="N2" s="2">
        <v>8411</v>
      </c>
      <c r="O2" s="2">
        <v>1</v>
      </c>
    </row>
    <row r="3" spans="1:15" ht="28.25" customHeight="1">
      <c r="A3" s="22">
        <v>2</v>
      </c>
      <c r="B3" s="23">
        <v>3</v>
      </c>
      <c r="C3" s="27">
        <v>7</v>
      </c>
      <c r="D3" s="23">
        <v>5</v>
      </c>
      <c r="E3" s="23">
        <v>5</v>
      </c>
      <c r="F3" s="22">
        <v>1</v>
      </c>
      <c r="G3" s="23">
        <v>5</v>
      </c>
      <c r="H3" s="27">
        <v>8</v>
      </c>
      <c r="I3" s="23">
        <v>7</v>
      </c>
      <c r="J3" s="22">
        <v>1</v>
      </c>
      <c r="K3" s="23">
        <v>8</v>
      </c>
      <c r="L3" s="23">
        <v>8</v>
      </c>
      <c r="N3" s="2">
        <v>8929</v>
      </c>
      <c r="O3" s="1">
        <v>2</v>
      </c>
    </row>
    <row r="4" spans="1:15" ht="28.25" customHeight="1">
      <c r="A4" s="22">
        <v>6</v>
      </c>
      <c r="B4" s="23">
        <v>3</v>
      </c>
      <c r="C4" s="22">
        <v>8</v>
      </c>
      <c r="D4" s="23">
        <v>3</v>
      </c>
      <c r="E4" s="23">
        <v>3</v>
      </c>
      <c r="F4" s="22">
        <v>5</v>
      </c>
      <c r="G4" s="27">
        <v>1</v>
      </c>
      <c r="H4" s="27">
        <v>5</v>
      </c>
      <c r="I4" s="23">
        <v>4</v>
      </c>
      <c r="J4" s="22">
        <v>1</v>
      </c>
      <c r="K4" s="23">
        <v>1</v>
      </c>
      <c r="L4" s="22">
        <v>5</v>
      </c>
      <c r="N4" s="2">
        <v>21612</v>
      </c>
      <c r="O4" s="1">
        <v>2</v>
      </c>
    </row>
    <row r="5" spans="1:15" ht="28.25" customHeight="1">
      <c r="A5" s="22">
        <v>6</v>
      </c>
      <c r="B5" s="23">
        <v>3</v>
      </c>
      <c r="C5" s="22">
        <v>9</v>
      </c>
      <c r="D5" s="23">
        <v>9</v>
      </c>
      <c r="E5" s="27">
        <v>2</v>
      </c>
      <c r="F5" s="22">
        <v>6</v>
      </c>
      <c r="G5" s="27">
        <v>4</v>
      </c>
      <c r="H5" s="27">
        <v>6</v>
      </c>
      <c r="I5" s="23">
        <v>1</v>
      </c>
      <c r="J5" s="22">
        <v>4</v>
      </c>
      <c r="K5" s="23">
        <v>2</v>
      </c>
      <c r="L5" s="22">
        <v>1</v>
      </c>
      <c r="N5" s="2">
        <v>36</v>
      </c>
      <c r="O5" s="1">
        <v>19</v>
      </c>
    </row>
    <row r="6" spans="1:15" ht="28.25" customHeight="1">
      <c r="A6" s="22">
        <v>6</v>
      </c>
      <c r="B6" s="23">
        <v>4</v>
      </c>
      <c r="C6" s="22">
        <v>2</v>
      </c>
      <c r="D6" s="27">
        <v>2</v>
      </c>
      <c r="E6" s="23">
        <v>9</v>
      </c>
      <c r="F6" s="22">
        <v>1</v>
      </c>
      <c r="G6" s="27">
        <v>4</v>
      </c>
      <c r="H6" s="22">
        <v>1</v>
      </c>
      <c r="I6" s="22">
        <v>2</v>
      </c>
      <c r="J6" s="22">
        <v>8</v>
      </c>
      <c r="K6" s="27">
        <v>7</v>
      </c>
      <c r="L6" s="22">
        <v>3</v>
      </c>
      <c r="N6" s="2">
        <v>416662</v>
      </c>
      <c r="O6" s="1">
        <v>1</v>
      </c>
    </row>
    <row r="7" spans="1:15" ht="28.25" customHeight="1">
      <c r="A7" s="22">
        <v>1</v>
      </c>
      <c r="B7" s="23">
        <v>9</v>
      </c>
      <c r="C7" s="22">
        <v>9</v>
      </c>
      <c r="D7" s="27">
        <v>3</v>
      </c>
      <c r="E7" s="23">
        <v>9</v>
      </c>
      <c r="F7" s="22">
        <v>1</v>
      </c>
      <c r="G7" s="22">
        <v>1</v>
      </c>
      <c r="H7" s="22">
        <v>8</v>
      </c>
      <c r="I7" s="22">
        <v>1</v>
      </c>
      <c r="J7" s="27">
        <v>5</v>
      </c>
      <c r="K7" s="23">
        <v>6</v>
      </c>
      <c r="L7" s="22">
        <v>5</v>
      </c>
      <c r="N7" s="2">
        <v>51355</v>
      </c>
      <c r="O7" s="1">
        <v>1</v>
      </c>
    </row>
    <row r="8" spans="1:15" ht="28.25" customHeight="1">
      <c r="A8" s="22">
        <v>4</v>
      </c>
      <c r="B8" s="23">
        <v>9</v>
      </c>
      <c r="C8" s="23">
        <v>8</v>
      </c>
      <c r="D8" s="27">
        <v>5</v>
      </c>
      <c r="E8" s="23">
        <v>9</v>
      </c>
      <c r="F8" s="22">
        <v>1</v>
      </c>
      <c r="G8" s="23">
        <v>4</v>
      </c>
      <c r="H8" s="27">
        <v>5</v>
      </c>
      <c r="I8" s="22">
        <v>6</v>
      </c>
      <c r="J8" s="23">
        <v>3</v>
      </c>
      <c r="K8" s="27">
        <v>2</v>
      </c>
      <c r="L8" s="22">
        <v>5</v>
      </c>
      <c r="N8" s="2">
        <v>79111</v>
      </c>
      <c r="O8" s="1">
        <v>1</v>
      </c>
    </row>
    <row r="9" spans="1:15" ht="28.25" customHeight="1">
      <c r="A9" s="22">
        <v>7</v>
      </c>
      <c r="B9" s="27">
        <v>5</v>
      </c>
      <c r="C9" s="22">
        <v>1</v>
      </c>
      <c r="D9" s="27">
        <v>1</v>
      </c>
      <c r="E9" s="22">
        <v>9</v>
      </c>
      <c r="F9" s="22">
        <v>4</v>
      </c>
      <c r="G9" s="22">
        <v>3</v>
      </c>
      <c r="H9" s="23">
        <v>7</v>
      </c>
      <c r="I9" s="22">
        <v>1</v>
      </c>
      <c r="J9" s="23">
        <v>8</v>
      </c>
      <c r="K9" s="23">
        <v>6</v>
      </c>
      <c r="L9" s="27">
        <v>9</v>
      </c>
      <c r="N9" s="2">
        <v>241</v>
      </c>
      <c r="O9" s="1">
        <v>4</v>
      </c>
    </row>
    <row r="10" spans="1:15" ht="28.25" customHeight="1">
      <c r="A10" s="23">
        <v>6</v>
      </c>
      <c r="B10" s="23">
        <v>4</v>
      </c>
      <c r="C10" s="22">
        <v>4</v>
      </c>
      <c r="D10" s="22">
        <v>7</v>
      </c>
      <c r="E10" s="27">
        <v>4</v>
      </c>
      <c r="F10" s="23">
        <v>7</v>
      </c>
      <c r="G10" s="23">
        <v>3</v>
      </c>
      <c r="H10" s="27">
        <v>2</v>
      </c>
      <c r="I10" s="22">
        <v>2</v>
      </c>
      <c r="J10" s="23">
        <v>6</v>
      </c>
      <c r="K10" s="27">
        <v>4</v>
      </c>
      <c r="L10" s="27">
        <v>4</v>
      </c>
      <c r="N10" s="2">
        <v>147</v>
      </c>
      <c r="O10" s="1">
        <v>4</v>
      </c>
    </row>
    <row r="11" spans="1:15" ht="28.25" customHeight="1">
      <c r="A11" s="23">
        <v>2</v>
      </c>
      <c r="B11" s="23">
        <v>8</v>
      </c>
      <c r="C11" s="22">
        <v>2</v>
      </c>
      <c r="D11" s="27">
        <v>7</v>
      </c>
      <c r="E11" s="27">
        <v>2</v>
      </c>
      <c r="F11" s="22">
        <v>9</v>
      </c>
      <c r="G11" s="27">
        <v>7</v>
      </c>
      <c r="H11" s="22">
        <v>6</v>
      </c>
      <c r="I11" s="22">
        <v>3</v>
      </c>
      <c r="J11" s="27">
        <v>2</v>
      </c>
      <c r="K11" s="27">
        <v>1</v>
      </c>
      <c r="L11" s="27">
        <v>6</v>
      </c>
      <c r="N11" s="2">
        <v>99</v>
      </c>
      <c r="O11" s="1">
        <v>18</v>
      </c>
    </row>
    <row r="12" spans="1:15" ht="28.25" customHeight="1">
      <c r="A12" s="27">
        <v>2</v>
      </c>
      <c r="B12" s="22">
        <v>9</v>
      </c>
      <c r="C12" s="22">
        <v>4</v>
      </c>
      <c r="D12" s="22">
        <v>6</v>
      </c>
      <c r="E12" s="22">
        <v>9</v>
      </c>
      <c r="F12" s="22">
        <v>1</v>
      </c>
      <c r="G12" s="22">
        <v>3</v>
      </c>
      <c r="H12" s="22">
        <v>3</v>
      </c>
      <c r="I12" s="27">
        <v>2</v>
      </c>
      <c r="J12" s="27">
        <v>7</v>
      </c>
      <c r="K12" s="27">
        <v>4</v>
      </c>
      <c r="L12" s="27">
        <v>5</v>
      </c>
      <c r="N12" s="2">
        <v>3319649</v>
      </c>
      <c r="O12" s="1">
        <v>1</v>
      </c>
    </row>
    <row r="13" spans="1:15" ht="28.25" customHeight="1">
      <c r="N13" s="2">
        <v>34</v>
      </c>
      <c r="O13" s="1">
        <v>5</v>
      </c>
    </row>
    <row r="14" spans="1:15" ht="28.25" customHeight="1">
      <c r="N14" s="2">
        <v>86</v>
      </c>
      <c r="O14" s="1">
        <v>10</v>
      </c>
    </row>
    <row r="15" spans="1:15" ht="28.25" customHeight="1">
      <c r="N15" s="2">
        <v>539</v>
      </c>
      <c r="O15" s="1">
        <v>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83"/>
  <sheetViews>
    <sheetView tabSelected="1" zoomScaleNormal="100" workbookViewId="0">
      <pane ySplit="2" topLeftCell="A279" activePane="bottomLeft" state="frozen"/>
      <selection pane="bottomLeft" activeCell="A283" sqref="A283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564</v>
      </c>
      <c r="I255" t="s">
        <v>565</v>
      </c>
      <c r="J255">
        <v>0</v>
      </c>
      <c r="K255">
        <f t="shared" ref="K255" si="490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91">L254+K255</f>
        <v>309</v>
      </c>
      <c r="M255">
        <f t="shared" ref="M255" si="492">2+IF(A255&gt;=DATEVALUE("2025/11/30")+TIMEVALUE("6:00"),1,0)+IF(A255&gt;=DATEVALUE("2025/12/11")+TIMEVALUE("6:00"),1,0)</f>
        <v>4</v>
      </c>
      <c r="N255">
        <f t="shared" ref="N255" si="493">N254+M255*(INT(A255-6/24)-INT(A254-6/24))+O255</f>
        <v>311</v>
      </c>
      <c r="O255">
        <f t="shared" ref="O255" si="494">IF(A255&gt;=DATEVALUE("2025/11/8")+TIMEVALUE("6:00"),1,0)-IF(A254&gt;=DATEVALUE("2025/11/8")+TIMEVALUE("6:00"),1,0)
+IF(A255&gt;=DATEVALUE("2026/1/22")+TIMEVALUE("6:00"),3,0)-IF(A254&gt;=DATEVALUE("2026/1/22")+TIMEVALUE("6:00"),3,0)</f>
        <v>0</v>
      </c>
      <c r="P255" t="str">
        <f t="shared" ref="P255" si="495">IF(L255&lt;N255,"未達成（"&amp;N255-L255&amp;"）",IF(L255=N255,"達成","前倒し（"&amp;L255-N255&amp;"）"))</f>
        <v>未達成（2）</v>
      </c>
      <c r="Q255">
        <f t="shared" ref="Q255" si="496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566</v>
      </c>
      <c r="I256" t="s">
        <v>567</v>
      </c>
      <c r="J256">
        <v>0</v>
      </c>
      <c r="K256">
        <f t="shared" ref="K256" si="497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98">L255+K256</f>
        <v>311</v>
      </c>
      <c r="M256">
        <f t="shared" ref="M256" si="499">2+IF(A256&gt;=DATEVALUE("2025/11/30")+TIMEVALUE("6:00"),1,0)+IF(A256&gt;=DATEVALUE("2025/12/11")+TIMEVALUE("6:00"),1,0)</f>
        <v>4</v>
      </c>
      <c r="N256">
        <f t="shared" ref="N256" si="500">N255+M256*(INT(A256-6/24)-INT(A255-6/24))+O256</f>
        <v>311</v>
      </c>
      <c r="O256">
        <f t="shared" ref="O256" si="501">IF(A256&gt;=DATEVALUE("2025/11/8")+TIMEVALUE("6:00"),1,0)-IF(A255&gt;=DATEVALUE("2025/11/8")+TIMEVALUE("6:00"),1,0)
+IF(A256&gt;=DATEVALUE("2026/1/22")+TIMEVALUE("6:00"),3,0)-IF(A255&gt;=DATEVALUE("2026/1/22")+TIMEVALUE("6:00"),3,0)</f>
        <v>0</v>
      </c>
      <c r="P256" t="str">
        <f t="shared" ref="P256" si="502">IF(L256&lt;N256,"未達成（"&amp;N256-L256&amp;"）",IF(L256=N256,"達成","前倒し（"&amp;L256-N256&amp;"）"))</f>
        <v>達成</v>
      </c>
      <c r="Q256">
        <f t="shared" ref="Q256" si="503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568</v>
      </c>
      <c r="I257" t="s">
        <v>569</v>
      </c>
      <c r="J257">
        <v>0</v>
      </c>
      <c r="K257">
        <f t="shared" ref="K257" si="504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505">L256+K257</f>
        <v>313</v>
      </c>
      <c r="M257">
        <f t="shared" ref="M257" si="506">2+IF(A257&gt;=DATEVALUE("2025/11/30")+TIMEVALUE("6:00"),1,0)+IF(A257&gt;=DATEVALUE("2025/12/11")+TIMEVALUE("6:00"),1,0)</f>
        <v>4</v>
      </c>
      <c r="N257">
        <f t="shared" ref="N257" si="507">N256+M257*(INT(A257-6/24)-INT(A256-6/24))+O257</f>
        <v>315</v>
      </c>
      <c r="O257">
        <f t="shared" ref="O257" si="508">IF(A257&gt;=DATEVALUE("2025/11/8")+TIMEVALUE("6:00"),1,0)-IF(A256&gt;=DATEVALUE("2025/11/8")+TIMEVALUE("6:00"),1,0)
+IF(A257&gt;=DATEVALUE("2026/1/22")+TIMEVALUE("6:00"),3,0)-IF(A256&gt;=DATEVALUE("2026/1/22")+TIMEVALUE("6:00"),3,0)</f>
        <v>0</v>
      </c>
      <c r="P257" t="str">
        <f t="shared" ref="P257" si="509">IF(L257&lt;N257,"未達成（"&amp;N257-L257&amp;"）",IF(L257=N257,"達成","前倒し（"&amp;L257-N257&amp;"）"))</f>
        <v>未達成（2）</v>
      </c>
      <c r="Q257">
        <f t="shared" ref="Q257" si="51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570</v>
      </c>
      <c r="I258" t="s">
        <v>572</v>
      </c>
      <c r="J258">
        <v>1</v>
      </c>
      <c r="K258">
        <f t="shared" ref="K258" si="51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512">L257+K258</f>
        <v>313</v>
      </c>
      <c r="M258">
        <f t="shared" ref="M258" si="513">2+IF(A258&gt;=DATEVALUE("2025/11/30")+TIMEVALUE("6:00"),1,0)+IF(A258&gt;=DATEVALUE("2025/12/11")+TIMEVALUE("6:00"),1,0)</f>
        <v>4</v>
      </c>
      <c r="N258">
        <f t="shared" ref="N258" si="514">N257+M258*(INT(A258-6/24)-INT(A257-6/24))+O258</f>
        <v>315</v>
      </c>
      <c r="O258">
        <f t="shared" ref="O258" si="515">IF(A258&gt;=DATEVALUE("2025/11/8")+TIMEVALUE("6:00"),1,0)-IF(A257&gt;=DATEVALUE("2025/11/8")+TIMEVALUE("6:00"),1,0)
+IF(A258&gt;=DATEVALUE("2026/1/22")+TIMEVALUE("6:00"),3,0)-IF(A257&gt;=DATEVALUE("2026/1/22")+TIMEVALUE("6:00"),3,0)</f>
        <v>0</v>
      </c>
      <c r="P258" t="str">
        <f t="shared" ref="P258" si="516">IF(L258&lt;N258,"未達成（"&amp;N258-L258&amp;"）",IF(L258=N258,"達成","前倒し（"&amp;L258-N258&amp;"）"))</f>
        <v>未達成（2）</v>
      </c>
      <c r="Q258" t="e">
        <f t="shared" ref="Q258" si="517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573</v>
      </c>
      <c r="I259" t="s">
        <v>571</v>
      </c>
      <c r="J259">
        <v>0</v>
      </c>
      <c r="K259">
        <f t="shared" ref="K259" si="518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519">L258+K259</f>
        <v>315</v>
      </c>
      <c r="M259">
        <f t="shared" ref="M259" si="520">2+IF(A259&gt;=DATEVALUE("2025/11/30")+TIMEVALUE("6:00"),1,0)+IF(A259&gt;=DATEVALUE("2025/12/11")+TIMEVALUE("6:00"),1,0)</f>
        <v>4</v>
      </c>
      <c r="N259">
        <f t="shared" ref="N259" si="521">N258+M259*(INT(A259-6/24)-INT(A258-6/24))+O259</f>
        <v>315</v>
      </c>
      <c r="O259">
        <f t="shared" ref="O259" si="522">IF(A259&gt;=DATEVALUE("2025/11/8")+TIMEVALUE("6:00"),1,0)-IF(A258&gt;=DATEVALUE("2025/11/8")+TIMEVALUE("6:00"),1,0)
+IF(A259&gt;=DATEVALUE("2026/1/22")+TIMEVALUE("6:00"),3,0)-IF(A258&gt;=DATEVALUE("2026/1/22")+TIMEVALUE("6:00"),3,0)</f>
        <v>0</v>
      </c>
      <c r="P259" t="str">
        <f t="shared" ref="P259" si="523">IF(L259&lt;N259,"未達成（"&amp;N259-L259&amp;"）",IF(L259=N259,"達成","前倒し（"&amp;L259-N259&amp;"）"))</f>
        <v>達成</v>
      </c>
      <c r="Q259">
        <f t="shared" ref="Q259" si="524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574</v>
      </c>
      <c r="I260" t="s">
        <v>575</v>
      </c>
      <c r="J260">
        <v>0</v>
      </c>
      <c r="K260">
        <f t="shared" ref="K260" si="525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526">L259+K260</f>
        <v>316</v>
      </c>
      <c r="M260">
        <f t="shared" ref="M260" si="527">2+IF(A260&gt;=DATEVALUE("2025/11/30")+TIMEVALUE("6:00"),1,0)+IF(A260&gt;=DATEVALUE("2025/12/11")+TIMEVALUE("6:00"),1,0)</f>
        <v>4</v>
      </c>
      <c r="N260">
        <f t="shared" ref="N260" si="528">N259+M260*(INT(A260-6/24)-INT(A259-6/24))+O260</f>
        <v>319</v>
      </c>
      <c r="O260">
        <f t="shared" ref="O260" si="529">IF(A260&gt;=DATEVALUE("2025/11/8")+TIMEVALUE("6:00"),1,0)-IF(A259&gt;=DATEVALUE("2025/11/8")+TIMEVALUE("6:00"),1,0)
+IF(A260&gt;=DATEVALUE("2026/1/22")+TIMEVALUE("6:00"),3,0)-IF(A259&gt;=DATEVALUE("2026/1/22")+TIMEVALUE("6:00"),3,0)</f>
        <v>0</v>
      </c>
      <c r="P260" t="str">
        <f t="shared" ref="P260" si="530">IF(L260&lt;N260,"未達成（"&amp;N260-L260&amp;"）",IF(L260=N260,"達成","前倒し（"&amp;L260-N260&amp;"）"))</f>
        <v>未達成（3）</v>
      </c>
      <c r="Q260">
        <f t="shared" ref="Q260" si="531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576</v>
      </c>
      <c r="I261" t="s">
        <v>577</v>
      </c>
      <c r="J261">
        <v>0</v>
      </c>
      <c r="K261">
        <f t="shared" ref="K261" si="532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533">L260+K261</f>
        <v>318</v>
      </c>
      <c r="M261">
        <f t="shared" ref="M261" si="534">2+IF(A261&gt;=DATEVALUE("2025/11/30")+TIMEVALUE("6:00"),1,0)+IF(A261&gt;=DATEVALUE("2025/12/11")+TIMEVALUE("6:00"),1,0)</f>
        <v>4</v>
      </c>
      <c r="N261">
        <f t="shared" ref="N261" si="535">N260+M261*(INT(A261-6/24)-INT(A260-6/24))+O261</f>
        <v>319</v>
      </c>
      <c r="O261">
        <f t="shared" ref="O261" si="536">IF(A261&gt;=DATEVALUE("2025/11/8")+TIMEVALUE("6:00"),1,0)-IF(A260&gt;=DATEVALUE("2025/11/8")+TIMEVALUE("6:00"),1,0)
+IF(A261&gt;=DATEVALUE("2026/1/22")+TIMEVALUE("6:00"),3,0)-IF(A260&gt;=DATEVALUE("2026/1/22")+TIMEVALUE("6:00"),3,0)</f>
        <v>0</v>
      </c>
      <c r="P261" t="str">
        <f t="shared" ref="P261" si="537">IF(L261&lt;N261,"未達成（"&amp;N261-L261&amp;"）",IF(L261=N261,"達成","前倒し（"&amp;L261-N261&amp;"）"))</f>
        <v>未達成（1）</v>
      </c>
      <c r="Q261">
        <f t="shared" ref="Q261" si="538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578</v>
      </c>
      <c r="I262" t="s">
        <v>579</v>
      </c>
      <c r="J262">
        <v>0</v>
      </c>
      <c r="K262">
        <f t="shared" ref="K262" si="539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540">L261+K262</f>
        <v>320</v>
      </c>
      <c r="M262">
        <f t="shared" ref="M262" si="541">2+IF(A262&gt;=DATEVALUE("2025/11/30")+TIMEVALUE("6:00"),1,0)+IF(A262&gt;=DATEVALUE("2025/12/11")+TIMEVALUE("6:00"),1,0)</f>
        <v>4</v>
      </c>
      <c r="N262">
        <f t="shared" ref="N262" si="542">N261+M262*(INT(A262-6/24)-INT(A261-6/24))+O262</f>
        <v>319</v>
      </c>
      <c r="O262">
        <f t="shared" ref="O262" si="543">IF(A262&gt;=DATEVALUE("2025/11/8")+TIMEVALUE("6:00"),1,0)-IF(A261&gt;=DATEVALUE("2025/11/8")+TIMEVALUE("6:00"),1,0)
+IF(A262&gt;=DATEVALUE("2026/1/22")+TIMEVALUE("6:00"),3,0)-IF(A261&gt;=DATEVALUE("2026/1/22")+TIMEVALUE("6:00"),3,0)</f>
        <v>0</v>
      </c>
      <c r="P262" t="str">
        <f t="shared" ref="P262" si="544">IF(L262&lt;N262,"未達成（"&amp;N262-L262&amp;"）",IF(L262=N262,"達成","前倒し（"&amp;L262-N262&amp;"）"))</f>
        <v>前倒し（1）</v>
      </c>
      <c r="Q262">
        <f t="shared" ref="Q262" si="545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580</v>
      </c>
      <c r="I263" t="s">
        <v>581</v>
      </c>
      <c r="J263">
        <v>0</v>
      </c>
      <c r="K263">
        <f t="shared" ref="K263" si="546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47">L262+K263</f>
        <v>321</v>
      </c>
      <c r="M263">
        <f t="shared" ref="M263" si="548">2+IF(A263&gt;=DATEVALUE("2025/11/30")+TIMEVALUE("6:00"),1,0)+IF(A263&gt;=DATEVALUE("2025/12/11")+TIMEVALUE("6:00"),1,0)</f>
        <v>4</v>
      </c>
      <c r="N263">
        <f t="shared" ref="N263" si="549">N262+M263*(INT(A263-6/24)-INT(A262-6/24))+O263</f>
        <v>323</v>
      </c>
      <c r="O263">
        <f t="shared" ref="O263" si="550">IF(A263&gt;=DATEVALUE("2025/11/8")+TIMEVALUE("6:00"),1,0)-IF(A262&gt;=DATEVALUE("2025/11/8")+TIMEVALUE("6:00"),1,0)
+IF(A263&gt;=DATEVALUE("2026/1/22")+TIMEVALUE("6:00"),3,0)-IF(A262&gt;=DATEVALUE("2026/1/22")+TIMEVALUE("6:00"),3,0)</f>
        <v>0</v>
      </c>
      <c r="P263" t="str">
        <f t="shared" ref="P263" si="551">IF(L263&lt;N263,"未達成（"&amp;N263-L263&amp;"）",IF(L263=N263,"達成","前倒し（"&amp;L263-N263&amp;"）"))</f>
        <v>未達成（2）</v>
      </c>
      <c r="Q263">
        <f t="shared" ref="Q263" si="552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582</v>
      </c>
      <c r="I264" t="s">
        <v>583</v>
      </c>
      <c r="J264">
        <v>0</v>
      </c>
      <c r="K264">
        <f t="shared" ref="K264" si="553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54">L263+K264</f>
        <v>322</v>
      </c>
      <c r="M264">
        <f t="shared" ref="M264" si="555">2+IF(A264&gt;=DATEVALUE("2025/11/30")+TIMEVALUE("6:00"),1,0)+IF(A264&gt;=DATEVALUE("2025/12/11")+TIMEVALUE("6:00"),1,0)</f>
        <v>4</v>
      </c>
      <c r="N264">
        <f t="shared" ref="N264" si="556">N263+M264*(INT(A264-6/24)-INT(A263-6/24))+O264</f>
        <v>323</v>
      </c>
      <c r="O264">
        <f t="shared" ref="O264" si="557">IF(A264&gt;=DATEVALUE("2025/11/8")+TIMEVALUE("6:00"),1,0)-IF(A263&gt;=DATEVALUE("2025/11/8")+TIMEVALUE("6:00"),1,0)
+IF(A264&gt;=DATEVALUE("2026/1/22")+TIMEVALUE("6:00"),3,0)-IF(A263&gt;=DATEVALUE("2026/1/22")+TIMEVALUE("6:00"),3,0)</f>
        <v>0</v>
      </c>
      <c r="P264" t="str">
        <f t="shared" ref="P264" si="558">IF(L264&lt;N264,"未達成（"&amp;N264-L264&amp;"）",IF(L264=N264,"達成","前倒し（"&amp;L264-N264&amp;"）"))</f>
        <v>未達成（1）</v>
      </c>
      <c r="Q264">
        <f t="shared" ref="Q264" si="559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584</v>
      </c>
      <c r="I265" t="s">
        <v>585</v>
      </c>
      <c r="J265">
        <v>0</v>
      </c>
      <c r="K265">
        <f t="shared" ref="K265" si="560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61">L264+K265</f>
        <v>323</v>
      </c>
      <c r="M265">
        <f t="shared" ref="M265" si="562">2+IF(A265&gt;=DATEVALUE("2025/11/30")+TIMEVALUE("6:00"),1,0)+IF(A265&gt;=DATEVALUE("2025/12/11")+TIMEVALUE("6:00"),1,0)</f>
        <v>4</v>
      </c>
      <c r="N265">
        <f t="shared" ref="N265" si="563">N264+M265*(INT(A265-6/24)-INT(A264-6/24))+O265</f>
        <v>323</v>
      </c>
      <c r="O265">
        <f t="shared" ref="O265" si="564">IF(A265&gt;=DATEVALUE("2025/11/8")+TIMEVALUE("6:00"),1,0)-IF(A264&gt;=DATEVALUE("2025/11/8")+TIMEVALUE("6:00"),1,0)
+IF(A265&gt;=DATEVALUE("2026/1/22")+TIMEVALUE("6:00"),3,0)-IF(A264&gt;=DATEVALUE("2026/1/22")+TIMEVALUE("6:00"),3,0)</f>
        <v>0</v>
      </c>
      <c r="P265" t="str">
        <f t="shared" ref="P265" si="565">IF(L265&lt;N265,"未達成（"&amp;N265-L265&amp;"）",IF(L265=N265,"達成","前倒し（"&amp;L265-N265&amp;"）"))</f>
        <v>達成</v>
      </c>
      <c r="Q265">
        <f t="shared" ref="Q265" si="566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586</v>
      </c>
      <c r="I266" t="s">
        <v>587</v>
      </c>
      <c r="J266">
        <v>0</v>
      </c>
      <c r="K266">
        <f t="shared" ref="K266" si="567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68">L265+K266</f>
        <v>325</v>
      </c>
      <c r="M266">
        <f t="shared" ref="M266" si="569">2+IF(A266&gt;=DATEVALUE("2025/11/30")+TIMEVALUE("6:00"),1,0)+IF(A266&gt;=DATEVALUE("2025/12/11")+TIMEVALUE("6:00"),1,0)</f>
        <v>4</v>
      </c>
      <c r="N266">
        <f t="shared" ref="N266" si="570">N265+M266*(INT(A266-6/24)-INT(A265-6/24))+O266</f>
        <v>327</v>
      </c>
      <c r="O266">
        <f t="shared" ref="O266" si="571">IF(A266&gt;=DATEVALUE("2025/11/8")+TIMEVALUE("6:00"),1,0)-IF(A265&gt;=DATEVALUE("2025/11/8")+TIMEVALUE("6:00"),1,0)
+IF(A266&gt;=DATEVALUE("2026/1/22")+TIMEVALUE("6:00"),3,0)-IF(A265&gt;=DATEVALUE("2026/1/22")+TIMEVALUE("6:00"),3,0)</f>
        <v>0</v>
      </c>
      <c r="P266" t="str">
        <f t="shared" ref="P266" si="572">IF(L266&lt;N266,"未達成（"&amp;N266-L266&amp;"）",IF(L266=N266,"達成","前倒し（"&amp;L266-N266&amp;"）"))</f>
        <v>未達成（2）</v>
      </c>
      <c r="Q266">
        <f t="shared" ref="Q266" si="573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588</v>
      </c>
      <c r="I267" t="s">
        <v>589</v>
      </c>
      <c r="J267">
        <v>0</v>
      </c>
      <c r="K267">
        <f t="shared" ref="K267" si="574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75">L266+K267</f>
        <v>326</v>
      </c>
      <c r="M267">
        <f t="shared" ref="M267" si="576">2+IF(A267&gt;=DATEVALUE("2025/11/30")+TIMEVALUE("6:00"),1,0)+IF(A267&gt;=DATEVALUE("2025/12/11")+TIMEVALUE("6:00"),1,0)</f>
        <v>4</v>
      </c>
      <c r="N267">
        <f t="shared" ref="N267" si="577">N266+M267*(INT(A267-6/24)-INT(A266-6/24))+O267</f>
        <v>327</v>
      </c>
      <c r="O267">
        <f t="shared" ref="O267" si="578">IF(A267&gt;=DATEVALUE("2025/11/8")+TIMEVALUE("6:00"),1,0)-IF(A266&gt;=DATEVALUE("2025/11/8")+TIMEVALUE("6:00"),1,0)
+IF(A267&gt;=DATEVALUE("2026/1/22")+TIMEVALUE("6:00"),3,0)-IF(A266&gt;=DATEVALUE("2026/1/22")+TIMEVALUE("6:00"),3,0)</f>
        <v>0</v>
      </c>
      <c r="P267" t="str">
        <f t="shared" ref="P267" si="579">IF(L267&lt;N267,"未達成（"&amp;N267-L267&amp;"）",IF(L267=N267,"達成","前倒し（"&amp;L267-N267&amp;"）"))</f>
        <v>未達成（1）</v>
      </c>
      <c r="Q267">
        <f t="shared" ref="Q267" si="58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590</v>
      </c>
      <c r="I268" t="s">
        <v>591</v>
      </c>
      <c r="J268">
        <v>0</v>
      </c>
      <c r="K268">
        <f t="shared" ref="K268" si="58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82">L267+K268</f>
        <v>327</v>
      </c>
      <c r="M268">
        <f t="shared" ref="M268" si="583">2+IF(A268&gt;=DATEVALUE("2025/11/30")+TIMEVALUE("6:00"),1,0)+IF(A268&gt;=DATEVALUE("2025/12/11")+TIMEVALUE("6:00"),1,0)</f>
        <v>4</v>
      </c>
      <c r="N268">
        <f t="shared" ref="N268" si="584">N267+M268*(INT(A268-6/24)-INT(A267-6/24))+O268</f>
        <v>327</v>
      </c>
      <c r="O268">
        <f t="shared" ref="O268" si="585">IF(A268&gt;=DATEVALUE("2025/11/8")+TIMEVALUE("6:00"),1,0)-IF(A267&gt;=DATEVALUE("2025/11/8")+TIMEVALUE("6:00"),1,0)
+IF(A268&gt;=DATEVALUE("2026/1/22")+TIMEVALUE("6:00"),3,0)-IF(A267&gt;=DATEVALUE("2026/1/22")+TIMEVALUE("6:00"),3,0)</f>
        <v>0</v>
      </c>
      <c r="P268" t="str">
        <f t="shared" ref="P268" si="586">IF(L268&lt;N268,"未達成（"&amp;N268-L268&amp;"）",IF(L268=N268,"達成","前倒し（"&amp;L268-N268&amp;"）"))</f>
        <v>達成</v>
      </c>
      <c r="Q268">
        <f t="shared" ref="Q268" si="587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592</v>
      </c>
      <c r="I269" t="s">
        <v>593</v>
      </c>
      <c r="J269">
        <v>0</v>
      </c>
      <c r="K269">
        <f t="shared" ref="K269" si="588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89">L268+K269</f>
        <v>328</v>
      </c>
      <c r="M269">
        <f t="shared" ref="M269" si="590">2+IF(A269&gt;=DATEVALUE("2025/11/30")+TIMEVALUE("6:00"),1,0)+IF(A269&gt;=DATEVALUE("2025/12/11")+TIMEVALUE("6:00"),1,0)</f>
        <v>4</v>
      </c>
      <c r="N269">
        <f t="shared" ref="N269" si="591">N268+M269*(INT(A269-6/24)-INT(A268-6/24))+O269</f>
        <v>331</v>
      </c>
      <c r="O269">
        <f t="shared" ref="O269" si="592">IF(A269&gt;=DATEVALUE("2025/11/8")+TIMEVALUE("6:00"),1,0)-IF(A268&gt;=DATEVALUE("2025/11/8")+TIMEVALUE("6:00"),1,0)
+IF(A269&gt;=DATEVALUE("2026/1/22")+TIMEVALUE("6:00"),3,0)-IF(A268&gt;=DATEVALUE("2026/1/22")+TIMEVALUE("6:00"),3,0)</f>
        <v>0</v>
      </c>
      <c r="P269" t="str">
        <f t="shared" ref="P269" si="593">IF(L269&lt;N269,"未達成（"&amp;N269-L269&amp;"）",IF(L269=N269,"達成","前倒し（"&amp;L269-N269&amp;"）"))</f>
        <v>未達成（3）</v>
      </c>
      <c r="Q269">
        <f t="shared" ref="Q269" si="594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594</v>
      </c>
      <c r="I270" t="s">
        <v>595</v>
      </c>
      <c r="J270">
        <v>0</v>
      </c>
      <c r="K270">
        <f t="shared" ref="K270" si="595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96">L269+K270</f>
        <v>330</v>
      </c>
      <c r="M270">
        <f t="shared" ref="M270" si="597">2+IF(A270&gt;=DATEVALUE("2025/11/30")+TIMEVALUE("6:00"),1,0)+IF(A270&gt;=DATEVALUE("2025/12/11")+TIMEVALUE("6:00"),1,0)</f>
        <v>4</v>
      </c>
      <c r="N270">
        <f t="shared" ref="N270" si="598">N269+M270*(INT(A270-6/24)-INT(A269-6/24))+O270</f>
        <v>331</v>
      </c>
      <c r="O270">
        <f t="shared" ref="O270" si="599">IF(A270&gt;=DATEVALUE("2025/11/8")+TIMEVALUE("6:00"),1,0)-IF(A269&gt;=DATEVALUE("2025/11/8")+TIMEVALUE("6:00"),1,0)
+IF(A270&gt;=DATEVALUE("2026/1/22")+TIMEVALUE("6:00"),3,0)-IF(A269&gt;=DATEVALUE("2026/1/22")+TIMEVALUE("6:00"),3,0)</f>
        <v>0</v>
      </c>
      <c r="P270" t="str">
        <f t="shared" ref="P270" si="600">IF(L270&lt;N270,"未達成（"&amp;N270-L270&amp;"）",IF(L270=N270,"達成","前倒し（"&amp;L270-N270&amp;"）"))</f>
        <v>未達成（1）</v>
      </c>
      <c r="Q270">
        <f t="shared" ref="Q270" si="601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596</v>
      </c>
      <c r="I271" t="s">
        <v>597</v>
      </c>
      <c r="J271">
        <v>0</v>
      </c>
      <c r="K271">
        <f t="shared" ref="K271" si="602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603">L270+K271</f>
        <v>331</v>
      </c>
      <c r="M271">
        <f t="shared" ref="M271" si="604">2+IF(A271&gt;=DATEVALUE("2025/11/30")+TIMEVALUE("6:00"),1,0)+IF(A271&gt;=DATEVALUE("2025/12/11")+TIMEVALUE("6:00"),1,0)</f>
        <v>4</v>
      </c>
      <c r="N271">
        <f t="shared" ref="N271" si="605">N270+M271*(INT(A271-6/24)-INT(A270-6/24))+O271</f>
        <v>331</v>
      </c>
      <c r="O271">
        <f t="shared" ref="O271" si="606">IF(A271&gt;=DATEVALUE("2025/11/8")+TIMEVALUE("6:00"),1,0)-IF(A270&gt;=DATEVALUE("2025/11/8")+TIMEVALUE("6:00"),1,0)
+IF(A271&gt;=DATEVALUE("2026/1/22")+TIMEVALUE("6:00"),3,0)-IF(A270&gt;=DATEVALUE("2026/1/22")+TIMEVALUE("6:00"),3,0)</f>
        <v>0</v>
      </c>
      <c r="P271" t="str">
        <f t="shared" ref="P271" si="607">IF(L271&lt;N271,"未達成（"&amp;N271-L271&amp;"）",IF(L271=N271,"達成","前倒し（"&amp;L271-N271&amp;"）"))</f>
        <v>達成</v>
      </c>
      <c r="Q271">
        <f t="shared" ref="Q271" si="608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598</v>
      </c>
      <c r="I272" t="s">
        <v>599</v>
      </c>
      <c r="J272">
        <v>0</v>
      </c>
      <c r="K272">
        <f t="shared" ref="K272" si="609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610">L271+K272</f>
        <v>333</v>
      </c>
      <c r="M272">
        <f t="shared" ref="M272" si="611">2+IF(A272&gt;=DATEVALUE("2025/11/30")+TIMEVALUE("6:00"),1,0)+IF(A272&gt;=DATEVALUE("2025/12/11")+TIMEVALUE("6:00"),1,0)</f>
        <v>4</v>
      </c>
      <c r="N272">
        <f t="shared" ref="N272" si="612">N271+M272*(INT(A272-6/24)-INT(A271-6/24))+O272</f>
        <v>335</v>
      </c>
      <c r="O272">
        <f t="shared" ref="O272" si="613">IF(A272&gt;=DATEVALUE("2025/11/8")+TIMEVALUE("6:00"),1,0)-IF(A271&gt;=DATEVALUE("2025/11/8")+TIMEVALUE("6:00"),1,0)
+IF(A272&gt;=DATEVALUE("2026/1/22")+TIMEVALUE("6:00"),3,0)-IF(A271&gt;=DATEVALUE("2026/1/22")+TIMEVALUE("6:00"),3,0)</f>
        <v>0</v>
      </c>
      <c r="P272" t="str">
        <f t="shared" ref="P272" si="614">IF(L272&lt;N272,"未達成（"&amp;N272-L272&amp;"）",IF(L272=N272,"達成","前倒し（"&amp;L272-N272&amp;"）"))</f>
        <v>未達成（2）</v>
      </c>
      <c r="Q272">
        <f t="shared" ref="Q272" si="615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600</v>
      </c>
      <c r="I273" t="s">
        <v>601</v>
      </c>
      <c r="J273">
        <v>0</v>
      </c>
      <c r="K273">
        <f t="shared" ref="K273" si="616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617">L272+K273</f>
        <v>334</v>
      </c>
      <c r="M273">
        <f t="shared" ref="M273" si="618">2+IF(A273&gt;=DATEVALUE("2025/11/30")+TIMEVALUE("6:00"),1,0)+IF(A273&gt;=DATEVALUE("2025/12/11")+TIMEVALUE("6:00"),1,0)</f>
        <v>4</v>
      </c>
      <c r="N273">
        <f t="shared" ref="N273" si="619">N272+M273*(INT(A273-6/24)-INT(A272-6/24))+O273</f>
        <v>335</v>
      </c>
      <c r="O273">
        <f t="shared" ref="O273" si="620">IF(A273&gt;=DATEVALUE("2025/11/8")+TIMEVALUE("6:00"),1,0)-IF(A272&gt;=DATEVALUE("2025/11/8")+TIMEVALUE("6:00"),1,0)
+IF(A273&gt;=DATEVALUE("2026/1/22")+TIMEVALUE("6:00"),3,0)-IF(A272&gt;=DATEVALUE("2026/1/22")+TIMEVALUE("6:00"),3,0)</f>
        <v>0</v>
      </c>
      <c r="P273" t="str">
        <f t="shared" ref="P273" si="621">IF(L273&lt;N273,"未達成（"&amp;N273-L273&amp;"）",IF(L273=N273,"達成","前倒し（"&amp;L273-N273&amp;"）"))</f>
        <v>未達成（1）</v>
      </c>
      <c r="Q273">
        <f t="shared" ref="Q273" si="622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602</v>
      </c>
      <c r="I274" t="s">
        <v>603</v>
      </c>
      <c r="J274">
        <v>0</v>
      </c>
      <c r="K274">
        <f t="shared" ref="K274" si="623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624">L273+K274</f>
        <v>336</v>
      </c>
      <c r="M274">
        <f t="shared" ref="M274" si="625">2+IF(A274&gt;=DATEVALUE("2025/11/30")+TIMEVALUE("6:00"),1,0)+IF(A274&gt;=DATEVALUE("2025/12/11")+TIMEVALUE("6:00"),1,0)</f>
        <v>4</v>
      </c>
      <c r="N274">
        <f t="shared" ref="N274" si="626">N273+M274*(INT(A274-6/24)-INT(A273-6/24))+O274</f>
        <v>335</v>
      </c>
      <c r="O274">
        <f t="shared" ref="O274" si="627">IF(A274&gt;=DATEVALUE("2025/11/8")+TIMEVALUE("6:00"),1,0)-IF(A273&gt;=DATEVALUE("2025/11/8")+TIMEVALUE("6:00"),1,0)
+IF(A274&gt;=DATEVALUE("2026/1/22")+TIMEVALUE("6:00"),3,0)-IF(A273&gt;=DATEVALUE("2026/1/22")+TIMEVALUE("6:00"),3,0)</f>
        <v>0</v>
      </c>
      <c r="P274" t="str">
        <f t="shared" ref="P274" si="628">IF(L274&lt;N274,"未達成（"&amp;N274-L274&amp;"）",IF(L274=N274,"達成","前倒し（"&amp;L274-N274&amp;"）"))</f>
        <v>前倒し（1）</v>
      </c>
      <c r="Q274">
        <f t="shared" ref="Q274" si="629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604</v>
      </c>
      <c r="I275" t="s">
        <v>605</v>
      </c>
      <c r="J275">
        <v>1</v>
      </c>
      <c r="K275">
        <f t="shared" ref="K275" si="630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631">L274+K275</f>
        <v>336</v>
      </c>
      <c r="M275">
        <f t="shared" ref="M275" si="632">2+IF(A275&gt;=DATEVALUE("2025/11/30")+TIMEVALUE("6:00"),1,0)+IF(A275&gt;=DATEVALUE("2025/12/11")+TIMEVALUE("6:00"),1,0)</f>
        <v>4</v>
      </c>
      <c r="N275">
        <f t="shared" ref="N275" si="633">N274+M275*(INT(A275-6/24)-INT(A274-6/24))+O275</f>
        <v>339</v>
      </c>
      <c r="O275">
        <f t="shared" ref="O275" si="634">IF(A275&gt;=DATEVALUE("2025/11/8")+TIMEVALUE("6:00"),1,0)-IF(A274&gt;=DATEVALUE("2025/11/8")+TIMEVALUE("6:00"),1,0)
+IF(A275&gt;=DATEVALUE("2026/1/22")+TIMEVALUE("6:00"),3,0)-IF(A274&gt;=DATEVALUE("2026/1/22")+TIMEVALUE("6:00"),3,0)</f>
        <v>0</v>
      </c>
      <c r="P275" t="str">
        <f t="shared" ref="P275" si="635">IF(L275&lt;N275,"未達成（"&amp;N275-L275&amp;"）",IF(L275=N275,"達成","前倒し（"&amp;L275-N275&amp;"）"))</f>
        <v>未達成（3）</v>
      </c>
      <c r="Q275" t="e">
        <f t="shared" ref="Q275" si="636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606</v>
      </c>
      <c r="I276" t="s">
        <v>607</v>
      </c>
      <c r="J276">
        <v>0</v>
      </c>
      <c r="K276">
        <f t="shared" ref="K276" si="637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638">L275+K276</f>
        <v>338</v>
      </c>
      <c r="M276">
        <f t="shared" ref="M276" si="639">2+IF(A276&gt;=DATEVALUE("2025/11/30")+TIMEVALUE("6:00"),1,0)+IF(A276&gt;=DATEVALUE("2025/12/11")+TIMEVALUE("6:00"),1,0)</f>
        <v>4</v>
      </c>
      <c r="N276">
        <f t="shared" ref="N276" si="640">N275+M276*(INT(A276-6/24)-INT(A275-6/24))+O276</f>
        <v>339</v>
      </c>
      <c r="O276">
        <f t="shared" ref="O276" si="641">IF(A276&gt;=DATEVALUE("2025/11/8")+TIMEVALUE("6:00"),1,0)-IF(A275&gt;=DATEVALUE("2025/11/8")+TIMEVALUE("6:00"),1,0)
+IF(A276&gt;=DATEVALUE("2026/1/22")+TIMEVALUE("6:00"),3,0)-IF(A275&gt;=DATEVALUE("2026/1/22")+TIMEVALUE("6:00"),3,0)</f>
        <v>0</v>
      </c>
      <c r="P276" t="str">
        <f t="shared" ref="P276" si="642">IF(L276&lt;N276,"未達成（"&amp;N276-L276&amp;"）",IF(L276=N276,"達成","前倒し（"&amp;L276-N276&amp;"）"))</f>
        <v>未達成（1）</v>
      </c>
      <c r="Q276">
        <f t="shared" ref="Q276" si="643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608</v>
      </c>
      <c r="I277" t="s">
        <v>609</v>
      </c>
      <c r="J277">
        <v>0</v>
      </c>
      <c r="K277">
        <f t="shared" ref="K277" si="644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645">L276+K277</f>
        <v>340</v>
      </c>
      <c r="M277">
        <f t="shared" ref="M277" si="646">2+IF(A277&gt;=DATEVALUE("2025/11/30")+TIMEVALUE("6:00"),1,0)+IF(A277&gt;=DATEVALUE("2025/12/11")+TIMEVALUE("6:00"),1,0)</f>
        <v>4</v>
      </c>
      <c r="N277">
        <f t="shared" ref="N277" si="647">N276+M277*(INT(A277-6/24)-INT(A276-6/24))+O277</f>
        <v>339</v>
      </c>
      <c r="O277">
        <f t="shared" ref="O277" si="648">IF(A277&gt;=DATEVALUE("2025/11/8")+TIMEVALUE("6:00"),1,0)-IF(A276&gt;=DATEVALUE("2025/11/8")+TIMEVALUE("6:00"),1,0)
+IF(A277&gt;=DATEVALUE("2026/1/22")+TIMEVALUE("6:00"),3,0)-IF(A276&gt;=DATEVALUE("2026/1/22")+TIMEVALUE("6:00"),3,0)</f>
        <v>0</v>
      </c>
      <c r="P277" t="str">
        <f t="shared" ref="P277" si="649">IF(L277&lt;N277,"未達成（"&amp;N277-L277&amp;"）",IF(L277=N277,"達成","前倒し（"&amp;L277-N277&amp;"）"))</f>
        <v>前倒し（1）</v>
      </c>
      <c r="Q277">
        <f t="shared" ref="Q277" si="650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610</v>
      </c>
      <c r="I278" t="s">
        <v>611</v>
      </c>
      <c r="J278">
        <v>0</v>
      </c>
      <c r="K278">
        <f t="shared" ref="K278" si="651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652">L277+K278</f>
        <v>341</v>
      </c>
      <c r="M278">
        <f t="shared" ref="M278" si="653">2+IF(A278&gt;=DATEVALUE("2025/11/30")+TIMEVALUE("6:00"),1,0)+IF(A278&gt;=DATEVALUE("2025/12/11")+TIMEVALUE("6:00"),1,0)</f>
        <v>4</v>
      </c>
      <c r="N278">
        <f t="shared" ref="N278" si="654">N277+M278*(INT(A278-6/24)-INT(A277-6/24))+O278</f>
        <v>343</v>
      </c>
      <c r="O278">
        <f t="shared" ref="O278" si="655">IF(A278&gt;=DATEVALUE("2025/11/8")+TIMEVALUE("6:00"),1,0)-IF(A277&gt;=DATEVALUE("2025/11/8")+TIMEVALUE("6:00"),1,0)
+IF(A278&gt;=DATEVALUE("2026/1/22")+TIMEVALUE("6:00"),3,0)-IF(A277&gt;=DATEVALUE("2026/1/22")+TIMEVALUE("6:00"),3,0)</f>
        <v>0</v>
      </c>
      <c r="P278" t="str">
        <f t="shared" ref="P278" si="656">IF(L278&lt;N278,"未達成（"&amp;N278-L278&amp;"）",IF(L278=N278,"達成","前倒し（"&amp;L278-N278&amp;"）"))</f>
        <v>未達成（2）</v>
      </c>
      <c r="Q278">
        <f t="shared" ref="Q278" si="65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612</v>
      </c>
      <c r="I279" t="s">
        <v>613</v>
      </c>
      <c r="J279">
        <v>0</v>
      </c>
      <c r="K279">
        <f t="shared" ref="K279" si="65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659">L278+K279</f>
        <v>341</v>
      </c>
      <c r="M279">
        <f t="shared" ref="M279" si="660">2+IF(A279&gt;=DATEVALUE("2025/11/30")+TIMEVALUE("6:00"),1,0)+IF(A279&gt;=DATEVALUE("2025/12/11")+TIMEVALUE("6:00"),1,0)</f>
        <v>4</v>
      </c>
      <c r="N279">
        <f t="shared" ref="N279" si="661">N278+M279*(INT(A279-6/24)-INT(A278-6/24))+O279</f>
        <v>343</v>
      </c>
      <c r="O279">
        <f t="shared" ref="O279" si="662">IF(A279&gt;=DATEVALUE("2025/11/8")+TIMEVALUE("6:00"),1,0)-IF(A278&gt;=DATEVALUE("2025/11/8")+TIMEVALUE("6:00"),1,0)
+IF(A279&gt;=DATEVALUE("2026/1/22")+TIMEVALUE("6:00"),3,0)-IF(A278&gt;=DATEVALUE("2026/1/22")+TIMEVALUE("6:00"),3,0)</f>
        <v>0</v>
      </c>
      <c r="P279" t="str">
        <f t="shared" ref="P279" si="663">IF(L279&lt;N279,"未達成（"&amp;N279-L279&amp;"）",IF(L279=N279,"達成","前倒し（"&amp;L279-N279&amp;"）"))</f>
        <v>未達成（2）</v>
      </c>
      <c r="Q279">
        <f t="shared" ref="Q279" si="664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614</v>
      </c>
      <c r="I280" t="s">
        <v>615</v>
      </c>
      <c r="J280">
        <v>0</v>
      </c>
      <c r="K280">
        <f t="shared" ref="K280" si="665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66">L279+K280</f>
        <v>343</v>
      </c>
      <c r="M280">
        <f t="shared" ref="M280" si="667">2+IF(A280&gt;=DATEVALUE("2025/11/30")+TIMEVALUE("6:00"),1,0)+IF(A280&gt;=DATEVALUE("2025/12/11")+TIMEVALUE("6:00"),1,0)</f>
        <v>4</v>
      </c>
      <c r="N280">
        <f t="shared" ref="N280" si="668">N279+M280*(INT(A280-6/24)-INT(A279-6/24))+O280</f>
        <v>343</v>
      </c>
      <c r="O280">
        <f t="shared" ref="O280" si="669">IF(A280&gt;=DATEVALUE("2025/11/8")+TIMEVALUE("6:00"),1,0)-IF(A279&gt;=DATEVALUE("2025/11/8")+TIMEVALUE("6:00"),1,0)
+IF(A280&gt;=DATEVALUE("2026/1/22")+TIMEVALUE("6:00"),3,0)-IF(A279&gt;=DATEVALUE("2026/1/22")+TIMEVALUE("6:00"),3,0)</f>
        <v>0</v>
      </c>
      <c r="P280" t="str">
        <f t="shared" ref="P280" si="670">IF(L280&lt;N280,"未達成（"&amp;N280-L280&amp;"）",IF(L280=N280,"達成","前倒し（"&amp;L280-N280&amp;"）"))</f>
        <v>達成</v>
      </c>
      <c r="Q280">
        <f t="shared" ref="Q280" si="671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616</v>
      </c>
      <c r="I281" t="s">
        <v>617</v>
      </c>
      <c r="J281">
        <v>0</v>
      </c>
      <c r="K281">
        <f t="shared" ref="K281" si="672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73">L280+K281</f>
        <v>344</v>
      </c>
      <c r="M281">
        <f t="shared" ref="M281" si="674">2+IF(A281&gt;=DATEVALUE("2025/11/30")+TIMEVALUE("6:00"),1,0)+IF(A281&gt;=DATEVALUE("2025/12/11")+TIMEVALUE("6:00"),1,0)</f>
        <v>4</v>
      </c>
      <c r="N281">
        <f t="shared" ref="N281" si="675">N280+M281*(INT(A281-6/24)-INT(A280-6/24))+O281</f>
        <v>347</v>
      </c>
      <c r="O281">
        <f t="shared" ref="O281" si="676">IF(A281&gt;=DATEVALUE("2025/11/8")+TIMEVALUE("6:00"),1,0)-IF(A280&gt;=DATEVALUE("2025/11/8")+TIMEVALUE("6:00"),1,0)
+IF(A281&gt;=DATEVALUE("2026/1/22")+TIMEVALUE("6:00"),3,0)-IF(A280&gt;=DATEVALUE("2026/1/22")+TIMEVALUE("6:00"),3,0)</f>
        <v>0</v>
      </c>
      <c r="P281" t="str">
        <f t="shared" ref="P281" si="677">IF(L281&lt;N281,"未達成（"&amp;N281-L281&amp;"）",IF(L281=N281,"達成","前倒し（"&amp;L281-N281&amp;"）"))</f>
        <v>未達成（3）</v>
      </c>
      <c r="Q281">
        <f t="shared" ref="Q281" si="678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618</v>
      </c>
      <c r="I282" t="s">
        <v>619</v>
      </c>
      <c r="J282">
        <v>0</v>
      </c>
      <c r="K282">
        <f t="shared" ref="K282" si="679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80">L281+K282</f>
        <v>345</v>
      </c>
      <c r="M282">
        <f t="shared" ref="M282" si="681">2+IF(A282&gt;=DATEVALUE("2025/11/30")+TIMEVALUE("6:00"),1,0)+IF(A282&gt;=DATEVALUE("2025/12/11")+TIMEVALUE("6:00"),1,0)</f>
        <v>4</v>
      </c>
      <c r="N282">
        <f t="shared" ref="N282" si="682">N281+M282*(INT(A282-6/24)-INT(A281-6/24))+O282</f>
        <v>347</v>
      </c>
      <c r="O282">
        <f t="shared" ref="O282" si="683">IF(A282&gt;=DATEVALUE("2025/11/8")+TIMEVALUE("6:00"),1,0)-IF(A281&gt;=DATEVALUE("2025/11/8")+TIMEVALUE("6:00"),1,0)
+IF(A282&gt;=DATEVALUE("2026/1/22")+TIMEVALUE("6:00"),3,0)-IF(A281&gt;=DATEVALUE("2026/1/22")+TIMEVALUE("6:00"),3,0)</f>
        <v>0</v>
      </c>
      <c r="P282" t="str">
        <f t="shared" ref="P282" si="684">IF(L282&lt;N282,"未達成（"&amp;N282-L282&amp;"）",IF(L282=N282,"達成","前倒し（"&amp;L282-N282&amp;"）"))</f>
        <v>未達成（2）</v>
      </c>
      <c r="Q282">
        <f t="shared" ref="Q282" si="685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620</v>
      </c>
      <c r="I283" t="s">
        <v>621</v>
      </c>
      <c r="J283">
        <v>0</v>
      </c>
      <c r="K283">
        <f t="shared" ref="K283" si="686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87">L282+K283</f>
        <v>347</v>
      </c>
      <c r="M283">
        <f t="shared" ref="M283" si="688">2+IF(A283&gt;=DATEVALUE("2025/11/30")+TIMEVALUE("6:00"),1,0)+IF(A283&gt;=DATEVALUE("2025/12/11")+TIMEVALUE("6:00"),1,0)</f>
        <v>4</v>
      </c>
      <c r="N283">
        <f t="shared" ref="N283" si="689">N282+M283*(INT(A283-6/24)-INT(A282-6/24))+O283</f>
        <v>347</v>
      </c>
      <c r="O283">
        <f t="shared" ref="O283" si="690">IF(A283&gt;=DATEVALUE("2025/11/8")+TIMEVALUE("6:00"),1,0)-IF(A282&gt;=DATEVALUE("2025/11/8")+TIMEVALUE("6:00"),1,0)
+IF(A283&gt;=DATEVALUE("2026/1/22")+TIMEVALUE("6:00"),3,0)-IF(A282&gt;=DATEVALUE("2026/1/22")+TIMEVALUE("6:00"),3,0)</f>
        <v>0</v>
      </c>
      <c r="P283" t="str">
        <f t="shared" ref="P283" si="691">IF(L283&lt;N283,"未達成（"&amp;N283-L283&amp;"）",IF(L283=N283,"達成","前倒し（"&amp;L283-N283&amp;"）"))</f>
        <v>達成</v>
      </c>
      <c r="Q283">
        <f t="shared" ref="Q283" si="692">IF(B283="",NA(),G283)</f>
        <v>4.9537037048139609E-3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46065.310902777775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2026-02-11T22:35:13Z</dcterms:modified>
</cp:coreProperties>
</file>
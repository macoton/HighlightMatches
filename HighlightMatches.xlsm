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FD2D0BE3-5176-4418-B33F-1EA5844316A8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8" i="4" l="1"/>
  <c r="M88" i="4"/>
  <c r="N88" i="4" s="1"/>
  <c r="K88" i="4"/>
  <c r="L88" i="4" s="1"/>
  <c r="O87" i="4"/>
  <c r="M87" i="4"/>
  <c r="N87" i="4" s="1"/>
  <c r="K87" i="4"/>
  <c r="L87" i="4" s="1"/>
  <c r="O86" i="4"/>
  <c r="M86" i="4"/>
  <c r="N86" i="4" s="1"/>
  <c r="K86" i="4"/>
  <c r="L86" i="4" s="1"/>
  <c r="P86" i="4" s="1"/>
  <c r="O85" i="4"/>
  <c r="M85" i="4"/>
  <c r="N85" i="4" s="1"/>
  <c r="K85" i="4"/>
  <c r="L85" i="4" s="1"/>
  <c r="O84" i="4"/>
  <c r="M84" i="4"/>
  <c r="N84" i="4" s="1"/>
  <c r="K84" i="4"/>
  <c r="L84" i="4" s="1"/>
  <c r="P84" i="4" s="1"/>
  <c r="O83" i="4"/>
  <c r="M83" i="4"/>
  <c r="N83" i="4" s="1"/>
  <c r="K83" i="4"/>
  <c r="L83" i="4" s="1"/>
  <c r="P83" i="4" s="1"/>
  <c r="O82" i="4"/>
  <c r="M82" i="4"/>
  <c r="N82" i="4" s="1"/>
  <c r="K82" i="4"/>
  <c r="L82" i="4" s="1"/>
  <c r="P82" i="4" s="1"/>
  <c r="O80" i="4"/>
  <c r="M80" i="4"/>
  <c r="N80" i="4" s="1"/>
  <c r="K80" i="4"/>
  <c r="L80" i="4" s="1"/>
  <c r="O81" i="4"/>
  <c r="M81" i="4"/>
  <c r="K81" i="4"/>
  <c r="O79" i="4"/>
  <c r="M79" i="4"/>
  <c r="N79" i="4" s="1"/>
  <c r="K79" i="4"/>
  <c r="L79" i="4" s="1"/>
  <c r="O78" i="4"/>
  <c r="N78" i="4"/>
  <c r="M78" i="4"/>
  <c r="K78" i="4"/>
  <c r="L78" i="4" s="1"/>
  <c r="P78" i="4" s="1"/>
  <c r="O77" i="4"/>
  <c r="M77" i="4"/>
  <c r="N77" i="4" s="1"/>
  <c r="K77" i="4"/>
  <c r="L77" i="4" s="1"/>
  <c r="P77" i="4" s="1"/>
  <c r="O76" i="4"/>
  <c r="M76" i="4"/>
  <c r="N76" i="4" s="1"/>
  <c r="K76" i="4"/>
  <c r="L76" i="4" s="1"/>
  <c r="P76" i="4" s="1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K75" i="4"/>
  <c r="L75" i="4" s="1"/>
  <c r="K74" i="4"/>
  <c r="L74" i="4" s="1"/>
  <c r="K73" i="4"/>
  <c r="L73" i="4" s="1"/>
  <c r="P88" i="4" l="1"/>
  <c r="P87" i="4"/>
  <c r="P85" i="4"/>
  <c r="P80" i="4"/>
  <c r="N81" i="4"/>
  <c r="L81" i="4"/>
  <c r="P79" i="4"/>
  <c r="K72" i="4"/>
  <c r="L72" i="4" s="1"/>
  <c r="K71" i="4"/>
  <c r="L71" i="4" s="1"/>
  <c r="K70" i="4"/>
  <c r="L70" i="4" s="1"/>
  <c r="K69" i="4"/>
  <c r="L69" i="4" s="1"/>
  <c r="K68" i="4"/>
  <c r="L68" i="4" s="1"/>
  <c r="K67" i="4"/>
  <c r="L67" i="4" s="1"/>
  <c r="K66" i="4"/>
  <c r="L66" i="4" s="1"/>
  <c r="L65" i="4"/>
  <c r="K65" i="4"/>
  <c r="K64" i="4"/>
  <c r="L64" i="4" s="1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L17" i="4" s="1"/>
  <c r="N17" i="4"/>
  <c r="P81" i="4" l="1"/>
  <c r="L18" i="4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l="1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56" i="4" l="1"/>
  <c r="T2" i="5"/>
  <c r="T3" i="5"/>
  <c r="T4" i="3"/>
  <c r="S5" i="3"/>
  <c r="L57" i="4" l="1"/>
  <c r="T4" i="5"/>
  <c r="S6" i="3"/>
  <c r="T6" i="3" s="1"/>
  <c r="T5" i="3"/>
  <c r="L58" i="4" l="1"/>
  <c r="T6" i="5"/>
  <c r="T5" i="5"/>
  <c r="L59" i="4" l="1"/>
  <c r="L60" i="4" l="1"/>
  <c r="L61" i="4" l="1"/>
  <c r="L62" i="4" s="1"/>
  <c r="L63" i="4" s="1"/>
  <c r="P17" i="4" l="1"/>
  <c r="N18" i="4"/>
  <c r="N19" i="4" l="1"/>
  <c r="P18" i="4"/>
  <c r="N20" i="4" l="1"/>
  <c r="P19" i="4"/>
  <c r="N21" i="4" l="1"/>
  <c r="P20" i="4"/>
  <c r="N22" i="4" l="1"/>
  <c r="P21" i="4"/>
  <c r="N23" i="4" l="1"/>
  <c r="P22" i="4"/>
  <c r="N24" i="4" l="1"/>
  <c r="P23" i="4"/>
  <c r="N25" i="4" l="1"/>
  <c r="P24" i="4"/>
  <c r="N26" i="4" l="1"/>
  <c r="P25" i="4"/>
  <c r="N27" i="4" l="1"/>
  <c r="P26" i="4"/>
  <c r="N28" i="4" l="1"/>
  <c r="P27" i="4"/>
  <c r="N29" i="4" l="1"/>
  <c r="P28" i="4"/>
  <c r="N30" i="4" l="1"/>
  <c r="P29" i="4"/>
  <c r="N31" i="4" l="1"/>
  <c r="P30" i="4"/>
  <c r="N32" i="4" l="1"/>
  <c r="P31" i="4"/>
  <c r="N33" i="4" l="1"/>
  <c r="P32" i="4"/>
  <c r="N34" i="4" l="1"/>
  <c r="P33" i="4"/>
  <c r="N35" i="4" l="1"/>
  <c r="P34" i="4"/>
  <c r="N36" i="4" l="1"/>
  <c r="P35" i="4"/>
  <c r="N37" i="4" l="1"/>
  <c r="P36" i="4"/>
  <c r="N38" i="4" l="1"/>
  <c r="P37" i="4"/>
  <c r="N39" i="4" l="1"/>
  <c r="P38" i="4"/>
  <c r="N40" i="4" l="1"/>
  <c r="P39" i="4"/>
  <c r="N41" i="4" l="1"/>
  <c r="P40" i="4"/>
  <c r="N42" i="4" l="1"/>
  <c r="P41" i="4"/>
  <c r="N43" i="4" l="1"/>
  <c r="P42" i="4"/>
  <c r="N44" i="4" l="1"/>
  <c r="P43" i="4"/>
  <c r="N45" i="4" l="1"/>
  <c r="P44" i="4"/>
  <c r="N46" i="4" l="1"/>
  <c r="P45" i="4"/>
  <c r="N47" i="4" l="1"/>
  <c r="P46" i="4"/>
  <c r="N48" i="4" l="1"/>
  <c r="P47" i="4"/>
  <c r="N49" i="4" l="1"/>
  <c r="P48" i="4"/>
  <c r="N50" i="4" l="1"/>
  <c r="P49" i="4"/>
  <c r="N51" i="4" l="1"/>
  <c r="P50" i="4"/>
  <c r="N52" i="4" l="1"/>
  <c r="P51" i="4"/>
  <c r="N53" i="4" l="1"/>
  <c r="P52" i="4"/>
  <c r="N54" i="4" l="1"/>
  <c r="P53" i="4"/>
  <c r="N55" i="4" l="1"/>
  <c r="P54" i="4"/>
  <c r="N56" i="4" l="1"/>
  <c r="P55" i="4"/>
  <c r="N57" i="4" l="1"/>
  <c r="P56" i="4"/>
  <c r="N58" i="4" l="1"/>
  <c r="P57" i="4"/>
  <c r="N59" i="4" l="1"/>
  <c r="P58" i="4"/>
  <c r="N60" i="4" l="1"/>
  <c r="P59" i="4"/>
  <c r="N61" i="4" l="1"/>
  <c r="N62" i="4" s="1"/>
  <c r="P60" i="4"/>
  <c r="P62" i="4" l="1"/>
  <c r="N63" i="4"/>
  <c r="P61" i="4"/>
  <c r="P63" i="4" l="1"/>
  <c r="N64" i="4"/>
  <c r="N65" i="4" l="1"/>
  <c r="P64" i="4"/>
  <c r="N66" i="4" l="1"/>
  <c r="P65" i="4"/>
  <c r="P66" i="4" l="1"/>
  <c r="N67" i="4"/>
  <c r="P67" i="4" l="1"/>
  <c r="N68" i="4"/>
  <c r="N69" i="4" l="1"/>
  <c r="P68" i="4"/>
  <c r="P69" i="4" l="1"/>
  <c r="N70" i="4"/>
  <c r="P70" i="4" l="1"/>
  <c r="N71" i="4"/>
  <c r="N72" i="4" l="1"/>
  <c r="P71" i="4"/>
  <c r="N73" i="4" l="1"/>
  <c r="P72" i="4"/>
  <c r="N74" i="4" l="1"/>
  <c r="P73" i="4"/>
  <c r="P74" i="4" l="1"/>
  <c r="N75" i="4"/>
  <c r="P75" i="4" s="1"/>
</calcChain>
</file>

<file path=xl/sharedStrings.xml><?xml version="1.0" encoding="utf-8"?>
<sst xmlns="http://schemas.openxmlformats.org/spreadsheetml/2006/main" count="253" uniqueCount="234">
  <si>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</si>
  <si>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</si>
  <si>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</si>
  <si>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</si>
  <si>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</si>
  <si>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</si>
  <si>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</si>
  <si>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</si>
  <si>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</si>
  <si>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</si>
  <si>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</si>
  <si>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</si>
  <si>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</si>
  <si>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</si>
  <si>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</si>
  <si>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</si>
  <si>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</si>
  <si>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</si>
  <si>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</si>
  <si>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</si>
  <si>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</si>
  <si>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</si>
  <si>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</si>
  <si>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</si>
  <si>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</si>
  <si>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</si>
  <si>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</si>
  <si>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</si>
  <si>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</si>
  <si>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</si>
  <si>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</si>
  <si>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</si>
  <si>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</si>
  <si>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</si>
  <si>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</si>
  <si>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</si>
  <si>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</si>
  <si>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</si>
  <si>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</si>
  <si>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</si>
  <si>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</si>
  <si>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</si>
  <si>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</si>
  <si>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</si>
  <si>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</si>
  <si>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</si>
  <si>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</si>
  <si>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</si>
  <si>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</si>
  <si>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</si>
  <si>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</si>
  <si>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</si>
  <si>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</si>
  <si>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</si>
  <si>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</si>
  <si>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</si>
  <si>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</si>
  <si>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</si>
  <si>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</si>
  <si>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</si>
  <si>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</si>
  <si>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</si>
  <si>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</si>
  <si>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</si>
  <si>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</si>
  <si>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</si>
  <si>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</si>
  <si>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</si>
  <si>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</si>
  <si>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</si>
  <si>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</si>
  <si>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</si>
  <si>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</si>
  <si>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</si>
  <si>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</si>
  <si>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</si>
  <si>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</si>
  <si>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</si>
  <si>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</si>
  <si>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</si>
  <si>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</si>
  <si>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</si>
  <si>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</si>
  <si>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</si>
  <si>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</si>
  <si>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</si>
  <si>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</si>
  <si>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</si>
  <si>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</si>
  <si>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</si>
  <si>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</si>
  <si>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</si>
  <si>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</si>
  <si>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</si>
  <si>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</si>
  <si>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</si>
  <si>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</si>
  <si>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</si>
  <si>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</si>
  <si>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</si>
  <si>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</si>
  <si>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</si>
  <si>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</si>
  <si>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</si>
  <si>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</si>
  <si>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</si>
  <si>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</si>
  <si>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</si>
  <si>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</si>
  <si>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</si>
  <si>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</si>
  <si>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</si>
  <si>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</si>
  <si>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</si>
  <si>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</si>
  <si>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</si>
  <si>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</si>
  <si>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</si>
  <si>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</si>
  <si>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</si>
  <si>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</si>
  <si>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</si>
  <si>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</si>
  <si>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</si>
  <si>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</si>
  <si>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</si>
  <si>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</si>
  <si>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</si>
  <si>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</si>
  <si>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</si>
  <si>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</si>
  <si>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</si>
  <si>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</si>
  <si>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</si>
  <si>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</si>
  <si>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</si>
  <si>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</si>
  <si>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</si>
  <si>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</si>
  <si>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</si>
  <si>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</si>
  <si>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</si>
  <si>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</si>
  <si>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</si>
  <si>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</si>
  <si>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</si>
  <si>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</si>
  <si>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</si>
  <si>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</si>
  <si>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</si>
  <si>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</si>
  <si>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</si>
  <si>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</si>
  <si>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</si>
  <si>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</si>
  <si>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</si>
  <si>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</si>
  <si>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</si>
  <si>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</si>
  <si>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</si>
  <si>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</si>
  <si>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</si>
  <si>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</si>
  <si>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</si>
  <si>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</si>
  <si>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</si>
  <si>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</si>
  <si>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</si>
  <si>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</si>
  <si>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</si>
  <si>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</si>
  <si>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</si>
  <si>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</si>
  <si>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</si>
  <si>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</si>
  <si>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</si>
  <si>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</si>
  <si>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</si>
  <si>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</si>
  <si>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</si>
  <si>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</si>
  <si>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</si>
  <si>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</si>
  <si>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</si>
  <si>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</si>
  <si>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</si>
  <si>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</si>
  <si>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</si>
  <si>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</si>
  <si>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</si>
  <si>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</si>
  <si>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</si>
  <si>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</si>
  <si>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</si>
  <si>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</si>
  <si>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</si>
  <si>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</si>
  <si>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</si>
  <si>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</si>
  <si>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</si>
  <si>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</si>
  <si>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</si>
  <si>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</si>
  <si>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</si>
  <si>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</si>
  <si>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</si>
  <si>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</si>
  <si>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１日目標ポイント（２と2025/11/30以降は１）</t>
    <rPh sb="1" eb="2">
      <t>ニチ</t>
    </rPh>
    <rPh sb="21" eb="23">
      <t>イコウ</t>
    </rPh>
    <phoneticPr fontId="1"/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</si>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</sst>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データ!$P$1:$P$87</c:f>
              <c:strCache>
                <c:ptCount val="87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データ!$A$2:$A$88</c:f>
              <c:numCache>
                <c:formatCode>m/d/yyyy\ h:mm</c:formatCode>
                <c:ptCount val="8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</c:numCache>
            </c:numRef>
          </c:xVal>
          <c:yVal>
            <c:numRef>
              <c:f>データ!$B$2:$B$88</c:f>
              <c:numCache>
                <c:formatCode>General</c:formatCode>
                <c:ptCount val="87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6E-487B-A539-C2E038E4DE5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36E-487B-A539-C2E038E4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3567471"/>
        <c:axId val="1443568431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データ!$A$2:$A$88</c:f>
              <c:numCache>
                <c:formatCode>m/d/yyyy\ h:mm</c:formatCode>
                <c:ptCount val="8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</c:numCache>
            </c:numRef>
          </c:xVal>
          <c:yVal>
            <c:numRef>
              <c:f>データ!$G$2:$G$88</c:f>
              <c:numCache>
                <c:formatCode>[h]:mm</c:formatCode>
                <c:ptCount val="87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6E-487B-A539-C2E038E4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3567472"/>
        <c:axId val="1955086095"/>
      </c:scatterChart>
      <c:valAx>
        <c:axId val="1443567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43568431"/>
        <c:crosses val="autoZero"/>
        <c:crossBetween val="midCat"/>
      </c:valAx>
      <c:valAx>
        <c:axId val="144356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43567471"/>
        <c:crosses val="autoZero"/>
        <c:crossBetween val="midCat"/>
      </c:valAx>
      <c:valAx>
        <c:axId val="1955086095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43567472"/>
        <c:crosses val="max"/>
        <c:crossBetween val="midCat"/>
      </c:valAx>
      <c:valAx>
        <c:axId val="144356747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5086095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211931</xdr:colOff>
      <xdr:row>3</xdr:row>
      <xdr:rowOff>178593</xdr:rowOff>
    </xdr:from>
    <xdr:to>
      <xdr:col>10</xdr:col>
      <xdr:colOff>211931</xdr:colOff>
      <xdr:row>6</xdr:row>
      <xdr:rowOff>178594</xdr:rowOff>
    </xdr:to>
    <xdr:cxnSp macro="">
      <xdr:nvCxnSpPr>
        <xdr:cNvPr id="1082" name="Match0">
          <a:extLst>
            <a:ext uri="{FF2B5EF4-FFF2-40B4-BE49-F238E27FC236}">
              <a16:creationId xmlns:a16="http://schemas.microsoft.com/office/drawing/2014/main" id="{E17B1BFD-FFFD-DF2A-28F3-09912CC7D6AF}"/>
            </a:ext>
          </a:extLst>
        </xdr:cNvPr>
        <xdr:cNvCxnSpPr/>
      </xdr:nvCxnSpPr>
      <xdr:spPr>
        <a:xfrm flipV="1">
          <a:off x="3178969" y="1250156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083" name="Match1">
          <a:extLst>
            <a:ext uri="{FF2B5EF4-FFF2-40B4-BE49-F238E27FC236}">
              <a16:creationId xmlns:a16="http://schemas.microsoft.com/office/drawing/2014/main" id="{B2EF5FB2-1E39-FE9A-1B0C-5A3AC0B38938}"/>
            </a:ext>
          </a:extLst>
        </xdr:cNvPr>
        <xdr:cNvCxnSpPr/>
      </xdr:nvCxnSpPr>
      <xdr:spPr>
        <a:xfrm flipH="1">
          <a:off x="2331244" y="375046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084" name="Match2">
          <a:extLst>
            <a:ext uri="{FF2B5EF4-FFF2-40B4-BE49-F238E27FC236}">
              <a16:creationId xmlns:a16="http://schemas.microsoft.com/office/drawing/2014/main" id="{0FEFFF39-0EAB-FF1B-5720-B3981C675668}"/>
            </a:ext>
          </a:extLst>
        </xdr:cNvPr>
        <xdr:cNvCxnSpPr/>
      </xdr:nvCxnSpPr>
      <xdr:spPr>
        <a:xfrm flipH="1">
          <a:off x="2331244" y="41076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085" name="Match3">
          <a:extLst>
            <a:ext uri="{FF2B5EF4-FFF2-40B4-BE49-F238E27FC236}">
              <a16:creationId xmlns:a16="http://schemas.microsoft.com/office/drawing/2014/main" id="{8BF668D9-EC50-7790-A4B5-0BEF3E54F6D1}"/>
            </a:ext>
          </a:extLst>
        </xdr:cNvPr>
        <xdr:cNvCxnSpPr/>
      </xdr:nvCxnSpPr>
      <xdr:spPr>
        <a:xfrm flipH="1">
          <a:off x="360283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</xdr:row>
      <xdr:rowOff>203993</xdr:rowOff>
    </xdr:from>
    <xdr:to>
      <xdr:col>9</xdr:col>
      <xdr:colOff>237331</xdr:colOff>
      <xdr:row>2</xdr:row>
      <xdr:rowOff>203994</xdr:rowOff>
    </xdr:to>
    <xdr:cxnSp macro="">
      <xdr:nvCxnSpPr>
        <xdr:cNvPr id="1086" name="Match4">
          <a:extLst>
            <a:ext uri="{FF2B5EF4-FFF2-40B4-BE49-F238E27FC236}">
              <a16:creationId xmlns:a16="http://schemas.microsoft.com/office/drawing/2014/main" id="{2425BF82-DA45-653C-5ECD-109700222C0E}"/>
            </a:ext>
          </a:extLst>
        </xdr:cNvPr>
        <xdr:cNvCxnSpPr/>
      </xdr:nvCxnSpPr>
      <xdr:spPr>
        <a:xfrm flipH="1" flipV="1">
          <a:off x="3628231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5</xdr:row>
      <xdr:rowOff>178593</xdr:rowOff>
    </xdr:to>
    <xdr:cxnSp macro="">
      <xdr:nvCxnSpPr>
        <xdr:cNvPr id="1087" name="Match5">
          <a:extLst>
            <a:ext uri="{FF2B5EF4-FFF2-40B4-BE49-F238E27FC236}">
              <a16:creationId xmlns:a16="http://schemas.microsoft.com/office/drawing/2014/main" id="{3E708085-9246-AE94-3F69-913533C5560F}"/>
            </a:ext>
          </a:extLst>
        </xdr:cNvPr>
        <xdr:cNvCxnSpPr/>
      </xdr:nvCxnSpPr>
      <xdr:spPr>
        <a:xfrm>
          <a:off x="105965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5</xdr:row>
      <xdr:rowOff>203993</xdr:rowOff>
    </xdr:from>
    <xdr:to>
      <xdr:col>2</xdr:col>
      <xdr:colOff>237331</xdr:colOff>
      <xdr:row>5</xdr:row>
      <xdr:rowOff>203993</xdr:rowOff>
    </xdr:to>
    <xdr:cxnSp macro="">
      <xdr:nvCxnSpPr>
        <xdr:cNvPr id="1088" name="Match6">
          <a:extLst>
            <a:ext uri="{FF2B5EF4-FFF2-40B4-BE49-F238E27FC236}">
              <a16:creationId xmlns:a16="http://schemas.microsoft.com/office/drawing/2014/main" id="{AF50F129-A80F-EB57-16FD-DDCB0C7E25FA}"/>
            </a:ext>
          </a:extLst>
        </xdr:cNvPr>
        <xdr:cNvCxnSpPr/>
      </xdr:nvCxnSpPr>
      <xdr:spPr>
        <a:xfrm flipH="1">
          <a:off x="661194" y="198993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1089" name="Match7">
          <a:extLst>
            <a:ext uri="{FF2B5EF4-FFF2-40B4-BE49-F238E27FC236}">
              <a16:creationId xmlns:a16="http://schemas.microsoft.com/office/drawing/2014/main" id="{B5808F4A-7D50-E657-30AE-087D5B6526D6}"/>
            </a:ext>
          </a:extLst>
        </xdr:cNvPr>
        <xdr:cNvCxnSpPr/>
      </xdr:nvCxnSpPr>
      <xdr:spPr>
        <a:xfrm flipH="1">
          <a:off x="1483519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1090" name="Match8">
          <a:extLst>
            <a:ext uri="{FF2B5EF4-FFF2-40B4-BE49-F238E27FC236}">
              <a16:creationId xmlns:a16="http://schemas.microsoft.com/office/drawing/2014/main" id="{60BCF1AC-A8A1-5825-32F9-86809ABF4AB4}"/>
            </a:ext>
          </a:extLst>
        </xdr:cNvPr>
        <xdr:cNvCxnSpPr/>
      </xdr:nvCxnSpPr>
      <xdr:spPr>
        <a:xfrm flipH="1">
          <a:off x="10596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5</xdr:row>
      <xdr:rowOff>203993</xdr:rowOff>
    </xdr:from>
    <xdr:to>
      <xdr:col>3</xdr:col>
      <xdr:colOff>237331</xdr:colOff>
      <xdr:row>6</xdr:row>
      <xdr:rowOff>203994</xdr:rowOff>
    </xdr:to>
    <xdr:cxnSp macro="">
      <xdr:nvCxnSpPr>
        <xdr:cNvPr id="1091" name="Match9">
          <a:extLst>
            <a:ext uri="{FF2B5EF4-FFF2-40B4-BE49-F238E27FC236}">
              <a16:creationId xmlns:a16="http://schemas.microsoft.com/office/drawing/2014/main" id="{052DD6E0-6662-F26B-C200-28536FC8AAB1}"/>
            </a:ext>
          </a:extLst>
        </xdr:cNvPr>
        <xdr:cNvCxnSpPr/>
      </xdr:nvCxnSpPr>
      <xdr:spPr>
        <a:xfrm flipV="1">
          <a:off x="1508919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5</xdr:col>
      <xdr:colOff>211931</xdr:colOff>
      <xdr:row>8</xdr:row>
      <xdr:rowOff>178594</xdr:rowOff>
    </xdr:to>
    <xdr:cxnSp macro="">
      <xdr:nvCxnSpPr>
        <xdr:cNvPr id="1092" name="Match10">
          <a:extLst>
            <a:ext uri="{FF2B5EF4-FFF2-40B4-BE49-F238E27FC236}">
              <a16:creationId xmlns:a16="http://schemas.microsoft.com/office/drawing/2014/main" id="{5F7807D3-485F-5A0F-B8EA-B927E6FBCAB5}"/>
            </a:ext>
          </a:extLst>
        </xdr:cNvPr>
        <xdr:cNvCxnSpPr/>
      </xdr:nvCxnSpPr>
      <xdr:spPr>
        <a:xfrm flipH="1">
          <a:off x="190738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7</xdr:col>
      <xdr:colOff>211931</xdr:colOff>
      <xdr:row>7</xdr:row>
      <xdr:rowOff>178593</xdr:rowOff>
    </xdr:to>
    <xdr:cxnSp macro="">
      <xdr:nvCxnSpPr>
        <xdr:cNvPr id="1093" name="Match11">
          <a:extLst>
            <a:ext uri="{FF2B5EF4-FFF2-40B4-BE49-F238E27FC236}">
              <a16:creationId xmlns:a16="http://schemas.microsoft.com/office/drawing/2014/main" id="{D29F16AC-C9CC-1FA4-52B3-0A5176A8F503}"/>
            </a:ext>
          </a:extLst>
        </xdr:cNvPr>
        <xdr:cNvCxnSpPr/>
      </xdr:nvCxnSpPr>
      <xdr:spPr>
        <a:xfrm flipV="1">
          <a:off x="3178969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6</xdr:row>
      <xdr:rowOff>203994</xdr:rowOff>
    </xdr:from>
    <xdr:to>
      <xdr:col>8</xdr:col>
      <xdr:colOff>237331</xdr:colOff>
      <xdr:row>7</xdr:row>
      <xdr:rowOff>203993</xdr:rowOff>
    </xdr:to>
    <xdr:cxnSp macro="">
      <xdr:nvCxnSpPr>
        <xdr:cNvPr id="1094" name="Match12">
          <a:extLst>
            <a:ext uri="{FF2B5EF4-FFF2-40B4-BE49-F238E27FC236}">
              <a16:creationId xmlns:a16="http://schemas.microsoft.com/office/drawing/2014/main" id="{9CE95B48-806D-7A2D-F376-FD0A2F87EA2D}"/>
            </a:ext>
          </a:extLst>
        </xdr:cNvPr>
        <xdr:cNvCxnSpPr/>
      </xdr:nvCxnSpPr>
      <xdr:spPr>
        <a:xfrm flipV="1">
          <a:off x="3204369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1095" name="Match13">
          <a:extLst>
            <a:ext uri="{FF2B5EF4-FFF2-40B4-BE49-F238E27FC236}">
              <a16:creationId xmlns:a16="http://schemas.microsoft.com/office/drawing/2014/main" id="{961F277E-CD92-9745-9252-3AEAC5C147A3}"/>
            </a:ext>
          </a:extLst>
        </xdr:cNvPr>
        <xdr:cNvCxnSpPr/>
      </xdr:nvCxnSpPr>
      <xdr:spPr>
        <a:xfrm flipH="1" flipV="1">
          <a:off x="317896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6</xdr:row>
      <xdr:rowOff>203994</xdr:rowOff>
    </xdr:from>
    <xdr:to>
      <xdr:col>8</xdr:col>
      <xdr:colOff>237331</xdr:colOff>
      <xdr:row>7</xdr:row>
      <xdr:rowOff>203993</xdr:rowOff>
    </xdr:to>
    <xdr:cxnSp macro="">
      <xdr:nvCxnSpPr>
        <xdr:cNvPr id="1096" name="Match14">
          <a:extLst>
            <a:ext uri="{FF2B5EF4-FFF2-40B4-BE49-F238E27FC236}">
              <a16:creationId xmlns:a16="http://schemas.microsoft.com/office/drawing/2014/main" id="{CC0FB350-73AD-00A9-EBA3-BA9B228D7AB6}"/>
            </a:ext>
          </a:extLst>
        </xdr:cNvPr>
        <xdr:cNvCxnSpPr/>
      </xdr:nvCxnSpPr>
      <xdr:spPr>
        <a:xfrm flipV="1">
          <a:off x="3628231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1097" name="Match15">
          <a:extLst>
            <a:ext uri="{FF2B5EF4-FFF2-40B4-BE49-F238E27FC236}">
              <a16:creationId xmlns:a16="http://schemas.microsoft.com/office/drawing/2014/main" id="{F6D5CFE3-7070-A816-FA13-0669B0687243}"/>
            </a:ext>
          </a:extLst>
        </xdr:cNvPr>
        <xdr:cNvCxnSpPr/>
      </xdr:nvCxnSpPr>
      <xdr:spPr>
        <a:xfrm>
          <a:off x="445055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6</xdr:row>
      <xdr:rowOff>203994</xdr:rowOff>
    </xdr:from>
    <xdr:to>
      <xdr:col>11</xdr:col>
      <xdr:colOff>237331</xdr:colOff>
      <xdr:row>7</xdr:row>
      <xdr:rowOff>203993</xdr:rowOff>
    </xdr:to>
    <xdr:cxnSp macro="">
      <xdr:nvCxnSpPr>
        <xdr:cNvPr id="1098" name="Match16">
          <a:extLst>
            <a:ext uri="{FF2B5EF4-FFF2-40B4-BE49-F238E27FC236}">
              <a16:creationId xmlns:a16="http://schemas.microsoft.com/office/drawing/2014/main" id="{84149990-4E70-7F23-6A9F-2478477CEB01}"/>
            </a:ext>
          </a:extLst>
        </xdr:cNvPr>
        <xdr:cNvCxnSpPr/>
      </xdr:nvCxnSpPr>
      <xdr:spPr>
        <a:xfrm flipV="1">
          <a:off x="447595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8</xdr:row>
      <xdr:rowOff>178594</xdr:rowOff>
    </xdr:to>
    <xdr:cxnSp macro="">
      <xdr:nvCxnSpPr>
        <xdr:cNvPr id="1099" name="Match17">
          <a:extLst>
            <a:ext uri="{FF2B5EF4-FFF2-40B4-BE49-F238E27FC236}">
              <a16:creationId xmlns:a16="http://schemas.microsoft.com/office/drawing/2014/main" id="{3E55703A-6EEE-A919-6D60-70983E7BC124}"/>
            </a:ext>
          </a:extLst>
        </xdr:cNvPr>
        <xdr:cNvCxnSpPr/>
      </xdr:nvCxnSpPr>
      <xdr:spPr>
        <a:xfrm flipH="1">
          <a:off x="1907381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2</xdr:col>
      <xdr:colOff>211931</xdr:colOff>
      <xdr:row>9</xdr:row>
      <xdr:rowOff>178593</xdr:rowOff>
    </xdr:to>
    <xdr:cxnSp macro="">
      <xdr:nvCxnSpPr>
        <xdr:cNvPr id="1100" name="Match18">
          <a:extLst>
            <a:ext uri="{FF2B5EF4-FFF2-40B4-BE49-F238E27FC236}">
              <a16:creationId xmlns:a16="http://schemas.microsoft.com/office/drawing/2014/main" id="{D4A577F7-FB0E-E721-2C3E-F9C600698EF2}"/>
            </a:ext>
          </a:extLst>
        </xdr:cNvPr>
        <xdr:cNvCxnSpPr/>
      </xdr:nvCxnSpPr>
      <xdr:spPr>
        <a:xfrm>
          <a:off x="635794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1101" name="Match19">
          <a:extLst>
            <a:ext uri="{FF2B5EF4-FFF2-40B4-BE49-F238E27FC236}">
              <a16:creationId xmlns:a16="http://schemas.microsoft.com/office/drawing/2014/main" id="{0DDCDC2E-9465-C410-FD10-4973CFC28AD1}"/>
            </a:ext>
          </a:extLst>
        </xdr:cNvPr>
        <xdr:cNvCxnSpPr/>
      </xdr:nvCxnSpPr>
      <xdr:spPr>
        <a:xfrm flipH="1" flipV="1">
          <a:off x="190738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7</xdr:col>
      <xdr:colOff>211931</xdr:colOff>
      <xdr:row>10</xdr:row>
      <xdr:rowOff>178594</xdr:rowOff>
    </xdr:to>
    <xdr:cxnSp macro="">
      <xdr:nvCxnSpPr>
        <xdr:cNvPr id="1102" name="Match20">
          <a:extLst>
            <a:ext uri="{FF2B5EF4-FFF2-40B4-BE49-F238E27FC236}">
              <a16:creationId xmlns:a16="http://schemas.microsoft.com/office/drawing/2014/main" id="{113CE984-B365-C29C-D4AD-F480BE7C7B2F}"/>
            </a:ext>
          </a:extLst>
        </xdr:cNvPr>
        <xdr:cNvCxnSpPr/>
      </xdr:nvCxnSpPr>
      <xdr:spPr>
        <a:xfrm>
          <a:off x="3178969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103" name="Match21">
          <a:extLst>
            <a:ext uri="{FF2B5EF4-FFF2-40B4-BE49-F238E27FC236}">
              <a16:creationId xmlns:a16="http://schemas.microsoft.com/office/drawing/2014/main" id="{F458E678-C3B6-E279-6D41-E6A2C726BCAA}"/>
            </a:ext>
          </a:extLst>
        </xdr:cNvPr>
        <xdr:cNvCxnSpPr/>
      </xdr:nvCxnSpPr>
      <xdr:spPr>
        <a:xfrm flipH="1" flipV="1">
          <a:off x="317896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1104" name="Match22">
          <a:extLst>
            <a:ext uri="{FF2B5EF4-FFF2-40B4-BE49-F238E27FC236}">
              <a16:creationId xmlns:a16="http://schemas.microsoft.com/office/drawing/2014/main" id="{00FC283A-2258-C15F-24A2-2554473E3B82}"/>
            </a:ext>
          </a:extLst>
        </xdr:cNvPr>
        <xdr:cNvCxnSpPr/>
      </xdr:nvCxnSpPr>
      <xdr:spPr>
        <a:xfrm>
          <a:off x="4026694" y="1785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5</xdr:row>
      <xdr:rowOff>178593</xdr:rowOff>
    </xdr:to>
    <xdr:cxnSp macro="">
      <xdr:nvCxnSpPr>
        <xdr:cNvPr id="1105" name="Match23">
          <a:extLst>
            <a:ext uri="{FF2B5EF4-FFF2-40B4-BE49-F238E27FC236}">
              <a16:creationId xmlns:a16="http://schemas.microsoft.com/office/drawing/2014/main" id="{FC9DF1C1-12C6-9284-EBBD-C221C8FEC134}"/>
            </a:ext>
          </a:extLst>
        </xdr:cNvPr>
        <xdr:cNvCxnSpPr/>
      </xdr:nvCxnSpPr>
      <xdr:spPr>
        <a:xfrm>
          <a:off x="211931" y="125015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2</xdr:col>
      <xdr:colOff>211931</xdr:colOff>
      <xdr:row>11</xdr:row>
      <xdr:rowOff>178593</xdr:rowOff>
    </xdr:to>
    <xdr:cxnSp macro="">
      <xdr:nvCxnSpPr>
        <xdr:cNvPr id="1106" name="Match24">
          <a:extLst>
            <a:ext uri="{FF2B5EF4-FFF2-40B4-BE49-F238E27FC236}">
              <a16:creationId xmlns:a16="http://schemas.microsoft.com/office/drawing/2014/main" id="{F05BC786-5265-A455-846D-F9F4591F3509}"/>
            </a:ext>
          </a:extLst>
        </xdr:cNvPr>
        <xdr:cNvCxnSpPr/>
      </xdr:nvCxnSpPr>
      <xdr:spPr>
        <a:xfrm>
          <a:off x="1059656" y="267890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10</xdr:col>
      <xdr:colOff>211931</xdr:colOff>
      <xdr:row>4</xdr:row>
      <xdr:rowOff>178594</xdr:rowOff>
    </xdr:to>
    <xdr:cxnSp macro="">
      <xdr:nvCxnSpPr>
        <xdr:cNvPr id="1107" name="Match25">
          <a:extLst>
            <a:ext uri="{FF2B5EF4-FFF2-40B4-BE49-F238E27FC236}">
              <a16:creationId xmlns:a16="http://schemas.microsoft.com/office/drawing/2014/main" id="{8686C7D9-D082-BFDB-ED21-C8473DB9D1E1}"/>
            </a:ext>
          </a:extLst>
        </xdr:cNvPr>
        <xdr:cNvCxnSpPr/>
      </xdr:nvCxnSpPr>
      <xdr:spPr>
        <a:xfrm>
          <a:off x="4450556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2</xdr:col>
      <xdr:colOff>211931</xdr:colOff>
      <xdr:row>4</xdr:row>
      <xdr:rowOff>178594</xdr:rowOff>
    </xdr:to>
    <xdr:cxnSp macro="">
      <xdr:nvCxnSpPr>
        <xdr:cNvPr id="1108" name="Match26">
          <a:extLst>
            <a:ext uri="{FF2B5EF4-FFF2-40B4-BE49-F238E27FC236}">
              <a16:creationId xmlns:a16="http://schemas.microsoft.com/office/drawing/2014/main" id="{6A7FB6F5-2235-8B86-8E29-1C843E1A0945}"/>
            </a:ext>
          </a:extLst>
        </xdr:cNvPr>
        <xdr:cNvCxnSpPr/>
      </xdr:nvCxnSpPr>
      <xdr:spPr>
        <a:xfrm flipH="1" flipV="1">
          <a:off x="211931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1109" name="Match27">
          <a:extLst>
            <a:ext uri="{FF2B5EF4-FFF2-40B4-BE49-F238E27FC236}">
              <a16:creationId xmlns:a16="http://schemas.microsoft.com/office/drawing/2014/main" id="{0335216D-952D-82D3-6665-8A7DD418B282}"/>
            </a:ext>
          </a:extLst>
        </xdr:cNvPr>
        <xdr:cNvCxnSpPr/>
      </xdr:nvCxnSpPr>
      <xdr:spPr>
        <a:xfrm>
          <a:off x="4026694" y="232171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8</xdr:col>
      <xdr:colOff>211931</xdr:colOff>
      <xdr:row>4</xdr:row>
      <xdr:rowOff>178594</xdr:rowOff>
    </xdr:to>
    <xdr:cxnSp macro="">
      <xdr:nvCxnSpPr>
        <xdr:cNvPr id="1110" name="Match28">
          <a:extLst>
            <a:ext uri="{FF2B5EF4-FFF2-40B4-BE49-F238E27FC236}">
              <a16:creationId xmlns:a16="http://schemas.microsoft.com/office/drawing/2014/main" id="{A5BD666C-A00C-CDF7-9AF1-8519675E353E}"/>
            </a:ext>
          </a:extLst>
        </xdr:cNvPr>
        <xdr:cNvCxnSpPr/>
      </xdr:nvCxnSpPr>
      <xdr:spPr>
        <a:xfrm>
          <a:off x="1907381" y="1607344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111" name="Match29">
          <a:extLst>
            <a:ext uri="{FF2B5EF4-FFF2-40B4-BE49-F238E27FC236}">
              <a16:creationId xmlns:a16="http://schemas.microsoft.com/office/drawing/2014/main" id="{659E2067-522B-61A5-43DD-26CA97FCDB26}"/>
            </a:ext>
          </a:extLst>
        </xdr:cNvPr>
        <xdr:cNvCxnSpPr/>
      </xdr:nvCxnSpPr>
      <xdr:spPr>
        <a:xfrm flipH="1">
          <a:off x="190738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112" name="Match30">
          <a:extLst>
            <a:ext uri="{FF2B5EF4-FFF2-40B4-BE49-F238E27FC236}">
              <a16:creationId xmlns:a16="http://schemas.microsoft.com/office/drawing/2014/main" id="{9A7924D9-0D0B-F924-0E4B-534693A91612}"/>
            </a:ext>
          </a:extLst>
        </xdr:cNvPr>
        <xdr:cNvCxnSpPr/>
      </xdr:nvCxnSpPr>
      <xdr:spPr>
        <a:xfrm flipV="1">
          <a:off x="190738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4</xdr:col>
      <xdr:colOff>211931</xdr:colOff>
      <xdr:row>4</xdr:row>
      <xdr:rowOff>178594</xdr:rowOff>
    </xdr:to>
    <xdr:cxnSp macro="">
      <xdr:nvCxnSpPr>
        <xdr:cNvPr id="1113" name="Match31">
          <a:extLst>
            <a:ext uri="{FF2B5EF4-FFF2-40B4-BE49-F238E27FC236}">
              <a16:creationId xmlns:a16="http://schemas.microsoft.com/office/drawing/2014/main" id="{AC977BB8-C8ED-CF29-AD74-3A0BF83F147D}"/>
            </a:ext>
          </a:extLst>
        </xdr:cNvPr>
        <xdr:cNvCxnSpPr/>
      </xdr:nvCxnSpPr>
      <xdr:spPr>
        <a:xfrm flipH="1">
          <a:off x="148351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4</xdr:col>
      <xdr:colOff>211931</xdr:colOff>
      <xdr:row>4</xdr:row>
      <xdr:rowOff>178594</xdr:rowOff>
    </xdr:to>
    <xdr:cxnSp macro="">
      <xdr:nvCxnSpPr>
        <xdr:cNvPr id="1114" name="Match32">
          <a:extLst>
            <a:ext uri="{FF2B5EF4-FFF2-40B4-BE49-F238E27FC236}">
              <a16:creationId xmlns:a16="http://schemas.microsoft.com/office/drawing/2014/main" id="{B31AD8EB-1755-68E3-3BA5-46E492529526}"/>
            </a:ext>
          </a:extLst>
        </xdr:cNvPr>
        <xdr:cNvCxnSpPr/>
      </xdr:nvCxnSpPr>
      <xdr:spPr>
        <a:xfrm flipV="1">
          <a:off x="148351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6</xdr:col>
      <xdr:colOff>211931</xdr:colOff>
      <xdr:row>5</xdr:row>
      <xdr:rowOff>178593</xdr:rowOff>
    </xdr:to>
    <xdr:cxnSp macro="">
      <xdr:nvCxnSpPr>
        <xdr:cNvPr id="1115" name="Match33">
          <a:extLst>
            <a:ext uri="{FF2B5EF4-FFF2-40B4-BE49-F238E27FC236}">
              <a16:creationId xmlns:a16="http://schemas.microsoft.com/office/drawing/2014/main" id="{964D32C0-93E8-3F24-5BC6-11AF229537CE}"/>
            </a:ext>
          </a:extLst>
        </xdr:cNvPr>
        <xdr:cNvCxnSpPr/>
      </xdr:nvCxnSpPr>
      <xdr:spPr>
        <a:xfrm>
          <a:off x="233124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7</xdr:col>
      <xdr:colOff>211931</xdr:colOff>
      <xdr:row>5</xdr:row>
      <xdr:rowOff>178593</xdr:rowOff>
    </xdr:to>
    <xdr:cxnSp macro="">
      <xdr:nvCxnSpPr>
        <xdr:cNvPr id="1116" name="Match34">
          <a:extLst>
            <a:ext uri="{FF2B5EF4-FFF2-40B4-BE49-F238E27FC236}">
              <a16:creationId xmlns:a16="http://schemas.microsoft.com/office/drawing/2014/main" id="{6EE4F44D-44F8-A55B-D3F5-AD803C589B93}"/>
            </a:ext>
          </a:extLst>
        </xdr:cNvPr>
        <xdr:cNvCxnSpPr/>
      </xdr:nvCxnSpPr>
      <xdr:spPr>
        <a:xfrm>
          <a:off x="275510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5</xdr:row>
      <xdr:rowOff>203993</xdr:rowOff>
    </xdr:from>
    <xdr:to>
      <xdr:col>6</xdr:col>
      <xdr:colOff>237331</xdr:colOff>
      <xdr:row>5</xdr:row>
      <xdr:rowOff>203993</xdr:rowOff>
    </xdr:to>
    <xdr:cxnSp macro="">
      <xdr:nvCxnSpPr>
        <xdr:cNvPr id="1117" name="Match35">
          <a:extLst>
            <a:ext uri="{FF2B5EF4-FFF2-40B4-BE49-F238E27FC236}">
              <a16:creationId xmlns:a16="http://schemas.microsoft.com/office/drawing/2014/main" id="{469E1169-1143-2D34-2CE7-EC94DA37E86D}"/>
            </a:ext>
          </a:extLst>
        </xdr:cNvPr>
        <xdr:cNvCxnSpPr/>
      </xdr:nvCxnSpPr>
      <xdr:spPr>
        <a:xfrm flipH="1">
          <a:off x="2356644" y="198993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7</xdr:col>
      <xdr:colOff>211931</xdr:colOff>
      <xdr:row>5</xdr:row>
      <xdr:rowOff>178593</xdr:rowOff>
    </xdr:to>
    <xdr:cxnSp macro="">
      <xdr:nvCxnSpPr>
        <xdr:cNvPr id="1118" name="Match36">
          <a:extLst>
            <a:ext uri="{FF2B5EF4-FFF2-40B4-BE49-F238E27FC236}">
              <a16:creationId xmlns:a16="http://schemas.microsoft.com/office/drawing/2014/main" id="{901369BB-246F-6385-9E4C-AE8B2F2F2B1E}"/>
            </a:ext>
          </a:extLst>
        </xdr:cNvPr>
        <xdr:cNvCxnSpPr/>
      </xdr:nvCxnSpPr>
      <xdr:spPr>
        <a:xfrm flipH="1">
          <a:off x="275510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1119" name="Match37">
          <a:extLst>
            <a:ext uri="{FF2B5EF4-FFF2-40B4-BE49-F238E27FC236}">
              <a16:creationId xmlns:a16="http://schemas.microsoft.com/office/drawing/2014/main" id="{FFCC7E89-43BA-6A96-A2E4-02D98A226A75}"/>
            </a:ext>
          </a:extLst>
        </xdr:cNvPr>
        <xdr:cNvCxnSpPr/>
      </xdr:nvCxnSpPr>
      <xdr:spPr>
        <a:xfrm>
          <a:off x="1483519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120" name="Match38">
          <a:extLst>
            <a:ext uri="{FF2B5EF4-FFF2-40B4-BE49-F238E27FC236}">
              <a16:creationId xmlns:a16="http://schemas.microsoft.com/office/drawing/2014/main" id="{D31CD790-B3CC-6F23-0D5E-37B78A6A20C1}"/>
            </a:ext>
          </a:extLst>
        </xdr:cNvPr>
        <xdr:cNvCxnSpPr/>
      </xdr:nvCxnSpPr>
      <xdr:spPr>
        <a:xfrm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8</xdr:row>
      <xdr:rowOff>203994</xdr:rowOff>
    </xdr:from>
    <xdr:to>
      <xdr:col>4</xdr:col>
      <xdr:colOff>237331</xdr:colOff>
      <xdr:row>9</xdr:row>
      <xdr:rowOff>203993</xdr:rowOff>
    </xdr:to>
    <xdr:cxnSp macro="">
      <xdr:nvCxnSpPr>
        <xdr:cNvPr id="1121" name="Match39">
          <a:extLst>
            <a:ext uri="{FF2B5EF4-FFF2-40B4-BE49-F238E27FC236}">
              <a16:creationId xmlns:a16="http://schemas.microsoft.com/office/drawing/2014/main" id="{22B1D46A-CB2C-0963-0187-B1ADC825BB00}"/>
            </a:ext>
          </a:extLst>
        </xdr:cNvPr>
        <xdr:cNvCxnSpPr/>
      </xdr:nvCxnSpPr>
      <xdr:spPr>
        <a:xfrm flipH="1" flipV="1">
          <a:off x="1508919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122" name="Match40">
          <a:extLst>
            <a:ext uri="{FF2B5EF4-FFF2-40B4-BE49-F238E27FC236}">
              <a16:creationId xmlns:a16="http://schemas.microsoft.com/office/drawing/2014/main" id="{74939916-9F5D-787C-9A98-0E5673CD6F5A}"/>
            </a:ext>
          </a:extLst>
        </xdr:cNvPr>
        <xdr:cNvCxnSpPr/>
      </xdr:nvCxnSpPr>
      <xdr:spPr>
        <a:xfrm flipH="1" flipV="1"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1123" name="Match41">
          <a:extLst>
            <a:ext uri="{FF2B5EF4-FFF2-40B4-BE49-F238E27FC236}">
              <a16:creationId xmlns:a16="http://schemas.microsoft.com/office/drawing/2014/main" id="{9B97D542-C916-A612-EE34-383C22DE2CDC}"/>
            </a:ext>
          </a:extLst>
        </xdr:cNvPr>
        <xdr:cNvCxnSpPr/>
      </xdr:nvCxnSpPr>
      <xdr:spPr>
        <a:xfrm flipH="1">
          <a:off x="1907381" y="3393281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1124" name="Match42">
          <a:extLst>
            <a:ext uri="{FF2B5EF4-FFF2-40B4-BE49-F238E27FC236}">
              <a16:creationId xmlns:a16="http://schemas.microsoft.com/office/drawing/2014/main" id="{54F70E60-38B3-0965-2D8B-0D798F48E64A}"/>
            </a:ext>
          </a:extLst>
        </xdr:cNvPr>
        <xdr:cNvCxnSpPr/>
      </xdr:nvCxnSpPr>
      <xdr:spPr>
        <a:xfrm flipH="1">
          <a:off x="4026694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1125" name="Match43">
          <a:extLst>
            <a:ext uri="{FF2B5EF4-FFF2-40B4-BE49-F238E27FC236}">
              <a16:creationId xmlns:a16="http://schemas.microsoft.com/office/drawing/2014/main" id="{4A4EC65A-335F-B08A-D125-61627859E40D}"/>
            </a:ext>
          </a:extLst>
        </xdr:cNvPr>
        <xdr:cNvCxnSpPr/>
      </xdr:nvCxnSpPr>
      <xdr:spPr>
        <a:xfrm flipH="1" flipV="1">
          <a:off x="233124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4</xdr:col>
      <xdr:colOff>211931</xdr:colOff>
      <xdr:row>3</xdr:row>
      <xdr:rowOff>178593</xdr:rowOff>
    </xdr:to>
    <xdr:cxnSp macro="">
      <xdr:nvCxnSpPr>
        <xdr:cNvPr id="1126" name="Match44">
          <a:extLst>
            <a:ext uri="{FF2B5EF4-FFF2-40B4-BE49-F238E27FC236}">
              <a16:creationId xmlns:a16="http://schemas.microsoft.com/office/drawing/2014/main" id="{E9B0CC3B-A11F-3800-2CF6-015F09C20845}"/>
            </a:ext>
          </a:extLst>
        </xdr:cNvPr>
        <xdr:cNvCxnSpPr/>
      </xdr:nvCxnSpPr>
      <xdr:spPr>
        <a:xfrm>
          <a:off x="1907381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</xdr:row>
      <xdr:rowOff>203993</xdr:rowOff>
    </xdr:from>
    <xdr:to>
      <xdr:col>4</xdr:col>
      <xdr:colOff>237331</xdr:colOff>
      <xdr:row>2</xdr:row>
      <xdr:rowOff>203994</xdr:rowOff>
    </xdr:to>
    <xdr:cxnSp macro="">
      <xdr:nvCxnSpPr>
        <xdr:cNvPr id="1127" name="Match45">
          <a:extLst>
            <a:ext uri="{FF2B5EF4-FFF2-40B4-BE49-F238E27FC236}">
              <a16:creationId xmlns:a16="http://schemas.microsoft.com/office/drawing/2014/main" id="{7EF849ED-3EC5-B445-EDAB-3273E38D4A44}"/>
            </a:ext>
          </a:extLst>
        </xdr:cNvPr>
        <xdr:cNvCxnSpPr/>
      </xdr:nvCxnSpPr>
      <xdr:spPr>
        <a:xfrm flipV="1">
          <a:off x="1932781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128" name="Match46">
          <a:extLst>
            <a:ext uri="{FF2B5EF4-FFF2-40B4-BE49-F238E27FC236}">
              <a16:creationId xmlns:a16="http://schemas.microsoft.com/office/drawing/2014/main" id="{F89AB5CE-10D2-4EEE-A582-919686CD856E}"/>
            </a:ext>
          </a:extLst>
        </xdr:cNvPr>
        <xdr:cNvCxnSpPr/>
      </xdr:nvCxnSpPr>
      <xdr:spPr>
        <a:xfrm flipV="1">
          <a:off x="233124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5</xdr:row>
      <xdr:rowOff>203993</xdr:rowOff>
    </xdr:from>
    <xdr:to>
      <xdr:col>6</xdr:col>
      <xdr:colOff>237331</xdr:colOff>
      <xdr:row>6</xdr:row>
      <xdr:rowOff>203994</xdr:rowOff>
    </xdr:to>
    <xdr:cxnSp macro="">
      <xdr:nvCxnSpPr>
        <xdr:cNvPr id="1129" name="Match47">
          <a:extLst>
            <a:ext uri="{FF2B5EF4-FFF2-40B4-BE49-F238E27FC236}">
              <a16:creationId xmlns:a16="http://schemas.microsoft.com/office/drawing/2014/main" id="{45403766-D975-7B69-0A86-75578761F297}"/>
            </a:ext>
          </a:extLst>
        </xdr:cNvPr>
        <xdr:cNvCxnSpPr/>
      </xdr:nvCxnSpPr>
      <xdr:spPr>
        <a:xfrm flipV="1">
          <a:off x="235664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3</xdr:col>
      <xdr:colOff>211931</xdr:colOff>
      <xdr:row>8</xdr:row>
      <xdr:rowOff>178594</xdr:rowOff>
    </xdr:to>
    <xdr:cxnSp macro="">
      <xdr:nvCxnSpPr>
        <xdr:cNvPr id="1130" name="Match48">
          <a:extLst>
            <a:ext uri="{FF2B5EF4-FFF2-40B4-BE49-F238E27FC236}">
              <a16:creationId xmlns:a16="http://schemas.microsoft.com/office/drawing/2014/main" id="{3DAD9C55-4E72-F851-05C9-602E14FDBCA1}"/>
            </a:ext>
          </a:extLst>
        </xdr:cNvPr>
        <xdr:cNvCxnSpPr/>
      </xdr:nvCxnSpPr>
      <xdr:spPr>
        <a:xfrm>
          <a:off x="1059656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4</xdr:col>
      <xdr:colOff>211931</xdr:colOff>
      <xdr:row>9</xdr:row>
      <xdr:rowOff>178593</xdr:rowOff>
    </xdr:to>
    <xdr:cxnSp macro="">
      <xdr:nvCxnSpPr>
        <xdr:cNvPr id="1131" name="Match49">
          <a:extLst>
            <a:ext uri="{FF2B5EF4-FFF2-40B4-BE49-F238E27FC236}">
              <a16:creationId xmlns:a16="http://schemas.microsoft.com/office/drawing/2014/main" id="{5C054CE7-8B06-5D21-2379-88A74A803930}"/>
            </a:ext>
          </a:extLst>
        </xdr:cNvPr>
        <xdr:cNvCxnSpPr/>
      </xdr:nvCxnSpPr>
      <xdr:spPr>
        <a:xfrm>
          <a:off x="1483519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8</xdr:row>
      <xdr:rowOff>203994</xdr:rowOff>
    </xdr:from>
    <xdr:to>
      <xdr:col>3</xdr:col>
      <xdr:colOff>237331</xdr:colOff>
      <xdr:row>9</xdr:row>
      <xdr:rowOff>203993</xdr:rowOff>
    </xdr:to>
    <xdr:cxnSp macro="">
      <xdr:nvCxnSpPr>
        <xdr:cNvPr id="1132" name="Match50">
          <a:extLst>
            <a:ext uri="{FF2B5EF4-FFF2-40B4-BE49-F238E27FC236}">
              <a16:creationId xmlns:a16="http://schemas.microsoft.com/office/drawing/2014/main" id="{5E2C4D52-DAAF-671B-D07A-99C59A8EA6A1}"/>
            </a:ext>
          </a:extLst>
        </xdr:cNvPr>
        <xdr:cNvCxnSpPr/>
      </xdr:nvCxnSpPr>
      <xdr:spPr>
        <a:xfrm flipV="1">
          <a:off x="1508919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6</xdr:col>
      <xdr:colOff>211931</xdr:colOff>
      <xdr:row>10</xdr:row>
      <xdr:rowOff>178594</xdr:rowOff>
    </xdr:to>
    <xdr:cxnSp macro="">
      <xdr:nvCxnSpPr>
        <xdr:cNvPr id="1133" name="Match51">
          <a:extLst>
            <a:ext uri="{FF2B5EF4-FFF2-40B4-BE49-F238E27FC236}">
              <a16:creationId xmlns:a16="http://schemas.microsoft.com/office/drawing/2014/main" id="{7983FB3E-B5BE-2514-3DFC-397DA6F0580C}"/>
            </a:ext>
          </a:extLst>
        </xdr:cNvPr>
        <xdr:cNvCxnSpPr/>
      </xdr:nvCxnSpPr>
      <xdr:spPr>
        <a:xfrm flipH="1">
          <a:off x="233124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1134" name="Match52">
          <a:extLst>
            <a:ext uri="{FF2B5EF4-FFF2-40B4-BE49-F238E27FC236}">
              <a16:creationId xmlns:a16="http://schemas.microsoft.com/office/drawing/2014/main" id="{B25C0B6B-51BC-88B8-D2FD-03A51B916D95}"/>
            </a:ext>
          </a:extLst>
        </xdr:cNvPr>
        <xdr:cNvCxnSpPr/>
      </xdr:nvCxnSpPr>
      <xdr:spPr>
        <a:xfrm flipV="1">
          <a:off x="233124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9</xdr:col>
      <xdr:colOff>211931</xdr:colOff>
      <xdr:row>2</xdr:row>
      <xdr:rowOff>178594</xdr:rowOff>
    </xdr:to>
    <xdr:cxnSp macro="">
      <xdr:nvCxnSpPr>
        <xdr:cNvPr id="1135" name="Match53">
          <a:extLst>
            <a:ext uri="{FF2B5EF4-FFF2-40B4-BE49-F238E27FC236}">
              <a16:creationId xmlns:a16="http://schemas.microsoft.com/office/drawing/2014/main" id="{12373C42-D3B8-4B75-17B4-6CE1B9436CE7}"/>
            </a:ext>
          </a:extLst>
        </xdr:cNvPr>
        <xdr:cNvCxnSpPr/>
      </xdr:nvCxnSpPr>
      <xdr:spPr>
        <a:xfrm>
          <a:off x="4026694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3</xdr:col>
      <xdr:colOff>211931</xdr:colOff>
      <xdr:row>6</xdr:row>
      <xdr:rowOff>178594</xdr:rowOff>
    </xdr:to>
    <xdr:cxnSp macro="">
      <xdr:nvCxnSpPr>
        <xdr:cNvPr id="1136" name="Match54">
          <a:extLst>
            <a:ext uri="{FF2B5EF4-FFF2-40B4-BE49-F238E27FC236}">
              <a16:creationId xmlns:a16="http://schemas.microsoft.com/office/drawing/2014/main" id="{4ED47EB4-F457-CDD2-9EF5-576314EE9CF2}"/>
            </a:ext>
          </a:extLst>
        </xdr:cNvPr>
        <xdr:cNvCxnSpPr/>
      </xdr:nvCxnSpPr>
      <xdr:spPr>
        <a:xfrm>
          <a:off x="105965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5</xdr:row>
      <xdr:rowOff>203993</xdr:rowOff>
    </xdr:from>
    <xdr:to>
      <xdr:col>2</xdr:col>
      <xdr:colOff>237331</xdr:colOff>
      <xdr:row>6</xdr:row>
      <xdr:rowOff>203994</xdr:rowOff>
    </xdr:to>
    <xdr:cxnSp macro="">
      <xdr:nvCxnSpPr>
        <xdr:cNvPr id="1137" name="Match55">
          <a:extLst>
            <a:ext uri="{FF2B5EF4-FFF2-40B4-BE49-F238E27FC236}">
              <a16:creationId xmlns:a16="http://schemas.microsoft.com/office/drawing/2014/main" id="{2F847202-84AE-CF31-9D29-63056F3820F7}"/>
            </a:ext>
          </a:extLst>
        </xdr:cNvPr>
        <xdr:cNvCxnSpPr/>
      </xdr:nvCxnSpPr>
      <xdr:spPr>
        <a:xfrm flipV="1">
          <a:off x="1085056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1138" name="Match56">
          <a:extLst>
            <a:ext uri="{FF2B5EF4-FFF2-40B4-BE49-F238E27FC236}">
              <a16:creationId xmlns:a16="http://schemas.microsoft.com/office/drawing/2014/main" id="{D98BB5C3-E7D3-451B-3EB0-A7EC72E203C6}"/>
            </a:ext>
          </a:extLst>
        </xdr:cNvPr>
        <xdr:cNvCxnSpPr/>
      </xdr:nvCxnSpPr>
      <xdr:spPr>
        <a:xfrm>
          <a:off x="275510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7</xdr:row>
      <xdr:rowOff>203993</xdr:rowOff>
    </xdr:from>
    <xdr:to>
      <xdr:col>6</xdr:col>
      <xdr:colOff>237331</xdr:colOff>
      <xdr:row>8</xdr:row>
      <xdr:rowOff>203994</xdr:rowOff>
    </xdr:to>
    <xdr:cxnSp macro="">
      <xdr:nvCxnSpPr>
        <xdr:cNvPr id="1139" name="Match57">
          <a:extLst>
            <a:ext uri="{FF2B5EF4-FFF2-40B4-BE49-F238E27FC236}">
              <a16:creationId xmlns:a16="http://schemas.microsoft.com/office/drawing/2014/main" id="{1BFF2555-60C1-6968-B4CD-90E331B00114}"/>
            </a:ext>
          </a:extLst>
        </xdr:cNvPr>
        <xdr:cNvCxnSpPr/>
      </xdr:nvCxnSpPr>
      <xdr:spPr>
        <a:xfrm flipH="1">
          <a:off x="2356644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7</xdr:row>
      <xdr:rowOff>229393</xdr:rowOff>
    </xdr:from>
    <xdr:to>
      <xdr:col>6</xdr:col>
      <xdr:colOff>262731</xdr:colOff>
      <xdr:row>7</xdr:row>
      <xdr:rowOff>229393</xdr:rowOff>
    </xdr:to>
    <xdr:cxnSp macro="">
      <xdr:nvCxnSpPr>
        <xdr:cNvPr id="1140" name="Match58">
          <a:extLst>
            <a:ext uri="{FF2B5EF4-FFF2-40B4-BE49-F238E27FC236}">
              <a16:creationId xmlns:a16="http://schemas.microsoft.com/office/drawing/2014/main" id="{EF90962F-E7C8-E0EF-81B4-BC04B6C5BCAE}"/>
            </a:ext>
          </a:extLst>
        </xdr:cNvPr>
        <xdr:cNvCxnSpPr/>
      </xdr:nvCxnSpPr>
      <xdr:spPr>
        <a:xfrm flipH="1">
          <a:off x="2382044" y="2729706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1141" name="Match59">
          <a:extLst>
            <a:ext uri="{FF2B5EF4-FFF2-40B4-BE49-F238E27FC236}">
              <a16:creationId xmlns:a16="http://schemas.microsoft.com/office/drawing/2014/main" id="{8B57DE09-8C90-7612-C7F0-7CCEC1B37D19}"/>
            </a:ext>
          </a:extLst>
        </xdr:cNvPr>
        <xdr:cNvCxnSpPr/>
      </xdr:nvCxnSpPr>
      <xdr:spPr>
        <a:xfrm>
          <a:off x="317896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7</xdr:row>
      <xdr:rowOff>203993</xdr:rowOff>
    </xdr:from>
    <xdr:to>
      <xdr:col>7</xdr:col>
      <xdr:colOff>237331</xdr:colOff>
      <xdr:row>8</xdr:row>
      <xdr:rowOff>203994</xdr:rowOff>
    </xdr:to>
    <xdr:cxnSp macro="">
      <xdr:nvCxnSpPr>
        <xdr:cNvPr id="1142" name="Match60">
          <a:extLst>
            <a:ext uri="{FF2B5EF4-FFF2-40B4-BE49-F238E27FC236}">
              <a16:creationId xmlns:a16="http://schemas.microsoft.com/office/drawing/2014/main" id="{8DEE7F46-B842-45FC-7652-055D54C5733E}"/>
            </a:ext>
          </a:extLst>
        </xdr:cNvPr>
        <xdr:cNvCxnSpPr/>
      </xdr:nvCxnSpPr>
      <xdr:spPr>
        <a:xfrm flipV="1">
          <a:off x="3204369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7</xdr:row>
      <xdr:rowOff>229393</xdr:rowOff>
    </xdr:from>
    <xdr:to>
      <xdr:col>8</xdr:col>
      <xdr:colOff>262731</xdr:colOff>
      <xdr:row>8</xdr:row>
      <xdr:rowOff>229394</xdr:rowOff>
    </xdr:to>
    <xdr:cxnSp macro="">
      <xdr:nvCxnSpPr>
        <xdr:cNvPr id="1143" name="Match61">
          <a:extLst>
            <a:ext uri="{FF2B5EF4-FFF2-40B4-BE49-F238E27FC236}">
              <a16:creationId xmlns:a16="http://schemas.microsoft.com/office/drawing/2014/main" id="{D5404275-CF26-1AD5-F0C7-BA4ABFCC01C9}"/>
            </a:ext>
          </a:extLst>
        </xdr:cNvPr>
        <xdr:cNvCxnSpPr/>
      </xdr:nvCxnSpPr>
      <xdr:spPr>
        <a:xfrm flipV="1">
          <a:off x="3229769" y="272970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11</xdr:row>
      <xdr:rowOff>178593</xdr:rowOff>
    </xdr:from>
    <xdr:to>
      <xdr:col>1</xdr:col>
      <xdr:colOff>211931</xdr:colOff>
      <xdr:row>11</xdr:row>
      <xdr:rowOff>178593</xdr:rowOff>
    </xdr:to>
    <xdr:cxnSp macro="">
      <xdr:nvCxnSpPr>
        <xdr:cNvPr id="1144" name="Match62">
          <a:extLst>
            <a:ext uri="{FF2B5EF4-FFF2-40B4-BE49-F238E27FC236}">
              <a16:creationId xmlns:a16="http://schemas.microsoft.com/office/drawing/2014/main" id="{D941A88E-9184-71EA-97B5-F899C1D1ABDB}"/>
            </a:ext>
          </a:extLst>
        </xdr:cNvPr>
        <xdr:cNvCxnSpPr/>
      </xdr:nvCxnSpPr>
      <xdr:spPr>
        <a:xfrm flipH="1">
          <a:off x="21193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0</xdr:row>
      <xdr:rowOff>203994</xdr:rowOff>
    </xdr:from>
    <xdr:to>
      <xdr:col>8</xdr:col>
      <xdr:colOff>237331</xdr:colOff>
      <xdr:row>0</xdr:row>
      <xdr:rowOff>203994</xdr:rowOff>
    </xdr:to>
    <xdr:cxnSp macro="">
      <xdr:nvCxnSpPr>
        <xdr:cNvPr id="1145" name="Match63">
          <a:extLst>
            <a:ext uri="{FF2B5EF4-FFF2-40B4-BE49-F238E27FC236}">
              <a16:creationId xmlns:a16="http://schemas.microsoft.com/office/drawing/2014/main" id="{02951264-D9B1-E130-AE59-87F9598007A6}"/>
            </a:ext>
          </a:extLst>
        </xdr:cNvPr>
        <xdr:cNvCxnSpPr/>
      </xdr:nvCxnSpPr>
      <xdr:spPr>
        <a:xfrm>
          <a:off x="2356644" y="203994"/>
          <a:ext cx="1271587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1</xdr:col>
      <xdr:colOff>211931</xdr:colOff>
      <xdr:row>8</xdr:row>
      <xdr:rowOff>178594</xdr:rowOff>
    </xdr:to>
    <xdr:cxnSp macro="">
      <xdr:nvCxnSpPr>
        <xdr:cNvPr id="1146" name="Match64">
          <a:extLst>
            <a:ext uri="{FF2B5EF4-FFF2-40B4-BE49-F238E27FC236}">
              <a16:creationId xmlns:a16="http://schemas.microsoft.com/office/drawing/2014/main" id="{120EF6CF-C9BB-FF76-B14F-09D66E8C7E95}"/>
            </a:ext>
          </a:extLst>
        </xdr:cNvPr>
        <xdr:cNvCxnSpPr/>
      </xdr:nvCxnSpPr>
      <xdr:spPr>
        <a:xfrm>
          <a:off x="635794" y="160734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2953741D-2D45-6B37-F060-1DF94B75CC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B9" sqref="B9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7</v>
      </c>
      <c r="B1" s="26">
        <v>7</v>
      </c>
      <c r="C1" s="26">
        <v>9</v>
      </c>
      <c r="D1" s="26">
        <v>5</v>
      </c>
      <c r="E1" s="26">
        <v>3</v>
      </c>
      <c r="F1" s="23">
        <v>9</v>
      </c>
      <c r="G1" s="23">
        <v>7</v>
      </c>
      <c r="H1" s="23">
        <v>3</v>
      </c>
      <c r="I1" s="23">
        <v>5</v>
      </c>
      <c r="J1" s="22">
        <v>5</v>
      </c>
      <c r="K1" s="22">
        <v>4</v>
      </c>
      <c r="L1" s="22">
        <v>4</v>
      </c>
      <c r="N1" s="2">
        <v>8331</v>
      </c>
      <c r="O1" s="1">
        <v>1</v>
      </c>
    </row>
    <row r="2" spans="1:15" ht="28.25" customHeight="1">
      <c r="A2" s="26">
        <v>6</v>
      </c>
      <c r="B2" s="26">
        <v>1</v>
      </c>
      <c r="C2" s="26">
        <v>3</v>
      </c>
      <c r="D2" s="26">
        <v>5</v>
      </c>
      <c r="E2" s="22">
        <v>9</v>
      </c>
      <c r="F2" s="22">
        <v>4</v>
      </c>
      <c r="G2" s="22">
        <v>2</v>
      </c>
      <c r="H2" s="26">
        <v>3</v>
      </c>
      <c r="I2" s="22">
        <v>8</v>
      </c>
      <c r="J2" s="22">
        <v>4</v>
      </c>
      <c r="K2" s="26">
        <v>9</v>
      </c>
      <c r="L2" s="26">
        <v>8</v>
      </c>
      <c r="N2" s="2">
        <v>3136839</v>
      </c>
      <c r="O2" s="1">
        <v>1</v>
      </c>
    </row>
    <row r="3" spans="1:15" ht="28.25" customHeight="1">
      <c r="A3" s="22">
        <v>8</v>
      </c>
      <c r="B3" s="26">
        <v>2</v>
      </c>
      <c r="C3" s="26">
        <v>4</v>
      </c>
      <c r="D3" s="26">
        <v>6</v>
      </c>
      <c r="E3" s="22">
        <v>2</v>
      </c>
      <c r="F3" s="26">
        <v>5</v>
      </c>
      <c r="G3" s="26">
        <v>4</v>
      </c>
      <c r="H3" s="26">
        <v>1</v>
      </c>
      <c r="I3" s="22">
        <v>8</v>
      </c>
      <c r="J3" s="22">
        <v>7</v>
      </c>
      <c r="K3" s="22">
        <v>6</v>
      </c>
      <c r="L3" s="26">
        <v>3</v>
      </c>
      <c r="N3" s="2">
        <v>3597533</v>
      </c>
      <c r="O3" s="1">
        <v>1</v>
      </c>
    </row>
    <row r="4" spans="1:15" ht="28.25" customHeight="1">
      <c r="A4" s="23">
        <v>5</v>
      </c>
      <c r="B4" s="22">
        <v>1</v>
      </c>
      <c r="C4" s="26">
        <v>6</v>
      </c>
      <c r="D4" s="26">
        <v>5</v>
      </c>
      <c r="E4" s="22">
        <v>9</v>
      </c>
      <c r="F4" s="26">
        <v>5</v>
      </c>
      <c r="G4" s="26">
        <v>5</v>
      </c>
      <c r="H4" s="26">
        <v>2</v>
      </c>
      <c r="I4" s="26">
        <v>6</v>
      </c>
      <c r="J4" s="26">
        <v>2</v>
      </c>
      <c r="K4" s="23">
        <v>1</v>
      </c>
      <c r="L4" s="26">
        <v>6</v>
      </c>
      <c r="N4" s="2">
        <v>78</v>
      </c>
      <c r="O4" s="1">
        <v>19</v>
      </c>
    </row>
    <row r="5" spans="1:15" ht="28.25" customHeight="1">
      <c r="A5" s="23">
        <v>4</v>
      </c>
      <c r="B5" s="23">
        <v>9</v>
      </c>
      <c r="C5" s="22">
        <v>6</v>
      </c>
      <c r="D5" s="22">
        <v>9</v>
      </c>
      <c r="E5" s="23">
        <v>5</v>
      </c>
      <c r="F5" s="23">
        <v>6</v>
      </c>
      <c r="G5" s="23">
        <v>1</v>
      </c>
      <c r="H5" s="23">
        <v>1</v>
      </c>
      <c r="I5" s="23">
        <v>4</v>
      </c>
      <c r="J5" s="23">
        <v>3</v>
      </c>
      <c r="K5" s="22">
        <v>8</v>
      </c>
      <c r="L5" s="26">
        <v>9</v>
      </c>
      <c r="N5" s="2">
        <v>544</v>
      </c>
      <c r="O5" s="1">
        <v>2</v>
      </c>
    </row>
    <row r="6" spans="1:15" ht="28.25" customHeight="1">
      <c r="A6" s="23">
        <v>4</v>
      </c>
      <c r="B6" s="23">
        <v>8</v>
      </c>
      <c r="C6" s="22">
        <v>7</v>
      </c>
      <c r="D6" s="23">
        <v>8</v>
      </c>
      <c r="E6" s="22">
        <v>7</v>
      </c>
      <c r="F6" s="23">
        <v>9</v>
      </c>
      <c r="G6" s="22">
        <v>9</v>
      </c>
      <c r="H6" s="22">
        <v>9</v>
      </c>
      <c r="I6" s="23">
        <v>3</v>
      </c>
      <c r="J6" s="26">
        <v>2</v>
      </c>
      <c r="K6" s="26">
        <v>1</v>
      </c>
      <c r="L6" s="23">
        <v>5</v>
      </c>
      <c r="N6" s="2">
        <v>82858</v>
      </c>
      <c r="O6" s="1">
        <v>1</v>
      </c>
    </row>
    <row r="7" spans="1:15" ht="28.25" customHeight="1">
      <c r="A7" s="26">
        <v>3</v>
      </c>
      <c r="B7" s="23">
        <v>5</v>
      </c>
      <c r="C7" s="22">
        <v>4</v>
      </c>
      <c r="D7" s="23">
        <v>7</v>
      </c>
      <c r="E7" s="26">
        <v>5</v>
      </c>
      <c r="F7" s="23">
        <v>2</v>
      </c>
      <c r="G7" s="26">
        <v>3</v>
      </c>
      <c r="H7" s="23">
        <v>8</v>
      </c>
      <c r="I7" s="22">
        <v>8</v>
      </c>
      <c r="J7" s="23">
        <v>6</v>
      </c>
      <c r="K7" s="23">
        <v>1</v>
      </c>
      <c r="L7" s="23">
        <v>8</v>
      </c>
      <c r="N7" s="2">
        <v>618</v>
      </c>
      <c r="O7" s="1">
        <v>3</v>
      </c>
    </row>
    <row r="8" spans="1:15" ht="28.25" customHeight="1">
      <c r="A8" s="26">
        <v>3</v>
      </c>
      <c r="B8" s="23">
        <v>3</v>
      </c>
      <c r="C8" s="23">
        <v>8</v>
      </c>
      <c r="D8" s="26">
        <v>6</v>
      </c>
      <c r="E8" s="26">
        <v>3</v>
      </c>
      <c r="F8" s="22">
        <v>7</v>
      </c>
      <c r="G8" s="22">
        <v>4</v>
      </c>
      <c r="H8" s="22">
        <v>7</v>
      </c>
      <c r="I8" s="22">
        <v>7</v>
      </c>
      <c r="J8" s="23">
        <v>1</v>
      </c>
      <c r="K8" s="22">
        <v>7</v>
      </c>
      <c r="L8" s="22">
        <v>8</v>
      </c>
      <c r="N8" s="2">
        <v>56114</v>
      </c>
      <c r="O8" s="1">
        <v>1</v>
      </c>
    </row>
    <row r="9" spans="1:15" ht="28.25" customHeight="1">
      <c r="A9" s="26">
        <v>5</v>
      </c>
      <c r="B9" s="23">
        <v>5</v>
      </c>
      <c r="C9" s="23">
        <v>2</v>
      </c>
      <c r="D9" s="23">
        <v>9</v>
      </c>
      <c r="E9" s="22">
        <v>8</v>
      </c>
      <c r="F9" s="22">
        <v>7</v>
      </c>
      <c r="G9" s="26">
        <v>1</v>
      </c>
      <c r="H9" s="23">
        <v>4</v>
      </c>
      <c r="I9" s="26">
        <v>1</v>
      </c>
      <c r="J9" s="26">
        <v>5</v>
      </c>
      <c r="K9" s="26">
        <v>5</v>
      </c>
      <c r="L9" s="26">
        <v>9</v>
      </c>
      <c r="N9" s="2">
        <v>99</v>
      </c>
      <c r="O9" s="1">
        <v>12</v>
      </c>
    </row>
    <row r="10" spans="1:15" ht="28.25" customHeight="1">
      <c r="A10" s="26">
        <v>3</v>
      </c>
      <c r="B10" s="22">
        <v>7</v>
      </c>
      <c r="C10" s="23">
        <v>8</v>
      </c>
      <c r="D10" s="22">
        <v>2</v>
      </c>
      <c r="E10" s="23">
        <v>9</v>
      </c>
      <c r="F10" s="23">
        <v>7</v>
      </c>
      <c r="G10" s="23">
        <v>2</v>
      </c>
      <c r="H10" s="23">
        <v>7</v>
      </c>
      <c r="I10" s="23">
        <v>6</v>
      </c>
      <c r="J10" s="23">
        <v>3</v>
      </c>
      <c r="K10" s="26">
        <v>4</v>
      </c>
      <c r="L10" s="26">
        <v>6</v>
      </c>
      <c r="N10" s="2">
        <v>367279</v>
      </c>
      <c r="O10" s="1">
        <v>1</v>
      </c>
    </row>
    <row r="11" spans="1:15" ht="28.25" customHeight="1">
      <c r="A11" s="26">
        <v>6</v>
      </c>
      <c r="B11" s="26">
        <v>3</v>
      </c>
      <c r="C11" s="23">
        <v>5</v>
      </c>
      <c r="D11" s="26">
        <v>8</v>
      </c>
      <c r="E11" s="26">
        <v>5</v>
      </c>
      <c r="F11" s="23">
        <v>9</v>
      </c>
      <c r="G11" s="23">
        <v>3</v>
      </c>
      <c r="H11" s="23">
        <v>8</v>
      </c>
      <c r="I11" s="23">
        <v>6</v>
      </c>
      <c r="J11" s="23">
        <v>3</v>
      </c>
      <c r="K11" s="23">
        <v>1</v>
      </c>
      <c r="L11" s="23">
        <v>3</v>
      </c>
      <c r="N11" s="2">
        <v>511</v>
      </c>
      <c r="O11" s="1">
        <v>1</v>
      </c>
    </row>
    <row r="12" spans="1:15" ht="28.25" customHeight="1">
      <c r="A12" s="22">
        <v>7</v>
      </c>
      <c r="B12" s="22">
        <v>4</v>
      </c>
      <c r="C12" s="23">
        <v>8</v>
      </c>
      <c r="D12" s="26">
        <v>4</v>
      </c>
      <c r="E12" s="26">
        <v>1</v>
      </c>
      <c r="F12" s="23">
        <v>3</v>
      </c>
      <c r="G12" s="23">
        <v>3</v>
      </c>
      <c r="H12" s="23">
        <v>5</v>
      </c>
      <c r="I12" s="23">
        <v>7</v>
      </c>
      <c r="J12" s="23">
        <v>9</v>
      </c>
      <c r="K12" s="23">
        <v>5</v>
      </c>
      <c r="L12" s="23">
        <v>3</v>
      </c>
      <c r="N12" s="2">
        <v>29</v>
      </c>
      <c r="O12" s="1">
        <v>9</v>
      </c>
    </row>
    <row r="13" spans="1:15" ht="28.25" customHeight="1">
      <c r="N13" s="2">
        <v>47</v>
      </c>
      <c r="O13" s="1">
        <v>11</v>
      </c>
    </row>
    <row r="14" spans="1:15" ht="28.25" customHeight="1">
      <c r="N14" s="2">
        <v>9735</v>
      </c>
      <c r="O14" s="1">
        <v>1</v>
      </c>
    </row>
    <row r="15" spans="1:15" ht="28.25" customHeight="1">
      <c r="N15" s="2">
        <v>98535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88"/>
  <sheetViews>
    <sheetView tabSelected="1" zoomScaleNormal="100" workbookViewId="0">
      <pane ySplit="1" topLeftCell="A81" activePane="bottomLeft" state="frozen"/>
      <selection pane="bottomLeft" activeCell="A88" sqref="A88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207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IF(A17&lt;DATEVALUE("2025/11/20"),1,IF(B17-SUM(D17:F17)&lt;&gt;60,0,MAX(2-INT(G17*24*60/10),0)))</f>
        <v>1</v>
      </c>
      <c r="L17">
        <f>L16+K17</f>
        <v>1</v>
      </c>
      <c r="M17">
        <f>2+IF(A17&gt;=DATEVALUE("2025/11/30"),1,0)</f>
        <v>2</v>
      </c>
      <c r="N17">
        <f t="shared" ref="N17:N63" si="0">N16+M17*(INT(A17-6/24)-INT(A16-6/24))+O17</f>
        <v>2</v>
      </c>
      <c r="O17">
        <f>IF(A17&gt;=DATEVALUE("2025/11/8"),1,0)-IF(A16&gt;=DATEVALUE("2025/11/8"),1,0)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62" si="1">IF(A18&lt;DATEVALUE("2025/11/20"),1,IF(B18-SUM(D18:F18)&lt;&gt;60,0,MAX(2-INT(G18*24*60/10),0)))</f>
        <v>1</v>
      </c>
      <c r="L18">
        <f t="shared" ref="L18:L58" si="2">L17+K18</f>
        <v>2</v>
      </c>
      <c r="M18">
        <f t="shared" ref="M18:M75" si="3">2+IF(A18&gt;=DATEVALUE("2025/11/30"),1,0)</f>
        <v>2</v>
      </c>
      <c r="N18">
        <f t="shared" si="0"/>
        <v>2</v>
      </c>
      <c r="O18">
        <f t="shared" ref="O18:O75" si="4">IF(A18&gt;=DATEVALUE("2025/11/8"),1,0)-IF(A17&gt;=DATEVALUE("2025/11/8"),1,0)</f>
        <v>0</v>
      </c>
      <c r="P18" t="str">
        <f t="shared" ref="P18:P58" si="5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1"/>
        <v>1</v>
      </c>
      <c r="L19">
        <f t="shared" si="2"/>
        <v>3</v>
      </c>
      <c r="M19">
        <f t="shared" si="3"/>
        <v>2</v>
      </c>
      <c r="N19">
        <f t="shared" si="0"/>
        <v>4</v>
      </c>
      <c r="O19">
        <f t="shared" si="4"/>
        <v>0</v>
      </c>
      <c r="P19" t="str">
        <f t="shared" si="5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1"/>
        <v>1</v>
      </c>
      <c r="L20">
        <f t="shared" si="2"/>
        <v>4</v>
      </c>
      <c r="M20">
        <f t="shared" si="3"/>
        <v>2</v>
      </c>
      <c r="N20">
        <f t="shared" si="0"/>
        <v>4</v>
      </c>
      <c r="O20">
        <f t="shared" si="4"/>
        <v>0</v>
      </c>
      <c r="P20" t="str">
        <f t="shared" si="5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1"/>
        <v>1</v>
      </c>
      <c r="L21">
        <f t="shared" si="2"/>
        <v>5</v>
      </c>
      <c r="M21">
        <f t="shared" si="3"/>
        <v>2</v>
      </c>
      <c r="N21">
        <f t="shared" si="0"/>
        <v>6</v>
      </c>
      <c r="O21">
        <f t="shared" si="4"/>
        <v>0</v>
      </c>
      <c r="P21" t="str">
        <f t="shared" si="5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1"/>
        <v>1</v>
      </c>
      <c r="L22">
        <f t="shared" si="2"/>
        <v>6</v>
      </c>
      <c r="M22">
        <f t="shared" si="3"/>
        <v>2</v>
      </c>
      <c r="N22">
        <f t="shared" si="0"/>
        <v>6</v>
      </c>
      <c r="O22">
        <f t="shared" si="4"/>
        <v>0</v>
      </c>
      <c r="P22" t="str">
        <f t="shared" si="5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1"/>
        <v>1</v>
      </c>
      <c r="L23">
        <f t="shared" si="2"/>
        <v>7</v>
      </c>
      <c r="M23">
        <f t="shared" si="3"/>
        <v>2</v>
      </c>
      <c r="N23">
        <f t="shared" si="0"/>
        <v>8</v>
      </c>
      <c r="O23">
        <f t="shared" si="4"/>
        <v>0</v>
      </c>
      <c r="P23" t="str">
        <f t="shared" si="5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1"/>
        <v>1</v>
      </c>
      <c r="L24">
        <f t="shared" si="2"/>
        <v>8</v>
      </c>
      <c r="M24">
        <f t="shared" si="3"/>
        <v>2</v>
      </c>
      <c r="N24">
        <f t="shared" si="0"/>
        <v>8</v>
      </c>
      <c r="O24">
        <f t="shared" si="4"/>
        <v>0</v>
      </c>
      <c r="P24" t="str">
        <f t="shared" si="5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1"/>
        <v>1</v>
      </c>
      <c r="L25">
        <f t="shared" si="2"/>
        <v>9</v>
      </c>
      <c r="M25">
        <f t="shared" si="3"/>
        <v>2</v>
      </c>
      <c r="N25">
        <f t="shared" si="0"/>
        <v>10</v>
      </c>
      <c r="O25">
        <f t="shared" si="4"/>
        <v>0</v>
      </c>
      <c r="P25" t="str">
        <f t="shared" si="5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1"/>
        <v>1</v>
      </c>
      <c r="L26">
        <f t="shared" si="2"/>
        <v>10</v>
      </c>
      <c r="M26">
        <f t="shared" si="3"/>
        <v>2</v>
      </c>
      <c r="N26">
        <f t="shared" si="0"/>
        <v>10</v>
      </c>
      <c r="O26">
        <f t="shared" si="4"/>
        <v>0</v>
      </c>
      <c r="P26" t="str">
        <f t="shared" si="5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1"/>
        <v>1</v>
      </c>
      <c r="L27">
        <f t="shared" si="2"/>
        <v>11</v>
      </c>
      <c r="M27">
        <f t="shared" si="3"/>
        <v>2</v>
      </c>
      <c r="N27">
        <f t="shared" si="0"/>
        <v>13</v>
      </c>
      <c r="O27">
        <f t="shared" si="4"/>
        <v>1</v>
      </c>
      <c r="P27" t="str">
        <f t="shared" si="5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1"/>
        <v>1</v>
      </c>
      <c r="L28">
        <f t="shared" si="2"/>
        <v>12</v>
      </c>
      <c r="M28">
        <f t="shared" si="3"/>
        <v>2</v>
      </c>
      <c r="N28">
        <f t="shared" si="0"/>
        <v>13</v>
      </c>
      <c r="O28">
        <f t="shared" si="4"/>
        <v>0</v>
      </c>
      <c r="P28" t="str">
        <f t="shared" si="5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1"/>
        <v>1</v>
      </c>
      <c r="L29">
        <f t="shared" si="2"/>
        <v>13</v>
      </c>
      <c r="M29">
        <f t="shared" si="3"/>
        <v>2</v>
      </c>
      <c r="N29">
        <f t="shared" si="0"/>
        <v>13</v>
      </c>
      <c r="O29">
        <f t="shared" si="4"/>
        <v>0</v>
      </c>
      <c r="P29" t="str">
        <f t="shared" si="5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1"/>
        <v>1</v>
      </c>
      <c r="L30">
        <f t="shared" si="2"/>
        <v>14</v>
      </c>
      <c r="M30">
        <f t="shared" si="3"/>
        <v>2</v>
      </c>
      <c r="N30">
        <f t="shared" si="0"/>
        <v>15</v>
      </c>
      <c r="O30">
        <f t="shared" si="4"/>
        <v>0</v>
      </c>
      <c r="P30" t="str">
        <f t="shared" si="5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1"/>
        <v>1</v>
      </c>
      <c r="L31">
        <f t="shared" si="2"/>
        <v>15</v>
      </c>
      <c r="M31">
        <f t="shared" si="3"/>
        <v>2</v>
      </c>
      <c r="N31">
        <f t="shared" si="0"/>
        <v>15</v>
      </c>
      <c r="O31">
        <f t="shared" si="4"/>
        <v>0</v>
      </c>
      <c r="P31" t="str">
        <f t="shared" si="5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1"/>
        <v>1</v>
      </c>
      <c r="L32">
        <f t="shared" si="2"/>
        <v>16</v>
      </c>
      <c r="M32">
        <f t="shared" si="3"/>
        <v>2</v>
      </c>
      <c r="N32">
        <f t="shared" si="0"/>
        <v>17</v>
      </c>
      <c r="O32">
        <f t="shared" si="4"/>
        <v>0</v>
      </c>
      <c r="P32" t="str">
        <f t="shared" si="5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1"/>
        <v>1</v>
      </c>
      <c r="L33">
        <f t="shared" si="2"/>
        <v>17</v>
      </c>
      <c r="M33">
        <f t="shared" si="3"/>
        <v>2</v>
      </c>
      <c r="N33">
        <f t="shared" si="0"/>
        <v>17</v>
      </c>
      <c r="O33">
        <f t="shared" si="4"/>
        <v>0</v>
      </c>
      <c r="P33" t="str">
        <f t="shared" si="5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1"/>
        <v>1</v>
      </c>
      <c r="L34">
        <f t="shared" si="2"/>
        <v>18</v>
      </c>
      <c r="M34">
        <f t="shared" si="3"/>
        <v>2</v>
      </c>
      <c r="N34">
        <f t="shared" si="0"/>
        <v>19</v>
      </c>
      <c r="O34">
        <f t="shared" si="4"/>
        <v>0</v>
      </c>
      <c r="P34" t="str">
        <f t="shared" si="5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1"/>
        <v>1</v>
      </c>
      <c r="L35">
        <f t="shared" si="2"/>
        <v>19</v>
      </c>
      <c r="M35">
        <f t="shared" si="3"/>
        <v>2</v>
      </c>
      <c r="N35">
        <f t="shared" si="0"/>
        <v>19</v>
      </c>
      <c r="O35">
        <f t="shared" si="4"/>
        <v>0</v>
      </c>
      <c r="P35" t="str">
        <f t="shared" si="5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1"/>
        <v>1</v>
      </c>
      <c r="L36">
        <f t="shared" si="2"/>
        <v>20</v>
      </c>
      <c r="M36">
        <f t="shared" si="3"/>
        <v>2</v>
      </c>
      <c r="N36">
        <f t="shared" si="0"/>
        <v>21</v>
      </c>
      <c r="O36">
        <f t="shared" si="4"/>
        <v>0</v>
      </c>
      <c r="P36" t="str">
        <f t="shared" si="5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1"/>
        <v>1</v>
      </c>
      <c r="L37">
        <f t="shared" si="2"/>
        <v>21</v>
      </c>
      <c r="M37">
        <f t="shared" si="3"/>
        <v>2</v>
      </c>
      <c r="N37">
        <f t="shared" si="0"/>
        <v>21</v>
      </c>
      <c r="O37">
        <f t="shared" si="4"/>
        <v>0</v>
      </c>
      <c r="P37" t="str">
        <f t="shared" si="5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1"/>
        <v>1</v>
      </c>
      <c r="L38">
        <f t="shared" si="2"/>
        <v>22</v>
      </c>
      <c r="M38">
        <f t="shared" si="3"/>
        <v>2</v>
      </c>
      <c r="N38">
        <f t="shared" si="0"/>
        <v>25</v>
      </c>
      <c r="O38">
        <f t="shared" si="4"/>
        <v>0</v>
      </c>
      <c r="P38" t="str">
        <f t="shared" si="5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1"/>
        <v>1</v>
      </c>
      <c r="L39">
        <f t="shared" si="2"/>
        <v>23</v>
      </c>
      <c r="M39">
        <f t="shared" si="3"/>
        <v>2</v>
      </c>
      <c r="N39">
        <f t="shared" si="0"/>
        <v>25</v>
      </c>
      <c r="O39">
        <f t="shared" si="4"/>
        <v>0</v>
      </c>
      <c r="P39" t="str">
        <f t="shared" si="5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1"/>
        <v>1</v>
      </c>
      <c r="L40">
        <f t="shared" si="2"/>
        <v>24</v>
      </c>
      <c r="M40">
        <f t="shared" si="3"/>
        <v>2</v>
      </c>
      <c r="N40">
        <f t="shared" si="0"/>
        <v>27</v>
      </c>
      <c r="O40">
        <f t="shared" si="4"/>
        <v>0</v>
      </c>
      <c r="P40" t="str">
        <f t="shared" si="5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1"/>
        <v>1</v>
      </c>
      <c r="L41">
        <f t="shared" si="2"/>
        <v>25</v>
      </c>
      <c r="M41">
        <f t="shared" si="3"/>
        <v>2</v>
      </c>
      <c r="N41">
        <f t="shared" si="0"/>
        <v>27</v>
      </c>
      <c r="O41">
        <f t="shared" si="4"/>
        <v>0</v>
      </c>
      <c r="P41" t="str">
        <f t="shared" si="5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1"/>
        <v>1</v>
      </c>
      <c r="L42">
        <f t="shared" si="2"/>
        <v>26</v>
      </c>
      <c r="M42">
        <f t="shared" si="3"/>
        <v>2</v>
      </c>
      <c r="N42">
        <f t="shared" si="0"/>
        <v>29</v>
      </c>
      <c r="O42">
        <f t="shared" si="4"/>
        <v>0</v>
      </c>
      <c r="P42" t="str">
        <f t="shared" si="5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1"/>
        <v>1</v>
      </c>
      <c r="L43">
        <f t="shared" si="2"/>
        <v>27</v>
      </c>
      <c r="M43">
        <f t="shared" si="3"/>
        <v>2</v>
      </c>
      <c r="N43">
        <f t="shared" si="0"/>
        <v>29</v>
      </c>
      <c r="O43">
        <f t="shared" si="4"/>
        <v>0</v>
      </c>
      <c r="P43" t="str">
        <f t="shared" si="5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1"/>
        <v>1</v>
      </c>
      <c r="L44">
        <f t="shared" si="2"/>
        <v>28</v>
      </c>
      <c r="M44">
        <f t="shared" si="3"/>
        <v>2</v>
      </c>
      <c r="N44">
        <f t="shared" si="0"/>
        <v>29</v>
      </c>
      <c r="O44">
        <f t="shared" si="4"/>
        <v>0</v>
      </c>
      <c r="P44" t="str">
        <f t="shared" si="5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1"/>
        <v>1</v>
      </c>
      <c r="L45">
        <f t="shared" si="2"/>
        <v>29</v>
      </c>
      <c r="M45">
        <f t="shared" si="3"/>
        <v>2</v>
      </c>
      <c r="N45">
        <f t="shared" si="0"/>
        <v>29</v>
      </c>
      <c r="O45">
        <f t="shared" si="4"/>
        <v>0</v>
      </c>
      <c r="P45" t="str">
        <f t="shared" si="5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1"/>
        <v>1</v>
      </c>
      <c r="L46">
        <f t="shared" si="2"/>
        <v>30</v>
      </c>
      <c r="M46">
        <f t="shared" si="3"/>
        <v>2</v>
      </c>
      <c r="N46">
        <f t="shared" si="0"/>
        <v>29</v>
      </c>
      <c r="O46">
        <f t="shared" si="4"/>
        <v>0</v>
      </c>
      <c r="P46" t="str">
        <f t="shared" si="5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1"/>
        <v>1</v>
      </c>
      <c r="L47">
        <f t="shared" si="2"/>
        <v>31</v>
      </c>
      <c r="M47">
        <f t="shared" si="3"/>
        <v>2</v>
      </c>
      <c r="N47">
        <f t="shared" si="0"/>
        <v>29</v>
      </c>
      <c r="O47">
        <f t="shared" si="4"/>
        <v>0</v>
      </c>
      <c r="P47" t="str">
        <f t="shared" si="5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1"/>
        <v>1</v>
      </c>
      <c r="L48">
        <f t="shared" si="2"/>
        <v>32</v>
      </c>
      <c r="M48">
        <f t="shared" si="3"/>
        <v>2</v>
      </c>
      <c r="N48">
        <f t="shared" si="0"/>
        <v>31</v>
      </c>
      <c r="O48">
        <f t="shared" si="4"/>
        <v>0</v>
      </c>
      <c r="P48" t="str">
        <f t="shared" si="5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1"/>
        <v>1</v>
      </c>
      <c r="L49">
        <f t="shared" si="2"/>
        <v>33</v>
      </c>
      <c r="M49">
        <f t="shared" si="3"/>
        <v>2</v>
      </c>
      <c r="N49">
        <f t="shared" si="0"/>
        <v>31</v>
      </c>
      <c r="O49">
        <f t="shared" si="4"/>
        <v>0</v>
      </c>
      <c r="P49" t="str">
        <f t="shared" si="5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1"/>
        <v>1</v>
      </c>
      <c r="L50">
        <f t="shared" si="2"/>
        <v>34</v>
      </c>
      <c r="M50">
        <f t="shared" si="3"/>
        <v>2</v>
      </c>
      <c r="N50">
        <f t="shared" si="0"/>
        <v>31</v>
      </c>
      <c r="O50">
        <f t="shared" si="4"/>
        <v>0</v>
      </c>
      <c r="P50" t="str">
        <f t="shared" si="5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1"/>
        <v>1</v>
      </c>
      <c r="L51">
        <f t="shared" si="2"/>
        <v>35</v>
      </c>
      <c r="M51">
        <f t="shared" si="3"/>
        <v>2</v>
      </c>
      <c r="N51">
        <f t="shared" si="0"/>
        <v>31</v>
      </c>
      <c r="O51">
        <f t="shared" si="4"/>
        <v>0</v>
      </c>
      <c r="P51" t="str">
        <f t="shared" si="5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1"/>
        <v>1</v>
      </c>
      <c r="L52">
        <f t="shared" si="2"/>
        <v>36</v>
      </c>
      <c r="M52">
        <f t="shared" si="3"/>
        <v>2</v>
      </c>
      <c r="N52">
        <f t="shared" si="0"/>
        <v>35</v>
      </c>
      <c r="O52">
        <f t="shared" si="4"/>
        <v>0</v>
      </c>
      <c r="P52" t="str">
        <f t="shared" si="5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1"/>
        <v>1</v>
      </c>
      <c r="L53">
        <f t="shared" si="2"/>
        <v>37</v>
      </c>
      <c r="M53">
        <f t="shared" si="3"/>
        <v>2</v>
      </c>
      <c r="N53">
        <f t="shared" si="0"/>
        <v>35</v>
      </c>
      <c r="O53">
        <f t="shared" si="4"/>
        <v>0</v>
      </c>
      <c r="P53" t="str">
        <f t="shared" si="5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1"/>
        <v>1</v>
      </c>
      <c r="L54">
        <f t="shared" si="2"/>
        <v>38</v>
      </c>
      <c r="M54">
        <f t="shared" si="3"/>
        <v>2</v>
      </c>
      <c r="N54">
        <f t="shared" si="0"/>
        <v>37</v>
      </c>
      <c r="O54">
        <f t="shared" si="4"/>
        <v>0</v>
      </c>
      <c r="P54" t="str">
        <f t="shared" si="5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1"/>
        <v>0</v>
      </c>
      <c r="L55">
        <f t="shared" si="2"/>
        <v>38</v>
      </c>
      <c r="M55">
        <f t="shared" si="3"/>
        <v>2</v>
      </c>
      <c r="N55">
        <f t="shared" si="0"/>
        <v>37</v>
      </c>
      <c r="O55">
        <f t="shared" si="4"/>
        <v>0</v>
      </c>
      <c r="P55" t="str">
        <f t="shared" si="5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1"/>
        <v>1</v>
      </c>
      <c r="L56">
        <f t="shared" si="2"/>
        <v>39</v>
      </c>
      <c r="M56">
        <f t="shared" si="3"/>
        <v>2</v>
      </c>
      <c r="N56">
        <f t="shared" si="0"/>
        <v>39</v>
      </c>
      <c r="O56">
        <f t="shared" si="4"/>
        <v>0</v>
      </c>
      <c r="P56" t="str">
        <f t="shared" si="5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1"/>
        <v>1</v>
      </c>
      <c r="L57">
        <f t="shared" si="2"/>
        <v>40</v>
      </c>
      <c r="M57">
        <f t="shared" si="3"/>
        <v>2</v>
      </c>
      <c r="N57">
        <f t="shared" si="0"/>
        <v>41</v>
      </c>
      <c r="O57">
        <f t="shared" si="4"/>
        <v>0</v>
      </c>
      <c r="P57" t="str">
        <f t="shared" si="5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1"/>
        <v>1</v>
      </c>
      <c r="L58">
        <f t="shared" si="2"/>
        <v>41</v>
      </c>
      <c r="M58">
        <f t="shared" si="3"/>
        <v>2</v>
      </c>
      <c r="N58">
        <f t="shared" si="0"/>
        <v>41</v>
      </c>
      <c r="O58">
        <f t="shared" si="4"/>
        <v>0</v>
      </c>
      <c r="P58" t="str">
        <f t="shared" si="5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1"/>
        <v>1</v>
      </c>
      <c r="L59">
        <f t="shared" ref="L59" si="6">L58+K59</f>
        <v>42</v>
      </c>
      <c r="M59">
        <f t="shared" si="3"/>
        <v>2</v>
      </c>
      <c r="N59">
        <f t="shared" si="0"/>
        <v>45</v>
      </c>
      <c r="O59">
        <f t="shared" si="4"/>
        <v>0</v>
      </c>
      <c r="P59" t="str">
        <f t="shared" ref="P59" si="7">IF(L59&lt;N59,"未達成（"&amp;N59-L59&amp;"）",IF(L59=N59,"達成","前倒し（"&amp;L59-N59&amp;"）"))</f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1"/>
        <v>0</v>
      </c>
      <c r="L60">
        <f t="shared" ref="L60" si="8">L59+K60</f>
        <v>42</v>
      </c>
      <c r="M60">
        <f t="shared" si="3"/>
        <v>2</v>
      </c>
      <c r="N60">
        <f t="shared" si="0"/>
        <v>45</v>
      </c>
      <c r="O60">
        <f t="shared" si="4"/>
        <v>0</v>
      </c>
      <c r="P60" t="str">
        <f t="shared" ref="P60" si="9">IF(L60&lt;N60,"未達成（"&amp;N60-L60&amp;"）",IF(L60=N60,"達成","前倒し（"&amp;L60-N60&amp;"）"))</f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1"/>
        <v>0</v>
      </c>
      <c r="L61">
        <f t="shared" ref="L61" si="10">L60+K61</f>
        <v>42</v>
      </c>
      <c r="M61">
        <f t="shared" si="3"/>
        <v>2</v>
      </c>
      <c r="N61">
        <f t="shared" si="0"/>
        <v>45</v>
      </c>
      <c r="O61">
        <f t="shared" si="4"/>
        <v>0</v>
      </c>
      <c r="P61" t="str">
        <f t="shared" ref="P61" si="11">IF(L61&lt;N61,"未達成（"&amp;N61-L61&amp;"）",IF(L61=N61,"達成","前倒し（"&amp;L61-N61&amp;"）"))</f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1"/>
        <v>1</v>
      </c>
      <c r="L62">
        <f t="shared" ref="L62" si="12">L61+K62</f>
        <v>43</v>
      </c>
      <c r="M62">
        <f t="shared" si="3"/>
        <v>2</v>
      </c>
      <c r="N62">
        <f t="shared" si="0"/>
        <v>45</v>
      </c>
      <c r="O62">
        <f t="shared" si="4"/>
        <v>0</v>
      </c>
      <c r="P62" t="str">
        <f t="shared" ref="P62" si="13">IF(L62&lt;N62,"未達成（"&amp;N62-L62&amp;"）",IF(L62=N62,"達成","前倒し（"&amp;L62-N62&amp;"）"))</f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ref="K63" si="14">IF(A63&lt;DATEVALUE("2025/11/20"),1,IF(B63-SUM(D63:F63)&lt;&gt;60,0,MAX(2-INT(G63*24*60/10),0)))</f>
        <v>2</v>
      </c>
      <c r="L63">
        <f t="shared" ref="L63" si="15">L62+K63</f>
        <v>45</v>
      </c>
      <c r="M63">
        <f t="shared" si="3"/>
        <v>2</v>
      </c>
      <c r="N63">
        <f t="shared" si="0"/>
        <v>45</v>
      </c>
      <c r="O63">
        <f t="shared" si="4"/>
        <v>0</v>
      </c>
      <c r="P63" t="str">
        <f t="shared" ref="P63" si="16">IF(L63&lt;N63,"未達成（"&amp;N63-L63&amp;"）",IF(L63=N63,"達成","前倒し（"&amp;L63-N63&amp;"）"))</f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ref="K64" si="17">IF(A64&lt;DATEVALUE("2025/11/20"),1,IF(B64-SUM(D64:F64)&lt;&gt;60,0,MAX(2-INT(G64*24*60/10),0)))</f>
        <v>2</v>
      </c>
      <c r="L64">
        <f t="shared" ref="L64" si="18">L63+K64</f>
        <v>47</v>
      </c>
      <c r="M64">
        <f t="shared" si="3"/>
        <v>2</v>
      </c>
      <c r="N64">
        <f t="shared" ref="N64" si="19">N63+M64*(INT(A64-6/24)-INT(A63-6/24))+O64</f>
        <v>47</v>
      </c>
      <c r="O64">
        <f t="shared" si="4"/>
        <v>0</v>
      </c>
      <c r="P64" t="str">
        <f t="shared" ref="P64" si="20">IF(L64&lt;N64,"未達成（"&amp;N64-L64&amp;"）",IF(L64=N64,"達成","前倒し（"&amp;L64-N64&amp;"）"))</f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ref="K65" si="21">IF(A65&lt;DATEVALUE("2025/11/20"),1,IF(B65-SUM(D65:F65)&lt;&gt;60,0,MAX(2-INT(G65*24*60/10),0)))</f>
        <v>0</v>
      </c>
      <c r="L65">
        <f t="shared" ref="L65" si="22">L64+K65</f>
        <v>47</v>
      </c>
      <c r="M65">
        <f t="shared" si="3"/>
        <v>2</v>
      </c>
      <c r="N65">
        <f t="shared" ref="N65" si="23">N64+M65*(INT(A65-6/24)-INT(A64-6/24))+O65</f>
        <v>49</v>
      </c>
      <c r="O65">
        <f t="shared" si="4"/>
        <v>0</v>
      </c>
      <c r="P65" t="str">
        <f t="shared" ref="P65" si="24">IF(L65&lt;N65,"未達成（"&amp;N65-L65&amp;"）",IF(L65=N65,"達成","前倒し（"&amp;L65-N65&amp;"）"))</f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ref="K66" si="25">IF(A66&lt;DATEVALUE("2025/11/20"),1,IF(B66-SUM(D66:F66)&lt;&gt;60,0,MAX(2-INT(G66*24*60/10),0)))</f>
        <v>2</v>
      </c>
      <c r="L66">
        <f t="shared" ref="L66" si="26">L65+K66</f>
        <v>49</v>
      </c>
      <c r="M66">
        <f t="shared" si="3"/>
        <v>2</v>
      </c>
      <c r="N66">
        <f t="shared" ref="N66" si="27">N65+M66*(INT(A66-6/24)-INT(A65-6/24))+O66</f>
        <v>49</v>
      </c>
      <c r="O66">
        <f t="shared" si="4"/>
        <v>0</v>
      </c>
      <c r="P66" t="str">
        <f t="shared" ref="P66" si="28">IF(L66&lt;N66,"未達成（"&amp;N66-L66&amp;"）",IF(L66=N66,"達成","前倒し（"&amp;L66-N66&amp;"）"))</f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ref="K67" si="29">IF(A67&lt;DATEVALUE("2025/11/20"),1,IF(B67-SUM(D67:F67)&lt;&gt;60,0,MAX(2-INT(G67*24*60/10),0)))</f>
        <v>1</v>
      </c>
      <c r="L67">
        <f t="shared" ref="L67" si="30">L66+K67</f>
        <v>50</v>
      </c>
      <c r="M67">
        <f t="shared" si="3"/>
        <v>2</v>
      </c>
      <c r="N67">
        <f t="shared" ref="N67" si="31">N66+M67*(INT(A67-6/24)-INT(A66-6/24))+O67</f>
        <v>51</v>
      </c>
      <c r="O67">
        <f t="shared" si="4"/>
        <v>0</v>
      </c>
      <c r="P67" t="str">
        <f t="shared" ref="P67" si="32">IF(L67&lt;N67,"未達成（"&amp;N67-L67&amp;"）",IF(L67=N67,"達成","前倒し（"&amp;L67-N67&amp;"）"))</f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ref="K68" si="33">IF(A68&lt;DATEVALUE("2025/11/20"),1,IF(B68-SUM(D68:F68)&lt;&gt;60,0,MAX(2-INT(G68*24*60/10),0)))</f>
        <v>0</v>
      </c>
      <c r="L68">
        <f t="shared" ref="L68" si="34">L67+K68</f>
        <v>50</v>
      </c>
      <c r="M68">
        <f t="shared" si="3"/>
        <v>2</v>
      </c>
      <c r="N68">
        <f t="shared" ref="N68" si="35">N67+M68*(INT(A68-6/24)-INT(A67-6/24))+O68</f>
        <v>51</v>
      </c>
      <c r="O68">
        <f t="shared" si="4"/>
        <v>0</v>
      </c>
      <c r="P68" t="str">
        <f t="shared" ref="P68" si="36">IF(L68&lt;N68,"未達成（"&amp;N68-L68&amp;"）",IF(L68=N68,"達成","前倒し（"&amp;L68-N68&amp;"）"))</f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ref="K69" si="37">IF(A69&lt;DATEVALUE("2025/11/20"),1,IF(B69-SUM(D69:F69)&lt;&gt;60,0,MAX(2-INT(G69*24*60/10),0)))</f>
        <v>1</v>
      </c>
      <c r="L69">
        <f t="shared" ref="L69" si="38">L68+K69</f>
        <v>51</v>
      </c>
      <c r="M69">
        <f t="shared" si="3"/>
        <v>2</v>
      </c>
      <c r="N69">
        <f t="shared" ref="N69" si="39">N68+M69*(INT(A69-6/24)-INT(A68-6/24))+O69</f>
        <v>51</v>
      </c>
      <c r="O69">
        <f t="shared" si="4"/>
        <v>0</v>
      </c>
      <c r="P69" t="str">
        <f t="shared" ref="P69" si="40">IF(L69&lt;N69,"未達成（"&amp;N69-L69&amp;"）",IF(L69=N69,"達成","前倒し（"&amp;L69-N69&amp;"）"))</f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ref="K70" si="41">IF(A70&lt;DATEVALUE("2025/11/20"),1,IF(B70-SUM(D70:F70)&lt;&gt;60,0,MAX(2-INT(G70*24*60/10),0)))</f>
        <v>0</v>
      </c>
      <c r="L70">
        <f t="shared" ref="L70" si="42">L69+K70</f>
        <v>51</v>
      </c>
      <c r="M70">
        <f t="shared" si="3"/>
        <v>2</v>
      </c>
      <c r="N70">
        <f t="shared" ref="N70" si="43">N69+M70*(INT(A70-6/24)-INT(A69-6/24))+O70</f>
        <v>53</v>
      </c>
      <c r="O70">
        <f t="shared" si="4"/>
        <v>0</v>
      </c>
      <c r="P70" t="str">
        <f t="shared" ref="P70" si="44">IF(L70&lt;N70,"未達成（"&amp;N70-L70&amp;"）",IF(L70=N70,"達成","前倒し（"&amp;L70-N70&amp;"）"))</f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ref="K71" si="45">IF(A71&lt;DATEVALUE("2025/11/20"),1,IF(B71-SUM(D71:F71)&lt;&gt;60,0,MAX(2-INT(G71*24*60/10),0)))</f>
        <v>1</v>
      </c>
      <c r="L71">
        <f t="shared" ref="L71" si="46">L70+K71</f>
        <v>52</v>
      </c>
      <c r="M71">
        <f t="shared" si="3"/>
        <v>2</v>
      </c>
      <c r="N71">
        <f t="shared" ref="N71" si="47">N70+M71*(INT(A71-6/24)-INT(A70-6/24))+O71</f>
        <v>53</v>
      </c>
      <c r="O71">
        <f t="shared" si="4"/>
        <v>0</v>
      </c>
      <c r="P71" t="str">
        <f t="shared" ref="P71" si="48">IF(L71&lt;N71,"未達成（"&amp;N71-L71&amp;"）",IF(L71=N71,"達成","前倒し（"&amp;L71-N71&amp;"）"))</f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ref="K72" si="49">IF(A72&lt;DATEVALUE("2025/11/20"),1,IF(B72-SUM(D72:F72)&lt;&gt;60,0,MAX(2-INT(G72*24*60/10),0)))</f>
        <v>1</v>
      </c>
      <c r="L72">
        <f t="shared" ref="L72" si="50">L71+K72</f>
        <v>53</v>
      </c>
      <c r="M72">
        <f t="shared" si="3"/>
        <v>2</v>
      </c>
      <c r="N72">
        <f t="shared" ref="N72" si="51">N71+M72*(INT(A72-6/24)-INT(A71-6/24))+O72</f>
        <v>53</v>
      </c>
      <c r="O72">
        <f t="shared" si="4"/>
        <v>0</v>
      </c>
      <c r="P72" t="str">
        <f t="shared" ref="P72" si="52">IF(L72&lt;N72,"未達成（"&amp;N72-L72&amp;"）",IF(L72=N72,"達成","前倒し（"&amp;L72-N72&amp;"）"))</f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ref="K73" si="53">IF(A73&lt;DATEVALUE("2025/11/20"),1,IF(B73-SUM(D73:F73)&lt;&gt;60,0,MAX(2-INT(G73*24*60/10),0)))</f>
        <v>1</v>
      </c>
      <c r="L73">
        <f t="shared" ref="L73" si="54">L72+K73</f>
        <v>54</v>
      </c>
      <c r="M73">
        <f t="shared" si="3"/>
        <v>2</v>
      </c>
      <c r="N73">
        <f t="shared" ref="N73" si="55">N72+M73*(INT(A73-6/24)-INT(A72-6/24))+O73</f>
        <v>55</v>
      </c>
      <c r="O73">
        <f t="shared" si="4"/>
        <v>0</v>
      </c>
      <c r="P73" t="str">
        <f t="shared" ref="P73" si="56">IF(L73&lt;N73,"未達成（"&amp;N73-L73&amp;"）",IF(L73=N73,"達成","前倒し（"&amp;L73-N73&amp;"）"))</f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ref="K74" si="57">IF(A74&lt;DATEVALUE("2025/11/20"),1,IF(B74-SUM(D74:F74)&lt;&gt;60,0,MAX(2-INT(G74*24*60/10),0)))</f>
        <v>1</v>
      </c>
      <c r="L74">
        <f t="shared" ref="L74" si="58">L73+K74</f>
        <v>55</v>
      </c>
      <c r="M74">
        <f t="shared" si="3"/>
        <v>2</v>
      </c>
      <c r="N74">
        <f t="shared" ref="N74" si="59">N73+M74*(INT(A74-6/24)-INT(A73-6/24))+O74</f>
        <v>55</v>
      </c>
      <c r="O74">
        <f t="shared" si="4"/>
        <v>0</v>
      </c>
      <c r="P74" t="str">
        <f t="shared" ref="P74" si="60">IF(L74&lt;N74,"未達成（"&amp;N74-L74&amp;"）",IF(L74=N74,"達成","前倒し（"&amp;L74-N74&amp;"）"))</f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ref="K75" si="61">IF(A75&lt;DATEVALUE("2025/11/20"),1,IF(B75-SUM(D75:F75)&lt;&gt;60,0,MAX(2-INT(G75*24*60/10),0)))</f>
        <v>2</v>
      </c>
      <c r="L75">
        <f t="shared" ref="L75" si="62">L74+K75</f>
        <v>57</v>
      </c>
      <c r="M75">
        <f t="shared" si="3"/>
        <v>3</v>
      </c>
      <c r="N75">
        <f t="shared" ref="N75" si="63">N74+M75*(INT(A75-6/24)-INT(A74-6/24))+O75</f>
        <v>58</v>
      </c>
      <c r="O75">
        <f t="shared" si="4"/>
        <v>0</v>
      </c>
      <c r="P75" t="str">
        <f t="shared" ref="P75" si="64">IF(L75&lt;N75,"未達成（"&amp;N75-L75&amp;"）",IF(L75=N75,"達成","前倒し（"&amp;L75-N75&amp;"）"))</f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208</v>
      </c>
      <c r="I76" t="s">
        <v>209</v>
      </c>
      <c r="J76">
        <v>0</v>
      </c>
      <c r="K76">
        <f t="shared" ref="K76" si="65">IF(A76&lt;DATEVALUE("2025/11/20"),1,IF(B76-SUM(D76:F76)&lt;&gt;60,0,MAX(2-INT(G76*24*60/10),0)))</f>
        <v>2</v>
      </c>
      <c r="L76">
        <f t="shared" ref="L76" si="66">L75+K76</f>
        <v>59</v>
      </c>
      <c r="M76">
        <f t="shared" ref="M76" si="67">2+IF(A76&gt;=DATEVALUE("2025/11/30"),1,0)</f>
        <v>3</v>
      </c>
      <c r="N76">
        <f t="shared" ref="N76" si="68">N75+M76*(INT(A76-6/24)-INT(A75-6/24))+O76</f>
        <v>58</v>
      </c>
      <c r="O76">
        <f t="shared" ref="O76" si="69">IF(A76&gt;=DATEVALUE("2025/11/8"),1,0)-IF(A75&gt;=DATEVALUE("2025/11/8"),1,0)</f>
        <v>0</v>
      </c>
      <c r="P76" t="str">
        <f t="shared" ref="P76" si="70">IF(L76&lt;N76,"未達成（"&amp;N76-L76&amp;"）",IF(L76=N76,"達成","前倒し（"&amp;L76-N76&amp;"）"))</f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210</v>
      </c>
      <c r="I77" t="s">
        <v>211</v>
      </c>
      <c r="J77">
        <v>0</v>
      </c>
      <c r="K77">
        <f t="shared" ref="K77" si="71">IF(A77&lt;DATEVALUE("2025/11/20"),1,IF(B77-SUM(D77:F77)&lt;&gt;60,0,MAX(2-INT(G77*24*60/10),0)))</f>
        <v>1</v>
      </c>
      <c r="L77">
        <f t="shared" ref="L77" si="72">L76+K77</f>
        <v>60</v>
      </c>
      <c r="M77">
        <f t="shared" ref="M77" si="73">2+IF(A77&gt;=DATEVALUE("2025/11/30"),1,0)</f>
        <v>3</v>
      </c>
      <c r="N77">
        <f t="shared" ref="N77" si="74">N76+M77*(INT(A77-6/24)-INT(A76-6/24))+O77</f>
        <v>61</v>
      </c>
      <c r="O77">
        <f t="shared" ref="O77" si="75">IF(A77&gt;=DATEVALUE("2025/11/8"),1,0)-IF(A76&gt;=DATEVALUE("2025/11/8"),1,0)</f>
        <v>0</v>
      </c>
      <c r="P77" t="str">
        <f t="shared" ref="P77" si="76">IF(L77&lt;N77,"未達成（"&amp;N77-L77&amp;"）",IF(L77=N77,"達成","前倒し（"&amp;L77-N77&amp;"）"))</f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212</v>
      </c>
      <c r="I78" t="s">
        <v>213</v>
      </c>
      <c r="J78">
        <v>0</v>
      </c>
      <c r="K78">
        <f t="shared" ref="K78" si="77">IF(A78&lt;DATEVALUE("2025/11/20"),1,IF(B78-SUM(D78:F78)&lt;&gt;60,0,MAX(2-INT(G78*24*60/10),0)))</f>
        <v>2</v>
      </c>
      <c r="L78">
        <f t="shared" ref="L78" si="78">L77+K78</f>
        <v>62</v>
      </c>
      <c r="M78">
        <f t="shared" ref="M78" si="79">2+IF(A78&gt;=DATEVALUE("2025/11/30"),1,0)</f>
        <v>3</v>
      </c>
      <c r="N78">
        <f t="shared" ref="N78" si="80">N77+M78*(INT(A78-6/24)-INT(A77-6/24))+O78</f>
        <v>61</v>
      </c>
      <c r="O78">
        <f t="shared" ref="O78" si="81">IF(A78&gt;=DATEVALUE("2025/11/8"),1,0)-IF(A77&gt;=DATEVALUE("2025/11/8"),1,0)</f>
        <v>0</v>
      </c>
      <c r="P78" t="str">
        <f t="shared" ref="P78" si="82">IF(L78&lt;N78,"未達成（"&amp;N78-L78&amp;"）",IF(L78=N78,"達成","前倒し（"&amp;L78-N78&amp;"）"))</f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214</v>
      </c>
      <c r="I79" t="s">
        <v>215</v>
      </c>
      <c r="J79">
        <v>0</v>
      </c>
      <c r="K79">
        <f t="shared" ref="K79" si="83">IF(A79&lt;DATEVALUE("2025/11/20"),1,IF(B79-SUM(D79:F79)&lt;&gt;60,0,MAX(2-INT(G79*24*60/10),0)))</f>
        <v>0</v>
      </c>
      <c r="L79">
        <f t="shared" ref="L79" si="84">L78+K79</f>
        <v>62</v>
      </c>
      <c r="M79">
        <f t="shared" ref="M79" si="85">2+IF(A79&gt;=DATEVALUE("2025/11/30"),1,0)</f>
        <v>3</v>
      </c>
      <c r="N79">
        <f t="shared" ref="N79" si="86">N78+M79*(INT(A79-6/24)-INT(A78-6/24))+O79</f>
        <v>64</v>
      </c>
      <c r="O79">
        <f t="shared" ref="O79" si="87">IF(A79&gt;=DATEVALUE("2025/11/8"),1,0)-IF(A78&gt;=DATEVALUE("2025/11/8"),1,0)</f>
        <v>0</v>
      </c>
      <c r="P79" t="str">
        <f t="shared" ref="P79" si="88">IF(L79&lt;N79,"未達成（"&amp;N79-L79&amp;"）",IF(L79=N79,"達成","前倒し（"&amp;L79-N79&amp;"）"))</f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218</v>
      </c>
      <c r="I80" t="s">
        <v>219</v>
      </c>
      <c r="J80">
        <v>0</v>
      </c>
      <c r="K80">
        <f t="shared" ref="K80" si="89">IF(A80&lt;DATEVALUE("2025/11/20"),1,IF(B80-SUM(D80:F80)&lt;&gt;60,0,MAX(2-INT(G80*24*60/10),0)))</f>
        <v>2</v>
      </c>
      <c r="L80">
        <f t="shared" ref="L80" si="90">L79+K80</f>
        <v>64</v>
      </c>
      <c r="M80">
        <f t="shared" ref="M80" si="91">2+IF(A80&gt;=DATEVALUE("2025/11/30"),1,0)</f>
        <v>3</v>
      </c>
      <c r="N80">
        <f t="shared" ref="N80" si="92">N79+M80*(INT(A80-6/24)-INT(A79-6/24))+O80</f>
        <v>64</v>
      </c>
      <c r="O80">
        <f t="shared" ref="O80" si="93">IF(A80&gt;=DATEVALUE("2025/11/8"),1,0)-IF(A79&gt;=DATEVALUE("2025/11/8"),1,0)</f>
        <v>0</v>
      </c>
      <c r="P80" t="str">
        <f t="shared" ref="P80" si="94">IF(L80&lt;N80,"未達成（"&amp;N80-L80&amp;"）",IF(L80=N80,"達成","前倒し（"&amp;L80-N80&amp;"）"))</f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216</v>
      </c>
      <c r="I81" t="s">
        <v>217</v>
      </c>
      <c r="J81">
        <v>0</v>
      </c>
      <c r="K81">
        <f t="shared" ref="K81" si="95">IF(A81&lt;DATEVALUE("2025/11/20"),1,IF(B81-SUM(D81:F81)&lt;&gt;60,0,MAX(2-INT(G81*24*60/10),0)))</f>
        <v>1</v>
      </c>
      <c r="L81">
        <f t="shared" ref="L81" si="96">L80+K81</f>
        <v>65</v>
      </c>
      <c r="M81">
        <f t="shared" ref="M81" si="97">2+IF(A81&gt;=DATEVALUE("2025/11/30"),1,0)</f>
        <v>3</v>
      </c>
      <c r="N81">
        <f t="shared" ref="N81" si="98">N80+M81*(INT(A81-6/24)-INT(A80-6/24))+O81</f>
        <v>67</v>
      </c>
      <c r="O81">
        <f t="shared" ref="O81" si="99">IF(A81&gt;=DATEVALUE("2025/11/8"),1,0)-IF(A80&gt;=DATEVALUE("2025/11/8"),1,0)</f>
        <v>0</v>
      </c>
      <c r="P81" t="str">
        <f t="shared" ref="P81" si="100">IF(L81&lt;N81,"未達成（"&amp;N81-L81&amp;"）",IF(L81=N81,"達成","前倒し（"&amp;L81-N81&amp;"）"))</f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220</v>
      </c>
      <c r="I82" t="s">
        <v>221</v>
      </c>
      <c r="J82">
        <v>0</v>
      </c>
      <c r="K82">
        <f t="shared" ref="K82" si="101">IF(A82&lt;DATEVALUE("2025/11/20"),1,IF(B82-SUM(D82:F82)&lt;&gt;60,0,MAX(2-INT(G82*24*60/10),0)))</f>
        <v>1</v>
      </c>
      <c r="L82">
        <f t="shared" ref="L82" si="102">L81+K82</f>
        <v>66</v>
      </c>
      <c r="M82">
        <f t="shared" ref="M82" si="103">2+IF(A82&gt;=DATEVALUE("2025/11/30"),1,0)</f>
        <v>3</v>
      </c>
      <c r="N82">
        <f t="shared" ref="N82" si="104">N81+M82*(INT(A82-6/24)-INT(A81-6/24))+O82</f>
        <v>67</v>
      </c>
      <c r="O82">
        <f t="shared" ref="O82" si="105">IF(A82&gt;=DATEVALUE("2025/11/8"),1,0)-IF(A81&gt;=DATEVALUE("2025/11/8"),1,0)</f>
        <v>0</v>
      </c>
      <c r="P82" t="str">
        <f t="shared" ref="P82" si="106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222</v>
      </c>
      <c r="I83" t="s">
        <v>223</v>
      </c>
      <c r="J83">
        <v>0</v>
      </c>
      <c r="K83">
        <f t="shared" ref="K83" si="107">IF(A83&lt;DATEVALUE("2025/11/20"),1,IF(B83-SUM(D83:F83)&lt;&gt;60,0,MAX(2-INT(G83*24*60/10),0)))</f>
        <v>1</v>
      </c>
      <c r="L83">
        <f t="shared" ref="L83" si="108">L82+K83</f>
        <v>67</v>
      </c>
      <c r="M83">
        <f t="shared" ref="M83" si="109">2+IF(A83&gt;=DATEVALUE("2025/11/30"),1,0)</f>
        <v>3</v>
      </c>
      <c r="N83">
        <f t="shared" ref="N83" si="110">N82+M83*(INT(A83-6/24)-INT(A82-6/24))+O83</f>
        <v>67</v>
      </c>
      <c r="O83">
        <f t="shared" ref="O83" si="111">IF(A83&gt;=DATEVALUE("2025/11/8"),1,0)-IF(A82&gt;=DATEVALUE("2025/11/8"),1,0)</f>
        <v>0</v>
      </c>
      <c r="P83" t="str">
        <f t="shared" ref="P83" si="112">IF(L83&lt;N83,"未達成（"&amp;N83-L83&amp;"）",IF(L83=N83,"達成","前倒し（"&amp;L83-N83&amp;"）"))</f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224</v>
      </c>
      <c r="I84" t="s">
        <v>225</v>
      </c>
      <c r="J84">
        <v>0</v>
      </c>
      <c r="K84">
        <f t="shared" ref="K84" si="113">IF(A84&lt;DATEVALUE("2025/11/20"),1,IF(B84-SUM(D84:F84)&lt;&gt;60,0,MAX(2-INT(G84*24*60/10),0)))</f>
        <v>1</v>
      </c>
      <c r="L84">
        <f t="shared" ref="L84" si="114">L83+K84</f>
        <v>68</v>
      </c>
      <c r="M84">
        <f t="shared" ref="M84" si="115">2+IF(A84&gt;=DATEVALUE("2025/11/30"),1,0)</f>
        <v>3</v>
      </c>
      <c r="N84">
        <f t="shared" ref="N84" si="116">N83+M84*(INT(A84-6/24)-INT(A83-6/24))+O84</f>
        <v>70</v>
      </c>
      <c r="O84">
        <f t="shared" ref="O84" si="117">IF(A84&gt;=DATEVALUE("2025/11/8"),1,0)-IF(A83&gt;=DATEVALUE("2025/11/8"),1,0)</f>
        <v>0</v>
      </c>
      <c r="P84" t="str">
        <f t="shared" ref="P84" si="118">IF(L84&lt;N84,"未達成（"&amp;N84-L84&amp;"）",IF(L84=N84,"達成","前倒し（"&amp;L84-N84&amp;"）"))</f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226</v>
      </c>
      <c r="I85" t="s">
        <v>227</v>
      </c>
      <c r="J85">
        <v>0</v>
      </c>
      <c r="K85">
        <f t="shared" ref="K85" si="119">IF(A85&lt;DATEVALUE("2025/11/20"),1,IF(B85-SUM(D85:F85)&lt;&gt;60,0,MAX(2-INT(G85*24*60/10),0)))</f>
        <v>1</v>
      </c>
      <c r="L85">
        <f t="shared" ref="L85" si="120">L84+K85</f>
        <v>69</v>
      </c>
      <c r="M85">
        <f t="shared" ref="M85" si="121">2+IF(A85&gt;=DATEVALUE("2025/11/30"),1,0)</f>
        <v>3</v>
      </c>
      <c r="N85">
        <f t="shared" ref="N85" si="122">N84+M85*(INT(A85-6/24)-INT(A84-6/24))+O85</f>
        <v>70</v>
      </c>
      <c r="O85">
        <f t="shared" ref="O85" si="123">IF(A85&gt;=DATEVALUE("2025/11/8"),1,0)-IF(A84&gt;=DATEVALUE("2025/11/8"),1,0)</f>
        <v>0</v>
      </c>
      <c r="P85" t="str">
        <f t="shared" ref="P85" si="124">IF(L85&lt;N85,"未達成（"&amp;N85-L85&amp;"）",IF(L85=N85,"達成","前倒し（"&amp;L85-N85&amp;"）"))</f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228</v>
      </c>
      <c r="I86" t="s">
        <v>229</v>
      </c>
      <c r="J86">
        <v>0</v>
      </c>
      <c r="K86">
        <f t="shared" ref="K86" si="125">IF(A86&lt;DATEVALUE("2025/11/20"),1,IF(B86-SUM(D86:F86)&lt;&gt;60,0,MAX(2-INT(G86*24*60/10),0)))</f>
        <v>2</v>
      </c>
      <c r="L86">
        <f t="shared" ref="L86" si="126">L85+K86</f>
        <v>71</v>
      </c>
      <c r="M86">
        <f t="shared" ref="M86" si="127">2+IF(A86&gt;=DATEVALUE("2025/11/30"),1,0)</f>
        <v>3</v>
      </c>
      <c r="N86">
        <f t="shared" ref="N86" si="128">N85+M86*(INT(A86-6/24)-INT(A85-6/24))+O86</f>
        <v>70</v>
      </c>
      <c r="O86">
        <f t="shared" ref="O86" si="129">IF(A86&gt;=DATEVALUE("2025/11/8"),1,0)-IF(A85&gt;=DATEVALUE("2025/11/8"),1,0)</f>
        <v>0</v>
      </c>
      <c r="P86" t="str">
        <f t="shared" ref="P86" si="130">IF(L86&lt;N86,"未達成（"&amp;N86-L86&amp;"）",IF(L86=N86,"達成","前倒し（"&amp;L86-N86&amp;"）"))</f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230</v>
      </c>
      <c r="I87" t="s">
        <v>231</v>
      </c>
      <c r="J87">
        <v>0</v>
      </c>
      <c r="K87">
        <f t="shared" ref="K87" si="131">IF(A87&lt;DATEVALUE("2025/11/20"),1,IF(B87-SUM(D87:F87)&lt;&gt;60,0,MAX(2-INT(G87*24*60/10),0)))</f>
        <v>1</v>
      </c>
      <c r="L87">
        <f t="shared" ref="L87" si="132">L86+K87</f>
        <v>72</v>
      </c>
      <c r="M87">
        <f t="shared" ref="M87" si="133">2+IF(A87&gt;=DATEVALUE("2025/11/30"),1,0)</f>
        <v>3</v>
      </c>
      <c r="N87">
        <f t="shared" ref="N87" si="134">N86+M87*(INT(A87-6/24)-INT(A86-6/24))+O87</f>
        <v>73</v>
      </c>
      <c r="O87">
        <f t="shared" ref="O87" si="135">IF(A87&gt;=DATEVALUE("2025/11/8"),1,0)-IF(A86&gt;=DATEVALUE("2025/11/8"),1,0)</f>
        <v>0</v>
      </c>
      <c r="P87" t="str">
        <f t="shared" ref="P87" si="136">IF(L87&lt;N87,"未達成（"&amp;N87-L87&amp;"）",IF(L87=N87,"達成","前倒し（"&amp;L87-N87&amp;"）"))</f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232</v>
      </c>
      <c r="I88" t="s">
        <v>233</v>
      </c>
      <c r="J88">
        <v>0</v>
      </c>
      <c r="K88">
        <f t="shared" ref="K88" si="137">IF(A88&lt;DATEVALUE("2025/11/20"),1,IF(B88-SUM(D88:F88)&lt;&gt;60,0,MAX(2-INT(G88*24*60/10),0)))</f>
        <v>1</v>
      </c>
      <c r="L88">
        <f t="shared" ref="L88" si="138">L87+K88</f>
        <v>73</v>
      </c>
      <c r="M88">
        <f t="shared" ref="M88" si="139">2+IF(A88&gt;=DATEVALUE("2025/11/30"),1,0)</f>
        <v>3</v>
      </c>
      <c r="N88">
        <f t="shared" ref="N88" si="140">N87+M88*(INT(A88-6/24)-INT(A87-6/24))+O88</f>
        <v>73</v>
      </c>
      <c r="O88">
        <f t="shared" ref="O88" si="141">IF(A88&gt;=DATEVALUE("2025/11/8"),1,0)-IF(A87&gt;=DATEVALUE("2025/11/8"),1,0)</f>
        <v>0</v>
      </c>
      <c r="P88" t="str">
        <f t="shared" ref="P88" si="142">IF(L88&lt;N88,"未達成（"&amp;N88-L88&amp;"）",IF(L88=N88,"達成","前倒し（"&amp;L88-N88&amp;"）"))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45996.300046296295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2025-12-04T22:30:44Z</dcterms:modified>
</cp:coreProperties>
</file>
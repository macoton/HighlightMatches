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4A4CEA0A-36E7-4C33-8777-FFC710CAE29C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77" i="4" l="1"/>
  <c r="O277" i="4"/>
  <c r="M277" i="4"/>
  <c r="N277" i="4" s="1"/>
  <c r="K277" i="4"/>
  <c r="L277" i="4" s="1"/>
  <c r="P277" i="4" s="1"/>
  <c r="Q276" i="4"/>
  <c r="O276" i="4"/>
  <c r="M276" i="4"/>
  <c r="N276" i="4" s="1"/>
  <c r="K276" i="4"/>
  <c r="L276" i="4" s="1"/>
  <c r="Q275" i="4"/>
  <c r="O275" i="4"/>
  <c r="M275" i="4"/>
  <c r="N275" i="4" s="1"/>
  <c r="K275" i="4"/>
  <c r="L275" i="4" s="1"/>
  <c r="Q274" i="4"/>
  <c r="O274" i="4"/>
  <c r="M274" i="4"/>
  <c r="N274" i="4" s="1"/>
  <c r="K274" i="4"/>
  <c r="L274" i="4" s="1"/>
  <c r="P274" i="4" s="1"/>
  <c r="Q273" i="4"/>
  <c r="O273" i="4"/>
  <c r="M273" i="4"/>
  <c r="N273" i="4" s="1"/>
  <c r="K273" i="4"/>
  <c r="L273" i="4" s="1"/>
  <c r="P273" i="4" s="1"/>
  <c r="Q272" i="4"/>
  <c r="O272" i="4"/>
  <c r="M272" i="4"/>
  <c r="N272" i="4" s="1"/>
  <c r="K272" i="4"/>
  <c r="L272" i="4" s="1"/>
  <c r="P272" i="4" s="1"/>
  <c r="Q271" i="4"/>
  <c r="O271" i="4"/>
  <c r="M271" i="4"/>
  <c r="N271" i="4" s="1"/>
  <c r="K271" i="4"/>
  <c r="L271" i="4" s="1"/>
  <c r="P271" i="4" s="1"/>
  <c r="Q270" i="4"/>
  <c r="O270" i="4"/>
  <c r="M270" i="4"/>
  <c r="N270" i="4" s="1"/>
  <c r="K270" i="4"/>
  <c r="L270" i="4" s="1"/>
  <c r="P270" i="4" s="1"/>
  <c r="Q269" i="4"/>
  <c r="O269" i="4"/>
  <c r="M269" i="4"/>
  <c r="N269" i="4" s="1"/>
  <c r="K269" i="4"/>
  <c r="L269" i="4" s="1"/>
  <c r="P269" i="4" s="1"/>
  <c r="Q268" i="4"/>
  <c r="O268" i="4"/>
  <c r="M268" i="4"/>
  <c r="N268" i="4" s="1"/>
  <c r="K268" i="4"/>
  <c r="L268" i="4" s="1"/>
  <c r="P268" i="4" s="1"/>
  <c r="Q267" i="4"/>
  <c r="O267" i="4"/>
  <c r="M267" i="4"/>
  <c r="N267" i="4" s="1"/>
  <c r="K267" i="4"/>
  <c r="L267" i="4" s="1"/>
  <c r="P267" i="4" s="1"/>
  <c r="Q266" i="4"/>
  <c r="O266" i="4"/>
  <c r="M266" i="4"/>
  <c r="N266" i="4" s="1"/>
  <c r="K266" i="4"/>
  <c r="L266" i="4" s="1"/>
  <c r="Q265" i="4"/>
  <c r="O265" i="4"/>
  <c r="M265" i="4"/>
  <c r="N265" i="4" s="1"/>
  <c r="K265" i="4"/>
  <c r="L265" i="4" s="1"/>
  <c r="Q264" i="4"/>
  <c r="O264" i="4"/>
  <c r="M264" i="4"/>
  <c r="N264" i="4" s="1"/>
  <c r="K264" i="4"/>
  <c r="L264" i="4" s="1"/>
  <c r="P264" i="4" s="1"/>
  <c r="Q263" i="4"/>
  <c r="O263" i="4"/>
  <c r="M263" i="4"/>
  <c r="N263" i="4" s="1"/>
  <c r="K263" i="4"/>
  <c r="L263" i="4" s="1"/>
  <c r="Q262" i="4"/>
  <c r="O262" i="4"/>
  <c r="M262" i="4"/>
  <c r="N262" i="4" s="1"/>
  <c r="K262" i="4"/>
  <c r="L262" i="4" s="1"/>
  <c r="Q261" i="4"/>
  <c r="O261" i="4"/>
  <c r="M261" i="4"/>
  <c r="N261" i="4" s="1"/>
  <c r="K261" i="4"/>
  <c r="L261" i="4" s="1"/>
  <c r="P261" i="4" s="1"/>
  <c r="Q260" i="4"/>
  <c r="O260" i="4"/>
  <c r="M260" i="4"/>
  <c r="N260" i="4" s="1"/>
  <c r="K260" i="4"/>
  <c r="L260" i="4" s="1"/>
  <c r="Q259" i="4"/>
  <c r="O259" i="4"/>
  <c r="M259" i="4"/>
  <c r="N259" i="4" s="1"/>
  <c r="K259" i="4"/>
  <c r="L259" i="4" s="1"/>
  <c r="P259" i="4" s="1"/>
  <c r="Q258" i="4"/>
  <c r="O258" i="4"/>
  <c r="M258" i="4"/>
  <c r="N258" i="4" s="1"/>
  <c r="K258" i="4"/>
  <c r="L258" i="4" s="1"/>
  <c r="P258" i="4" s="1"/>
  <c r="Q257" i="4"/>
  <c r="O257" i="4"/>
  <c r="M257" i="4"/>
  <c r="N257" i="4" s="1"/>
  <c r="K257" i="4"/>
  <c r="L257" i="4" s="1"/>
  <c r="Q256" i="4"/>
  <c r="O256" i="4"/>
  <c r="M256" i="4"/>
  <c r="N256" i="4" s="1"/>
  <c r="K256" i="4"/>
  <c r="L256" i="4" s="1"/>
  <c r="P256" i="4" s="1"/>
  <c r="Q255" i="4"/>
  <c r="O255" i="4"/>
  <c r="M255" i="4"/>
  <c r="N255" i="4" s="1"/>
  <c r="K255" i="4"/>
  <c r="L255" i="4" s="1"/>
  <c r="P255" i="4" s="1"/>
  <c r="Q254" i="4"/>
  <c r="O254" i="4"/>
  <c r="M254" i="4"/>
  <c r="N254" i="4" s="1"/>
  <c r="K254" i="4"/>
  <c r="L254" i="4" s="1"/>
  <c r="P254" i="4" s="1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76" i="4" l="1"/>
  <c r="P275" i="4"/>
  <c r="P266" i="4"/>
  <c r="P265" i="4"/>
  <c r="P263" i="4"/>
  <c r="P262" i="4"/>
  <c r="P260" i="4"/>
  <c r="P257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P253" i="4" l="1"/>
</calcChain>
</file>

<file path=xl/sharedStrings.xml><?xml version="1.0" encoding="utf-8"?>
<sst xmlns="http://schemas.openxmlformats.org/spreadsheetml/2006/main" count="631" uniqueCount="610">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</sst>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データ!$A$3:$A$277</c:f>
              <c:numCache>
                <c:formatCode>m/d/yyyy\ h:mm</c:formatCode>
                <c:ptCount val="27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</c:numCache>
            </c:numRef>
          </c:xVal>
          <c:yVal>
            <c:numRef>
              <c:f>データ!$B$3:$B$277</c:f>
              <c:numCache>
                <c:formatCode>General</c:formatCode>
                <c:ptCount val="275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4B-496D-83C7-0FDFDB9417B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B4B-496D-83C7-0FDFDB941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874176"/>
        <c:axId val="1598885216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データ!$A$3:$A$277</c:f>
              <c:numCache>
                <c:formatCode>m/d/yyyy\ h:mm</c:formatCode>
                <c:ptCount val="27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</c:numCache>
            </c:numRef>
          </c:xVal>
          <c:yVal>
            <c:numRef>
              <c:f>データ!$Q$3:$Q$277</c:f>
              <c:numCache>
                <c:formatCode>[h]:mm</c:formatCode>
                <c:ptCount val="275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4B-496D-83C7-0FDFDB941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893376"/>
        <c:axId val="1598874177"/>
      </c:scatterChart>
      <c:valAx>
        <c:axId val="159887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8885216"/>
        <c:crosses val="autoZero"/>
        <c:crossBetween val="midCat"/>
      </c:valAx>
      <c:valAx>
        <c:axId val="159888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8874176"/>
        <c:crosses val="autoZero"/>
        <c:crossBetween val="midCat"/>
      </c:valAx>
      <c:valAx>
        <c:axId val="1598874177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8893376"/>
        <c:crosses val="max"/>
        <c:crossBetween val="midCat"/>
      </c:valAx>
      <c:valAx>
        <c:axId val="1598893376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8874177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4" name="Match0">
          <a:extLst>
            <a:ext uri="{FF2B5EF4-FFF2-40B4-BE49-F238E27FC236}">
              <a16:creationId xmlns:a16="http://schemas.microsoft.com/office/drawing/2014/main" id="{7E2216DC-F46B-2118-1F82-055C181F8414}"/>
            </a:ext>
          </a:extLst>
        </xdr:cNvPr>
        <xdr:cNvCxnSpPr/>
      </xdr:nvCxnSpPr>
      <xdr:spPr>
        <a:xfrm>
          <a:off x="317896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1</xdr:row>
      <xdr:rowOff>178593</xdr:rowOff>
    </xdr:to>
    <xdr:cxnSp macro="">
      <xdr:nvCxnSpPr>
        <xdr:cNvPr id="5" name="Match1">
          <a:extLst>
            <a:ext uri="{FF2B5EF4-FFF2-40B4-BE49-F238E27FC236}">
              <a16:creationId xmlns:a16="http://schemas.microsoft.com/office/drawing/2014/main" id="{4E078B66-B3EE-5945-637D-A45EDAD7EDF8}"/>
            </a:ext>
          </a:extLst>
        </xdr:cNvPr>
        <xdr:cNvCxnSpPr/>
      </xdr:nvCxnSpPr>
      <xdr:spPr>
        <a:xfrm flipH="1">
          <a:off x="40266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4</xdr:col>
      <xdr:colOff>211931</xdr:colOff>
      <xdr:row>2</xdr:row>
      <xdr:rowOff>178594</xdr:rowOff>
    </xdr:to>
    <xdr:cxnSp macro="">
      <xdr:nvCxnSpPr>
        <xdr:cNvPr id="56" name="Match2">
          <a:extLst>
            <a:ext uri="{FF2B5EF4-FFF2-40B4-BE49-F238E27FC236}">
              <a16:creationId xmlns:a16="http://schemas.microsoft.com/office/drawing/2014/main" id="{D3797996-D2B1-6A65-8837-AB088C0F7E77}"/>
            </a:ext>
          </a:extLst>
        </xdr:cNvPr>
        <xdr:cNvCxnSpPr/>
      </xdr:nvCxnSpPr>
      <xdr:spPr>
        <a:xfrm>
          <a:off x="1907381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8</xdr:col>
      <xdr:colOff>211931</xdr:colOff>
      <xdr:row>2</xdr:row>
      <xdr:rowOff>178594</xdr:rowOff>
    </xdr:to>
    <xdr:cxnSp macro="">
      <xdr:nvCxnSpPr>
        <xdr:cNvPr id="57" name="Match3">
          <a:extLst>
            <a:ext uri="{FF2B5EF4-FFF2-40B4-BE49-F238E27FC236}">
              <a16:creationId xmlns:a16="http://schemas.microsoft.com/office/drawing/2014/main" id="{D6C13A5D-360D-E559-A0A0-4C2B5DA92D95}"/>
            </a:ext>
          </a:extLst>
        </xdr:cNvPr>
        <xdr:cNvCxnSpPr/>
      </xdr:nvCxnSpPr>
      <xdr:spPr>
        <a:xfrm>
          <a:off x="317896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0</xdr:row>
      <xdr:rowOff>203994</xdr:rowOff>
    </xdr:from>
    <xdr:to>
      <xdr:col>7</xdr:col>
      <xdr:colOff>237331</xdr:colOff>
      <xdr:row>1</xdr:row>
      <xdr:rowOff>203993</xdr:rowOff>
    </xdr:to>
    <xdr:cxnSp macro="">
      <xdr:nvCxnSpPr>
        <xdr:cNvPr id="58" name="Match4">
          <a:extLst>
            <a:ext uri="{FF2B5EF4-FFF2-40B4-BE49-F238E27FC236}">
              <a16:creationId xmlns:a16="http://schemas.microsoft.com/office/drawing/2014/main" id="{476AFE02-2ED3-B990-B348-4C30EC5E2DBC}"/>
            </a:ext>
          </a:extLst>
        </xdr:cNvPr>
        <xdr:cNvCxnSpPr/>
      </xdr:nvCxnSpPr>
      <xdr:spPr>
        <a:xfrm flipV="1">
          <a:off x="3204369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9</xdr:col>
      <xdr:colOff>211931</xdr:colOff>
      <xdr:row>2</xdr:row>
      <xdr:rowOff>178594</xdr:rowOff>
    </xdr:to>
    <xdr:cxnSp macro="">
      <xdr:nvCxnSpPr>
        <xdr:cNvPr id="59" name="Match5">
          <a:extLst>
            <a:ext uri="{FF2B5EF4-FFF2-40B4-BE49-F238E27FC236}">
              <a16:creationId xmlns:a16="http://schemas.microsoft.com/office/drawing/2014/main" id="{491F3B67-9672-460E-70AF-B564CF80A198}"/>
            </a:ext>
          </a:extLst>
        </xdr:cNvPr>
        <xdr:cNvCxnSpPr/>
      </xdr:nvCxnSpPr>
      <xdr:spPr>
        <a:xfrm flipH="1">
          <a:off x="36028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0</xdr:row>
      <xdr:rowOff>203994</xdr:rowOff>
    </xdr:from>
    <xdr:to>
      <xdr:col>10</xdr:col>
      <xdr:colOff>237331</xdr:colOff>
      <xdr:row>1</xdr:row>
      <xdr:rowOff>203993</xdr:rowOff>
    </xdr:to>
    <xdr:cxnSp macro="">
      <xdr:nvCxnSpPr>
        <xdr:cNvPr id="60" name="Match6">
          <a:extLst>
            <a:ext uri="{FF2B5EF4-FFF2-40B4-BE49-F238E27FC236}">
              <a16:creationId xmlns:a16="http://schemas.microsoft.com/office/drawing/2014/main" id="{EC7F98F2-6103-072B-C96B-0828BD66ECE3}"/>
            </a:ext>
          </a:extLst>
        </xdr:cNvPr>
        <xdr:cNvCxnSpPr/>
      </xdr:nvCxnSpPr>
      <xdr:spPr>
        <a:xfrm flipV="1">
          <a:off x="4052094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4</xdr:col>
      <xdr:colOff>211931</xdr:colOff>
      <xdr:row>3</xdr:row>
      <xdr:rowOff>178593</xdr:rowOff>
    </xdr:to>
    <xdr:cxnSp macro="">
      <xdr:nvCxnSpPr>
        <xdr:cNvPr id="61" name="Match7">
          <a:extLst>
            <a:ext uri="{FF2B5EF4-FFF2-40B4-BE49-F238E27FC236}">
              <a16:creationId xmlns:a16="http://schemas.microsoft.com/office/drawing/2014/main" id="{9C668C2B-CAA7-AFAC-8C9D-B9319ED82A70}"/>
            </a:ext>
          </a:extLst>
        </xdr:cNvPr>
        <xdr:cNvCxnSpPr/>
      </xdr:nvCxnSpPr>
      <xdr:spPr>
        <a:xfrm flipH="1">
          <a:off x="1483519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1</xdr:row>
      <xdr:rowOff>203993</xdr:rowOff>
    </xdr:from>
    <xdr:to>
      <xdr:col>4</xdr:col>
      <xdr:colOff>237331</xdr:colOff>
      <xdr:row>2</xdr:row>
      <xdr:rowOff>203994</xdr:rowOff>
    </xdr:to>
    <xdr:cxnSp macro="">
      <xdr:nvCxnSpPr>
        <xdr:cNvPr id="62" name="Match8">
          <a:extLst>
            <a:ext uri="{FF2B5EF4-FFF2-40B4-BE49-F238E27FC236}">
              <a16:creationId xmlns:a16="http://schemas.microsoft.com/office/drawing/2014/main" id="{B18E76A4-16A7-47CF-5189-1FF0176917D0}"/>
            </a:ext>
          </a:extLst>
        </xdr:cNvPr>
        <xdr:cNvCxnSpPr/>
      </xdr:nvCxnSpPr>
      <xdr:spPr>
        <a:xfrm flipV="1">
          <a:off x="1932781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8</xdr:col>
      <xdr:colOff>211931</xdr:colOff>
      <xdr:row>3</xdr:row>
      <xdr:rowOff>178593</xdr:rowOff>
    </xdr:to>
    <xdr:cxnSp macro="">
      <xdr:nvCxnSpPr>
        <xdr:cNvPr id="63" name="Match9">
          <a:extLst>
            <a:ext uri="{FF2B5EF4-FFF2-40B4-BE49-F238E27FC236}">
              <a16:creationId xmlns:a16="http://schemas.microsoft.com/office/drawing/2014/main" id="{37F488B6-C1E8-040F-FF0A-0823A5DACA42}"/>
            </a:ext>
          </a:extLst>
        </xdr:cNvPr>
        <xdr:cNvCxnSpPr/>
      </xdr:nvCxnSpPr>
      <xdr:spPr>
        <a:xfrm flipH="1">
          <a:off x="3178969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</xdr:row>
      <xdr:rowOff>203993</xdr:rowOff>
    </xdr:from>
    <xdr:to>
      <xdr:col>8</xdr:col>
      <xdr:colOff>237331</xdr:colOff>
      <xdr:row>2</xdr:row>
      <xdr:rowOff>203994</xdr:rowOff>
    </xdr:to>
    <xdr:cxnSp macro="">
      <xdr:nvCxnSpPr>
        <xdr:cNvPr id="1024" name="Match10">
          <a:extLst>
            <a:ext uri="{FF2B5EF4-FFF2-40B4-BE49-F238E27FC236}">
              <a16:creationId xmlns:a16="http://schemas.microsoft.com/office/drawing/2014/main" id="{209DC1BA-DB4E-B61A-7BF9-6885A2FD4FEC}"/>
            </a:ext>
          </a:extLst>
        </xdr:cNvPr>
        <xdr:cNvCxnSpPr/>
      </xdr:nvCxnSpPr>
      <xdr:spPr>
        <a:xfrm flipH="1" flipV="1">
          <a:off x="3204369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1</xdr:row>
      <xdr:rowOff>229393</xdr:rowOff>
    </xdr:from>
    <xdr:to>
      <xdr:col>9</xdr:col>
      <xdr:colOff>262731</xdr:colOff>
      <xdr:row>2</xdr:row>
      <xdr:rowOff>229394</xdr:rowOff>
    </xdr:to>
    <xdr:cxnSp macro="">
      <xdr:nvCxnSpPr>
        <xdr:cNvPr id="1025" name="Match11">
          <a:extLst>
            <a:ext uri="{FF2B5EF4-FFF2-40B4-BE49-F238E27FC236}">
              <a16:creationId xmlns:a16="http://schemas.microsoft.com/office/drawing/2014/main" id="{4A7F9259-0478-6F19-06A0-7863AE127F9B}"/>
            </a:ext>
          </a:extLst>
        </xdr:cNvPr>
        <xdr:cNvCxnSpPr/>
      </xdr:nvCxnSpPr>
      <xdr:spPr>
        <a:xfrm flipV="1">
          <a:off x="3653631" y="5865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4</xdr:col>
      <xdr:colOff>211931</xdr:colOff>
      <xdr:row>4</xdr:row>
      <xdr:rowOff>178594</xdr:rowOff>
    </xdr:to>
    <xdr:cxnSp macro="">
      <xdr:nvCxnSpPr>
        <xdr:cNvPr id="1026" name="Match12">
          <a:extLst>
            <a:ext uri="{FF2B5EF4-FFF2-40B4-BE49-F238E27FC236}">
              <a16:creationId xmlns:a16="http://schemas.microsoft.com/office/drawing/2014/main" id="{F05CD08B-6A3C-9A37-DECF-33A1FA7A46CC}"/>
            </a:ext>
          </a:extLst>
        </xdr:cNvPr>
        <xdr:cNvCxnSpPr/>
      </xdr:nvCxnSpPr>
      <xdr:spPr>
        <a:xfrm>
          <a:off x="148351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2</xdr:row>
      <xdr:rowOff>203994</xdr:rowOff>
    </xdr:from>
    <xdr:to>
      <xdr:col>4</xdr:col>
      <xdr:colOff>237331</xdr:colOff>
      <xdr:row>3</xdr:row>
      <xdr:rowOff>203993</xdr:rowOff>
    </xdr:to>
    <xdr:cxnSp macro="">
      <xdr:nvCxnSpPr>
        <xdr:cNvPr id="1027" name="Match13">
          <a:extLst>
            <a:ext uri="{FF2B5EF4-FFF2-40B4-BE49-F238E27FC236}">
              <a16:creationId xmlns:a16="http://schemas.microsoft.com/office/drawing/2014/main" id="{0A294052-41B2-CE64-BC98-D19D29E31D1F}"/>
            </a:ext>
          </a:extLst>
        </xdr:cNvPr>
        <xdr:cNvCxnSpPr/>
      </xdr:nvCxnSpPr>
      <xdr:spPr>
        <a:xfrm flipV="1">
          <a:off x="1508919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7</xdr:col>
      <xdr:colOff>211931</xdr:colOff>
      <xdr:row>4</xdr:row>
      <xdr:rowOff>178594</xdr:rowOff>
    </xdr:to>
    <xdr:cxnSp macro="">
      <xdr:nvCxnSpPr>
        <xdr:cNvPr id="1028" name="Match14">
          <a:extLst>
            <a:ext uri="{FF2B5EF4-FFF2-40B4-BE49-F238E27FC236}">
              <a16:creationId xmlns:a16="http://schemas.microsoft.com/office/drawing/2014/main" id="{B603D817-CFFA-36DC-21E2-0401FE6DB386}"/>
            </a:ext>
          </a:extLst>
        </xdr:cNvPr>
        <xdr:cNvCxnSpPr/>
      </xdr:nvCxnSpPr>
      <xdr:spPr>
        <a:xfrm>
          <a:off x="3178969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2</xdr:row>
      <xdr:rowOff>203994</xdr:rowOff>
    </xdr:from>
    <xdr:to>
      <xdr:col>8</xdr:col>
      <xdr:colOff>237331</xdr:colOff>
      <xdr:row>3</xdr:row>
      <xdr:rowOff>203993</xdr:rowOff>
    </xdr:to>
    <xdr:cxnSp macro="">
      <xdr:nvCxnSpPr>
        <xdr:cNvPr id="1029" name="Match15">
          <a:extLst>
            <a:ext uri="{FF2B5EF4-FFF2-40B4-BE49-F238E27FC236}">
              <a16:creationId xmlns:a16="http://schemas.microsoft.com/office/drawing/2014/main" id="{91894E4E-E3B2-552C-5BCB-5EF852C52413}"/>
            </a:ext>
          </a:extLst>
        </xdr:cNvPr>
        <xdr:cNvCxnSpPr/>
      </xdr:nvCxnSpPr>
      <xdr:spPr>
        <a:xfrm flipV="1">
          <a:off x="3204369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4</xdr:col>
      <xdr:colOff>211931</xdr:colOff>
      <xdr:row>4</xdr:row>
      <xdr:rowOff>178594</xdr:rowOff>
    </xdr:to>
    <xdr:cxnSp macro="">
      <xdr:nvCxnSpPr>
        <xdr:cNvPr id="1030" name="Match16">
          <a:extLst>
            <a:ext uri="{FF2B5EF4-FFF2-40B4-BE49-F238E27FC236}">
              <a16:creationId xmlns:a16="http://schemas.microsoft.com/office/drawing/2014/main" id="{41900C42-0AFA-35B4-DF2D-690C29CA5C99}"/>
            </a:ext>
          </a:extLst>
        </xdr:cNvPr>
        <xdr:cNvCxnSpPr/>
      </xdr:nvCxnSpPr>
      <xdr:spPr>
        <a:xfrm flipH="1" flipV="1">
          <a:off x="148351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7</xdr:col>
      <xdr:colOff>211931</xdr:colOff>
      <xdr:row>4</xdr:row>
      <xdr:rowOff>178594</xdr:rowOff>
    </xdr:to>
    <xdr:cxnSp macro="">
      <xdr:nvCxnSpPr>
        <xdr:cNvPr id="1031" name="Match17">
          <a:extLst>
            <a:ext uri="{FF2B5EF4-FFF2-40B4-BE49-F238E27FC236}">
              <a16:creationId xmlns:a16="http://schemas.microsoft.com/office/drawing/2014/main" id="{4EFEC428-0BDA-DCFF-138F-AE4B0E959BCC}"/>
            </a:ext>
          </a:extLst>
        </xdr:cNvPr>
        <xdr:cNvCxnSpPr/>
      </xdr:nvCxnSpPr>
      <xdr:spPr>
        <a:xfrm flipV="1">
          <a:off x="3178969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2</xdr:col>
      <xdr:colOff>211931</xdr:colOff>
      <xdr:row>7</xdr:row>
      <xdr:rowOff>178593</xdr:rowOff>
    </xdr:to>
    <xdr:cxnSp macro="">
      <xdr:nvCxnSpPr>
        <xdr:cNvPr id="1032" name="Match18">
          <a:extLst>
            <a:ext uri="{FF2B5EF4-FFF2-40B4-BE49-F238E27FC236}">
              <a16:creationId xmlns:a16="http://schemas.microsoft.com/office/drawing/2014/main" id="{51D7C885-1146-11D0-21C0-6218A6D5C584}"/>
            </a:ext>
          </a:extLst>
        </xdr:cNvPr>
        <xdr:cNvCxnSpPr/>
      </xdr:nvCxnSpPr>
      <xdr:spPr>
        <a:xfrm>
          <a:off x="1059656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8</xdr:row>
      <xdr:rowOff>178594</xdr:rowOff>
    </xdr:to>
    <xdr:cxnSp macro="">
      <xdr:nvCxnSpPr>
        <xdr:cNvPr id="1033" name="Match19">
          <a:extLst>
            <a:ext uri="{FF2B5EF4-FFF2-40B4-BE49-F238E27FC236}">
              <a16:creationId xmlns:a16="http://schemas.microsoft.com/office/drawing/2014/main" id="{7D0D43A5-A3D5-3B78-DF02-FBE434979152}"/>
            </a:ext>
          </a:extLst>
        </xdr:cNvPr>
        <xdr:cNvCxnSpPr/>
      </xdr:nvCxnSpPr>
      <xdr:spPr>
        <a:xfrm flipH="1">
          <a:off x="6357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6</xdr:row>
      <xdr:rowOff>203994</xdr:rowOff>
    </xdr:from>
    <xdr:to>
      <xdr:col>2</xdr:col>
      <xdr:colOff>237331</xdr:colOff>
      <xdr:row>7</xdr:row>
      <xdr:rowOff>203993</xdr:rowOff>
    </xdr:to>
    <xdr:cxnSp macro="">
      <xdr:nvCxnSpPr>
        <xdr:cNvPr id="1034" name="Match20">
          <a:extLst>
            <a:ext uri="{FF2B5EF4-FFF2-40B4-BE49-F238E27FC236}">
              <a16:creationId xmlns:a16="http://schemas.microsoft.com/office/drawing/2014/main" id="{D0D79637-0DE5-5001-C8D3-A9324D3DD6B5}"/>
            </a:ext>
          </a:extLst>
        </xdr:cNvPr>
        <xdr:cNvCxnSpPr/>
      </xdr:nvCxnSpPr>
      <xdr:spPr>
        <a:xfrm flipV="1">
          <a:off x="1085056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9</xdr:row>
      <xdr:rowOff>178593</xdr:rowOff>
    </xdr:to>
    <xdr:cxnSp macro="">
      <xdr:nvCxnSpPr>
        <xdr:cNvPr id="1035" name="Match21">
          <a:extLst>
            <a:ext uri="{FF2B5EF4-FFF2-40B4-BE49-F238E27FC236}">
              <a16:creationId xmlns:a16="http://schemas.microsoft.com/office/drawing/2014/main" id="{389FB2B7-3C54-E3F4-6013-A832BC0C5A6C}"/>
            </a:ext>
          </a:extLst>
        </xdr:cNvPr>
        <xdr:cNvCxnSpPr/>
      </xdr:nvCxnSpPr>
      <xdr:spPr>
        <a:xfrm>
          <a:off x="6357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8</xdr:row>
      <xdr:rowOff>203994</xdr:rowOff>
    </xdr:from>
    <xdr:to>
      <xdr:col>1</xdr:col>
      <xdr:colOff>237331</xdr:colOff>
      <xdr:row>9</xdr:row>
      <xdr:rowOff>203993</xdr:rowOff>
    </xdr:to>
    <xdr:cxnSp macro="">
      <xdr:nvCxnSpPr>
        <xdr:cNvPr id="1036" name="Match22">
          <a:extLst>
            <a:ext uri="{FF2B5EF4-FFF2-40B4-BE49-F238E27FC236}">
              <a16:creationId xmlns:a16="http://schemas.microsoft.com/office/drawing/2014/main" id="{F9983C50-50FB-8C44-88F5-7BD260F36498}"/>
            </a:ext>
          </a:extLst>
        </xdr:cNvPr>
        <xdr:cNvCxnSpPr/>
      </xdr:nvCxnSpPr>
      <xdr:spPr>
        <a:xfrm>
          <a:off x="661194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7</xdr:row>
      <xdr:rowOff>229393</xdr:rowOff>
    </xdr:from>
    <xdr:to>
      <xdr:col>2</xdr:col>
      <xdr:colOff>262731</xdr:colOff>
      <xdr:row>8</xdr:row>
      <xdr:rowOff>229394</xdr:rowOff>
    </xdr:to>
    <xdr:cxnSp macro="">
      <xdr:nvCxnSpPr>
        <xdr:cNvPr id="1037" name="Match23">
          <a:extLst>
            <a:ext uri="{FF2B5EF4-FFF2-40B4-BE49-F238E27FC236}">
              <a16:creationId xmlns:a16="http://schemas.microsoft.com/office/drawing/2014/main" id="{8852FFD0-9F08-5EA4-59C3-600FE968FDA3}"/>
            </a:ext>
          </a:extLst>
        </xdr:cNvPr>
        <xdr:cNvCxnSpPr/>
      </xdr:nvCxnSpPr>
      <xdr:spPr>
        <a:xfrm flipV="1">
          <a:off x="686594" y="272970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2</xdr:col>
      <xdr:colOff>211931</xdr:colOff>
      <xdr:row>9</xdr:row>
      <xdr:rowOff>178593</xdr:rowOff>
    </xdr:to>
    <xdr:cxnSp macro="">
      <xdr:nvCxnSpPr>
        <xdr:cNvPr id="1038" name="Match24">
          <a:extLst>
            <a:ext uri="{FF2B5EF4-FFF2-40B4-BE49-F238E27FC236}">
              <a16:creationId xmlns:a16="http://schemas.microsoft.com/office/drawing/2014/main" id="{CA8A0E8E-1F37-333A-601E-D7DBB2FF30C8}"/>
            </a:ext>
          </a:extLst>
        </xdr:cNvPr>
        <xdr:cNvCxnSpPr/>
      </xdr:nvCxnSpPr>
      <xdr:spPr>
        <a:xfrm>
          <a:off x="635794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9</xdr:row>
      <xdr:rowOff>203993</xdr:rowOff>
    </xdr:from>
    <xdr:to>
      <xdr:col>1</xdr:col>
      <xdr:colOff>237331</xdr:colOff>
      <xdr:row>10</xdr:row>
      <xdr:rowOff>203994</xdr:rowOff>
    </xdr:to>
    <xdr:cxnSp macro="">
      <xdr:nvCxnSpPr>
        <xdr:cNvPr id="1039" name="Match25">
          <a:extLst>
            <a:ext uri="{FF2B5EF4-FFF2-40B4-BE49-F238E27FC236}">
              <a16:creationId xmlns:a16="http://schemas.microsoft.com/office/drawing/2014/main" id="{028C7B16-32DD-447F-99B1-3EC73E68B123}"/>
            </a:ext>
          </a:extLst>
        </xdr:cNvPr>
        <xdr:cNvCxnSpPr/>
      </xdr:nvCxnSpPr>
      <xdr:spPr>
        <a:xfrm>
          <a:off x="661194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9</xdr:row>
      <xdr:rowOff>229393</xdr:rowOff>
    </xdr:from>
    <xdr:to>
      <xdr:col>1</xdr:col>
      <xdr:colOff>262731</xdr:colOff>
      <xdr:row>10</xdr:row>
      <xdr:rowOff>229394</xdr:rowOff>
    </xdr:to>
    <xdr:cxnSp macro="">
      <xdr:nvCxnSpPr>
        <xdr:cNvPr id="1040" name="Match26">
          <a:extLst>
            <a:ext uri="{FF2B5EF4-FFF2-40B4-BE49-F238E27FC236}">
              <a16:creationId xmlns:a16="http://schemas.microsoft.com/office/drawing/2014/main" id="{A70093F7-FAE9-8676-26D9-1D6209D03B1C}"/>
            </a:ext>
          </a:extLst>
        </xdr:cNvPr>
        <xdr:cNvCxnSpPr/>
      </xdr:nvCxnSpPr>
      <xdr:spPr>
        <a:xfrm flipH="1">
          <a:off x="262731" y="34440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288131</xdr:colOff>
      <xdr:row>8</xdr:row>
      <xdr:rowOff>254794</xdr:rowOff>
    </xdr:from>
    <xdr:to>
      <xdr:col>1</xdr:col>
      <xdr:colOff>288131</xdr:colOff>
      <xdr:row>9</xdr:row>
      <xdr:rowOff>254793</xdr:rowOff>
    </xdr:to>
    <xdr:cxnSp macro="">
      <xdr:nvCxnSpPr>
        <xdr:cNvPr id="1041" name="Match27">
          <a:extLst>
            <a:ext uri="{FF2B5EF4-FFF2-40B4-BE49-F238E27FC236}">
              <a16:creationId xmlns:a16="http://schemas.microsoft.com/office/drawing/2014/main" id="{7CC17769-03DA-4DDA-3756-5C1878E8FED3}"/>
            </a:ext>
          </a:extLst>
        </xdr:cNvPr>
        <xdr:cNvCxnSpPr/>
      </xdr:nvCxnSpPr>
      <xdr:spPr>
        <a:xfrm flipV="1">
          <a:off x="711994" y="3112294"/>
          <a:ext cx="0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1042" name="Match28">
          <a:extLst>
            <a:ext uri="{FF2B5EF4-FFF2-40B4-BE49-F238E27FC236}">
              <a16:creationId xmlns:a16="http://schemas.microsoft.com/office/drawing/2014/main" id="{DE089E0C-8E1D-0EA2-39DB-3A28A72E2428}"/>
            </a:ext>
          </a:extLst>
        </xdr:cNvPr>
        <xdr:cNvCxnSpPr/>
      </xdr:nvCxnSpPr>
      <xdr:spPr>
        <a:xfrm flipH="1">
          <a:off x="6357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9</xdr:row>
      <xdr:rowOff>203993</xdr:rowOff>
    </xdr:from>
    <xdr:to>
      <xdr:col>2</xdr:col>
      <xdr:colOff>237331</xdr:colOff>
      <xdr:row>9</xdr:row>
      <xdr:rowOff>203993</xdr:rowOff>
    </xdr:to>
    <xdr:cxnSp macro="">
      <xdr:nvCxnSpPr>
        <xdr:cNvPr id="1043" name="Match29">
          <a:extLst>
            <a:ext uri="{FF2B5EF4-FFF2-40B4-BE49-F238E27FC236}">
              <a16:creationId xmlns:a16="http://schemas.microsoft.com/office/drawing/2014/main" id="{E5919D7B-77F3-CE8F-1176-4E31BB526298}"/>
            </a:ext>
          </a:extLst>
        </xdr:cNvPr>
        <xdr:cNvCxnSpPr/>
      </xdr:nvCxnSpPr>
      <xdr:spPr>
        <a:xfrm flipH="1">
          <a:off x="661194" y="34186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8</xdr:row>
      <xdr:rowOff>229394</xdr:rowOff>
    </xdr:from>
    <xdr:to>
      <xdr:col>2</xdr:col>
      <xdr:colOff>262731</xdr:colOff>
      <xdr:row>9</xdr:row>
      <xdr:rowOff>229393</xdr:rowOff>
    </xdr:to>
    <xdr:cxnSp macro="">
      <xdr:nvCxnSpPr>
        <xdr:cNvPr id="1044" name="Match30">
          <a:extLst>
            <a:ext uri="{FF2B5EF4-FFF2-40B4-BE49-F238E27FC236}">
              <a16:creationId xmlns:a16="http://schemas.microsoft.com/office/drawing/2014/main" id="{D1DD5659-B2D2-F8C5-9688-69A3ACA43952}"/>
            </a:ext>
          </a:extLst>
        </xdr:cNvPr>
        <xdr:cNvCxnSpPr/>
      </xdr:nvCxnSpPr>
      <xdr:spPr>
        <a:xfrm flipH="1" flipV="1">
          <a:off x="686594" y="30868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10</xdr:row>
      <xdr:rowOff>178594</xdr:rowOff>
    </xdr:to>
    <xdr:cxnSp macro="">
      <xdr:nvCxnSpPr>
        <xdr:cNvPr id="1045" name="Match31">
          <a:extLst>
            <a:ext uri="{FF2B5EF4-FFF2-40B4-BE49-F238E27FC236}">
              <a16:creationId xmlns:a16="http://schemas.microsoft.com/office/drawing/2014/main" id="{E51E32BD-0E48-0394-2F97-867B9E7B332A}"/>
            </a:ext>
          </a:extLst>
        </xdr:cNvPr>
        <xdr:cNvCxnSpPr/>
      </xdr:nvCxnSpPr>
      <xdr:spPr>
        <a:xfrm>
          <a:off x="21193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9</xdr:row>
      <xdr:rowOff>203993</xdr:rowOff>
    </xdr:from>
    <xdr:to>
      <xdr:col>1</xdr:col>
      <xdr:colOff>237331</xdr:colOff>
      <xdr:row>10</xdr:row>
      <xdr:rowOff>203994</xdr:rowOff>
    </xdr:to>
    <xdr:cxnSp macro="">
      <xdr:nvCxnSpPr>
        <xdr:cNvPr id="1046" name="Match32">
          <a:extLst>
            <a:ext uri="{FF2B5EF4-FFF2-40B4-BE49-F238E27FC236}">
              <a16:creationId xmlns:a16="http://schemas.microsoft.com/office/drawing/2014/main" id="{0DCEBA8D-C730-71F1-6760-91EF7612AB96}"/>
            </a:ext>
          </a:extLst>
        </xdr:cNvPr>
        <xdr:cNvCxnSpPr/>
      </xdr:nvCxnSpPr>
      <xdr:spPr>
        <a:xfrm flipV="1">
          <a:off x="23733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10</xdr:row>
      <xdr:rowOff>178594</xdr:rowOff>
    </xdr:to>
    <xdr:cxnSp macro="">
      <xdr:nvCxnSpPr>
        <xdr:cNvPr id="1047" name="Match33">
          <a:extLst>
            <a:ext uri="{FF2B5EF4-FFF2-40B4-BE49-F238E27FC236}">
              <a16:creationId xmlns:a16="http://schemas.microsoft.com/office/drawing/2014/main" id="{58BA73CE-416C-A578-C058-87DCABF85FB8}"/>
            </a:ext>
          </a:extLst>
        </xdr:cNvPr>
        <xdr:cNvCxnSpPr/>
      </xdr:nvCxnSpPr>
      <xdr:spPr>
        <a:xfrm flipH="1">
          <a:off x="21193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9</xdr:row>
      <xdr:rowOff>203993</xdr:rowOff>
    </xdr:from>
    <xdr:to>
      <xdr:col>1</xdr:col>
      <xdr:colOff>237331</xdr:colOff>
      <xdr:row>10</xdr:row>
      <xdr:rowOff>203994</xdr:rowOff>
    </xdr:to>
    <xdr:cxnSp macro="">
      <xdr:nvCxnSpPr>
        <xdr:cNvPr id="1048" name="Match34">
          <a:extLst>
            <a:ext uri="{FF2B5EF4-FFF2-40B4-BE49-F238E27FC236}">
              <a16:creationId xmlns:a16="http://schemas.microsoft.com/office/drawing/2014/main" id="{8DE8A41A-F84A-FB83-B9E6-E3BA5AF722B5}"/>
            </a:ext>
          </a:extLst>
        </xdr:cNvPr>
        <xdr:cNvCxnSpPr/>
      </xdr:nvCxnSpPr>
      <xdr:spPr>
        <a:xfrm flipV="1">
          <a:off x="661194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9</xdr:row>
      <xdr:rowOff>229393</xdr:rowOff>
    </xdr:from>
    <xdr:to>
      <xdr:col>2</xdr:col>
      <xdr:colOff>262731</xdr:colOff>
      <xdr:row>10</xdr:row>
      <xdr:rowOff>229394</xdr:rowOff>
    </xdr:to>
    <xdr:cxnSp macro="">
      <xdr:nvCxnSpPr>
        <xdr:cNvPr id="1049" name="Match35">
          <a:extLst>
            <a:ext uri="{FF2B5EF4-FFF2-40B4-BE49-F238E27FC236}">
              <a16:creationId xmlns:a16="http://schemas.microsoft.com/office/drawing/2014/main" id="{5B2EA80A-E7C6-4EDA-6C5B-6A4131B6682E}"/>
            </a:ext>
          </a:extLst>
        </xdr:cNvPr>
        <xdr:cNvCxnSpPr/>
      </xdr:nvCxnSpPr>
      <xdr:spPr>
        <a:xfrm flipV="1">
          <a:off x="686594" y="34440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1055" name="Match36">
          <a:extLst>
            <a:ext uri="{FF2B5EF4-FFF2-40B4-BE49-F238E27FC236}">
              <a16:creationId xmlns:a16="http://schemas.microsoft.com/office/drawing/2014/main" id="{A49FB369-55E5-FD8B-A852-2FDCABC9FFD9}"/>
            </a:ext>
          </a:extLst>
        </xdr:cNvPr>
        <xdr:cNvCxnSpPr/>
      </xdr:nvCxnSpPr>
      <xdr:spPr>
        <a:xfrm>
          <a:off x="635794" y="1250156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5</xdr:col>
      <xdr:colOff>211931</xdr:colOff>
      <xdr:row>4</xdr:row>
      <xdr:rowOff>178594</xdr:rowOff>
    </xdr:to>
    <xdr:cxnSp macro="">
      <xdr:nvCxnSpPr>
        <xdr:cNvPr id="1056" name="Match37">
          <a:extLst>
            <a:ext uri="{FF2B5EF4-FFF2-40B4-BE49-F238E27FC236}">
              <a16:creationId xmlns:a16="http://schemas.microsoft.com/office/drawing/2014/main" id="{A0F6584C-0607-2280-7B97-196ED7B6324B}"/>
            </a:ext>
          </a:extLst>
        </xdr:cNvPr>
        <xdr:cNvCxnSpPr/>
      </xdr:nvCxnSpPr>
      <xdr:spPr>
        <a:xfrm>
          <a:off x="1483519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9</xdr:col>
      <xdr:colOff>211931</xdr:colOff>
      <xdr:row>1</xdr:row>
      <xdr:rowOff>178593</xdr:rowOff>
    </xdr:to>
    <xdr:cxnSp macro="">
      <xdr:nvCxnSpPr>
        <xdr:cNvPr id="1057" name="Match38">
          <a:extLst>
            <a:ext uri="{FF2B5EF4-FFF2-40B4-BE49-F238E27FC236}">
              <a16:creationId xmlns:a16="http://schemas.microsoft.com/office/drawing/2014/main" id="{7F763C4F-979D-3453-0350-86833F8DEC89}"/>
            </a:ext>
          </a:extLst>
        </xdr:cNvPr>
        <xdr:cNvCxnSpPr/>
      </xdr:nvCxnSpPr>
      <xdr:spPr>
        <a:xfrm>
          <a:off x="360283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</xdr:row>
      <xdr:rowOff>203993</xdr:rowOff>
    </xdr:from>
    <xdr:to>
      <xdr:col>8</xdr:col>
      <xdr:colOff>237331</xdr:colOff>
      <xdr:row>2</xdr:row>
      <xdr:rowOff>203994</xdr:rowOff>
    </xdr:to>
    <xdr:cxnSp macro="">
      <xdr:nvCxnSpPr>
        <xdr:cNvPr id="1061" name="Match39">
          <a:extLst>
            <a:ext uri="{FF2B5EF4-FFF2-40B4-BE49-F238E27FC236}">
              <a16:creationId xmlns:a16="http://schemas.microsoft.com/office/drawing/2014/main" id="{21B4AC15-D18A-BDAC-54E2-A78AAA2F4FBE}"/>
            </a:ext>
          </a:extLst>
        </xdr:cNvPr>
        <xdr:cNvCxnSpPr/>
      </xdr:nvCxnSpPr>
      <xdr:spPr>
        <a:xfrm>
          <a:off x="3628231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1</xdr:row>
      <xdr:rowOff>229393</xdr:rowOff>
    </xdr:from>
    <xdr:to>
      <xdr:col>8</xdr:col>
      <xdr:colOff>262731</xdr:colOff>
      <xdr:row>1</xdr:row>
      <xdr:rowOff>229393</xdr:rowOff>
    </xdr:to>
    <xdr:cxnSp macro="">
      <xdr:nvCxnSpPr>
        <xdr:cNvPr id="1064" name="Match40">
          <a:extLst>
            <a:ext uri="{FF2B5EF4-FFF2-40B4-BE49-F238E27FC236}">
              <a16:creationId xmlns:a16="http://schemas.microsoft.com/office/drawing/2014/main" id="{E5DC7D63-DCD5-0D86-B261-AE367404DE31}"/>
            </a:ext>
          </a:extLst>
        </xdr:cNvPr>
        <xdr:cNvCxnSpPr/>
      </xdr:nvCxnSpPr>
      <xdr:spPr>
        <a:xfrm flipH="1">
          <a:off x="3229769" y="586581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288131</xdr:colOff>
      <xdr:row>0</xdr:row>
      <xdr:rowOff>254794</xdr:rowOff>
    </xdr:from>
    <xdr:to>
      <xdr:col>8</xdr:col>
      <xdr:colOff>288131</xdr:colOff>
      <xdr:row>1</xdr:row>
      <xdr:rowOff>254793</xdr:rowOff>
    </xdr:to>
    <xdr:cxnSp macro="">
      <xdr:nvCxnSpPr>
        <xdr:cNvPr id="1065" name="Match41">
          <a:extLst>
            <a:ext uri="{FF2B5EF4-FFF2-40B4-BE49-F238E27FC236}">
              <a16:creationId xmlns:a16="http://schemas.microsoft.com/office/drawing/2014/main" id="{EA846A85-5DEB-5700-9F8E-10D802223D31}"/>
            </a:ext>
          </a:extLst>
        </xdr:cNvPr>
        <xdr:cNvCxnSpPr/>
      </xdr:nvCxnSpPr>
      <xdr:spPr>
        <a:xfrm flipH="1" flipV="1">
          <a:off x="3255169" y="254794"/>
          <a:ext cx="423862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4</xdr:col>
      <xdr:colOff>211931</xdr:colOff>
      <xdr:row>4</xdr:row>
      <xdr:rowOff>178594</xdr:rowOff>
    </xdr:to>
    <xdr:cxnSp macro="">
      <xdr:nvCxnSpPr>
        <xdr:cNvPr id="1066" name="Match42">
          <a:extLst>
            <a:ext uri="{FF2B5EF4-FFF2-40B4-BE49-F238E27FC236}">
              <a16:creationId xmlns:a16="http://schemas.microsoft.com/office/drawing/2014/main" id="{AFF45727-0073-5692-00E6-3B8FCCFB47E5}"/>
            </a:ext>
          </a:extLst>
        </xdr:cNvPr>
        <xdr:cNvCxnSpPr/>
      </xdr:nvCxnSpPr>
      <xdr:spPr>
        <a:xfrm>
          <a:off x="1483519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3</xdr:row>
      <xdr:rowOff>203993</xdr:rowOff>
    </xdr:from>
    <xdr:to>
      <xdr:col>3</xdr:col>
      <xdr:colOff>237331</xdr:colOff>
      <xdr:row>4</xdr:row>
      <xdr:rowOff>203994</xdr:rowOff>
    </xdr:to>
    <xdr:cxnSp macro="">
      <xdr:nvCxnSpPr>
        <xdr:cNvPr id="1067" name="Match43">
          <a:extLst>
            <a:ext uri="{FF2B5EF4-FFF2-40B4-BE49-F238E27FC236}">
              <a16:creationId xmlns:a16="http://schemas.microsoft.com/office/drawing/2014/main" id="{87250C38-C586-0629-EE96-CC8A8EF02D4E}"/>
            </a:ext>
          </a:extLst>
        </xdr:cNvPr>
        <xdr:cNvCxnSpPr/>
      </xdr:nvCxnSpPr>
      <xdr:spPr>
        <a:xfrm flipV="1">
          <a:off x="1508919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1068" name="Match44">
          <a:extLst>
            <a:ext uri="{FF2B5EF4-FFF2-40B4-BE49-F238E27FC236}">
              <a16:creationId xmlns:a16="http://schemas.microsoft.com/office/drawing/2014/main" id="{DD88F705-A823-B6BC-3043-C56FC62596C3}"/>
            </a:ext>
          </a:extLst>
        </xdr:cNvPr>
        <xdr:cNvCxnSpPr/>
      </xdr:nvCxnSpPr>
      <xdr:spPr>
        <a:xfrm>
          <a:off x="6357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8</xdr:col>
      <xdr:colOff>211931</xdr:colOff>
      <xdr:row>5</xdr:row>
      <xdr:rowOff>178593</xdr:rowOff>
    </xdr:to>
    <xdr:cxnSp macro="">
      <xdr:nvCxnSpPr>
        <xdr:cNvPr id="1069" name="Match45">
          <a:extLst>
            <a:ext uri="{FF2B5EF4-FFF2-40B4-BE49-F238E27FC236}">
              <a16:creationId xmlns:a16="http://schemas.microsoft.com/office/drawing/2014/main" id="{B76A4A98-1B50-9921-46F2-1FFB96D6C073}"/>
            </a:ext>
          </a:extLst>
        </xdr:cNvPr>
        <xdr:cNvCxnSpPr/>
      </xdr:nvCxnSpPr>
      <xdr:spPr>
        <a:xfrm flipH="1" flipV="1">
          <a:off x="317896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3</xdr:col>
      <xdr:colOff>211931</xdr:colOff>
      <xdr:row>7</xdr:row>
      <xdr:rowOff>178593</xdr:rowOff>
    </xdr:to>
    <xdr:cxnSp macro="">
      <xdr:nvCxnSpPr>
        <xdr:cNvPr id="1070" name="Match46">
          <a:extLst>
            <a:ext uri="{FF2B5EF4-FFF2-40B4-BE49-F238E27FC236}">
              <a16:creationId xmlns:a16="http://schemas.microsoft.com/office/drawing/2014/main" id="{52F1BB63-D415-3E23-01D6-F5A609207627}"/>
            </a:ext>
          </a:extLst>
        </xdr:cNvPr>
        <xdr:cNvCxnSpPr/>
      </xdr:nvCxnSpPr>
      <xdr:spPr>
        <a:xfrm flipH="1">
          <a:off x="105965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6</xdr:row>
      <xdr:rowOff>203994</xdr:rowOff>
    </xdr:from>
    <xdr:to>
      <xdr:col>3</xdr:col>
      <xdr:colOff>237331</xdr:colOff>
      <xdr:row>6</xdr:row>
      <xdr:rowOff>203994</xdr:rowOff>
    </xdr:to>
    <xdr:cxnSp macro="">
      <xdr:nvCxnSpPr>
        <xdr:cNvPr id="1071" name="Match47">
          <a:extLst>
            <a:ext uri="{FF2B5EF4-FFF2-40B4-BE49-F238E27FC236}">
              <a16:creationId xmlns:a16="http://schemas.microsoft.com/office/drawing/2014/main" id="{590395EF-C04D-61D1-4542-BC397250443E}"/>
            </a:ext>
          </a:extLst>
        </xdr:cNvPr>
        <xdr:cNvCxnSpPr/>
      </xdr:nvCxnSpPr>
      <xdr:spPr>
        <a:xfrm flipH="1">
          <a:off x="1085056" y="234711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1072" name="Match48">
          <a:extLst>
            <a:ext uri="{FF2B5EF4-FFF2-40B4-BE49-F238E27FC236}">
              <a16:creationId xmlns:a16="http://schemas.microsoft.com/office/drawing/2014/main" id="{B6686F49-6CDD-4F8B-F3DB-D4EC1F6E74C1}"/>
            </a:ext>
          </a:extLst>
        </xdr:cNvPr>
        <xdr:cNvCxnSpPr/>
      </xdr:nvCxnSpPr>
      <xdr:spPr>
        <a:xfrm>
          <a:off x="4026694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3</xdr:col>
      <xdr:colOff>211931</xdr:colOff>
      <xdr:row>10</xdr:row>
      <xdr:rowOff>178594</xdr:rowOff>
    </xdr:to>
    <xdr:cxnSp macro="">
      <xdr:nvCxnSpPr>
        <xdr:cNvPr id="1073" name="Match49">
          <a:extLst>
            <a:ext uri="{FF2B5EF4-FFF2-40B4-BE49-F238E27FC236}">
              <a16:creationId xmlns:a16="http://schemas.microsoft.com/office/drawing/2014/main" id="{6AA0149A-C9D7-B42D-E75B-05B6253F00A9}"/>
            </a:ext>
          </a:extLst>
        </xdr:cNvPr>
        <xdr:cNvCxnSpPr/>
      </xdr:nvCxnSpPr>
      <xdr:spPr>
        <a:xfrm flipH="1" flipV="1">
          <a:off x="10596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1074" name="Match50">
          <a:extLst>
            <a:ext uri="{FF2B5EF4-FFF2-40B4-BE49-F238E27FC236}">
              <a16:creationId xmlns:a16="http://schemas.microsoft.com/office/drawing/2014/main" id="{72F99315-040E-A89E-572F-4C34119E3936}"/>
            </a:ext>
          </a:extLst>
        </xdr:cNvPr>
        <xdr:cNvCxnSpPr/>
      </xdr:nvCxnSpPr>
      <xdr:spPr>
        <a:xfrm flipH="1" flipV="1">
          <a:off x="2119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10</xdr:row>
      <xdr:rowOff>203994</xdr:rowOff>
    </xdr:from>
    <xdr:to>
      <xdr:col>1</xdr:col>
      <xdr:colOff>237331</xdr:colOff>
      <xdr:row>11</xdr:row>
      <xdr:rowOff>203993</xdr:rowOff>
    </xdr:to>
    <xdr:cxnSp macro="">
      <xdr:nvCxnSpPr>
        <xdr:cNvPr id="1075" name="Match51">
          <a:extLst>
            <a:ext uri="{FF2B5EF4-FFF2-40B4-BE49-F238E27FC236}">
              <a16:creationId xmlns:a16="http://schemas.microsoft.com/office/drawing/2014/main" id="{C589AC12-90BB-B74C-005A-12EEFE798D6E}"/>
            </a:ext>
          </a:extLst>
        </xdr:cNvPr>
        <xdr:cNvCxnSpPr/>
      </xdr:nvCxnSpPr>
      <xdr:spPr>
        <a:xfrm flipV="1">
          <a:off x="661194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0</xdr:row>
      <xdr:rowOff>203994</xdr:rowOff>
    </xdr:from>
    <xdr:to>
      <xdr:col>10</xdr:col>
      <xdr:colOff>237331</xdr:colOff>
      <xdr:row>0</xdr:row>
      <xdr:rowOff>203994</xdr:rowOff>
    </xdr:to>
    <xdr:cxnSp macro="">
      <xdr:nvCxnSpPr>
        <xdr:cNvPr id="1076" name="Match52">
          <a:extLst>
            <a:ext uri="{FF2B5EF4-FFF2-40B4-BE49-F238E27FC236}">
              <a16:creationId xmlns:a16="http://schemas.microsoft.com/office/drawing/2014/main" id="{444DA4BB-6354-1849-E8AA-CC9BE7F691A4}"/>
            </a:ext>
          </a:extLst>
        </xdr:cNvPr>
        <xdr:cNvCxnSpPr/>
      </xdr:nvCxnSpPr>
      <xdr:spPr>
        <a:xfrm flipH="1">
          <a:off x="2780506" y="203994"/>
          <a:ext cx="1695450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6</xdr:col>
      <xdr:colOff>211931</xdr:colOff>
      <xdr:row>8</xdr:row>
      <xdr:rowOff>178594</xdr:rowOff>
    </xdr:to>
    <xdr:cxnSp macro="">
      <xdr:nvCxnSpPr>
        <xdr:cNvPr id="1077" name="Match53">
          <a:extLst>
            <a:ext uri="{FF2B5EF4-FFF2-40B4-BE49-F238E27FC236}">
              <a16:creationId xmlns:a16="http://schemas.microsoft.com/office/drawing/2014/main" id="{9D0C76F6-30A5-8B54-8B27-219710452672}"/>
            </a:ext>
          </a:extLst>
        </xdr:cNvPr>
        <xdr:cNvCxnSpPr/>
      </xdr:nvCxnSpPr>
      <xdr:spPr>
        <a:xfrm flipH="1">
          <a:off x="635794" y="3036094"/>
          <a:ext cx="211931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1078" name="Match54">
          <a:extLst>
            <a:ext uri="{FF2B5EF4-FFF2-40B4-BE49-F238E27FC236}">
              <a16:creationId xmlns:a16="http://schemas.microsoft.com/office/drawing/2014/main" id="{E910DB03-1B8E-0234-2D30-05D6D999181E}"/>
            </a:ext>
          </a:extLst>
        </xdr:cNvPr>
        <xdr:cNvCxnSpPr/>
      </xdr:nvCxnSpPr>
      <xdr:spPr>
        <a:xfrm flipV="1">
          <a:off x="4450556" y="5357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7</xdr:row>
      <xdr:rowOff>229393</xdr:rowOff>
    </xdr:from>
    <xdr:to>
      <xdr:col>4</xdr:col>
      <xdr:colOff>262731</xdr:colOff>
      <xdr:row>7</xdr:row>
      <xdr:rowOff>229393</xdr:rowOff>
    </xdr:to>
    <xdr:cxnSp macro="">
      <xdr:nvCxnSpPr>
        <xdr:cNvPr id="1079" name="Match55">
          <a:extLst>
            <a:ext uri="{FF2B5EF4-FFF2-40B4-BE49-F238E27FC236}">
              <a16:creationId xmlns:a16="http://schemas.microsoft.com/office/drawing/2014/main" id="{457C2722-3D72-ADB7-FAF3-1D40B39CED75}"/>
            </a:ext>
          </a:extLst>
        </xdr:cNvPr>
        <xdr:cNvCxnSpPr/>
      </xdr:nvCxnSpPr>
      <xdr:spPr>
        <a:xfrm>
          <a:off x="1110456" y="2729706"/>
          <a:ext cx="847725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9</xdr:col>
      <xdr:colOff>211931</xdr:colOff>
      <xdr:row>6</xdr:row>
      <xdr:rowOff>178594</xdr:rowOff>
    </xdr:to>
    <xdr:cxnSp macro="">
      <xdr:nvCxnSpPr>
        <xdr:cNvPr id="1080" name="Match56">
          <a:extLst>
            <a:ext uri="{FF2B5EF4-FFF2-40B4-BE49-F238E27FC236}">
              <a16:creationId xmlns:a16="http://schemas.microsoft.com/office/drawing/2014/main" id="{A50F3B83-001A-4A15-0D77-66F1A3293838}"/>
            </a:ext>
          </a:extLst>
        </xdr:cNvPr>
        <xdr:cNvCxnSpPr/>
      </xdr:nvCxnSpPr>
      <xdr:spPr>
        <a:xfrm flipH="1">
          <a:off x="2331244" y="2321719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1</xdr:row>
      <xdr:rowOff>229393</xdr:rowOff>
    </xdr:from>
    <xdr:to>
      <xdr:col>7</xdr:col>
      <xdr:colOff>262731</xdr:colOff>
      <xdr:row>1</xdr:row>
      <xdr:rowOff>229393</xdr:rowOff>
    </xdr:to>
    <xdr:cxnSp macro="">
      <xdr:nvCxnSpPr>
        <xdr:cNvPr id="1081" name="Match57">
          <a:extLst>
            <a:ext uri="{FF2B5EF4-FFF2-40B4-BE49-F238E27FC236}">
              <a16:creationId xmlns:a16="http://schemas.microsoft.com/office/drawing/2014/main" id="{3ADB87A4-DF2D-9BBE-5B36-4929C252D942}"/>
            </a:ext>
          </a:extLst>
        </xdr:cNvPr>
        <xdr:cNvCxnSpPr/>
      </xdr:nvCxnSpPr>
      <xdr:spPr>
        <a:xfrm flipH="1">
          <a:off x="686594" y="586581"/>
          <a:ext cx="2543175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11</xdr:col>
      <xdr:colOff>211931</xdr:colOff>
      <xdr:row>4</xdr:row>
      <xdr:rowOff>178594</xdr:rowOff>
    </xdr:to>
    <xdr:cxnSp macro="">
      <xdr:nvCxnSpPr>
        <xdr:cNvPr id="1082" name="Match58">
          <a:extLst>
            <a:ext uri="{FF2B5EF4-FFF2-40B4-BE49-F238E27FC236}">
              <a16:creationId xmlns:a16="http://schemas.microsoft.com/office/drawing/2014/main" id="{E10B5204-4591-D504-20C7-B0E537DE64EC}"/>
            </a:ext>
          </a:extLst>
        </xdr:cNvPr>
        <xdr:cNvCxnSpPr/>
      </xdr:nvCxnSpPr>
      <xdr:spPr>
        <a:xfrm>
          <a:off x="4026694" y="160734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6</xdr:col>
      <xdr:colOff>211931</xdr:colOff>
      <xdr:row>11</xdr:row>
      <xdr:rowOff>178593</xdr:rowOff>
    </xdr:to>
    <xdr:cxnSp macro="">
      <xdr:nvCxnSpPr>
        <xdr:cNvPr id="1083" name="Match59">
          <a:extLst>
            <a:ext uri="{FF2B5EF4-FFF2-40B4-BE49-F238E27FC236}">
              <a16:creationId xmlns:a16="http://schemas.microsoft.com/office/drawing/2014/main" id="{618D55E8-7AE6-5303-83A6-729E985EC7D7}"/>
            </a:ext>
          </a:extLst>
        </xdr:cNvPr>
        <xdr:cNvCxnSpPr/>
      </xdr:nvCxnSpPr>
      <xdr:spPr>
        <a:xfrm>
          <a:off x="2755106" y="33932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8</xdr:col>
      <xdr:colOff>211931</xdr:colOff>
      <xdr:row>9</xdr:row>
      <xdr:rowOff>178593</xdr:rowOff>
    </xdr:to>
    <xdr:cxnSp macro="">
      <xdr:nvCxnSpPr>
        <xdr:cNvPr id="1084" name="Match60">
          <a:extLst>
            <a:ext uri="{FF2B5EF4-FFF2-40B4-BE49-F238E27FC236}">
              <a16:creationId xmlns:a16="http://schemas.microsoft.com/office/drawing/2014/main" id="{1C84908F-29CB-2004-2E55-1CEAD9F27980}"/>
            </a:ext>
          </a:extLst>
        </xdr:cNvPr>
        <xdr:cNvCxnSpPr/>
      </xdr:nvCxnSpPr>
      <xdr:spPr>
        <a:xfrm flipH="1">
          <a:off x="1907381" y="339328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0</xdr:col>
      <xdr:colOff>211931</xdr:colOff>
      <xdr:row>7</xdr:row>
      <xdr:rowOff>178593</xdr:rowOff>
    </xdr:to>
    <xdr:cxnSp macro="">
      <xdr:nvCxnSpPr>
        <xdr:cNvPr id="1085" name="Match61">
          <a:extLst>
            <a:ext uri="{FF2B5EF4-FFF2-40B4-BE49-F238E27FC236}">
              <a16:creationId xmlns:a16="http://schemas.microsoft.com/office/drawing/2014/main" id="{15059D50-08CD-EAEF-147C-7433AABFFB2E}"/>
            </a:ext>
          </a:extLst>
        </xdr:cNvPr>
        <xdr:cNvCxnSpPr/>
      </xdr:nvCxnSpPr>
      <xdr:spPr>
        <a:xfrm>
          <a:off x="211931" y="53578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0</xdr:row>
      <xdr:rowOff>178594</xdr:rowOff>
    </xdr:to>
    <xdr:cxnSp macro="">
      <xdr:nvCxnSpPr>
        <xdr:cNvPr id="1086" name="Match62">
          <a:extLst>
            <a:ext uri="{FF2B5EF4-FFF2-40B4-BE49-F238E27FC236}">
              <a16:creationId xmlns:a16="http://schemas.microsoft.com/office/drawing/2014/main" id="{B5B01E0B-189E-AC85-1CC2-BFE078F06D6F}"/>
            </a:ext>
          </a:extLst>
        </xdr:cNvPr>
        <xdr:cNvCxnSpPr/>
      </xdr:nvCxnSpPr>
      <xdr:spPr>
        <a:xfrm flipH="1">
          <a:off x="1483519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087" name="Match63">
          <a:extLst>
            <a:ext uri="{FF2B5EF4-FFF2-40B4-BE49-F238E27FC236}">
              <a16:creationId xmlns:a16="http://schemas.microsoft.com/office/drawing/2014/main" id="{B0A8256F-7F84-D98F-6F77-58AD67DEBA6C}"/>
            </a:ext>
          </a:extLst>
        </xdr:cNvPr>
        <xdr:cNvCxnSpPr/>
      </xdr:nvCxnSpPr>
      <xdr:spPr>
        <a:xfrm flipV="1">
          <a:off x="148351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6</xdr:col>
      <xdr:colOff>211931</xdr:colOff>
      <xdr:row>3</xdr:row>
      <xdr:rowOff>178593</xdr:rowOff>
    </xdr:to>
    <xdr:cxnSp macro="">
      <xdr:nvCxnSpPr>
        <xdr:cNvPr id="1088" name="Match64">
          <a:extLst>
            <a:ext uri="{FF2B5EF4-FFF2-40B4-BE49-F238E27FC236}">
              <a16:creationId xmlns:a16="http://schemas.microsoft.com/office/drawing/2014/main" id="{6D8E5EA6-9769-3850-E671-690094DEB0CF}"/>
            </a:ext>
          </a:extLst>
        </xdr:cNvPr>
        <xdr:cNvCxnSpPr/>
      </xdr:nvCxnSpPr>
      <xdr:spPr>
        <a:xfrm flipV="1">
          <a:off x="2755106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10</xdr:col>
      <xdr:colOff>211931</xdr:colOff>
      <xdr:row>6</xdr:row>
      <xdr:rowOff>178594</xdr:rowOff>
    </xdr:to>
    <xdr:cxnSp macro="">
      <xdr:nvCxnSpPr>
        <xdr:cNvPr id="1089" name="Match65">
          <a:extLst>
            <a:ext uri="{FF2B5EF4-FFF2-40B4-BE49-F238E27FC236}">
              <a16:creationId xmlns:a16="http://schemas.microsoft.com/office/drawing/2014/main" id="{DDEC17F8-59CD-3D63-CC87-767F1B85F03E}"/>
            </a:ext>
          </a:extLst>
        </xdr:cNvPr>
        <xdr:cNvCxnSpPr/>
      </xdr:nvCxnSpPr>
      <xdr:spPr>
        <a:xfrm>
          <a:off x="40266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7</xdr:col>
      <xdr:colOff>211931</xdr:colOff>
      <xdr:row>7</xdr:row>
      <xdr:rowOff>178593</xdr:rowOff>
    </xdr:to>
    <xdr:cxnSp macro="">
      <xdr:nvCxnSpPr>
        <xdr:cNvPr id="1090" name="Match66">
          <a:extLst>
            <a:ext uri="{FF2B5EF4-FFF2-40B4-BE49-F238E27FC236}">
              <a16:creationId xmlns:a16="http://schemas.microsoft.com/office/drawing/2014/main" id="{168E0E0F-3DEE-420D-C92C-2F52687AF8A4}"/>
            </a:ext>
          </a:extLst>
        </xdr:cNvPr>
        <xdr:cNvCxnSpPr/>
      </xdr:nvCxnSpPr>
      <xdr:spPr>
        <a:xfrm>
          <a:off x="3178969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1091" name="Match67">
          <a:extLst>
            <a:ext uri="{FF2B5EF4-FFF2-40B4-BE49-F238E27FC236}">
              <a16:creationId xmlns:a16="http://schemas.microsoft.com/office/drawing/2014/main" id="{96332087-7FDD-7623-7B1F-25BDB1A4095D}"/>
            </a:ext>
          </a:extLst>
        </xdr:cNvPr>
        <xdr:cNvCxnSpPr/>
      </xdr:nvCxnSpPr>
      <xdr:spPr>
        <a:xfrm flipV="1">
          <a:off x="4450556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8</xdr:col>
      <xdr:colOff>211931</xdr:colOff>
      <xdr:row>8</xdr:row>
      <xdr:rowOff>178594</xdr:rowOff>
    </xdr:to>
    <xdr:cxnSp macro="">
      <xdr:nvCxnSpPr>
        <xdr:cNvPr id="1092" name="Match68">
          <a:extLst>
            <a:ext uri="{FF2B5EF4-FFF2-40B4-BE49-F238E27FC236}">
              <a16:creationId xmlns:a16="http://schemas.microsoft.com/office/drawing/2014/main" id="{D16A3E61-842B-0B7B-73CA-21EE6B6033B0}"/>
            </a:ext>
          </a:extLst>
        </xdr:cNvPr>
        <xdr:cNvCxnSpPr/>
      </xdr:nvCxnSpPr>
      <xdr:spPr>
        <a:xfrm flipH="1" flipV="1">
          <a:off x="3178969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10</xdr:row>
      <xdr:rowOff>178594</xdr:rowOff>
    </xdr:to>
    <xdr:cxnSp macro="">
      <xdr:nvCxnSpPr>
        <xdr:cNvPr id="1093" name="Match69">
          <a:extLst>
            <a:ext uri="{FF2B5EF4-FFF2-40B4-BE49-F238E27FC236}">
              <a16:creationId xmlns:a16="http://schemas.microsoft.com/office/drawing/2014/main" id="{B42728A4-929A-ECEE-FFB0-BC0B1EB9DB1A}"/>
            </a:ext>
          </a:extLst>
        </xdr:cNvPr>
        <xdr:cNvCxnSpPr/>
      </xdr:nvCxnSpPr>
      <xdr:spPr>
        <a:xfrm>
          <a:off x="190738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11</xdr:row>
      <xdr:rowOff>178593</xdr:rowOff>
    </xdr:from>
    <xdr:to>
      <xdr:col>3</xdr:col>
      <xdr:colOff>211931</xdr:colOff>
      <xdr:row>11</xdr:row>
      <xdr:rowOff>178593</xdr:rowOff>
    </xdr:to>
    <xdr:cxnSp macro="">
      <xdr:nvCxnSpPr>
        <xdr:cNvPr id="1094" name="Match70">
          <a:extLst>
            <a:ext uri="{FF2B5EF4-FFF2-40B4-BE49-F238E27FC236}">
              <a16:creationId xmlns:a16="http://schemas.microsoft.com/office/drawing/2014/main" id="{ADA973AF-EB75-4504-CD6F-B894E4259EC6}"/>
            </a:ext>
          </a:extLst>
        </xdr:cNvPr>
        <xdr:cNvCxnSpPr/>
      </xdr:nvCxnSpPr>
      <xdr:spPr>
        <a:xfrm flipH="1">
          <a:off x="211931" y="4107656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0</xdr:row>
      <xdr:rowOff>178594</xdr:rowOff>
    </xdr:to>
    <xdr:cxnSp macro="">
      <xdr:nvCxnSpPr>
        <xdr:cNvPr id="1095" name="Match71">
          <a:extLst>
            <a:ext uri="{FF2B5EF4-FFF2-40B4-BE49-F238E27FC236}">
              <a16:creationId xmlns:a16="http://schemas.microsoft.com/office/drawing/2014/main" id="{735F8654-ECE0-5944-F9FA-59DDD03AA4FF}"/>
            </a:ext>
          </a:extLst>
        </xdr:cNvPr>
        <xdr:cNvCxnSpPr/>
      </xdr:nvCxnSpPr>
      <xdr:spPr>
        <a:xfrm>
          <a:off x="233124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</xdr:row>
      <xdr:rowOff>203993</xdr:rowOff>
    </xdr:from>
    <xdr:to>
      <xdr:col>1</xdr:col>
      <xdr:colOff>237331</xdr:colOff>
      <xdr:row>2</xdr:row>
      <xdr:rowOff>203994</xdr:rowOff>
    </xdr:to>
    <xdr:cxnSp macro="">
      <xdr:nvCxnSpPr>
        <xdr:cNvPr id="1096" name="Match72">
          <a:extLst>
            <a:ext uri="{FF2B5EF4-FFF2-40B4-BE49-F238E27FC236}">
              <a16:creationId xmlns:a16="http://schemas.microsoft.com/office/drawing/2014/main" id="{1B8A6297-2843-5052-C331-EF8210C22095}"/>
            </a:ext>
          </a:extLst>
        </xdr:cNvPr>
        <xdr:cNvCxnSpPr/>
      </xdr:nvCxnSpPr>
      <xdr:spPr>
        <a:xfrm>
          <a:off x="237331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1097" name="Match73">
          <a:extLst>
            <a:ext uri="{FF2B5EF4-FFF2-40B4-BE49-F238E27FC236}">
              <a16:creationId xmlns:a16="http://schemas.microsoft.com/office/drawing/2014/main" id="{9F0F01FA-D8FD-E53C-BADC-300E7A315E91}"/>
            </a:ext>
          </a:extLst>
        </xdr:cNvPr>
        <xdr:cNvCxnSpPr/>
      </xdr:nvCxnSpPr>
      <xdr:spPr>
        <a:xfrm flipH="1">
          <a:off x="445055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10</xdr:col>
      <xdr:colOff>211931</xdr:colOff>
      <xdr:row>5</xdr:row>
      <xdr:rowOff>178593</xdr:rowOff>
    </xdr:to>
    <xdr:cxnSp macro="">
      <xdr:nvCxnSpPr>
        <xdr:cNvPr id="1098" name="Match74">
          <a:extLst>
            <a:ext uri="{FF2B5EF4-FFF2-40B4-BE49-F238E27FC236}">
              <a16:creationId xmlns:a16="http://schemas.microsoft.com/office/drawing/2014/main" id="{199B645C-88EF-69BD-F97A-B4B9A6166321}"/>
            </a:ext>
          </a:extLst>
        </xdr:cNvPr>
        <xdr:cNvCxnSpPr/>
      </xdr:nvCxnSpPr>
      <xdr:spPr>
        <a:xfrm flipH="1" flipV="1">
          <a:off x="402669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3</xdr:col>
      <xdr:colOff>211931</xdr:colOff>
      <xdr:row>8</xdr:row>
      <xdr:rowOff>178594</xdr:rowOff>
    </xdr:to>
    <xdr:cxnSp macro="">
      <xdr:nvCxnSpPr>
        <xdr:cNvPr id="1099" name="Match75">
          <a:extLst>
            <a:ext uri="{FF2B5EF4-FFF2-40B4-BE49-F238E27FC236}">
              <a16:creationId xmlns:a16="http://schemas.microsoft.com/office/drawing/2014/main" id="{9F8DB242-32FA-B67B-AC6A-BFFF326CDFDA}"/>
            </a:ext>
          </a:extLst>
        </xdr:cNvPr>
        <xdr:cNvCxnSpPr/>
      </xdr:nvCxnSpPr>
      <xdr:spPr>
        <a:xfrm flipV="1">
          <a:off x="10596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1100" name="Match76">
          <a:extLst>
            <a:ext uri="{FF2B5EF4-FFF2-40B4-BE49-F238E27FC236}">
              <a16:creationId xmlns:a16="http://schemas.microsoft.com/office/drawing/2014/main" id="{3FA21C1F-E398-BEC8-DB73-636ED22C960E}"/>
            </a:ext>
          </a:extLst>
        </xdr:cNvPr>
        <xdr:cNvCxnSpPr/>
      </xdr:nvCxnSpPr>
      <xdr:spPr>
        <a:xfrm flipH="1">
          <a:off x="275510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8</xdr:row>
      <xdr:rowOff>203994</xdr:rowOff>
    </xdr:from>
    <xdr:to>
      <xdr:col>7</xdr:col>
      <xdr:colOff>237331</xdr:colOff>
      <xdr:row>8</xdr:row>
      <xdr:rowOff>203994</xdr:rowOff>
    </xdr:to>
    <xdr:cxnSp macro="">
      <xdr:nvCxnSpPr>
        <xdr:cNvPr id="1101" name="Match77">
          <a:extLst>
            <a:ext uri="{FF2B5EF4-FFF2-40B4-BE49-F238E27FC236}">
              <a16:creationId xmlns:a16="http://schemas.microsoft.com/office/drawing/2014/main" id="{75AB3391-79F8-CBF0-5914-7880B34FCDE1}"/>
            </a:ext>
          </a:extLst>
        </xdr:cNvPr>
        <xdr:cNvCxnSpPr/>
      </xdr:nvCxnSpPr>
      <xdr:spPr>
        <a:xfrm flipH="1">
          <a:off x="2780506" y="30614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1102" name="Match78">
          <a:extLst>
            <a:ext uri="{FF2B5EF4-FFF2-40B4-BE49-F238E27FC236}">
              <a16:creationId xmlns:a16="http://schemas.microsoft.com/office/drawing/2014/main" id="{29564181-1955-CBD9-1973-0CFC235EA606}"/>
            </a:ext>
          </a:extLst>
        </xdr:cNvPr>
        <xdr:cNvCxnSpPr/>
      </xdr:nvCxnSpPr>
      <xdr:spPr>
        <a:xfrm>
          <a:off x="4450556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103" name="Match79">
          <a:extLst>
            <a:ext uri="{FF2B5EF4-FFF2-40B4-BE49-F238E27FC236}">
              <a16:creationId xmlns:a16="http://schemas.microsoft.com/office/drawing/2014/main" id="{064A37B0-9EE3-4B24-2C33-E7B385EDC94C}"/>
            </a:ext>
          </a:extLst>
        </xdr:cNvPr>
        <xdr:cNvCxnSpPr/>
      </xdr:nvCxnSpPr>
      <xdr:spPr>
        <a:xfrm>
          <a:off x="360283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10</xdr:row>
      <xdr:rowOff>203994</xdr:rowOff>
    </xdr:from>
    <xdr:to>
      <xdr:col>8</xdr:col>
      <xdr:colOff>237331</xdr:colOff>
      <xdr:row>10</xdr:row>
      <xdr:rowOff>203994</xdr:rowOff>
    </xdr:to>
    <xdr:cxnSp macro="">
      <xdr:nvCxnSpPr>
        <xdr:cNvPr id="1104" name="Match80">
          <a:extLst>
            <a:ext uri="{FF2B5EF4-FFF2-40B4-BE49-F238E27FC236}">
              <a16:creationId xmlns:a16="http://schemas.microsoft.com/office/drawing/2014/main" id="{41EF5593-FF92-B9EC-994E-2AD723FA54F9}"/>
            </a:ext>
          </a:extLst>
        </xdr:cNvPr>
        <xdr:cNvCxnSpPr/>
      </xdr:nvCxnSpPr>
      <xdr:spPr>
        <a:xfrm flipH="1">
          <a:off x="3204369" y="377586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7</xdr:col>
      <xdr:colOff>211931</xdr:colOff>
      <xdr:row>11</xdr:row>
      <xdr:rowOff>178593</xdr:rowOff>
    </xdr:to>
    <xdr:cxnSp macro="">
      <xdr:nvCxnSpPr>
        <xdr:cNvPr id="1105" name="Match81">
          <a:extLst>
            <a:ext uri="{FF2B5EF4-FFF2-40B4-BE49-F238E27FC236}">
              <a16:creationId xmlns:a16="http://schemas.microsoft.com/office/drawing/2014/main" id="{8FF13854-66AE-2BE5-E819-D65EDD4EE110}"/>
            </a:ext>
          </a:extLst>
        </xdr:cNvPr>
        <xdr:cNvCxnSpPr/>
      </xdr:nvCxnSpPr>
      <xdr:spPr>
        <a:xfrm flipV="1">
          <a:off x="275510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9CF885F-07A3-9D24-D399-8775F2206E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A12" sqref="A1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1</v>
      </c>
      <c r="B1" s="27">
        <v>1</v>
      </c>
      <c r="C1" s="27">
        <v>5</v>
      </c>
      <c r="D1" s="23">
        <v>2</v>
      </c>
      <c r="E1" s="23">
        <v>8</v>
      </c>
      <c r="F1" s="23">
        <v>1</v>
      </c>
      <c r="G1" s="22">
        <v>7</v>
      </c>
      <c r="H1" s="22">
        <v>9</v>
      </c>
      <c r="I1" s="22">
        <v>7</v>
      </c>
      <c r="J1" s="22">
        <v>7</v>
      </c>
      <c r="K1" s="22">
        <v>9</v>
      </c>
      <c r="L1" s="27">
        <v>4</v>
      </c>
      <c r="N1" s="2">
        <v>99</v>
      </c>
      <c r="O1" s="1">
        <v>36</v>
      </c>
    </row>
    <row r="2" spans="1:15" s="2" customFormat="1" ht="28.25" customHeight="1">
      <c r="A2" s="22">
        <v>1</v>
      </c>
      <c r="B2" s="22">
        <v>5</v>
      </c>
      <c r="C2" s="22">
        <v>5</v>
      </c>
      <c r="D2" s="22">
        <v>8</v>
      </c>
      <c r="E2" s="22">
        <v>9</v>
      </c>
      <c r="F2" s="22">
        <v>6</v>
      </c>
      <c r="G2" s="22">
        <v>5</v>
      </c>
      <c r="H2" s="22">
        <v>9</v>
      </c>
      <c r="I2" s="23">
        <v>3</v>
      </c>
      <c r="J2" s="23">
        <v>9</v>
      </c>
      <c r="K2" s="23">
        <v>2</v>
      </c>
      <c r="L2" s="27">
        <v>2</v>
      </c>
      <c r="N2" s="2">
        <v>2476</v>
      </c>
      <c r="O2" s="2">
        <v>1</v>
      </c>
    </row>
    <row r="3" spans="1:15" ht="28.25" customHeight="1">
      <c r="A3" s="22">
        <v>2</v>
      </c>
      <c r="B3" s="23">
        <v>7</v>
      </c>
      <c r="C3" s="27">
        <v>6</v>
      </c>
      <c r="D3" s="22">
        <v>4</v>
      </c>
      <c r="E3" s="23">
        <v>9</v>
      </c>
      <c r="F3" s="27">
        <v>6</v>
      </c>
      <c r="G3" s="23">
        <v>2</v>
      </c>
      <c r="H3" s="27">
        <v>5</v>
      </c>
      <c r="I3" s="23">
        <v>9</v>
      </c>
      <c r="J3" s="27">
        <v>6</v>
      </c>
      <c r="K3" s="23">
        <v>7</v>
      </c>
      <c r="L3" s="23">
        <v>1</v>
      </c>
      <c r="N3" s="2">
        <v>465</v>
      </c>
      <c r="O3" s="1">
        <v>1</v>
      </c>
    </row>
    <row r="4" spans="1:15" ht="28.25" customHeight="1">
      <c r="A4" s="22">
        <v>6</v>
      </c>
      <c r="B4" s="22">
        <v>2</v>
      </c>
      <c r="C4" s="27">
        <v>6</v>
      </c>
      <c r="D4" s="22">
        <v>9</v>
      </c>
      <c r="E4" s="22">
        <v>6</v>
      </c>
      <c r="F4" s="27">
        <v>6</v>
      </c>
      <c r="G4" s="23">
        <v>8</v>
      </c>
      <c r="H4" s="23">
        <v>9</v>
      </c>
      <c r="I4" s="27">
        <v>5</v>
      </c>
      <c r="J4" s="27">
        <v>8</v>
      </c>
      <c r="K4" s="23">
        <v>9</v>
      </c>
      <c r="L4" s="27">
        <v>6</v>
      </c>
      <c r="N4" s="2">
        <v>39</v>
      </c>
      <c r="O4" s="1">
        <v>14</v>
      </c>
    </row>
    <row r="5" spans="1:15" ht="28.25" customHeight="1">
      <c r="A5" s="22">
        <v>4</v>
      </c>
      <c r="B5" s="27">
        <v>3</v>
      </c>
      <c r="C5" s="22">
        <v>4</v>
      </c>
      <c r="D5" s="23">
        <v>3</v>
      </c>
      <c r="E5" s="22">
        <v>9</v>
      </c>
      <c r="F5" s="22">
        <v>5</v>
      </c>
      <c r="G5" s="27">
        <v>1</v>
      </c>
      <c r="H5" s="23">
        <v>9</v>
      </c>
      <c r="I5" s="27">
        <v>6</v>
      </c>
      <c r="J5" s="23">
        <v>7</v>
      </c>
      <c r="K5" s="23">
        <v>6</v>
      </c>
      <c r="L5" s="23">
        <v>1</v>
      </c>
      <c r="N5" s="2">
        <v>97797</v>
      </c>
      <c r="O5" s="1">
        <v>1</v>
      </c>
    </row>
    <row r="6" spans="1:15" ht="28.25" customHeight="1">
      <c r="A6" s="22">
        <v>3</v>
      </c>
      <c r="B6" s="23">
        <v>3</v>
      </c>
      <c r="C6" s="27">
        <v>4</v>
      </c>
      <c r="D6" s="22">
        <v>7</v>
      </c>
      <c r="E6" s="27">
        <v>4</v>
      </c>
      <c r="F6" s="27">
        <v>6</v>
      </c>
      <c r="G6" s="27">
        <v>1</v>
      </c>
      <c r="H6" s="27">
        <v>6</v>
      </c>
      <c r="I6" s="23">
        <v>3</v>
      </c>
      <c r="J6" s="23">
        <v>8</v>
      </c>
      <c r="K6" s="23">
        <v>1</v>
      </c>
      <c r="L6" s="27">
        <v>2</v>
      </c>
      <c r="N6" s="2">
        <v>723419</v>
      </c>
      <c r="O6" s="1">
        <v>1</v>
      </c>
    </row>
    <row r="7" spans="1:15" ht="28.25" customHeight="1">
      <c r="A7" s="22">
        <v>2</v>
      </c>
      <c r="B7" s="27">
        <v>4</v>
      </c>
      <c r="C7" s="22">
        <v>9</v>
      </c>
      <c r="D7" s="22">
        <v>3</v>
      </c>
      <c r="E7" s="22">
        <v>6</v>
      </c>
      <c r="F7" s="22">
        <v>1</v>
      </c>
      <c r="G7" s="22">
        <v>6</v>
      </c>
      <c r="H7" s="22">
        <v>8</v>
      </c>
      <c r="I7" s="22">
        <v>4</v>
      </c>
      <c r="J7" s="22">
        <v>4</v>
      </c>
      <c r="K7" s="22">
        <v>2</v>
      </c>
      <c r="L7" s="27">
        <v>1</v>
      </c>
      <c r="N7" s="2">
        <v>972</v>
      </c>
      <c r="O7" s="1">
        <v>2</v>
      </c>
    </row>
    <row r="8" spans="1:15" ht="28.25" customHeight="1">
      <c r="A8" s="22">
        <v>1</v>
      </c>
      <c r="B8" s="27">
        <v>5</v>
      </c>
      <c r="C8" s="22">
        <v>9</v>
      </c>
      <c r="D8" s="22">
        <v>7</v>
      </c>
      <c r="E8" s="22">
        <v>2</v>
      </c>
      <c r="F8" s="27">
        <v>2</v>
      </c>
      <c r="G8" s="27">
        <v>6</v>
      </c>
      <c r="H8" s="23">
        <v>2</v>
      </c>
      <c r="I8" s="27">
        <v>9</v>
      </c>
      <c r="J8" s="27">
        <v>4</v>
      </c>
      <c r="K8" s="22">
        <v>8</v>
      </c>
      <c r="L8" s="27">
        <v>9</v>
      </c>
      <c r="N8" s="2">
        <v>44861</v>
      </c>
      <c r="O8" s="1">
        <v>1</v>
      </c>
    </row>
    <row r="9" spans="1:15" ht="28.25" customHeight="1">
      <c r="A9" s="27">
        <v>5</v>
      </c>
      <c r="B9" s="22">
        <v>9</v>
      </c>
      <c r="C9" s="22">
        <v>1</v>
      </c>
      <c r="D9" s="22">
        <v>4</v>
      </c>
      <c r="E9" s="22">
        <v>3</v>
      </c>
      <c r="F9" s="22">
        <v>2</v>
      </c>
      <c r="G9" s="22">
        <v>7</v>
      </c>
      <c r="H9" s="23">
        <v>1</v>
      </c>
      <c r="I9" s="23">
        <v>8</v>
      </c>
      <c r="J9" s="27">
        <v>6</v>
      </c>
      <c r="K9" s="23">
        <v>1</v>
      </c>
      <c r="L9" s="23">
        <v>7</v>
      </c>
      <c r="N9" s="2">
        <v>9569855</v>
      </c>
      <c r="O9" s="1">
        <v>1</v>
      </c>
    </row>
    <row r="10" spans="1:15" ht="28.25" customHeight="1">
      <c r="A10" s="27">
        <v>4</v>
      </c>
      <c r="B10" s="23">
        <v>9</v>
      </c>
      <c r="C10" s="23">
        <v>9</v>
      </c>
      <c r="D10" s="27">
        <v>4</v>
      </c>
      <c r="E10" s="22">
        <v>7</v>
      </c>
      <c r="F10" s="22">
        <v>3</v>
      </c>
      <c r="G10" s="22">
        <v>7</v>
      </c>
      <c r="H10" s="22">
        <v>8</v>
      </c>
      <c r="I10" s="22">
        <v>8</v>
      </c>
      <c r="J10" s="23">
        <v>3</v>
      </c>
      <c r="K10" s="23">
        <v>9</v>
      </c>
      <c r="L10" s="27">
        <v>5</v>
      </c>
      <c r="N10" s="2">
        <v>761</v>
      </c>
      <c r="O10" s="1">
        <v>2</v>
      </c>
    </row>
    <row r="11" spans="1:15" ht="28.25" customHeight="1">
      <c r="A11" s="23">
        <v>9</v>
      </c>
      <c r="B11" s="23">
        <v>9</v>
      </c>
      <c r="C11" s="27">
        <v>1</v>
      </c>
      <c r="D11" s="23">
        <v>3</v>
      </c>
      <c r="E11" s="23">
        <v>8</v>
      </c>
      <c r="F11" s="23">
        <v>2</v>
      </c>
      <c r="G11" s="22">
        <v>6</v>
      </c>
      <c r="H11" s="22">
        <v>7</v>
      </c>
      <c r="I11" s="22">
        <v>1</v>
      </c>
      <c r="J11" s="27">
        <v>5</v>
      </c>
      <c r="K11" s="27">
        <v>4</v>
      </c>
      <c r="L11" s="27">
        <v>4</v>
      </c>
      <c r="N11" s="2">
        <v>88737</v>
      </c>
      <c r="O11" s="1">
        <v>1</v>
      </c>
    </row>
    <row r="12" spans="1:15" ht="28.25" customHeight="1">
      <c r="A12" s="22">
        <v>7</v>
      </c>
      <c r="B12" s="22">
        <v>3</v>
      </c>
      <c r="C12" s="22">
        <v>1</v>
      </c>
      <c r="D12" s="22">
        <v>6</v>
      </c>
      <c r="E12" s="27">
        <v>1</v>
      </c>
      <c r="F12" s="27">
        <v>4</v>
      </c>
      <c r="G12" s="22">
        <v>1</v>
      </c>
      <c r="H12" s="27">
        <v>3</v>
      </c>
      <c r="I12" s="23">
        <v>7</v>
      </c>
      <c r="J12" s="27">
        <v>6</v>
      </c>
      <c r="K12" s="27">
        <v>9</v>
      </c>
      <c r="L12" s="27">
        <v>7</v>
      </c>
      <c r="N12" s="2">
        <v>1264321</v>
      </c>
      <c r="O12" s="1">
        <v>1</v>
      </c>
    </row>
    <row r="13" spans="1:15" ht="28.25" customHeight="1">
      <c r="N13" s="2">
        <v>82</v>
      </c>
      <c r="O13" s="1">
        <v>8</v>
      </c>
    </row>
    <row r="14" spans="1:15" ht="28.25" customHeight="1">
      <c r="N14" s="2">
        <v>6137</v>
      </c>
      <c r="O14" s="1">
        <v>1</v>
      </c>
    </row>
    <row r="15" spans="1:15" ht="28.25" customHeight="1">
      <c r="N15" s="2">
        <v>17</v>
      </c>
      <c r="O15" s="1">
        <v>11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77"/>
  <sheetViews>
    <sheetView tabSelected="1" zoomScaleNormal="100" workbookViewId="0">
      <pane ySplit="2" topLeftCell="A269" activePane="bottomLeft" state="frozen"/>
      <selection pane="bottomLeft" activeCell="A277" sqref="A277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564</v>
      </c>
      <c r="I255" t="s">
        <v>565</v>
      </c>
      <c r="J255">
        <v>0</v>
      </c>
      <c r="K255">
        <f t="shared" ref="K255" si="490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91">L254+K255</f>
        <v>309</v>
      </c>
      <c r="M255">
        <f t="shared" ref="M255" si="492">2+IF(A255&gt;=DATEVALUE("2025/11/30")+TIMEVALUE("6:00"),1,0)+IF(A255&gt;=DATEVALUE("2025/12/11")+TIMEVALUE("6:00"),1,0)</f>
        <v>4</v>
      </c>
      <c r="N255">
        <f t="shared" ref="N255" si="493">N254+M255*(INT(A255-6/24)-INT(A254-6/24))+O255</f>
        <v>311</v>
      </c>
      <c r="O255">
        <f t="shared" ref="O255" si="494">IF(A255&gt;=DATEVALUE("2025/11/8")+TIMEVALUE("6:00"),1,0)-IF(A254&gt;=DATEVALUE("2025/11/8")+TIMEVALUE("6:00"),1,0)
+IF(A255&gt;=DATEVALUE("2026/1/22")+TIMEVALUE("6:00"),3,0)-IF(A254&gt;=DATEVALUE("2026/1/22")+TIMEVALUE("6:00"),3,0)</f>
        <v>0</v>
      </c>
      <c r="P255" t="str">
        <f t="shared" ref="P255" si="495">IF(L255&lt;N255,"未達成（"&amp;N255-L255&amp;"）",IF(L255=N255,"達成","前倒し（"&amp;L255-N255&amp;"）"))</f>
        <v>未達成（2）</v>
      </c>
      <c r="Q255">
        <f t="shared" ref="Q255" si="496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566</v>
      </c>
      <c r="I256" t="s">
        <v>567</v>
      </c>
      <c r="J256">
        <v>0</v>
      </c>
      <c r="K256">
        <f t="shared" ref="K256" si="497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98">L255+K256</f>
        <v>311</v>
      </c>
      <c r="M256">
        <f t="shared" ref="M256" si="499">2+IF(A256&gt;=DATEVALUE("2025/11/30")+TIMEVALUE("6:00"),1,0)+IF(A256&gt;=DATEVALUE("2025/12/11")+TIMEVALUE("6:00"),1,0)</f>
        <v>4</v>
      </c>
      <c r="N256">
        <f t="shared" ref="N256" si="500">N255+M256*(INT(A256-6/24)-INT(A255-6/24))+O256</f>
        <v>311</v>
      </c>
      <c r="O256">
        <f t="shared" ref="O256" si="501">IF(A256&gt;=DATEVALUE("2025/11/8")+TIMEVALUE("6:00"),1,0)-IF(A255&gt;=DATEVALUE("2025/11/8")+TIMEVALUE("6:00"),1,0)
+IF(A256&gt;=DATEVALUE("2026/1/22")+TIMEVALUE("6:00"),3,0)-IF(A255&gt;=DATEVALUE("2026/1/22")+TIMEVALUE("6:00"),3,0)</f>
        <v>0</v>
      </c>
      <c r="P256" t="str">
        <f t="shared" ref="P256" si="502">IF(L256&lt;N256,"未達成（"&amp;N256-L256&amp;"）",IF(L256=N256,"達成","前倒し（"&amp;L256-N256&amp;"）"))</f>
        <v>達成</v>
      </c>
      <c r="Q256">
        <f t="shared" ref="Q256" si="503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568</v>
      </c>
      <c r="I257" t="s">
        <v>569</v>
      </c>
      <c r="J257">
        <v>0</v>
      </c>
      <c r="K257">
        <f t="shared" ref="K257" si="504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505">L256+K257</f>
        <v>313</v>
      </c>
      <c r="M257">
        <f t="shared" ref="M257" si="506">2+IF(A257&gt;=DATEVALUE("2025/11/30")+TIMEVALUE("6:00"),1,0)+IF(A257&gt;=DATEVALUE("2025/12/11")+TIMEVALUE("6:00"),1,0)</f>
        <v>4</v>
      </c>
      <c r="N257">
        <f t="shared" ref="N257" si="507">N256+M257*(INT(A257-6/24)-INT(A256-6/24))+O257</f>
        <v>315</v>
      </c>
      <c r="O257">
        <f t="shared" ref="O257" si="508">IF(A257&gt;=DATEVALUE("2025/11/8")+TIMEVALUE("6:00"),1,0)-IF(A256&gt;=DATEVALUE("2025/11/8")+TIMEVALUE("6:00"),1,0)
+IF(A257&gt;=DATEVALUE("2026/1/22")+TIMEVALUE("6:00"),3,0)-IF(A256&gt;=DATEVALUE("2026/1/22")+TIMEVALUE("6:00"),3,0)</f>
        <v>0</v>
      </c>
      <c r="P257" t="str">
        <f t="shared" ref="P257" si="509">IF(L257&lt;N257,"未達成（"&amp;N257-L257&amp;"）",IF(L257=N257,"達成","前倒し（"&amp;L257-N257&amp;"）"))</f>
        <v>未達成（2）</v>
      </c>
      <c r="Q257">
        <f t="shared" ref="Q257" si="51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570</v>
      </c>
      <c r="I258" t="s">
        <v>572</v>
      </c>
      <c r="J258">
        <v>1</v>
      </c>
      <c r="K258">
        <f t="shared" ref="K258" si="51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512">L257+K258</f>
        <v>313</v>
      </c>
      <c r="M258">
        <f t="shared" ref="M258" si="513">2+IF(A258&gt;=DATEVALUE("2025/11/30")+TIMEVALUE("6:00"),1,0)+IF(A258&gt;=DATEVALUE("2025/12/11")+TIMEVALUE("6:00"),1,0)</f>
        <v>4</v>
      </c>
      <c r="N258">
        <f t="shared" ref="N258" si="514">N257+M258*(INT(A258-6/24)-INT(A257-6/24))+O258</f>
        <v>315</v>
      </c>
      <c r="O258">
        <f t="shared" ref="O258" si="515">IF(A258&gt;=DATEVALUE("2025/11/8")+TIMEVALUE("6:00"),1,0)-IF(A257&gt;=DATEVALUE("2025/11/8")+TIMEVALUE("6:00"),1,0)
+IF(A258&gt;=DATEVALUE("2026/1/22")+TIMEVALUE("6:00"),3,0)-IF(A257&gt;=DATEVALUE("2026/1/22")+TIMEVALUE("6:00"),3,0)</f>
        <v>0</v>
      </c>
      <c r="P258" t="str">
        <f t="shared" ref="P258" si="516">IF(L258&lt;N258,"未達成（"&amp;N258-L258&amp;"）",IF(L258=N258,"達成","前倒し（"&amp;L258-N258&amp;"）"))</f>
        <v>未達成（2）</v>
      </c>
      <c r="Q258" t="e">
        <f t="shared" ref="Q258" si="517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573</v>
      </c>
      <c r="I259" t="s">
        <v>571</v>
      </c>
      <c r="J259">
        <v>0</v>
      </c>
      <c r="K259">
        <f t="shared" ref="K259" si="518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519">L258+K259</f>
        <v>315</v>
      </c>
      <c r="M259">
        <f t="shared" ref="M259" si="520">2+IF(A259&gt;=DATEVALUE("2025/11/30")+TIMEVALUE("6:00"),1,0)+IF(A259&gt;=DATEVALUE("2025/12/11")+TIMEVALUE("6:00"),1,0)</f>
        <v>4</v>
      </c>
      <c r="N259">
        <f t="shared" ref="N259" si="521">N258+M259*(INT(A259-6/24)-INT(A258-6/24))+O259</f>
        <v>315</v>
      </c>
      <c r="O259">
        <f t="shared" ref="O259" si="522">IF(A259&gt;=DATEVALUE("2025/11/8")+TIMEVALUE("6:00"),1,0)-IF(A258&gt;=DATEVALUE("2025/11/8")+TIMEVALUE("6:00"),1,0)
+IF(A259&gt;=DATEVALUE("2026/1/22")+TIMEVALUE("6:00"),3,0)-IF(A258&gt;=DATEVALUE("2026/1/22")+TIMEVALUE("6:00"),3,0)</f>
        <v>0</v>
      </c>
      <c r="P259" t="str">
        <f t="shared" ref="P259" si="523">IF(L259&lt;N259,"未達成（"&amp;N259-L259&amp;"）",IF(L259=N259,"達成","前倒し（"&amp;L259-N259&amp;"）"))</f>
        <v>達成</v>
      </c>
      <c r="Q259">
        <f t="shared" ref="Q259" si="524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574</v>
      </c>
      <c r="I260" t="s">
        <v>575</v>
      </c>
      <c r="J260">
        <v>0</v>
      </c>
      <c r="K260">
        <f t="shared" ref="K260" si="525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526">L259+K260</f>
        <v>316</v>
      </c>
      <c r="M260">
        <f t="shared" ref="M260" si="527">2+IF(A260&gt;=DATEVALUE("2025/11/30")+TIMEVALUE("6:00"),1,0)+IF(A260&gt;=DATEVALUE("2025/12/11")+TIMEVALUE("6:00"),1,0)</f>
        <v>4</v>
      </c>
      <c r="N260">
        <f t="shared" ref="N260" si="528">N259+M260*(INT(A260-6/24)-INT(A259-6/24))+O260</f>
        <v>319</v>
      </c>
      <c r="O260">
        <f t="shared" ref="O260" si="529">IF(A260&gt;=DATEVALUE("2025/11/8")+TIMEVALUE("6:00"),1,0)-IF(A259&gt;=DATEVALUE("2025/11/8")+TIMEVALUE("6:00"),1,0)
+IF(A260&gt;=DATEVALUE("2026/1/22")+TIMEVALUE("6:00"),3,0)-IF(A259&gt;=DATEVALUE("2026/1/22")+TIMEVALUE("6:00"),3,0)</f>
        <v>0</v>
      </c>
      <c r="P260" t="str">
        <f t="shared" ref="P260" si="530">IF(L260&lt;N260,"未達成（"&amp;N260-L260&amp;"）",IF(L260=N260,"達成","前倒し（"&amp;L260-N260&amp;"）"))</f>
        <v>未達成（3）</v>
      </c>
      <c r="Q260">
        <f t="shared" ref="Q260" si="531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576</v>
      </c>
      <c r="I261" t="s">
        <v>577</v>
      </c>
      <c r="J261">
        <v>0</v>
      </c>
      <c r="K261">
        <f t="shared" ref="K261" si="532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533">L260+K261</f>
        <v>318</v>
      </c>
      <c r="M261">
        <f t="shared" ref="M261" si="534">2+IF(A261&gt;=DATEVALUE("2025/11/30")+TIMEVALUE("6:00"),1,0)+IF(A261&gt;=DATEVALUE("2025/12/11")+TIMEVALUE("6:00"),1,0)</f>
        <v>4</v>
      </c>
      <c r="N261">
        <f t="shared" ref="N261" si="535">N260+M261*(INT(A261-6/24)-INT(A260-6/24))+O261</f>
        <v>319</v>
      </c>
      <c r="O261">
        <f t="shared" ref="O261" si="536">IF(A261&gt;=DATEVALUE("2025/11/8")+TIMEVALUE("6:00"),1,0)-IF(A260&gt;=DATEVALUE("2025/11/8")+TIMEVALUE("6:00"),1,0)
+IF(A261&gt;=DATEVALUE("2026/1/22")+TIMEVALUE("6:00"),3,0)-IF(A260&gt;=DATEVALUE("2026/1/22")+TIMEVALUE("6:00"),3,0)</f>
        <v>0</v>
      </c>
      <c r="P261" t="str">
        <f t="shared" ref="P261" si="537">IF(L261&lt;N261,"未達成（"&amp;N261-L261&amp;"）",IF(L261=N261,"達成","前倒し（"&amp;L261-N261&amp;"）"))</f>
        <v>未達成（1）</v>
      </c>
      <c r="Q261">
        <f t="shared" ref="Q261" si="538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578</v>
      </c>
      <c r="I262" t="s">
        <v>579</v>
      </c>
      <c r="J262">
        <v>0</v>
      </c>
      <c r="K262">
        <f t="shared" ref="K262" si="539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540">L261+K262</f>
        <v>320</v>
      </c>
      <c r="M262">
        <f t="shared" ref="M262" si="541">2+IF(A262&gt;=DATEVALUE("2025/11/30")+TIMEVALUE("6:00"),1,0)+IF(A262&gt;=DATEVALUE("2025/12/11")+TIMEVALUE("6:00"),1,0)</f>
        <v>4</v>
      </c>
      <c r="N262">
        <f t="shared" ref="N262" si="542">N261+M262*(INT(A262-6/24)-INT(A261-6/24))+O262</f>
        <v>319</v>
      </c>
      <c r="O262">
        <f t="shared" ref="O262" si="543">IF(A262&gt;=DATEVALUE("2025/11/8")+TIMEVALUE("6:00"),1,0)-IF(A261&gt;=DATEVALUE("2025/11/8")+TIMEVALUE("6:00"),1,0)
+IF(A262&gt;=DATEVALUE("2026/1/22")+TIMEVALUE("6:00"),3,0)-IF(A261&gt;=DATEVALUE("2026/1/22")+TIMEVALUE("6:00"),3,0)</f>
        <v>0</v>
      </c>
      <c r="P262" t="str">
        <f t="shared" ref="P262" si="544">IF(L262&lt;N262,"未達成（"&amp;N262-L262&amp;"）",IF(L262=N262,"達成","前倒し（"&amp;L262-N262&amp;"）"))</f>
        <v>前倒し（1）</v>
      </c>
      <c r="Q262">
        <f t="shared" ref="Q262" si="545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580</v>
      </c>
      <c r="I263" t="s">
        <v>581</v>
      </c>
      <c r="J263">
        <v>0</v>
      </c>
      <c r="K263">
        <f t="shared" ref="K263" si="546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47">L262+K263</f>
        <v>321</v>
      </c>
      <c r="M263">
        <f t="shared" ref="M263" si="548">2+IF(A263&gt;=DATEVALUE("2025/11/30")+TIMEVALUE("6:00"),1,0)+IF(A263&gt;=DATEVALUE("2025/12/11")+TIMEVALUE("6:00"),1,0)</f>
        <v>4</v>
      </c>
      <c r="N263">
        <f t="shared" ref="N263" si="549">N262+M263*(INT(A263-6/24)-INT(A262-6/24))+O263</f>
        <v>323</v>
      </c>
      <c r="O263">
        <f t="shared" ref="O263" si="550">IF(A263&gt;=DATEVALUE("2025/11/8")+TIMEVALUE("6:00"),1,0)-IF(A262&gt;=DATEVALUE("2025/11/8")+TIMEVALUE("6:00"),1,0)
+IF(A263&gt;=DATEVALUE("2026/1/22")+TIMEVALUE("6:00"),3,0)-IF(A262&gt;=DATEVALUE("2026/1/22")+TIMEVALUE("6:00"),3,0)</f>
        <v>0</v>
      </c>
      <c r="P263" t="str">
        <f t="shared" ref="P263" si="551">IF(L263&lt;N263,"未達成（"&amp;N263-L263&amp;"）",IF(L263=N263,"達成","前倒し（"&amp;L263-N263&amp;"）"))</f>
        <v>未達成（2）</v>
      </c>
      <c r="Q263">
        <f t="shared" ref="Q263" si="552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582</v>
      </c>
      <c r="I264" t="s">
        <v>583</v>
      </c>
      <c r="J264">
        <v>0</v>
      </c>
      <c r="K264">
        <f t="shared" ref="K264" si="553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54">L263+K264</f>
        <v>322</v>
      </c>
      <c r="M264">
        <f t="shared" ref="M264" si="555">2+IF(A264&gt;=DATEVALUE("2025/11/30")+TIMEVALUE("6:00"),1,0)+IF(A264&gt;=DATEVALUE("2025/12/11")+TIMEVALUE("6:00"),1,0)</f>
        <v>4</v>
      </c>
      <c r="N264">
        <f t="shared" ref="N264" si="556">N263+M264*(INT(A264-6/24)-INT(A263-6/24))+O264</f>
        <v>323</v>
      </c>
      <c r="O264">
        <f t="shared" ref="O264" si="557">IF(A264&gt;=DATEVALUE("2025/11/8")+TIMEVALUE("6:00"),1,0)-IF(A263&gt;=DATEVALUE("2025/11/8")+TIMEVALUE("6:00"),1,0)
+IF(A264&gt;=DATEVALUE("2026/1/22")+TIMEVALUE("6:00"),3,0)-IF(A263&gt;=DATEVALUE("2026/1/22")+TIMEVALUE("6:00"),3,0)</f>
        <v>0</v>
      </c>
      <c r="P264" t="str">
        <f t="shared" ref="P264" si="558">IF(L264&lt;N264,"未達成（"&amp;N264-L264&amp;"）",IF(L264=N264,"達成","前倒し（"&amp;L264-N264&amp;"）"))</f>
        <v>未達成（1）</v>
      </c>
      <c r="Q264">
        <f t="shared" ref="Q264" si="559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584</v>
      </c>
      <c r="I265" t="s">
        <v>585</v>
      </c>
      <c r="J265">
        <v>0</v>
      </c>
      <c r="K265">
        <f t="shared" ref="K265" si="560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61">L264+K265</f>
        <v>323</v>
      </c>
      <c r="M265">
        <f t="shared" ref="M265" si="562">2+IF(A265&gt;=DATEVALUE("2025/11/30")+TIMEVALUE("6:00"),1,0)+IF(A265&gt;=DATEVALUE("2025/12/11")+TIMEVALUE("6:00"),1,0)</f>
        <v>4</v>
      </c>
      <c r="N265">
        <f t="shared" ref="N265" si="563">N264+M265*(INT(A265-6/24)-INT(A264-6/24))+O265</f>
        <v>323</v>
      </c>
      <c r="O265">
        <f t="shared" ref="O265" si="564">IF(A265&gt;=DATEVALUE("2025/11/8")+TIMEVALUE("6:00"),1,0)-IF(A264&gt;=DATEVALUE("2025/11/8")+TIMEVALUE("6:00"),1,0)
+IF(A265&gt;=DATEVALUE("2026/1/22")+TIMEVALUE("6:00"),3,0)-IF(A264&gt;=DATEVALUE("2026/1/22")+TIMEVALUE("6:00"),3,0)</f>
        <v>0</v>
      </c>
      <c r="P265" t="str">
        <f t="shared" ref="P265" si="565">IF(L265&lt;N265,"未達成（"&amp;N265-L265&amp;"）",IF(L265=N265,"達成","前倒し（"&amp;L265-N265&amp;"）"))</f>
        <v>達成</v>
      </c>
      <c r="Q265">
        <f t="shared" ref="Q265" si="566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586</v>
      </c>
      <c r="I266" t="s">
        <v>587</v>
      </c>
      <c r="J266">
        <v>0</v>
      </c>
      <c r="K266">
        <f t="shared" ref="K266" si="567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68">L265+K266</f>
        <v>325</v>
      </c>
      <c r="M266">
        <f t="shared" ref="M266" si="569">2+IF(A266&gt;=DATEVALUE("2025/11/30")+TIMEVALUE("6:00"),1,0)+IF(A266&gt;=DATEVALUE("2025/12/11")+TIMEVALUE("6:00"),1,0)</f>
        <v>4</v>
      </c>
      <c r="N266">
        <f t="shared" ref="N266" si="570">N265+M266*(INT(A266-6/24)-INT(A265-6/24))+O266</f>
        <v>327</v>
      </c>
      <c r="O266">
        <f t="shared" ref="O266" si="571">IF(A266&gt;=DATEVALUE("2025/11/8")+TIMEVALUE("6:00"),1,0)-IF(A265&gt;=DATEVALUE("2025/11/8")+TIMEVALUE("6:00"),1,0)
+IF(A266&gt;=DATEVALUE("2026/1/22")+TIMEVALUE("6:00"),3,0)-IF(A265&gt;=DATEVALUE("2026/1/22")+TIMEVALUE("6:00"),3,0)</f>
        <v>0</v>
      </c>
      <c r="P266" t="str">
        <f t="shared" ref="P266" si="572">IF(L266&lt;N266,"未達成（"&amp;N266-L266&amp;"）",IF(L266=N266,"達成","前倒し（"&amp;L266-N266&amp;"）"))</f>
        <v>未達成（2）</v>
      </c>
      <c r="Q266">
        <f t="shared" ref="Q266" si="573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588</v>
      </c>
      <c r="I267" t="s">
        <v>589</v>
      </c>
      <c r="J267">
        <v>0</v>
      </c>
      <c r="K267">
        <f t="shared" ref="K267" si="574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75">L266+K267</f>
        <v>326</v>
      </c>
      <c r="M267">
        <f t="shared" ref="M267" si="576">2+IF(A267&gt;=DATEVALUE("2025/11/30")+TIMEVALUE("6:00"),1,0)+IF(A267&gt;=DATEVALUE("2025/12/11")+TIMEVALUE("6:00"),1,0)</f>
        <v>4</v>
      </c>
      <c r="N267">
        <f t="shared" ref="N267" si="577">N266+M267*(INT(A267-6/24)-INT(A266-6/24))+O267</f>
        <v>327</v>
      </c>
      <c r="O267">
        <f t="shared" ref="O267" si="578">IF(A267&gt;=DATEVALUE("2025/11/8")+TIMEVALUE("6:00"),1,0)-IF(A266&gt;=DATEVALUE("2025/11/8")+TIMEVALUE("6:00"),1,0)
+IF(A267&gt;=DATEVALUE("2026/1/22")+TIMEVALUE("6:00"),3,0)-IF(A266&gt;=DATEVALUE("2026/1/22")+TIMEVALUE("6:00"),3,0)</f>
        <v>0</v>
      </c>
      <c r="P267" t="str">
        <f t="shared" ref="P267" si="579">IF(L267&lt;N267,"未達成（"&amp;N267-L267&amp;"）",IF(L267=N267,"達成","前倒し（"&amp;L267-N267&amp;"）"))</f>
        <v>未達成（1）</v>
      </c>
      <c r="Q267">
        <f t="shared" ref="Q267" si="58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590</v>
      </c>
      <c r="I268" t="s">
        <v>591</v>
      </c>
      <c r="J268">
        <v>0</v>
      </c>
      <c r="K268">
        <f t="shared" ref="K268" si="58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82">L267+K268</f>
        <v>327</v>
      </c>
      <c r="M268">
        <f t="shared" ref="M268" si="583">2+IF(A268&gt;=DATEVALUE("2025/11/30")+TIMEVALUE("6:00"),1,0)+IF(A268&gt;=DATEVALUE("2025/12/11")+TIMEVALUE("6:00"),1,0)</f>
        <v>4</v>
      </c>
      <c r="N268">
        <f t="shared" ref="N268" si="584">N267+M268*(INT(A268-6/24)-INT(A267-6/24))+O268</f>
        <v>327</v>
      </c>
      <c r="O268">
        <f t="shared" ref="O268" si="585">IF(A268&gt;=DATEVALUE("2025/11/8")+TIMEVALUE("6:00"),1,0)-IF(A267&gt;=DATEVALUE("2025/11/8")+TIMEVALUE("6:00"),1,0)
+IF(A268&gt;=DATEVALUE("2026/1/22")+TIMEVALUE("6:00"),3,0)-IF(A267&gt;=DATEVALUE("2026/1/22")+TIMEVALUE("6:00"),3,0)</f>
        <v>0</v>
      </c>
      <c r="P268" t="str">
        <f t="shared" ref="P268" si="586">IF(L268&lt;N268,"未達成（"&amp;N268-L268&amp;"）",IF(L268=N268,"達成","前倒し（"&amp;L268-N268&amp;"）"))</f>
        <v>達成</v>
      </c>
      <c r="Q268">
        <f t="shared" ref="Q268" si="587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592</v>
      </c>
      <c r="I269" t="s">
        <v>593</v>
      </c>
      <c r="J269">
        <v>0</v>
      </c>
      <c r="K269">
        <f t="shared" ref="K269" si="588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89">L268+K269</f>
        <v>328</v>
      </c>
      <c r="M269">
        <f t="shared" ref="M269" si="590">2+IF(A269&gt;=DATEVALUE("2025/11/30")+TIMEVALUE("6:00"),1,0)+IF(A269&gt;=DATEVALUE("2025/12/11")+TIMEVALUE("6:00"),1,0)</f>
        <v>4</v>
      </c>
      <c r="N269">
        <f t="shared" ref="N269" si="591">N268+M269*(INT(A269-6/24)-INT(A268-6/24))+O269</f>
        <v>331</v>
      </c>
      <c r="O269">
        <f t="shared" ref="O269" si="592">IF(A269&gt;=DATEVALUE("2025/11/8")+TIMEVALUE("6:00"),1,0)-IF(A268&gt;=DATEVALUE("2025/11/8")+TIMEVALUE("6:00"),1,0)
+IF(A269&gt;=DATEVALUE("2026/1/22")+TIMEVALUE("6:00"),3,0)-IF(A268&gt;=DATEVALUE("2026/1/22")+TIMEVALUE("6:00"),3,0)</f>
        <v>0</v>
      </c>
      <c r="P269" t="str">
        <f t="shared" ref="P269" si="593">IF(L269&lt;N269,"未達成（"&amp;N269-L269&amp;"）",IF(L269=N269,"達成","前倒し（"&amp;L269-N269&amp;"）"))</f>
        <v>未達成（3）</v>
      </c>
      <c r="Q269">
        <f t="shared" ref="Q269" si="594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594</v>
      </c>
      <c r="I270" t="s">
        <v>595</v>
      </c>
      <c r="J270">
        <v>0</v>
      </c>
      <c r="K270">
        <f t="shared" ref="K270" si="595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96">L269+K270</f>
        <v>330</v>
      </c>
      <c r="M270">
        <f t="shared" ref="M270" si="597">2+IF(A270&gt;=DATEVALUE("2025/11/30")+TIMEVALUE("6:00"),1,0)+IF(A270&gt;=DATEVALUE("2025/12/11")+TIMEVALUE("6:00"),1,0)</f>
        <v>4</v>
      </c>
      <c r="N270">
        <f t="shared" ref="N270" si="598">N269+M270*(INT(A270-6/24)-INT(A269-6/24))+O270</f>
        <v>331</v>
      </c>
      <c r="O270">
        <f t="shared" ref="O270" si="599">IF(A270&gt;=DATEVALUE("2025/11/8")+TIMEVALUE("6:00"),1,0)-IF(A269&gt;=DATEVALUE("2025/11/8")+TIMEVALUE("6:00"),1,0)
+IF(A270&gt;=DATEVALUE("2026/1/22")+TIMEVALUE("6:00"),3,0)-IF(A269&gt;=DATEVALUE("2026/1/22")+TIMEVALUE("6:00"),3,0)</f>
        <v>0</v>
      </c>
      <c r="P270" t="str">
        <f t="shared" ref="P270" si="600">IF(L270&lt;N270,"未達成（"&amp;N270-L270&amp;"）",IF(L270=N270,"達成","前倒し（"&amp;L270-N270&amp;"）"))</f>
        <v>未達成（1）</v>
      </c>
      <c r="Q270">
        <f t="shared" ref="Q270" si="601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596</v>
      </c>
      <c r="I271" t="s">
        <v>597</v>
      </c>
      <c r="J271">
        <v>0</v>
      </c>
      <c r="K271">
        <f t="shared" ref="K271" si="602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603">L270+K271</f>
        <v>331</v>
      </c>
      <c r="M271">
        <f t="shared" ref="M271" si="604">2+IF(A271&gt;=DATEVALUE("2025/11/30")+TIMEVALUE("6:00"),1,0)+IF(A271&gt;=DATEVALUE("2025/12/11")+TIMEVALUE("6:00"),1,0)</f>
        <v>4</v>
      </c>
      <c r="N271">
        <f t="shared" ref="N271" si="605">N270+M271*(INT(A271-6/24)-INT(A270-6/24))+O271</f>
        <v>331</v>
      </c>
      <c r="O271">
        <f t="shared" ref="O271" si="606">IF(A271&gt;=DATEVALUE("2025/11/8")+TIMEVALUE("6:00"),1,0)-IF(A270&gt;=DATEVALUE("2025/11/8")+TIMEVALUE("6:00"),1,0)
+IF(A271&gt;=DATEVALUE("2026/1/22")+TIMEVALUE("6:00"),3,0)-IF(A270&gt;=DATEVALUE("2026/1/22")+TIMEVALUE("6:00"),3,0)</f>
        <v>0</v>
      </c>
      <c r="P271" t="str">
        <f t="shared" ref="P271" si="607">IF(L271&lt;N271,"未達成（"&amp;N271-L271&amp;"）",IF(L271=N271,"達成","前倒し（"&amp;L271-N271&amp;"）"))</f>
        <v>達成</v>
      </c>
      <c r="Q271">
        <f t="shared" ref="Q271" si="608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598</v>
      </c>
      <c r="I272" t="s">
        <v>599</v>
      </c>
      <c r="J272">
        <v>0</v>
      </c>
      <c r="K272">
        <f t="shared" ref="K272" si="609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610">L271+K272</f>
        <v>333</v>
      </c>
      <c r="M272">
        <f t="shared" ref="M272" si="611">2+IF(A272&gt;=DATEVALUE("2025/11/30")+TIMEVALUE("6:00"),1,0)+IF(A272&gt;=DATEVALUE("2025/12/11")+TIMEVALUE("6:00"),1,0)</f>
        <v>4</v>
      </c>
      <c r="N272">
        <f t="shared" ref="N272" si="612">N271+M272*(INT(A272-6/24)-INT(A271-6/24))+O272</f>
        <v>335</v>
      </c>
      <c r="O272">
        <f t="shared" ref="O272" si="613">IF(A272&gt;=DATEVALUE("2025/11/8")+TIMEVALUE("6:00"),1,0)-IF(A271&gt;=DATEVALUE("2025/11/8")+TIMEVALUE("6:00"),1,0)
+IF(A272&gt;=DATEVALUE("2026/1/22")+TIMEVALUE("6:00"),3,0)-IF(A271&gt;=DATEVALUE("2026/1/22")+TIMEVALUE("6:00"),3,0)</f>
        <v>0</v>
      </c>
      <c r="P272" t="str">
        <f t="shared" ref="P272" si="614">IF(L272&lt;N272,"未達成（"&amp;N272-L272&amp;"）",IF(L272=N272,"達成","前倒し（"&amp;L272-N272&amp;"）"))</f>
        <v>未達成（2）</v>
      </c>
      <c r="Q272">
        <f t="shared" ref="Q272" si="615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600</v>
      </c>
      <c r="I273" t="s">
        <v>601</v>
      </c>
      <c r="J273">
        <v>0</v>
      </c>
      <c r="K273">
        <f t="shared" ref="K273" si="616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617">L272+K273</f>
        <v>334</v>
      </c>
      <c r="M273">
        <f t="shared" ref="M273" si="618">2+IF(A273&gt;=DATEVALUE("2025/11/30")+TIMEVALUE("6:00"),1,0)+IF(A273&gt;=DATEVALUE("2025/12/11")+TIMEVALUE("6:00"),1,0)</f>
        <v>4</v>
      </c>
      <c r="N273">
        <f t="shared" ref="N273" si="619">N272+M273*(INT(A273-6/24)-INT(A272-6/24))+O273</f>
        <v>335</v>
      </c>
      <c r="O273">
        <f t="shared" ref="O273" si="620">IF(A273&gt;=DATEVALUE("2025/11/8")+TIMEVALUE("6:00"),1,0)-IF(A272&gt;=DATEVALUE("2025/11/8")+TIMEVALUE("6:00"),1,0)
+IF(A273&gt;=DATEVALUE("2026/1/22")+TIMEVALUE("6:00"),3,0)-IF(A272&gt;=DATEVALUE("2026/1/22")+TIMEVALUE("6:00"),3,0)</f>
        <v>0</v>
      </c>
      <c r="P273" t="str">
        <f t="shared" ref="P273" si="621">IF(L273&lt;N273,"未達成（"&amp;N273-L273&amp;"）",IF(L273=N273,"達成","前倒し（"&amp;L273-N273&amp;"）"))</f>
        <v>未達成（1）</v>
      </c>
      <c r="Q273">
        <f t="shared" ref="Q273" si="622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602</v>
      </c>
      <c r="I274" t="s">
        <v>603</v>
      </c>
      <c r="J274">
        <v>0</v>
      </c>
      <c r="K274">
        <f t="shared" ref="K274" si="623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624">L273+K274</f>
        <v>336</v>
      </c>
      <c r="M274">
        <f t="shared" ref="M274" si="625">2+IF(A274&gt;=DATEVALUE("2025/11/30")+TIMEVALUE("6:00"),1,0)+IF(A274&gt;=DATEVALUE("2025/12/11")+TIMEVALUE("6:00"),1,0)</f>
        <v>4</v>
      </c>
      <c r="N274">
        <f t="shared" ref="N274" si="626">N273+M274*(INT(A274-6/24)-INT(A273-6/24))+O274</f>
        <v>335</v>
      </c>
      <c r="O274">
        <f t="shared" ref="O274" si="627">IF(A274&gt;=DATEVALUE("2025/11/8")+TIMEVALUE("6:00"),1,0)-IF(A273&gt;=DATEVALUE("2025/11/8")+TIMEVALUE("6:00"),1,0)
+IF(A274&gt;=DATEVALUE("2026/1/22")+TIMEVALUE("6:00"),3,0)-IF(A273&gt;=DATEVALUE("2026/1/22")+TIMEVALUE("6:00"),3,0)</f>
        <v>0</v>
      </c>
      <c r="P274" t="str">
        <f t="shared" ref="P274" si="628">IF(L274&lt;N274,"未達成（"&amp;N274-L274&amp;"）",IF(L274=N274,"達成","前倒し（"&amp;L274-N274&amp;"）"))</f>
        <v>前倒し（1）</v>
      </c>
      <c r="Q274">
        <f t="shared" ref="Q274" si="629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604</v>
      </c>
      <c r="I275" t="s">
        <v>605</v>
      </c>
      <c r="J275">
        <v>1</v>
      </c>
      <c r="K275">
        <f t="shared" ref="K275" si="630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631">L274+K275</f>
        <v>336</v>
      </c>
      <c r="M275">
        <f t="shared" ref="M275" si="632">2+IF(A275&gt;=DATEVALUE("2025/11/30")+TIMEVALUE("6:00"),1,0)+IF(A275&gt;=DATEVALUE("2025/12/11")+TIMEVALUE("6:00"),1,0)</f>
        <v>4</v>
      </c>
      <c r="N275">
        <f t="shared" ref="N275" si="633">N274+M275*(INT(A275-6/24)-INT(A274-6/24))+O275</f>
        <v>339</v>
      </c>
      <c r="O275">
        <f t="shared" ref="O275" si="634">IF(A275&gt;=DATEVALUE("2025/11/8")+TIMEVALUE("6:00"),1,0)-IF(A274&gt;=DATEVALUE("2025/11/8")+TIMEVALUE("6:00"),1,0)
+IF(A275&gt;=DATEVALUE("2026/1/22")+TIMEVALUE("6:00"),3,0)-IF(A274&gt;=DATEVALUE("2026/1/22")+TIMEVALUE("6:00"),3,0)</f>
        <v>0</v>
      </c>
      <c r="P275" t="str">
        <f t="shared" ref="P275" si="635">IF(L275&lt;N275,"未達成（"&amp;N275-L275&amp;"）",IF(L275=N275,"達成","前倒し（"&amp;L275-N275&amp;"）"))</f>
        <v>未達成（3）</v>
      </c>
      <c r="Q275" t="e">
        <f t="shared" ref="Q275" si="636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606</v>
      </c>
      <c r="I276" t="s">
        <v>607</v>
      </c>
      <c r="J276">
        <v>0</v>
      </c>
      <c r="K276">
        <f t="shared" ref="K276" si="637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638">L275+K276</f>
        <v>338</v>
      </c>
      <c r="M276">
        <f t="shared" ref="M276" si="639">2+IF(A276&gt;=DATEVALUE("2025/11/30")+TIMEVALUE("6:00"),1,0)+IF(A276&gt;=DATEVALUE("2025/12/11")+TIMEVALUE("6:00"),1,0)</f>
        <v>4</v>
      </c>
      <c r="N276">
        <f t="shared" ref="N276" si="640">N275+M276*(INT(A276-6/24)-INT(A275-6/24))+O276</f>
        <v>339</v>
      </c>
      <c r="O276">
        <f t="shared" ref="O276" si="641">IF(A276&gt;=DATEVALUE("2025/11/8")+TIMEVALUE("6:00"),1,0)-IF(A275&gt;=DATEVALUE("2025/11/8")+TIMEVALUE("6:00"),1,0)
+IF(A276&gt;=DATEVALUE("2026/1/22")+TIMEVALUE("6:00"),3,0)-IF(A275&gt;=DATEVALUE("2026/1/22")+TIMEVALUE("6:00"),3,0)</f>
        <v>0</v>
      </c>
      <c r="P276" t="str">
        <f t="shared" ref="P276" si="642">IF(L276&lt;N276,"未達成（"&amp;N276-L276&amp;"）",IF(L276=N276,"達成","前倒し（"&amp;L276-N276&amp;"）"))</f>
        <v>未達成（1）</v>
      </c>
      <c r="Q276">
        <f t="shared" ref="Q276" si="643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608</v>
      </c>
      <c r="I277" t="s">
        <v>609</v>
      </c>
      <c r="J277">
        <v>0</v>
      </c>
      <c r="K277">
        <f t="shared" ref="K277" si="644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645">L276+K277</f>
        <v>340</v>
      </c>
      <c r="M277">
        <f t="shared" ref="M277" si="646">2+IF(A277&gt;=DATEVALUE("2025/11/30")+TIMEVALUE("6:00"),1,0)+IF(A277&gt;=DATEVALUE("2025/12/11")+TIMEVALUE("6:00"),1,0)</f>
        <v>4</v>
      </c>
      <c r="N277">
        <f t="shared" ref="N277" si="647">N276+M277*(INT(A277-6/24)-INT(A276-6/24))+O277</f>
        <v>339</v>
      </c>
      <c r="O277">
        <f t="shared" ref="O277" si="648">IF(A277&gt;=DATEVALUE("2025/11/8")+TIMEVALUE("6:00"),1,0)-IF(A276&gt;=DATEVALUE("2025/11/8")+TIMEVALUE("6:00"),1,0)
+IF(A277&gt;=DATEVALUE("2026/1/22")+TIMEVALUE("6:00"),3,0)-IF(A276&gt;=DATEVALUE("2026/1/22")+TIMEVALUE("6:00"),3,0)</f>
        <v>0</v>
      </c>
      <c r="P277" t="str">
        <f t="shared" ref="P277" si="649">IF(L277&lt;N277,"未達成（"&amp;N277-L277&amp;"）",IF(L277=N277,"達成","前倒し（"&amp;L277-N277&amp;"）"))</f>
        <v>前倒し（1）</v>
      </c>
      <c r="Q277">
        <f t="shared" ref="Q277" si="650">IF(B277="",NA(),G277)</f>
        <v>3.8888888884685002E-3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46063.472951388889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2026-02-10T02:27:35Z</dcterms:modified>
</cp:coreProperties>
</file>
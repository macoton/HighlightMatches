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D4401CE4-AAE9-42B8-8E20-1BAD7E59488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7" i="4" l="1"/>
  <c r="M97" i="4"/>
  <c r="N97" i="4" s="1"/>
  <c r="K97" i="4"/>
  <c r="L97" i="4" s="1"/>
  <c r="P97" i="4" s="1"/>
  <c r="O96" i="4"/>
  <c r="M96" i="4"/>
  <c r="N96" i="4" s="1"/>
  <c r="K96" i="4"/>
  <c r="L96" i="4" s="1"/>
  <c r="P96" i="4" s="1"/>
  <c r="O95" i="4"/>
  <c r="M95" i="4"/>
  <c r="N95" i="4" s="1"/>
  <c r="K95" i="4"/>
  <c r="L95" i="4" s="1"/>
  <c r="P95" i="4" s="1"/>
  <c r="P94" i="4"/>
  <c r="O94" i="4"/>
  <c r="N94" i="4"/>
  <c r="M94" i="4"/>
  <c r="L94" i="4"/>
  <c r="K94" i="4"/>
  <c r="O93" i="4"/>
  <c r="M93" i="4"/>
  <c r="N93" i="4" s="1"/>
  <c r="K93" i="4"/>
  <c r="L93" i="4" s="1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0" i="4"/>
  <c r="M80" i="4"/>
  <c r="K80" i="4"/>
  <c r="O81" i="4"/>
  <c r="M81" i="4"/>
  <c r="K81" i="4"/>
  <c r="O79" i="4"/>
  <c r="M79" i="4"/>
  <c r="K79" i="4"/>
  <c r="O78" i="4"/>
  <c r="M78" i="4"/>
  <c r="K78" i="4"/>
  <c r="O77" i="4"/>
  <c r="M77" i="4"/>
  <c r="K77" i="4"/>
  <c r="O76" i="4"/>
  <c r="M76" i="4"/>
  <c r="K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K74" i="4"/>
  <c r="K73" i="4"/>
  <c r="P93" i="4" l="1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l="1"/>
  <c r="P17" i="4"/>
  <c r="N18" i="4"/>
  <c r="L78" i="4" l="1"/>
  <c r="N19" i="4"/>
  <c r="P18" i="4"/>
  <c r="L79" i="4" l="1"/>
  <c r="N20" i="4"/>
  <c r="P19" i="4"/>
  <c r="L80" i="4" l="1"/>
  <c r="N21" i="4"/>
  <c r="P20" i="4"/>
  <c r="L81" i="4" l="1"/>
  <c r="N22" i="4"/>
  <c r="P21" i="4"/>
  <c r="L82" i="4" l="1"/>
  <c r="N23" i="4"/>
  <c r="P22" i="4"/>
  <c r="L83" i="4" l="1"/>
  <c r="N24" i="4"/>
  <c r="P23" i="4"/>
  <c r="L84" i="4" l="1"/>
  <c r="N25" i="4"/>
  <c r="P24" i="4"/>
  <c r="L85" i="4" l="1"/>
  <c r="N26" i="4"/>
  <c r="P25" i="4"/>
  <c r="L86" i="4" l="1"/>
  <c r="N27" i="4"/>
  <c r="P26" i="4"/>
  <c r="L87" i="4" l="1"/>
  <c r="N28" i="4"/>
  <c r="P27" i="4"/>
  <c r="L88" i="4" l="1"/>
  <c r="N29" i="4"/>
  <c r="P28" i="4"/>
  <c r="L89" i="4" l="1"/>
  <c r="N30" i="4"/>
  <c r="P29" i="4"/>
  <c r="L90" i="4" l="1"/>
  <c r="N31" i="4"/>
  <c r="P30" i="4"/>
  <c r="L91" i="4" l="1"/>
  <c r="N32" i="4"/>
  <c r="P31" i="4"/>
  <c r="L92" i="4" l="1"/>
  <c r="N33" i="4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l="1"/>
  <c r="N76" i="4"/>
  <c r="N77" i="4" l="1"/>
  <c r="P76" i="4"/>
  <c r="N78" i="4" l="1"/>
  <c r="P77" i="4"/>
  <c r="N79" i="4" l="1"/>
  <c r="P78" i="4"/>
  <c r="N80" i="4" l="1"/>
  <c r="P79" i="4"/>
  <c r="N81" i="4" l="1"/>
  <c r="P80" i="4"/>
  <c r="N82" i="4" l="1"/>
  <c r="P81" i="4"/>
  <c r="N83" i="4" l="1"/>
  <c r="P82" i="4"/>
  <c r="N84" i="4" l="1"/>
  <c r="P83" i="4"/>
  <c r="N85" i="4" l="1"/>
  <c r="P84" i="4"/>
  <c r="N86" i="4" l="1"/>
  <c r="P85" i="4"/>
  <c r="N87" i="4" l="1"/>
  <c r="P86" i="4"/>
  <c r="N88" i="4" l="1"/>
  <c r="P87" i="4"/>
  <c r="N89" i="4" l="1"/>
  <c r="P88" i="4"/>
  <c r="N90" i="4" l="1"/>
  <c r="P89" i="4"/>
  <c r="N91" i="4" l="1"/>
  <c r="P90" i="4"/>
  <c r="N92" i="4" l="1"/>
  <c r="P91" i="4"/>
  <c r="P92" i="4" l="1"/>
</calcChain>
</file>

<file path=xl/sharedStrings.xml><?xml version="1.0" encoding="utf-8"?>
<sst xmlns="http://schemas.openxmlformats.org/spreadsheetml/2006/main" count="271" uniqueCount="252">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</sst>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データ!$P$1:$P$96</c:f>
              <c:strCache>
                <c:ptCount val="96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データ!$A$2:$A$97</c:f>
              <c:numCache>
                <c:formatCode>m/d/yyyy\ h:mm</c:formatCode>
                <c:ptCount val="9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</c:numCache>
            </c:numRef>
          </c:xVal>
          <c:yVal>
            <c:numRef>
              <c:f>データ!$B$2:$B$97</c:f>
              <c:numCache>
                <c:formatCode>General</c:formatCode>
                <c:ptCount val="9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0B-4F41-B2FF-3F578F6F680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C0B-4F41-B2FF-3F578F6F6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455120"/>
        <c:axId val="65046424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データ!$A$2:$A$97</c:f>
              <c:numCache>
                <c:formatCode>m/d/yyyy\ h:mm</c:formatCode>
                <c:ptCount val="9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</c:numCache>
            </c:numRef>
          </c:xVal>
          <c:yVal>
            <c:numRef>
              <c:f>データ!$G$2:$G$97</c:f>
              <c:numCache>
                <c:formatCode>[h]:mm</c:formatCode>
                <c:ptCount val="9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B-4F41-B2FF-3F578F6F6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468080"/>
        <c:axId val="650465200"/>
      </c:scatterChart>
      <c:valAx>
        <c:axId val="65045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464240"/>
        <c:crosses val="autoZero"/>
        <c:crossBetween val="midCat"/>
      </c:valAx>
      <c:valAx>
        <c:axId val="65046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455120"/>
        <c:crosses val="autoZero"/>
        <c:crossBetween val="midCat"/>
      </c:valAx>
      <c:valAx>
        <c:axId val="6504652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468080"/>
        <c:crosses val="max"/>
        <c:crossBetween val="midCat"/>
      </c:valAx>
      <c:valAx>
        <c:axId val="6504680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4652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BBCBF560-D050-7045-44E7-8078993FF117}"/>
            </a:ext>
          </a:extLst>
        </xdr:cNvPr>
        <xdr:cNvCxnSpPr/>
      </xdr:nvCxnSpPr>
      <xdr:spPr>
        <a:xfrm flipH="1">
          <a:off x="3178969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8684915E-A50B-4AA4-0107-440CB76676C8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0</xdr:row>
      <xdr:rowOff>203994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A73C0574-1B11-809D-34EB-1834EF9B8873}"/>
            </a:ext>
          </a:extLst>
        </xdr:cNvPr>
        <xdr:cNvCxnSpPr/>
      </xdr:nvCxnSpPr>
      <xdr:spPr>
        <a:xfrm flipH="1">
          <a:off x="150891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7" name="Match3">
          <a:extLst>
            <a:ext uri="{FF2B5EF4-FFF2-40B4-BE49-F238E27FC236}">
              <a16:creationId xmlns:a16="http://schemas.microsoft.com/office/drawing/2014/main" id="{16E20C97-AAF7-6AA8-46F8-785DF855317D}"/>
            </a:ext>
          </a:extLst>
        </xdr:cNvPr>
        <xdr:cNvCxnSpPr/>
      </xdr:nvCxnSpPr>
      <xdr:spPr>
        <a:xfrm>
          <a:off x="233124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8" name="Match4">
          <a:extLst>
            <a:ext uri="{FF2B5EF4-FFF2-40B4-BE49-F238E27FC236}">
              <a16:creationId xmlns:a16="http://schemas.microsoft.com/office/drawing/2014/main" id="{224E3CE5-5E50-B7FC-C047-B3988636CA23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9" name="Match5">
          <a:extLst>
            <a:ext uri="{FF2B5EF4-FFF2-40B4-BE49-F238E27FC236}">
              <a16:creationId xmlns:a16="http://schemas.microsoft.com/office/drawing/2014/main" id="{121ED972-DA1C-91DA-0AE4-110BA1976CB6}"/>
            </a:ext>
          </a:extLst>
        </xdr:cNvPr>
        <xdr:cNvCxnSpPr/>
      </xdr:nvCxnSpPr>
      <xdr:spPr>
        <a:xfrm flipV="1"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0" name="Match6">
          <a:extLst>
            <a:ext uri="{FF2B5EF4-FFF2-40B4-BE49-F238E27FC236}">
              <a16:creationId xmlns:a16="http://schemas.microsoft.com/office/drawing/2014/main" id="{77622978-C107-E8FB-B010-AB57734DCB3F}"/>
            </a:ext>
          </a:extLst>
        </xdr:cNvPr>
        <xdr:cNvCxnSpPr/>
      </xdr:nvCxnSpPr>
      <xdr:spPr>
        <a:xfrm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1" name="Match7">
          <a:extLst>
            <a:ext uri="{FF2B5EF4-FFF2-40B4-BE49-F238E27FC236}">
              <a16:creationId xmlns:a16="http://schemas.microsoft.com/office/drawing/2014/main" id="{CF7492C5-85C8-3F34-02C8-444D23D1296D}"/>
            </a:ext>
          </a:extLst>
        </xdr:cNvPr>
        <xdr:cNvCxnSpPr/>
      </xdr:nvCxnSpPr>
      <xdr:spPr>
        <a:xfrm>
          <a:off x="36028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2" name="Match8">
          <a:extLst>
            <a:ext uri="{FF2B5EF4-FFF2-40B4-BE49-F238E27FC236}">
              <a16:creationId xmlns:a16="http://schemas.microsoft.com/office/drawing/2014/main" id="{992E6DDF-9149-2D33-8926-DAEA142403CD}"/>
            </a:ext>
          </a:extLst>
        </xdr:cNvPr>
        <xdr:cNvCxnSpPr/>
      </xdr:nvCxnSpPr>
      <xdr:spPr>
        <a:xfrm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3" name="Match9">
          <a:extLst>
            <a:ext uri="{FF2B5EF4-FFF2-40B4-BE49-F238E27FC236}">
              <a16:creationId xmlns:a16="http://schemas.microsoft.com/office/drawing/2014/main" id="{04F4FA63-23EF-9265-9843-1345AD30BC14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14" name="Match10">
          <a:extLst>
            <a:ext uri="{FF2B5EF4-FFF2-40B4-BE49-F238E27FC236}">
              <a16:creationId xmlns:a16="http://schemas.microsoft.com/office/drawing/2014/main" id="{982E9A44-2893-4A82-95F7-130C9FF0C052}"/>
            </a:ext>
          </a:extLst>
        </xdr:cNvPr>
        <xdr:cNvCxnSpPr/>
      </xdr:nvCxnSpPr>
      <xdr:spPr>
        <a:xfrm flipH="1">
          <a:off x="66119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5" name="Match11">
          <a:extLst>
            <a:ext uri="{FF2B5EF4-FFF2-40B4-BE49-F238E27FC236}">
              <a16:creationId xmlns:a16="http://schemas.microsoft.com/office/drawing/2014/main" id="{927FA87E-1C5F-1F39-67D4-836B497B7E1F}"/>
            </a:ext>
          </a:extLst>
        </xdr:cNvPr>
        <xdr:cNvCxnSpPr/>
      </xdr:nvCxnSpPr>
      <xdr:spPr>
        <a:xfrm flipH="1" flipV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6" name="Match12">
          <a:extLst>
            <a:ext uri="{FF2B5EF4-FFF2-40B4-BE49-F238E27FC236}">
              <a16:creationId xmlns:a16="http://schemas.microsoft.com/office/drawing/2014/main" id="{80AAC8C4-D7F0-A5FF-E819-E8D2777F475A}"/>
            </a:ext>
          </a:extLst>
        </xdr:cNvPr>
        <xdr:cNvCxnSpPr/>
      </xdr:nvCxnSpPr>
      <xdr:spPr>
        <a:xfrm flipH="1" flipV="1">
          <a:off x="317896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7" name="Match13">
          <a:extLst>
            <a:ext uri="{FF2B5EF4-FFF2-40B4-BE49-F238E27FC236}">
              <a16:creationId xmlns:a16="http://schemas.microsoft.com/office/drawing/2014/main" id="{DC9F504A-B496-48F2-45D2-7DA0969EA646}"/>
            </a:ext>
          </a:extLst>
        </xdr:cNvPr>
        <xdr:cNvCxnSpPr/>
      </xdr:nvCxnSpPr>
      <xdr:spPr>
        <a:xfrm>
          <a:off x="6357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2</xdr:col>
      <xdr:colOff>237331</xdr:colOff>
      <xdr:row>11</xdr:row>
      <xdr:rowOff>203993</xdr:rowOff>
    </xdr:to>
    <xdr:cxnSp macro="">
      <xdr:nvCxnSpPr>
        <xdr:cNvPr id="18" name="Match14">
          <a:extLst>
            <a:ext uri="{FF2B5EF4-FFF2-40B4-BE49-F238E27FC236}">
              <a16:creationId xmlns:a16="http://schemas.microsoft.com/office/drawing/2014/main" id="{6282DC24-167E-62AE-BD0B-3B1C84E003ED}"/>
            </a:ext>
          </a:extLst>
        </xdr:cNvPr>
        <xdr:cNvCxnSpPr/>
      </xdr:nvCxnSpPr>
      <xdr:spPr>
        <a:xfrm>
          <a:off x="6611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9" name="Match15">
          <a:extLst>
            <a:ext uri="{FF2B5EF4-FFF2-40B4-BE49-F238E27FC236}">
              <a16:creationId xmlns:a16="http://schemas.microsoft.com/office/drawing/2014/main" id="{82A46758-47A9-7AF0-DCCC-44D207D1B450}"/>
            </a:ext>
          </a:extLst>
        </xdr:cNvPr>
        <xdr:cNvCxnSpPr/>
      </xdr:nvCxnSpPr>
      <xdr:spPr>
        <a:xfrm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20" name="Match16">
          <a:extLst>
            <a:ext uri="{FF2B5EF4-FFF2-40B4-BE49-F238E27FC236}">
              <a16:creationId xmlns:a16="http://schemas.microsoft.com/office/drawing/2014/main" id="{ED6454A1-2F0C-D643-6717-A7AC6B80FB66}"/>
            </a:ext>
          </a:extLst>
        </xdr:cNvPr>
        <xdr:cNvCxnSpPr/>
      </xdr:nvCxnSpPr>
      <xdr:spPr>
        <a:xfrm>
          <a:off x="211931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21" name="Match17">
          <a:extLst>
            <a:ext uri="{FF2B5EF4-FFF2-40B4-BE49-F238E27FC236}">
              <a16:creationId xmlns:a16="http://schemas.microsoft.com/office/drawing/2014/main" id="{BC7B856F-323B-C4BD-F48D-E98DA1CE82F3}"/>
            </a:ext>
          </a:extLst>
        </xdr:cNvPr>
        <xdr:cNvCxnSpPr/>
      </xdr:nvCxnSpPr>
      <xdr:spPr>
        <a:xfrm flipH="1"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22" name="Match18">
          <a:extLst>
            <a:ext uri="{FF2B5EF4-FFF2-40B4-BE49-F238E27FC236}">
              <a16:creationId xmlns:a16="http://schemas.microsoft.com/office/drawing/2014/main" id="{BEAEA4E3-F935-33D5-5036-9C1CA7E81918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23" name="Match19">
          <a:extLst>
            <a:ext uri="{FF2B5EF4-FFF2-40B4-BE49-F238E27FC236}">
              <a16:creationId xmlns:a16="http://schemas.microsoft.com/office/drawing/2014/main" id="{1F28431D-835C-742E-1332-45471BF3171A}"/>
            </a:ext>
          </a:extLst>
        </xdr:cNvPr>
        <xdr:cNvCxnSpPr/>
      </xdr:nvCxnSpPr>
      <xdr:spPr>
        <a:xfrm flipV="1"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24" name="Match20">
          <a:extLst>
            <a:ext uri="{FF2B5EF4-FFF2-40B4-BE49-F238E27FC236}">
              <a16:creationId xmlns:a16="http://schemas.microsoft.com/office/drawing/2014/main" id="{DD6F2EDD-E3D8-8374-17FB-10BFEA333CAA}"/>
            </a:ext>
          </a:extLst>
        </xdr:cNvPr>
        <xdr:cNvCxnSpPr/>
      </xdr:nvCxnSpPr>
      <xdr:spPr>
        <a:xfrm flipH="1" flipV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25" name="Match21">
          <a:extLst>
            <a:ext uri="{FF2B5EF4-FFF2-40B4-BE49-F238E27FC236}">
              <a16:creationId xmlns:a16="http://schemas.microsoft.com/office/drawing/2014/main" id="{6E3EC297-DF90-C32F-5459-09F97D100566}"/>
            </a:ext>
          </a:extLst>
        </xdr:cNvPr>
        <xdr:cNvCxnSpPr/>
      </xdr:nvCxnSpPr>
      <xdr:spPr>
        <a:xfrm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26" name="Match22">
          <a:extLst>
            <a:ext uri="{FF2B5EF4-FFF2-40B4-BE49-F238E27FC236}">
              <a16:creationId xmlns:a16="http://schemas.microsoft.com/office/drawing/2014/main" id="{A574B591-B3FF-59DF-93E1-F35D1ACB5700}"/>
            </a:ext>
          </a:extLst>
        </xdr:cNvPr>
        <xdr:cNvCxnSpPr/>
      </xdr:nvCxnSpPr>
      <xdr:spPr>
        <a:xfrm flipV="1">
          <a:off x="40520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27" name="Match23">
          <a:extLst>
            <a:ext uri="{FF2B5EF4-FFF2-40B4-BE49-F238E27FC236}">
              <a16:creationId xmlns:a16="http://schemas.microsoft.com/office/drawing/2014/main" id="{18497B47-EC18-9170-9422-2A8AEC58C987}"/>
            </a:ext>
          </a:extLst>
        </xdr:cNvPr>
        <xdr:cNvCxnSpPr/>
      </xdr:nvCxnSpPr>
      <xdr:spPr>
        <a:xfrm flipH="1"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8" name="Match24">
          <a:extLst>
            <a:ext uri="{FF2B5EF4-FFF2-40B4-BE49-F238E27FC236}">
              <a16:creationId xmlns:a16="http://schemas.microsoft.com/office/drawing/2014/main" id="{41937E98-1553-8AA4-2758-F2DE4650EF96}"/>
            </a:ext>
          </a:extLst>
        </xdr:cNvPr>
        <xdr:cNvCxnSpPr/>
      </xdr:nvCxnSpPr>
      <xdr:spPr>
        <a:xfrm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29" name="Match25">
          <a:extLst>
            <a:ext uri="{FF2B5EF4-FFF2-40B4-BE49-F238E27FC236}">
              <a16:creationId xmlns:a16="http://schemas.microsoft.com/office/drawing/2014/main" id="{9B24E89E-EE1D-41CC-C1E4-3A3EC56D4952}"/>
            </a:ext>
          </a:extLst>
        </xdr:cNvPr>
        <xdr:cNvCxnSpPr/>
      </xdr:nvCxnSpPr>
      <xdr:spPr>
        <a:xfrm flipH="1">
          <a:off x="1059656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30" name="Match26">
          <a:extLst>
            <a:ext uri="{FF2B5EF4-FFF2-40B4-BE49-F238E27FC236}">
              <a16:creationId xmlns:a16="http://schemas.microsoft.com/office/drawing/2014/main" id="{3B963C1E-D2A2-2281-52FA-9F75CB5F96CC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31" name="Match27">
          <a:extLst>
            <a:ext uri="{FF2B5EF4-FFF2-40B4-BE49-F238E27FC236}">
              <a16:creationId xmlns:a16="http://schemas.microsoft.com/office/drawing/2014/main" id="{57694595-69CF-D956-1326-F3A1A70C5A41}"/>
            </a:ext>
          </a:extLst>
        </xdr:cNvPr>
        <xdr:cNvCxnSpPr/>
      </xdr:nvCxnSpPr>
      <xdr:spPr>
        <a:xfrm flipV="1">
          <a:off x="278050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32" name="Match28">
          <a:extLst>
            <a:ext uri="{FF2B5EF4-FFF2-40B4-BE49-F238E27FC236}">
              <a16:creationId xmlns:a16="http://schemas.microsoft.com/office/drawing/2014/main" id="{9F3C2E4C-3962-433B-8AB2-134712E2BF69}"/>
            </a:ext>
          </a:extLst>
        </xdr:cNvPr>
        <xdr:cNvCxnSpPr/>
      </xdr:nvCxnSpPr>
      <xdr:spPr>
        <a:xfrm flipH="1"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33" name="Match29">
          <a:extLst>
            <a:ext uri="{FF2B5EF4-FFF2-40B4-BE49-F238E27FC236}">
              <a16:creationId xmlns:a16="http://schemas.microsoft.com/office/drawing/2014/main" id="{411B543C-C9EC-7029-C50B-51AFC5E08172}"/>
            </a:ext>
          </a:extLst>
        </xdr:cNvPr>
        <xdr:cNvCxnSpPr/>
      </xdr:nvCxnSpPr>
      <xdr:spPr>
        <a:xfrm flipV="1">
          <a:off x="108505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34" name="Match30">
          <a:extLst>
            <a:ext uri="{FF2B5EF4-FFF2-40B4-BE49-F238E27FC236}">
              <a16:creationId xmlns:a16="http://schemas.microsoft.com/office/drawing/2014/main" id="{1F07FC6E-6683-6CAB-4062-19384B1D0D79}"/>
            </a:ext>
          </a:extLst>
        </xdr:cNvPr>
        <xdr:cNvCxnSpPr/>
      </xdr:nvCxnSpPr>
      <xdr:spPr>
        <a:xfrm>
          <a:off x="190738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35" name="Match31">
          <a:extLst>
            <a:ext uri="{FF2B5EF4-FFF2-40B4-BE49-F238E27FC236}">
              <a16:creationId xmlns:a16="http://schemas.microsoft.com/office/drawing/2014/main" id="{07088CC6-9060-D902-6816-53077BABBB4A}"/>
            </a:ext>
          </a:extLst>
        </xdr:cNvPr>
        <xdr:cNvCxnSpPr/>
      </xdr:nvCxnSpPr>
      <xdr:spPr>
        <a:xfrm flipH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36" name="Match32">
          <a:extLst>
            <a:ext uri="{FF2B5EF4-FFF2-40B4-BE49-F238E27FC236}">
              <a16:creationId xmlns:a16="http://schemas.microsoft.com/office/drawing/2014/main" id="{55D24AD4-2531-721C-2DA1-EBF4224AC4FF}"/>
            </a:ext>
          </a:extLst>
        </xdr:cNvPr>
        <xdr:cNvCxnSpPr/>
      </xdr:nvCxnSpPr>
      <xdr:spPr>
        <a:xfrm flipH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9</xdr:row>
      <xdr:rowOff>203993</xdr:rowOff>
    </xdr:to>
    <xdr:cxnSp macro="">
      <xdr:nvCxnSpPr>
        <xdr:cNvPr id="37" name="Match33">
          <a:extLst>
            <a:ext uri="{FF2B5EF4-FFF2-40B4-BE49-F238E27FC236}">
              <a16:creationId xmlns:a16="http://schemas.microsoft.com/office/drawing/2014/main" id="{202CB576-5090-DA3B-9864-B858648A5878}"/>
            </a:ext>
          </a:extLst>
        </xdr:cNvPr>
        <xdr:cNvCxnSpPr/>
      </xdr:nvCxnSpPr>
      <xdr:spPr>
        <a:xfrm flipH="1">
          <a:off x="237331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1</xdr:col>
      <xdr:colOff>262731</xdr:colOff>
      <xdr:row>9</xdr:row>
      <xdr:rowOff>229393</xdr:rowOff>
    </xdr:to>
    <xdr:cxnSp macro="">
      <xdr:nvCxnSpPr>
        <xdr:cNvPr id="38" name="Match34">
          <a:extLst>
            <a:ext uri="{FF2B5EF4-FFF2-40B4-BE49-F238E27FC236}">
              <a16:creationId xmlns:a16="http://schemas.microsoft.com/office/drawing/2014/main" id="{9D24D6F9-E3A3-6973-7B4F-58D991AA5B9D}"/>
            </a:ext>
          </a:extLst>
        </xdr:cNvPr>
        <xdr:cNvCxnSpPr/>
      </xdr:nvCxnSpPr>
      <xdr:spPr>
        <a:xfrm flipV="1">
          <a:off x="686594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39" name="Match35">
          <a:extLst>
            <a:ext uri="{FF2B5EF4-FFF2-40B4-BE49-F238E27FC236}">
              <a16:creationId xmlns:a16="http://schemas.microsoft.com/office/drawing/2014/main" id="{D5E0B4A9-0534-2465-78B7-40480176FB7C}"/>
            </a:ext>
          </a:extLst>
        </xdr:cNvPr>
        <xdr:cNvCxnSpPr/>
      </xdr:nvCxnSpPr>
      <xdr:spPr>
        <a:xfrm flipH="1">
          <a:off x="233124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11</xdr:col>
      <xdr:colOff>237331</xdr:colOff>
      <xdr:row>5</xdr:row>
      <xdr:rowOff>203993</xdr:rowOff>
    </xdr:to>
    <xdr:cxnSp macro="">
      <xdr:nvCxnSpPr>
        <xdr:cNvPr id="40" name="Match36">
          <a:extLst>
            <a:ext uri="{FF2B5EF4-FFF2-40B4-BE49-F238E27FC236}">
              <a16:creationId xmlns:a16="http://schemas.microsoft.com/office/drawing/2014/main" id="{1E6E3BF0-0DFE-081C-3DBE-1E3EAFAE0704}"/>
            </a:ext>
          </a:extLst>
        </xdr:cNvPr>
        <xdr:cNvCxnSpPr/>
      </xdr:nvCxnSpPr>
      <xdr:spPr>
        <a:xfrm>
          <a:off x="3628231" y="1989931"/>
          <a:ext cx="1271588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41" name="Match37">
          <a:extLst>
            <a:ext uri="{FF2B5EF4-FFF2-40B4-BE49-F238E27FC236}">
              <a16:creationId xmlns:a16="http://schemas.microsoft.com/office/drawing/2014/main" id="{D4EE9B7D-5B85-B5E5-D243-31DE23AC6DF1}"/>
            </a:ext>
          </a:extLst>
        </xdr:cNvPr>
        <xdr:cNvCxnSpPr/>
      </xdr:nvCxnSpPr>
      <xdr:spPr>
        <a:xfrm flipV="1">
          <a:off x="2331244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42" name="Match38">
          <a:extLst>
            <a:ext uri="{FF2B5EF4-FFF2-40B4-BE49-F238E27FC236}">
              <a16:creationId xmlns:a16="http://schemas.microsoft.com/office/drawing/2014/main" id="{5CEBA2C1-9A79-B588-E9B1-0E2305E3341C}"/>
            </a:ext>
          </a:extLst>
        </xdr:cNvPr>
        <xdr:cNvCxnSpPr/>
      </xdr:nvCxnSpPr>
      <xdr:spPr>
        <a:xfrm flipH="1">
          <a:off x="1907381" y="12501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43" name="Match39">
          <a:extLst>
            <a:ext uri="{FF2B5EF4-FFF2-40B4-BE49-F238E27FC236}">
              <a16:creationId xmlns:a16="http://schemas.microsoft.com/office/drawing/2014/main" id="{44E0E84F-EC4C-DFDB-7589-5A294743AF05}"/>
            </a:ext>
          </a:extLst>
        </xdr:cNvPr>
        <xdr:cNvCxnSpPr/>
      </xdr:nvCxnSpPr>
      <xdr:spPr>
        <a:xfrm>
          <a:off x="3178969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44" name="Match40">
          <a:extLst>
            <a:ext uri="{FF2B5EF4-FFF2-40B4-BE49-F238E27FC236}">
              <a16:creationId xmlns:a16="http://schemas.microsoft.com/office/drawing/2014/main" id="{555D51B6-C2BB-D652-7AF3-B820D2A43D54}"/>
            </a:ext>
          </a:extLst>
        </xdr:cNvPr>
        <xdr:cNvCxnSpPr/>
      </xdr:nvCxnSpPr>
      <xdr:spPr>
        <a:xfrm flipH="1"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45" name="Match41">
          <a:extLst>
            <a:ext uri="{FF2B5EF4-FFF2-40B4-BE49-F238E27FC236}">
              <a16:creationId xmlns:a16="http://schemas.microsoft.com/office/drawing/2014/main" id="{B7D22AA3-73CB-B19C-B263-B293810BAC6F}"/>
            </a:ext>
          </a:extLst>
        </xdr:cNvPr>
        <xdr:cNvCxnSpPr/>
      </xdr:nvCxnSpPr>
      <xdr:spPr>
        <a:xfrm flipH="1" flipV="1"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46" name="Match42">
          <a:extLst>
            <a:ext uri="{FF2B5EF4-FFF2-40B4-BE49-F238E27FC236}">
              <a16:creationId xmlns:a16="http://schemas.microsoft.com/office/drawing/2014/main" id="{5131AD67-6CF7-9266-140D-4676636E264C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47" name="Match43">
          <a:extLst>
            <a:ext uri="{FF2B5EF4-FFF2-40B4-BE49-F238E27FC236}">
              <a16:creationId xmlns:a16="http://schemas.microsoft.com/office/drawing/2014/main" id="{E27D7BEC-80AD-3409-6586-00FFE2CD13B2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48" name="Match44">
          <a:extLst>
            <a:ext uri="{FF2B5EF4-FFF2-40B4-BE49-F238E27FC236}">
              <a16:creationId xmlns:a16="http://schemas.microsoft.com/office/drawing/2014/main" id="{99464088-495F-A39C-9B92-25ECA3B929D5}"/>
            </a:ext>
          </a:extLst>
        </xdr:cNvPr>
        <xdr:cNvCxnSpPr/>
      </xdr:nvCxnSpPr>
      <xdr:spPr>
        <a:xfrm flipV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49" name="Match45">
          <a:extLst>
            <a:ext uri="{FF2B5EF4-FFF2-40B4-BE49-F238E27FC236}">
              <a16:creationId xmlns:a16="http://schemas.microsoft.com/office/drawing/2014/main" id="{DD401EF7-2A28-0044-0CAB-133D867AA544}"/>
            </a:ext>
          </a:extLst>
        </xdr:cNvPr>
        <xdr:cNvCxnSpPr/>
      </xdr:nvCxnSpPr>
      <xdr:spPr>
        <a:xfrm flipH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50" name="Match46">
          <a:extLst>
            <a:ext uri="{FF2B5EF4-FFF2-40B4-BE49-F238E27FC236}">
              <a16:creationId xmlns:a16="http://schemas.microsoft.com/office/drawing/2014/main" id="{4FCC43C1-6770-089B-FAF6-BA14E6A606CD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51" name="Match47">
          <a:extLst>
            <a:ext uri="{FF2B5EF4-FFF2-40B4-BE49-F238E27FC236}">
              <a16:creationId xmlns:a16="http://schemas.microsoft.com/office/drawing/2014/main" id="{2151DBEE-9235-8BC7-9854-16B8C793848D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52" name="Match48">
          <a:extLst>
            <a:ext uri="{FF2B5EF4-FFF2-40B4-BE49-F238E27FC236}">
              <a16:creationId xmlns:a16="http://schemas.microsoft.com/office/drawing/2014/main" id="{3C6C2E3D-53AC-7401-3DBE-34FD0B4EC077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53" name="Match49">
          <a:extLst>
            <a:ext uri="{FF2B5EF4-FFF2-40B4-BE49-F238E27FC236}">
              <a16:creationId xmlns:a16="http://schemas.microsoft.com/office/drawing/2014/main" id="{CE790435-753C-A5F6-CB85-267E809BC46F}"/>
            </a:ext>
          </a:extLst>
        </xdr:cNvPr>
        <xdr:cNvCxnSpPr/>
      </xdr:nvCxnSpPr>
      <xdr:spPr>
        <a:xfrm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54" name="Match50">
          <a:extLst>
            <a:ext uri="{FF2B5EF4-FFF2-40B4-BE49-F238E27FC236}">
              <a16:creationId xmlns:a16="http://schemas.microsoft.com/office/drawing/2014/main" id="{3520EF8D-51FC-C6B5-8852-6A76DF38F361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55" name="Match51">
          <a:extLst>
            <a:ext uri="{FF2B5EF4-FFF2-40B4-BE49-F238E27FC236}">
              <a16:creationId xmlns:a16="http://schemas.microsoft.com/office/drawing/2014/main" id="{FA0D4CDB-249E-5252-7B2C-A1366AE8D091}"/>
            </a:ext>
          </a:extLst>
        </xdr:cNvPr>
        <xdr:cNvCxnSpPr/>
      </xdr:nvCxnSpPr>
      <xdr:spPr>
        <a:xfrm>
          <a:off x="211931" y="1964531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56" name="Match52">
          <a:extLst>
            <a:ext uri="{FF2B5EF4-FFF2-40B4-BE49-F238E27FC236}">
              <a16:creationId xmlns:a16="http://schemas.microsoft.com/office/drawing/2014/main" id="{BFA552B8-A556-9E16-25D2-187C5D43C1BB}"/>
            </a:ext>
          </a:extLst>
        </xdr:cNvPr>
        <xdr:cNvCxnSpPr/>
      </xdr:nvCxnSpPr>
      <xdr:spPr>
        <a:xfrm flipH="1" flipV="1">
          <a:off x="233124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11</xdr:row>
      <xdr:rowOff>203993</xdr:rowOff>
    </xdr:to>
    <xdr:cxnSp macro="">
      <xdr:nvCxnSpPr>
        <xdr:cNvPr id="57" name="Match53">
          <a:extLst>
            <a:ext uri="{FF2B5EF4-FFF2-40B4-BE49-F238E27FC236}">
              <a16:creationId xmlns:a16="http://schemas.microsoft.com/office/drawing/2014/main" id="{EF393B40-288B-033C-1051-75C6DF8644E2}"/>
            </a:ext>
          </a:extLst>
        </xdr:cNvPr>
        <xdr:cNvCxnSpPr/>
      </xdr:nvCxnSpPr>
      <xdr:spPr>
        <a:xfrm>
          <a:off x="237331" y="341868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58" name="Match54">
          <a:extLst>
            <a:ext uri="{FF2B5EF4-FFF2-40B4-BE49-F238E27FC236}">
              <a16:creationId xmlns:a16="http://schemas.microsoft.com/office/drawing/2014/main" id="{55D00CC6-63EF-C062-82A1-CE7962A4EE70}"/>
            </a:ext>
          </a:extLst>
        </xdr:cNvPr>
        <xdr:cNvCxnSpPr/>
      </xdr:nvCxnSpPr>
      <xdr:spPr>
        <a:xfrm>
          <a:off x="2755106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59" name="Match55">
          <a:extLst>
            <a:ext uri="{FF2B5EF4-FFF2-40B4-BE49-F238E27FC236}">
              <a16:creationId xmlns:a16="http://schemas.microsoft.com/office/drawing/2014/main" id="{EDB63F8D-A26C-C5BF-5EF7-10444CDCE910}"/>
            </a:ext>
          </a:extLst>
        </xdr:cNvPr>
        <xdr:cNvCxnSpPr/>
      </xdr:nvCxnSpPr>
      <xdr:spPr>
        <a:xfrm flipH="1">
          <a:off x="3602831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60" name="Match56">
          <a:extLst>
            <a:ext uri="{FF2B5EF4-FFF2-40B4-BE49-F238E27FC236}">
              <a16:creationId xmlns:a16="http://schemas.microsoft.com/office/drawing/2014/main" id="{AEE5A76E-F131-8B04-9448-C65631D87038}"/>
            </a:ext>
          </a:extLst>
        </xdr:cNvPr>
        <xdr:cNvCxnSpPr/>
      </xdr:nvCxnSpPr>
      <xdr:spPr>
        <a:xfrm flipH="1">
          <a:off x="233124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61" name="Match57">
          <a:extLst>
            <a:ext uri="{FF2B5EF4-FFF2-40B4-BE49-F238E27FC236}">
              <a16:creationId xmlns:a16="http://schemas.microsoft.com/office/drawing/2014/main" id="{056000E5-139C-BF78-5326-A1FB9CDDC326}"/>
            </a:ext>
          </a:extLst>
        </xdr:cNvPr>
        <xdr:cNvCxnSpPr/>
      </xdr:nvCxnSpPr>
      <xdr:spPr>
        <a:xfrm>
          <a:off x="1059656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62" name="Match58">
          <a:extLst>
            <a:ext uri="{FF2B5EF4-FFF2-40B4-BE49-F238E27FC236}">
              <a16:creationId xmlns:a16="http://schemas.microsoft.com/office/drawing/2014/main" id="{9A8427CC-0C83-E541-09FA-48751F8335BC}"/>
            </a:ext>
          </a:extLst>
        </xdr:cNvPr>
        <xdr:cNvCxnSpPr/>
      </xdr:nvCxnSpPr>
      <xdr:spPr>
        <a:xfrm flipH="1" flipV="1">
          <a:off x="237331" y="91836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63" name="Match59">
          <a:extLst>
            <a:ext uri="{FF2B5EF4-FFF2-40B4-BE49-F238E27FC236}">
              <a16:creationId xmlns:a16="http://schemas.microsoft.com/office/drawing/2014/main" id="{B6AEDD6C-DF15-9CDF-4F00-C74D5ADF5298}"/>
            </a:ext>
          </a:extLst>
        </xdr:cNvPr>
        <xdr:cNvCxnSpPr/>
      </xdr:nvCxnSpPr>
      <xdr:spPr>
        <a:xfrm flipH="1">
          <a:off x="190738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024" name="Match60">
          <a:extLst>
            <a:ext uri="{FF2B5EF4-FFF2-40B4-BE49-F238E27FC236}">
              <a16:creationId xmlns:a16="http://schemas.microsoft.com/office/drawing/2014/main" id="{5CB8156B-D49D-6157-9F09-493143162113}"/>
            </a:ext>
          </a:extLst>
        </xdr:cNvPr>
        <xdr:cNvCxnSpPr/>
      </xdr:nvCxnSpPr>
      <xdr:spPr>
        <a:xfrm flipV="1">
          <a:off x="2331244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1025" name="Match61">
          <a:extLst>
            <a:ext uri="{FF2B5EF4-FFF2-40B4-BE49-F238E27FC236}">
              <a16:creationId xmlns:a16="http://schemas.microsoft.com/office/drawing/2014/main" id="{986A4261-4BF8-FD78-EE04-579DF1718B27}"/>
            </a:ext>
          </a:extLst>
        </xdr:cNvPr>
        <xdr:cNvCxnSpPr/>
      </xdr:nvCxnSpPr>
      <xdr:spPr>
        <a:xfrm flipV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34BF8921-C018-19C2-5792-5A633273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12" sqref="G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6">
        <v>1</v>
      </c>
      <c r="C1" s="26">
        <v>5</v>
      </c>
      <c r="D1" s="23">
        <v>9</v>
      </c>
      <c r="E1" s="23">
        <v>8</v>
      </c>
      <c r="F1" s="23">
        <v>8</v>
      </c>
      <c r="G1" s="23">
        <v>8</v>
      </c>
      <c r="H1" s="23">
        <v>6</v>
      </c>
      <c r="I1" s="22">
        <v>5</v>
      </c>
      <c r="J1" s="22">
        <v>2</v>
      </c>
      <c r="K1" s="22">
        <v>3</v>
      </c>
      <c r="L1" s="26">
        <v>8</v>
      </c>
      <c r="N1" s="2">
        <v>251</v>
      </c>
      <c r="O1" s="1">
        <v>1</v>
      </c>
    </row>
    <row r="2" spans="1:15" ht="28.25" customHeight="1">
      <c r="A2" s="26">
        <v>3</v>
      </c>
      <c r="B2" s="26">
        <v>5</v>
      </c>
      <c r="C2" s="23">
        <v>2</v>
      </c>
      <c r="D2" s="23">
        <v>8</v>
      </c>
      <c r="E2" s="26">
        <v>3</v>
      </c>
      <c r="F2" s="22">
        <v>9</v>
      </c>
      <c r="G2" s="23">
        <v>1</v>
      </c>
      <c r="H2" s="23">
        <v>6</v>
      </c>
      <c r="I2" s="23">
        <v>9</v>
      </c>
      <c r="J2" s="26">
        <v>4</v>
      </c>
      <c r="K2" s="26">
        <v>4</v>
      </c>
      <c r="L2" s="26">
        <v>3</v>
      </c>
      <c r="N2" s="2">
        <v>89</v>
      </c>
      <c r="O2" s="1">
        <v>15</v>
      </c>
    </row>
    <row r="3" spans="1:15" ht="28.25" customHeight="1">
      <c r="A3" s="23">
        <v>5</v>
      </c>
      <c r="B3" s="23">
        <v>6</v>
      </c>
      <c r="C3" s="23">
        <v>6</v>
      </c>
      <c r="D3" s="23">
        <v>8</v>
      </c>
      <c r="E3" s="22">
        <v>1</v>
      </c>
      <c r="F3" s="23">
        <v>9</v>
      </c>
      <c r="G3" s="26">
        <v>7</v>
      </c>
      <c r="H3" s="23">
        <v>3</v>
      </c>
      <c r="I3" s="26">
        <v>9</v>
      </c>
      <c r="J3" s="26">
        <v>4</v>
      </c>
      <c r="K3" s="26">
        <v>8</v>
      </c>
      <c r="L3" s="26">
        <v>3</v>
      </c>
      <c r="N3" s="2">
        <v>99355</v>
      </c>
      <c r="O3" s="1">
        <v>1</v>
      </c>
    </row>
    <row r="4" spans="1:15" ht="28.25" customHeight="1">
      <c r="A4" s="23">
        <v>8</v>
      </c>
      <c r="B4" s="23">
        <v>2</v>
      </c>
      <c r="C4" s="23">
        <v>1</v>
      </c>
      <c r="D4" s="22">
        <v>4</v>
      </c>
      <c r="E4" s="22">
        <v>8</v>
      </c>
      <c r="F4" s="22">
        <v>2</v>
      </c>
      <c r="G4" s="22">
        <v>2</v>
      </c>
      <c r="H4" s="22">
        <v>5</v>
      </c>
      <c r="I4" s="22">
        <v>5</v>
      </c>
      <c r="J4" s="22">
        <v>5</v>
      </c>
      <c r="K4" s="22">
        <v>5</v>
      </c>
      <c r="L4" s="26">
        <v>7</v>
      </c>
      <c r="N4" s="2">
        <v>29</v>
      </c>
      <c r="O4" s="1">
        <v>8</v>
      </c>
    </row>
    <row r="5" spans="1:15" ht="28.25" customHeight="1">
      <c r="A5" s="26">
        <v>3</v>
      </c>
      <c r="B5" s="26">
        <v>3</v>
      </c>
      <c r="C5" s="22">
        <v>3</v>
      </c>
      <c r="D5" s="26">
        <v>4</v>
      </c>
      <c r="E5" s="23">
        <v>1</v>
      </c>
      <c r="F5" s="23">
        <v>5</v>
      </c>
      <c r="G5" s="23">
        <v>3</v>
      </c>
      <c r="H5" s="22">
        <v>7</v>
      </c>
      <c r="I5" s="22">
        <v>8</v>
      </c>
      <c r="J5" s="22">
        <v>9</v>
      </c>
      <c r="K5" s="23">
        <v>5</v>
      </c>
      <c r="L5" s="26">
        <v>5</v>
      </c>
      <c r="N5" s="2">
        <v>9143</v>
      </c>
      <c r="O5" s="1">
        <v>1</v>
      </c>
    </row>
    <row r="6" spans="1:15" ht="28.25" customHeight="1">
      <c r="A6" s="22">
        <v>3</v>
      </c>
      <c r="B6" s="22">
        <v>5</v>
      </c>
      <c r="C6" s="22">
        <v>5</v>
      </c>
      <c r="D6" s="22">
        <v>2</v>
      </c>
      <c r="E6" s="22">
        <v>6</v>
      </c>
      <c r="F6" s="22">
        <v>2</v>
      </c>
      <c r="G6" s="22">
        <v>4</v>
      </c>
      <c r="H6" s="22">
        <v>2</v>
      </c>
      <c r="I6" s="22">
        <v>8</v>
      </c>
      <c r="J6" s="22">
        <v>2</v>
      </c>
      <c r="K6" s="22">
        <v>1</v>
      </c>
      <c r="L6" s="22">
        <v>3</v>
      </c>
      <c r="N6" s="2">
        <v>16</v>
      </c>
      <c r="O6" s="1">
        <v>10</v>
      </c>
    </row>
    <row r="7" spans="1:15" ht="28.25" customHeight="1">
      <c r="A7" s="26">
        <v>3</v>
      </c>
      <c r="B7" s="23">
        <v>9</v>
      </c>
      <c r="C7" s="23">
        <v>8</v>
      </c>
      <c r="D7" s="22">
        <v>8</v>
      </c>
      <c r="E7" s="23">
        <v>5</v>
      </c>
      <c r="F7" s="22">
        <v>3</v>
      </c>
      <c r="G7" s="22">
        <v>6</v>
      </c>
      <c r="H7" s="22">
        <v>2</v>
      </c>
      <c r="I7" s="23">
        <v>3</v>
      </c>
      <c r="J7" s="22">
        <v>1</v>
      </c>
      <c r="K7" s="23">
        <v>9</v>
      </c>
      <c r="L7" s="23">
        <v>2</v>
      </c>
      <c r="N7" s="2">
        <v>8213</v>
      </c>
      <c r="O7" s="1">
        <v>1</v>
      </c>
    </row>
    <row r="8" spans="1:15" ht="28.25" customHeight="1">
      <c r="A8" s="22">
        <v>9</v>
      </c>
      <c r="B8" s="22">
        <v>9</v>
      </c>
      <c r="C8" s="22">
        <v>3</v>
      </c>
      <c r="D8" s="22">
        <v>5</v>
      </c>
      <c r="E8" s="22">
        <v>5</v>
      </c>
      <c r="F8" s="22">
        <v>3</v>
      </c>
      <c r="G8" s="22">
        <v>6</v>
      </c>
      <c r="H8" s="22">
        <v>6</v>
      </c>
      <c r="I8" s="22">
        <v>6</v>
      </c>
      <c r="J8" s="26">
        <v>7</v>
      </c>
      <c r="K8" s="26">
        <v>7</v>
      </c>
      <c r="L8" s="26">
        <v>1</v>
      </c>
      <c r="N8" s="2">
        <v>76333</v>
      </c>
      <c r="O8" s="1">
        <v>1</v>
      </c>
    </row>
    <row r="9" spans="1:15" ht="28.25" customHeight="1">
      <c r="A9" s="26">
        <v>3</v>
      </c>
      <c r="B9" s="23">
        <v>6</v>
      </c>
      <c r="C9" s="23">
        <v>8</v>
      </c>
      <c r="D9" s="26">
        <v>7</v>
      </c>
      <c r="E9" s="26">
        <v>4</v>
      </c>
      <c r="F9" s="22">
        <v>3</v>
      </c>
      <c r="G9" s="22">
        <v>3</v>
      </c>
      <c r="H9" s="22">
        <v>9</v>
      </c>
      <c r="I9" s="26">
        <v>7</v>
      </c>
      <c r="J9" s="26">
        <v>3</v>
      </c>
      <c r="K9" s="26">
        <v>5</v>
      </c>
      <c r="L9" s="26">
        <v>8</v>
      </c>
      <c r="N9" s="2">
        <v>5555228</v>
      </c>
      <c r="O9" s="1">
        <v>1</v>
      </c>
    </row>
    <row r="10" spans="1:15" ht="28.25" customHeight="1">
      <c r="A10" s="22">
        <v>6</v>
      </c>
      <c r="B10" s="23">
        <v>1</v>
      </c>
      <c r="C10" s="23">
        <v>2</v>
      </c>
      <c r="D10" s="26">
        <v>4</v>
      </c>
      <c r="E10" s="26">
        <v>7</v>
      </c>
      <c r="F10" s="22">
        <v>6</v>
      </c>
      <c r="G10" s="22">
        <v>1</v>
      </c>
      <c r="H10" s="26">
        <v>3</v>
      </c>
      <c r="I10" s="23">
        <v>8</v>
      </c>
      <c r="J10" s="26">
        <v>3</v>
      </c>
      <c r="K10" s="26">
        <v>2</v>
      </c>
      <c r="L10" s="26">
        <v>7</v>
      </c>
      <c r="N10" s="2">
        <v>72269</v>
      </c>
      <c r="O10" s="1">
        <v>1</v>
      </c>
    </row>
    <row r="11" spans="1:15" ht="28.25" customHeight="1">
      <c r="A11" s="22">
        <v>6</v>
      </c>
      <c r="B11" s="23">
        <v>8</v>
      </c>
      <c r="C11" s="23">
        <v>9</v>
      </c>
      <c r="D11" s="23">
        <v>6</v>
      </c>
      <c r="E11" s="26">
        <v>5</v>
      </c>
      <c r="F11" s="22">
        <v>7</v>
      </c>
      <c r="G11" s="22">
        <v>4</v>
      </c>
      <c r="H11" s="26">
        <v>7</v>
      </c>
      <c r="I11" s="26">
        <v>1</v>
      </c>
      <c r="J11" s="26">
        <v>1</v>
      </c>
      <c r="K11" s="26">
        <v>5</v>
      </c>
      <c r="L11" s="26">
        <v>4</v>
      </c>
      <c r="N11" s="2">
        <v>68</v>
      </c>
      <c r="O11" s="1">
        <v>11</v>
      </c>
    </row>
    <row r="12" spans="1:15" ht="28.25" customHeight="1">
      <c r="A12" s="22">
        <v>2</v>
      </c>
      <c r="B12" s="26">
        <v>7</v>
      </c>
      <c r="C12" s="23">
        <v>9</v>
      </c>
      <c r="D12" s="26">
        <v>5</v>
      </c>
      <c r="E12" s="23">
        <v>8</v>
      </c>
      <c r="F12" s="23">
        <v>9</v>
      </c>
      <c r="G12" s="22">
        <v>5</v>
      </c>
      <c r="H12" s="22">
        <v>1</v>
      </c>
      <c r="I12" s="22">
        <v>5</v>
      </c>
      <c r="J12" s="22">
        <v>2</v>
      </c>
      <c r="K12" s="23">
        <v>8</v>
      </c>
      <c r="L12" s="23">
        <v>6</v>
      </c>
      <c r="N12" s="2">
        <v>355262</v>
      </c>
      <c r="O12" s="1">
        <v>1</v>
      </c>
    </row>
    <row r="13" spans="1:15" ht="28.25" customHeight="1">
      <c r="N13" s="2">
        <v>662</v>
      </c>
      <c r="O13" s="1">
        <v>2</v>
      </c>
    </row>
    <row r="14" spans="1:15" ht="28.25" customHeight="1">
      <c r="N14" s="2">
        <v>4663145</v>
      </c>
      <c r="O14" s="1">
        <v>1</v>
      </c>
    </row>
    <row r="15" spans="1:15" ht="28.25" customHeight="1">
      <c r="N15" s="2">
        <v>325</v>
      </c>
      <c r="O15" s="1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97"/>
  <sheetViews>
    <sheetView tabSelected="1" zoomScaleNormal="100" workbookViewId="0">
      <pane ySplit="1" topLeftCell="A91" activePane="bottomLeft" state="frozen"/>
      <selection pane="bottomLeft" activeCell="A97" sqref="A9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234</v>
      </c>
      <c r="I89" t="s">
        <v>235</v>
      </c>
      <c r="J89">
        <v>0</v>
      </c>
      <c r="K89">
        <f t="shared" ref="K89" si="143">IF(A89&lt;DATEVALUE("2025/11/20"),1,IF(B89-SUM(D89:F89)&lt;&gt;60,0,MAX(2-INT(G89*24*60/10),0)))</f>
        <v>2</v>
      </c>
      <c r="L89">
        <f t="shared" ref="L89" si="144">L88+K89</f>
        <v>75</v>
      </c>
      <c r="M89">
        <f t="shared" ref="M89" si="145">2+IF(A89&gt;=DATEVALUE("2025/11/30"),1,0)</f>
        <v>3</v>
      </c>
      <c r="N89">
        <f t="shared" ref="N89" si="146">N88+M89*(INT(A89-6/24)-INT(A88-6/24))+O89</f>
        <v>76</v>
      </c>
      <c r="O89">
        <f t="shared" ref="O89" si="147">IF(A89&gt;=DATEVALUE("2025/11/8"),1,0)-IF(A88&gt;=DATEVALUE("2025/11/8"),1,0)</f>
        <v>0</v>
      </c>
      <c r="P89" t="str">
        <f t="shared" ref="P89" si="148">IF(L89&lt;N89,"未達成（"&amp;N89-L89&amp;"）",IF(L89=N89,"達成","前倒し（"&amp;L89-N89&amp;"）"))</f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236</v>
      </c>
      <c r="I90" t="s">
        <v>237</v>
      </c>
      <c r="J90">
        <v>0</v>
      </c>
      <c r="K90">
        <f t="shared" ref="K90" si="149">IF(A90&lt;DATEVALUE("2025/11/20"),1,IF(B90-SUM(D90:F90)&lt;&gt;60,0,MAX(2-INT(G90*24*60/10),0)))</f>
        <v>2</v>
      </c>
      <c r="L90">
        <f t="shared" ref="L90" si="150">L89+K90</f>
        <v>77</v>
      </c>
      <c r="M90">
        <f t="shared" ref="M90" si="151">2+IF(A90&gt;=DATEVALUE("2025/11/30"),1,0)</f>
        <v>3</v>
      </c>
      <c r="N90">
        <f t="shared" ref="N90" si="152">N89+M90*(INT(A90-6/24)-INT(A89-6/24))+O90</f>
        <v>76</v>
      </c>
      <c r="O90">
        <f t="shared" ref="O90" si="153">IF(A90&gt;=DATEVALUE("2025/11/8"),1,0)-IF(A89&gt;=DATEVALUE("2025/11/8"),1,0)</f>
        <v>0</v>
      </c>
      <c r="P90" t="str">
        <f t="shared" ref="P90" si="154">IF(L90&lt;N90,"未達成（"&amp;N90-L90&amp;"）",IF(L90=N90,"達成","前倒し（"&amp;L90-N90&amp;"）"))</f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238</v>
      </c>
      <c r="I91" t="s">
        <v>239</v>
      </c>
      <c r="J91">
        <v>0</v>
      </c>
      <c r="K91">
        <f t="shared" ref="K91" si="155">IF(A91&lt;DATEVALUE("2025/11/20"),1,IF(B91-SUM(D91:F91)&lt;&gt;60,0,MAX(2-INT(G91*24*60/10),0)))</f>
        <v>2</v>
      </c>
      <c r="L91">
        <f t="shared" ref="L91" si="156">L90+K91</f>
        <v>79</v>
      </c>
      <c r="M91">
        <f t="shared" ref="M91" si="157">2+IF(A91&gt;=DATEVALUE("2025/11/30"),1,0)</f>
        <v>3</v>
      </c>
      <c r="N91">
        <f t="shared" ref="N91" si="158">N90+M91*(INT(A91-6/24)-INT(A90-6/24))+O91</f>
        <v>79</v>
      </c>
      <c r="O91">
        <f t="shared" ref="O91" si="159">IF(A91&gt;=DATEVALUE("2025/11/8"),1,0)-IF(A90&gt;=DATEVALUE("2025/11/8"),1,0)</f>
        <v>0</v>
      </c>
      <c r="P91" t="str">
        <f t="shared" ref="P91" si="160">IF(L91&lt;N91,"未達成（"&amp;N91-L91&amp;"）",IF(L91=N91,"達成","前倒し（"&amp;L91-N91&amp;"）"))</f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240</v>
      </c>
      <c r="I92" t="s">
        <v>241</v>
      </c>
      <c r="J92">
        <v>0</v>
      </c>
      <c r="K92">
        <f t="shared" ref="K92" si="161">IF(A92&lt;DATEVALUE("2025/11/20"),1,IF(B92-SUM(D92:F92)&lt;&gt;60,0,MAX(2-INT(G92*24*60/10),0)))</f>
        <v>1</v>
      </c>
      <c r="L92">
        <f t="shared" ref="L92" si="162">L91+K92</f>
        <v>80</v>
      </c>
      <c r="M92">
        <f t="shared" ref="M92" si="163">2+IF(A92&gt;=DATEVALUE("2025/11/30"),1,0)</f>
        <v>3</v>
      </c>
      <c r="N92">
        <f t="shared" ref="N92" si="164">N91+M92*(INT(A92-6/24)-INT(A91-6/24))+O92</f>
        <v>82</v>
      </c>
      <c r="O92">
        <f t="shared" ref="O92" si="165">IF(A92&gt;=DATEVALUE("2025/11/8"),1,0)-IF(A91&gt;=DATEVALUE("2025/11/8"),1,0)</f>
        <v>0</v>
      </c>
      <c r="P92" t="str">
        <f t="shared" ref="P92" si="166">IF(L92&lt;N92,"未達成（"&amp;N92-L92&amp;"）",IF(L92=N92,"達成","前倒し（"&amp;L92-N92&amp;"）"))</f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242</v>
      </c>
      <c r="I93" t="s">
        <v>243</v>
      </c>
      <c r="J93">
        <v>0</v>
      </c>
      <c r="K93">
        <f t="shared" ref="K93" si="167">IF(A93&lt;DATEVALUE("2025/11/20"),1,IF(B93-SUM(D93:F93)&lt;&gt;60,0,MAX(2-INT(G93*24*60/10),0)))</f>
        <v>1</v>
      </c>
      <c r="L93">
        <f t="shared" ref="L93" si="168">L92+K93</f>
        <v>81</v>
      </c>
      <c r="M93">
        <f t="shared" ref="M93" si="169">2+IF(A93&gt;=DATEVALUE("2025/11/30"),1,0)</f>
        <v>3</v>
      </c>
      <c r="N93">
        <f t="shared" ref="N93" si="170">N92+M93*(INT(A93-6/24)-INT(A92-6/24))+O93</f>
        <v>82</v>
      </c>
      <c r="O93">
        <f t="shared" ref="O93" si="171">IF(A93&gt;=DATEVALUE("2025/11/8"),1,0)-IF(A92&gt;=DATEVALUE("2025/11/8"),1,0)</f>
        <v>0</v>
      </c>
      <c r="P93" t="str">
        <f t="shared" ref="P93" si="172">IF(L93&lt;N93,"未達成（"&amp;N93-L93&amp;"）",IF(L93=N93,"達成","前倒し（"&amp;L93-N93&amp;"）"))</f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244</v>
      </c>
      <c r="I94" t="s">
        <v>245</v>
      </c>
      <c r="J94">
        <v>0</v>
      </c>
      <c r="K94">
        <f t="shared" ref="K94" si="173">IF(A94&lt;DATEVALUE("2025/11/20"),1,IF(B94-SUM(D94:F94)&lt;&gt;60,0,MAX(2-INT(G94*24*60/10),0)))</f>
        <v>2</v>
      </c>
      <c r="L94">
        <f t="shared" ref="L94" si="174">L93+K94</f>
        <v>83</v>
      </c>
      <c r="M94">
        <f t="shared" ref="M94" si="175">2+IF(A94&gt;=DATEVALUE("2025/11/30"),1,0)</f>
        <v>3</v>
      </c>
      <c r="N94">
        <f t="shared" ref="N94" si="176">N93+M94*(INT(A94-6/24)-INT(A93-6/24))+O94</f>
        <v>82</v>
      </c>
      <c r="O94">
        <f t="shared" ref="O94" si="177">IF(A94&gt;=DATEVALUE("2025/11/8"),1,0)-IF(A93&gt;=DATEVALUE("2025/11/8"),1,0)</f>
        <v>0</v>
      </c>
      <c r="P94" t="str">
        <f t="shared" ref="P94" si="178">IF(L94&lt;N94,"未達成（"&amp;N94-L94&amp;"）",IF(L94=N94,"達成","前倒し（"&amp;L94-N94&amp;"）"))</f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246</v>
      </c>
      <c r="I95" t="s">
        <v>247</v>
      </c>
      <c r="J95">
        <v>0</v>
      </c>
      <c r="K95">
        <f t="shared" ref="K95" si="179">IF(A95&lt;DATEVALUE("2025/11/20"),1,IF(B95-SUM(D95:F95)&lt;&gt;60,0,MAX(2-INT(G95*24*60/10),0)))</f>
        <v>1</v>
      </c>
      <c r="L95">
        <f t="shared" ref="L95" si="180">L94+K95</f>
        <v>84</v>
      </c>
      <c r="M95">
        <f t="shared" ref="M95" si="181">2+IF(A95&gt;=DATEVALUE("2025/11/30"),1,0)</f>
        <v>3</v>
      </c>
      <c r="N95">
        <f t="shared" ref="N95" si="182">N94+M95*(INT(A95-6/24)-INT(A94-6/24))+O95</f>
        <v>85</v>
      </c>
      <c r="O95">
        <f t="shared" ref="O95" si="183">IF(A95&gt;=DATEVALUE("2025/11/8"),1,0)-IF(A94&gt;=DATEVALUE("2025/11/8"),1,0)</f>
        <v>0</v>
      </c>
      <c r="P95" t="str">
        <f t="shared" ref="P95" si="184">IF(L95&lt;N95,"未達成（"&amp;N95-L95&amp;"）",IF(L95=N95,"達成","前倒し（"&amp;L95-N95&amp;"）"))</f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248</v>
      </c>
      <c r="I96" t="s">
        <v>249</v>
      </c>
      <c r="J96">
        <v>0</v>
      </c>
      <c r="K96">
        <f t="shared" ref="K96" si="185">IF(A96&lt;DATEVALUE("2025/11/20"),1,IF(B96-SUM(D96:F96)&lt;&gt;60,0,MAX(2-INT(G96*24*60/10),0)))</f>
        <v>2</v>
      </c>
      <c r="L96">
        <f t="shared" ref="L96" si="186">L95+K96</f>
        <v>86</v>
      </c>
      <c r="M96">
        <f t="shared" ref="M96" si="187">2+IF(A96&gt;=DATEVALUE("2025/11/30"),1,0)</f>
        <v>3</v>
      </c>
      <c r="N96">
        <f t="shared" ref="N96" si="188">N95+M96*(INT(A96-6/24)-INT(A95-6/24))+O96</f>
        <v>85</v>
      </c>
      <c r="O96">
        <f t="shared" ref="O96" si="189">IF(A96&gt;=DATEVALUE("2025/11/8"),1,0)-IF(A95&gt;=DATEVALUE("2025/11/8"),1,0)</f>
        <v>0</v>
      </c>
      <c r="P96" t="str">
        <f t="shared" ref="P96" si="190">IF(L96&lt;N96,"未達成（"&amp;N96-L96&amp;"）",IF(L96=N96,"達成","前倒し（"&amp;L96-N96&amp;"）"))</f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250</v>
      </c>
      <c r="I97" t="s">
        <v>251</v>
      </c>
      <c r="J97">
        <v>0</v>
      </c>
      <c r="K97">
        <f t="shared" ref="K97" si="191">IF(A97&lt;DATEVALUE("2025/11/20"),1,IF(B97-SUM(D97:F97)&lt;&gt;60,0,MAX(2-INT(G97*24*60/10),0)))</f>
        <v>2</v>
      </c>
      <c r="L97">
        <f t="shared" ref="L97" si="192">L96+K97</f>
        <v>88</v>
      </c>
      <c r="M97">
        <f t="shared" ref="M97" si="193">2+IF(A97&gt;=DATEVALUE("2025/11/30"),1,0)</f>
        <v>3</v>
      </c>
      <c r="N97">
        <f t="shared" ref="N97" si="194">N96+M97*(INT(A97-6/24)-INT(A96-6/24))+O97</f>
        <v>88</v>
      </c>
      <c r="O97">
        <f t="shared" ref="O97" si="195">IF(A97&gt;=DATEVALUE("2025/11/8"),1,0)-IF(A96&gt;=DATEVALUE("2025/11/8"),1,0)</f>
        <v>0</v>
      </c>
      <c r="P97" t="str">
        <f t="shared" ref="P97" si="196">IF(L97&lt;N97,"未達成（"&amp;N97-L97&amp;"）",IF(L97=N97,"達成","前倒し（"&amp;L97-N97&amp;"）"))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46001.30872685185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2025-12-09T22:32:26Z</dcterms:modified>
</cp:coreProperties>
</file>
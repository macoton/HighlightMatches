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FA4FD19-740C-4826-BCFD-503F98846BF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05" i="4" l="1"/>
  <c r="O305" i="4"/>
  <c r="M305" i="4"/>
  <c r="N305" i="4" s="1"/>
  <c r="K305" i="4"/>
  <c r="L305" i="4" s="1"/>
  <c r="P305" i="4" s="1"/>
  <c r="Q304" i="4"/>
  <c r="O304" i="4"/>
  <c r="M304" i="4"/>
  <c r="N304" i="4" s="1"/>
  <c r="K304" i="4"/>
  <c r="L304" i="4" s="1"/>
  <c r="P304" i="4" s="1"/>
  <c r="Q303" i="4"/>
  <c r="O303" i="4"/>
  <c r="M303" i="4"/>
  <c r="N303" i="4" s="1"/>
  <c r="K303" i="4"/>
  <c r="L303" i="4" s="1"/>
  <c r="Q302" i="4"/>
  <c r="O302" i="4"/>
  <c r="M302" i="4"/>
  <c r="N302" i="4" s="1"/>
  <c r="K302" i="4"/>
  <c r="L302" i="4" s="1"/>
  <c r="Q301" i="4"/>
  <c r="O301" i="4"/>
  <c r="M301" i="4"/>
  <c r="N301" i="4" s="1"/>
  <c r="K301" i="4"/>
  <c r="L301" i="4" s="1"/>
  <c r="P301" i="4" s="1"/>
  <c r="Q300" i="4"/>
  <c r="O300" i="4"/>
  <c r="M300" i="4"/>
  <c r="N300" i="4" s="1"/>
  <c r="K300" i="4"/>
  <c r="L300" i="4" s="1"/>
  <c r="Q299" i="4"/>
  <c r="O299" i="4"/>
  <c r="M299" i="4"/>
  <c r="N299" i="4" s="1"/>
  <c r="K299" i="4"/>
  <c r="L299" i="4" s="1"/>
  <c r="P299" i="4" s="1"/>
  <c r="Q298" i="4"/>
  <c r="O298" i="4"/>
  <c r="M298" i="4"/>
  <c r="N298" i="4" s="1"/>
  <c r="K298" i="4"/>
  <c r="L298" i="4" s="1"/>
  <c r="Q297" i="4"/>
  <c r="O297" i="4"/>
  <c r="M297" i="4"/>
  <c r="N297" i="4" s="1"/>
  <c r="K297" i="4"/>
  <c r="L297" i="4" s="1"/>
  <c r="P297" i="4" s="1"/>
  <c r="Q296" i="4"/>
  <c r="O296" i="4"/>
  <c r="M296" i="4"/>
  <c r="N296" i="4" s="1"/>
  <c r="K296" i="4"/>
  <c r="L296" i="4" s="1"/>
  <c r="Q295" i="4"/>
  <c r="O295" i="4"/>
  <c r="M295" i="4"/>
  <c r="N295" i="4" s="1"/>
  <c r="K295" i="4"/>
  <c r="L295" i="4" s="1"/>
  <c r="Q294" i="4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03" i="4" l="1"/>
  <c r="P302" i="4"/>
  <c r="P300" i="4"/>
  <c r="P298" i="4"/>
  <c r="P296" i="4"/>
  <c r="P295" i="4"/>
  <c r="P294" i="4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<sst xmlns="http://schemas.openxmlformats.org/spreadsheetml/2006/main" count="687" uniqueCount="666">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</sst>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データ!$A$3:$A$305</c:f>
              <c:numCache>
                <c:formatCode>m/d/yyyy\ h:mm</c:formatCode>
                <c:ptCount val="30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</c:numCache>
            </c:numRef>
          </c:xVal>
          <c:yVal>
            <c:numRef>
              <c:f>データ!$B$3:$B$305</c:f>
              <c:numCache>
                <c:formatCode>General</c:formatCode>
                <c:ptCount val="303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9-4F7F-B180-CF8BB356132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169-4F7F-B180-CF8BB3561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80383"/>
        <c:axId val="125840859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データ!$A$3:$A$305</c:f>
              <c:numCache>
                <c:formatCode>m/d/yyyy\ h:mm</c:formatCode>
                <c:ptCount val="303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</c:numCache>
            </c:numRef>
          </c:xVal>
          <c:yVal>
            <c:numRef>
              <c:f>データ!$Q$3:$Q$305</c:f>
              <c:numCache>
                <c:formatCode>[h]:mm</c:formatCode>
                <c:ptCount val="303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9-4F7F-B180-CF8BB3561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128511"/>
        <c:axId val="1262129471"/>
      </c:scatterChart>
      <c:valAx>
        <c:axId val="1024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8408591"/>
        <c:crosses val="autoZero"/>
        <c:crossBetween val="midCat"/>
      </c:valAx>
      <c:valAx>
        <c:axId val="125840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24180383"/>
        <c:crosses val="autoZero"/>
        <c:crossBetween val="midCat"/>
      </c:valAx>
      <c:valAx>
        <c:axId val="1262129471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2128511"/>
        <c:crosses val="max"/>
        <c:crossBetween val="midCat"/>
      </c:valAx>
      <c:valAx>
        <c:axId val="1262128511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212947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037" name="Match0">
          <a:extLst>
            <a:ext uri="{FF2B5EF4-FFF2-40B4-BE49-F238E27FC236}">
              <a16:creationId xmlns:a16="http://schemas.microsoft.com/office/drawing/2014/main" id="{F8294D9E-089F-9A56-CB35-271B07EA26A7}"/>
            </a:ext>
          </a:extLst>
        </xdr:cNvPr>
        <xdr:cNvCxnSpPr/>
      </xdr:nvCxnSpPr>
      <xdr:spPr>
        <a:xfrm>
          <a:off x="40266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038" name="Match1">
          <a:extLst>
            <a:ext uri="{FF2B5EF4-FFF2-40B4-BE49-F238E27FC236}">
              <a16:creationId xmlns:a16="http://schemas.microsoft.com/office/drawing/2014/main" id="{11F8DE35-FF3D-42CA-B1C0-0D33EB4988E5}"/>
            </a:ext>
          </a:extLst>
        </xdr:cNvPr>
        <xdr:cNvCxnSpPr/>
      </xdr:nvCxnSpPr>
      <xdr:spPr>
        <a:xfrm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4</xdr:row>
      <xdr:rowOff>229394</xdr:rowOff>
    </xdr:from>
    <xdr:to>
      <xdr:col>9</xdr:col>
      <xdr:colOff>262731</xdr:colOff>
      <xdr:row>5</xdr:row>
      <xdr:rowOff>229393</xdr:rowOff>
    </xdr:to>
    <xdr:cxnSp macro="">
      <xdr:nvCxnSpPr>
        <xdr:cNvPr id="1039" name="Match2">
          <a:extLst>
            <a:ext uri="{FF2B5EF4-FFF2-40B4-BE49-F238E27FC236}">
              <a16:creationId xmlns:a16="http://schemas.microsoft.com/office/drawing/2014/main" id="{F8B5477E-0F9C-38B9-8EB3-73A1112BA1E6}"/>
            </a:ext>
          </a:extLst>
        </xdr:cNvPr>
        <xdr:cNvCxnSpPr/>
      </xdr:nvCxnSpPr>
      <xdr:spPr>
        <a:xfrm>
          <a:off x="407749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3</xdr:row>
      <xdr:rowOff>254793</xdr:rowOff>
    </xdr:from>
    <xdr:to>
      <xdr:col>9</xdr:col>
      <xdr:colOff>288131</xdr:colOff>
      <xdr:row>4</xdr:row>
      <xdr:rowOff>254794</xdr:rowOff>
    </xdr:to>
    <xdr:cxnSp macro="">
      <xdr:nvCxnSpPr>
        <xdr:cNvPr id="1040" name="Match3">
          <a:extLst>
            <a:ext uri="{FF2B5EF4-FFF2-40B4-BE49-F238E27FC236}">
              <a16:creationId xmlns:a16="http://schemas.microsoft.com/office/drawing/2014/main" id="{F2D304CC-E20C-81EB-4D22-DC2B0790DACA}"/>
            </a:ext>
          </a:extLst>
        </xdr:cNvPr>
        <xdr:cNvCxnSpPr/>
      </xdr:nvCxnSpPr>
      <xdr:spPr>
        <a:xfrm flipV="1">
          <a:off x="4102894" y="1326356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041" name="Match4">
          <a:extLst>
            <a:ext uri="{FF2B5EF4-FFF2-40B4-BE49-F238E27FC236}">
              <a16:creationId xmlns:a16="http://schemas.microsoft.com/office/drawing/2014/main" id="{CE77CDE8-69CB-E451-F9BA-A89DBE127628}"/>
            </a:ext>
          </a:extLst>
        </xdr:cNvPr>
        <xdr:cNvCxnSpPr/>
      </xdr:nvCxnSpPr>
      <xdr:spPr>
        <a:xfrm flipH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4</xdr:row>
      <xdr:rowOff>203994</xdr:rowOff>
    </xdr:from>
    <xdr:to>
      <xdr:col>11</xdr:col>
      <xdr:colOff>237331</xdr:colOff>
      <xdr:row>4</xdr:row>
      <xdr:rowOff>203994</xdr:rowOff>
    </xdr:to>
    <xdr:cxnSp macro="">
      <xdr:nvCxnSpPr>
        <xdr:cNvPr id="1042" name="Match5">
          <a:extLst>
            <a:ext uri="{FF2B5EF4-FFF2-40B4-BE49-F238E27FC236}">
              <a16:creationId xmlns:a16="http://schemas.microsoft.com/office/drawing/2014/main" id="{F28457A4-9F56-53EA-9D51-1334ECE850C2}"/>
            </a:ext>
          </a:extLst>
        </xdr:cNvPr>
        <xdr:cNvCxnSpPr/>
      </xdr:nvCxnSpPr>
      <xdr:spPr>
        <a:xfrm flipH="1">
          <a:off x="447595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043" name="Match6">
          <a:extLst>
            <a:ext uri="{FF2B5EF4-FFF2-40B4-BE49-F238E27FC236}">
              <a16:creationId xmlns:a16="http://schemas.microsoft.com/office/drawing/2014/main" id="{3C900505-60B5-7AD7-F152-862B7CEDE34A}"/>
            </a:ext>
          </a:extLst>
        </xdr:cNvPr>
        <xdr:cNvCxnSpPr/>
      </xdr:nvCxnSpPr>
      <xdr:spPr>
        <a:xfrm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7</xdr:col>
      <xdr:colOff>237331</xdr:colOff>
      <xdr:row>7</xdr:row>
      <xdr:rowOff>203993</xdr:rowOff>
    </xdr:to>
    <xdr:cxnSp macro="">
      <xdr:nvCxnSpPr>
        <xdr:cNvPr id="1044" name="Match7">
          <a:extLst>
            <a:ext uri="{FF2B5EF4-FFF2-40B4-BE49-F238E27FC236}">
              <a16:creationId xmlns:a16="http://schemas.microsoft.com/office/drawing/2014/main" id="{2B020255-D763-D181-9650-B1EF146A1525}"/>
            </a:ext>
          </a:extLst>
        </xdr:cNvPr>
        <xdr:cNvCxnSpPr/>
      </xdr:nvCxnSpPr>
      <xdr:spPr>
        <a:xfrm flipH="1">
          <a:off x="278050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045" name="Match8">
          <a:extLst>
            <a:ext uri="{FF2B5EF4-FFF2-40B4-BE49-F238E27FC236}">
              <a16:creationId xmlns:a16="http://schemas.microsoft.com/office/drawing/2014/main" id="{599A06BF-6254-36B6-672D-3167AF3EF9A6}"/>
            </a:ext>
          </a:extLst>
        </xdr:cNvPr>
        <xdr:cNvCxnSpPr/>
      </xdr:nvCxnSpPr>
      <xdr:spPr>
        <a:xfrm flipV="1">
          <a:off x="190738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046" name="Match9">
          <a:extLst>
            <a:ext uri="{FF2B5EF4-FFF2-40B4-BE49-F238E27FC236}">
              <a16:creationId xmlns:a16="http://schemas.microsoft.com/office/drawing/2014/main" id="{66E724D7-4FDC-80B4-6FE9-690FFC42D994}"/>
            </a:ext>
          </a:extLst>
        </xdr:cNvPr>
        <xdr:cNvCxnSpPr/>
      </xdr:nvCxnSpPr>
      <xdr:spPr>
        <a:xfrm flipH="1" flipV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047" name="Match10">
          <a:extLst>
            <a:ext uri="{FF2B5EF4-FFF2-40B4-BE49-F238E27FC236}">
              <a16:creationId xmlns:a16="http://schemas.microsoft.com/office/drawing/2014/main" id="{C4F4C4AC-5937-86EB-1589-A5120F916BBE}"/>
            </a:ext>
          </a:extLst>
        </xdr:cNvPr>
        <xdr:cNvCxnSpPr/>
      </xdr:nvCxnSpPr>
      <xdr:spPr>
        <a:xfrm flipV="1">
          <a:off x="235664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048" name="Match11">
          <a:extLst>
            <a:ext uri="{FF2B5EF4-FFF2-40B4-BE49-F238E27FC236}">
              <a16:creationId xmlns:a16="http://schemas.microsoft.com/office/drawing/2014/main" id="{1BB94749-A714-807E-46FD-AC45135E127E}"/>
            </a:ext>
          </a:extLst>
        </xdr:cNvPr>
        <xdr:cNvCxnSpPr/>
      </xdr:nvCxnSpPr>
      <xdr:spPr>
        <a:xfrm flipH="1">
          <a:off x="148351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049" name="Match12">
          <a:extLst>
            <a:ext uri="{FF2B5EF4-FFF2-40B4-BE49-F238E27FC236}">
              <a16:creationId xmlns:a16="http://schemas.microsoft.com/office/drawing/2014/main" id="{0421537F-0667-14DA-49BE-ABBB9FA9998B}"/>
            </a:ext>
          </a:extLst>
        </xdr:cNvPr>
        <xdr:cNvCxnSpPr/>
      </xdr:nvCxnSpPr>
      <xdr:spPr>
        <a:xfrm>
          <a:off x="2331244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55" name="Match13">
          <a:extLst>
            <a:ext uri="{FF2B5EF4-FFF2-40B4-BE49-F238E27FC236}">
              <a16:creationId xmlns:a16="http://schemas.microsoft.com/office/drawing/2014/main" id="{1610C196-332D-76B5-7A4D-CB5B666257BD}"/>
            </a:ext>
          </a:extLst>
        </xdr:cNvPr>
        <xdr:cNvCxnSpPr/>
      </xdr:nvCxnSpPr>
      <xdr:spPr>
        <a:xfrm>
          <a:off x="1907381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4</xdr:col>
      <xdr:colOff>237331</xdr:colOff>
      <xdr:row>2</xdr:row>
      <xdr:rowOff>203994</xdr:rowOff>
    </xdr:to>
    <xdr:cxnSp macro="">
      <xdr:nvCxnSpPr>
        <xdr:cNvPr id="1056" name="Match14">
          <a:extLst>
            <a:ext uri="{FF2B5EF4-FFF2-40B4-BE49-F238E27FC236}">
              <a16:creationId xmlns:a16="http://schemas.microsoft.com/office/drawing/2014/main" id="{DDB9100A-3E59-ABC9-D89A-96A50B3392EA}"/>
            </a:ext>
          </a:extLst>
        </xdr:cNvPr>
        <xdr:cNvCxnSpPr/>
      </xdr:nvCxnSpPr>
      <xdr:spPr>
        <a:xfrm flipH="1">
          <a:off x="1085056" y="918369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057" name="Match15">
          <a:extLst>
            <a:ext uri="{FF2B5EF4-FFF2-40B4-BE49-F238E27FC236}">
              <a16:creationId xmlns:a16="http://schemas.microsoft.com/office/drawing/2014/main" id="{20FABA10-D812-0A6E-698B-7AAE4480A36D}"/>
            </a:ext>
          </a:extLst>
        </xdr:cNvPr>
        <xdr:cNvCxnSpPr/>
      </xdr:nvCxnSpPr>
      <xdr:spPr>
        <a:xfrm flipV="1">
          <a:off x="1483519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061" name="Match16">
          <a:extLst>
            <a:ext uri="{FF2B5EF4-FFF2-40B4-BE49-F238E27FC236}">
              <a16:creationId xmlns:a16="http://schemas.microsoft.com/office/drawing/2014/main" id="{C982A021-C263-7130-B0EB-4D8547F4955A}"/>
            </a:ext>
          </a:extLst>
        </xdr:cNvPr>
        <xdr:cNvCxnSpPr/>
      </xdr:nvCxnSpPr>
      <xdr:spPr>
        <a:xfrm flipV="1">
          <a:off x="4874419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064" name="Match17">
          <a:extLst>
            <a:ext uri="{FF2B5EF4-FFF2-40B4-BE49-F238E27FC236}">
              <a16:creationId xmlns:a16="http://schemas.microsoft.com/office/drawing/2014/main" id="{E66ECAB3-F9F9-764B-BD6E-03B7D1874F7B}"/>
            </a:ext>
          </a:extLst>
        </xdr:cNvPr>
        <xdr:cNvCxnSpPr/>
      </xdr:nvCxnSpPr>
      <xdr:spPr>
        <a:xfrm flipV="1">
          <a:off x="3178969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065" name="Match18">
          <a:extLst>
            <a:ext uri="{FF2B5EF4-FFF2-40B4-BE49-F238E27FC236}">
              <a16:creationId xmlns:a16="http://schemas.microsoft.com/office/drawing/2014/main" id="{9919C57C-6DBE-6FE2-30ED-F6687616F1C5}"/>
            </a:ext>
          </a:extLst>
        </xdr:cNvPr>
        <xdr:cNvCxnSpPr/>
      </xdr:nvCxnSpPr>
      <xdr:spPr>
        <a:xfrm>
          <a:off x="1059656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066" name="Match19">
          <a:extLst>
            <a:ext uri="{FF2B5EF4-FFF2-40B4-BE49-F238E27FC236}">
              <a16:creationId xmlns:a16="http://schemas.microsoft.com/office/drawing/2014/main" id="{0C498A97-76CA-A4EB-CAFF-DE90B592AE5F}"/>
            </a:ext>
          </a:extLst>
        </xdr:cNvPr>
        <xdr:cNvCxnSpPr/>
      </xdr:nvCxnSpPr>
      <xdr:spPr>
        <a:xfrm flipV="1">
          <a:off x="1059656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1067" name="Match20">
          <a:extLst>
            <a:ext uri="{FF2B5EF4-FFF2-40B4-BE49-F238E27FC236}">
              <a16:creationId xmlns:a16="http://schemas.microsoft.com/office/drawing/2014/main" id="{025D6929-8ECA-73FB-F6C3-F5EA9232D7D8}"/>
            </a:ext>
          </a:extLst>
        </xdr:cNvPr>
        <xdr:cNvCxnSpPr/>
      </xdr:nvCxnSpPr>
      <xdr:spPr>
        <a:xfrm>
          <a:off x="2755106" y="1964531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068" name="Match21">
          <a:extLst>
            <a:ext uri="{FF2B5EF4-FFF2-40B4-BE49-F238E27FC236}">
              <a16:creationId xmlns:a16="http://schemas.microsoft.com/office/drawing/2014/main" id="{BE799A1C-8C44-F476-286C-13C5709806B0}"/>
            </a:ext>
          </a:extLst>
        </xdr:cNvPr>
        <xdr:cNvCxnSpPr/>
      </xdr:nvCxnSpPr>
      <xdr:spPr>
        <a:xfrm flipV="1">
          <a:off x="2755106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069" name="Match22">
          <a:extLst>
            <a:ext uri="{FF2B5EF4-FFF2-40B4-BE49-F238E27FC236}">
              <a16:creationId xmlns:a16="http://schemas.microsoft.com/office/drawing/2014/main" id="{BF0640A8-32A2-333A-1C04-6EED878E9257}"/>
            </a:ext>
          </a:extLst>
        </xdr:cNvPr>
        <xdr:cNvCxnSpPr/>
      </xdr:nvCxnSpPr>
      <xdr:spPr>
        <a:xfrm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070" name="Match23">
          <a:extLst>
            <a:ext uri="{FF2B5EF4-FFF2-40B4-BE49-F238E27FC236}">
              <a16:creationId xmlns:a16="http://schemas.microsoft.com/office/drawing/2014/main" id="{6C9748F1-6398-52E7-3B37-3B3FECEDC16B}"/>
            </a:ext>
          </a:extLst>
        </xdr:cNvPr>
        <xdr:cNvCxnSpPr/>
      </xdr:nvCxnSpPr>
      <xdr:spPr>
        <a:xfrm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071" name="Match24">
          <a:extLst>
            <a:ext uri="{FF2B5EF4-FFF2-40B4-BE49-F238E27FC236}">
              <a16:creationId xmlns:a16="http://schemas.microsoft.com/office/drawing/2014/main" id="{C474BEE6-5670-4773-4DEC-8D88F007F684}"/>
            </a:ext>
          </a:extLst>
        </xdr:cNvPr>
        <xdr:cNvCxnSpPr/>
      </xdr:nvCxnSpPr>
      <xdr:spPr>
        <a:xfrm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072" name="Match25">
          <a:extLst>
            <a:ext uri="{FF2B5EF4-FFF2-40B4-BE49-F238E27FC236}">
              <a16:creationId xmlns:a16="http://schemas.microsoft.com/office/drawing/2014/main" id="{63F3D475-21EB-16BE-28D9-1BBC6C8BCAF6}"/>
            </a:ext>
          </a:extLst>
        </xdr:cNvPr>
        <xdr:cNvCxnSpPr/>
      </xdr:nvCxnSpPr>
      <xdr:spPr>
        <a:xfrm>
          <a:off x="10596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073" name="Match26">
          <a:extLst>
            <a:ext uri="{FF2B5EF4-FFF2-40B4-BE49-F238E27FC236}">
              <a16:creationId xmlns:a16="http://schemas.microsoft.com/office/drawing/2014/main" id="{1E30F226-1FFE-BA84-A397-A17727A2D9D2}"/>
            </a:ext>
          </a:extLst>
        </xdr:cNvPr>
        <xdr:cNvCxnSpPr/>
      </xdr:nvCxnSpPr>
      <xdr:spPr>
        <a:xfrm>
          <a:off x="233124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1074" name="Match27">
          <a:extLst>
            <a:ext uri="{FF2B5EF4-FFF2-40B4-BE49-F238E27FC236}">
              <a16:creationId xmlns:a16="http://schemas.microsoft.com/office/drawing/2014/main" id="{EB1A7CE7-5DCE-A72A-97C8-E70A39DB3721}"/>
            </a:ext>
          </a:extLst>
        </xdr:cNvPr>
        <xdr:cNvCxnSpPr/>
      </xdr:nvCxnSpPr>
      <xdr:spPr>
        <a:xfrm flipH="1"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2</xdr:row>
      <xdr:rowOff>229394</xdr:rowOff>
    </xdr:from>
    <xdr:to>
      <xdr:col>5</xdr:col>
      <xdr:colOff>262731</xdr:colOff>
      <xdr:row>3</xdr:row>
      <xdr:rowOff>229393</xdr:rowOff>
    </xdr:to>
    <xdr:cxnSp macro="">
      <xdr:nvCxnSpPr>
        <xdr:cNvPr id="1075" name="Match28">
          <a:extLst>
            <a:ext uri="{FF2B5EF4-FFF2-40B4-BE49-F238E27FC236}">
              <a16:creationId xmlns:a16="http://schemas.microsoft.com/office/drawing/2014/main" id="{103DA553-A64F-9A80-FFF7-4CDA4C601403}"/>
            </a:ext>
          </a:extLst>
        </xdr:cNvPr>
        <xdr:cNvCxnSpPr/>
      </xdr:nvCxnSpPr>
      <xdr:spPr>
        <a:xfrm flipH="1" flipV="1">
          <a:off x="1958181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076" name="Match29">
          <a:extLst>
            <a:ext uri="{FF2B5EF4-FFF2-40B4-BE49-F238E27FC236}">
              <a16:creationId xmlns:a16="http://schemas.microsoft.com/office/drawing/2014/main" id="{7276BFC6-0B3F-1EB3-AE68-E108E668D9AF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1077" name="Match30">
          <a:extLst>
            <a:ext uri="{FF2B5EF4-FFF2-40B4-BE49-F238E27FC236}">
              <a16:creationId xmlns:a16="http://schemas.microsoft.com/office/drawing/2014/main" id="{4AB1465F-073B-B286-5680-6169E756E7EF}"/>
            </a:ext>
          </a:extLst>
        </xdr:cNvPr>
        <xdr:cNvCxnSpPr/>
      </xdr:nvCxnSpPr>
      <xdr:spPr>
        <a:xfrm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078" name="Match31">
          <a:extLst>
            <a:ext uri="{FF2B5EF4-FFF2-40B4-BE49-F238E27FC236}">
              <a16:creationId xmlns:a16="http://schemas.microsoft.com/office/drawing/2014/main" id="{B9BDCFB1-A96F-2677-D69F-066D779C2451}"/>
            </a:ext>
          </a:extLst>
        </xdr:cNvPr>
        <xdr:cNvCxnSpPr/>
      </xdr:nvCxnSpPr>
      <xdr:spPr>
        <a:xfrm>
          <a:off x="190738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5</xdr:row>
      <xdr:rowOff>203993</xdr:rowOff>
    </xdr:to>
    <xdr:cxnSp macro="">
      <xdr:nvCxnSpPr>
        <xdr:cNvPr id="1079" name="Match32">
          <a:extLst>
            <a:ext uri="{FF2B5EF4-FFF2-40B4-BE49-F238E27FC236}">
              <a16:creationId xmlns:a16="http://schemas.microsoft.com/office/drawing/2014/main" id="{7128CA4E-1D16-0F56-72D7-A605FC347E01}"/>
            </a:ext>
          </a:extLst>
        </xdr:cNvPr>
        <xdr:cNvCxnSpPr/>
      </xdr:nvCxnSpPr>
      <xdr:spPr>
        <a:xfrm flipH="1">
          <a:off x="1508919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4</xdr:row>
      <xdr:rowOff>229394</xdr:rowOff>
    </xdr:from>
    <xdr:to>
      <xdr:col>4</xdr:col>
      <xdr:colOff>262731</xdr:colOff>
      <xdr:row>5</xdr:row>
      <xdr:rowOff>229393</xdr:rowOff>
    </xdr:to>
    <xdr:cxnSp macro="">
      <xdr:nvCxnSpPr>
        <xdr:cNvPr id="1080" name="Match33">
          <a:extLst>
            <a:ext uri="{FF2B5EF4-FFF2-40B4-BE49-F238E27FC236}">
              <a16:creationId xmlns:a16="http://schemas.microsoft.com/office/drawing/2014/main" id="{5EE0AF02-A092-9B08-335C-D80186812FD8}"/>
            </a:ext>
          </a:extLst>
        </xdr:cNvPr>
        <xdr:cNvCxnSpPr/>
      </xdr:nvCxnSpPr>
      <xdr:spPr>
        <a:xfrm flipV="1">
          <a:off x="1958181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1081" name="Match34">
          <a:extLst>
            <a:ext uri="{FF2B5EF4-FFF2-40B4-BE49-F238E27FC236}">
              <a16:creationId xmlns:a16="http://schemas.microsoft.com/office/drawing/2014/main" id="{ACB3815C-181A-FDA2-1401-9F30479E4F43}"/>
            </a:ext>
          </a:extLst>
        </xdr:cNvPr>
        <xdr:cNvCxnSpPr/>
      </xdr:nvCxnSpPr>
      <xdr:spPr>
        <a:xfrm flipH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7</xdr:row>
      <xdr:rowOff>229393</xdr:rowOff>
    </xdr:from>
    <xdr:to>
      <xdr:col>4</xdr:col>
      <xdr:colOff>262731</xdr:colOff>
      <xdr:row>8</xdr:row>
      <xdr:rowOff>229394</xdr:rowOff>
    </xdr:to>
    <xdr:cxnSp macro="">
      <xdr:nvCxnSpPr>
        <xdr:cNvPr id="1082" name="Match35">
          <a:extLst>
            <a:ext uri="{FF2B5EF4-FFF2-40B4-BE49-F238E27FC236}">
              <a16:creationId xmlns:a16="http://schemas.microsoft.com/office/drawing/2014/main" id="{DCF4F980-AF55-5FD0-3820-A56B4E487EAE}"/>
            </a:ext>
          </a:extLst>
        </xdr:cNvPr>
        <xdr:cNvCxnSpPr/>
      </xdr:nvCxnSpPr>
      <xdr:spPr>
        <a:xfrm flipH="1" flipV="1">
          <a:off x="153431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9</xdr:row>
      <xdr:rowOff>203993</xdr:rowOff>
    </xdr:to>
    <xdr:cxnSp macro="">
      <xdr:nvCxnSpPr>
        <xdr:cNvPr id="1083" name="Match36">
          <a:extLst>
            <a:ext uri="{FF2B5EF4-FFF2-40B4-BE49-F238E27FC236}">
              <a16:creationId xmlns:a16="http://schemas.microsoft.com/office/drawing/2014/main" id="{C6498DD6-A089-37B8-EC23-D908C6EF18BD}"/>
            </a:ext>
          </a:extLst>
        </xdr:cNvPr>
        <xdr:cNvCxnSpPr/>
      </xdr:nvCxnSpPr>
      <xdr:spPr>
        <a:xfrm flipH="1">
          <a:off x="1508919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84" name="Match37">
          <a:extLst>
            <a:ext uri="{FF2B5EF4-FFF2-40B4-BE49-F238E27FC236}">
              <a16:creationId xmlns:a16="http://schemas.microsoft.com/office/drawing/2014/main" id="{7838CD7A-B974-6E19-358A-A51F7FB732B7}"/>
            </a:ext>
          </a:extLst>
        </xdr:cNvPr>
        <xdr:cNvCxnSpPr/>
      </xdr:nvCxnSpPr>
      <xdr:spPr>
        <a:xfrm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085" name="Match38">
          <a:extLst>
            <a:ext uri="{FF2B5EF4-FFF2-40B4-BE49-F238E27FC236}">
              <a16:creationId xmlns:a16="http://schemas.microsoft.com/office/drawing/2014/main" id="{021E11F8-CC24-8FE0-D76B-FA8BF0AF73D2}"/>
            </a:ext>
          </a:extLst>
        </xdr:cNvPr>
        <xdr:cNvCxnSpPr/>
      </xdr:nvCxnSpPr>
      <xdr:spPr>
        <a:xfrm flipV="1">
          <a:off x="635794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086" name="Match39">
          <a:extLst>
            <a:ext uri="{FF2B5EF4-FFF2-40B4-BE49-F238E27FC236}">
              <a16:creationId xmlns:a16="http://schemas.microsoft.com/office/drawing/2014/main" id="{6E1C9365-969E-AD69-E4CD-CA3C5A6A3F02}"/>
            </a:ext>
          </a:extLst>
        </xdr:cNvPr>
        <xdr:cNvCxnSpPr/>
      </xdr:nvCxnSpPr>
      <xdr:spPr>
        <a:xfrm flipV="1">
          <a:off x="1907381" y="2321719"/>
          <a:ext cx="2119313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0</xdr:row>
      <xdr:rowOff>229394</xdr:rowOff>
    </xdr:from>
    <xdr:to>
      <xdr:col>3</xdr:col>
      <xdr:colOff>262731</xdr:colOff>
      <xdr:row>1</xdr:row>
      <xdr:rowOff>229393</xdr:rowOff>
    </xdr:to>
    <xdr:cxnSp macro="">
      <xdr:nvCxnSpPr>
        <xdr:cNvPr id="1087" name="Match40">
          <a:extLst>
            <a:ext uri="{FF2B5EF4-FFF2-40B4-BE49-F238E27FC236}">
              <a16:creationId xmlns:a16="http://schemas.microsoft.com/office/drawing/2014/main" id="{4AAC685C-8E15-78F1-9F1B-69F03265546F}"/>
            </a:ext>
          </a:extLst>
        </xdr:cNvPr>
        <xdr:cNvCxnSpPr/>
      </xdr:nvCxnSpPr>
      <xdr:spPr>
        <a:xfrm>
          <a:off x="1534319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600" name="Match41">
          <a:extLst>
            <a:ext uri="{FF2B5EF4-FFF2-40B4-BE49-F238E27FC236}">
              <a16:creationId xmlns:a16="http://schemas.microsoft.com/office/drawing/2014/main" id="{16C42CB9-DB69-6BA7-EB9B-1AAE30A6B633}"/>
            </a:ext>
          </a:extLst>
        </xdr:cNvPr>
        <xdr:cNvCxnSpPr/>
      </xdr:nvCxnSpPr>
      <xdr:spPr>
        <a:xfrm>
          <a:off x="36028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601" name="Match42">
          <a:extLst>
            <a:ext uri="{FF2B5EF4-FFF2-40B4-BE49-F238E27FC236}">
              <a16:creationId xmlns:a16="http://schemas.microsoft.com/office/drawing/2014/main" id="{ABD2E0F3-DA98-6A17-5DE4-AF086291138D}"/>
            </a:ext>
          </a:extLst>
        </xdr:cNvPr>
        <xdr:cNvCxnSpPr/>
      </xdr:nvCxnSpPr>
      <xdr:spPr>
        <a:xfrm flipH="1"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602" name="Match43">
          <a:extLst>
            <a:ext uri="{FF2B5EF4-FFF2-40B4-BE49-F238E27FC236}">
              <a16:creationId xmlns:a16="http://schemas.microsoft.com/office/drawing/2014/main" id="{4C33CE44-E71C-EFB2-8E6C-ACB5DB7B5406}"/>
            </a:ext>
          </a:extLst>
        </xdr:cNvPr>
        <xdr:cNvCxnSpPr/>
      </xdr:nvCxnSpPr>
      <xdr:spPr>
        <a:xfrm flipH="1">
          <a:off x="2373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3</xdr:row>
      <xdr:rowOff>254793</xdr:rowOff>
    </xdr:from>
    <xdr:to>
      <xdr:col>5</xdr:col>
      <xdr:colOff>288131</xdr:colOff>
      <xdr:row>4</xdr:row>
      <xdr:rowOff>254794</xdr:rowOff>
    </xdr:to>
    <xdr:cxnSp macro="">
      <xdr:nvCxnSpPr>
        <xdr:cNvPr id="1603" name="Match44">
          <a:extLst>
            <a:ext uri="{FF2B5EF4-FFF2-40B4-BE49-F238E27FC236}">
              <a16:creationId xmlns:a16="http://schemas.microsoft.com/office/drawing/2014/main" id="{9BA15824-3E6D-F165-DCE1-B7887B2BC674}"/>
            </a:ext>
          </a:extLst>
        </xdr:cNvPr>
        <xdr:cNvCxnSpPr/>
      </xdr:nvCxnSpPr>
      <xdr:spPr>
        <a:xfrm>
          <a:off x="2407444" y="1326356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1</xdr:col>
      <xdr:colOff>262731</xdr:colOff>
      <xdr:row>5</xdr:row>
      <xdr:rowOff>229393</xdr:rowOff>
    </xdr:to>
    <xdr:cxnSp macro="">
      <xdr:nvCxnSpPr>
        <xdr:cNvPr id="1604" name="Match45">
          <a:extLst>
            <a:ext uri="{FF2B5EF4-FFF2-40B4-BE49-F238E27FC236}">
              <a16:creationId xmlns:a16="http://schemas.microsoft.com/office/drawing/2014/main" id="{38982FCD-B284-7834-BCD4-F0E93224312C}"/>
            </a:ext>
          </a:extLst>
        </xdr:cNvPr>
        <xdr:cNvCxnSpPr/>
      </xdr:nvCxnSpPr>
      <xdr:spPr>
        <a:xfrm>
          <a:off x="68659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288131</xdr:colOff>
      <xdr:row>4</xdr:row>
      <xdr:rowOff>254794</xdr:rowOff>
    </xdr:from>
    <xdr:to>
      <xdr:col>1</xdr:col>
      <xdr:colOff>288131</xdr:colOff>
      <xdr:row>4</xdr:row>
      <xdr:rowOff>254794</xdr:rowOff>
    </xdr:to>
    <xdr:cxnSp macro="">
      <xdr:nvCxnSpPr>
        <xdr:cNvPr id="1605" name="Match46">
          <a:extLst>
            <a:ext uri="{FF2B5EF4-FFF2-40B4-BE49-F238E27FC236}">
              <a16:creationId xmlns:a16="http://schemas.microsoft.com/office/drawing/2014/main" id="{8BD06973-6700-36FF-144D-8B0E85A9D81E}"/>
            </a:ext>
          </a:extLst>
        </xdr:cNvPr>
        <xdr:cNvCxnSpPr/>
      </xdr:nvCxnSpPr>
      <xdr:spPr>
        <a:xfrm flipH="1">
          <a:off x="288131" y="1683544"/>
          <a:ext cx="423863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4</xdr:row>
      <xdr:rowOff>254794</xdr:rowOff>
    </xdr:from>
    <xdr:to>
      <xdr:col>5</xdr:col>
      <xdr:colOff>288131</xdr:colOff>
      <xdr:row>5</xdr:row>
      <xdr:rowOff>254793</xdr:rowOff>
    </xdr:to>
    <xdr:cxnSp macro="">
      <xdr:nvCxnSpPr>
        <xdr:cNvPr id="1606" name="Match47">
          <a:extLst>
            <a:ext uri="{FF2B5EF4-FFF2-40B4-BE49-F238E27FC236}">
              <a16:creationId xmlns:a16="http://schemas.microsoft.com/office/drawing/2014/main" id="{74E619DC-9315-D86E-6C2C-0EB5F2EB3E8C}"/>
            </a:ext>
          </a:extLst>
        </xdr:cNvPr>
        <xdr:cNvCxnSpPr/>
      </xdr:nvCxnSpPr>
      <xdr:spPr>
        <a:xfrm flipV="1">
          <a:off x="1983581" y="168354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7</xdr:row>
      <xdr:rowOff>229393</xdr:rowOff>
    </xdr:from>
    <xdr:to>
      <xdr:col>7</xdr:col>
      <xdr:colOff>262731</xdr:colOff>
      <xdr:row>8</xdr:row>
      <xdr:rowOff>229394</xdr:rowOff>
    </xdr:to>
    <xdr:cxnSp macro="">
      <xdr:nvCxnSpPr>
        <xdr:cNvPr id="1607" name="Match48">
          <a:extLst>
            <a:ext uri="{FF2B5EF4-FFF2-40B4-BE49-F238E27FC236}">
              <a16:creationId xmlns:a16="http://schemas.microsoft.com/office/drawing/2014/main" id="{DE900DA7-AD63-1C57-2F65-222BF43B362A}"/>
            </a:ext>
          </a:extLst>
        </xdr:cNvPr>
        <xdr:cNvCxnSpPr/>
      </xdr:nvCxnSpPr>
      <xdr:spPr>
        <a:xfrm flipH="1">
          <a:off x="2805906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8</xdr:row>
      <xdr:rowOff>229394</xdr:rowOff>
    </xdr:from>
    <xdr:to>
      <xdr:col>6</xdr:col>
      <xdr:colOff>262731</xdr:colOff>
      <xdr:row>8</xdr:row>
      <xdr:rowOff>229394</xdr:rowOff>
    </xdr:to>
    <xdr:cxnSp macro="">
      <xdr:nvCxnSpPr>
        <xdr:cNvPr id="1608" name="Match49">
          <a:extLst>
            <a:ext uri="{FF2B5EF4-FFF2-40B4-BE49-F238E27FC236}">
              <a16:creationId xmlns:a16="http://schemas.microsoft.com/office/drawing/2014/main" id="{CD43B191-9384-7875-BEB1-CB7797A23BA6}"/>
            </a:ext>
          </a:extLst>
        </xdr:cNvPr>
        <xdr:cNvCxnSpPr/>
      </xdr:nvCxnSpPr>
      <xdr:spPr>
        <a:xfrm>
          <a:off x="2382044" y="308689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609" name="Match50">
          <a:extLst>
            <a:ext uri="{FF2B5EF4-FFF2-40B4-BE49-F238E27FC236}">
              <a16:creationId xmlns:a16="http://schemas.microsoft.com/office/drawing/2014/main" id="{2F0FC554-9F15-B4B5-A18A-8DCAAE586006}"/>
            </a:ext>
          </a:extLst>
        </xdr:cNvPr>
        <xdr:cNvCxnSpPr/>
      </xdr:nvCxnSpPr>
      <xdr:spPr>
        <a:xfrm>
          <a:off x="4450556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610" name="Match51">
          <a:extLst>
            <a:ext uri="{FF2B5EF4-FFF2-40B4-BE49-F238E27FC236}">
              <a16:creationId xmlns:a16="http://schemas.microsoft.com/office/drawing/2014/main" id="{30DC953B-473C-8D92-C4ED-1B962C69418E}"/>
            </a:ext>
          </a:extLst>
        </xdr:cNvPr>
        <xdr:cNvCxnSpPr/>
      </xdr:nvCxnSpPr>
      <xdr:spPr>
        <a:xfrm>
          <a:off x="635794" y="17859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611" name="Match52">
          <a:extLst>
            <a:ext uri="{FF2B5EF4-FFF2-40B4-BE49-F238E27FC236}">
              <a16:creationId xmlns:a16="http://schemas.microsoft.com/office/drawing/2014/main" id="{26DE5550-3E26-AD78-BF49-9EE0C566653A}"/>
            </a:ext>
          </a:extLst>
        </xdr:cNvPr>
        <xdr:cNvCxnSpPr/>
      </xdr:nvCxnSpPr>
      <xdr:spPr>
        <a:xfrm flipH="1" flipV="1"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612" name="Match53">
          <a:extLst>
            <a:ext uri="{FF2B5EF4-FFF2-40B4-BE49-F238E27FC236}">
              <a16:creationId xmlns:a16="http://schemas.microsoft.com/office/drawing/2014/main" id="{6F12B0A0-DEE8-1419-B265-5D8D45CBDB92}"/>
            </a:ext>
          </a:extLst>
        </xdr:cNvPr>
        <xdr:cNvCxnSpPr/>
      </xdr:nvCxnSpPr>
      <xdr:spPr>
        <a:xfrm flipH="1"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613" name="Match54">
          <a:extLst>
            <a:ext uri="{FF2B5EF4-FFF2-40B4-BE49-F238E27FC236}">
              <a16:creationId xmlns:a16="http://schemas.microsoft.com/office/drawing/2014/main" id="{CE04AE3F-515D-C3D9-3E17-11FC9B5D3FBB}"/>
            </a:ext>
          </a:extLst>
        </xdr:cNvPr>
        <xdr:cNvCxnSpPr/>
      </xdr:nvCxnSpPr>
      <xdr:spPr>
        <a:xfrm flipV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614" name="Match55">
          <a:extLst>
            <a:ext uri="{FF2B5EF4-FFF2-40B4-BE49-F238E27FC236}">
              <a16:creationId xmlns:a16="http://schemas.microsoft.com/office/drawing/2014/main" id="{6E755CEB-D548-4EBF-051F-6C817DD109C8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615" name="Match56">
          <a:extLst>
            <a:ext uri="{FF2B5EF4-FFF2-40B4-BE49-F238E27FC236}">
              <a16:creationId xmlns:a16="http://schemas.microsoft.com/office/drawing/2014/main" id="{6C7DF34B-0DE5-ED10-A95C-C3FCB7F4C6B5}"/>
            </a:ext>
          </a:extLst>
        </xdr:cNvPr>
        <xdr:cNvCxnSpPr/>
      </xdr:nvCxnSpPr>
      <xdr:spPr>
        <a:xfrm flipH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616" name="Match57">
          <a:extLst>
            <a:ext uri="{FF2B5EF4-FFF2-40B4-BE49-F238E27FC236}">
              <a16:creationId xmlns:a16="http://schemas.microsoft.com/office/drawing/2014/main" id="{6E8887FD-2CFD-FCF1-6F2F-2388CD04B543}"/>
            </a:ext>
          </a:extLst>
        </xdr:cNvPr>
        <xdr:cNvCxnSpPr/>
      </xdr:nvCxnSpPr>
      <xdr:spPr>
        <a:xfrm flipH="1" flipV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617" name="Match58">
          <a:extLst>
            <a:ext uri="{FF2B5EF4-FFF2-40B4-BE49-F238E27FC236}">
              <a16:creationId xmlns:a16="http://schemas.microsoft.com/office/drawing/2014/main" id="{17771273-200C-5258-35F0-F5F4C694D303}"/>
            </a:ext>
          </a:extLst>
        </xdr:cNvPr>
        <xdr:cNvCxnSpPr/>
      </xdr:nvCxnSpPr>
      <xdr:spPr>
        <a:xfrm flipV="1">
          <a:off x="36028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618" name="Match59">
          <a:extLst>
            <a:ext uri="{FF2B5EF4-FFF2-40B4-BE49-F238E27FC236}">
              <a16:creationId xmlns:a16="http://schemas.microsoft.com/office/drawing/2014/main" id="{0B585DE7-3E64-CFB4-1F92-19F34A13F863}"/>
            </a:ext>
          </a:extLst>
        </xdr:cNvPr>
        <xdr:cNvCxnSpPr/>
      </xdr:nvCxnSpPr>
      <xdr:spPr>
        <a:xfrm flipH="1">
          <a:off x="44505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8</xdr:row>
      <xdr:rowOff>203994</xdr:rowOff>
    </xdr:to>
    <xdr:cxnSp macro="">
      <xdr:nvCxnSpPr>
        <xdr:cNvPr id="1619" name="Match60">
          <a:extLst>
            <a:ext uri="{FF2B5EF4-FFF2-40B4-BE49-F238E27FC236}">
              <a16:creationId xmlns:a16="http://schemas.microsoft.com/office/drawing/2014/main" id="{70B69A85-03AE-A26C-3886-B8D0382D6E3F}"/>
            </a:ext>
          </a:extLst>
        </xdr:cNvPr>
        <xdr:cNvCxnSpPr/>
      </xdr:nvCxnSpPr>
      <xdr:spPr>
        <a:xfrm flipH="1" flipV="1">
          <a:off x="447595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620" name="Match61">
          <a:extLst>
            <a:ext uri="{FF2B5EF4-FFF2-40B4-BE49-F238E27FC236}">
              <a16:creationId xmlns:a16="http://schemas.microsoft.com/office/drawing/2014/main" id="{1D202213-7E02-16C5-FD11-FF65A66C38D9}"/>
            </a:ext>
          </a:extLst>
        </xdr:cNvPr>
        <xdr:cNvCxnSpPr/>
      </xdr:nvCxnSpPr>
      <xdr:spPr>
        <a:xfrm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621" name="Match62">
          <a:extLst>
            <a:ext uri="{FF2B5EF4-FFF2-40B4-BE49-F238E27FC236}">
              <a16:creationId xmlns:a16="http://schemas.microsoft.com/office/drawing/2014/main" id="{3056059C-C626-B5DD-646B-74E3BCDD77C3}"/>
            </a:ext>
          </a:extLst>
        </xdr:cNvPr>
        <xdr:cNvCxnSpPr/>
      </xdr:nvCxnSpPr>
      <xdr:spPr>
        <a:xfrm>
          <a:off x="275510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30AAFF-1626-7DFC-6A42-75B90047A3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4" sqref="I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3</v>
      </c>
      <c r="B1" s="22">
        <v>3</v>
      </c>
      <c r="C1" s="27">
        <v>3</v>
      </c>
      <c r="D1" s="23">
        <v>8</v>
      </c>
      <c r="E1" s="23">
        <v>2</v>
      </c>
      <c r="F1" s="27">
        <v>9</v>
      </c>
      <c r="G1" s="27">
        <v>1</v>
      </c>
      <c r="H1" s="27">
        <v>3</v>
      </c>
      <c r="I1" s="23">
        <v>8</v>
      </c>
      <c r="J1" s="23">
        <v>8</v>
      </c>
      <c r="K1" s="27">
        <v>4</v>
      </c>
      <c r="L1" s="27">
        <v>7</v>
      </c>
      <c r="N1" s="2">
        <v>86</v>
      </c>
      <c r="O1" s="1">
        <v>13</v>
      </c>
    </row>
    <row r="2" spans="1:15" s="2" customFormat="1" ht="28.25" customHeight="1">
      <c r="A2" s="27">
        <v>5</v>
      </c>
      <c r="B2" s="22">
        <v>2</v>
      </c>
      <c r="C2" s="27">
        <v>7</v>
      </c>
      <c r="D2" s="23">
        <v>9</v>
      </c>
      <c r="E2" s="23">
        <v>2</v>
      </c>
      <c r="F2" s="27">
        <v>6</v>
      </c>
      <c r="G2" s="22">
        <v>7</v>
      </c>
      <c r="H2" s="27">
        <v>1</v>
      </c>
      <c r="I2" s="23">
        <v>9</v>
      </c>
      <c r="J2" s="23">
        <v>3</v>
      </c>
      <c r="K2" s="27">
        <v>4</v>
      </c>
      <c r="L2" s="27">
        <v>9</v>
      </c>
      <c r="N2" s="2">
        <v>215</v>
      </c>
      <c r="O2" s="2">
        <v>3</v>
      </c>
    </row>
    <row r="3" spans="1:15" ht="28.25" customHeight="1">
      <c r="A3" s="27">
        <v>4</v>
      </c>
      <c r="B3" s="22">
        <v>4</v>
      </c>
      <c r="C3" s="23">
        <v>5</v>
      </c>
      <c r="D3" s="23">
        <v>1</v>
      </c>
      <c r="E3" s="23">
        <v>2</v>
      </c>
      <c r="F3" s="23">
        <v>1</v>
      </c>
      <c r="G3" s="23">
        <v>5</v>
      </c>
      <c r="H3" s="22">
        <v>4</v>
      </c>
      <c r="I3" s="27">
        <v>5</v>
      </c>
      <c r="J3" s="27">
        <v>7</v>
      </c>
      <c r="K3" s="23">
        <v>6</v>
      </c>
      <c r="L3" s="27">
        <v>6</v>
      </c>
      <c r="N3" s="2">
        <v>2674785</v>
      </c>
      <c r="O3" s="1">
        <v>1</v>
      </c>
    </row>
    <row r="4" spans="1:15" ht="28.25" customHeight="1">
      <c r="A4" s="27">
        <v>7</v>
      </c>
      <c r="B4" s="22">
        <v>8</v>
      </c>
      <c r="C4" s="23">
        <v>8</v>
      </c>
      <c r="D4" s="22">
        <v>5</v>
      </c>
      <c r="E4" s="27">
        <v>7</v>
      </c>
      <c r="F4" s="23">
        <v>8</v>
      </c>
      <c r="G4" s="23">
        <v>2</v>
      </c>
      <c r="H4" s="27">
        <v>4</v>
      </c>
      <c r="I4" s="22">
        <v>3</v>
      </c>
      <c r="J4" s="22">
        <v>6</v>
      </c>
      <c r="K4" s="22">
        <v>1</v>
      </c>
      <c r="L4" s="22">
        <v>5</v>
      </c>
      <c r="N4" s="2">
        <v>772</v>
      </c>
      <c r="O4" s="1">
        <v>1</v>
      </c>
    </row>
    <row r="5" spans="1:15" ht="28.25" customHeight="1">
      <c r="A5" s="23">
        <v>9</v>
      </c>
      <c r="B5" s="22">
        <v>8</v>
      </c>
      <c r="C5" s="22">
        <v>2</v>
      </c>
      <c r="D5" s="22">
        <v>1</v>
      </c>
      <c r="E5" s="23">
        <v>2</v>
      </c>
      <c r="F5" s="23">
        <v>9</v>
      </c>
      <c r="G5" s="27">
        <v>1</v>
      </c>
      <c r="H5" s="23">
        <v>6</v>
      </c>
      <c r="I5" s="27">
        <v>4</v>
      </c>
      <c r="J5" s="22">
        <v>8</v>
      </c>
      <c r="K5" s="22">
        <v>6</v>
      </c>
      <c r="L5" s="22">
        <v>8</v>
      </c>
      <c r="N5" s="2">
        <v>22622</v>
      </c>
      <c r="O5" s="1">
        <v>2</v>
      </c>
    </row>
    <row r="6" spans="1:15" ht="28.25" customHeight="1">
      <c r="A6" s="23">
        <v>3</v>
      </c>
      <c r="B6" s="23">
        <v>9</v>
      </c>
      <c r="C6" s="22">
        <v>2</v>
      </c>
      <c r="D6" s="22">
        <v>2</v>
      </c>
      <c r="E6" s="23">
        <v>8</v>
      </c>
      <c r="F6" s="23">
        <v>2</v>
      </c>
      <c r="G6" s="22">
        <v>9</v>
      </c>
      <c r="H6" s="22">
        <v>6</v>
      </c>
      <c r="I6" s="22">
        <v>1</v>
      </c>
      <c r="J6" s="22">
        <v>6</v>
      </c>
      <c r="K6" s="22">
        <v>6</v>
      </c>
      <c r="L6" s="22">
        <v>7</v>
      </c>
      <c r="N6" s="2">
        <v>9616</v>
      </c>
      <c r="O6" s="1">
        <v>1</v>
      </c>
    </row>
    <row r="7" spans="1:15" ht="28.25" customHeight="1">
      <c r="A7" s="27">
        <v>7</v>
      </c>
      <c r="B7" s="23">
        <v>6</v>
      </c>
      <c r="C7" s="22">
        <v>6</v>
      </c>
      <c r="D7" s="27">
        <v>7</v>
      </c>
      <c r="E7" s="27">
        <v>5</v>
      </c>
      <c r="F7" s="27">
        <v>1</v>
      </c>
      <c r="G7" s="27">
        <v>1</v>
      </c>
      <c r="H7" s="27">
        <v>7</v>
      </c>
      <c r="I7" s="23">
        <v>3</v>
      </c>
      <c r="J7" s="22">
        <v>1</v>
      </c>
      <c r="K7" s="22">
        <v>9</v>
      </c>
      <c r="L7" s="22">
        <v>4</v>
      </c>
      <c r="N7" s="2">
        <v>5414</v>
      </c>
      <c r="O7" s="1">
        <v>1</v>
      </c>
    </row>
    <row r="8" spans="1:15" ht="28.25" customHeight="1">
      <c r="A8" s="27">
        <v>9</v>
      </c>
      <c r="B8" s="22">
        <v>5</v>
      </c>
      <c r="C8" s="22">
        <v>2</v>
      </c>
      <c r="D8" s="23">
        <v>2</v>
      </c>
      <c r="E8" s="23">
        <v>6</v>
      </c>
      <c r="F8" s="27">
        <v>4</v>
      </c>
      <c r="G8" s="23">
        <v>6</v>
      </c>
      <c r="H8" s="23">
        <v>8</v>
      </c>
      <c r="I8" s="22">
        <v>6</v>
      </c>
      <c r="J8" s="22">
        <v>4</v>
      </c>
      <c r="K8" s="22">
        <v>3</v>
      </c>
      <c r="L8" s="22">
        <v>7</v>
      </c>
      <c r="N8" s="2">
        <v>82</v>
      </c>
      <c r="O8" s="1">
        <v>16</v>
      </c>
    </row>
    <row r="9" spans="1:15" ht="28.25" customHeight="1">
      <c r="A9" s="27">
        <v>1</v>
      </c>
      <c r="B9" s="22">
        <v>6</v>
      </c>
      <c r="C9" s="22">
        <v>2</v>
      </c>
      <c r="D9" s="27">
        <v>5</v>
      </c>
      <c r="E9" s="23">
        <v>8</v>
      </c>
      <c r="F9" s="22">
        <v>8</v>
      </c>
      <c r="G9" s="22">
        <v>9</v>
      </c>
      <c r="H9" s="22">
        <v>1</v>
      </c>
      <c r="I9" s="22">
        <v>1</v>
      </c>
      <c r="J9" s="27">
        <v>7</v>
      </c>
      <c r="K9" s="22">
        <v>3</v>
      </c>
      <c r="L9" s="22">
        <v>6</v>
      </c>
      <c r="N9" s="2">
        <v>37465</v>
      </c>
      <c r="O9" s="1">
        <v>1</v>
      </c>
    </row>
    <row r="10" spans="1:15" ht="28.25" customHeight="1">
      <c r="A10" s="27">
        <v>4</v>
      </c>
      <c r="B10" s="22">
        <v>4</v>
      </c>
      <c r="C10" s="27">
        <v>9</v>
      </c>
      <c r="D10" s="22">
        <v>2</v>
      </c>
      <c r="E10" s="22">
        <v>8</v>
      </c>
      <c r="F10" s="27">
        <v>3</v>
      </c>
      <c r="G10" s="22">
        <v>1</v>
      </c>
      <c r="H10" s="22">
        <v>4</v>
      </c>
      <c r="I10" s="27">
        <v>3</v>
      </c>
      <c r="J10" s="22">
        <v>2</v>
      </c>
      <c r="K10" s="22">
        <v>1</v>
      </c>
      <c r="L10" s="22">
        <v>2</v>
      </c>
      <c r="N10" s="2">
        <v>151161</v>
      </c>
      <c r="O10" s="1">
        <v>1</v>
      </c>
    </row>
    <row r="11" spans="1:15" ht="28.25" customHeight="1">
      <c r="A11" s="27">
        <v>4</v>
      </c>
      <c r="B11" s="22">
        <v>7</v>
      </c>
      <c r="C11" s="27">
        <v>2</v>
      </c>
      <c r="D11" s="23">
        <v>6</v>
      </c>
      <c r="E11" s="27">
        <v>4</v>
      </c>
      <c r="F11" s="22">
        <v>5</v>
      </c>
      <c r="G11" s="22">
        <v>5</v>
      </c>
      <c r="H11" s="27">
        <v>2</v>
      </c>
      <c r="I11" s="22">
        <v>7</v>
      </c>
      <c r="J11" s="27">
        <v>4</v>
      </c>
      <c r="K11" s="23">
        <v>2</v>
      </c>
      <c r="L11" s="27">
        <v>5</v>
      </c>
      <c r="N11" s="2">
        <v>89</v>
      </c>
      <c r="O11" s="1">
        <v>10</v>
      </c>
    </row>
    <row r="12" spans="1:15" ht="28.25" customHeight="1">
      <c r="A12" s="22">
        <v>6</v>
      </c>
      <c r="B12" s="22">
        <v>3</v>
      </c>
      <c r="C12" s="27">
        <v>9</v>
      </c>
      <c r="D12" s="27">
        <v>1</v>
      </c>
      <c r="E12" s="22">
        <v>1</v>
      </c>
      <c r="F12" s="23">
        <v>8</v>
      </c>
      <c r="G12" s="23">
        <v>6</v>
      </c>
      <c r="H12" s="22">
        <v>7</v>
      </c>
      <c r="I12" s="27">
        <v>7</v>
      </c>
      <c r="J12" s="23">
        <v>8</v>
      </c>
      <c r="K12" s="27">
        <v>3</v>
      </c>
      <c r="L12" s="27">
        <v>9</v>
      </c>
      <c r="N12" s="2">
        <v>1669331</v>
      </c>
      <c r="O12" s="1">
        <v>1</v>
      </c>
    </row>
    <row r="13" spans="1:15" ht="28.25" customHeight="1">
      <c r="N13" s="2">
        <v>32488</v>
      </c>
      <c r="O13" s="1">
        <v>1</v>
      </c>
    </row>
    <row r="14" spans="1:15" ht="28.25" customHeight="1">
      <c r="N14" s="2">
        <v>63</v>
      </c>
      <c r="O14" s="1">
        <v>10</v>
      </c>
    </row>
    <row r="15" spans="1:15" ht="28.25" customHeight="1">
      <c r="N15" s="2">
        <v>743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05"/>
  <sheetViews>
    <sheetView tabSelected="1" zoomScaleNormal="100" workbookViewId="0">
      <pane ySplit="2" topLeftCell="A300" activePane="bottomLeft" state="frozen"/>
      <selection pane="bottomLeft" activeCell="A305" sqref="A305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644</v>
      </c>
      <c r="I295" t="s">
        <v>645</v>
      </c>
      <c r="J295">
        <v>0</v>
      </c>
      <c r="K295">
        <f t="shared" ref="K295" si="770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771">L294+K295</f>
        <v>360</v>
      </c>
      <c r="M295">
        <f t="shared" ref="M295" si="772">2+IF(A295&gt;=DATEVALUE("2025/11/30")+TIMEVALUE("6:00"),1,0)+IF(A295&gt;=DATEVALUE("2025/12/11")+TIMEVALUE("6:00"),1,0)</f>
        <v>4</v>
      </c>
      <c r="N295">
        <f t="shared" ref="N295" si="773">N294+M295*(INT(A295-6/24)-INT(A294-6/24))+O295</f>
        <v>363</v>
      </c>
      <c r="O295">
        <f t="shared" ref="O295" si="774">IF(A295&gt;=DATEVALUE("2025/11/8")+TIMEVALUE("6:00"),1,0)-IF(A294&gt;=DATEVALUE("2025/11/8")+TIMEVALUE("6:00"),1,0)
+IF(A295&gt;=DATEVALUE("2026/1/22")+TIMEVALUE("6:00"),3,0)-IF(A294&gt;=DATEVALUE("2026/1/22")+TIMEVALUE("6:00"),3,0)</f>
        <v>0</v>
      </c>
      <c r="P295" t="str">
        <f t="shared" ref="P295" si="775">IF(L295&lt;N295,"未達成（"&amp;N295-L295&amp;"）",IF(L295=N295,"達成","前倒し（"&amp;L295-N295&amp;"）"))</f>
        <v>未達成（3）</v>
      </c>
      <c r="Q295">
        <f t="shared" ref="Q295" si="776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646</v>
      </c>
      <c r="I296" t="s">
        <v>647</v>
      </c>
      <c r="J296">
        <v>0</v>
      </c>
      <c r="K296">
        <f t="shared" ref="K296" si="777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78">L295+K296</f>
        <v>362</v>
      </c>
      <c r="M296">
        <f t="shared" ref="M296" si="779">2+IF(A296&gt;=DATEVALUE("2025/11/30")+TIMEVALUE("6:00"),1,0)+IF(A296&gt;=DATEVALUE("2025/12/11")+TIMEVALUE("6:00"),1,0)</f>
        <v>4</v>
      </c>
      <c r="N296">
        <f t="shared" ref="N296" si="780">N295+M296*(INT(A296-6/24)-INT(A295-6/24))+O296</f>
        <v>363</v>
      </c>
      <c r="O296">
        <f t="shared" ref="O296" si="781">IF(A296&gt;=DATEVALUE("2025/11/8")+TIMEVALUE("6:00"),1,0)-IF(A295&gt;=DATEVALUE("2025/11/8")+TIMEVALUE("6:00"),1,0)
+IF(A296&gt;=DATEVALUE("2026/1/22")+TIMEVALUE("6:00"),3,0)-IF(A295&gt;=DATEVALUE("2026/1/22")+TIMEVALUE("6:00"),3,0)</f>
        <v>0</v>
      </c>
      <c r="P296" t="str">
        <f t="shared" ref="P296" si="782">IF(L296&lt;N296,"未達成（"&amp;N296-L296&amp;"）",IF(L296=N296,"達成","前倒し（"&amp;L296-N296&amp;"）"))</f>
        <v>未達成（1）</v>
      </c>
      <c r="Q296">
        <f t="shared" ref="Q296" si="783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648</v>
      </c>
      <c r="I297" t="s">
        <v>649</v>
      </c>
      <c r="J297">
        <v>0</v>
      </c>
      <c r="K297">
        <f t="shared" ref="K297" si="784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85">L296+K297</f>
        <v>363</v>
      </c>
      <c r="M297">
        <f t="shared" ref="M297" si="786">2+IF(A297&gt;=DATEVALUE("2025/11/30")+TIMEVALUE("6:00"),1,0)+IF(A297&gt;=DATEVALUE("2025/12/11")+TIMEVALUE("6:00"),1,0)</f>
        <v>4</v>
      </c>
      <c r="N297">
        <f t="shared" ref="N297" si="787">N296+M297*(INT(A297-6/24)-INT(A296-6/24))+O297</f>
        <v>363</v>
      </c>
      <c r="O297">
        <f t="shared" ref="O297" si="788">IF(A297&gt;=DATEVALUE("2025/11/8")+TIMEVALUE("6:00"),1,0)-IF(A296&gt;=DATEVALUE("2025/11/8")+TIMEVALUE("6:00"),1,0)
+IF(A297&gt;=DATEVALUE("2026/1/22")+TIMEVALUE("6:00"),3,0)-IF(A296&gt;=DATEVALUE("2026/1/22")+TIMEVALUE("6:00"),3,0)</f>
        <v>0</v>
      </c>
      <c r="P297" t="str">
        <f t="shared" ref="P297" si="789">IF(L297&lt;N297,"未達成（"&amp;N297-L297&amp;"）",IF(L297=N297,"達成","前倒し（"&amp;L297-N297&amp;"）"))</f>
        <v>達成</v>
      </c>
      <c r="Q297">
        <f t="shared" ref="Q297" si="790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650</v>
      </c>
      <c r="I298" t="s">
        <v>651</v>
      </c>
      <c r="J298">
        <v>0</v>
      </c>
      <c r="K298">
        <f t="shared" ref="K298" si="791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92">L297+K298</f>
        <v>365</v>
      </c>
      <c r="M298">
        <f t="shared" ref="M298" si="793">2+IF(A298&gt;=DATEVALUE("2025/11/30")+TIMEVALUE("6:00"),1,0)+IF(A298&gt;=DATEVALUE("2025/12/11")+TIMEVALUE("6:00"),1,0)</f>
        <v>4</v>
      </c>
      <c r="N298">
        <f t="shared" ref="N298" si="794">N297+M298*(INT(A298-6/24)-INT(A297-6/24))+O298</f>
        <v>367</v>
      </c>
      <c r="O298">
        <f t="shared" ref="O298" si="795">IF(A298&gt;=DATEVALUE("2025/11/8")+TIMEVALUE("6:00"),1,0)-IF(A297&gt;=DATEVALUE("2025/11/8")+TIMEVALUE("6:00"),1,0)
+IF(A298&gt;=DATEVALUE("2026/1/22")+TIMEVALUE("6:00"),3,0)-IF(A297&gt;=DATEVALUE("2026/1/22")+TIMEVALUE("6:00"),3,0)</f>
        <v>0</v>
      </c>
      <c r="P298" t="str">
        <f t="shared" ref="P298" si="796">IF(L298&lt;N298,"未達成（"&amp;N298-L298&amp;"）",IF(L298=N298,"達成","前倒し（"&amp;L298-N298&amp;"）"))</f>
        <v>未達成（2）</v>
      </c>
      <c r="Q298">
        <f t="shared" ref="Q298" si="79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652</v>
      </c>
      <c r="I299" t="s">
        <v>653</v>
      </c>
      <c r="J299">
        <v>0</v>
      </c>
      <c r="K299">
        <f t="shared" ref="K299" si="79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99">L298+K299</f>
        <v>367</v>
      </c>
      <c r="M299">
        <f t="shared" ref="M299" si="800">2+IF(A299&gt;=DATEVALUE("2025/11/30")+TIMEVALUE("6:00"),1,0)+IF(A299&gt;=DATEVALUE("2025/12/11")+TIMEVALUE("6:00"),1,0)</f>
        <v>4</v>
      </c>
      <c r="N299">
        <f t="shared" ref="N299" si="801">N298+M299*(INT(A299-6/24)-INT(A298-6/24))+O299</f>
        <v>367</v>
      </c>
      <c r="O299">
        <f t="shared" ref="O299" si="802">IF(A299&gt;=DATEVALUE("2025/11/8")+TIMEVALUE("6:00"),1,0)-IF(A298&gt;=DATEVALUE("2025/11/8")+TIMEVALUE("6:00"),1,0)
+IF(A299&gt;=DATEVALUE("2026/1/22")+TIMEVALUE("6:00"),3,0)-IF(A298&gt;=DATEVALUE("2026/1/22")+TIMEVALUE("6:00"),3,0)</f>
        <v>0</v>
      </c>
      <c r="P299" t="str">
        <f t="shared" ref="P299" si="803">IF(L299&lt;N299,"未達成（"&amp;N299-L299&amp;"）",IF(L299=N299,"達成","前倒し（"&amp;L299-N299&amp;"）"))</f>
        <v>達成</v>
      </c>
      <c r="Q299">
        <f t="shared" ref="Q299" si="804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654</v>
      </c>
      <c r="I300" t="s">
        <v>655</v>
      </c>
      <c r="J300">
        <v>0</v>
      </c>
      <c r="K300">
        <f t="shared" ref="K300" si="805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806">L299+K300</f>
        <v>368</v>
      </c>
      <c r="M300">
        <f t="shared" ref="M300" si="807">2+IF(A300&gt;=DATEVALUE("2025/11/30")+TIMEVALUE("6:00"),1,0)+IF(A300&gt;=DATEVALUE("2025/12/11")+TIMEVALUE("6:00"),1,0)</f>
        <v>4</v>
      </c>
      <c r="N300">
        <f t="shared" ref="N300" si="808">N299+M300*(INT(A300-6/24)-INT(A299-6/24))+O300</f>
        <v>371</v>
      </c>
      <c r="O300">
        <f t="shared" ref="O300" si="809">IF(A300&gt;=DATEVALUE("2025/11/8")+TIMEVALUE("6:00"),1,0)-IF(A299&gt;=DATEVALUE("2025/11/8")+TIMEVALUE("6:00"),1,0)
+IF(A300&gt;=DATEVALUE("2026/1/22")+TIMEVALUE("6:00"),3,0)-IF(A299&gt;=DATEVALUE("2026/1/22")+TIMEVALUE("6:00"),3,0)</f>
        <v>0</v>
      </c>
      <c r="P300" t="str">
        <f t="shared" ref="P300" si="810">IF(L300&lt;N300,"未達成（"&amp;N300-L300&amp;"）",IF(L300=N300,"達成","前倒し（"&amp;L300-N300&amp;"）"))</f>
        <v>未達成（3）</v>
      </c>
      <c r="Q300">
        <f t="shared" ref="Q300" si="811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656</v>
      </c>
      <c r="I301" t="s">
        <v>657</v>
      </c>
      <c r="J301">
        <v>0</v>
      </c>
      <c r="K301">
        <f t="shared" ref="K301" si="812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813">L300+K301</f>
        <v>370</v>
      </c>
      <c r="M301">
        <f t="shared" ref="M301" si="814">2+IF(A301&gt;=DATEVALUE("2025/11/30")+TIMEVALUE("6:00"),1,0)+IF(A301&gt;=DATEVALUE("2025/12/11")+TIMEVALUE("6:00"),1,0)</f>
        <v>4</v>
      </c>
      <c r="N301">
        <f t="shared" ref="N301" si="815">N300+M301*(INT(A301-6/24)-INT(A300-6/24))+O301</f>
        <v>371</v>
      </c>
      <c r="O301">
        <f t="shared" ref="O301" si="816">IF(A301&gt;=DATEVALUE("2025/11/8")+TIMEVALUE("6:00"),1,0)-IF(A300&gt;=DATEVALUE("2025/11/8")+TIMEVALUE("6:00"),1,0)
+IF(A301&gt;=DATEVALUE("2026/1/22")+TIMEVALUE("6:00"),3,0)-IF(A300&gt;=DATEVALUE("2026/1/22")+TIMEVALUE("6:00"),3,0)</f>
        <v>0</v>
      </c>
      <c r="P301" t="str">
        <f t="shared" ref="P301" si="817">IF(L301&lt;N301,"未達成（"&amp;N301-L301&amp;"）",IF(L301=N301,"達成","前倒し（"&amp;L301-N301&amp;"）"))</f>
        <v>未達成（1）</v>
      </c>
      <c r="Q301">
        <f t="shared" ref="Q301" si="818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658</v>
      </c>
      <c r="I302" t="s">
        <v>659</v>
      </c>
      <c r="J302">
        <v>0</v>
      </c>
      <c r="K302">
        <f t="shared" ref="K302" si="819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820">L301+K302</f>
        <v>370</v>
      </c>
      <c r="M302">
        <f t="shared" ref="M302" si="821">2+IF(A302&gt;=DATEVALUE("2025/11/30")+TIMEVALUE("6:00"),1,0)+IF(A302&gt;=DATEVALUE("2025/12/11")+TIMEVALUE("6:00"),1,0)</f>
        <v>4</v>
      </c>
      <c r="N302">
        <f t="shared" ref="N302" si="822">N301+M302*(INT(A302-6/24)-INT(A301-6/24))+O302</f>
        <v>371</v>
      </c>
      <c r="O302">
        <f t="shared" ref="O302" si="823">IF(A302&gt;=DATEVALUE("2025/11/8")+TIMEVALUE("6:00"),1,0)-IF(A301&gt;=DATEVALUE("2025/11/8")+TIMEVALUE("6:00"),1,0)
+IF(A302&gt;=DATEVALUE("2026/1/22")+TIMEVALUE("6:00"),3,0)-IF(A301&gt;=DATEVALUE("2026/1/22")+TIMEVALUE("6:00"),3,0)</f>
        <v>0</v>
      </c>
      <c r="P302" t="str">
        <f t="shared" ref="P302" si="824">IF(L302&lt;N302,"未達成（"&amp;N302-L302&amp;"）",IF(L302=N302,"達成","前倒し（"&amp;L302-N302&amp;"）"))</f>
        <v>未達成（1）</v>
      </c>
      <c r="Q302">
        <f t="shared" ref="Q302" si="825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660</v>
      </c>
      <c r="I303" t="s">
        <v>661</v>
      </c>
      <c r="J303">
        <v>0</v>
      </c>
      <c r="K303">
        <f t="shared" ref="K303" si="826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827">L302+K303</f>
        <v>372</v>
      </c>
      <c r="M303">
        <f t="shared" ref="M303" si="828">2+IF(A303&gt;=DATEVALUE("2025/11/30")+TIMEVALUE("6:00"),1,0)+IF(A303&gt;=DATEVALUE("2025/12/11")+TIMEVALUE("6:00"),1,0)</f>
        <v>4</v>
      </c>
      <c r="N303">
        <f t="shared" ref="N303" si="829">N302+M303*(INT(A303-6/24)-INT(A302-6/24))+O303</f>
        <v>371</v>
      </c>
      <c r="O303">
        <f t="shared" ref="O303" si="830">IF(A303&gt;=DATEVALUE("2025/11/8")+TIMEVALUE("6:00"),1,0)-IF(A302&gt;=DATEVALUE("2025/11/8")+TIMEVALUE("6:00"),1,0)
+IF(A303&gt;=DATEVALUE("2026/1/22")+TIMEVALUE("6:00"),3,0)-IF(A302&gt;=DATEVALUE("2026/1/22")+TIMEVALUE("6:00"),3,0)</f>
        <v>0</v>
      </c>
      <c r="P303" t="str">
        <f t="shared" ref="P303" si="831">IF(L303&lt;N303,"未達成（"&amp;N303-L303&amp;"）",IF(L303=N303,"達成","前倒し（"&amp;L303-N303&amp;"）"))</f>
        <v>前倒し（1）</v>
      </c>
      <c r="Q303">
        <f t="shared" ref="Q303" si="832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662</v>
      </c>
      <c r="I304" t="s">
        <v>663</v>
      </c>
      <c r="J304">
        <v>0</v>
      </c>
      <c r="K304">
        <f t="shared" ref="K304" si="833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834">L303+K304</f>
        <v>373</v>
      </c>
      <c r="M304">
        <f t="shared" ref="M304" si="835">2+IF(A304&gt;=DATEVALUE("2025/11/30")+TIMEVALUE("6:00"),1,0)+IF(A304&gt;=DATEVALUE("2025/12/11")+TIMEVALUE("6:00"),1,0)</f>
        <v>4</v>
      </c>
      <c r="N304">
        <f t="shared" ref="N304" si="836">N303+M304*(INT(A304-6/24)-INT(A303-6/24))+O304</f>
        <v>375</v>
      </c>
      <c r="O304">
        <f t="shared" ref="O304" si="837">IF(A304&gt;=DATEVALUE("2025/11/8")+TIMEVALUE("6:00"),1,0)-IF(A303&gt;=DATEVALUE("2025/11/8")+TIMEVALUE("6:00"),1,0)
+IF(A304&gt;=DATEVALUE("2026/1/22")+TIMEVALUE("6:00"),3,0)-IF(A303&gt;=DATEVALUE("2026/1/22")+TIMEVALUE("6:00"),3,0)</f>
        <v>0</v>
      </c>
      <c r="P304" t="str">
        <f t="shared" ref="P304" si="838">IF(L304&lt;N304,"未達成（"&amp;N304-L304&amp;"）",IF(L304=N304,"達成","前倒し（"&amp;L304-N304&amp;"）"))</f>
        <v>未達成（2）</v>
      </c>
      <c r="Q304">
        <f t="shared" ref="Q304" si="839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664</v>
      </c>
      <c r="I305" t="s">
        <v>665</v>
      </c>
      <c r="J305">
        <v>0</v>
      </c>
      <c r="K305">
        <f t="shared" ref="K305" si="840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841">L304+K305</f>
        <v>375</v>
      </c>
      <c r="M305">
        <f t="shared" ref="M305" si="842">2+IF(A305&gt;=DATEVALUE("2025/11/30")+TIMEVALUE("6:00"),1,0)+IF(A305&gt;=DATEVALUE("2025/12/11")+TIMEVALUE("6:00"),1,0)</f>
        <v>4</v>
      </c>
      <c r="N305">
        <f t="shared" ref="N305" si="843">N304+M305*(INT(A305-6/24)-INT(A304-6/24))+O305</f>
        <v>375</v>
      </c>
      <c r="O305">
        <f t="shared" ref="O305" si="844">IF(A305&gt;=DATEVALUE("2025/11/8")+TIMEVALUE("6:00"),1,0)-IF(A304&gt;=DATEVALUE("2025/11/8")+TIMEVALUE("6:00"),1,0)
+IF(A305&gt;=DATEVALUE("2026/1/22")+TIMEVALUE("6:00"),3,0)-IF(A304&gt;=DATEVALUE("2026/1/22")+TIMEVALUE("6:00"),3,0)</f>
        <v>0</v>
      </c>
      <c r="P305" t="str">
        <f t="shared" ref="P305" si="845">IF(L305&lt;N305,"未達成（"&amp;N305-L305&amp;"）",IF(L305=N305,"達成","前倒し（"&amp;L305-N305&amp;"）"))</f>
        <v>達成</v>
      </c>
      <c r="Q305">
        <f t="shared" ref="Q305" si="846">IF(B305="",NA(),G305)</f>
        <v>6.4930555527098477E-3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46072.296724537038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2026-02-18T22:16:59Z</dcterms:modified>
</cp:coreProperties>
</file>
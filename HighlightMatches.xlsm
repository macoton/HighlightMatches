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AE0DF5A7-FFBE-4D48-9361-0FC3DB04A6A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9" i="4" l="1"/>
  <c r="M129" i="4"/>
  <c r="N129" i="4" s="1"/>
  <c r="K129" i="4"/>
  <c r="L129" i="4" s="1"/>
  <c r="P129" i="4" s="1"/>
  <c r="O128" i="4"/>
  <c r="N128" i="4"/>
  <c r="M128" i="4"/>
  <c r="K128" i="4"/>
  <c r="L128" i="4" s="1"/>
  <c r="P128" i="4" s="1"/>
  <c r="O127" i="4"/>
  <c r="M127" i="4"/>
  <c r="N127" i="4" s="1"/>
  <c r="K127" i="4"/>
  <c r="L127" i="4" s="1"/>
  <c r="O126" i="4"/>
  <c r="M126" i="4"/>
  <c r="N126" i="4" s="1"/>
  <c r="K126" i="4"/>
  <c r="L126" i="4" s="1"/>
  <c r="O125" i="4"/>
  <c r="M125" i="4"/>
  <c r="N125" i="4" s="1"/>
  <c r="K125" i="4"/>
  <c r="L125" i="4" s="1"/>
  <c r="O124" i="4"/>
  <c r="M124" i="4"/>
  <c r="N124" i="4" s="1"/>
  <c r="K124" i="4"/>
  <c r="L124" i="4" s="1"/>
  <c r="P124" i="4" s="1"/>
  <c r="O123" i="4"/>
  <c r="M123" i="4"/>
  <c r="K123" i="4"/>
  <c r="L123" i="4" s="1"/>
  <c r="O122" i="4"/>
  <c r="M122" i="4"/>
  <c r="N122" i="4" s="1"/>
  <c r="K122" i="4"/>
  <c r="L122" i="4" s="1"/>
  <c r="P122" i="4" s="1"/>
  <c r="O121" i="4"/>
  <c r="M121" i="4"/>
  <c r="N121" i="4" s="1"/>
  <c r="K121" i="4"/>
  <c r="L121" i="4" s="1"/>
  <c r="O120" i="4"/>
  <c r="M120" i="4"/>
  <c r="N120" i="4" s="1"/>
  <c r="K120" i="4"/>
  <c r="L120" i="4" s="1"/>
  <c r="O119" i="4"/>
  <c r="M119" i="4"/>
  <c r="N119" i="4" s="1"/>
  <c r="K119" i="4"/>
  <c r="L119" i="4" s="1"/>
  <c r="O118" i="4"/>
  <c r="M118" i="4"/>
  <c r="N118" i="4" s="1"/>
  <c r="K118" i="4"/>
  <c r="L118" i="4" s="1"/>
  <c r="O117" i="4"/>
  <c r="M117" i="4"/>
  <c r="N117" i="4" s="1"/>
  <c r="K117" i="4"/>
  <c r="L117" i="4" s="1"/>
  <c r="O116" i="4"/>
  <c r="M116" i="4"/>
  <c r="N116" i="4" s="1"/>
  <c r="K116" i="4"/>
  <c r="L116" i="4" s="1"/>
  <c r="P116" i="4" s="1"/>
  <c r="O115" i="4"/>
  <c r="M115" i="4"/>
  <c r="N115" i="4" s="1"/>
  <c r="K115" i="4"/>
  <c r="L115" i="4" s="1"/>
  <c r="O114" i="4"/>
  <c r="M114" i="4"/>
  <c r="N114" i="4" s="1"/>
  <c r="K114" i="4"/>
  <c r="L114" i="4" s="1"/>
  <c r="O113" i="4"/>
  <c r="M113" i="4"/>
  <c r="N113" i="4" s="1"/>
  <c r="K113" i="4"/>
  <c r="L113" i="4" s="1"/>
  <c r="P113" i="4" s="1"/>
  <c r="O112" i="4"/>
  <c r="M112" i="4"/>
  <c r="N112" i="4" s="1"/>
  <c r="K112" i="4"/>
  <c r="L112" i="4" s="1"/>
  <c r="P112" i="4" s="1"/>
  <c r="O111" i="4"/>
  <c r="M111" i="4"/>
  <c r="N111" i="4" s="1"/>
  <c r="K111" i="4"/>
  <c r="L111" i="4" s="1"/>
  <c r="P111" i="4" s="1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27" i="4" l="1"/>
  <c r="P126" i="4"/>
  <c r="P125" i="4"/>
  <c r="N123" i="4"/>
  <c r="P123" i="4" s="1"/>
  <c r="P121" i="4"/>
  <c r="P120" i="4"/>
  <c r="P119" i="4"/>
  <c r="P118" i="4"/>
  <c r="P117" i="4"/>
  <c r="P115" i="4"/>
  <c r="P114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s="1"/>
</calcChain>
</file>

<file path=xl/sharedStrings.xml><?xml version="1.0" encoding="utf-8"?>
<sst xmlns="http://schemas.openxmlformats.org/spreadsheetml/2006/main" count="335" uniqueCount="316">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</sst>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データ!$P$1:$P$128</c:f>
              <c:strCache>
                <c:ptCount val="128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データ!$A$2:$A$129</c:f>
              <c:numCache>
                <c:formatCode>m/d/yyyy\ h:mm</c:formatCode>
                <c:ptCount val="12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</c:numCache>
            </c:numRef>
          </c:xVal>
          <c:yVal>
            <c:numRef>
              <c:f>データ!$B$2:$B$129</c:f>
              <c:numCache>
                <c:formatCode>General</c:formatCode>
                <c:ptCount val="12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EE1-86BB-3936A12AB74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AA6-4EE1-86BB-3936A12AB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97584"/>
        <c:axId val="201809806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データ!$A$2:$A$129</c:f>
              <c:numCache>
                <c:formatCode>m/d/yyyy\ h:mm</c:formatCode>
                <c:ptCount val="12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</c:numCache>
            </c:numRef>
          </c:xVal>
          <c:yVal>
            <c:numRef>
              <c:f>データ!$G$2:$G$129</c:f>
              <c:numCache>
                <c:formatCode>[h]:mm</c:formatCode>
                <c:ptCount val="12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A6-4EE1-86BB-3936A12AB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124464"/>
        <c:axId val="2018120624"/>
      </c:scatterChart>
      <c:valAx>
        <c:axId val="20180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8098064"/>
        <c:crosses val="autoZero"/>
        <c:crossBetween val="midCat"/>
      </c:valAx>
      <c:valAx>
        <c:axId val="201809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8097584"/>
        <c:crosses val="autoZero"/>
        <c:crossBetween val="midCat"/>
      </c:valAx>
      <c:valAx>
        <c:axId val="201812062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8124464"/>
        <c:crosses val="max"/>
        <c:crossBetween val="midCat"/>
      </c:valAx>
      <c:valAx>
        <c:axId val="201812446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812062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280" name="Match0">
          <a:extLst>
            <a:ext uri="{FF2B5EF4-FFF2-40B4-BE49-F238E27FC236}">
              <a16:creationId xmlns:a16="http://schemas.microsoft.com/office/drawing/2014/main" id="{C79B60F9-7B4F-2CAF-5915-5A1641634CF5}"/>
            </a:ext>
          </a:extLst>
        </xdr:cNvPr>
        <xdr:cNvCxnSpPr/>
      </xdr:nvCxnSpPr>
      <xdr:spPr>
        <a:xfrm flipV="1"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281" name="Match1">
          <a:extLst>
            <a:ext uri="{FF2B5EF4-FFF2-40B4-BE49-F238E27FC236}">
              <a16:creationId xmlns:a16="http://schemas.microsoft.com/office/drawing/2014/main" id="{8622A730-076F-E7BC-E9EE-4A41DC91CF01}"/>
            </a:ext>
          </a:extLst>
        </xdr:cNvPr>
        <xdr:cNvCxnSpPr/>
      </xdr:nvCxnSpPr>
      <xdr:spPr>
        <a:xfrm>
          <a:off x="2331244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282" name="Match2">
          <a:extLst>
            <a:ext uri="{FF2B5EF4-FFF2-40B4-BE49-F238E27FC236}">
              <a16:creationId xmlns:a16="http://schemas.microsoft.com/office/drawing/2014/main" id="{02BBB444-6FE8-C4B6-E75A-C21A3ED89F04}"/>
            </a:ext>
          </a:extLst>
        </xdr:cNvPr>
        <xdr:cNvCxnSpPr/>
      </xdr:nvCxnSpPr>
      <xdr:spPr>
        <a:xfrm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283" name="Match3">
          <a:extLst>
            <a:ext uri="{FF2B5EF4-FFF2-40B4-BE49-F238E27FC236}">
              <a16:creationId xmlns:a16="http://schemas.microsoft.com/office/drawing/2014/main" id="{BE3DBFA4-7790-1565-BC8C-627D0840B658}"/>
            </a:ext>
          </a:extLst>
        </xdr:cNvPr>
        <xdr:cNvCxnSpPr/>
      </xdr:nvCxnSpPr>
      <xdr:spPr>
        <a:xfrm flipH="1">
          <a:off x="635794" y="12501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284" name="Match4">
          <a:extLst>
            <a:ext uri="{FF2B5EF4-FFF2-40B4-BE49-F238E27FC236}">
              <a16:creationId xmlns:a16="http://schemas.microsoft.com/office/drawing/2014/main" id="{0F9FE406-38E2-B7F2-D800-B1CAB4BBA128}"/>
            </a:ext>
          </a:extLst>
        </xdr:cNvPr>
        <xdr:cNvCxnSpPr/>
      </xdr:nvCxnSpPr>
      <xdr:spPr>
        <a:xfrm>
          <a:off x="635794" y="2321719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285" name="Match5">
          <a:extLst>
            <a:ext uri="{FF2B5EF4-FFF2-40B4-BE49-F238E27FC236}">
              <a16:creationId xmlns:a16="http://schemas.microsoft.com/office/drawing/2014/main" id="{B3E4F22C-2F28-BC86-D8CC-0487620FE5CA}"/>
            </a:ext>
          </a:extLst>
        </xdr:cNvPr>
        <xdr:cNvCxnSpPr/>
      </xdr:nvCxnSpPr>
      <xdr:spPr>
        <a:xfrm flipV="1">
          <a:off x="36028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286" name="Match6">
          <a:extLst>
            <a:ext uri="{FF2B5EF4-FFF2-40B4-BE49-F238E27FC236}">
              <a16:creationId xmlns:a16="http://schemas.microsoft.com/office/drawing/2014/main" id="{589ED8F8-14CA-79A8-D980-C343C67ECE1C}"/>
            </a:ext>
          </a:extLst>
        </xdr:cNvPr>
        <xdr:cNvCxnSpPr/>
      </xdr:nvCxnSpPr>
      <xdr:spPr>
        <a:xfrm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287" name="Match7">
          <a:extLst>
            <a:ext uri="{FF2B5EF4-FFF2-40B4-BE49-F238E27FC236}">
              <a16:creationId xmlns:a16="http://schemas.microsoft.com/office/drawing/2014/main" id="{85B98FD6-7604-7105-7CD2-161F45FFF742}"/>
            </a:ext>
          </a:extLst>
        </xdr:cNvPr>
        <xdr:cNvCxnSpPr/>
      </xdr:nvCxnSpPr>
      <xdr:spPr>
        <a:xfrm>
          <a:off x="2373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288" name="Match8">
          <a:extLst>
            <a:ext uri="{FF2B5EF4-FFF2-40B4-BE49-F238E27FC236}">
              <a16:creationId xmlns:a16="http://schemas.microsoft.com/office/drawing/2014/main" id="{17EC44AE-7DDC-3501-8C98-91935946A0D9}"/>
            </a:ext>
          </a:extLst>
        </xdr:cNvPr>
        <xdr:cNvCxnSpPr/>
      </xdr:nvCxnSpPr>
      <xdr:spPr>
        <a:xfrm flipV="1"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89" name="Match9">
          <a:extLst>
            <a:ext uri="{FF2B5EF4-FFF2-40B4-BE49-F238E27FC236}">
              <a16:creationId xmlns:a16="http://schemas.microsoft.com/office/drawing/2014/main" id="{9D300D05-3B71-F8C9-16F8-AC4A573B860E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1290" name="Match10">
          <a:extLst>
            <a:ext uri="{FF2B5EF4-FFF2-40B4-BE49-F238E27FC236}">
              <a16:creationId xmlns:a16="http://schemas.microsoft.com/office/drawing/2014/main" id="{D9B747A4-1738-E4F1-F882-EBB7A4592F7C}"/>
            </a:ext>
          </a:extLst>
        </xdr:cNvPr>
        <xdr:cNvCxnSpPr/>
      </xdr:nvCxnSpPr>
      <xdr:spPr>
        <a:xfrm flipH="1">
          <a:off x="150891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291" name="Match11">
          <a:extLst>
            <a:ext uri="{FF2B5EF4-FFF2-40B4-BE49-F238E27FC236}">
              <a16:creationId xmlns:a16="http://schemas.microsoft.com/office/drawing/2014/main" id="{621B6A78-9DC4-92CB-B13A-BD983C4D06A9}"/>
            </a:ext>
          </a:extLst>
        </xdr:cNvPr>
        <xdr:cNvCxnSpPr/>
      </xdr:nvCxnSpPr>
      <xdr:spPr>
        <a:xfrm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292" name="Match12">
          <a:extLst>
            <a:ext uri="{FF2B5EF4-FFF2-40B4-BE49-F238E27FC236}">
              <a16:creationId xmlns:a16="http://schemas.microsoft.com/office/drawing/2014/main" id="{1E8A2C28-5122-B33B-DCB6-459C272BC1C9}"/>
            </a:ext>
          </a:extLst>
        </xdr:cNvPr>
        <xdr:cNvCxnSpPr/>
      </xdr:nvCxnSpPr>
      <xdr:spPr>
        <a:xfrm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293" name="Match13">
          <a:extLst>
            <a:ext uri="{FF2B5EF4-FFF2-40B4-BE49-F238E27FC236}">
              <a16:creationId xmlns:a16="http://schemas.microsoft.com/office/drawing/2014/main" id="{A2B3AE98-22EB-C734-79C9-EADAF98A9F27}"/>
            </a:ext>
          </a:extLst>
        </xdr:cNvPr>
        <xdr:cNvCxnSpPr/>
      </xdr:nvCxnSpPr>
      <xdr:spPr>
        <a:xfrm flipH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294" name="Match14">
          <a:extLst>
            <a:ext uri="{FF2B5EF4-FFF2-40B4-BE49-F238E27FC236}">
              <a16:creationId xmlns:a16="http://schemas.microsoft.com/office/drawing/2014/main" id="{6F4FC3FC-04D8-356F-3B58-A6A69FBF64C4}"/>
            </a:ext>
          </a:extLst>
        </xdr:cNvPr>
        <xdr:cNvCxnSpPr/>
      </xdr:nvCxnSpPr>
      <xdr:spPr>
        <a:xfrm flipH="1">
          <a:off x="63579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295" name="Match15">
          <a:extLst>
            <a:ext uri="{FF2B5EF4-FFF2-40B4-BE49-F238E27FC236}">
              <a16:creationId xmlns:a16="http://schemas.microsoft.com/office/drawing/2014/main" id="{78A9DA12-763A-D7F2-78D6-39240C709E85}"/>
            </a:ext>
          </a:extLst>
        </xdr:cNvPr>
        <xdr:cNvCxnSpPr/>
      </xdr:nvCxnSpPr>
      <xdr:spPr>
        <a:xfrm flipV="1">
          <a:off x="4874419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296" name="Match16">
          <a:extLst>
            <a:ext uri="{FF2B5EF4-FFF2-40B4-BE49-F238E27FC236}">
              <a16:creationId xmlns:a16="http://schemas.microsoft.com/office/drawing/2014/main" id="{4771E31D-12A2-FA16-D584-6D5E1B8EB2D0}"/>
            </a:ext>
          </a:extLst>
        </xdr:cNvPr>
        <xdr:cNvCxnSpPr/>
      </xdr:nvCxnSpPr>
      <xdr:spPr>
        <a:xfrm flipH="1" flipV="1">
          <a:off x="2755106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297" name="Match17">
          <a:extLst>
            <a:ext uri="{FF2B5EF4-FFF2-40B4-BE49-F238E27FC236}">
              <a16:creationId xmlns:a16="http://schemas.microsoft.com/office/drawing/2014/main" id="{ABD34DFF-B210-E05C-63E8-FE366782ED11}"/>
            </a:ext>
          </a:extLst>
        </xdr:cNvPr>
        <xdr:cNvCxnSpPr/>
      </xdr:nvCxnSpPr>
      <xdr:spPr>
        <a:xfrm flipH="1" flipV="1">
          <a:off x="2755106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298" name="Match18">
          <a:extLst>
            <a:ext uri="{FF2B5EF4-FFF2-40B4-BE49-F238E27FC236}">
              <a16:creationId xmlns:a16="http://schemas.microsoft.com/office/drawing/2014/main" id="{3CF6D7B1-91BC-5B97-3939-AA07174C9031}"/>
            </a:ext>
          </a:extLst>
        </xdr:cNvPr>
        <xdr:cNvCxnSpPr/>
      </xdr:nvCxnSpPr>
      <xdr:spPr>
        <a:xfrm flipH="1"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299" name="Match19">
          <a:extLst>
            <a:ext uri="{FF2B5EF4-FFF2-40B4-BE49-F238E27FC236}">
              <a16:creationId xmlns:a16="http://schemas.microsoft.com/office/drawing/2014/main" id="{76AB4005-2E30-BA89-D58C-960D87858203}"/>
            </a:ext>
          </a:extLst>
        </xdr:cNvPr>
        <xdr:cNvCxnSpPr/>
      </xdr:nvCxnSpPr>
      <xdr:spPr>
        <a:xfrm flipV="1"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9</xdr:col>
      <xdr:colOff>237331</xdr:colOff>
      <xdr:row>1</xdr:row>
      <xdr:rowOff>203993</xdr:rowOff>
    </xdr:to>
    <xdr:cxnSp macro="">
      <xdr:nvCxnSpPr>
        <xdr:cNvPr id="1300" name="Match20">
          <a:extLst>
            <a:ext uri="{FF2B5EF4-FFF2-40B4-BE49-F238E27FC236}">
              <a16:creationId xmlns:a16="http://schemas.microsoft.com/office/drawing/2014/main" id="{4BF16EA8-BB02-8152-95F6-5FECEAB2D359}"/>
            </a:ext>
          </a:extLst>
        </xdr:cNvPr>
        <xdr:cNvCxnSpPr/>
      </xdr:nvCxnSpPr>
      <xdr:spPr>
        <a:xfrm flipV="1">
          <a:off x="36282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301" name="Match21">
          <a:extLst>
            <a:ext uri="{FF2B5EF4-FFF2-40B4-BE49-F238E27FC236}">
              <a16:creationId xmlns:a16="http://schemas.microsoft.com/office/drawing/2014/main" id="{A5DF07EB-E002-7A93-BCB5-A45D94EDFF9A}"/>
            </a:ext>
          </a:extLst>
        </xdr:cNvPr>
        <xdr:cNvCxnSpPr/>
      </xdr:nvCxnSpPr>
      <xdr:spPr>
        <a:xfrm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302" name="Match22">
          <a:extLst>
            <a:ext uri="{FF2B5EF4-FFF2-40B4-BE49-F238E27FC236}">
              <a16:creationId xmlns:a16="http://schemas.microsoft.com/office/drawing/2014/main" id="{8350DC29-AE23-4010-9A73-104091DAE694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303" name="Match23">
          <a:extLst>
            <a:ext uri="{FF2B5EF4-FFF2-40B4-BE49-F238E27FC236}">
              <a16:creationId xmlns:a16="http://schemas.microsoft.com/office/drawing/2014/main" id="{64B1BCCB-A7DC-9CC1-661C-83D34F21D514}"/>
            </a:ext>
          </a:extLst>
        </xdr:cNvPr>
        <xdr:cNvCxnSpPr/>
      </xdr:nvCxnSpPr>
      <xdr:spPr>
        <a:xfrm flipH="1"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304" name="Match24">
          <a:extLst>
            <a:ext uri="{FF2B5EF4-FFF2-40B4-BE49-F238E27FC236}">
              <a16:creationId xmlns:a16="http://schemas.microsoft.com/office/drawing/2014/main" id="{72863330-6C2D-C5E0-9D2A-F71B83591897}"/>
            </a:ext>
          </a:extLst>
        </xdr:cNvPr>
        <xdr:cNvCxnSpPr/>
      </xdr:nvCxnSpPr>
      <xdr:spPr>
        <a:xfrm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1305" name="Match25">
          <a:extLst>
            <a:ext uri="{FF2B5EF4-FFF2-40B4-BE49-F238E27FC236}">
              <a16:creationId xmlns:a16="http://schemas.microsoft.com/office/drawing/2014/main" id="{6CDF623E-49D5-DD2B-D9A5-86A0B89F8366}"/>
            </a:ext>
          </a:extLst>
        </xdr:cNvPr>
        <xdr:cNvCxnSpPr/>
      </xdr:nvCxnSpPr>
      <xdr:spPr>
        <a:xfrm flipV="1">
          <a:off x="447595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306" name="Match26">
          <a:extLst>
            <a:ext uri="{FF2B5EF4-FFF2-40B4-BE49-F238E27FC236}">
              <a16:creationId xmlns:a16="http://schemas.microsoft.com/office/drawing/2014/main" id="{DFA32E19-5E61-8BD0-E463-C521150FCEBF}"/>
            </a:ext>
          </a:extLst>
        </xdr:cNvPr>
        <xdr:cNvCxnSpPr/>
      </xdr:nvCxnSpPr>
      <xdr:spPr>
        <a:xfrm flipH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11</xdr:row>
      <xdr:rowOff>203993</xdr:rowOff>
    </xdr:from>
    <xdr:to>
      <xdr:col>8</xdr:col>
      <xdr:colOff>237331</xdr:colOff>
      <xdr:row>11</xdr:row>
      <xdr:rowOff>203993</xdr:rowOff>
    </xdr:to>
    <xdr:cxnSp macro="">
      <xdr:nvCxnSpPr>
        <xdr:cNvPr id="1307" name="Match27">
          <a:extLst>
            <a:ext uri="{FF2B5EF4-FFF2-40B4-BE49-F238E27FC236}">
              <a16:creationId xmlns:a16="http://schemas.microsoft.com/office/drawing/2014/main" id="{6DB61C8C-8D69-85F4-DB78-17C6A2CF3294}"/>
            </a:ext>
          </a:extLst>
        </xdr:cNvPr>
        <xdr:cNvCxnSpPr/>
      </xdr:nvCxnSpPr>
      <xdr:spPr>
        <a:xfrm>
          <a:off x="3204369" y="41330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308" name="Match28">
          <a:extLst>
            <a:ext uri="{FF2B5EF4-FFF2-40B4-BE49-F238E27FC236}">
              <a16:creationId xmlns:a16="http://schemas.microsoft.com/office/drawing/2014/main" id="{9BFD7DEB-737C-59F9-3D73-59978991A060}"/>
            </a:ext>
          </a:extLst>
        </xdr:cNvPr>
        <xdr:cNvCxnSpPr/>
      </xdr:nvCxnSpPr>
      <xdr:spPr>
        <a:xfrm>
          <a:off x="211931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309" name="Match29">
          <a:extLst>
            <a:ext uri="{FF2B5EF4-FFF2-40B4-BE49-F238E27FC236}">
              <a16:creationId xmlns:a16="http://schemas.microsoft.com/office/drawing/2014/main" id="{1C8A2B87-D77C-AD56-5598-985E4EE5500C}"/>
            </a:ext>
          </a:extLst>
        </xdr:cNvPr>
        <xdr:cNvCxnSpPr/>
      </xdr:nvCxnSpPr>
      <xdr:spPr>
        <a:xfrm>
          <a:off x="317896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408" name="Match30">
          <a:extLst>
            <a:ext uri="{FF2B5EF4-FFF2-40B4-BE49-F238E27FC236}">
              <a16:creationId xmlns:a16="http://schemas.microsoft.com/office/drawing/2014/main" id="{90D7061D-ADDE-A433-3618-54CA15AF8B4B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409" name="Match31">
          <a:extLst>
            <a:ext uri="{FF2B5EF4-FFF2-40B4-BE49-F238E27FC236}">
              <a16:creationId xmlns:a16="http://schemas.microsoft.com/office/drawing/2014/main" id="{9567C2F7-9B78-F1F5-03F1-63C9BEFE76B2}"/>
            </a:ext>
          </a:extLst>
        </xdr:cNvPr>
        <xdr:cNvCxnSpPr/>
      </xdr:nvCxnSpPr>
      <xdr:spPr>
        <a:xfrm>
          <a:off x="275510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410" name="Match32">
          <a:extLst>
            <a:ext uri="{FF2B5EF4-FFF2-40B4-BE49-F238E27FC236}">
              <a16:creationId xmlns:a16="http://schemas.microsoft.com/office/drawing/2014/main" id="{ADAF604C-7C9B-8FDD-B615-748DEF341F1D}"/>
            </a:ext>
          </a:extLst>
        </xdr:cNvPr>
        <xdr:cNvCxnSpPr/>
      </xdr:nvCxnSpPr>
      <xdr:spPr>
        <a:xfrm flipV="1">
          <a:off x="278050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411" name="Match33">
          <a:extLst>
            <a:ext uri="{FF2B5EF4-FFF2-40B4-BE49-F238E27FC236}">
              <a16:creationId xmlns:a16="http://schemas.microsoft.com/office/drawing/2014/main" id="{375CAFE4-5BCD-EF74-D70E-8294A288BCB4}"/>
            </a:ext>
          </a:extLst>
        </xdr:cNvPr>
        <xdr:cNvCxnSpPr/>
      </xdr:nvCxnSpPr>
      <xdr:spPr>
        <a:xfrm flipH="1" flipV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412" name="Match34">
          <a:extLst>
            <a:ext uri="{FF2B5EF4-FFF2-40B4-BE49-F238E27FC236}">
              <a16:creationId xmlns:a16="http://schemas.microsoft.com/office/drawing/2014/main" id="{86BD2B12-6614-8474-4D27-F8ADFC83B0E5}"/>
            </a:ext>
          </a:extLst>
        </xdr:cNvPr>
        <xdr:cNvCxnSpPr/>
      </xdr:nvCxnSpPr>
      <xdr:spPr>
        <a:xfrm flipH="1"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413" name="Match35">
          <a:extLst>
            <a:ext uri="{FF2B5EF4-FFF2-40B4-BE49-F238E27FC236}">
              <a16:creationId xmlns:a16="http://schemas.microsoft.com/office/drawing/2014/main" id="{DF07CF53-5E8D-89EF-87EF-878925D19C47}"/>
            </a:ext>
          </a:extLst>
        </xdr:cNvPr>
        <xdr:cNvCxnSpPr/>
      </xdr:nvCxnSpPr>
      <xdr:spPr>
        <a:xfrm flipV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414" name="Match36">
          <a:extLst>
            <a:ext uri="{FF2B5EF4-FFF2-40B4-BE49-F238E27FC236}">
              <a16:creationId xmlns:a16="http://schemas.microsoft.com/office/drawing/2014/main" id="{23B562D9-1D44-6722-8C69-1252EBADF70B}"/>
            </a:ext>
          </a:extLst>
        </xdr:cNvPr>
        <xdr:cNvCxnSpPr/>
      </xdr:nvCxnSpPr>
      <xdr:spPr>
        <a:xfrm>
          <a:off x="2119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0</xdr:col>
      <xdr:colOff>237331</xdr:colOff>
      <xdr:row>7</xdr:row>
      <xdr:rowOff>203993</xdr:rowOff>
    </xdr:to>
    <xdr:cxnSp macro="">
      <xdr:nvCxnSpPr>
        <xdr:cNvPr id="1415" name="Match37">
          <a:extLst>
            <a:ext uri="{FF2B5EF4-FFF2-40B4-BE49-F238E27FC236}">
              <a16:creationId xmlns:a16="http://schemas.microsoft.com/office/drawing/2014/main" id="{EF3D0F09-A897-880A-CF66-04FA4CBA52AF}"/>
            </a:ext>
          </a:extLst>
        </xdr:cNvPr>
        <xdr:cNvCxnSpPr/>
      </xdr:nvCxnSpPr>
      <xdr:spPr>
        <a:xfrm flipV="1">
          <a:off x="2373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416" name="Match38">
          <a:extLst>
            <a:ext uri="{FF2B5EF4-FFF2-40B4-BE49-F238E27FC236}">
              <a16:creationId xmlns:a16="http://schemas.microsoft.com/office/drawing/2014/main" id="{085A4BF7-FB03-11D9-AF40-0D77362ED348}"/>
            </a:ext>
          </a:extLst>
        </xdr:cNvPr>
        <xdr:cNvCxnSpPr/>
      </xdr:nvCxnSpPr>
      <xdr:spPr>
        <a:xfrm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417" name="Match39">
          <a:extLst>
            <a:ext uri="{FF2B5EF4-FFF2-40B4-BE49-F238E27FC236}">
              <a16:creationId xmlns:a16="http://schemas.microsoft.com/office/drawing/2014/main" id="{4CE36BA9-E524-AF4E-38C8-9BE29537A049}"/>
            </a:ext>
          </a:extLst>
        </xdr:cNvPr>
        <xdr:cNvCxnSpPr/>
      </xdr:nvCxnSpPr>
      <xdr:spPr>
        <a:xfrm flipH="1">
          <a:off x="2373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6</xdr:row>
      <xdr:rowOff>229394</xdr:rowOff>
    </xdr:from>
    <xdr:to>
      <xdr:col>1</xdr:col>
      <xdr:colOff>262731</xdr:colOff>
      <xdr:row>7</xdr:row>
      <xdr:rowOff>229393</xdr:rowOff>
    </xdr:to>
    <xdr:cxnSp macro="">
      <xdr:nvCxnSpPr>
        <xdr:cNvPr id="1418" name="Match40">
          <a:extLst>
            <a:ext uri="{FF2B5EF4-FFF2-40B4-BE49-F238E27FC236}">
              <a16:creationId xmlns:a16="http://schemas.microsoft.com/office/drawing/2014/main" id="{D3F55039-7645-C892-B2C2-B10B228FC13C}"/>
            </a:ext>
          </a:extLst>
        </xdr:cNvPr>
        <xdr:cNvCxnSpPr/>
      </xdr:nvCxnSpPr>
      <xdr:spPr>
        <a:xfrm flipH="1" flipV="1">
          <a:off x="262731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419" name="Match41">
          <a:extLst>
            <a:ext uri="{FF2B5EF4-FFF2-40B4-BE49-F238E27FC236}">
              <a16:creationId xmlns:a16="http://schemas.microsoft.com/office/drawing/2014/main" id="{C2532C8C-4B90-483B-1413-D59B396C768C}"/>
            </a:ext>
          </a:extLst>
        </xdr:cNvPr>
        <xdr:cNvCxnSpPr/>
      </xdr:nvCxnSpPr>
      <xdr:spPr>
        <a:xfrm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420" name="Match42">
          <a:extLst>
            <a:ext uri="{FF2B5EF4-FFF2-40B4-BE49-F238E27FC236}">
              <a16:creationId xmlns:a16="http://schemas.microsoft.com/office/drawing/2014/main" id="{DE10530F-89AA-3F9E-BF21-23AC529E3265}"/>
            </a:ext>
          </a:extLst>
        </xdr:cNvPr>
        <xdr:cNvCxnSpPr/>
      </xdr:nvCxnSpPr>
      <xdr:spPr>
        <a:xfrm flipV="1"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421" name="Match43">
          <a:extLst>
            <a:ext uri="{FF2B5EF4-FFF2-40B4-BE49-F238E27FC236}">
              <a16:creationId xmlns:a16="http://schemas.microsoft.com/office/drawing/2014/main" id="{35D2B48B-B5A2-1961-0B94-48D757FC3F3D}"/>
            </a:ext>
          </a:extLst>
        </xdr:cNvPr>
        <xdr:cNvCxnSpPr/>
      </xdr:nvCxnSpPr>
      <xdr:spPr>
        <a:xfrm flipV="1"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422" name="Match44">
          <a:extLst>
            <a:ext uri="{FF2B5EF4-FFF2-40B4-BE49-F238E27FC236}">
              <a16:creationId xmlns:a16="http://schemas.microsoft.com/office/drawing/2014/main" id="{163BDF62-5BC5-F54F-2444-E1C49825A1D9}"/>
            </a:ext>
          </a:extLst>
        </xdr:cNvPr>
        <xdr:cNvCxnSpPr/>
      </xdr:nvCxnSpPr>
      <xdr:spPr>
        <a:xfrm flipH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423" name="Match45">
          <a:extLst>
            <a:ext uri="{FF2B5EF4-FFF2-40B4-BE49-F238E27FC236}">
              <a16:creationId xmlns:a16="http://schemas.microsoft.com/office/drawing/2014/main" id="{F4AD39EA-E0D7-5963-2E31-E3E14A6C3C71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424" name="Match46">
          <a:extLst>
            <a:ext uri="{FF2B5EF4-FFF2-40B4-BE49-F238E27FC236}">
              <a16:creationId xmlns:a16="http://schemas.microsoft.com/office/drawing/2014/main" id="{64FD4545-ABA7-C7A9-FEF8-D1354DB2C0D6}"/>
            </a:ext>
          </a:extLst>
        </xdr:cNvPr>
        <xdr:cNvCxnSpPr/>
      </xdr:nvCxnSpPr>
      <xdr:spPr>
        <a:xfrm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1425" name="Match47">
          <a:extLst>
            <a:ext uri="{FF2B5EF4-FFF2-40B4-BE49-F238E27FC236}">
              <a16:creationId xmlns:a16="http://schemas.microsoft.com/office/drawing/2014/main" id="{17263293-3819-E706-1EA5-DE7F6AD064A9}"/>
            </a:ext>
          </a:extLst>
        </xdr:cNvPr>
        <xdr:cNvCxnSpPr/>
      </xdr:nvCxnSpPr>
      <xdr:spPr>
        <a:xfrm flipV="1"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426" name="Match48">
          <a:extLst>
            <a:ext uri="{FF2B5EF4-FFF2-40B4-BE49-F238E27FC236}">
              <a16:creationId xmlns:a16="http://schemas.microsoft.com/office/drawing/2014/main" id="{8AB17AC7-80CF-CB81-5882-4A0DE944D541}"/>
            </a:ext>
          </a:extLst>
        </xdr:cNvPr>
        <xdr:cNvCxnSpPr/>
      </xdr:nvCxnSpPr>
      <xdr:spPr>
        <a:xfrm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427" name="Match49">
          <a:extLst>
            <a:ext uri="{FF2B5EF4-FFF2-40B4-BE49-F238E27FC236}">
              <a16:creationId xmlns:a16="http://schemas.microsoft.com/office/drawing/2014/main" id="{0C3DBE67-C985-7E04-CB5C-05AE2594D6D0}"/>
            </a:ext>
          </a:extLst>
        </xdr:cNvPr>
        <xdr:cNvCxnSpPr/>
      </xdr:nvCxnSpPr>
      <xdr:spPr>
        <a:xfrm flipV="1">
          <a:off x="320436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8</xdr:col>
      <xdr:colOff>262731</xdr:colOff>
      <xdr:row>7</xdr:row>
      <xdr:rowOff>229393</xdr:rowOff>
    </xdr:to>
    <xdr:cxnSp macro="">
      <xdr:nvCxnSpPr>
        <xdr:cNvPr id="1428" name="Match50">
          <a:extLst>
            <a:ext uri="{FF2B5EF4-FFF2-40B4-BE49-F238E27FC236}">
              <a16:creationId xmlns:a16="http://schemas.microsoft.com/office/drawing/2014/main" id="{DEA6DCA1-9DEE-E401-8184-18DB6F35237D}"/>
            </a:ext>
          </a:extLst>
        </xdr:cNvPr>
        <xdr:cNvCxnSpPr/>
      </xdr:nvCxnSpPr>
      <xdr:spPr>
        <a:xfrm flipV="1">
          <a:off x="322976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1429" name="Match51">
          <a:extLst>
            <a:ext uri="{FF2B5EF4-FFF2-40B4-BE49-F238E27FC236}">
              <a16:creationId xmlns:a16="http://schemas.microsoft.com/office/drawing/2014/main" id="{5FC405CE-00A2-B315-B86C-4A6F2C603649}"/>
            </a:ext>
          </a:extLst>
        </xdr:cNvPr>
        <xdr:cNvCxnSpPr/>
      </xdr:nvCxnSpPr>
      <xdr:spPr>
        <a:xfrm>
          <a:off x="362823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8</xdr:col>
      <xdr:colOff>262731</xdr:colOff>
      <xdr:row>7</xdr:row>
      <xdr:rowOff>229393</xdr:rowOff>
    </xdr:to>
    <xdr:cxnSp macro="">
      <xdr:nvCxnSpPr>
        <xdr:cNvPr id="1430" name="Match52">
          <a:extLst>
            <a:ext uri="{FF2B5EF4-FFF2-40B4-BE49-F238E27FC236}">
              <a16:creationId xmlns:a16="http://schemas.microsoft.com/office/drawing/2014/main" id="{C8C50D5E-763D-B715-3753-C63CF1245433}"/>
            </a:ext>
          </a:extLst>
        </xdr:cNvPr>
        <xdr:cNvCxnSpPr/>
      </xdr:nvCxnSpPr>
      <xdr:spPr>
        <a:xfrm flipH="1" flipV="1">
          <a:off x="322976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6</xdr:row>
      <xdr:rowOff>254794</xdr:rowOff>
    </xdr:from>
    <xdr:to>
      <xdr:col>8</xdr:col>
      <xdr:colOff>288131</xdr:colOff>
      <xdr:row>7</xdr:row>
      <xdr:rowOff>254793</xdr:rowOff>
    </xdr:to>
    <xdr:cxnSp macro="">
      <xdr:nvCxnSpPr>
        <xdr:cNvPr id="1431" name="Match53">
          <a:extLst>
            <a:ext uri="{FF2B5EF4-FFF2-40B4-BE49-F238E27FC236}">
              <a16:creationId xmlns:a16="http://schemas.microsoft.com/office/drawing/2014/main" id="{D2494A57-D571-4223-044C-F481ABA05CFD}"/>
            </a:ext>
          </a:extLst>
        </xdr:cNvPr>
        <xdr:cNvCxnSpPr/>
      </xdr:nvCxnSpPr>
      <xdr:spPr>
        <a:xfrm flipV="1">
          <a:off x="3679031" y="2397919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432" name="Match54">
          <a:extLst>
            <a:ext uri="{FF2B5EF4-FFF2-40B4-BE49-F238E27FC236}">
              <a16:creationId xmlns:a16="http://schemas.microsoft.com/office/drawing/2014/main" id="{667E6683-CEAC-7F8C-8C81-FEB83FD61B0A}"/>
            </a:ext>
          </a:extLst>
        </xdr:cNvPr>
        <xdr:cNvCxnSpPr/>
      </xdr:nvCxnSpPr>
      <xdr:spPr>
        <a:xfrm>
          <a:off x="317896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1433" name="Match55">
          <a:extLst>
            <a:ext uri="{FF2B5EF4-FFF2-40B4-BE49-F238E27FC236}">
              <a16:creationId xmlns:a16="http://schemas.microsoft.com/office/drawing/2014/main" id="{E447101D-F785-EB51-E1D0-C83704563009}"/>
            </a:ext>
          </a:extLst>
        </xdr:cNvPr>
        <xdr:cNvCxnSpPr/>
      </xdr:nvCxnSpPr>
      <xdr:spPr>
        <a:xfrm>
          <a:off x="320436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1434" name="Match56">
          <a:extLst>
            <a:ext uri="{FF2B5EF4-FFF2-40B4-BE49-F238E27FC236}">
              <a16:creationId xmlns:a16="http://schemas.microsoft.com/office/drawing/2014/main" id="{658D8667-6E2B-3E1E-7FF3-341340425C78}"/>
            </a:ext>
          </a:extLst>
        </xdr:cNvPr>
        <xdr:cNvCxnSpPr/>
      </xdr:nvCxnSpPr>
      <xdr:spPr>
        <a:xfrm>
          <a:off x="3628231" y="37758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10</xdr:row>
      <xdr:rowOff>229394</xdr:rowOff>
    </xdr:from>
    <xdr:to>
      <xdr:col>8</xdr:col>
      <xdr:colOff>262731</xdr:colOff>
      <xdr:row>11</xdr:row>
      <xdr:rowOff>229393</xdr:rowOff>
    </xdr:to>
    <xdr:cxnSp macro="">
      <xdr:nvCxnSpPr>
        <xdr:cNvPr id="1435" name="Match57">
          <a:extLst>
            <a:ext uri="{FF2B5EF4-FFF2-40B4-BE49-F238E27FC236}">
              <a16:creationId xmlns:a16="http://schemas.microsoft.com/office/drawing/2014/main" id="{2DF05E10-E9B5-5FB9-1D5F-16F89B9BEDC2}"/>
            </a:ext>
          </a:extLst>
        </xdr:cNvPr>
        <xdr:cNvCxnSpPr/>
      </xdr:nvCxnSpPr>
      <xdr:spPr>
        <a:xfrm>
          <a:off x="3653631" y="38012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9</xdr:row>
      <xdr:rowOff>254793</xdr:rowOff>
    </xdr:from>
    <xdr:to>
      <xdr:col>8</xdr:col>
      <xdr:colOff>288131</xdr:colOff>
      <xdr:row>10</xdr:row>
      <xdr:rowOff>254794</xdr:rowOff>
    </xdr:to>
    <xdr:cxnSp macro="">
      <xdr:nvCxnSpPr>
        <xdr:cNvPr id="1436" name="Match58">
          <a:extLst>
            <a:ext uri="{FF2B5EF4-FFF2-40B4-BE49-F238E27FC236}">
              <a16:creationId xmlns:a16="http://schemas.microsoft.com/office/drawing/2014/main" id="{B802F2ED-57C6-C371-60A6-01FBF5718247}"/>
            </a:ext>
          </a:extLst>
        </xdr:cNvPr>
        <xdr:cNvCxnSpPr/>
      </xdr:nvCxnSpPr>
      <xdr:spPr>
        <a:xfrm flipV="1">
          <a:off x="3679031" y="3469481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437" name="Match59">
          <a:extLst>
            <a:ext uri="{FF2B5EF4-FFF2-40B4-BE49-F238E27FC236}">
              <a16:creationId xmlns:a16="http://schemas.microsoft.com/office/drawing/2014/main" id="{91E7D491-7CFD-B589-BD77-96B96360D29B}"/>
            </a:ext>
          </a:extLst>
        </xdr:cNvPr>
        <xdr:cNvCxnSpPr/>
      </xdr:nvCxnSpPr>
      <xdr:spPr>
        <a:xfrm>
          <a:off x="40266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11</xdr:row>
      <xdr:rowOff>203993</xdr:rowOff>
    </xdr:from>
    <xdr:to>
      <xdr:col>9</xdr:col>
      <xdr:colOff>237331</xdr:colOff>
      <xdr:row>11</xdr:row>
      <xdr:rowOff>203993</xdr:rowOff>
    </xdr:to>
    <xdr:cxnSp macro="">
      <xdr:nvCxnSpPr>
        <xdr:cNvPr id="1438" name="Match60">
          <a:extLst>
            <a:ext uri="{FF2B5EF4-FFF2-40B4-BE49-F238E27FC236}">
              <a16:creationId xmlns:a16="http://schemas.microsoft.com/office/drawing/2014/main" id="{CC4DB316-8A09-C4DD-F889-18E4583DAE78}"/>
            </a:ext>
          </a:extLst>
        </xdr:cNvPr>
        <xdr:cNvCxnSpPr/>
      </xdr:nvCxnSpPr>
      <xdr:spPr>
        <a:xfrm flipH="1">
          <a:off x="3628231" y="41330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10</xdr:row>
      <xdr:rowOff>229394</xdr:rowOff>
    </xdr:from>
    <xdr:to>
      <xdr:col>9</xdr:col>
      <xdr:colOff>262731</xdr:colOff>
      <xdr:row>11</xdr:row>
      <xdr:rowOff>229393</xdr:rowOff>
    </xdr:to>
    <xdr:cxnSp macro="">
      <xdr:nvCxnSpPr>
        <xdr:cNvPr id="1439" name="Match61">
          <a:extLst>
            <a:ext uri="{FF2B5EF4-FFF2-40B4-BE49-F238E27FC236}">
              <a16:creationId xmlns:a16="http://schemas.microsoft.com/office/drawing/2014/main" id="{54BD0412-7873-20D3-E2FF-B127E92F4158}"/>
            </a:ext>
          </a:extLst>
        </xdr:cNvPr>
        <xdr:cNvCxnSpPr/>
      </xdr:nvCxnSpPr>
      <xdr:spPr>
        <a:xfrm flipV="1">
          <a:off x="4077494" y="38012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440" name="Match62">
          <a:extLst>
            <a:ext uri="{FF2B5EF4-FFF2-40B4-BE49-F238E27FC236}">
              <a16:creationId xmlns:a16="http://schemas.microsoft.com/office/drawing/2014/main" id="{51C19ADE-3833-E63B-B2ED-3141B1FEC81C}"/>
            </a:ext>
          </a:extLst>
        </xdr:cNvPr>
        <xdr:cNvCxnSpPr/>
      </xdr:nvCxnSpPr>
      <xdr:spPr>
        <a:xfrm flipH="1" flipV="1">
          <a:off x="1483519" y="178594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441" name="Match63">
          <a:extLst>
            <a:ext uri="{FF2B5EF4-FFF2-40B4-BE49-F238E27FC236}">
              <a16:creationId xmlns:a16="http://schemas.microsoft.com/office/drawing/2014/main" id="{225A1F27-AD01-439B-4700-836FC7A522F3}"/>
            </a:ext>
          </a:extLst>
        </xdr:cNvPr>
        <xdr:cNvCxnSpPr/>
      </xdr:nvCxnSpPr>
      <xdr:spPr>
        <a:xfrm flipV="1">
          <a:off x="4450556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7865E94-2403-9662-16C9-6735AC906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3" sqref="K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6</v>
      </c>
      <c r="B1" s="26">
        <v>3</v>
      </c>
      <c r="C1" s="26">
        <v>2</v>
      </c>
      <c r="D1" s="22">
        <v>6</v>
      </c>
      <c r="E1" s="26">
        <v>5</v>
      </c>
      <c r="F1" s="26">
        <v>5</v>
      </c>
      <c r="G1" s="26">
        <v>7</v>
      </c>
      <c r="H1" s="26">
        <v>6</v>
      </c>
      <c r="I1" s="23">
        <v>8</v>
      </c>
      <c r="J1" s="23">
        <v>8</v>
      </c>
      <c r="K1" s="23">
        <v>9</v>
      </c>
      <c r="L1" s="23">
        <v>5</v>
      </c>
      <c r="N1" s="2">
        <v>135</v>
      </c>
      <c r="O1" s="1">
        <v>2</v>
      </c>
    </row>
    <row r="2" spans="1:15" ht="28.25" customHeight="1">
      <c r="A2" s="26">
        <v>5</v>
      </c>
      <c r="B2" s="26">
        <v>9</v>
      </c>
      <c r="C2" s="26">
        <v>9</v>
      </c>
      <c r="D2" s="26">
        <v>5</v>
      </c>
      <c r="E2" s="22">
        <v>1</v>
      </c>
      <c r="F2" s="26">
        <v>2</v>
      </c>
      <c r="G2" s="26">
        <v>4</v>
      </c>
      <c r="H2" s="26">
        <v>4</v>
      </c>
      <c r="I2" s="22">
        <v>9</v>
      </c>
      <c r="J2" s="26">
        <v>4</v>
      </c>
      <c r="K2" s="23">
        <v>3</v>
      </c>
      <c r="L2" s="26">
        <v>2</v>
      </c>
      <c r="N2" s="2">
        <v>488</v>
      </c>
      <c r="O2" s="1">
        <v>1</v>
      </c>
    </row>
    <row r="3" spans="1:15" ht="28.25" customHeight="1">
      <c r="A3" s="26">
        <v>5</v>
      </c>
      <c r="B3" s="26">
        <v>5</v>
      </c>
      <c r="C3" s="26">
        <v>2</v>
      </c>
      <c r="D3" s="26">
        <v>3</v>
      </c>
      <c r="E3" s="26">
        <v>4</v>
      </c>
      <c r="F3" s="22">
        <v>6</v>
      </c>
      <c r="G3" s="22">
        <v>3</v>
      </c>
      <c r="H3" s="26">
        <v>2</v>
      </c>
      <c r="I3" s="22">
        <v>7</v>
      </c>
      <c r="J3" s="23">
        <v>1</v>
      </c>
      <c r="K3" s="22">
        <v>1</v>
      </c>
      <c r="L3" s="26">
        <v>9</v>
      </c>
      <c r="N3" s="2">
        <v>14319</v>
      </c>
      <c r="O3" s="1">
        <v>1</v>
      </c>
    </row>
    <row r="4" spans="1:15" ht="28.25" customHeight="1">
      <c r="A4" s="23">
        <v>7</v>
      </c>
      <c r="B4" s="22">
        <v>9</v>
      </c>
      <c r="C4" s="22">
        <v>1</v>
      </c>
      <c r="D4" s="22">
        <v>3</v>
      </c>
      <c r="E4" s="22">
        <v>4</v>
      </c>
      <c r="F4" s="22">
        <v>1</v>
      </c>
      <c r="G4" s="22">
        <v>4</v>
      </c>
      <c r="H4" s="22">
        <v>8</v>
      </c>
      <c r="I4" s="26">
        <v>2</v>
      </c>
      <c r="J4" s="26">
        <v>4</v>
      </c>
      <c r="K4" s="22">
        <v>2</v>
      </c>
      <c r="L4" s="26">
        <v>5</v>
      </c>
      <c r="N4" s="2">
        <v>4626</v>
      </c>
      <c r="O4" s="1">
        <v>1</v>
      </c>
    </row>
    <row r="5" spans="1:15" ht="28.25" customHeight="1">
      <c r="A5" s="26">
        <v>5</v>
      </c>
      <c r="B5" s="23">
        <v>9</v>
      </c>
      <c r="C5" s="22">
        <v>8</v>
      </c>
      <c r="D5" s="22">
        <v>5</v>
      </c>
      <c r="E5" s="26">
        <v>2</v>
      </c>
      <c r="F5" s="22">
        <v>4</v>
      </c>
      <c r="G5" s="23">
        <v>7</v>
      </c>
      <c r="H5" s="22">
        <v>5</v>
      </c>
      <c r="I5" s="22">
        <v>1</v>
      </c>
      <c r="J5" s="26">
        <v>6</v>
      </c>
      <c r="K5" s="22">
        <v>5</v>
      </c>
      <c r="L5" s="26">
        <v>2</v>
      </c>
      <c r="N5" s="2">
        <v>79</v>
      </c>
      <c r="O5" s="1">
        <v>9</v>
      </c>
    </row>
    <row r="6" spans="1:15" ht="28.25" customHeight="1">
      <c r="A6" s="22">
        <v>1</v>
      </c>
      <c r="B6" s="22">
        <v>7</v>
      </c>
      <c r="C6" s="22">
        <v>2</v>
      </c>
      <c r="D6" s="22">
        <v>6</v>
      </c>
      <c r="E6" s="22">
        <v>1</v>
      </c>
      <c r="F6" s="26">
        <v>6</v>
      </c>
      <c r="G6" s="22">
        <v>8</v>
      </c>
      <c r="H6" s="26">
        <v>6</v>
      </c>
      <c r="I6" s="22">
        <v>6</v>
      </c>
      <c r="J6" s="22">
        <v>5</v>
      </c>
      <c r="K6" s="22">
        <v>1</v>
      </c>
      <c r="L6" s="22">
        <v>8</v>
      </c>
      <c r="N6" s="2">
        <v>9611611</v>
      </c>
      <c r="O6" s="1">
        <v>1</v>
      </c>
    </row>
    <row r="7" spans="1:15" ht="28.25" customHeight="1">
      <c r="A7" s="23">
        <v>5</v>
      </c>
      <c r="B7" s="22">
        <v>4</v>
      </c>
      <c r="C7" s="26">
        <v>3</v>
      </c>
      <c r="D7" s="26">
        <v>4</v>
      </c>
      <c r="E7" s="23">
        <v>7</v>
      </c>
      <c r="F7" s="22">
        <v>1</v>
      </c>
      <c r="G7" s="23">
        <v>5</v>
      </c>
      <c r="H7" s="22">
        <v>8</v>
      </c>
      <c r="I7" s="22">
        <v>8</v>
      </c>
      <c r="J7" s="22">
        <v>9</v>
      </c>
      <c r="K7" s="22">
        <v>9</v>
      </c>
      <c r="L7" s="22">
        <v>2</v>
      </c>
      <c r="N7" s="2">
        <v>64828</v>
      </c>
      <c r="O7" s="1">
        <v>1</v>
      </c>
    </row>
    <row r="8" spans="1:15" ht="28.25" customHeight="1">
      <c r="A8" s="23">
        <v>8</v>
      </c>
      <c r="B8" s="23">
        <v>8</v>
      </c>
      <c r="C8" s="22">
        <v>6</v>
      </c>
      <c r="D8" s="23">
        <v>9</v>
      </c>
      <c r="E8" s="23">
        <v>9</v>
      </c>
      <c r="F8" s="22">
        <v>3</v>
      </c>
      <c r="G8" s="26">
        <v>6</v>
      </c>
      <c r="H8" s="23">
        <v>7</v>
      </c>
      <c r="I8" s="23">
        <v>7</v>
      </c>
      <c r="J8" s="26">
        <v>6</v>
      </c>
      <c r="K8" s="22">
        <v>6</v>
      </c>
      <c r="L8" s="22">
        <v>8</v>
      </c>
      <c r="N8" s="2">
        <v>5183</v>
      </c>
      <c r="O8" s="1">
        <v>1</v>
      </c>
    </row>
    <row r="9" spans="1:15" ht="28.25" customHeight="1">
      <c r="A9" s="23">
        <v>5</v>
      </c>
      <c r="B9" s="26">
        <v>4</v>
      </c>
      <c r="C9" s="23">
        <v>5</v>
      </c>
      <c r="D9" s="22">
        <v>2</v>
      </c>
      <c r="E9" s="26">
        <v>9</v>
      </c>
      <c r="F9" s="22">
        <v>5</v>
      </c>
      <c r="G9" s="26">
        <v>7</v>
      </c>
      <c r="H9" s="23">
        <v>7</v>
      </c>
      <c r="I9" s="23">
        <v>8</v>
      </c>
      <c r="J9" s="26">
        <v>3</v>
      </c>
      <c r="K9" s="22">
        <v>4</v>
      </c>
      <c r="L9" s="22">
        <v>4</v>
      </c>
      <c r="N9" s="2">
        <v>827</v>
      </c>
      <c r="O9" s="1">
        <v>1</v>
      </c>
    </row>
    <row r="10" spans="1:15" ht="28.25" customHeight="1">
      <c r="A10" s="26">
        <v>6</v>
      </c>
      <c r="B10" s="26">
        <v>5</v>
      </c>
      <c r="C10" s="26">
        <v>2</v>
      </c>
      <c r="D10" s="26">
        <v>6</v>
      </c>
      <c r="E10" s="22">
        <v>6</v>
      </c>
      <c r="F10" s="26">
        <v>5</v>
      </c>
      <c r="G10" s="22">
        <v>7</v>
      </c>
      <c r="H10" s="26">
        <v>1</v>
      </c>
      <c r="I10" s="23">
        <v>8</v>
      </c>
      <c r="J10" s="26">
        <v>6</v>
      </c>
      <c r="K10" s="23">
        <v>9</v>
      </c>
      <c r="L10" s="22">
        <v>6</v>
      </c>
      <c r="N10" s="2">
        <v>98</v>
      </c>
      <c r="O10" s="1">
        <v>10</v>
      </c>
    </row>
    <row r="11" spans="1:15" ht="28.25" customHeight="1">
      <c r="A11" s="23">
        <v>5</v>
      </c>
      <c r="B11" s="26">
        <v>1</v>
      </c>
      <c r="C11" s="23">
        <v>7</v>
      </c>
      <c r="D11" s="23">
        <v>9</v>
      </c>
      <c r="E11" s="26">
        <v>4</v>
      </c>
      <c r="F11" s="26">
        <v>6</v>
      </c>
      <c r="G11" s="26">
        <v>6</v>
      </c>
      <c r="H11" s="22">
        <v>2</v>
      </c>
      <c r="I11" s="22">
        <v>7</v>
      </c>
      <c r="J11" s="22">
        <v>8</v>
      </c>
      <c r="K11" s="23">
        <v>5</v>
      </c>
      <c r="L11" s="26">
        <v>2</v>
      </c>
      <c r="N11" s="2">
        <v>17261</v>
      </c>
      <c r="O11" s="1">
        <v>1</v>
      </c>
    </row>
    <row r="12" spans="1:15" ht="28.25" customHeight="1">
      <c r="A12" s="23">
        <v>8</v>
      </c>
      <c r="B12" s="22">
        <v>1</v>
      </c>
      <c r="C12" s="22">
        <v>1</v>
      </c>
      <c r="D12" s="22">
        <v>6</v>
      </c>
      <c r="E12" s="22">
        <v>1</v>
      </c>
      <c r="F12" s="22">
        <v>1</v>
      </c>
      <c r="G12" s="22">
        <v>6</v>
      </c>
      <c r="H12" s="22">
        <v>9</v>
      </c>
      <c r="I12" s="22">
        <v>8</v>
      </c>
      <c r="J12" s="23">
        <v>7</v>
      </c>
      <c r="K12" s="23">
        <v>8</v>
      </c>
      <c r="L12" s="26">
        <v>2</v>
      </c>
      <c r="N12" s="2">
        <v>85</v>
      </c>
      <c r="O12" s="1">
        <v>15</v>
      </c>
    </row>
    <row r="13" spans="1:15" ht="28.25" customHeight="1">
      <c r="N13" s="2">
        <v>78</v>
      </c>
      <c r="O13" s="1">
        <v>18</v>
      </c>
    </row>
    <row r="14" spans="1:15" ht="28.25" customHeight="1">
      <c r="N14" s="2">
        <v>654616</v>
      </c>
      <c r="O14" s="1">
        <v>1</v>
      </c>
    </row>
    <row r="15" spans="1:15" ht="28.25" customHeight="1">
      <c r="N15" s="2">
        <v>4691521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29"/>
  <sheetViews>
    <sheetView tabSelected="1" zoomScaleNormal="100" workbookViewId="0">
      <pane ySplit="1" topLeftCell="A123" activePane="bottomLeft" state="frozen"/>
      <selection pane="bottomLeft" activeCell="A129" sqref="A12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  <row r="124" spans="1:16">
      <c r="A124" s="3">
        <v>46010.489201388889</v>
      </c>
      <c r="B124">
        <v>60</v>
      </c>
      <c r="C124">
        <v>15</v>
      </c>
      <c r="D124">
        <v>0</v>
      </c>
      <c r="E124">
        <v>0</v>
      </c>
      <c r="F124">
        <v>0</v>
      </c>
      <c r="G124" s="5">
        <v>1.0011574071540963E-2</v>
      </c>
      <c r="H124" t="s">
        <v>304</v>
      </c>
      <c r="I124" t="s">
        <v>305</v>
      </c>
      <c r="J124">
        <v>0</v>
      </c>
      <c r="K124">
        <f t="shared" ref="K124" si="170">IF(A124&lt;DATEVALUE("2025/11/20")+TIMEVALUE("6:00"),1,IF(B124-SUM(D124:F124)&lt;&gt;60,0,MAX(2-INT(G124*24*60/10),0)))</f>
        <v>1</v>
      </c>
      <c r="L124">
        <f t="shared" ref="L124" si="171">L123+K124</f>
        <v>121</v>
      </c>
      <c r="M124">
        <f t="shared" ref="M124" si="172">2+IF(A124&gt;=DATEVALUE("2025/11/30")+TIMEVALUE("6:00"),1,0)+IF(A124&gt;=DATEVALUE("2025/12/11")+TIMEVALUE("6:00"),1,0)</f>
        <v>4</v>
      </c>
      <c r="N124">
        <f t="shared" ref="N124" si="173">N123+M124*(INT(A124-6/24)-INT(A123-6/24))+O124</f>
        <v>124</v>
      </c>
      <c r="O124">
        <f t="shared" ref="O124" si="174">IF(A124&gt;=DATEVALUE("2025/11/8")+TIMEVALUE("6:00"),1,0)-IF(A123&gt;=DATEVALUE("2025/11/8")+TIMEVALUE("6:00"),1,0)</f>
        <v>0</v>
      </c>
      <c r="P124" t="str">
        <f t="shared" ref="P124" si="175">IF(L124&lt;N124,"未達成（"&amp;N124-L124&amp;"）",IF(L124=N124,"達成","前倒し（"&amp;L124-N124&amp;"）"))</f>
        <v>未達成（3）</v>
      </c>
    </row>
    <row r="125" spans="1:16">
      <c r="A125" s="3">
        <v>46010.549768518518</v>
      </c>
      <c r="B125">
        <v>60</v>
      </c>
      <c r="C125">
        <v>14</v>
      </c>
      <c r="D125">
        <v>0</v>
      </c>
      <c r="E125">
        <v>0</v>
      </c>
      <c r="F125">
        <v>0</v>
      </c>
      <c r="G125" s="5">
        <v>6.7361111141508445E-3</v>
      </c>
      <c r="H125" t="s">
        <v>306</v>
      </c>
      <c r="I125" t="s">
        <v>307</v>
      </c>
      <c r="J125">
        <v>0</v>
      </c>
      <c r="K125">
        <f t="shared" ref="K125" si="176">IF(A125&lt;DATEVALUE("2025/11/20")+TIMEVALUE("6:00"),1,IF(B125-SUM(D125:F125)&lt;&gt;60,0,MAX(2-INT(G125*24*60/10),0)))</f>
        <v>2</v>
      </c>
      <c r="L125">
        <f t="shared" ref="L125" si="177">L124+K125</f>
        <v>123</v>
      </c>
      <c r="M125">
        <f t="shared" ref="M125" si="178">2+IF(A125&gt;=DATEVALUE("2025/11/30")+TIMEVALUE("6:00"),1,0)+IF(A125&gt;=DATEVALUE("2025/12/11")+TIMEVALUE("6:00"),1,0)</f>
        <v>4</v>
      </c>
      <c r="N125">
        <f t="shared" ref="N125" si="179">N124+M125*(INT(A125-6/24)-INT(A124-6/24))+O125</f>
        <v>124</v>
      </c>
      <c r="O125">
        <f t="shared" ref="O125" si="180">IF(A125&gt;=DATEVALUE("2025/11/8")+TIMEVALUE("6:00"),1,0)-IF(A124&gt;=DATEVALUE("2025/11/8")+TIMEVALUE("6:00"),1,0)</f>
        <v>0</v>
      </c>
      <c r="P125" t="str">
        <f t="shared" ref="P125" si="181">IF(L125&lt;N125,"未達成（"&amp;N125-L125&amp;"）",IF(L125=N125,"達成","前倒し（"&amp;L125-N125&amp;"）"))</f>
        <v>未達成（1）</v>
      </c>
    </row>
    <row r="126" spans="1:16">
      <c r="A126" s="3">
        <v>46010.559502314813</v>
      </c>
      <c r="B126">
        <v>60</v>
      </c>
      <c r="C126">
        <v>6</v>
      </c>
      <c r="D126">
        <v>0</v>
      </c>
      <c r="E126">
        <v>0</v>
      </c>
      <c r="F126">
        <v>0</v>
      </c>
      <c r="G126" s="5">
        <v>8.4606481468654238E-3</v>
      </c>
      <c r="H126" t="s">
        <v>308</v>
      </c>
      <c r="I126" t="s">
        <v>309</v>
      </c>
      <c r="J126">
        <v>0</v>
      </c>
      <c r="K126">
        <f t="shared" ref="K126" si="182">IF(A126&lt;DATEVALUE("2025/11/20")+TIMEVALUE("6:00"),1,IF(B126-SUM(D126:F126)&lt;&gt;60,0,MAX(2-INT(G126*24*60/10),0)))</f>
        <v>1</v>
      </c>
      <c r="L126">
        <f t="shared" ref="L126" si="183">L125+K126</f>
        <v>124</v>
      </c>
      <c r="M126">
        <f t="shared" ref="M126" si="184">2+IF(A126&gt;=DATEVALUE("2025/11/30")+TIMEVALUE("6:00"),1,0)+IF(A126&gt;=DATEVALUE("2025/12/11")+TIMEVALUE("6:00"),1,0)</f>
        <v>4</v>
      </c>
      <c r="N126">
        <f t="shared" ref="N126" si="185">N125+M126*(INT(A126-6/24)-INT(A125-6/24))+O126</f>
        <v>124</v>
      </c>
      <c r="O126">
        <f t="shared" ref="O126" si="186">IF(A126&gt;=DATEVALUE("2025/11/8")+TIMEVALUE("6:00"),1,0)-IF(A125&gt;=DATEVALUE("2025/11/8")+TIMEVALUE("6:00"),1,0)</f>
        <v>0</v>
      </c>
      <c r="P126" t="str">
        <f t="shared" ref="P126" si="187">IF(L126&lt;N126,"未達成（"&amp;N126-L126&amp;"）",IF(L126=N126,"達成","前倒し（"&amp;L126-N126&amp;"）"))</f>
        <v>達成</v>
      </c>
    </row>
    <row r="127" spans="1:16">
      <c r="A127" s="3">
        <v>46011.279826388891</v>
      </c>
      <c r="B127">
        <v>60</v>
      </c>
      <c r="C127">
        <v>16</v>
      </c>
      <c r="D127">
        <v>0</v>
      </c>
      <c r="E127">
        <v>0</v>
      </c>
      <c r="F127">
        <v>0</v>
      </c>
      <c r="G127" s="5">
        <v>8.0208333383779973E-3</v>
      </c>
      <c r="H127" t="s">
        <v>310</v>
      </c>
      <c r="I127" t="s">
        <v>311</v>
      </c>
      <c r="J127">
        <v>0</v>
      </c>
      <c r="K127">
        <f t="shared" ref="K127" si="188">IF(A127&lt;DATEVALUE("2025/11/20")+TIMEVALUE("6:00"),1,IF(B127-SUM(D127:F127)&lt;&gt;60,0,MAX(2-INT(G127*24*60/10),0)))</f>
        <v>1</v>
      </c>
      <c r="L127">
        <f t="shared" ref="L127" si="189">L126+K127</f>
        <v>125</v>
      </c>
      <c r="M127">
        <f t="shared" ref="M127" si="190">2+IF(A127&gt;=DATEVALUE("2025/11/30")+TIMEVALUE("6:00"),1,0)+IF(A127&gt;=DATEVALUE("2025/12/11")+TIMEVALUE("6:00"),1,0)</f>
        <v>4</v>
      </c>
      <c r="N127">
        <f t="shared" ref="N127" si="191">N126+M127*(INT(A127-6/24)-INT(A126-6/24))+O127</f>
        <v>128</v>
      </c>
      <c r="O127">
        <f t="shared" ref="O127" si="192">IF(A127&gt;=DATEVALUE("2025/11/8")+TIMEVALUE("6:00"),1,0)-IF(A126&gt;=DATEVALUE("2025/11/8")+TIMEVALUE("6:00"),1,0)</f>
        <v>0</v>
      </c>
      <c r="P127" t="str">
        <f t="shared" ref="P127" si="193">IF(L127&lt;N127,"未達成（"&amp;N127-L127&amp;"）",IF(L127=N127,"達成","前倒し（"&amp;L127-N127&amp;"）"))</f>
        <v>未達成（3）</v>
      </c>
    </row>
    <row r="128" spans="1:16">
      <c r="A128" s="3">
        <v>46011.312511574077</v>
      </c>
      <c r="B128">
        <v>60</v>
      </c>
      <c r="C128">
        <v>20</v>
      </c>
      <c r="D128">
        <v>0</v>
      </c>
      <c r="E128">
        <v>0</v>
      </c>
      <c r="F128">
        <v>0</v>
      </c>
      <c r="G128" s="5">
        <v>5.9722222213167697E-3</v>
      </c>
      <c r="H128" t="s">
        <v>312</v>
      </c>
      <c r="I128" t="s">
        <v>313</v>
      </c>
      <c r="J128">
        <v>0</v>
      </c>
      <c r="K128">
        <f t="shared" ref="K128" si="194">IF(A128&lt;DATEVALUE("2025/11/20")+TIMEVALUE("6:00"),1,IF(B128-SUM(D128:F128)&lt;&gt;60,0,MAX(2-INT(G128*24*60/10),0)))</f>
        <v>2</v>
      </c>
      <c r="L128">
        <f t="shared" ref="L128" si="195">L127+K128</f>
        <v>127</v>
      </c>
      <c r="M128">
        <f t="shared" ref="M128" si="196">2+IF(A128&gt;=DATEVALUE("2025/11/30")+TIMEVALUE("6:00"),1,0)+IF(A128&gt;=DATEVALUE("2025/12/11")+TIMEVALUE("6:00"),1,0)</f>
        <v>4</v>
      </c>
      <c r="N128">
        <f t="shared" ref="N128" si="197">N127+M128*(INT(A128-6/24)-INT(A127-6/24))+O128</f>
        <v>128</v>
      </c>
      <c r="O128">
        <f t="shared" ref="O128" si="198">IF(A128&gt;=DATEVALUE("2025/11/8")+TIMEVALUE("6:00"),1,0)-IF(A127&gt;=DATEVALUE("2025/11/8")+TIMEVALUE("6:00"),1,0)</f>
        <v>0</v>
      </c>
      <c r="P128" t="str">
        <f t="shared" ref="P128" si="199">IF(L128&lt;N128,"未達成（"&amp;N128-L128&amp;"）",IF(L128=N128,"達成","前倒し（"&amp;L128-N128&amp;"）"))</f>
        <v>未達成（1）</v>
      </c>
    </row>
    <row r="129" spans="1:16">
      <c r="A129" s="3">
        <v>46011.325300925928</v>
      </c>
      <c r="B129">
        <v>60</v>
      </c>
      <c r="C129">
        <v>24</v>
      </c>
      <c r="D129">
        <v>0</v>
      </c>
      <c r="E129">
        <v>0</v>
      </c>
      <c r="F129">
        <v>0</v>
      </c>
      <c r="G129" s="5">
        <v>9.0625000011641532E-3</v>
      </c>
      <c r="H129" t="s">
        <v>314</v>
      </c>
      <c r="I129" t="s">
        <v>315</v>
      </c>
      <c r="J129">
        <v>0</v>
      </c>
      <c r="K129">
        <f t="shared" ref="K129" si="200">IF(A129&lt;DATEVALUE("2025/11/20")+TIMEVALUE("6:00"),1,IF(B129-SUM(D129:F129)&lt;&gt;60,0,MAX(2-INT(G129*24*60/10),0)))</f>
        <v>1</v>
      </c>
      <c r="L129">
        <f t="shared" ref="L129" si="201">L128+K129</f>
        <v>128</v>
      </c>
      <c r="M129">
        <f t="shared" ref="M129" si="202">2+IF(A129&gt;=DATEVALUE("2025/11/30")+TIMEVALUE("6:00"),1,0)+IF(A129&gt;=DATEVALUE("2025/12/11")+TIMEVALUE("6:00"),1,0)</f>
        <v>4</v>
      </c>
      <c r="N129">
        <f t="shared" ref="N129" si="203">N128+M129*(INT(A129-6/24)-INT(A128-6/24))+O129</f>
        <v>128</v>
      </c>
      <c r="O129">
        <f t="shared" ref="O129" si="204">IF(A129&gt;=DATEVALUE("2025/11/8")+TIMEVALUE("6:00"),1,0)-IF(A128&gt;=DATEVALUE("2025/11/8")+TIMEVALUE("6:00"),1,0)</f>
        <v>0</v>
      </c>
      <c r="P129" t="str">
        <f t="shared" ref="P129" si="205">IF(L129&lt;N129,"未達成（"&amp;N129-L129&amp;"）",IF(L129=N129,"達成","前倒し（"&amp;L129-N129&amp;"）"))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46011.316238425927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2025-12-19T22:48:56Z</dcterms:modified>
</cp:coreProperties>
</file>
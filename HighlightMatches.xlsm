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FACE6EC-E1E8-4DCD-B503-9ABFAA86232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3" i="4" l="1"/>
  <c r="N63" i="4"/>
  <c r="L63" i="4"/>
  <c r="P63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2" i="4" s="1"/>
  <c r="P60" i="4"/>
  <c r="P61" i="4" l="1"/>
</calcChain>
</file>

<file path=xl/sharedStrings.xml><?xml version="1.0" encoding="utf-8"?>
<sst xmlns="http://schemas.openxmlformats.org/spreadsheetml/2006/main" count="203" uniqueCount="184">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</sst>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データ!$A$2:$A$62</c:f>
              <c:numCache>
                <c:formatCode>m/d/yyyy\ h:mm</c:formatCode>
                <c:ptCount val="6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</c:numCache>
            </c:numRef>
          </c:xVal>
          <c:yVal>
            <c:numRef>
              <c:f>データ!$B$2:$B$62</c:f>
              <c:numCache>
                <c:formatCode>General</c:formatCode>
                <c:ptCount val="6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52-4A43-A691-17C9934E4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5167"/>
        <c:axId val="86786564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データ!$A$2:$A$62</c:f>
              <c:numCache>
                <c:formatCode>m/d/yyyy\ h:mm</c:formatCode>
                <c:ptCount val="6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</c:numCache>
            </c:numRef>
          </c:xVal>
          <c:yVal>
            <c:numRef>
              <c:f>データ!$G$2:$G$62</c:f>
              <c:numCache>
                <c:formatCode>[h]:mm</c:formatCode>
                <c:ptCount val="6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52-4A43-A691-17C9934E4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057040"/>
        <c:axId val="872639119"/>
      </c:scatterChart>
      <c:valAx>
        <c:axId val="867865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7865647"/>
        <c:crosses val="autoZero"/>
        <c:crossBetween val="midCat"/>
      </c:valAx>
      <c:valAx>
        <c:axId val="86786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7865167"/>
        <c:crosses val="autoZero"/>
        <c:crossBetween val="midCat"/>
      </c:valAx>
      <c:valAx>
        <c:axId val="87263911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1057040"/>
        <c:crosses val="max"/>
        <c:crossBetween val="midCat"/>
      </c:valAx>
      <c:valAx>
        <c:axId val="9610570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263911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1</xdr:row>
      <xdr:rowOff>57150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1566A482-762A-C431-9BCB-9E1D2FF3D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12" sqref="L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1</v>
      </c>
      <c r="B1" s="26">
        <v>2</v>
      </c>
      <c r="C1" s="26">
        <v>1</v>
      </c>
      <c r="D1" s="26">
        <v>5</v>
      </c>
      <c r="E1" s="23">
        <v>9</v>
      </c>
      <c r="F1" s="22">
        <v>9</v>
      </c>
      <c r="G1" s="22">
        <v>8</v>
      </c>
      <c r="H1" s="22">
        <v>5</v>
      </c>
      <c r="I1" s="22">
        <v>8</v>
      </c>
      <c r="J1" s="22">
        <v>7</v>
      </c>
      <c r="K1" s="22">
        <v>9</v>
      </c>
      <c r="L1" s="22">
        <v>5</v>
      </c>
      <c r="N1" s="2">
        <v>17239</v>
      </c>
      <c r="O1" s="1">
        <v>1</v>
      </c>
    </row>
    <row r="2" spans="1:15" ht="28.25" customHeight="1">
      <c r="A2" s="23">
        <v>1</v>
      </c>
      <c r="B2" s="22">
        <v>7</v>
      </c>
      <c r="C2" s="22">
        <v>9</v>
      </c>
      <c r="D2" s="26">
        <v>2</v>
      </c>
      <c r="E2" s="23">
        <v>7</v>
      </c>
      <c r="F2" s="26">
        <v>6</v>
      </c>
      <c r="G2" s="23">
        <v>7</v>
      </c>
      <c r="H2" s="23">
        <v>1</v>
      </c>
      <c r="I2" s="23">
        <v>6</v>
      </c>
      <c r="J2" s="23">
        <v>8</v>
      </c>
      <c r="K2" s="23">
        <v>8</v>
      </c>
      <c r="L2" s="23">
        <v>1</v>
      </c>
      <c r="N2" s="2">
        <v>79647</v>
      </c>
      <c r="O2" s="1">
        <v>1</v>
      </c>
    </row>
    <row r="3" spans="1:15" ht="28.25" customHeight="1">
      <c r="A3" s="23">
        <v>7</v>
      </c>
      <c r="B3" s="22">
        <v>8</v>
      </c>
      <c r="C3" s="23">
        <v>6</v>
      </c>
      <c r="D3" s="23">
        <v>7</v>
      </c>
      <c r="E3" s="23">
        <v>4</v>
      </c>
      <c r="F3" s="23">
        <v>2</v>
      </c>
      <c r="G3" s="23">
        <v>8</v>
      </c>
      <c r="H3" s="22">
        <v>1</v>
      </c>
      <c r="I3" s="26">
        <v>9</v>
      </c>
      <c r="J3" s="26">
        <v>2</v>
      </c>
      <c r="K3" s="26">
        <v>3</v>
      </c>
      <c r="L3" s="23">
        <v>2</v>
      </c>
      <c r="N3" s="2">
        <v>97</v>
      </c>
      <c r="O3" s="1">
        <v>14</v>
      </c>
    </row>
    <row r="4" spans="1:15" ht="28.25" customHeight="1">
      <c r="A4" s="23">
        <v>2</v>
      </c>
      <c r="B4" s="26">
        <v>2</v>
      </c>
      <c r="C4" s="22">
        <v>4</v>
      </c>
      <c r="D4" s="26">
        <v>6</v>
      </c>
      <c r="E4" s="23">
        <v>6</v>
      </c>
      <c r="F4" s="23">
        <v>7</v>
      </c>
      <c r="G4" s="23">
        <v>8</v>
      </c>
      <c r="H4" s="23">
        <v>3</v>
      </c>
      <c r="I4" s="26">
        <v>9</v>
      </c>
      <c r="J4" s="26">
        <v>3</v>
      </c>
      <c r="K4" s="23">
        <v>5</v>
      </c>
      <c r="L4" s="23">
        <v>6</v>
      </c>
      <c r="N4" s="2">
        <v>2671</v>
      </c>
      <c r="O4" s="1">
        <v>1</v>
      </c>
    </row>
    <row r="5" spans="1:15" ht="28.25" customHeight="1">
      <c r="A5" s="23">
        <v>3</v>
      </c>
      <c r="B5" s="26">
        <v>6</v>
      </c>
      <c r="C5" s="26">
        <v>2</v>
      </c>
      <c r="D5" s="22">
        <v>8</v>
      </c>
      <c r="E5" s="23">
        <v>6</v>
      </c>
      <c r="F5" s="22">
        <v>4</v>
      </c>
      <c r="G5" s="26">
        <v>2</v>
      </c>
      <c r="H5" s="23">
        <v>4</v>
      </c>
      <c r="I5" s="22">
        <v>4</v>
      </c>
      <c r="J5" s="23">
        <v>8</v>
      </c>
      <c r="K5" s="23">
        <v>3</v>
      </c>
      <c r="L5" s="23">
        <v>7</v>
      </c>
      <c r="N5" s="2">
        <v>6783</v>
      </c>
      <c r="O5" s="1">
        <v>1</v>
      </c>
    </row>
    <row r="6" spans="1:15" ht="28.25" customHeight="1">
      <c r="A6" s="23">
        <v>9</v>
      </c>
      <c r="B6" s="22">
        <v>7</v>
      </c>
      <c r="C6" s="22">
        <v>9</v>
      </c>
      <c r="D6" s="23">
        <v>3</v>
      </c>
      <c r="E6" s="22">
        <v>5</v>
      </c>
      <c r="F6" s="22">
        <v>9</v>
      </c>
      <c r="G6" s="23">
        <v>8</v>
      </c>
      <c r="H6" s="23">
        <v>4</v>
      </c>
      <c r="I6" s="23">
        <v>3</v>
      </c>
      <c r="J6" s="26">
        <v>1</v>
      </c>
      <c r="K6" s="23">
        <v>2</v>
      </c>
      <c r="L6" s="23">
        <v>1</v>
      </c>
      <c r="N6" s="2">
        <v>633</v>
      </c>
      <c r="O6" s="1">
        <v>3</v>
      </c>
    </row>
    <row r="7" spans="1:15" ht="28.25" customHeight="1">
      <c r="A7" s="26">
        <v>2</v>
      </c>
      <c r="B7" s="26">
        <v>5</v>
      </c>
      <c r="C7" s="23">
        <v>3</v>
      </c>
      <c r="D7" s="26">
        <v>2</v>
      </c>
      <c r="E7" s="23">
        <v>7</v>
      </c>
      <c r="F7" s="22">
        <v>8</v>
      </c>
      <c r="G7" s="22">
        <v>6</v>
      </c>
      <c r="H7" s="23">
        <v>8</v>
      </c>
      <c r="I7" s="22">
        <v>5</v>
      </c>
      <c r="J7" s="22">
        <v>5</v>
      </c>
      <c r="K7" s="23">
        <v>8</v>
      </c>
      <c r="L7" s="26">
        <v>7</v>
      </c>
      <c r="N7" s="2">
        <v>3288624</v>
      </c>
      <c r="O7" s="1">
        <v>1</v>
      </c>
    </row>
    <row r="8" spans="1:15" ht="28.25" customHeight="1">
      <c r="A8" s="26">
        <v>4</v>
      </c>
      <c r="B8" s="22">
        <v>1</v>
      </c>
      <c r="C8" s="22">
        <v>1</v>
      </c>
      <c r="D8" s="26">
        <v>5</v>
      </c>
      <c r="E8" s="23">
        <v>9</v>
      </c>
      <c r="F8" s="23">
        <v>8</v>
      </c>
      <c r="G8" s="26">
        <v>3</v>
      </c>
      <c r="H8" s="22">
        <v>1</v>
      </c>
      <c r="I8" s="22">
        <v>7</v>
      </c>
      <c r="J8" s="22">
        <v>7</v>
      </c>
      <c r="K8" s="23">
        <v>8</v>
      </c>
      <c r="L8" s="26">
        <v>2</v>
      </c>
      <c r="N8" s="2">
        <v>84</v>
      </c>
      <c r="O8" s="1">
        <v>16</v>
      </c>
    </row>
    <row r="9" spans="1:15" ht="28.25" customHeight="1">
      <c r="A9" s="26">
        <v>5</v>
      </c>
      <c r="B9" s="22">
        <v>6</v>
      </c>
      <c r="C9" s="26">
        <v>9</v>
      </c>
      <c r="D9" s="22">
        <v>3</v>
      </c>
      <c r="E9" s="23">
        <v>6</v>
      </c>
      <c r="F9" s="23">
        <v>4</v>
      </c>
      <c r="G9" s="22">
        <v>4</v>
      </c>
      <c r="H9" s="26">
        <v>2</v>
      </c>
      <c r="I9" s="22">
        <v>9</v>
      </c>
      <c r="J9" s="22">
        <v>7</v>
      </c>
      <c r="K9" s="23">
        <v>6</v>
      </c>
      <c r="L9" s="26">
        <v>2</v>
      </c>
      <c r="N9" s="2">
        <v>67428</v>
      </c>
      <c r="O9" s="1">
        <v>1</v>
      </c>
    </row>
    <row r="10" spans="1:15" ht="28.25" customHeight="1">
      <c r="A10" s="26">
        <v>6</v>
      </c>
      <c r="B10" s="26">
        <v>2</v>
      </c>
      <c r="C10" s="23">
        <v>1</v>
      </c>
      <c r="D10" s="22">
        <v>3</v>
      </c>
      <c r="E10" s="23">
        <v>4</v>
      </c>
      <c r="F10" s="26">
        <v>2</v>
      </c>
      <c r="G10" s="22">
        <v>6</v>
      </c>
      <c r="H10" s="22">
        <v>8</v>
      </c>
      <c r="I10" s="22">
        <v>4</v>
      </c>
      <c r="J10" s="22">
        <v>3</v>
      </c>
      <c r="K10" s="23">
        <v>2</v>
      </c>
      <c r="L10" s="26">
        <v>3</v>
      </c>
      <c r="N10" s="2">
        <v>188617</v>
      </c>
      <c r="O10" s="1">
        <v>1</v>
      </c>
    </row>
    <row r="11" spans="1:15" ht="28.25" customHeight="1">
      <c r="A11" s="26">
        <v>2</v>
      </c>
      <c r="B11" s="26">
        <v>5</v>
      </c>
      <c r="C11" s="23">
        <v>6</v>
      </c>
      <c r="D11" s="22">
        <v>6</v>
      </c>
      <c r="E11" s="23">
        <v>7</v>
      </c>
      <c r="F11" s="22">
        <v>3</v>
      </c>
      <c r="G11" s="22">
        <v>9</v>
      </c>
      <c r="H11" s="22">
        <v>5</v>
      </c>
      <c r="I11" s="22">
        <v>6</v>
      </c>
      <c r="J11" s="22">
        <v>5</v>
      </c>
      <c r="K11" s="23">
        <v>4</v>
      </c>
      <c r="L11" s="22">
        <v>8</v>
      </c>
      <c r="N11" s="2">
        <v>85</v>
      </c>
      <c r="O11" s="1">
        <v>12</v>
      </c>
    </row>
    <row r="12" spans="1:15" ht="28.25" customHeight="1">
      <c r="A12" s="26">
        <v>5</v>
      </c>
      <c r="B12" s="26">
        <v>3</v>
      </c>
      <c r="C12" s="26">
        <v>7</v>
      </c>
      <c r="D12" s="26">
        <v>4</v>
      </c>
      <c r="E12" s="22">
        <v>3</v>
      </c>
      <c r="F12" s="23">
        <v>8</v>
      </c>
      <c r="G12" s="23">
        <v>3</v>
      </c>
      <c r="H12" s="23">
        <v>7</v>
      </c>
      <c r="I12" s="23">
        <v>1</v>
      </c>
      <c r="J12" s="23">
        <v>5</v>
      </c>
      <c r="K12" s="23">
        <v>8</v>
      </c>
      <c r="L12" s="23">
        <v>8</v>
      </c>
      <c r="N12" s="2">
        <v>844</v>
      </c>
      <c r="O12" s="1">
        <v>2</v>
      </c>
    </row>
    <row r="13" spans="1:15" ht="28.25" customHeight="1">
      <c r="N13" s="2">
        <v>843</v>
      </c>
      <c r="O13" s="1">
        <v>4</v>
      </c>
    </row>
    <row r="14" spans="1:15" ht="28.25" customHeight="1">
      <c r="N14" s="2">
        <v>61</v>
      </c>
      <c r="O14" s="1">
        <v>9</v>
      </c>
    </row>
    <row r="15" spans="1:15" ht="28.25" customHeight="1">
      <c r="N15" s="2">
        <v>8371588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63"/>
  <sheetViews>
    <sheetView tabSelected="1" zoomScaleNormal="100" workbookViewId="0">
      <pane ySplit="1" topLeftCell="A58" activePane="bottomLeft" state="frozen"/>
      <selection pane="bottomLeft" activeCell="A63" sqref="A6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0">IF(A18&lt;DATEVALUE("2025/11/20"),1,IF(B18-SUM(D18:F18)&lt;&gt;60,0,MAX(2-INT(G18*24*60/10),0)))</f>
        <v>1</v>
      </c>
      <c r="L18">
        <f t="shared" ref="L18:L58" si="1">L17+K18</f>
        <v>2</v>
      </c>
      <c r="M18">
        <v>2</v>
      </c>
      <c r="N18">
        <f>N17+M18*(INT(A18-6/24)-INT(A17-6/24))+O18</f>
        <v>2</v>
      </c>
      <c r="O18">
        <f t="shared" ref="O18:O62" si="2">IF(A18&gt;DATEVALUE("2025/11/8"),1,0)-IF(A17&gt;DATEVALUE("2025/11/8"),1,0)</f>
        <v>0</v>
      </c>
      <c r="P18" t="str">
        <f t="shared" ref="P18:P58" si="3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0"/>
        <v>1</v>
      </c>
      <c r="L19">
        <f t="shared" si="1"/>
        <v>3</v>
      </c>
      <c r="M19">
        <v>2</v>
      </c>
      <c r="N19">
        <f>N18+M19*(INT(A19-6/24)-INT(A18-6/24))+O19</f>
        <v>4</v>
      </c>
      <c r="O19">
        <f t="shared" si="2"/>
        <v>0</v>
      </c>
      <c r="P19" t="str">
        <f t="shared" si="3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0"/>
        <v>1</v>
      </c>
      <c r="L20">
        <f t="shared" si="1"/>
        <v>4</v>
      </c>
      <c r="M20">
        <v>2</v>
      </c>
      <c r="N20">
        <f>N19+M20*(INT(A20-6/24)-INT(A19-6/24))+O20</f>
        <v>4</v>
      </c>
      <c r="O20">
        <f t="shared" si="2"/>
        <v>0</v>
      </c>
      <c r="P20" t="str">
        <f t="shared" si="3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0"/>
        <v>1</v>
      </c>
      <c r="L21">
        <f t="shared" si="1"/>
        <v>5</v>
      </c>
      <c r="M21">
        <v>2</v>
      </c>
      <c r="N21">
        <f>N20+M21*(INT(A21-6/24)-INT(A20-6/24))+O21</f>
        <v>6</v>
      </c>
      <c r="O21">
        <f t="shared" si="2"/>
        <v>0</v>
      </c>
      <c r="P21" t="str">
        <f t="shared" si="3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0"/>
        <v>1</v>
      </c>
      <c r="L22">
        <f t="shared" si="1"/>
        <v>6</v>
      </c>
      <c r="M22">
        <v>2</v>
      </c>
      <c r="N22">
        <f>N21+M22*(INT(A22-6/24)-INT(A21-6/24))+O22</f>
        <v>6</v>
      </c>
      <c r="O22">
        <f t="shared" si="2"/>
        <v>0</v>
      </c>
      <c r="P22" t="str">
        <f t="shared" si="3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0"/>
        <v>1</v>
      </c>
      <c r="L23">
        <f t="shared" si="1"/>
        <v>7</v>
      </c>
      <c r="M23">
        <v>2</v>
      </c>
      <c r="N23">
        <f>N22+M23*(INT(A23-6/24)-INT(A22-6/24))+O23</f>
        <v>8</v>
      </c>
      <c r="O23">
        <f t="shared" si="2"/>
        <v>0</v>
      </c>
      <c r="P23" t="str">
        <f t="shared" si="3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0"/>
        <v>1</v>
      </c>
      <c r="L24">
        <f t="shared" si="1"/>
        <v>8</v>
      </c>
      <c r="M24">
        <v>2</v>
      </c>
      <c r="N24">
        <f>N23+M24*(INT(A24-6/24)-INT(A23-6/24))+O24</f>
        <v>8</v>
      </c>
      <c r="O24">
        <f t="shared" si="2"/>
        <v>0</v>
      </c>
      <c r="P24" t="str">
        <f t="shared" si="3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0"/>
        <v>1</v>
      </c>
      <c r="L25">
        <f t="shared" si="1"/>
        <v>9</v>
      </c>
      <c r="M25">
        <v>2</v>
      </c>
      <c r="N25">
        <f>N24+M25*(INT(A25-6/24)-INT(A24-6/24))+O25</f>
        <v>10</v>
      </c>
      <c r="O25">
        <f t="shared" si="2"/>
        <v>0</v>
      </c>
      <c r="P25" t="str">
        <f t="shared" si="3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0"/>
        <v>1</v>
      </c>
      <c r="L26">
        <f t="shared" si="1"/>
        <v>10</v>
      </c>
      <c r="M26">
        <v>2</v>
      </c>
      <c r="N26">
        <f>N25+M26*(INT(A26-6/24)-INT(A25-6/24))+O26</f>
        <v>10</v>
      </c>
      <c r="O26">
        <f t="shared" si="2"/>
        <v>0</v>
      </c>
      <c r="P26" t="str">
        <f t="shared" si="3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0"/>
        <v>1</v>
      </c>
      <c r="L27">
        <f t="shared" si="1"/>
        <v>11</v>
      </c>
      <c r="M27">
        <v>2</v>
      </c>
      <c r="N27">
        <f>N26+M27*(INT(A27-6/24)-INT(A26-6/24))+O27</f>
        <v>13</v>
      </c>
      <c r="O27">
        <f t="shared" si="2"/>
        <v>1</v>
      </c>
      <c r="P27" t="str">
        <f t="shared" si="3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0"/>
        <v>1</v>
      </c>
      <c r="L28">
        <f t="shared" si="1"/>
        <v>12</v>
      </c>
      <c r="M28">
        <v>2</v>
      </c>
      <c r="N28">
        <f>N27+M28*(INT(A28-6/24)-INT(A27-6/24))+O28</f>
        <v>13</v>
      </c>
      <c r="O28">
        <f t="shared" si="2"/>
        <v>0</v>
      </c>
      <c r="P28" t="str">
        <f t="shared" si="3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0"/>
        <v>1</v>
      </c>
      <c r="L29">
        <f t="shared" si="1"/>
        <v>13</v>
      </c>
      <c r="M29">
        <v>2</v>
      </c>
      <c r="N29">
        <f>N28+M29*(INT(A29-6/24)-INT(A28-6/24))+O29</f>
        <v>13</v>
      </c>
      <c r="O29">
        <f t="shared" si="2"/>
        <v>0</v>
      </c>
      <c r="P29" t="str">
        <f t="shared" si="3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0"/>
        <v>1</v>
      </c>
      <c r="L30">
        <f t="shared" si="1"/>
        <v>14</v>
      </c>
      <c r="M30">
        <v>2</v>
      </c>
      <c r="N30">
        <f>N29+M30*(INT(A30-6/24)-INT(A29-6/24))+O30</f>
        <v>15</v>
      </c>
      <c r="O30">
        <f t="shared" si="2"/>
        <v>0</v>
      </c>
      <c r="P30" t="str">
        <f t="shared" si="3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0"/>
        <v>1</v>
      </c>
      <c r="L31">
        <f t="shared" si="1"/>
        <v>15</v>
      </c>
      <c r="M31">
        <v>2</v>
      </c>
      <c r="N31">
        <f>N30+M31*(INT(A31-6/24)-INT(A30-6/24))+O31</f>
        <v>15</v>
      </c>
      <c r="O31">
        <f t="shared" si="2"/>
        <v>0</v>
      </c>
      <c r="P31" t="str">
        <f t="shared" si="3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0"/>
        <v>1</v>
      </c>
      <c r="L32">
        <f t="shared" si="1"/>
        <v>16</v>
      </c>
      <c r="M32">
        <v>2</v>
      </c>
      <c r="N32">
        <f>N31+M32*(INT(A32-6/24)-INT(A31-6/24))+O32</f>
        <v>17</v>
      </c>
      <c r="O32">
        <f t="shared" si="2"/>
        <v>0</v>
      </c>
      <c r="P32" t="str">
        <f t="shared" si="3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0"/>
        <v>1</v>
      </c>
      <c r="L33">
        <f t="shared" si="1"/>
        <v>17</v>
      </c>
      <c r="M33">
        <v>2</v>
      </c>
      <c r="N33">
        <f>N32+M33*(INT(A33-6/24)-INT(A32-6/24))+O33</f>
        <v>17</v>
      </c>
      <c r="O33">
        <f t="shared" si="2"/>
        <v>0</v>
      </c>
      <c r="P33" t="str">
        <f t="shared" si="3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0"/>
        <v>1</v>
      </c>
      <c r="L34">
        <f t="shared" si="1"/>
        <v>18</v>
      </c>
      <c r="M34">
        <v>2</v>
      </c>
      <c r="N34">
        <f>N33+M34*(INT(A34-6/24)-INT(A33-6/24))+O34</f>
        <v>19</v>
      </c>
      <c r="O34">
        <f t="shared" si="2"/>
        <v>0</v>
      </c>
      <c r="P34" t="str">
        <f t="shared" si="3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0"/>
        <v>1</v>
      </c>
      <c r="L35">
        <f t="shared" si="1"/>
        <v>19</v>
      </c>
      <c r="M35">
        <v>2</v>
      </c>
      <c r="N35">
        <f>N34+M35*(INT(A35-6/24)-INT(A34-6/24))+O35</f>
        <v>19</v>
      </c>
      <c r="O35">
        <f t="shared" si="2"/>
        <v>0</v>
      </c>
      <c r="P35" t="str">
        <f t="shared" si="3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0"/>
        <v>1</v>
      </c>
      <c r="L36">
        <f t="shared" si="1"/>
        <v>20</v>
      </c>
      <c r="M36">
        <v>2</v>
      </c>
      <c r="N36">
        <f>N35+M36*(INT(A36-6/24)-INT(A35-6/24))+O36</f>
        <v>21</v>
      </c>
      <c r="O36">
        <f t="shared" si="2"/>
        <v>0</v>
      </c>
      <c r="P36" t="str">
        <f t="shared" si="3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0"/>
        <v>1</v>
      </c>
      <c r="L37">
        <f t="shared" si="1"/>
        <v>21</v>
      </c>
      <c r="M37">
        <v>2</v>
      </c>
      <c r="N37">
        <f>N36+M37*(INT(A37-6/24)-INT(A36-6/24))+O37</f>
        <v>21</v>
      </c>
      <c r="O37">
        <f t="shared" si="2"/>
        <v>0</v>
      </c>
      <c r="P37" t="str">
        <f t="shared" si="3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0"/>
        <v>1</v>
      </c>
      <c r="L38">
        <f t="shared" si="1"/>
        <v>22</v>
      </c>
      <c r="M38">
        <v>2</v>
      </c>
      <c r="N38">
        <f>N37+M38*(INT(A38-6/24)-INT(A37-6/24))+O38</f>
        <v>25</v>
      </c>
      <c r="O38">
        <f t="shared" si="2"/>
        <v>0</v>
      </c>
      <c r="P38" t="str">
        <f t="shared" si="3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0"/>
        <v>1</v>
      </c>
      <c r="L39">
        <f t="shared" si="1"/>
        <v>23</v>
      </c>
      <c r="M39">
        <v>2</v>
      </c>
      <c r="N39">
        <f>N38+M39*(INT(A39-6/24)-INT(A38-6/24))+O39</f>
        <v>25</v>
      </c>
      <c r="O39">
        <f t="shared" si="2"/>
        <v>0</v>
      </c>
      <c r="P39" t="str">
        <f t="shared" si="3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0"/>
        <v>1</v>
      </c>
      <c r="L40">
        <f t="shared" si="1"/>
        <v>24</v>
      </c>
      <c r="M40">
        <v>2</v>
      </c>
      <c r="N40">
        <f>N39+M40*(INT(A40-6/24)-INT(A39-6/24))+O40</f>
        <v>27</v>
      </c>
      <c r="O40">
        <f t="shared" si="2"/>
        <v>0</v>
      </c>
      <c r="P40" t="str">
        <f t="shared" si="3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0"/>
        <v>1</v>
      </c>
      <c r="L41">
        <f t="shared" si="1"/>
        <v>25</v>
      </c>
      <c r="M41">
        <v>2</v>
      </c>
      <c r="N41">
        <f>N40+M41*(INT(A41-6/24)-INT(A40-6/24))+O41</f>
        <v>27</v>
      </c>
      <c r="O41">
        <f t="shared" si="2"/>
        <v>0</v>
      </c>
      <c r="P41" t="str">
        <f t="shared" si="3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0"/>
        <v>1</v>
      </c>
      <c r="L42">
        <f t="shared" si="1"/>
        <v>26</v>
      </c>
      <c r="M42">
        <v>2</v>
      </c>
      <c r="N42">
        <f>N41+M42*(INT(A42-6/24)-INT(A41-6/24))+O42</f>
        <v>29</v>
      </c>
      <c r="O42">
        <f t="shared" si="2"/>
        <v>0</v>
      </c>
      <c r="P42" t="str">
        <f t="shared" si="3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0"/>
        <v>1</v>
      </c>
      <c r="L43">
        <f t="shared" si="1"/>
        <v>27</v>
      </c>
      <c r="M43">
        <v>2</v>
      </c>
      <c r="N43">
        <f>N42+M43*(INT(A43-6/24)-INT(A42-6/24))+O43</f>
        <v>29</v>
      </c>
      <c r="O43">
        <f t="shared" si="2"/>
        <v>0</v>
      </c>
      <c r="P43" t="str">
        <f t="shared" si="3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0"/>
        <v>1</v>
      </c>
      <c r="L44">
        <f t="shared" si="1"/>
        <v>28</v>
      </c>
      <c r="M44">
        <v>2</v>
      </c>
      <c r="N44">
        <f>N43+M44*(INT(A44-6/24)-INT(A43-6/24))+O44</f>
        <v>29</v>
      </c>
      <c r="O44">
        <f t="shared" si="2"/>
        <v>0</v>
      </c>
      <c r="P44" t="str">
        <f t="shared" si="3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0"/>
        <v>1</v>
      </c>
      <c r="L45">
        <f t="shared" si="1"/>
        <v>29</v>
      </c>
      <c r="M45">
        <v>2</v>
      </c>
      <c r="N45">
        <f>N44+M45*(INT(A45-6/24)-INT(A44-6/24))+O45</f>
        <v>29</v>
      </c>
      <c r="O45">
        <f t="shared" si="2"/>
        <v>0</v>
      </c>
      <c r="P45" t="str">
        <f t="shared" si="3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0"/>
        <v>1</v>
      </c>
      <c r="L46">
        <f t="shared" si="1"/>
        <v>30</v>
      </c>
      <c r="M46">
        <v>2</v>
      </c>
      <c r="N46">
        <f>N45+M46*(INT(A46-6/24)-INT(A45-6/24))+O46</f>
        <v>29</v>
      </c>
      <c r="O46">
        <f t="shared" si="2"/>
        <v>0</v>
      </c>
      <c r="P46" t="str">
        <f t="shared" si="3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0"/>
        <v>1</v>
      </c>
      <c r="L47">
        <f t="shared" si="1"/>
        <v>31</v>
      </c>
      <c r="M47">
        <v>2</v>
      </c>
      <c r="N47">
        <f>N46+M47*(INT(A47-6/24)-INT(A46-6/24))+O47</f>
        <v>29</v>
      </c>
      <c r="O47">
        <f t="shared" si="2"/>
        <v>0</v>
      </c>
      <c r="P47" t="str">
        <f t="shared" si="3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0"/>
        <v>1</v>
      </c>
      <c r="L48">
        <f t="shared" si="1"/>
        <v>32</v>
      </c>
      <c r="M48">
        <v>2</v>
      </c>
      <c r="N48">
        <f>N47+M48*(INT(A48-6/24)-INT(A47-6/24))+O48</f>
        <v>31</v>
      </c>
      <c r="O48">
        <f t="shared" si="2"/>
        <v>0</v>
      </c>
      <c r="P48" t="str">
        <f t="shared" si="3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0"/>
        <v>1</v>
      </c>
      <c r="L49">
        <f t="shared" si="1"/>
        <v>33</v>
      </c>
      <c r="M49">
        <v>2</v>
      </c>
      <c r="N49">
        <f>N48+M49*(INT(A49-6/24)-INT(A48-6/24))+O49</f>
        <v>31</v>
      </c>
      <c r="O49">
        <f t="shared" si="2"/>
        <v>0</v>
      </c>
      <c r="P49" t="str">
        <f t="shared" si="3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0"/>
        <v>1</v>
      </c>
      <c r="L50">
        <f t="shared" si="1"/>
        <v>34</v>
      </c>
      <c r="M50">
        <v>2</v>
      </c>
      <c r="N50">
        <f>N49+M50*(INT(A50-6/24)-INT(A49-6/24))+O50</f>
        <v>31</v>
      </c>
      <c r="O50">
        <f t="shared" si="2"/>
        <v>0</v>
      </c>
      <c r="P50" t="str">
        <f t="shared" si="3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0"/>
        <v>1</v>
      </c>
      <c r="L51">
        <f t="shared" si="1"/>
        <v>35</v>
      </c>
      <c r="M51">
        <v>2</v>
      </c>
      <c r="N51">
        <f>N50+M51*(INT(A51-6/24)-INT(A50-6/24))+O51</f>
        <v>31</v>
      </c>
      <c r="O51">
        <f t="shared" si="2"/>
        <v>0</v>
      </c>
      <c r="P51" t="str">
        <f t="shared" si="3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0"/>
        <v>1</v>
      </c>
      <c r="L52">
        <f t="shared" si="1"/>
        <v>36</v>
      </c>
      <c r="M52">
        <v>2</v>
      </c>
      <c r="N52">
        <f>N51+M52*(INT(A52-6/24)-INT(A51-6/24))+O52</f>
        <v>35</v>
      </c>
      <c r="O52">
        <f t="shared" si="2"/>
        <v>0</v>
      </c>
      <c r="P52" t="str">
        <f t="shared" si="3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0"/>
        <v>1</v>
      </c>
      <c r="L53">
        <f t="shared" si="1"/>
        <v>37</v>
      </c>
      <c r="M53">
        <v>2</v>
      </c>
      <c r="N53">
        <f>N52+M53*(INT(A53-6/24)-INT(A52-6/24))+O53</f>
        <v>35</v>
      </c>
      <c r="O53">
        <f t="shared" si="2"/>
        <v>0</v>
      </c>
      <c r="P53" t="str">
        <f t="shared" si="3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0"/>
        <v>1</v>
      </c>
      <c r="L54">
        <f t="shared" si="1"/>
        <v>38</v>
      </c>
      <c r="M54">
        <v>2</v>
      </c>
      <c r="N54">
        <f>N53+M54*(INT(A54-6/24)-INT(A53-6/24))+O54</f>
        <v>37</v>
      </c>
      <c r="O54">
        <f t="shared" si="2"/>
        <v>0</v>
      </c>
      <c r="P54" t="str">
        <f t="shared" si="3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0"/>
        <v>0</v>
      </c>
      <c r="L55">
        <f t="shared" si="1"/>
        <v>38</v>
      </c>
      <c r="M55">
        <v>2</v>
      </c>
      <c r="N55">
        <f>N54+M55*(INT(A55-6/24)-INT(A54-6/24))+O55</f>
        <v>37</v>
      </c>
      <c r="O55">
        <f t="shared" si="2"/>
        <v>0</v>
      </c>
      <c r="P55" t="str">
        <f t="shared" si="3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0"/>
        <v>1</v>
      </c>
      <c r="L56">
        <f t="shared" si="1"/>
        <v>39</v>
      </c>
      <c r="M56">
        <v>2</v>
      </c>
      <c r="N56">
        <f>N55+M56*(INT(A56-6/24)-INT(A55-6/24))+O56</f>
        <v>39</v>
      </c>
      <c r="O56">
        <f t="shared" si="2"/>
        <v>0</v>
      </c>
      <c r="P56" t="str">
        <f t="shared" si="3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0"/>
        <v>1</v>
      </c>
      <c r="L57">
        <f t="shared" si="1"/>
        <v>40</v>
      </c>
      <c r="M57">
        <v>2</v>
      </c>
      <c r="N57">
        <f>N56+M57*(INT(A57-6/24)-INT(A56-6/24))+O57</f>
        <v>41</v>
      </c>
      <c r="O57">
        <f t="shared" si="2"/>
        <v>0</v>
      </c>
      <c r="P57" t="str">
        <f t="shared" si="3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0"/>
        <v>1</v>
      </c>
      <c r="L58">
        <f t="shared" si="1"/>
        <v>41</v>
      </c>
      <c r="M58">
        <v>2</v>
      </c>
      <c r="N58">
        <f>N57+M58*(INT(A58-6/24)-INT(A57-6/24))+O58</f>
        <v>41</v>
      </c>
      <c r="O58">
        <f t="shared" si="2"/>
        <v>0</v>
      </c>
      <c r="P58" t="str">
        <f t="shared" si="3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0"/>
        <v>1</v>
      </c>
      <c r="L59">
        <f t="shared" ref="L59" si="4">L58+K59</f>
        <v>42</v>
      </c>
      <c r="M59">
        <v>2</v>
      </c>
      <c r="N59">
        <f>N58+M59*(INT(A59-6/24)-INT(A58-6/24))+O59</f>
        <v>45</v>
      </c>
      <c r="O59">
        <f t="shared" si="2"/>
        <v>0</v>
      </c>
      <c r="P59" t="str">
        <f t="shared" ref="P59" si="5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0"/>
        <v>0</v>
      </c>
      <c r="L60">
        <f t="shared" ref="L60" si="6">L59+K60</f>
        <v>42</v>
      </c>
      <c r="M60">
        <v>2</v>
      </c>
      <c r="N60">
        <f>N59+M60*(INT(A60-6/24)-INT(A59-6/24))+O60</f>
        <v>45</v>
      </c>
      <c r="O60">
        <f t="shared" si="2"/>
        <v>0</v>
      </c>
      <c r="P60" t="str">
        <f t="shared" ref="P60" si="7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0"/>
        <v>0</v>
      </c>
      <c r="L61">
        <f t="shared" ref="L61" si="8">L60+K61</f>
        <v>42</v>
      </c>
      <c r="M61">
        <v>2</v>
      </c>
      <c r="N61">
        <f>N60+M61*(INT(A61-6/24)-INT(A60-6/24))+O61</f>
        <v>45</v>
      </c>
      <c r="O61">
        <f t="shared" si="2"/>
        <v>0</v>
      </c>
      <c r="P61" t="str">
        <f t="shared" ref="P61" si="9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0"/>
        <v>1</v>
      </c>
      <c r="L62">
        <f t="shared" ref="L62" si="10">L61+K62</f>
        <v>43</v>
      </c>
      <c r="M62">
        <v>2</v>
      </c>
      <c r="N62">
        <f>N61+M62*(INT(A62-6/24)-INT(A61-6/24))+O62</f>
        <v>45</v>
      </c>
      <c r="O62">
        <f t="shared" si="2"/>
        <v>0</v>
      </c>
      <c r="P62" t="str">
        <f t="shared" ref="P62" si="11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2">IF(A63&lt;DATEVALUE("2025/11/20"),1,IF(B63-SUM(D63:F63)&lt;&gt;60,0,MAX(2-INT(G63*24*60/10),0)))</f>
        <v>2</v>
      </c>
      <c r="L63">
        <f t="shared" ref="L63" si="13">L62+K63</f>
        <v>45</v>
      </c>
      <c r="M63">
        <v>2</v>
      </c>
      <c r="N63">
        <f>N62+M63*(INT(A63-6/24)-INT(A62-6/24))+O63</f>
        <v>45</v>
      </c>
      <c r="O63">
        <f t="shared" ref="O63" si="14">IF(A63&gt;DATEVALUE("2025/11/8"),1,0)-IF(A62&gt;DATEVALUE("2025/11/8"),1,0)</f>
        <v>0</v>
      </c>
      <c r="P63" t="str">
        <f t="shared" ref="P63" si="15">IF(L63&lt;N63,"未達成（"&amp;N63-L63&amp;"）",IF(L63=N63,"達成","前倒し（"&amp;L63-N63&amp;"）"))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45985.703298611108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2025-11-24T08:01:08Z</dcterms:modified>
</cp:coreProperties>
</file>
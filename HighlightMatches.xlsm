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BEEF5CD9-504F-44E7-AAE2-541FBB2978B7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71" i="4" l="1"/>
  <c r="O271" i="4"/>
  <c r="M271" i="4"/>
  <c r="N271" i="4" s="1"/>
  <c r="K271" i="4"/>
  <c r="L271" i="4" s="1"/>
  <c r="P271" i="4" s="1"/>
  <c r="Q270" i="4"/>
  <c r="O270" i="4"/>
  <c r="M270" i="4"/>
  <c r="N270" i="4" s="1"/>
  <c r="K270" i="4"/>
  <c r="L270" i="4" s="1"/>
  <c r="P270" i="4" s="1"/>
  <c r="Q269" i="4"/>
  <c r="O269" i="4"/>
  <c r="M269" i="4"/>
  <c r="N269" i="4" s="1"/>
  <c r="K269" i="4"/>
  <c r="L269" i="4" s="1"/>
  <c r="P269" i="4" s="1"/>
  <c r="Q268" i="4"/>
  <c r="O268" i="4"/>
  <c r="M268" i="4"/>
  <c r="N268" i="4" s="1"/>
  <c r="K268" i="4"/>
  <c r="L268" i="4" s="1"/>
  <c r="P268" i="4" s="1"/>
  <c r="Q267" i="4"/>
  <c r="O267" i="4"/>
  <c r="M267" i="4"/>
  <c r="N267" i="4" s="1"/>
  <c r="K267" i="4"/>
  <c r="L267" i="4" s="1"/>
  <c r="P267" i="4" s="1"/>
  <c r="Q266" i="4"/>
  <c r="O266" i="4"/>
  <c r="M266" i="4"/>
  <c r="N266" i="4" s="1"/>
  <c r="K266" i="4"/>
  <c r="L266" i="4" s="1"/>
  <c r="Q265" i="4"/>
  <c r="O265" i="4"/>
  <c r="M265" i="4"/>
  <c r="N265" i="4" s="1"/>
  <c r="K265" i="4"/>
  <c r="L265" i="4" s="1"/>
  <c r="Q264" i="4"/>
  <c r="O264" i="4"/>
  <c r="M264" i="4"/>
  <c r="N264" i="4" s="1"/>
  <c r="K264" i="4"/>
  <c r="L264" i="4" s="1"/>
  <c r="P264" i="4" s="1"/>
  <c r="Q263" i="4"/>
  <c r="O263" i="4"/>
  <c r="M263" i="4"/>
  <c r="N263" i="4" s="1"/>
  <c r="K263" i="4"/>
  <c r="L263" i="4" s="1"/>
  <c r="Q262" i="4"/>
  <c r="O262" i="4"/>
  <c r="M262" i="4"/>
  <c r="N262" i="4" s="1"/>
  <c r="K262" i="4"/>
  <c r="L262" i="4" s="1"/>
  <c r="Q261" i="4"/>
  <c r="O261" i="4"/>
  <c r="M261" i="4"/>
  <c r="N261" i="4" s="1"/>
  <c r="K261" i="4"/>
  <c r="L261" i="4" s="1"/>
  <c r="P261" i="4" s="1"/>
  <c r="Q260" i="4"/>
  <c r="O260" i="4"/>
  <c r="M260" i="4"/>
  <c r="N260" i="4" s="1"/>
  <c r="K260" i="4"/>
  <c r="L260" i="4" s="1"/>
  <c r="Q259" i="4"/>
  <c r="O259" i="4"/>
  <c r="M259" i="4"/>
  <c r="N259" i="4" s="1"/>
  <c r="K259" i="4"/>
  <c r="L259" i="4" s="1"/>
  <c r="P259" i="4" s="1"/>
  <c r="Q258" i="4"/>
  <c r="O258" i="4"/>
  <c r="M258" i="4"/>
  <c r="N258" i="4" s="1"/>
  <c r="K258" i="4"/>
  <c r="L258" i="4" s="1"/>
  <c r="P258" i="4" s="1"/>
  <c r="Q257" i="4"/>
  <c r="O257" i="4"/>
  <c r="M257" i="4"/>
  <c r="N257" i="4" s="1"/>
  <c r="K257" i="4"/>
  <c r="L257" i="4" s="1"/>
  <c r="Q256" i="4"/>
  <c r="O256" i="4"/>
  <c r="M256" i="4"/>
  <c r="N256" i="4" s="1"/>
  <c r="K256" i="4"/>
  <c r="L256" i="4" s="1"/>
  <c r="P256" i="4" s="1"/>
  <c r="Q255" i="4"/>
  <c r="O255" i="4"/>
  <c r="M255" i="4"/>
  <c r="N255" i="4" s="1"/>
  <c r="K255" i="4"/>
  <c r="L255" i="4" s="1"/>
  <c r="P255" i="4" s="1"/>
  <c r="Q254" i="4"/>
  <c r="O254" i="4"/>
  <c r="M254" i="4"/>
  <c r="N254" i="4" s="1"/>
  <c r="K254" i="4"/>
  <c r="L254" i="4" s="1"/>
  <c r="P254" i="4" s="1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66" i="4" l="1"/>
  <c r="P265" i="4"/>
  <c r="P263" i="4"/>
  <c r="P262" i="4"/>
  <c r="P260" i="4"/>
  <c r="P257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P253" i="4" l="1"/>
</calcChain>
</file>

<file path=xl/sharedStrings.xml><?xml version="1.0" encoding="utf-8"?>
<sst xmlns="http://schemas.openxmlformats.org/spreadsheetml/2006/main" count="619" uniqueCount="598">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</sst>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データ!$A$3:$A$271</c:f>
              <c:numCache>
                <c:formatCode>m/d/yyyy\ h:mm</c:formatCode>
                <c:ptCount val="269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</c:numCache>
            </c:numRef>
          </c:xVal>
          <c:yVal>
            <c:numRef>
              <c:f>データ!$B$3:$B$271</c:f>
              <c:numCache>
                <c:formatCode>General</c:formatCode>
                <c:ptCount val="269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BB-4A2A-9739-4B4A37FAD07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DBB-4A2A-9739-4B4A37FAD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5960095"/>
        <c:axId val="1015977375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データ!$A$3:$A$271</c:f>
              <c:numCache>
                <c:formatCode>m/d/yyyy\ h:mm</c:formatCode>
                <c:ptCount val="269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</c:numCache>
            </c:numRef>
          </c:xVal>
          <c:yVal>
            <c:numRef>
              <c:f>データ!$Q$3:$Q$271</c:f>
              <c:numCache>
                <c:formatCode>[h]:mm</c:formatCode>
                <c:ptCount val="269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BB-4A2A-9739-4B4A37FAD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5998015"/>
        <c:axId val="1015983615"/>
      </c:scatterChart>
      <c:valAx>
        <c:axId val="1015960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5977375"/>
        <c:crosses val="autoZero"/>
        <c:crossBetween val="midCat"/>
      </c:valAx>
      <c:valAx>
        <c:axId val="1015977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5960095"/>
        <c:crosses val="autoZero"/>
        <c:crossBetween val="midCat"/>
      </c:valAx>
      <c:valAx>
        <c:axId val="1015983615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5998015"/>
        <c:crosses val="max"/>
        <c:crossBetween val="midCat"/>
      </c:valAx>
      <c:valAx>
        <c:axId val="1015998015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5983615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211931</xdr:colOff>
      <xdr:row>0</xdr:row>
      <xdr:rowOff>178594</xdr:rowOff>
    </xdr:from>
    <xdr:to>
      <xdr:col>6</xdr:col>
      <xdr:colOff>211931</xdr:colOff>
      <xdr:row>4</xdr:row>
      <xdr:rowOff>178594</xdr:rowOff>
    </xdr:to>
    <xdr:cxnSp macro="">
      <xdr:nvCxnSpPr>
        <xdr:cNvPr id="1318" name="Match0">
          <a:extLst>
            <a:ext uri="{FF2B5EF4-FFF2-40B4-BE49-F238E27FC236}">
              <a16:creationId xmlns:a16="http://schemas.microsoft.com/office/drawing/2014/main" id="{FAF9BE12-4C15-A4E9-3A66-1A68313FE304}"/>
            </a:ext>
          </a:extLst>
        </xdr:cNvPr>
        <xdr:cNvCxnSpPr/>
      </xdr:nvCxnSpPr>
      <xdr:spPr>
        <a:xfrm flipV="1">
          <a:off x="2755106" y="17859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1319" name="Match1">
          <a:extLst>
            <a:ext uri="{FF2B5EF4-FFF2-40B4-BE49-F238E27FC236}">
              <a16:creationId xmlns:a16="http://schemas.microsoft.com/office/drawing/2014/main" id="{F87F4E88-9559-BE25-D243-A3A64FBAE73C}"/>
            </a:ext>
          </a:extLst>
        </xdr:cNvPr>
        <xdr:cNvCxnSpPr/>
      </xdr:nvCxnSpPr>
      <xdr:spPr>
        <a:xfrm flipH="1" flipV="1">
          <a:off x="1483519" y="1250156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2</xdr:col>
      <xdr:colOff>211931</xdr:colOff>
      <xdr:row>0</xdr:row>
      <xdr:rowOff>178594</xdr:rowOff>
    </xdr:to>
    <xdr:cxnSp macro="">
      <xdr:nvCxnSpPr>
        <xdr:cNvPr id="1320" name="Match2">
          <a:extLst>
            <a:ext uri="{FF2B5EF4-FFF2-40B4-BE49-F238E27FC236}">
              <a16:creationId xmlns:a16="http://schemas.microsoft.com/office/drawing/2014/main" id="{E680CC96-DF74-B411-08D9-AA536B3CC21E}"/>
            </a:ext>
          </a:extLst>
        </xdr:cNvPr>
        <xdr:cNvCxnSpPr/>
      </xdr:nvCxnSpPr>
      <xdr:spPr>
        <a:xfrm>
          <a:off x="63579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0</xdr:row>
      <xdr:rowOff>203994</xdr:rowOff>
    </xdr:from>
    <xdr:to>
      <xdr:col>1</xdr:col>
      <xdr:colOff>237331</xdr:colOff>
      <xdr:row>1</xdr:row>
      <xdr:rowOff>203993</xdr:rowOff>
    </xdr:to>
    <xdr:cxnSp macro="">
      <xdr:nvCxnSpPr>
        <xdr:cNvPr id="1321" name="Match3">
          <a:extLst>
            <a:ext uri="{FF2B5EF4-FFF2-40B4-BE49-F238E27FC236}">
              <a16:creationId xmlns:a16="http://schemas.microsoft.com/office/drawing/2014/main" id="{4F4D47C8-0A16-E594-29D7-A3E05561A65F}"/>
            </a:ext>
          </a:extLst>
        </xdr:cNvPr>
        <xdr:cNvCxnSpPr/>
      </xdr:nvCxnSpPr>
      <xdr:spPr>
        <a:xfrm>
          <a:off x="661194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0</xdr:row>
      <xdr:rowOff>229394</xdr:rowOff>
    </xdr:from>
    <xdr:to>
      <xdr:col>1</xdr:col>
      <xdr:colOff>262731</xdr:colOff>
      <xdr:row>0</xdr:row>
      <xdr:rowOff>229394</xdr:rowOff>
    </xdr:to>
    <xdr:cxnSp macro="">
      <xdr:nvCxnSpPr>
        <xdr:cNvPr id="1322" name="Match4">
          <a:extLst>
            <a:ext uri="{FF2B5EF4-FFF2-40B4-BE49-F238E27FC236}">
              <a16:creationId xmlns:a16="http://schemas.microsoft.com/office/drawing/2014/main" id="{B30E5DED-E973-9C90-55FD-E460EAFD0890}"/>
            </a:ext>
          </a:extLst>
        </xdr:cNvPr>
        <xdr:cNvCxnSpPr/>
      </xdr:nvCxnSpPr>
      <xdr:spPr>
        <a:xfrm flipH="1">
          <a:off x="262731" y="229394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0</xdr:row>
      <xdr:rowOff>178594</xdr:rowOff>
    </xdr:to>
    <xdr:cxnSp macro="">
      <xdr:nvCxnSpPr>
        <xdr:cNvPr id="1323" name="Match5">
          <a:extLst>
            <a:ext uri="{FF2B5EF4-FFF2-40B4-BE49-F238E27FC236}">
              <a16:creationId xmlns:a16="http://schemas.microsoft.com/office/drawing/2014/main" id="{2B2F917A-23A5-95B3-A3ED-C2C87BF2AAC6}"/>
            </a:ext>
          </a:extLst>
        </xdr:cNvPr>
        <xdr:cNvCxnSpPr/>
      </xdr:nvCxnSpPr>
      <xdr:spPr>
        <a:xfrm flipH="1">
          <a:off x="105965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1</xdr:row>
      <xdr:rowOff>178593</xdr:rowOff>
    </xdr:to>
    <xdr:cxnSp macro="">
      <xdr:nvCxnSpPr>
        <xdr:cNvPr id="1324" name="Match6">
          <a:extLst>
            <a:ext uri="{FF2B5EF4-FFF2-40B4-BE49-F238E27FC236}">
              <a16:creationId xmlns:a16="http://schemas.microsoft.com/office/drawing/2014/main" id="{16F96F5E-A84D-C510-9A32-5F4A36A5AC1D}"/>
            </a:ext>
          </a:extLst>
        </xdr:cNvPr>
        <xdr:cNvCxnSpPr/>
      </xdr:nvCxnSpPr>
      <xdr:spPr>
        <a:xfrm flipH="1">
          <a:off x="63579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0</xdr:row>
      <xdr:rowOff>203994</xdr:rowOff>
    </xdr:from>
    <xdr:to>
      <xdr:col>2</xdr:col>
      <xdr:colOff>237331</xdr:colOff>
      <xdr:row>1</xdr:row>
      <xdr:rowOff>203993</xdr:rowOff>
    </xdr:to>
    <xdr:cxnSp macro="">
      <xdr:nvCxnSpPr>
        <xdr:cNvPr id="1325" name="Match7">
          <a:extLst>
            <a:ext uri="{FF2B5EF4-FFF2-40B4-BE49-F238E27FC236}">
              <a16:creationId xmlns:a16="http://schemas.microsoft.com/office/drawing/2014/main" id="{EACB7836-E6A7-4DD7-9C90-8909245E2807}"/>
            </a:ext>
          </a:extLst>
        </xdr:cNvPr>
        <xdr:cNvCxnSpPr/>
      </xdr:nvCxnSpPr>
      <xdr:spPr>
        <a:xfrm flipV="1">
          <a:off x="1085056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9</xdr:col>
      <xdr:colOff>211931</xdr:colOff>
      <xdr:row>2</xdr:row>
      <xdr:rowOff>178594</xdr:rowOff>
    </xdr:to>
    <xdr:cxnSp macro="">
      <xdr:nvCxnSpPr>
        <xdr:cNvPr id="1326" name="Match8">
          <a:extLst>
            <a:ext uri="{FF2B5EF4-FFF2-40B4-BE49-F238E27FC236}">
              <a16:creationId xmlns:a16="http://schemas.microsoft.com/office/drawing/2014/main" id="{8D22666E-EEA7-D913-1564-AD6B8FE46E12}"/>
            </a:ext>
          </a:extLst>
        </xdr:cNvPr>
        <xdr:cNvCxnSpPr/>
      </xdr:nvCxnSpPr>
      <xdr:spPr>
        <a:xfrm flipH="1">
          <a:off x="36028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1327" name="Match9">
          <a:extLst>
            <a:ext uri="{FF2B5EF4-FFF2-40B4-BE49-F238E27FC236}">
              <a16:creationId xmlns:a16="http://schemas.microsoft.com/office/drawing/2014/main" id="{29E43E0D-EF8F-7EC5-5D49-D38BBBE5CE7D}"/>
            </a:ext>
          </a:extLst>
        </xdr:cNvPr>
        <xdr:cNvCxnSpPr/>
      </xdr:nvCxnSpPr>
      <xdr:spPr>
        <a:xfrm flipH="1" flipV="1">
          <a:off x="6357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1328" name="Match10">
          <a:extLst>
            <a:ext uri="{FF2B5EF4-FFF2-40B4-BE49-F238E27FC236}">
              <a16:creationId xmlns:a16="http://schemas.microsoft.com/office/drawing/2014/main" id="{5B8AE438-2B9C-B0A6-DE92-1AB9324BD4A7}"/>
            </a:ext>
          </a:extLst>
        </xdr:cNvPr>
        <xdr:cNvCxnSpPr/>
      </xdr:nvCxnSpPr>
      <xdr:spPr>
        <a:xfrm>
          <a:off x="1483519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3</xdr:row>
      <xdr:rowOff>178593</xdr:rowOff>
    </xdr:to>
    <xdr:cxnSp macro="">
      <xdr:nvCxnSpPr>
        <xdr:cNvPr id="1329" name="Match11">
          <a:extLst>
            <a:ext uri="{FF2B5EF4-FFF2-40B4-BE49-F238E27FC236}">
              <a16:creationId xmlns:a16="http://schemas.microsoft.com/office/drawing/2014/main" id="{40743A15-CA3E-AB5F-C6B5-7FBFADB5E18B}"/>
            </a:ext>
          </a:extLst>
        </xdr:cNvPr>
        <xdr:cNvCxnSpPr/>
      </xdr:nvCxnSpPr>
      <xdr:spPr>
        <a:xfrm>
          <a:off x="360283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2</xdr:row>
      <xdr:rowOff>203994</xdr:rowOff>
    </xdr:from>
    <xdr:to>
      <xdr:col>8</xdr:col>
      <xdr:colOff>237331</xdr:colOff>
      <xdr:row>3</xdr:row>
      <xdr:rowOff>203993</xdr:rowOff>
    </xdr:to>
    <xdr:cxnSp macro="">
      <xdr:nvCxnSpPr>
        <xdr:cNvPr id="1330" name="Match12">
          <a:extLst>
            <a:ext uri="{FF2B5EF4-FFF2-40B4-BE49-F238E27FC236}">
              <a16:creationId xmlns:a16="http://schemas.microsoft.com/office/drawing/2014/main" id="{25621A69-33BB-9545-90C8-8AC6F0851C6A}"/>
            </a:ext>
          </a:extLst>
        </xdr:cNvPr>
        <xdr:cNvCxnSpPr/>
      </xdr:nvCxnSpPr>
      <xdr:spPr>
        <a:xfrm flipV="1">
          <a:off x="3628231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1331" name="Match13">
          <a:extLst>
            <a:ext uri="{FF2B5EF4-FFF2-40B4-BE49-F238E27FC236}">
              <a16:creationId xmlns:a16="http://schemas.microsoft.com/office/drawing/2014/main" id="{1EFEDA71-1FED-0266-3BEF-D8252E9057DD}"/>
            </a:ext>
          </a:extLst>
        </xdr:cNvPr>
        <xdr:cNvCxnSpPr/>
      </xdr:nvCxnSpPr>
      <xdr:spPr>
        <a:xfrm flipH="1">
          <a:off x="40266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1332" name="Match14">
          <a:extLst>
            <a:ext uri="{FF2B5EF4-FFF2-40B4-BE49-F238E27FC236}">
              <a16:creationId xmlns:a16="http://schemas.microsoft.com/office/drawing/2014/main" id="{B1ECECC2-CE9B-6E3A-EEA3-C908547840A5}"/>
            </a:ext>
          </a:extLst>
        </xdr:cNvPr>
        <xdr:cNvCxnSpPr/>
      </xdr:nvCxnSpPr>
      <xdr:spPr>
        <a:xfrm>
          <a:off x="105965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1333" name="Match15">
          <a:extLst>
            <a:ext uri="{FF2B5EF4-FFF2-40B4-BE49-F238E27FC236}">
              <a16:creationId xmlns:a16="http://schemas.microsoft.com/office/drawing/2014/main" id="{30BE36FD-5426-652B-21AC-ABF918760EE1}"/>
            </a:ext>
          </a:extLst>
        </xdr:cNvPr>
        <xdr:cNvCxnSpPr/>
      </xdr:nvCxnSpPr>
      <xdr:spPr>
        <a:xfrm>
          <a:off x="44505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5</xdr:row>
      <xdr:rowOff>203993</xdr:rowOff>
    </xdr:from>
    <xdr:to>
      <xdr:col>10</xdr:col>
      <xdr:colOff>237331</xdr:colOff>
      <xdr:row>6</xdr:row>
      <xdr:rowOff>203994</xdr:rowOff>
    </xdr:to>
    <xdr:cxnSp macro="">
      <xdr:nvCxnSpPr>
        <xdr:cNvPr id="1334" name="Match16">
          <a:extLst>
            <a:ext uri="{FF2B5EF4-FFF2-40B4-BE49-F238E27FC236}">
              <a16:creationId xmlns:a16="http://schemas.microsoft.com/office/drawing/2014/main" id="{91208484-F1B0-6EC5-EE88-E3A7F1CD2BF1}"/>
            </a:ext>
          </a:extLst>
        </xdr:cNvPr>
        <xdr:cNvCxnSpPr/>
      </xdr:nvCxnSpPr>
      <xdr:spPr>
        <a:xfrm>
          <a:off x="4475956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3</xdr:col>
      <xdr:colOff>211931</xdr:colOff>
      <xdr:row>7</xdr:row>
      <xdr:rowOff>178593</xdr:rowOff>
    </xdr:to>
    <xdr:cxnSp macro="">
      <xdr:nvCxnSpPr>
        <xdr:cNvPr id="1335" name="Match17">
          <a:extLst>
            <a:ext uri="{FF2B5EF4-FFF2-40B4-BE49-F238E27FC236}">
              <a16:creationId xmlns:a16="http://schemas.microsoft.com/office/drawing/2014/main" id="{3311EF5E-4431-19D7-364C-075246166287}"/>
            </a:ext>
          </a:extLst>
        </xdr:cNvPr>
        <xdr:cNvCxnSpPr/>
      </xdr:nvCxnSpPr>
      <xdr:spPr>
        <a:xfrm flipH="1">
          <a:off x="105965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6</xdr:row>
      <xdr:rowOff>203994</xdr:rowOff>
    </xdr:from>
    <xdr:to>
      <xdr:col>3</xdr:col>
      <xdr:colOff>237331</xdr:colOff>
      <xdr:row>6</xdr:row>
      <xdr:rowOff>203994</xdr:rowOff>
    </xdr:to>
    <xdr:cxnSp macro="">
      <xdr:nvCxnSpPr>
        <xdr:cNvPr id="1336" name="Match18">
          <a:extLst>
            <a:ext uri="{FF2B5EF4-FFF2-40B4-BE49-F238E27FC236}">
              <a16:creationId xmlns:a16="http://schemas.microsoft.com/office/drawing/2014/main" id="{5CBE3465-878A-991F-E1E2-4BE1AF6302D2}"/>
            </a:ext>
          </a:extLst>
        </xdr:cNvPr>
        <xdr:cNvCxnSpPr/>
      </xdr:nvCxnSpPr>
      <xdr:spPr>
        <a:xfrm flipH="1">
          <a:off x="1085056" y="234711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1337" name="Match19">
          <a:extLst>
            <a:ext uri="{FF2B5EF4-FFF2-40B4-BE49-F238E27FC236}">
              <a16:creationId xmlns:a16="http://schemas.microsoft.com/office/drawing/2014/main" id="{E1A64726-92A0-7FBA-1E88-BA4E1A1E8979}"/>
            </a:ext>
          </a:extLst>
        </xdr:cNvPr>
        <xdr:cNvCxnSpPr/>
      </xdr:nvCxnSpPr>
      <xdr:spPr>
        <a:xfrm flipH="1">
          <a:off x="1483519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7</xdr:col>
      <xdr:colOff>211931</xdr:colOff>
      <xdr:row>8</xdr:row>
      <xdr:rowOff>178594</xdr:rowOff>
    </xdr:to>
    <xdr:cxnSp macro="">
      <xdr:nvCxnSpPr>
        <xdr:cNvPr id="1338" name="Match20">
          <a:extLst>
            <a:ext uri="{FF2B5EF4-FFF2-40B4-BE49-F238E27FC236}">
              <a16:creationId xmlns:a16="http://schemas.microsoft.com/office/drawing/2014/main" id="{08780F1F-B8CA-6E8D-776F-6A7960F32D6E}"/>
            </a:ext>
          </a:extLst>
        </xdr:cNvPr>
        <xdr:cNvCxnSpPr/>
      </xdr:nvCxnSpPr>
      <xdr:spPr>
        <a:xfrm flipV="1">
          <a:off x="275510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1339" name="Match21">
          <a:extLst>
            <a:ext uri="{FF2B5EF4-FFF2-40B4-BE49-F238E27FC236}">
              <a16:creationId xmlns:a16="http://schemas.microsoft.com/office/drawing/2014/main" id="{C01C6F1A-89ED-D143-8955-B04D53E94698}"/>
            </a:ext>
          </a:extLst>
        </xdr:cNvPr>
        <xdr:cNvCxnSpPr/>
      </xdr:nvCxnSpPr>
      <xdr:spPr>
        <a:xfrm flipH="1" flipV="1">
          <a:off x="1483519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9</xdr:col>
      <xdr:colOff>211931</xdr:colOff>
      <xdr:row>11</xdr:row>
      <xdr:rowOff>178593</xdr:rowOff>
    </xdr:to>
    <xdr:cxnSp macro="">
      <xdr:nvCxnSpPr>
        <xdr:cNvPr id="1340" name="Match22">
          <a:extLst>
            <a:ext uri="{FF2B5EF4-FFF2-40B4-BE49-F238E27FC236}">
              <a16:creationId xmlns:a16="http://schemas.microsoft.com/office/drawing/2014/main" id="{1B9442EB-8C8E-9888-B096-04F6698B29EE}"/>
            </a:ext>
          </a:extLst>
        </xdr:cNvPr>
        <xdr:cNvCxnSpPr/>
      </xdr:nvCxnSpPr>
      <xdr:spPr>
        <a:xfrm>
          <a:off x="4026694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1341" name="Match23">
          <a:extLst>
            <a:ext uri="{FF2B5EF4-FFF2-40B4-BE49-F238E27FC236}">
              <a16:creationId xmlns:a16="http://schemas.microsoft.com/office/drawing/2014/main" id="{211C5AAC-4513-1126-87DE-CFBA317B6936}"/>
            </a:ext>
          </a:extLst>
        </xdr:cNvPr>
        <xdr:cNvCxnSpPr/>
      </xdr:nvCxnSpPr>
      <xdr:spPr>
        <a:xfrm flipH="1">
          <a:off x="4026694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1342" name="Match24">
          <a:extLst>
            <a:ext uri="{FF2B5EF4-FFF2-40B4-BE49-F238E27FC236}">
              <a16:creationId xmlns:a16="http://schemas.microsoft.com/office/drawing/2014/main" id="{61A14FBF-7987-8B79-4A0C-E0E74BE7BAE8}"/>
            </a:ext>
          </a:extLst>
        </xdr:cNvPr>
        <xdr:cNvCxnSpPr/>
      </xdr:nvCxnSpPr>
      <xdr:spPr>
        <a:xfrm flipH="1" flipV="1">
          <a:off x="2331244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1343" name="Match25">
          <a:extLst>
            <a:ext uri="{FF2B5EF4-FFF2-40B4-BE49-F238E27FC236}">
              <a16:creationId xmlns:a16="http://schemas.microsoft.com/office/drawing/2014/main" id="{E800A080-58D3-7CF9-0555-1F2BA3345514}"/>
            </a:ext>
          </a:extLst>
        </xdr:cNvPr>
        <xdr:cNvCxnSpPr/>
      </xdr:nvCxnSpPr>
      <xdr:spPr>
        <a:xfrm flipH="1" flipV="1">
          <a:off x="1059656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1344" name="Match26">
          <a:extLst>
            <a:ext uri="{FF2B5EF4-FFF2-40B4-BE49-F238E27FC236}">
              <a16:creationId xmlns:a16="http://schemas.microsoft.com/office/drawing/2014/main" id="{746C577A-84FB-9825-8B2B-3844920A9507}"/>
            </a:ext>
          </a:extLst>
        </xdr:cNvPr>
        <xdr:cNvCxnSpPr/>
      </xdr:nvCxnSpPr>
      <xdr:spPr>
        <a:xfrm flipV="1">
          <a:off x="3178969" y="232171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0</xdr:row>
      <xdr:rowOff>178594</xdr:rowOff>
    </xdr:to>
    <xdr:cxnSp macro="">
      <xdr:nvCxnSpPr>
        <xdr:cNvPr id="1345" name="Match27">
          <a:extLst>
            <a:ext uri="{FF2B5EF4-FFF2-40B4-BE49-F238E27FC236}">
              <a16:creationId xmlns:a16="http://schemas.microsoft.com/office/drawing/2014/main" id="{652A9404-D1B3-DAA5-97FE-288A8426897C}"/>
            </a:ext>
          </a:extLst>
        </xdr:cNvPr>
        <xdr:cNvCxnSpPr/>
      </xdr:nvCxnSpPr>
      <xdr:spPr>
        <a:xfrm>
          <a:off x="190738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0</xdr:row>
      <xdr:rowOff>203994</xdr:rowOff>
    </xdr:from>
    <xdr:to>
      <xdr:col>5</xdr:col>
      <xdr:colOff>237331</xdr:colOff>
      <xdr:row>1</xdr:row>
      <xdr:rowOff>203993</xdr:rowOff>
    </xdr:to>
    <xdr:cxnSp macro="">
      <xdr:nvCxnSpPr>
        <xdr:cNvPr id="1346" name="Match28">
          <a:extLst>
            <a:ext uri="{FF2B5EF4-FFF2-40B4-BE49-F238E27FC236}">
              <a16:creationId xmlns:a16="http://schemas.microsoft.com/office/drawing/2014/main" id="{B43C01E7-6D13-5062-9EEC-59EBBD10DCBC}"/>
            </a:ext>
          </a:extLst>
        </xdr:cNvPr>
        <xdr:cNvCxnSpPr/>
      </xdr:nvCxnSpPr>
      <xdr:spPr>
        <a:xfrm>
          <a:off x="1932781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0</xdr:row>
      <xdr:rowOff>229394</xdr:rowOff>
    </xdr:from>
    <xdr:to>
      <xdr:col>4</xdr:col>
      <xdr:colOff>262731</xdr:colOff>
      <xdr:row>1</xdr:row>
      <xdr:rowOff>229393</xdr:rowOff>
    </xdr:to>
    <xdr:cxnSp macro="">
      <xdr:nvCxnSpPr>
        <xdr:cNvPr id="1347" name="Match29">
          <a:extLst>
            <a:ext uri="{FF2B5EF4-FFF2-40B4-BE49-F238E27FC236}">
              <a16:creationId xmlns:a16="http://schemas.microsoft.com/office/drawing/2014/main" id="{34950150-F8C8-ABFF-89B5-1984E5963C32}"/>
            </a:ext>
          </a:extLst>
        </xdr:cNvPr>
        <xdr:cNvCxnSpPr/>
      </xdr:nvCxnSpPr>
      <xdr:spPr>
        <a:xfrm flipH="1">
          <a:off x="1534319" y="2293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348" name="Match30">
          <a:extLst>
            <a:ext uri="{FF2B5EF4-FFF2-40B4-BE49-F238E27FC236}">
              <a16:creationId xmlns:a16="http://schemas.microsoft.com/office/drawing/2014/main" id="{FC7F49E7-7641-33E7-58AE-070279D63245}"/>
            </a:ext>
          </a:extLst>
        </xdr:cNvPr>
        <xdr:cNvCxnSpPr/>
      </xdr:nvCxnSpPr>
      <xdr:spPr>
        <a:xfrm>
          <a:off x="2331244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0</xdr:row>
      <xdr:rowOff>203994</xdr:rowOff>
    </xdr:from>
    <xdr:to>
      <xdr:col>5</xdr:col>
      <xdr:colOff>237331</xdr:colOff>
      <xdr:row>0</xdr:row>
      <xdr:rowOff>203994</xdr:rowOff>
    </xdr:to>
    <xdr:cxnSp macro="">
      <xdr:nvCxnSpPr>
        <xdr:cNvPr id="1349" name="Match31">
          <a:extLst>
            <a:ext uri="{FF2B5EF4-FFF2-40B4-BE49-F238E27FC236}">
              <a16:creationId xmlns:a16="http://schemas.microsoft.com/office/drawing/2014/main" id="{D0B38BE7-7CD4-2742-8BB1-F39C9052B664}"/>
            </a:ext>
          </a:extLst>
        </xdr:cNvPr>
        <xdr:cNvCxnSpPr/>
      </xdr:nvCxnSpPr>
      <xdr:spPr>
        <a:xfrm flipH="1">
          <a:off x="1932781" y="2039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1350" name="Match32">
          <a:extLst>
            <a:ext uri="{FF2B5EF4-FFF2-40B4-BE49-F238E27FC236}">
              <a16:creationId xmlns:a16="http://schemas.microsoft.com/office/drawing/2014/main" id="{4FD05F01-F6E3-E9A7-7FB4-E966F3A02950}"/>
            </a:ext>
          </a:extLst>
        </xdr:cNvPr>
        <xdr:cNvCxnSpPr/>
      </xdr:nvCxnSpPr>
      <xdr:spPr>
        <a:xfrm flipV="1">
          <a:off x="148351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5</xdr:col>
      <xdr:colOff>211931</xdr:colOff>
      <xdr:row>2</xdr:row>
      <xdr:rowOff>178594</xdr:rowOff>
    </xdr:to>
    <xdr:cxnSp macro="">
      <xdr:nvCxnSpPr>
        <xdr:cNvPr id="1351" name="Match33">
          <a:extLst>
            <a:ext uri="{FF2B5EF4-FFF2-40B4-BE49-F238E27FC236}">
              <a16:creationId xmlns:a16="http://schemas.microsoft.com/office/drawing/2014/main" id="{1817581B-CC98-B594-C422-0876730A2382}"/>
            </a:ext>
          </a:extLst>
        </xdr:cNvPr>
        <xdr:cNvCxnSpPr/>
      </xdr:nvCxnSpPr>
      <xdr:spPr>
        <a:xfrm>
          <a:off x="2331244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0</xdr:row>
      <xdr:rowOff>203994</xdr:rowOff>
    </xdr:from>
    <xdr:to>
      <xdr:col>5</xdr:col>
      <xdr:colOff>237331</xdr:colOff>
      <xdr:row>1</xdr:row>
      <xdr:rowOff>203993</xdr:rowOff>
    </xdr:to>
    <xdr:cxnSp macro="">
      <xdr:nvCxnSpPr>
        <xdr:cNvPr id="1352" name="Match34">
          <a:extLst>
            <a:ext uri="{FF2B5EF4-FFF2-40B4-BE49-F238E27FC236}">
              <a16:creationId xmlns:a16="http://schemas.microsoft.com/office/drawing/2014/main" id="{3748B037-68AD-EC6F-555B-F95FF28DB5E7}"/>
            </a:ext>
          </a:extLst>
        </xdr:cNvPr>
        <xdr:cNvCxnSpPr/>
      </xdr:nvCxnSpPr>
      <xdr:spPr>
        <a:xfrm flipH="1" flipV="1">
          <a:off x="1932781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0</xdr:row>
      <xdr:rowOff>229394</xdr:rowOff>
    </xdr:from>
    <xdr:to>
      <xdr:col>5</xdr:col>
      <xdr:colOff>262731</xdr:colOff>
      <xdr:row>1</xdr:row>
      <xdr:rowOff>229393</xdr:rowOff>
    </xdr:to>
    <xdr:cxnSp macro="">
      <xdr:nvCxnSpPr>
        <xdr:cNvPr id="1353" name="Match35">
          <a:extLst>
            <a:ext uri="{FF2B5EF4-FFF2-40B4-BE49-F238E27FC236}">
              <a16:creationId xmlns:a16="http://schemas.microsoft.com/office/drawing/2014/main" id="{BA4C9D37-B3C4-2D34-F2D5-188674C2144E}"/>
            </a:ext>
          </a:extLst>
        </xdr:cNvPr>
        <xdr:cNvCxnSpPr/>
      </xdr:nvCxnSpPr>
      <xdr:spPr>
        <a:xfrm flipV="1">
          <a:off x="2382044" y="22939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1354" name="Match36">
          <a:extLst>
            <a:ext uri="{FF2B5EF4-FFF2-40B4-BE49-F238E27FC236}">
              <a16:creationId xmlns:a16="http://schemas.microsoft.com/office/drawing/2014/main" id="{C602A0AA-D54A-0D2A-2A45-AA2960F6D71B}"/>
            </a:ext>
          </a:extLst>
        </xdr:cNvPr>
        <xdr:cNvCxnSpPr/>
      </xdr:nvCxnSpPr>
      <xdr:spPr>
        <a:xfrm flipH="1">
          <a:off x="190738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1</xdr:row>
      <xdr:rowOff>203993</xdr:rowOff>
    </xdr:from>
    <xdr:to>
      <xdr:col>5</xdr:col>
      <xdr:colOff>237331</xdr:colOff>
      <xdr:row>2</xdr:row>
      <xdr:rowOff>203994</xdr:rowOff>
    </xdr:to>
    <xdr:cxnSp macro="">
      <xdr:nvCxnSpPr>
        <xdr:cNvPr id="1355" name="Match37">
          <a:extLst>
            <a:ext uri="{FF2B5EF4-FFF2-40B4-BE49-F238E27FC236}">
              <a16:creationId xmlns:a16="http://schemas.microsoft.com/office/drawing/2014/main" id="{042B6268-651A-8D80-6F42-E2F2D67047E8}"/>
            </a:ext>
          </a:extLst>
        </xdr:cNvPr>
        <xdr:cNvCxnSpPr/>
      </xdr:nvCxnSpPr>
      <xdr:spPr>
        <a:xfrm flipV="1">
          <a:off x="2356644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1356" name="Match38">
          <a:extLst>
            <a:ext uri="{FF2B5EF4-FFF2-40B4-BE49-F238E27FC236}">
              <a16:creationId xmlns:a16="http://schemas.microsoft.com/office/drawing/2014/main" id="{525E7213-CF8A-D0A1-9A83-04B502C66B99}"/>
            </a:ext>
          </a:extLst>
        </xdr:cNvPr>
        <xdr:cNvCxnSpPr/>
      </xdr:nvCxnSpPr>
      <xdr:spPr>
        <a:xfrm flipV="1">
          <a:off x="190738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1</xdr:col>
      <xdr:colOff>211931</xdr:colOff>
      <xdr:row>8</xdr:row>
      <xdr:rowOff>178594</xdr:rowOff>
    </xdr:to>
    <xdr:cxnSp macro="">
      <xdr:nvCxnSpPr>
        <xdr:cNvPr id="1357" name="Match39">
          <a:extLst>
            <a:ext uri="{FF2B5EF4-FFF2-40B4-BE49-F238E27FC236}">
              <a16:creationId xmlns:a16="http://schemas.microsoft.com/office/drawing/2014/main" id="{FC2C14C8-0DCB-A6D6-6FD9-F12D0CBDFFD6}"/>
            </a:ext>
          </a:extLst>
        </xdr:cNvPr>
        <xdr:cNvCxnSpPr/>
      </xdr:nvCxnSpPr>
      <xdr:spPr>
        <a:xfrm flipH="1">
          <a:off x="2119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1</xdr:col>
      <xdr:colOff>211931</xdr:colOff>
      <xdr:row>8</xdr:row>
      <xdr:rowOff>178594</xdr:rowOff>
    </xdr:to>
    <xdr:cxnSp macro="">
      <xdr:nvCxnSpPr>
        <xdr:cNvPr id="1358" name="Match40">
          <a:extLst>
            <a:ext uri="{FF2B5EF4-FFF2-40B4-BE49-F238E27FC236}">
              <a16:creationId xmlns:a16="http://schemas.microsoft.com/office/drawing/2014/main" id="{79918675-4A14-9702-6BBB-DDB1B5AC33CC}"/>
            </a:ext>
          </a:extLst>
        </xdr:cNvPr>
        <xdr:cNvCxnSpPr/>
      </xdr:nvCxnSpPr>
      <xdr:spPr>
        <a:xfrm flipV="1">
          <a:off x="2119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9</xdr:row>
      <xdr:rowOff>203993</xdr:rowOff>
    </xdr:from>
    <xdr:to>
      <xdr:col>10</xdr:col>
      <xdr:colOff>237331</xdr:colOff>
      <xdr:row>9</xdr:row>
      <xdr:rowOff>203993</xdr:rowOff>
    </xdr:to>
    <xdr:cxnSp macro="">
      <xdr:nvCxnSpPr>
        <xdr:cNvPr id="1359" name="Match41">
          <a:extLst>
            <a:ext uri="{FF2B5EF4-FFF2-40B4-BE49-F238E27FC236}">
              <a16:creationId xmlns:a16="http://schemas.microsoft.com/office/drawing/2014/main" id="{3D90C194-5750-599B-3B78-9D7096489484}"/>
            </a:ext>
          </a:extLst>
        </xdr:cNvPr>
        <xdr:cNvCxnSpPr/>
      </xdr:nvCxnSpPr>
      <xdr:spPr>
        <a:xfrm>
          <a:off x="4052094" y="34186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9</xdr:row>
      <xdr:rowOff>229393</xdr:rowOff>
    </xdr:from>
    <xdr:to>
      <xdr:col>10</xdr:col>
      <xdr:colOff>262731</xdr:colOff>
      <xdr:row>10</xdr:row>
      <xdr:rowOff>229394</xdr:rowOff>
    </xdr:to>
    <xdr:cxnSp macro="">
      <xdr:nvCxnSpPr>
        <xdr:cNvPr id="1360" name="Match42">
          <a:extLst>
            <a:ext uri="{FF2B5EF4-FFF2-40B4-BE49-F238E27FC236}">
              <a16:creationId xmlns:a16="http://schemas.microsoft.com/office/drawing/2014/main" id="{BA7AEF5B-EE37-86DD-1943-88CBABBEFD15}"/>
            </a:ext>
          </a:extLst>
        </xdr:cNvPr>
        <xdr:cNvCxnSpPr/>
      </xdr:nvCxnSpPr>
      <xdr:spPr>
        <a:xfrm>
          <a:off x="4077494" y="34440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1361" name="Match43">
          <a:extLst>
            <a:ext uri="{FF2B5EF4-FFF2-40B4-BE49-F238E27FC236}">
              <a16:creationId xmlns:a16="http://schemas.microsoft.com/office/drawing/2014/main" id="{731612BD-A039-37E5-4A37-63E608F78803}"/>
            </a:ext>
          </a:extLst>
        </xdr:cNvPr>
        <xdr:cNvCxnSpPr/>
      </xdr:nvCxnSpPr>
      <xdr:spPr>
        <a:xfrm>
          <a:off x="4450556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9</xdr:row>
      <xdr:rowOff>203993</xdr:rowOff>
    </xdr:from>
    <xdr:to>
      <xdr:col>10</xdr:col>
      <xdr:colOff>237331</xdr:colOff>
      <xdr:row>9</xdr:row>
      <xdr:rowOff>203993</xdr:rowOff>
    </xdr:to>
    <xdr:cxnSp macro="">
      <xdr:nvCxnSpPr>
        <xdr:cNvPr id="1362" name="Match44">
          <a:extLst>
            <a:ext uri="{FF2B5EF4-FFF2-40B4-BE49-F238E27FC236}">
              <a16:creationId xmlns:a16="http://schemas.microsoft.com/office/drawing/2014/main" id="{1CD0B991-E63E-82F4-6D88-F7AF03419DE4}"/>
            </a:ext>
          </a:extLst>
        </xdr:cNvPr>
        <xdr:cNvCxnSpPr/>
      </xdr:nvCxnSpPr>
      <xdr:spPr>
        <a:xfrm flipH="1">
          <a:off x="4052094" y="34186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10</xdr:row>
      <xdr:rowOff>178594</xdr:rowOff>
    </xdr:to>
    <xdr:cxnSp macro="">
      <xdr:nvCxnSpPr>
        <xdr:cNvPr id="1363" name="Match45">
          <a:extLst>
            <a:ext uri="{FF2B5EF4-FFF2-40B4-BE49-F238E27FC236}">
              <a16:creationId xmlns:a16="http://schemas.microsoft.com/office/drawing/2014/main" id="{BDF2CD83-C429-0766-649D-83CF19CD9433}"/>
            </a:ext>
          </a:extLst>
        </xdr:cNvPr>
        <xdr:cNvCxnSpPr/>
      </xdr:nvCxnSpPr>
      <xdr:spPr>
        <a:xfrm>
          <a:off x="1059656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10</xdr:row>
      <xdr:rowOff>178594</xdr:rowOff>
    </xdr:to>
    <xdr:cxnSp macro="">
      <xdr:nvCxnSpPr>
        <xdr:cNvPr id="1364" name="Match46">
          <a:extLst>
            <a:ext uri="{FF2B5EF4-FFF2-40B4-BE49-F238E27FC236}">
              <a16:creationId xmlns:a16="http://schemas.microsoft.com/office/drawing/2014/main" id="{428445E1-16BB-B0B9-4EF8-A6D3666DEE64}"/>
            </a:ext>
          </a:extLst>
        </xdr:cNvPr>
        <xdr:cNvCxnSpPr/>
      </xdr:nvCxnSpPr>
      <xdr:spPr>
        <a:xfrm flipH="1">
          <a:off x="1059656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1365" name="Match47">
          <a:extLst>
            <a:ext uri="{FF2B5EF4-FFF2-40B4-BE49-F238E27FC236}">
              <a16:creationId xmlns:a16="http://schemas.microsoft.com/office/drawing/2014/main" id="{49293C00-7C48-FADA-8860-06DE6C38FBB8}"/>
            </a:ext>
          </a:extLst>
        </xdr:cNvPr>
        <xdr:cNvCxnSpPr/>
      </xdr:nvCxnSpPr>
      <xdr:spPr>
        <a:xfrm flipH="1" flipV="1">
          <a:off x="40266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9</xdr:row>
      <xdr:rowOff>203993</xdr:rowOff>
    </xdr:from>
    <xdr:to>
      <xdr:col>10</xdr:col>
      <xdr:colOff>237331</xdr:colOff>
      <xdr:row>10</xdr:row>
      <xdr:rowOff>203994</xdr:rowOff>
    </xdr:to>
    <xdr:cxnSp macro="">
      <xdr:nvCxnSpPr>
        <xdr:cNvPr id="1366" name="Match48">
          <a:extLst>
            <a:ext uri="{FF2B5EF4-FFF2-40B4-BE49-F238E27FC236}">
              <a16:creationId xmlns:a16="http://schemas.microsoft.com/office/drawing/2014/main" id="{4F307F1B-0B00-6AA6-823A-7F06568C7047}"/>
            </a:ext>
          </a:extLst>
        </xdr:cNvPr>
        <xdr:cNvCxnSpPr/>
      </xdr:nvCxnSpPr>
      <xdr:spPr>
        <a:xfrm flipV="1">
          <a:off x="4475956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367" name="Match49">
          <a:extLst>
            <a:ext uri="{FF2B5EF4-FFF2-40B4-BE49-F238E27FC236}">
              <a16:creationId xmlns:a16="http://schemas.microsoft.com/office/drawing/2014/main" id="{4D2BC613-6FCE-3DFB-0767-0FDF55661C19}"/>
            </a:ext>
          </a:extLst>
        </xdr:cNvPr>
        <xdr:cNvCxnSpPr/>
      </xdr:nvCxnSpPr>
      <xdr:spPr>
        <a:xfrm>
          <a:off x="10596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1</xdr:col>
      <xdr:colOff>211931</xdr:colOff>
      <xdr:row>2</xdr:row>
      <xdr:rowOff>178594</xdr:rowOff>
    </xdr:to>
    <xdr:cxnSp macro="">
      <xdr:nvCxnSpPr>
        <xdr:cNvPr id="1368" name="Match50">
          <a:extLst>
            <a:ext uri="{FF2B5EF4-FFF2-40B4-BE49-F238E27FC236}">
              <a16:creationId xmlns:a16="http://schemas.microsoft.com/office/drawing/2014/main" id="{D8B55464-1066-6C66-582C-BB3070D2B475}"/>
            </a:ext>
          </a:extLst>
        </xdr:cNvPr>
        <xdr:cNvCxnSpPr/>
      </xdr:nvCxnSpPr>
      <xdr:spPr>
        <a:xfrm>
          <a:off x="635794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8</xdr:col>
      <xdr:colOff>211931</xdr:colOff>
      <xdr:row>2</xdr:row>
      <xdr:rowOff>178594</xdr:rowOff>
    </xdr:to>
    <xdr:cxnSp macro="">
      <xdr:nvCxnSpPr>
        <xdr:cNvPr id="1369" name="Match51">
          <a:extLst>
            <a:ext uri="{FF2B5EF4-FFF2-40B4-BE49-F238E27FC236}">
              <a16:creationId xmlns:a16="http://schemas.microsoft.com/office/drawing/2014/main" id="{F7751FA1-FC03-E3DF-FE96-DCA623407AA9}"/>
            </a:ext>
          </a:extLst>
        </xdr:cNvPr>
        <xdr:cNvCxnSpPr/>
      </xdr:nvCxnSpPr>
      <xdr:spPr>
        <a:xfrm flipH="1" flipV="1">
          <a:off x="317896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4</xdr:col>
      <xdr:colOff>211931</xdr:colOff>
      <xdr:row>4</xdr:row>
      <xdr:rowOff>178594</xdr:rowOff>
    </xdr:to>
    <xdr:cxnSp macro="">
      <xdr:nvCxnSpPr>
        <xdr:cNvPr id="1370" name="Match52">
          <a:extLst>
            <a:ext uri="{FF2B5EF4-FFF2-40B4-BE49-F238E27FC236}">
              <a16:creationId xmlns:a16="http://schemas.microsoft.com/office/drawing/2014/main" id="{1D31BAF5-97CE-0244-F18C-F6764A38AFF9}"/>
            </a:ext>
          </a:extLst>
        </xdr:cNvPr>
        <xdr:cNvCxnSpPr/>
      </xdr:nvCxnSpPr>
      <xdr:spPr>
        <a:xfrm flipV="1">
          <a:off x="148351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7</xdr:row>
      <xdr:rowOff>178593</xdr:rowOff>
    </xdr:to>
    <xdr:cxnSp macro="">
      <xdr:nvCxnSpPr>
        <xdr:cNvPr id="1371" name="Match53">
          <a:extLst>
            <a:ext uri="{FF2B5EF4-FFF2-40B4-BE49-F238E27FC236}">
              <a16:creationId xmlns:a16="http://schemas.microsoft.com/office/drawing/2014/main" id="{36874C63-33A9-61F9-91F2-4290561C6BE2}"/>
            </a:ext>
          </a:extLst>
        </xdr:cNvPr>
        <xdr:cNvCxnSpPr/>
      </xdr:nvCxnSpPr>
      <xdr:spPr>
        <a:xfrm flipH="1">
          <a:off x="6357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1372" name="Match54">
          <a:extLst>
            <a:ext uri="{FF2B5EF4-FFF2-40B4-BE49-F238E27FC236}">
              <a16:creationId xmlns:a16="http://schemas.microsoft.com/office/drawing/2014/main" id="{5E6414ED-1C7E-3AA3-F8D5-C80BE6B48069}"/>
            </a:ext>
          </a:extLst>
        </xdr:cNvPr>
        <xdr:cNvCxnSpPr/>
      </xdr:nvCxnSpPr>
      <xdr:spPr>
        <a:xfrm flipH="1">
          <a:off x="40266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1373" name="Match55">
          <a:extLst>
            <a:ext uri="{FF2B5EF4-FFF2-40B4-BE49-F238E27FC236}">
              <a16:creationId xmlns:a16="http://schemas.microsoft.com/office/drawing/2014/main" id="{1B3B6A33-4EC3-6F42-9DD4-AFBED82393FC}"/>
            </a:ext>
          </a:extLst>
        </xdr:cNvPr>
        <xdr:cNvCxnSpPr/>
      </xdr:nvCxnSpPr>
      <xdr:spPr>
        <a:xfrm flipH="1">
          <a:off x="63579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1374" name="Match56">
          <a:extLst>
            <a:ext uri="{FF2B5EF4-FFF2-40B4-BE49-F238E27FC236}">
              <a16:creationId xmlns:a16="http://schemas.microsoft.com/office/drawing/2014/main" id="{034E69E0-A572-F3C9-846C-492C93A6862D}"/>
            </a:ext>
          </a:extLst>
        </xdr:cNvPr>
        <xdr:cNvCxnSpPr/>
      </xdr:nvCxnSpPr>
      <xdr:spPr>
        <a:xfrm flipH="1">
          <a:off x="445055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375" name="Match57">
          <a:extLst>
            <a:ext uri="{FF2B5EF4-FFF2-40B4-BE49-F238E27FC236}">
              <a16:creationId xmlns:a16="http://schemas.microsoft.com/office/drawing/2014/main" id="{DC320982-0DE5-8C45-A097-3B8A712D756B}"/>
            </a:ext>
          </a:extLst>
        </xdr:cNvPr>
        <xdr:cNvCxnSpPr/>
      </xdr:nvCxnSpPr>
      <xdr:spPr>
        <a:xfrm flipV="1">
          <a:off x="40266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10</xdr:col>
      <xdr:colOff>211931</xdr:colOff>
      <xdr:row>4</xdr:row>
      <xdr:rowOff>178594</xdr:rowOff>
    </xdr:to>
    <xdr:cxnSp macro="">
      <xdr:nvCxnSpPr>
        <xdr:cNvPr id="1376" name="Match58">
          <a:extLst>
            <a:ext uri="{FF2B5EF4-FFF2-40B4-BE49-F238E27FC236}">
              <a16:creationId xmlns:a16="http://schemas.microsoft.com/office/drawing/2014/main" id="{A4E3962C-0226-C4E4-18AA-D888EE3BC1BA}"/>
            </a:ext>
          </a:extLst>
        </xdr:cNvPr>
        <xdr:cNvCxnSpPr/>
      </xdr:nvCxnSpPr>
      <xdr:spPr>
        <a:xfrm flipH="1" flipV="1">
          <a:off x="3602831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10</xdr:col>
      <xdr:colOff>211931</xdr:colOff>
      <xdr:row>4</xdr:row>
      <xdr:rowOff>178594</xdr:rowOff>
    </xdr:to>
    <xdr:cxnSp macro="">
      <xdr:nvCxnSpPr>
        <xdr:cNvPr id="1377" name="Match59">
          <a:extLst>
            <a:ext uri="{FF2B5EF4-FFF2-40B4-BE49-F238E27FC236}">
              <a16:creationId xmlns:a16="http://schemas.microsoft.com/office/drawing/2014/main" id="{F9AB2777-8770-933D-7585-86260EBBC50C}"/>
            </a:ext>
          </a:extLst>
        </xdr:cNvPr>
        <xdr:cNvCxnSpPr/>
      </xdr:nvCxnSpPr>
      <xdr:spPr>
        <a:xfrm>
          <a:off x="402669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4</xdr:row>
      <xdr:rowOff>203994</xdr:rowOff>
    </xdr:from>
    <xdr:to>
      <xdr:col>9</xdr:col>
      <xdr:colOff>237331</xdr:colOff>
      <xdr:row>5</xdr:row>
      <xdr:rowOff>203993</xdr:rowOff>
    </xdr:to>
    <xdr:cxnSp macro="">
      <xdr:nvCxnSpPr>
        <xdr:cNvPr id="1378" name="Match60">
          <a:extLst>
            <a:ext uri="{FF2B5EF4-FFF2-40B4-BE49-F238E27FC236}">
              <a16:creationId xmlns:a16="http://schemas.microsoft.com/office/drawing/2014/main" id="{0F8269A8-F44F-6277-6AE3-F4E373F79738}"/>
            </a:ext>
          </a:extLst>
        </xdr:cNvPr>
        <xdr:cNvCxnSpPr/>
      </xdr:nvCxnSpPr>
      <xdr:spPr>
        <a:xfrm>
          <a:off x="4052094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11</xdr:col>
      <xdr:colOff>211931</xdr:colOff>
      <xdr:row>4</xdr:row>
      <xdr:rowOff>178594</xdr:rowOff>
    </xdr:to>
    <xdr:cxnSp macro="">
      <xdr:nvCxnSpPr>
        <xdr:cNvPr id="1379" name="Match61">
          <a:extLst>
            <a:ext uri="{FF2B5EF4-FFF2-40B4-BE49-F238E27FC236}">
              <a16:creationId xmlns:a16="http://schemas.microsoft.com/office/drawing/2014/main" id="{D502CD57-E803-673B-34FD-2896C473E1F9}"/>
            </a:ext>
          </a:extLst>
        </xdr:cNvPr>
        <xdr:cNvCxnSpPr/>
      </xdr:nvCxnSpPr>
      <xdr:spPr>
        <a:xfrm flipH="1">
          <a:off x="445055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1380" name="Match62">
          <a:extLst>
            <a:ext uri="{FF2B5EF4-FFF2-40B4-BE49-F238E27FC236}">
              <a16:creationId xmlns:a16="http://schemas.microsoft.com/office/drawing/2014/main" id="{C271A390-DA26-7828-3156-792876539020}"/>
            </a:ext>
          </a:extLst>
        </xdr:cNvPr>
        <xdr:cNvCxnSpPr/>
      </xdr:nvCxnSpPr>
      <xdr:spPr>
        <a:xfrm flipV="1">
          <a:off x="63579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1381" name="Match63">
          <a:extLst>
            <a:ext uri="{FF2B5EF4-FFF2-40B4-BE49-F238E27FC236}">
              <a16:creationId xmlns:a16="http://schemas.microsoft.com/office/drawing/2014/main" id="{329BF80B-D152-F897-27C1-7BBF48517927}"/>
            </a:ext>
          </a:extLst>
        </xdr:cNvPr>
        <xdr:cNvCxnSpPr/>
      </xdr:nvCxnSpPr>
      <xdr:spPr>
        <a:xfrm>
          <a:off x="1483519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3</xdr:col>
      <xdr:colOff>211931</xdr:colOff>
      <xdr:row>10</xdr:row>
      <xdr:rowOff>178594</xdr:rowOff>
    </xdr:to>
    <xdr:cxnSp macro="">
      <xdr:nvCxnSpPr>
        <xdr:cNvPr id="1382" name="Match64">
          <a:extLst>
            <a:ext uri="{FF2B5EF4-FFF2-40B4-BE49-F238E27FC236}">
              <a16:creationId xmlns:a16="http://schemas.microsoft.com/office/drawing/2014/main" id="{07CEAF7B-DD11-4798-2A5A-145ECABC8F5E}"/>
            </a:ext>
          </a:extLst>
        </xdr:cNvPr>
        <xdr:cNvCxnSpPr/>
      </xdr:nvCxnSpPr>
      <xdr:spPr>
        <a:xfrm>
          <a:off x="211931" y="2678906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4</xdr:row>
      <xdr:rowOff>203994</xdr:rowOff>
    </xdr:from>
    <xdr:to>
      <xdr:col>11</xdr:col>
      <xdr:colOff>237331</xdr:colOff>
      <xdr:row>10</xdr:row>
      <xdr:rowOff>203994</xdr:rowOff>
    </xdr:to>
    <xdr:cxnSp macro="">
      <xdr:nvCxnSpPr>
        <xdr:cNvPr id="1383" name="Match65">
          <a:extLst>
            <a:ext uri="{FF2B5EF4-FFF2-40B4-BE49-F238E27FC236}">
              <a16:creationId xmlns:a16="http://schemas.microsoft.com/office/drawing/2014/main" id="{5C878925-2B71-C706-3F5A-62CEF49C9751}"/>
            </a:ext>
          </a:extLst>
        </xdr:cNvPr>
        <xdr:cNvCxnSpPr/>
      </xdr:nvCxnSpPr>
      <xdr:spPr>
        <a:xfrm>
          <a:off x="4899819" y="1632744"/>
          <a:ext cx="0" cy="214312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0</xdr:row>
      <xdr:rowOff>203994</xdr:rowOff>
    </xdr:from>
    <xdr:to>
      <xdr:col>11</xdr:col>
      <xdr:colOff>237331</xdr:colOff>
      <xdr:row>0</xdr:row>
      <xdr:rowOff>203994</xdr:rowOff>
    </xdr:to>
    <xdr:cxnSp macro="">
      <xdr:nvCxnSpPr>
        <xdr:cNvPr id="1384" name="Match66">
          <a:extLst>
            <a:ext uri="{FF2B5EF4-FFF2-40B4-BE49-F238E27FC236}">
              <a16:creationId xmlns:a16="http://schemas.microsoft.com/office/drawing/2014/main" id="{B281776B-D653-0742-5668-7F20567659B4}"/>
            </a:ext>
          </a:extLst>
        </xdr:cNvPr>
        <xdr:cNvCxnSpPr/>
      </xdr:nvCxnSpPr>
      <xdr:spPr>
        <a:xfrm flipH="1">
          <a:off x="3204369" y="203994"/>
          <a:ext cx="1695450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1385" name="Match67">
          <a:extLst>
            <a:ext uri="{FF2B5EF4-FFF2-40B4-BE49-F238E27FC236}">
              <a16:creationId xmlns:a16="http://schemas.microsoft.com/office/drawing/2014/main" id="{2D01BC5A-E41B-B447-B142-FF028ABEC550}"/>
            </a:ext>
          </a:extLst>
        </xdr:cNvPr>
        <xdr:cNvCxnSpPr/>
      </xdr:nvCxnSpPr>
      <xdr:spPr>
        <a:xfrm>
          <a:off x="2331244" y="2678906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9</xdr:col>
      <xdr:colOff>211931</xdr:colOff>
      <xdr:row>8</xdr:row>
      <xdr:rowOff>178594</xdr:rowOff>
    </xdr:to>
    <xdr:cxnSp macro="">
      <xdr:nvCxnSpPr>
        <xdr:cNvPr id="1386" name="Match68">
          <a:extLst>
            <a:ext uri="{FF2B5EF4-FFF2-40B4-BE49-F238E27FC236}">
              <a16:creationId xmlns:a16="http://schemas.microsoft.com/office/drawing/2014/main" id="{F0DADB31-6A3E-C220-69A6-52255F389D77}"/>
            </a:ext>
          </a:extLst>
        </xdr:cNvPr>
        <xdr:cNvCxnSpPr/>
      </xdr:nvCxnSpPr>
      <xdr:spPr>
        <a:xfrm flipH="1" flipV="1">
          <a:off x="1907381" y="1250156"/>
          <a:ext cx="2119313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3</xdr:row>
      <xdr:rowOff>229393</xdr:rowOff>
    </xdr:from>
    <xdr:to>
      <xdr:col>8</xdr:col>
      <xdr:colOff>262731</xdr:colOff>
      <xdr:row>6</xdr:row>
      <xdr:rowOff>229394</xdr:rowOff>
    </xdr:to>
    <xdr:cxnSp macro="">
      <xdr:nvCxnSpPr>
        <xdr:cNvPr id="1387" name="Match69">
          <a:extLst>
            <a:ext uri="{FF2B5EF4-FFF2-40B4-BE49-F238E27FC236}">
              <a16:creationId xmlns:a16="http://schemas.microsoft.com/office/drawing/2014/main" id="{69E82495-4799-FCFC-6E3A-4D085DCC4979}"/>
            </a:ext>
          </a:extLst>
        </xdr:cNvPr>
        <xdr:cNvCxnSpPr/>
      </xdr:nvCxnSpPr>
      <xdr:spPr>
        <a:xfrm>
          <a:off x="3653631" y="1300956"/>
          <a:ext cx="0" cy="1071563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EE00E1-D30B-89CF-18BC-C04F455B75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I7" sqref="I7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7</v>
      </c>
      <c r="B1" s="23">
        <v>9</v>
      </c>
      <c r="C1" s="23">
        <v>7</v>
      </c>
      <c r="D1" s="23">
        <v>9</v>
      </c>
      <c r="E1" s="23">
        <v>6</v>
      </c>
      <c r="F1" s="23">
        <v>6</v>
      </c>
      <c r="G1" s="22">
        <v>1</v>
      </c>
      <c r="H1" s="22">
        <v>3</v>
      </c>
      <c r="I1" s="22">
        <v>4</v>
      </c>
      <c r="J1" s="22">
        <v>8</v>
      </c>
      <c r="K1" s="22">
        <v>3</v>
      </c>
      <c r="L1" s="22">
        <v>1</v>
      </c>
      <c r="N1" s="2">
        <v>34911</v>
      </c>
      <c r="O1" s="1">
        <v>1</v>
      </c>
    </row>
    <row r="2" spans="1:15" s="2" customFormat="1" ht="28.25" customHeight="1">
      <c r="A2" s="27">
        <v>3</v>
      </c>
      <c r="B2" s="23">
        <v>7</v>
      </c>
      <c r="C2" s="23">
        <v>9</v>
      </c>
      <c r="D2" s="23">
        <v>6</v>
      </c>
      <c r="E2" s="27">
        <v>5</v>
      </c>
      <c r="F2" s="23">
        <v>6</v>
      </c>
      <c r="G2" s="22">
        <v>1</v>
      </c>
      <c r="H2" s="23">
        <v>6</v>
      </c>
      <c r="I2" s="27">
        <v>8</v>
      </c>
      <c r="J2" s="23">
        <v>9</v>
      </c>
      <c r="K2" s="23">
        <v>5</v>
      </c>
      <c r="L2" s="27">
        <v>6</v>
      </c>
      <c r="N2" s="2">
        <v>6374339</v>
      </c>
      <c r="O2" s="2">
        <v>1</v>
      </c>
    </row>
    <row r="3" spans="1:15" ht="28.25" customHeight="1">
      <c r="A3" s="27">
        <v>8</v>
      </c>
      <c r="B3" s="23">
        <v>6</v>
      </c>
      <c r="C3" s="23">
        <v>9</v>
      </c>
      <c r="D3" s="27">
        <v>3</v>
      </c>
      <c r="E3" s="27">
        <v>8</v>
      </c>
      <c r="F3" s="23">
        <v>6</v>
      </c>
      <c r="G3" s="22">
        <v>9</v>
      </c>
      <c r="H3" s="27">
        <v>3</v>
      </c>
      <c r="I3" s="22">
        <v>7</v>
      </c>
      <c r="J3" s="23">
        <v>5</v>
      </c>
      <c r="K3" s="27">
        <v>2</v>
      </c>
      <c r="L3" s="27">
        <v>5</v>
      </c>
      <c r="N3" s="2">
        <v>97</v>
      </c>
      <c r="O3" s="1">
        <v>21</v>
      </c>
    </row>
    <row r="4" spans="1:15" ht="28.25" customHeight="1">
      <c r="A4" s="27">
        <v>4</v>
      </c>
      <c r="B4" s="27">
        <v>3</v>
      </c>
      <c r="C4" s="23">
        <v>4</v>
      </c>
      <c r="D4" s="22">
        <v>9</v>
      </c>
      <c r="E4" s="22">
        <v>6</v>
      </c>
      <c r="F4" s="27">
        <v>2</v>
      </c>
      <c r="G4" s="22">
        <v>4</v>
      </c>
      <c r="H4" s="27">
        <v>3</v>
      </c>
      <c r="I4" s="22">
        <v>9</v>
      </c>
      <c r="J4" s="22">
        <v>7</v>
      </c>
      <c r="K4" s="23">
        <v>9</v>
      </c>
      <c r="L4" s="27">
        <v>4</v>
      </c>
      <c r="N4" s="2">
        <v>155</v>
      </c>
      <c r="O4" s="1">
        <v>2</v>
      </c>
    </row>
    <row r="5" spans="1:15" ht="28.25" customHeight="1">
      <c r="A5" s="27">
        <v>2</v>
      </c>
      <c r="B5" s="23">
        <v>1</v>
      </c>
      <c r="C5" s="23">
        <v>9</v>
      </c>
      <c r="D5" s="23">
        <v>7</v>
      </c>
      <c r="E5" s="22">
        <v>3</v>
      </c>
      <c r="F5" s="22">
        <v>5</v>
      </c>
      <c r="G5" s="22">
        <v>3</v>
      </c>
      <c r="H5" s="27">
        <v>8</v>
      </c>
      <c r="I5" s="22">
        <v>2</v>
      </c>
      <c r="J5" s="23">
        <v>8</v>
      </c>
      <c r="K5" s="22">
        <v>1</v>
      </c>
      <c r="L5" s="22">
        <v>8</v>
      </c>
      <c r="N5" s="2">
        <v>174</v>
      </c>
      <c r="O5" s="1">
        <v>2</v>
      </c>
    </row>
    <row r="6" spans="1:15" ht="28.25" customHeight="1">
      <c r="A6" s="27">
        <v>7</v>
      </c>
      <c r="B6" s="23">
        <v>8</v>
      </c>
      <c r="C6" s="27">
        <v>2</v>
      </c>
      <c r="D6" s="22">
        <v>8</v>
      </c>
      <c r="E6" s="22">
        <v>1</v>
      </c>
      <c r="F6" s="22">
        <v>3</v>
      </c>
      <c r="G6" s="22">
        <v>2</v>
      </c>
      <c r="H6" s="27">
        <v>6</v>
      </c>
      <c r="I6" s="22">
        <v>5</v>
      </c>
      <c r="J6" s="23">
        <v>1</v>
      </c>
      <c r="K6" s="23">
        <v>9</v>
      </c>
      <c r="L6" s="22">
        <v>2</v>
      </c>
      <c r="N6" s="2">
        <v>66</v>
      </c>
      <c r="O6" s="1">
        <v>22</v>
      </c>
    </row>
    <row r="7" spans="1:15" ht="28.25" customHeight="1">
      <c r="A7" s="27">
        <v>5</v>
      </c>
      <c r="B7" s="27">
        <v>3</v>
      </c>
      <c r="C7" s="22">
        <v>7</v>
      </c>
      <c r="D7" s="22">
        <v>9</v>
      </c>
      <c r="E7" s="27">
        <v>5</v>
      </c>
      <c r="F7" s="27">
        <v>9</v>
      </c>
      <c r="G7" s="22">
        <v>4</v>
      </c>
      <c r="H7" s="22">
        <v>4</v>
      </c>
      <c r="I7" s="22">
        <v>2</v>
      </c>
      <c r="J7" s="27">
        <v>4</v>
      </c>
      <c r="K7" s="23">
        <v>7</v>
      </c>
      <c r="L7" s="22">
        <v>7</v>
      </c>
      <c r="N7" s="2">
        <v>76</v>
      </c>
      <c r="O7" s="1">
        <v>9</v>
      </c>
    </row>
    <row r="8" spans="1:15" ht="28.25" customHeight="1">
      <c r="A8" s="22">
        <v>8</v>
      </c>
      <c r="B8" s="23">
        <v>6</v>
      </c>
      <c r="C8" s="23">
        <v>7</v>
      </c>
      <c r="D8" s="27">
        <v>2</v>
      </c>
      <c r="E8" s="23">
        <v>9</v>
      </c>
      <c r="F8" s="22">
        <v>6</v>
      </c>
      <c r="G8" s="27">
        <v>5</v>
      </c>
      <c r="H8" s="22">
        <v>7</v>
      </c>
      <c r="I8" s="22">
        <v>5</v>
      </c>
      <c r="J8" s="23">
        <v>6</v>
      </c>
      <c r="K8" s="27">
        <v>8</v>
      </c>
      <c r="L8" s="22">
        <v>5</v>
      </c>
      <c r="N8" s="2">
        <v>177</v>
      </c>
      <c r="O8" s="1">
        <v>1</v>
      </c>
    </row>
    <row r="9" spans="1:15" ht="28.25" customHeight="1">
      <c r="A9" s="23">
        <v>6</v>
      </c>
      <c r="B9" s="22">
        <v>4</v>
      </c>
      <c r="C9" s="27">
        <v>5</v>
      </c>
      <c r="D9" s="23">
        <v>7</v>
      </c>
      <c r="E9" s="27">
        <v>2</v>
      </c>
      <c r="F9" s="27">
        <v>3</v>
      </c>
      <c r="G9" s="22">
        <v>9</v>
      </c>
      <c r="H9" s="22">
        <v>1</v>
      </c>
      <c r="I9" s="22">
        <v>3</v>
      </c>
      <c r="J9" s="22">
        <v>2</v>
      </c>
      <c r="K9" s="27">
        <v>4</v>
      </c>
      <c r="L9" s="22">
        <v>7</v>
      </c>
      <c r="N9" s="2">
        <v>81</v>
      </c>
      <c r="O9" s="1">
        <v>5</v>
      </c>
    </row>
    <row r="10" spans="1:15" ht="28.25" customHeight="1">
      <c r="A10" s="27">
        <v>5</v>
      </c>
      <c r="B10" s="27">
        <v>2</v>
      </c>
      <c r="C10" s="22">
        <v>1</v>
      </c>
      <c r="D10" s="27">
        <v>5</v>
      </c>
      <c r="E10" s="23">
        <v>9</v>
      </c>
      <c r="F10" s="22">
        <v>5</v>
      </c>
      <c r="G10" s="27">
        <v>9</v>
      </c>
      <c r="H10" s="22">
        <v>9</v>
      </c>
      <c r="I10" s="27">
        <v>9</v>
      </c>
      <c r="J10" s="22">
        <v>6</v>
      </c>
      <c r="K10" s="22">
        <v>6</v>
      </c>
      <c r="L10" s="22">
        <v>4</v>
      </c>
      <c r="N10" s="2">
        <v>8416</v>
      </c>
      <c r="O10" s="1">
        <v>1</v>
      </c>
    </row>
    <row r="11" spans="1:15" ht="28.25" customHeight="1">
      <c r="A11" s="27">
        <v>8</v>
      </c>
      <c r="B11" s="27">
        <v>9</v>
      </c>
      <c r="C11" s="23">
        <v>6</v>
      </c>
      <c r="D11" s="22">
        <v>6</v>
      </c>
      <c r="E11" s="27">
        <v>4</v>
      </c>
      <c r="F11" s="27">
        <v>3</v>
      </c>
      <c r="G11" s="22">
        <v>5</v>
      </c>
      <c r="H11" s="27">
        <v>4</v>
      </c>
      <c r="I11" s="22">
        <v>2</v>
      </c>
      <c r="J11" s="23">
        <v>9</v>
      </c>
      <c r="K11" s="22">
        <v>6</v>
      </c>
      <c r="L11" s="22">
        <v>9</v>
      </c>
      <c r="N11" s="2">
        <v>8275749</v>
      </c>
      <c r="O11" s="1">
        <v>1</v>
      </c>
    </row>
    <row r="12" spans="1:15" ht="28.25" customHeight="1">
      <c r="A12" s="27">
        <v>5</v>
      </c>
      <c r="B12" s="27">
        <v>2</v>
      </c>
      <c r="C12" s="27">
        <v>3</v>
      </c>
      <c r="D12" s="27">
        <v>3</v>
      </c>
      <c r="E12" s="27">
        <v>9</v>
      </c>
      <c r="F12" s="27">
        <v>2</v>
      </c>
      <c r="G12" s="27">
        <v>4</v>
      </c>
      <c r="H12" s="22">
        <v>1</v>
      </c>
      <c r="I12" s="27">
        <v>4</v>
      </c>
      <c r="J12" s="22">
        <v>7</v>
      </c>
      <c r="K12" s="27">
        <v>4</v>
      </c>
      <c r="L12" s="27">
        <v>3</v>
      </c>
      <c r="N12" s="2">
        <v>13843</v>
      </c>
      <c r="O12" s="1">
        <v>1</v>
      </c>
    </row>
    <row r="13" spans="1:15" ht="28.25" customHeight="1">
      <c r="N13" s="2">
        <v>69927</v>
      </c>
      <c r="O13" s="1">
        <v>1</v>
      </c>
    </row>
    <row r="14" spans="1:15" ht="28.25" customHeight="1">
      <c r="N14" s="2">
        <v>254256</v>
      </c>
      <c r="O14" s="1">
        <v>1</v>
      </c>
    </row>
    <row r="15" spans="1:15" ht="28.25" customHeight="1">
      <c r="N15" s="2">
        <v>9252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71"/>
  <sheetViews>
    <sheetView tabSelected="1" zoomScaleNormal="100" workbookViewId="0">
      <pane ySplit="2" topLeftCell="A267" activePane="bottomLeft" state="frozen"/>
      <selection pane="bottomLeft" activeCell="A271" sqref="A271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564</v>
      </c>
      <c r="I255" t="s">
        <v>565</v>
      </c>
      <c r="J255">
        <v>0</v>
      </c>
      <c r="K255">
        <f t="shared" ref="K255" si="490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91">L254+K255</f>
        <v>309</v>
      </c>
      <c r="M255">
        <f t="shared" ref="M255" si="492">2+IF(A255&gt;=DATEVALUE("2025/11/30")+TIMEVALUE("6:00"),1,0)+IF(A255&gt;=DATEVALUE("2025/12/11")+TIMEVALUE("6:00"),1,0)</f>
        <v>4</v>
      </c>
      <c r="N255">
        <f t="shared" ref="N255" si="493">N254+M255*(INT(A255-6/24)-INT(A254-6/24))+O255</f>
        <v>311</v>
      </c>
      <c r="O255">
        <f t="shared" ref="O255" si="494">IF(A255&gt;=DATEVALUE("2025/11/8")+TIMEVALUE("6:00"),1,0)-IF(A254&gt;=DATEVALUE("2025/11/8")+TIMEVALUE("6:00"),1,0)
+IF(A255&gt;=DATEVALUE("2026/1/22")+TIMEVALUE("6:00"),3,0)-IF(A254&gt;=DATEVALUE("2026/1/22")+TIMEVALUE("6:00"),3,0)</f>
        <v>0</v>
      </c>
      <c r="P255" t="str">
        <f t="shared" ref="P255" si="495">IF(L255&lt;N255,"未達成（"&amp;N255-L255&amp;"）",IF(L255=N255,"達成","前倒し（"&amp;L255-N255&amp;"）"))</f>
        <v>未達成（2）</v>
      </c>
      <c r="Q255">
        <f t="shared" ref="Q255" si="496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566</v>
      </c>
      <c r="I256" t="s">
        <v>567</v>
      </c>
      <c r="J256">
        <v>0</v>
      </c>
      <c r="K256">
        <f t="shared" ref="K256" si="497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98">L255+K256</f>
        <v>311</v>
      </c>
      <c r="M256">
        <f t="shared" ref="M256" si="499">2+IF(A256&gt;=DATEVALUE("2025/11/30")+TIMEVALUE("6:00"),1,0)+IF(A256&gt;=DATEVALUE("2025/12/11")+TIMEVALUE("6:00"),1,0)</f>
        <v>4</v>
      </c>
      <c r="N256">
        <f t="shared" ref="N256" si="500">N255+M256*(INT(A256-6/24)-INT(A255-6/24))+O256</f>
        <v>311</v>
      </c>
      <c r="O256">
        <f t="shared" ref="O256" si="501">IF(A256&gt;=DATEVALUE("2025/11/8")+TIMEVALUE("6:00"),1,0)-IF(A255&gt;=DATEVALUE("2025/11/8")+TIMEVALUE("6:00"),1,0)
+IF(A256&gt;=DATEVALUE("2026/1/22")+TIMEVALUE("6:00"),3,0)-IF(A255&gt;=DATEVALUE("2026/1/22")+TIMEVALUE("6:00"),3,0)</f>
        <v>0</v>
      </c>
      <c r="P256" t="str">
        <f t="shared" ref="P256" si="502">IF(L256&lt;N256,"未達成（"&amp;N256-L256&amp;"）",IF(L256=N256,"達成","前倒し（"&amp;L256-N256&amp;"）"))</f>
        <v>達成</v>
      </c>
      <c r="Q256">
        <f t="shared" ref="Q256" si="503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568</v>
      </c>
      <c r="I257" t="s">
        <v>569</v>
      </c>
      <c r="J257">
        <v>0</v>
      </c>
      <c r="K257">
        <f t="shared" ref="K257" si="504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505">L256+K257</f>
        <v>313</v>
      </c>
      <c r="M257">
        <f t="shared" ref="M257" si="506">2+IF(A257&gt;=DATEVALUE("2025/11/30")+TIMEVALUE("6:00"),1,0)+IF(A257&gt;=DATEVALUE("2025/12/11")+TIMEVALUE("6:00"),1,0)</f>
        <v>4</v>
      </c>
      <c r="N257">
        <f t="shared" ref="N257" si="507">N256+M257*(INT(A257-6/24)-INT(A256-6/24))+O257</f>
        <v>315</v>
      </c>
      <c r="O257">
        <f t="shared" ref="O257" si="508">IF(A257&gt;=DATEVALUE("2025/11/8")+TIMEVALUE("6:00"),1,0)-IF(A256&gt;=DATEVALUE("2025/11/8")+TIMEVALUE("6:00"),1,0)
+IF(A257&gt;=DATEVALUE("2026/1/22")+TIMEVALUE("6:00"),3,0)-IF(A256&gt;=DATEVALUE("2026/1/22")+TIMEVALUE("6:00"),3,0)</f>
        <v>0</v>
      </c>
      <c r="P257" t="str">
        <f t="shared" ref="P257" si="509">IF(L257&lt;N257,"未達成（"&amp;N257-L257&amp;"）",IF(L257=N257,"達成","前倒し（"&amp;L257-N257&amp;"）"))</f>
        <v>未達成（2）</v>
      </c>
      <c r="Q257">
        <f t="shared" ref="Q257" si="51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570</v>
      </c>
      <c r="I258" t="s">
        <v>572</v>
      </c>
      <c r="J258">
        <v>1</v>
      </c>
      <c r="K258">
        <f t="shared" ref="K258" si="51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512">L257+K258</f>
        <v>313</v>
      </c>
      <c r="M258">
        <f t="shared" ref="M258" si="513">2+IF(A258&gt;=DATEVALUE("2025/11/30")+TIMEVALUE("6:00"),1,0)+IF(A258&gt;=DATEVALUE("2025/12/11")+TIMEVALUE("6:00"),1,0)</f>
        <v>4</v>
      </c>
      <c r="N258">
        <f t="shared" ref="N258" si="514">N257+M258*(INT(A258-6/24)-INT(A257-6/24))+O258</f>
        <v>315</v>
      </c>
      <c r="O258">
        <f t="shared" ref="O258" si="515">IF(A258&gt;=DATEVALUE("2025/11/8")+TIMEVALUE("6:00"),1,0)-IF(A257&gt;=DATEVALUE("2025/11/8")+TIMEVALUE("6:00"),1,0)
+IF(A258&gt;=DATEVALUE("2026/1/22")+TIMEVALUE("6:00"),3,0)-IF(A257&gt;=DATEVALUE("2026/1/22")+TIMEVALUE("6:00"),3,0)</f>
        <v>0</v>
      </c>
      <c r="P258" t="str">
        <f t="shared" ref="P258" si="516">IF(L258&lt;N258,"未達成（"&amp;N258-L258&amp;"）",IF(L258=N258,"達成","前倒し（"&amp;L258-N258&amp;"）"))</f>
        <v>未達成（2）</v>
      </c>
      <c r="Q258" t="e">
        <f t="shared" ref="Q258" si="517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573</v>
      </c>
      <c r="I259" t="s">
        <v>571</v>
      </c>
      <c r="J259">
        <v>0</v>
      </c>
      <c r="K259">
        <f t="shared" ref="K259" si="518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519">L258+K259</f>
        <v>315</v>
      </c>
      <c r="M259">
        <f t="shared" ref="M259" si="520">2+IF(A259&gt;=DATEVALUE("2025/11/30")+TIMEVALUE("6:00"),1,0)+IF(A259&gt;=DATEVALUE("2025/12/11")+TIMEVALUE("6:00"),1,0)</f>
        <v>4</v>
      </c>
      <c r="N259">
        <f t="shared" ref="N259" si="521">N258+M259*(INT(A259-6/24)-INT(A258-6/24))+O259</f>
        <v>315</v>
      </c>
      <c r="O259">
        <f t="shared" ref="O259" si="522">IF(A259&gt;=DATEVALUE("2025/11/8")+TIMEVALUE("6:00"),1,0)-IF(A258&gt;=DATEVALUE("2025/11/8")+TIMEVALUE("6:00"),1,0)
+IF(A259&gt;=DATEVALUE("2026/1/22")+TIMEVALUE("6:00"),3,0)-IF(A258&gt;=DATEVALUE("2026/1/22")+TIMEVALUE("6:00"),3,0)</f>
        <v>0</v>
      </c>
      <c r="P259" t="str">
        <f t="shared" ref="P259" si="523">IF(L259&lt;N259,"未達成（"&amp;N259-L259&amp;"）",IF(L259=N259,"達成","前倒し（"&amp;L259-N259&amp;"）"))</f>
        <v>達成</v>
      </c>
      <c r="Q259">
        <f t="shared" ref="Q259" si="524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574</v>
      </c>
      <c r="I260" t="s">
        <v>575</v>
      </c>
      <c r="J260">
        <v>0</v>
      </c>
      <c r="K260">
        <f t="shared" ref="K260" si="525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526">L259+K260</f>
        <v>316</v>
      </c>
      <c r="M260">
        <f t="shared" ref="M260" si="527">2+IF(A260&gt;=DATEVALUE("2025/11/30")+TIMEVALUE("6:00"),1,0)+IF(A260&gt;=DATEVALUE("2025/12/11")+TIMEVALUE("6:00"),1,0)</f>
        <v>4</v>
      </c>
      <c r="N260">
        <f t="shared" ref="N260" si="528">N259+M260*(INT(A260-6/24)-INT(A259-6/24))+O260</f>
        <v>319</v>
      </c>
      <c r="O260">
        <f t="shared" ref="O260" si="529">IF(A260&gt;=DATEVALUE("2025/11/8")+TIMEVALUE("6:00"),1,0)-IF(A259&gt;=DATEVALUE("2025/11/8")+TIMEVALUE("6:00"),1,0)
+IF(A260&gt;=DATEVALUE("2026/1/22")+TIMEVALUE("6:00"),3,0)-IF(A259&gt;=DATEVALUE("2026/1/22")+TIMEVALUE("6:00"),3,0)</f>
        <v>0</v>
      </c>
      <c r="P260" t="str">
        <f t="shared" ref="P260" si="530">IF(L260&lt;N260,"未達成（"&amp;N260-L260&amp;"）",IF(L260=N260,"達成","前倒し（"&amp;L260-N260&amp;"）"))</f>
        <v>未達成（3）</v>
      </c>
      <c r="Q260">
        <f t="shared" ref="Q260" si="531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576</v>
      </c>
      <c r="I261" t="s">
        <v>577</v>
      </c>
      <c r="J261">
        <v>0</v>
      </c>
      <c r="K261">
        <f t="shared" ref="K261" si="532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533">L260+K261</f>
        <v>318</v>
      </c>
      <c r="M261">
        <f t="shared" ref="M261" si="534">2+IF(A261&gt;=DATEVALUE("2025/11/30")+TIMEVALUE("6:00"),1,0)+IF(A261&gt;=DATEVALUE("2025/12/11")+TIMEVALUE("6:00"),1,0)</f>
        <v>4</v>
      </c>
      <c r="N261">
        <f t="shared" ref="N261" si="535">N260+M261*(INT(A261-6/24)-INT(A260-6/24))+O261</f>
        <v>319</v>
      </c>
      <c r="O261">
        <f t="shared" ref="O261" si="536">IF(A261&gt;=DATEVALUE("2025/11/8")+TIMEVALUE("6:00"),1,0)-IF(A260&gt;=DATEVALUE("2025/11/8")+TIMEVALUE("6:00"),1,0)
+IF(A261&gt;=DATEVALUE("2026/1/22")+TIMEVALUE("6:00"),3,0)-IF(A260&gt;=DATEVALUE("2026/1/22")+TIMEVALUE("6:00"),3,0)</f>
        <v>0</v>
      </c>
      <c r="P261" t="str">
        <f t="shared" ref="P261" si="537">IF(L261&lt;N261,"未達成（"&amp;N261-L261&amp;"）",IF(L261=N261,"達成","前倒し（"&amp;L261-N261&amp;"）"))</f>
        <v>未達成（1）</v>
      </c>
      <c r="Q261">
        <f t="shared" ref="Q261" si="538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578</v>
      </c>
      <c r="I262" t="s">
        <v>579</v>
      </c>
      <c r="J262">
        <v>0</v>
      </c>
      <c r="K262">
        <f t="shared" ref="K262" si="539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540">L261+K262</f>
        <v>320</v>
      </c>
      <c r="M262">
        <f t="shared" ref="M262" si="541">2+IF(A262&gt;=DATEVALUE("2025/11/30")+TIMEVALUE("6:00"),1,0)+IF(A262&gt;=DATEVALUE("2025/12/11")+TIMEVALUE("6:00"),1,0)</f>
        <v>4</v>
      </c>
      <c r="N262">
        <f t="shared" ref="N262" si="542">N261+M262*(INT(A262-6/24)-INT(A261-6/24))+O262</f>
        <v>319</v>
      </c>
      <c r="O262">
        <f t="shared" ref="O262" si="543">IF(A262&gt;=DATEVALUE("2025/11/8")+TIMEVALUE("6:00"),1,0)-IF(A261&gt;=DATEVALUE("2025/11/8")+TIMEVALUE("6:00"),1,0)
+IF(A262&gt;=DATEVALUE("2026/1/22")+TIMEVALUE("6:00"),3,0)-IF(A261&gt;=DATEVALUE("2026/1/22")+TIMEVALUE("6:00"),3,0)</f>
        <v>0</v>
      </c>
      <c r="P262" t="str">
        <f t="shared" ref="P262" si="544">IF(L262&lt;N262,"未達成（"&amp;N262-L262&amp;"）",IF(L262=N262,"達成","前倒し（"&amp;L262-N262&amp;"）"))</f>
        <v>前倒し（1）</v>
      </c>
      <c r="Q262">
        <f t="shared" ref="Q262" si="545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580</v>
      </c>
      <c r="I263" t="s">
        <v>581</v>
      </c>
      <c r="J263">
        <v>0</v>
      </c>
      <c r="K263">
        <f t="shared" ref="K263" si="546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47">L262+K263</f>
        <v>321</v>
      </c>
      <c r="M263">
        <f t="shared" ref="M263" si="548">2+IF(A263&gt;=DATEVALUE("2025/11/30")+TIMEVALUE("6:00"),1,0)+IF(A263&gt;=DATEVALUE("2025/12/11")+TIMEVALUE("6:00"),1,0)</f>
        <v>4</v>
      </c>
      <c r="N263">
        <f t="shared" ref="N263" si="549">N262+M263*(INT(A263-6/24)-INT(A262-6/24))+O263</f>
        <v>323</v>
      </c>
      <c r="O263">
        <f t="shared" ref="O263" si="550">IF(A263&gt;=DATEVALUE("2025/11/8")+TIMEVALUE("6:00"),1,0)-IF(A262&gt;=DATEVALUE("2025/11/8")+TIMEVALUE("6:00"),1,0)
+IF(A263&gt;=DATEVALUE("2026/1/22")+TIMEVALUE("6:00"),3,0)-IF(A262&gt;=DATEVALUE("2026/1/22")+TIMEVALUE("6:00"),3,0)</f>
        <v>0</v>
      </c>
      <c r="P263" t="str">
        <f t="shared" ref="P263" si="551">IF(L263&lt;N263,"未達成（"&amp;N263-L263&amp;"）",IF(L263=N263,"達成","前倒し（"&amp;L263-N263&amp;"）"))</f>
        <v>未達成（2）</v>
      </c>
      <c r="Q263">
        <f t="shared" ref="Q263" si="552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582</v>
      </c>
      <c r="I264" t="s">
        <v>583</v>
      </c>
      <c r="J264">
        <v>0</v>
      </c>
      <c r="K264">
        <f t="shared" ref="K264" si="553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54">L263+K264</f>
        <v>322</v>
      </c>
      <c r="M264">
        <f t="shared" ref="M264" si="555">2+IF(A264&gt;=DATEVALUE("2025/11/30")+TIMEVALUE("6:00"),1,0)+IF(A264&gt;=DATEVALUE("2025/12/11")+TIMEVALUE("6:00"),1,0)</f>
        <v>4</v>
      </c>
      <c r="N264">
        <f t="shared" ref="N264" si="556">N263+M264*(INT(A264-6/24)-INT(A263-6/24))+O264</f>
        <v>323</v>
      </c>
      <c r="O264">
        <f t="shared" ref="O264" si="557">IF(A264&gt;=DATEVALUE("2025/11/8")+TIMEVALUE("6:00"),1,0)-IF(A263&gt;=DATEVALUE("2025/11/8")+TIMEVALUE("6:00"),1,0)
+IF(A264&gt;=DATEVALUE("2026/1/22")+TIMEVALUE("6:00"),3,0)-IF(A263&gt;=DATEVALUE("2026/1/22")+TIMEVALUE("6:00"),3,0)</f>
        <v>0</v>
      </c>
      <c r="P264" t="str">
        <f t="shared" ref="P264" si="558">IF(L264&lt;N264,"未達成（"&amp;N264-L264&amp;"）",IF(L264=N264,"達成","前倒し（"&amp;L264-N264&amp;"）"))</f>
        <v>未達成（1）</v>
      </c>
      <c r="Q264">
        <f t="shared" ref="Q264" si="559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584</v>
      </c>
      <c r="I265" t="s">
        <v>585</v>
      </c>
      <c r="J265">
        <v>0</v>
      </c>
      <c r="K265">
        <f t="shared" ref="K265" si="560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61">L264+K265</f>
        <v>323</v>
      </c>
      <c r="M265">
        <f t="shared" ref="M265" si="562">2+IF(A265&gt;=DATEVALUE("2025/11/30")+TIMEVALUE("6:00"),1,0)+IF(A265&gt;=DATEVALUE("2025/12/11")+TIMEVALUE("6:00"),1,0)</f>
        <v>4</v>
      </c>
      <c r="N265">
        <f t="shared" ref="N265" si="563">N264+M265*(INT(A265-6/24)-INT(A264-6/24))+O265</f>
        <v>323</v>
      </c>
      <c r="O265">
        <f t="shared" ref="O265" si="564">IF(A265&gt;=DATEVALUE("2025/11/8")+TIMEVALUE("6:00"),1,0)-IF(A264&gt;=DATEVALUE("2025/11/8")+TIMEVALUE("6:00"),1,0)
+IF(A265&gt;=DATEVALUE("2026/1/22")+TIMEVALUE("6:00"),3,0)-IF(A264&gt;=DATEVALUE("2026/1/22")+TIMEVALUE("6:00"),3,0)</f>
        <v>0</v>
      </c>
      <c r="P265" t="str">
        <f t="shared" ref="P265" si="565">IF(L265&lt;N265,"未達成（"&amp;N265-L265&amp;"）",IF(L265=N265,"達成","前倒し（"&amp;L265-N265&amp;"）"))</f>
        <v>達成</v>
      </c>
      <c r="Q265">
        <f t="shared" ref="Q265" si="566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586</v>
      </c>
      <c r="I266" t="s">
        <v>587</v>
      </c>
      <c r="J266">
        <v>0</v>
      </c>
      <c r="K266">
        <f t="shared" ref="K266" si="567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68">L265+K266</f>
        <v>325</v>
      </c>
      <c r="M266">
        <f t="shared" ref="M266" si="569">2+IF(A266&gt;=DATEVALUE("2025/11/30")+TIMEVALUE("6:00"),1,0)+IF(A266&gt;=DATEVALUE("2025/12/11")+TIMEVALUE("6:00"),1,0)</f>
        <v>4</v>
      </c>
      <c r="N266">
        <f t="shared" ref="N266" si="570">N265+M266*(INT(A266-6/24)-INT(A265-6/24))+O266</f>
        <v>327</v>
      </c>
      <c r="O266">
        <f t="shared" ref="O266" si="571">IF(A266&gt;=DATEVALUE("2025/11/8")+TIMEVALUE("6:00"),1,0)-IF(A265&gt;=DATEVALUE("2025/11/8")+TIMEVALUE("6:00"),1,0)
+IF(A266&gt;=DATEVALUE("2026/1/22")+TIMEVALUE("6:00"),3,0)-IF(A265&gt;=DATEVALUE("2026/1/22")+TIMEVALUE("6:00"),3,0)</f>
        <v>0</v>
      </c>
      <c r="P266" t="str">
        <f t="shared" ref="P266" si="572">IF(L266&lt;N266,"未達成（"&amp;N266-L266&amp;"）",IF(L266=N266,"達成","前倒し（"&amp;L266-N266&amp;"）"))</f>
        <v>未達成（2）</v>
      </c>
      <c r="Q266">
        <f t="shared" ref="Q266" si="573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588</v>
      </c>
      <c r="I267" t="s">
        <v>589</v>
      </c>
      <c r="J267">
        <v>0</v>
      </c>
      <c r="K267">
        <f t="shared" ref="K267" si="574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75">L266+K267</f>
        <v>326</v>
      </c>
      <c r="M267">
        <f t="shared" ref="M267" si="576">2+IF(A267&gt;=DATEVALUE("2025/11/30")+TIMEVALUE("6:00"),1,0)+IF(A267&gt;=DATEVALUE("2025/12/11")+TIMEVALUE("6:00"),1,0)</f>
        <v>4</v>
      </c>
      <c r="N267">
        <f t="shared" ref="N267" si="577">N266+M267*(INT(A267-6/24)-INT(A266-6/24))+O267</f>
        <v>327</v>
      </c>
      <c r="O267">
        <f t="shared" ref="O267" si="578">IF(A267&gt;=DATEVALUE("2025/11/8")+TIMEVALUE("6:00"),1,0)-IF(A266&gt;=DATEVALUE("2025/11/8")+TIMEVALUE("6:00"),1,0)
+IF(A267&gt;=DATEVALUE("2026/1/22")+TIMEVALUE("6:00"),3,0)-IF(A266&gt;=DATEVALUE("2026/1/22")+TIMEVALUE("6:00"),3,0)</f>
        <v>0</v>
      </c>
      <c r="P267" t="str">
        <f t="shared" ref="P267" si="579">IF(L267&lt;N267,"未達成（"&amp;N267-L267&amp;"）",IF(L267=N267,"達成","前倒し（"&amp;L267-N267&amp;"）"))</f>
        <v>未達成（1）</v>
      </c>
      <c r="Q267">
        <f t="shared" ref="Q267" si="58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590</v>
      </c>
      <c r="I268" t="s">
        <v>591</v>
      </c>
      <c r="J268">
        <v>0</v>
      </c>
      <c r="K268">
        <f t="shared" ref="K268" si="58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82">L267+K268</f>
        <v>327</v>
      </c>
      <c r="M268">
        <f t="shared" ref="M268" si="583">2+IF(A268&gt;=DATEVALUE("2025/11/30")+TIMEVALUE("6:00"),1,0)+IF(A268&gt;=DATEVALUE("2025/12/11")+TIMEVALUE("6:00"),1,0)</f>
        <v>4</v>
      </c>
      <c r="N268">
        <f t="shared" ref="N268" si="584">N267+M268*(INT(A268-6/24)-INT(A267-6/24))+O268</f>
        <v>327</v>
      </c>
      <c r="O268">
        <f t="shared" ref="O268" si="585">IF(A268&gt;=DATEVALUE("2025/11/8")+TIMEVALUE("6:00"),1,0)-IF(A267&gt;=DATEVALUE("2025/11/8")+TIMEVALUE("6:00"),1,0)
+IF(A268&gt;=DATEVALUE("2026/1/22")+TIMEVALUE("6:00"),3,0)-IF(A267&gt;=DATEVALUE("2026/1/22")+TIMEVALUE("6:00"),3,0)</f>
        <v>0</v>
      </c>
      <c r="P268" t="str">
        <f t="shared" ref="P268" si="586">IF(L268&lt;N268,"未達成（"&amp;N268-L268&amp;"）",IF(L268=N268,"達成","前倒し（"&amp;L268-N268&amp;"）"))</f>
        <v>達成</v>
      </c>
      <c r="Q268">
        <f t="shared" ref="Q268" si="587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592</v>
      </c>
      <c r="I269" t="s">
        <v>593</v>
      </c>
      <c r="J269">
        <v>0</v>
      </c>
      <c r="K269">
        <f t="shared" ref="K269" si="588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89">L268+K269</f>
        <v>328</v>
      </c>
      <c r="M269">
        <f t="shared" ref="M269" si="590">2+IF(A269&gt;=DATEVALUE("2025/11/30")+TIMEVALUE("6:00"),1,0)+IF(A269&gt;=DATEVALUE("2025/12/11")+TIMEVALUE("6:00"),1,0)</f>
        <v>4</v>
      </c>
      <c r="N269">
        <f t="shared" ref="N269" si="591">N268+M269*(INT(A269-6/24)-INT(A268-6/24))+O269</f>
        <v>331</v>
      </c>
      <c r="O269">
        <f t="shared" ref="O269" si="592">IF(A269&gt;=DATEVALUE("2025/11/8")+TIMEVALUE("6:00"),1,0)-IF(A268&gt;=DATEVALUE("2025/11/8")+TIMEVALUE("6:00"),1,0)
+IF(A269&gt;=DATEVALUE("2026/1/22")+TIMEVALUE("6:00"),3,0)-IF(A268&gt;=DATEVALUE("2026/1/22")+TIMEVALUE("6:00"),3,0)</f>
        <v>0</v>
      </c>
      <c r="P269" t="str">
        <f t="shared" ref="P269" si="593">IF(L269&lt;N269,"未達成（"&amp;N269-L269&amp;"）",IF(L269=N269,"達成","前倒し（"&amp;L269-N269&amp;"）"))</f>
        <v>未達成（3）</v>
      </c>
      <c r="Q269">
        <f t="shared" ref="Q269" si="594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594</v>
      </c>
      <c r="I270" t="s">
        <v>595</v>
      </c>
      <c r="J270">
        <v>0</v>
      </c>
      <c r="K270">
        <f t="shared" ref="K270" si="595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96">L269+K270</f>
        <v>330</v>
      </c>
      <c r="M270">
        <f t="shared" ref="M270" si="597">2+IF(A270&gt;=DATEVALUE("2025/11/30")+TIMEVALUE("6:00"),1,0)+IF(A270&gt;=DATEVALUE("2025/12/11")+TIMEVALUE("6:00"),1,0)</f>
        <v>4</v>
      </c>
      <c r="N270">
        <f t="shared" ref="N270" si="598">N269+M270*(INT(A270-6/24)-INT(A269-6/24))+O270</f>
        <v>331</v>
      </c>
      <c r="O270">
        <f t="shared" ref="O270" si="599">IF(A270&gt;=DATEVALUE("2025/11/8")+TIMEVALUE("6:00"),1,0)-IF(A269&gt;=DATEVALUE("2025/11/8")+TIMEVALUE("6:00"),1,0)
+IF(A270&gt;=DATEVALUE("2026/1/22")+TIMEVALUE("6:00"),3,0)-IF(A269&gt;=DATEVALUE("2026/1/22")+TIMEVALUE("6:00"),3,0)</f>
        <v>0</v>
      </c>
      <c r="P270" t="str">
        <f t="shared" ref="P270" si="600">IF(L270&lt;N270,"未達成（"&amp;N270-L270&amp;"）",IF(L270=N270,"達成","前倒し（"&amp;L270-N270&amp;"）"))</f>
        <v>未達成（1）</v>
      </c>
      <c r="Q270">
        <f t="shared" ref="Q270" si="601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596</v>
      </c>
      <c r="I271" t="s">
        <v>597</v>
      </c>
      <c r="J271">
        <v>0</v>
      </c>
      <c r="K271">
        <f t="shared" ref="K271" si="602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603">L270+K271</f>
        <v>331</v>
      </c>
      <c r="M271">
        <f t="shared" ref="M271" si="604">2+IF(A271&gt;=DATEVALUE("2025/11/30")+TIMEVALUE("6:00"),1,0)+IF(A271&gt;=DATEVALUE("2025/12/11")+TIMEVALUE("6:00"),1,0)</f>
        <v>4</v>
      </c>
      <c r="N271">
        <f t="shared" ref="N271" si="605">N270+M271*(INT(A271-6/24)-INT(A270-6/24))+O271</f>
        <v>331</v>
      </c>
      <c r="O271">
        <f t="shared" ref="O271" si="606">IF(A271&gt;=DATEVALUE("2025/11/8")+TIMEVALUE("6:00"),1,0)-IF(A270&gt;=DATEVALUE("2025/11/8")+TIMEVALUE("6:00"),1,0)
+IF(A271&gt;=DATEVALUE("2026/1/22")+TIMEVALUE("6:00"),3,0)-IF(A270&gt;=DATEVALUE("2026/1/22")+TIMEVALUE("6:00"),3,0)</f>
        <v>0</v>
      </c>
      <c r="P271" t="str">
        <f t="shared" ref="P271" si="607">IF(L271&lt;N271,"未達成（"&amp;N271-L271&amp;"）",IF(L271=N271,"達成","前倒し（"&amp;L271-N271&amp;"）"))</f>
        <v>達成</v>
      </c>
      <c r="Q271">
        <f t="shared" ref="Q271" si="608">IF(B271="",NA(),G271)</f>
        <v>7.6851851845276542E-3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46061.305960648147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2026-02-07T22:32:15Z</dcterms:modified>
</cp:coreProperties>
</file>
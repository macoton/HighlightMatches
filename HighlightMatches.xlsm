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drawings/drawing3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4.xml" ContentType="application/vnd.openxmlformats-officedocument.drawing+xml"/>
  <Override PartName="/xl/ctrlProps/ctrlProp14.xml" ContentType="application/vnd.ms-excel.controlproperties+xml"/>
  <Override PartName="/xl/ctrlProps/ctrlProp1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328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HighlightMatches\"/>
    </mc:Choice>
  </mc:AlternateContent>
  <xr:revisionPtr revIDLastSave="0" documentId="13_ncr:1_{E805F2C7-ABF9-40B9-95CD-FA8C6F8A39F2}" xr6:coauthVersionLast="47" xr6:coauthVersionMax="47" xr10:uidLastSave="{00000000-0000-0000-0000-000000000000}"/>
  <bookViews>
    <workbookView xWindow="-98" yWindow="-98" windowWidth="20715" windowHeight="13155" activeTab="2" xr2:uid="{2EB94F1F-85D9-4214-98B9-F9D05AFDF3F8}"/>
  </bookViews>
  <sheets>
    <sheet name="説明" sheetId="6" r:id="rId1"/>
    <sheet name="画面" sheetId="1" r:id="rId2"/>
    <sheet name="データ" sheetId="4" r:id="rId3"/>
    <sheet name="設定" sheetId="2" r:id="rId4"/>
    <sheet name="Sheet5" sheetId="3" r:id="rId5"/>
    <sheet name="Sheet6" sheetId="5" r:id="rId6"/>
  </sheets>
  <definedNames>
    <definedName name="_xleta.CHAR" hidden="1" xlm="1">#NAME?</definedName>
    <definedName name="_xleta.N" hidden="1" xlm="1">#NAME?</definedName>
    <definedName name="_xleta.NOW" hidden="1" xlm="1">#NAME?</definedName>
    <definedName name="_xlpm.A" hidden="1" xlm="1">#NAME?</definedName>
    <definedName name="サーチワードの長さ">設定!$C$4:$C$18</definedName>
    <definedName name="サーチワードの長さに対する加点">設定!$C$20:$C$25</definedName>
    <definedName name="セルを黄色">設定!$C$1</definedName>
    <definedName name="開始時間">設定!$C$3</definedName>
    <definedName name="線を引く">設定!$C$2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O80" i="4" l="1"/>
  <c r="M80" i="4"/>
  <c r="N80" i="4" s="1"/>
  <c r="K80" i="4"/>
  <c r="L80" i="4" s="1"/>
  <c r="P80" i="4" s="1"/>
  <c r="O79" i="4"/>
  <c r="M79" i="4"/>
  <c r="N79" i="4" s="1"/>
  <c r="K79" i="4"/>
  <c r="L79" i="4" s="1"/>
  <c r="O78" i="4"/>
  <c r="N78" i="4"/>
  <c r="M78" i="4"/>
  <c r="K78" i="4"/>
  <c r="L78" i="4" s="1"/>
  <c r="P78" i="4" s="1"/>
  <c r="O77" i="4"/>
  <c r="M77" i="4"/>
  <c r="N77" i="4" s="1"/>
  <c r="K77" i="4"/>
  <c r="L77" i="4" s="1"/>
  <c r="P77" i="4" s="1"/>
  <c r="O76" i="4"/>
  <c r="M76" i="4"/>
  <c r="N76" i="4" s="1"/>
  <c r="K76" i="4"/>
  <c r="L76" i="4" s="1"/>
  <c r="P76" i="4" s="1"/>
  <c r="M75" i="4"/>
  <c r="M74" i="4"/>
  <c r="M73" i="4"/>
  <c r="M72" i="4"/>
  <c r="M71" i="4"/>
  <c r="M70" i="4"/>
  <c r="M69" i="4"/>
  <c r="M68" i="4"/>
  <c r="M67" i="4"/>
  <c r="M66" i="4"/>
  <c r="M65" i="4"/>
  <c r="M64" i="4"/>
  <c r="M63" i="4"/>
  <c r="M62" i="4"/>
  <c r="M61" i="4"/>
  <c r="M60" i="4"/>
  <c r="M59" i="4"/>
  <c r="M58" i="4"/>
  <c r="M57" i="4"/>
  <c r="M56" i="4"/>
  <c r="M55" i="4"/>
  <c r="M54" i="4"/>
  <c r="M53" i="4"/>
  <c r="M52" i="4"/>
  <c r="M51" i="4"/>
  <c r="M50" i="4"/>
  <c r="M49" i="4"/>
  <c r="M48" i="4"/>
  <c r="M47" i="4"/>
  <c r="M46" i="4"/>
  <c r="M45" i="4"/>
  <c r="M44" i="4"/>
  <c r="M43" i="4"/>
  <c r="M42" i="4"/>
  <c r="M41" i="4"/>
  <c r="M40" i="4"/>
  <c r="M39" i="4"/>
  <c r="M38" i="4"/>
  <c r="M37" i="4"/>
  <c r="M36" i="4"/>
  <c r="M35" i="4"/>
  <c r="M34" i="4"/>
  <c r="M33" i="4"/>
  <c r="M32" i="4"/>
  <c r="M31" i="4"/>
  <c r="M30" i="4"/>
  <c r="M29" i="4"/>
  <c r="M28" i="4"/>
  <c r="M27" i="4"/>
  <c r="M26" i="4"/>
  <c r="M25" i="4"/>
  <c r="M24" i="4"/>
  <c r="M23" i="4"/>
  <c r="M22" i="4"/>
  <c r="M21" i="4"/>
  <c r="M20" i="4"/>
  <c r="M19" i="4"/>
  <c r="M18" i="4"/>
  <c r="M17" i="4"/>
  <c r="O75" i="4"/>
  <c r="O74" i="4"/>
  <c r="O73" i="4"/>
  <c r="O72" i="4"/>
  <c r="O71" i="4"/>
  <c r="O70" i="4"/>
  <c r="O69" i="4"/>
  <c r="O68" i="4"/>
  <c r="O67" i="4"/>
  <c r="O66" i="4"/>
  <c r="O65" i="4"/>
  <c r="O64" i="4"/>
  <c r="O63" i="4"/>
  <c r="O62" i="4"/>
  <c r="O61" i="4"/>
  <c r="O60" i="4"/>
  <c r="O59" i="4"/>
  <c r="O58" i="4"/>
  <c r="O57" i="4"/>
  <c r="O56" i="4"/>
  <c r="O55" i="4"/>
  <c r="O54" i="4"/>
  <c r="O53" i="4"/>
  <c r="O52" i="4"/>
  <c r="O51" i="4"/>
  <c r="O50" i="4"/>
  <c r="O49" i="4"/>
  <c r="O48" i="4"/>
  <c r="O47" i="4"/>
  <c r="O46" i="4"/>
  <c r="O45" i="4"/>
  <c r="O44" i="4"/>
  <c r="O43" i="4"/>
  <c r="O42" i="4"/>
  <c r="O41" i="4"/>
  <c r="O40" i="4"/>
  <c r="O39" i="4"/>
  <c r="O38" i="4"/>
  <c r="O37" i="4"/>
  <c r="O36" i="4"/>
  <c r="O35" i="4"/>
  <c r="O34" i="4"/>
  <c r="O33" i="4"/>
  <c r="O32" i="4"/>
  <c r="O31" i="4"/>
  <c r="O30" i="4"/>
  <c r="O29" i="4"/>
  <c r="O28" i="4"/>
  <c r="O27" i="4"/>
  <c r="O26" i="4"/>
  <c r="O25" i="4"/>
  <c r="O24" i="4"/>
  <c r="O23" i="4"/>
  <c r="O22" i="4"/>
  <c r="O21" i="4"/>
  <c r="O20" i="4"/>
  <c r="O19" i="4"/>
  <c r="O18" i="4"/>
  <c r="O17" i="4"/>
  <c r="K75" i="4"/>
  <c r="L75" i="4" s="1"/>
  <c r="K74" i="4"/>
  <c r="L74" i="4" s="1"/>
  <c r="K73" i="4"/>
  <c r="L73" i="4" s="1"/>
  <c r="P79" i="4" l="1"/>
  <c r="K72" i="4"/>
  <c r="L72" i="4" s="1"/>
  <c r="K71" i="4"/>
  <c r="L71" i="4" s="1"/>
  <c r="K70" i="4"/>
  <c r="L70" i="4" s="1"/>
  <c r="K69" i="4"/>
  <c r="L69" i="4" s="1"/>
  <c r="K68" i="4"/>
  <c r="L68" i="4" s="1"/>
  <c r="K67" i="4"/>
  <c r="L67" i="4" s="1"/>
  <c r="K66" i="4"/>
  <c r="L66" i="4" s="1"/>
  <c r="L65" i="4"/>
  <c r="K65" i="4"/>
  <c r="K64" i="4"/>
  <c r="L64" i="4" s="1"/>
  <c r="K63" i="4"/>
  <c r="K62" i="4"/>
  <c r="K61" i="4"/>
  <c r="K60" i="4"/>
  <c r="K59" i="4"/>
  <c r="K58" i="4"/>
  <c r="K57" i="4"/>
  <c r="K56" i="4"/>
  <c r="K55" i="4"/>
  <c r="K54" i="4"/>
  <c r="K53" i="4"/>
  <c r="K52" i="4"/>
  <c r="K51" i="4"/>
  <c r="K50" i="4"/>
  <c r="K49" i="4"/>
  <c r="K48" i="4"/>
  <c r="K47" i="4"/>
  <c r="K46" i="4"/>
  <c r="K45" i="4"/>
  <c r="K44" i="4"/>
  <c r="K43" i="4"/>
  <c r="K42" i="4"/>
  <c r="K41" i="4"/>
  <c r="K40" i="4"/>
  <c r="K39" i="4"/>
  <c r="K38" i="4"/>
  <c r="K37" i="4"/>
  <c r="K36" i="4"/>
  <c r="K35" i="4"/>
  <c r="K34" i="4"/>
  <c r="K33" i="4"/>
  <c r="K32" i="4"/>
  <c r="K31" i="4"/>
  <c r="K30" i="4"/>
  <c r="K29" i="4"/>
  <c r="K28" i="4"/>
  <c r="K27" i="4"/>
  <c r="K26" i="4"/>
  <c r="K25" i="4"/>
  <c r="K24" i="4"/>
  <c r="K23" i="4"/>
  <c r="K22" i="4"/>
  <c r="K21" i="4"/>
  <c r="K20" i="4"/>
  <c r="K19" i="4"/>
  <c r="K18" i="4"/>
  <c r="K17" i="4"/>
  <c r="L17" i="4" s="1"/>
  <c r="N17" i="4"/>
  <c r="L18" i="4" l="1"/>
  <c r="L19" i="4" s="1"/>
  <c r="L20" i="4" s="1"/>
  <c r="L21" i="4" s="1"/>
  <c r="L22" i="4" s="1"/>
  <c r="L23" i="4" s="1"/>
  <c r="L24" i="4" s="1"/>
  <c r="L25" i="4" s="1"/>
  <c r="L26" i="4" s="1"/>
  <c r="L27" i="4" s="1"/>
  <c r="L28" i="4" s="1"/>
  <c r="L29" i="4" s="1"/>
  <c r="L30" i="4" s="1"/>
  <c r="L31" i="4" s="1"/>
  <c r="L32" i="4" s="1"/>
  <c r="L33" i="4" s="1"/>
  <c r="L34" i="4" s="1"/>
  <c r="L35" i="4" s="1"/>
  <c r="L36" i="4" s="1"/>
  <c r="L37" i="4" s="1"/>
  <c r="L38" i="4" s="1"/>
  <c r="L39" i="4" s="1"/>
  <c r="L40" i="4" s="1"/>
  <c r="L41" i="4" s="1"/>
  <c r="L42" i="4" s="1"/>
  <c r="L43" i="4" s="1"/>
  <c r="L44" i="4" s="1"/>
  <c r="L45" i="4" s="1"/>
  <c r="L46" i="4" s="1"/>
  <c r="L47" i="4" s="1"/>
  <c r="L48" i="4" s="1"/>
  <c r="L49" i="4" s="1"/>
  <c r="L50" i="4" s="1"/>
  <c r="L51" i="4" s="1"/>
  <c r="L52" i="4" s="1"/>
  <c r="L53" i="4" s="1"/>
  <c r="L54" i="4" s="1"/>
  <c r="L55" i="4" l="1"/>
  <c r="S2" i="5"/>
  <c r="S3" i="5" s="1"/>
  <c r="S4" i="5" s="1"/>
  <c r="S5" i="5" s="1"/>
  <c r="S6" i="5" s="1"/>
  <c r="T1" i="5"/>
  <c r="T1" i="3"/>
  <c r="S2" i="3"/>
  <c r="T2" i="3"/>
  <c r="S3" i="3"/>
  <c r="S4" i="3" s="1"/>
  <c r="T3" i="3"/>
  <c r="Q15" i="5"/>
  <c r="Q14" i="5"/>
  <c r="Q13" i="5"/>
  <c r="Q12" i="5"/>
  <c r="Q11" i="5"/>
  <c r="Q10" i="5"/>
  <c r="Q9" i="5"/>
  <c r="Q8" i="5"/>
  <c r="Q7" i="5"/>
  <c r="Q6" i="5"/>
  <c r="Q5" i="5"/>
  <c r="Q4" i="5"/>
  <c r="Q3" i="5"/>
  <c r="Q2" i="5"/>
  <c r="Q1" i="5"/>
  <c r="Q15" i="3"/>
  <c r="Q14" i="3"/>
  <c r="Q13" i="3"/>
  <c r="Q12" i="3"/>
  <c r="Q11" i="3"/>
  <c r="Q10" i="3"/>
  <c r="Q9" i="3"/>
  <c r="Q8" i="3"/>
  <c r="Q7" i="3"/>
  <c r="Q6" i="3"/>
  <c r="Q5" i="3"/>
  <c r="Q4" i="3"/>
  <c r="Q3" i="3"/>
  <c r="Q2" i="3"/>
  <c r="Q1" i="3"/>
  <c r="L56" i="4" l="1"/>
  <c r="T2" i="5"/>
  <c r="T3" i="5"/>
  <c r="T4" i="3"/>
  <c r="S5" i="3"/>
  <c r="L57" i="4" l="1"/>
  <c r="T4" i="5"/>
  <c r="S6" i="3"/>
  <c r="T6" i="3" s="1"/>
  <c r="T5" i="3"/>
  <c r="L58" i="4" l="1"/>
  <c r="T6" i="5"/>
  <c r="T5" i="5"/>
  <c r="L59" i="4" l="1"/>
  <c r="L60" i="4" l="1"/>
  <c r="L61" i="4" l="1"/>
  <c r="L62" i="4" s="1"/>
  <c r="L63" i="4" s="1"/>
  <c r="P17" i="4" l="1"/>
  <c r="N18" i="4"/>
  <c r="N19" i="4" l="1"/>
  <c r="P18" i="4"/>
  <c r="N20" i="4" l="1"/>
  <c r="P19" i="4"/>
  <c r="N21" i="4" l="1"/>
  <c r="P20" i="4"/>
  <c r="N22" i="4" l="1"/>
  <c r="P21" i="4"/>
  <c r="N23" i="4" l="1"/>
  <c r="P22" i="4"/>
  <c r="N24" i="4" l="1"/>
  <c r="P23" i="4"/>
  <c r="N25" i="4" l="1"/>
  <c r="P24" i="4"/>
  <c r="N26" i="4" l="1"/>
  <c r="P25" i="4"/>
  <c r="N27" i="4" l="1"/>
  <c r="P26" i="4"/>
  <c r="N28" i="4" l="1"/>
  <c r="P27" i="4"/>
  <c r="N29" i="4" l="1"/>
  <c r="P28" i="4"/>
  <c r="N30" i="4" l="1"/>
  <c r="P29" i="4"/>
  <c r="N31" i="4" l="1"/>
  <c r="P30" i="4"/>
  <c r="N32" i="4" l="1"/>
  <c r="P31" i="4"/>
  <c r="N33" i="4" l="1"/>
  <c r="P32" i="4"/>
  <c r="N34" i="4" l="1"/>
  <c r="P33" i="4"/>
  <c r="N35" i="4" l="1"/>
  <c r="P34" i="4"/>
  <c r="N36" i="4" l="1"/>
  <c r="P35" i="4"/>
  <c r="N37" i="4" l="1"/>
  <c r="P36" i="4"/>
  <c r="N38" i="4" l="1"/>
  <c r="P37" i="4"/>
  <c r="N39" i="4" l="1"/>
  <c r="P38" i="4"/>
  <c r="N40" i="4" l="1"/>
  <c r="P39" i="4"/>
  <c r="N41" i="4" l="1"/>
  <c r="P40" i="4"/>
  <c r="N42" i="4" l="1"/>
  <c r="P41" i="4"/>
  <c r="N43" i="4" l="1"/>
  <c r="P42" i="4"/>
  <c r="N44" i="4" l="1"/>
  <c r="P43" i="4"/>
  <c r="N45" i="4" l="1"/>
  <c r="P44" i="4"/>
  <c r="N46" i="4" l="1"/>
  <c r="P45" i="4"/>
  <c r="N47" i="4" l="1"/>
  <c r="P46" i="4"/>
  <c r="N48" i="4" l="1"/>
  <c r="P47" i="4"/>
  <c r="N49" i="4" l="1"/>
  <c r="P48" i="4"/>
  <c r="N50" i="4" l="1"/>
  <c r="P49" i="4"/>
  <c r="N51" i="4" l="1"/>
  <c r="P50" i="4"/>
  <c r="N52" i="4" l="1"/>
  <c r="P51" i="4"/>
  <c r="N53" i="4" l="1"/>
  <c r="P52" i="4"/>
  <c r="N54" i="4" l="1"/>
  <c r="P53" i="4"/>
  <c r="N55" i="4" l="1"/>
  <c r="P54" i="4"/>
  <c r="N56" i="4" l="1"/>
  <c r="P55" i="4"/>
  <c r="N57" i="4" l="1"/>
  <c r="P56" i="4"/>
  <c r="N58" i="4" l="1"/>
  <c r="P57" i="4"/>
  <c r="N59" i="4" l="1"/>
  <c r="P58" i="4"/>
  <c r="N60" i="4" l="1"/>
  <c r="P59" i="4"/>
  <c r="N61" i="4" l="1"/>
  <c r="N62" i="4" s="1"/>
  <c r="P60" i="4"/>
  <c r="P62" i="4" l="1"/>
  <c r="N63" i="4"/>
  <c r="P61" i="4"/>
  <c r="P63" i="4" l="1"/>
  <c r="N64" i="4"/>
  <c r="N65" i="4" l="1"/>
  <c r="P64" i="4"/>
  <c r="N66" i="4" l="1"/>
  <c r="P65" i="4"/>
  <c r="P66" i="4" l="1"/>
  <c r="N67" i="4"/>
  <c r="P67" i="4" l="1"/>
  <c r="N68" i="4"/>
  <c r="N69" i="4" l="1"/>
  <c r="P68" i="4"/>
  <c r="P69" i="4" l="1"/>
  <c r="N70" i="4"/>
  <c r="P70" i="4" l="1"/>
  <c r="N71" i="4"/>
  <c r="N72" i="4" l="1"/>
  <c r="P71" i="4"/>
  <c r="N73" i="4" l="1"/>
  <c r="P72" i="4"/>
  <c r="N74" i="4" l="1"/>
  <c r="P73" i="4"/>
  <c r="P74" i="4" l="1"/>
  <c r="N75" i="4"/>
  <c r="P75" i="4" s="1"/>
</calcChain>
</file>

<file path=xl/sharedStrings.xml><?xml version="1.0" encoding="utf-8"?>
<sst xmlns="http://schemas.openxmlformats.org/spreadsheetml/2006/main" count="237" uniqueCount="218">
  <si>
    <t>日時</t>
    <rPh sb="0" eb="2">
      <t>ニチジ</t>
    </rPh>
    <phoneticPr fontId="1"/>
  </si>
  <si>
    <t>減点（サーチワードがない所を選択した数）</t>
    <rPh sb="0" eb="2">
      <t>ゲンテン</t>
    </rPh>
    <rPh sb="12" eb="13">
      <t>トコロ</t>
    </rPh>
    <rPh sb="14" eb="16">
      <t>センタク</t>
    </rPh>
    <rPh sb="18" eb="19">
      <t>カズ</t>
    </rPh>
    <phoneticPr fontId="1"/>
  </si>
  <si>
    <t>減点（サーチワードが見つけられていない数、サーチワードが赤になります）</t>
    <rPh sb="0" eb="2">
      <t>ゲンテン</t>
    </rPh>
    <rPh sb="10" eb="11">
      <t>ミ</t>
    </rPh>
    <rPh sb="19" eb="20">
      <t>カズ</t>
    </rPh>
    <rPh sb="28" eb="29">
      <t>アカ</t>
    </rPh>
    <phoneticPr fontId="1"/>
  </si>
  <si>
    <t>減点（サーチワードが部分的に選択されているためサーチワードが完成していない）</t>
    <rPh sb="0" eb="2">
      <t>ゲンテン</t>
    </rPh>
    <rPh sb="30" eb="32">
      <t>カンセイ</t>
    </rPh>
    <phoneticPr fontId="1"/>
  </si>
  <si>
    <t>はじめ</t>
    <phoneticPr fontId="1"/>
  </si>
  <si>
    <t>答え合わせ（全て）</t>
    <rPh sb="0" eb="1">
      <t>コタ</t>
    </rPh>
    <rPh sb="2" eb="3">
      <t>ア</t>
    </rPh>
    <rPh sb="6" eb="7">
      <t>スベ</t>
    </rPh>
    <phoneticPr fontId="1"/>
  </si>
  <si>
    <t>答え合わせ（選択）</t>
    <rPh sb="0" eb="1">
      <t>コタ</t>
    </rPh>
    <rPh sb="2" eb="3">
      <t>ア</t>
    </rPh>
    <rPh sb="6" eb="8">
      <t>センタク</t>
    </rPh>
    <phoneticPr fontId="1"/>
  </si>
  <si>
    <t>消す</t>
    <rPh sb="0" eb="1">
      <t>ケ</t>
    </rPh>
    <phoneticPr fontId="1"/>
  </si>
  <si>
    <t>表示</t>
    <rPh sb="0" eb="2">
      <t>ヒョウジ</t>
    </rPh>
    <phoneticPr fontId="1"/>
  </si>
  <si>
    <t>作成</t>
    <rPh sb="0" eb="2">
      <t>サクセイ</t>
    </rPh>
    <phoneticPr fontId="1"/>
  </si>
  <si>
    <t>経過時間</t>
    <rPh sb="0" eb="4">
      <t>ケイカジカン</t>
    </rPh>
    <phoneticPr fontId="1"/>
  </si>
  <si>
    <t>0／全て、1／選択</t>
    <rPh sb="2" eb="3">
      <t>スベ</t>
    </rPh>
    <rPh sb="7" eb="9">
      <t>センタク</t>
    </rPh>
    <phoneticPr fontId="1"/>
  </si>
  <si>
    <t>開始時間</t>
    <rPh sb="0" eb="4">
      <t>カイシジカン</t>
    </rPh>
    <phoneticPr fontId="1"/>
  </si>
  <si>
    <t>答え（全て）</t>
    <rPh sb="0" eb="1">
      <t>コタ</t>
    </rPh>
    <rPh sb="3" eb="4">
      <t>スベ</t>
    </rPh>
    <phoneticPr fontId="1"/>
  </si>
  <si>
    <t>答え（選択）</t>
    <rPh sb="0" eb="1">
      <t>コタ</t>
    </rPh>
    <rPh sb="3" eb="5">
      <t>センタク</t>
    </rPh>
    <phoneticPr fontId="1"/>
  </si>
  <si>
    <t>サーチワード（*なし（非選択）、*あり（選択））</t>
    <rPh sb="11" eb="14">
      <t>ヒセンタク</t>
    </rPh>
    <rPh sb="20" eb="22">
      <t>センタク</t>
    </rPh>
    <phoneticPr fontId="1"/>
  </si>
  <si>
    <t>問題（*なし（非選択）、*あり（選択））</t>
    <rPh sb="0" eb="2">
      <t>モンダイ</t>
    </rPh>
    <phoneticPr fontId="1"/>
  </si>
  <si>
    <t>(1,9,9,2,*1,*6,*4,*9,*5,*7,*5,4),(3,5,7,4,6,*6,*9,*5,4,3,7,4),(6,5,*8,*5,*6,*5,*4,*2,*1,2,3,5),(5,2,*4,*2,*3,*7,*3,*3,*5,*3,4,*9),(8,*8,2,*7,6,4,2,3,7,6,*6,7),(*9,1,*8,3,*8,1,2,8,2,*5,4,8),(7,*5,5,*1,*4,*1,*6,8,*8,*3,5,7),(7,5,*5,8,*6,6,*5,*8,8,*6,3,5),(5,5,7,*2,6,*2,6,*6,8,*5,4,1),(4,4,3,1,*3,7,*7,3,3,*7,7,2),(5,1,9,3,3,2,2,*7,5,5,5,6),(1,2,6,*5,*3,*8,*8,*9,*2,3,9,5)</t>
  </si>
  <si>
    <t>(4,6,1,7,2,5,*9,*9,*2,*6,*5,*4),(1,6,7,2,9,9,7,5,2,2,8,4),(6,3,*4,*1,*7,*5,*4,8,3,*6,5,2),(4,3,5,*3,*7,*8,*6,*8,8,*3,5,6),(5,5,9,4,*1,*1,*4,*7,*8,*9,6,6),(7,*1,9,7,2,*1,*4,*7,*7,*7,*9,*8),(4,*1,*6,*2,*2,*6,*7,*1,*4,7,*2,5),(*9,*9,5,*6,*3,*9,*8,*8,*5,*4,*4,5),(*3,4,*7,*3,*3,*5,*9,*9,1,5,*1,7),(*5,7,*2,*6,*5,*7,*4,6,1,1,*5,1),(9,9,9,7,6,2,3,5,8,1,*5,1),(3,4,3,9,7,2,5,3,2,1,*7,1)</t>
  </si>
  <si>
    <t>*6226714,24155,8977741,*55,6398854,911,26574,456299,6397,995337,41754,86873,557,987411,539</t>
  </si>
  <si>
    <t>(8,1,2,3,1,5,*3,*3,*6,*7,3,4),(7,8,9,1,8,6,2,2,7,7,7,7),(9,4,9,5,*9,*8,2,9,1,2,2,2),(*2,7,*2,6,1,*3,*1,8,3,6,3,8),(*4,*6,6,6,3,6,*2,*5,8,6,5,4),(*8,7,1,6,*8,3,8,*1,*5,2,7,2),(9,6,7,*3,8,*2,9,5,*2,9,4,5),(6,1,*4,9,*3,9,*4,*9,*5,*4,9,2),(1,*7,3,*1,2,9,4,3,1,2,*6,2),(*3,7,*4,2,6,2,4,6,1,4,6,2),(3,*6,*2,*7,*4,*6,*2,*4,*1,1,9,1),(*8,*4,9,7,3,5,*6,7,1,6,3,5)</t>
  </si>
  <si>
    <t>*5518,83473,6421239,*7668946,62,23146,495,7633,1426472,12225,372357,918,812315,84,842</t>
  </si>
  <si>
    <t>(4,7,*7,*3,*5,*4,*7,*4,8,6,2,*5),(7,*9,*9,2,*3,7,4,*1,6,*4,*4,*5),(9,*6,4,*4,7,*1,*1,7,8,*5,*5,*5),(1,*8,*3,6,*8,*2,*6,6,1,*5,3,5),(1,*2,*8,2,*7,*9,8,*2,*2,2,*1,8),(7,*5,*3,*1,5,2,*9,*4,*3,*7,4,6),(*4,7,*1,*7,*3,*1,*9,*7,*2,*3,8,*4),(9,3,*3,4,9,*5,*4,*6,*1,7,*5,*5),(1,2,*4,*4,1,2,*1,*3,*7,*1,3,5),(6,7,*1,*5,8,6,1,*6,*4,*3,4,3),(8,4,2,5,*4,*4,*7,*6,*6,*8,4,7),(4,7,1,4,9,*9,*1,*9,*3,*8,*4,*4)</t>
  </si>
  <si>
    <t>*1799849,3831341,45,*4483919,86674,332613,4271,11271,9137,735474,1371,6271,55524,96825,643</t>
  </si>
  <si>
    <t>画面</t>
    <rPh sb="0" eb="2">
      <t>ガメン</t>
    </rPh>
    <phoneticPr fontId="1"/>
  </si>
  <si>
    <t>データ</t>
    <phoneticPr fontId="1"/>
  </si>
  <si>
    <t>シートとボタンの関係図です。</t>
    <rPh sb="8" eb="11">
      <t>カンケイズ</t>
    </rPh>
    <phoneticPr fontId="1"/>
  </si>
  <si>
    <t>ゲームを始める時は画面シートに移ってはじめボタンを押してください。</t>
    <rPh sb="4" eb="5">
      <t>ハジ</t>
    </rPh>
    <rPh sb="7" eb="8">
      <t>トキ</t>
    </rPh>
    <rPh sb="9" eb="11">
      <t>ガメン</t>
    </rPh>
    <rPh sb="15" eb="16">
      <t>ウツ</t>
    </rPh>
    <rPh sb="25" eb="26">
      <t>オ</t>
    </rPh>
    <phoneticPr fontId="1"/>
  </si>
  <si>
    <t>シート</t>
    <phoneticPr fontId="1"/>
  </si>
  <si>
    <t>ボタン</t>
    <phoneticPr fontId="1"/>
  </si>
  <si>
    <t>ボタン／シート</t>
    <phoneticPr fontId="1"/>
  </si>
  <si>
    <t>グラフ</t>
    <phoneticPr fontId="1"/>
  </si>
  <si>
    <t>(6,*5,9,*4,*8,*2,4,7,*4,5,2,5),(6,*7,*5,*2,*5,*8,*3,1,1,*2,1,5),(*2,*2,1,*2,1,*1,4,9,8,5,*9,*8),(1,*4,*9,*3,*7,*3,*9,*5,1,*4,*6,*3),(1,1,8,*3,*4,*7,*8,*7,*2,*8,*6,*5),(7,1,1,*2,*2,*4,*3,*2,*9,1,*8,*9),(*8,*8,5,6,*5,*4,*6,1,*2,7,9,*7),(*2,6,7,*8,*2,8,*9,*8,*4,8,1,*3),(*3,*2,*6,1,1,*3,4,*9,*3,*9,*7,9),(8,*9,*9,*2,*4,*7,*8,*3,*2,*2,*6,6),(*6,3,*4,*2,*6,*4,*6,*8,*9,7,7,*9),(5,5,*3,*5,*3,*4,*4,*5,2,1,9,8)</t>
  </si>
  <si>
    <t>*32,97915,932499,*24,88,685485,69,832,572,544353,9864624,6481,73,835,7725</t>
  </si>
  <si>
    <t>(*6,*1,*3,2,3,8,6,9,2,*7,*7,*7),(*5,*6,*1,*3,4,*9,8,6,9,6,*3,9),(*6,8,*2,5,4,3,*6,4,4,*1,*8,*7),(*7,8,5,*6,*3,2,*3,*1,1,9,*1,*3),(9,9,4,*6,*1,9,*3,*7,*9,*7,*1,9),(2,*7,*3,*2,9,*5,4,*7,*9,*3,*3,*2),(6,6,2,*1,1,7,*9,*5,5,*7,*5,*7),(6,2,8,6,4,*7,*1,*9,*3,8,*2,*8),(5,9,2,9,*3,*3,*3,3,9,2,*4,*8),(8,9,9,*7,*5,*3,6,2,3,7,*1,*3),(1,1,*4,*1,*4,*7,*1,*9,*7,4,*8,*3),(*5,*4,*7,4,*3,*5,5,7,2,*3,*4,5)</t>
  </si>
  <si>
    <t>*117,961935,745,*13,621,599,765,6266,777,795135,338872,414719,48142,37,738113</t>
  </si>
  <si>
    <t>(4,1,7,1,6,*4,6,6,4,3,8,7),(9,1,2,4,*5,*7,*9,*2,*9,*3,*2,*2),(5,4,5,*5,8,2,9,1,2,8,8,6),(5,4,*7,*7,*6,*6,*1,*8,*7,*2,6,2),(*8,*7,*3,2,*3,7,2,6,*6,*3,2,9),(2,*5,1,*6,*4,*5,*8,*2,*2,*3,*8,4),(9,9,8,*3,*4,*9,*3,*7,*4,*2,*2,8),(1,2,4,*3,*6,*4,5,*6,*6,2,3,7),(5,6,*6,*2,*6,8,*9,6,9,*1,3,9),(*6,*4,2,9,*4,6,*6,*7,9,2,*1,8),(*5,2,3,*3,*5,*1,9,*3,*3,*6,9,4),(7,*3,8,*3,*1,5,7,7,4,*5,*4,9)</t>
  </si>
  <si>
    <t>*2781667,56212,63,*8322854,4557,53,62665,44973,2239297,937422,378,611,42,64,682</t>
  </si>
  <si>
    <t>(2,2,*5,*8,*3,*4,*9,*9,*4,*3,*6,2),(6,*7,*2,*1,*4,*2,*7,6,8,*2,1,*5),(5,*1,*4,1,*4,*7,5,2,*9,3,*1,*5),(2,*5,8,4,2,5,3,*8,8,*5,3,*8),(*3,7,5,3,9,3,*8,8,*8,5,5,*3),(2,*8,4,*7,*4,*4,3,*7,6,9,5,*1),(4,1,*3,5,*4,6,*2,*7,6,*8,3,*4),(4,5,8,*9,*7,*2,*1,5,*7,*7,5,*5),(2,*4,*1,2,*3,*7,*7,8,5,*1,9,*4),(*8,*7,*5,*7,8,*5,6,5,2,*5,*4,*7),(8,*1,*4,5,*4,5,*2,3,*7,*2,3,8),(5,*7,*2,*2,*7,*7,5,8,2,*1,*7,8)</t>
  </si>
  <si>
    <t>*3839352,87152,629884,*71,47,9943,24127,2278515,585,83145,385,7341,541,7578,7227</t>
  </si>
  <si>
    <t>ロード</t>
    <phoneticPr fontId="1"/>
  </si>
  <si>
    <t>難易度を一定化</t>
    <rPh sb="0" eb="3">
      <t>ナンイド</t>
    </rPh>
    <rPh sb="4" eb="7">
      <t>イッテイカ</t>
    </rPh>
    <phoneticPr fontId="1"/>
  </si>
  <si>
    <t>サーチワードの長さ</t>
    <rPh sb="7" eb="8">
      <t>ナガ</t>
    </rPh>
    <phoneticPr fontId="1"/>
  </si>
  <si>
    <t>サーチワードの長さに対する加点</t>
    <rPh sb="7" eb="8">
      <t>ナガ</t>
    </rPh>
    <rPh sb="10" eb="11">
      <t>タイ</t>
    </rPh>
    <rPh sb="13" eb="15">
      <t>カテン</t>
    </rPh>
    <phoneticPr fontId="1"/>
  </si>
  <si>
    <t>サーチワードを偏らないように２桁から７桁の数を固定化する</t>
    <rPh sb="7" eb="8">
      <t>カタヨ</t>
    </rPh>
    <rPh sb="15" eb="16">
      <t>ケタ</t>
    </rPh>
    <rPh sb="19" eb="20">
      <t>ケタ</t>
    </rPh>
    <rPh sb="21" eb="22">
      <t>カズ</t>
    </rPh>
    <rPh sb="23" eb="26">
      <t>コテイカ</t>
    </rPh>
    <phoneticPr fontId="1"/>
  </si>
  <si>
    <t>得点はサーチワードの長さ、２桁のサーチワードは２点で７桁のサーチワードは７点</t>
    <rPh sb="0" eb="2">
      <t>トクテン</t>
    </rPh>
    <rPh sb="14" eb="15">
      <t>ケタ</t>
    </rPh>
    <rPh sb="24" eb="25">
      <t>テン</t>
    </rPh>
    <phoneticPr fontId="1"/>
  </si>
  <si>
    <t>同じサーチワードを見つけた分は得点を分けて数える</t>
    <rPh sb="0" eb="1">
      <t>オナ</t>
    </rPh>
    <rPh sb="9" eb="10">
      <t>ミ</t>
    </rPh>
    <rPh sb="13" eb="14">
      <t>ブン</t>
    </rPh>
    <rPh sb="15" eb="17">
      <t>トクテン</t>
    </rPh>
    <rPh sb="18" eb="19">
      <t>ワ</t>
    </rPh>
    <rPh sb="21" eb="22">
      <t>カゾ</t>
    </rPh>
    <phoneticPr fontId="1"/>
  </si>
  <si>
    <t>再計算</t>
    <rPh sb="0" eb="3">
      <t>サイケイサン</t>
    </rPh>
    <phoneticPr fontId="1"/>
  </si>
  <si>
    <t>*88569,32559,16,*7563,298835,5759461,8565421,7726188,478156,3533732,614,59,5366432,4596647,253</t>
    <phoneticPr fontId="1"/>
  </si>
  <si>
    <t>得点（見つけた数、同じサーチワードでも見つけたら見つけた分だけ加点します）</t>
    <rPh sb="0" eb="2">
      <t>トクテン</t>
    </rPh>
    <rPh sb="3" eb="4">
      <t>ミ</t>
    </rPh>
    <rPh sb="7" eb="8">
      <t>カズ</t>
    </rPh>
    <rPh sb="9" eb="10">
      <t>オナ</t>
    </rPh>
    <rPh sb="19" eb="20">
      <t>ミ</t>
    </rPh>
    <rPh sb="24" eb="25">
      <t>ミ</t>
    </rPh>
    <rPh sb="28" eb="29">
      <t>ブン</t>
    </rPh>
    <rPh sb="31" eb="33">
      <t>カテン</t>
    </rPh>
    <phoneticPr fontId="1"/>
  </si>
  <si>
    <t>(1,*6,3,*1,8,4,6,6,4,9,3,5),(9,*6,7,*1,2,7,7,3,6,9,2,4),(4,*1,6,*9,4,8,1,8,3,4,9,4),(6,9,9,*5,6,9,8,1,*2,1,6,1),(7,1,5,*7,8,6,*3,*9,*7,5,5,9),(8,4,6,*3,9,*4,7,*4,3,8,6,9),(2,6,8,*9,*9,7,*5,2,*8,2,5,3),(8,6,4,2,1,*9,4,*9,*5,*9,2,2),(7,5,7,2,*8,4,7,8,*9,4,*7,8),(2,8,6,8,4,7,7,2,*2,7,9,1),(9,3,3,8,7,5,5,6,*1,7,6,5),(4,5,5,2,7,4,3,3,*4,6,9,7)</t>
    <phoneticPr fontId="1"/>
  </si>
  <si>
    <t>*897,92,5287,*4129,9375911,59,74598,661,943,87649,539466,33,4362177,77492,66</t>
    <phoneticPr fontId="1"/>
  </si>
  <si>
    <t>(2,2,*5,*8,*3,*4,*9,*9,*4,*3,*6,2),(6,*7,*2,*1,*4,*2,*7,6,8,*2,1,*5),(5,*1,*4,1,*4,*7,5,2,*9,3,*1,*5),(2,*5,8,4,2,5,3,*8,8,*5,3,*8),(*3,7,5,3,9,3,*8,8,*8,5,5,*3),(2,*8,4,*7,*4,*4,3,*7,6,9,5,*1),(4,1,*3,5,*4,6,*2,*7,6,*8,3,*4),(4,5,8,*9,*7,*2,*1,5,*7,*7,5,*5),(2,*4,*1,2,*3,*7,*7,8,5,*1,9,*4),(*8,*7,*5,*7,8,*5,6,5,2,*5,*4,*7),(8,*1,*4,5,*4,5,*2,3,*7,*2,3,8),(5,*7,*2,*2,*7,*7,5,8,2,*1,*7,8)</t>
    <phoneticPr fontId="1"/>
  </si>
  <si>
    <t>*3839352,87152,629884,*71,47,9943,24127,2278515,585,83145,385,7341,541,7578,7227</t>
    <phoneticPr fontId="1"/>
  </si>
  <si>
    <t>(4,1,7,1,6,*4,6,6,4,3,8,7),(9,1,2,4,*5,*7,*9,*2,*9,*3,*2,*2),(5,4,5,*5,8,2,9,1,2,8,8,6),(5,4,*7,*7,*6,*6,*1,*8,*7,*2,6,2),(*8,*7,*3,2,*3,7,2,6,*6,*3,2,9),(2,*5,1,*6,*4,*5,*8,*2,*2,*3,*8,4),(9,9,8,*3,*4,*9,*3,*7,*4,*2,*2,8),(1,2,4,*3,*6,*4,5,*6,*6,2,3,7),(5,6,*6,*2,*6,8,*9,6,9,*1,3,9),(*6,*4,2,9,*4,6,*6,*7,9,2,*1,8),(*5,2,3,*3,*5,*1,9,*3,*3,*6,9,4),(7,*3,8,*3,*1,5,7,7,4,*5,*4,9)</t>
    <phoneticPr fontId="1"/>
  </si>
  <si>
    <t>*2781667,56212,63,*8322854,4557,53,62665,44973,2239297,937422,378,611,42,64,682</t>
    <phoneticPr fontId="1"/>
  </si>
  <si>
    <t>(*6,*1,*3,2,3,8,6,9,2,*7,*7,*7),(*5,*6,*1,*3,4,*9,8,6,9,6,*3,9),(*6,8,*2,5,4,3,*6,4,4,*1,*8,*7),(*7,8,5,*6,*3,2,*3,*1,1,9,*1,*3),(9,9,4,*6,*1,9,*3,*7,*9,*7,*1,9),(2,*7,*3,*2,9,*5,4,*7,*9,*3,*3,*2),(6,6,2,*1,1,7,*9,*5,5,*7,*5,*7),(6,2,8,6,4,*7,*1,*9,*3,8,*2,*8),(5,9,2,9,*3,*3,*3,3,9,2,*4,*8),(8,9,9,*7,*5,*3,6,2,3,7,*1,*3),(1,1,*4,*1,*4,*7,*1,*9,*7,4,*8,*3),(*5,*4,*7,4,*3,*5,5,7,2,*3,*4,5)</t>
    <phoneticPr fontId="1"/>
  </si>
  <si>
    <t>*117,961935,745,*13,621,599,765,6266,777,795135,338872,414719,48142,37,738113</t>
    <phoneticPr fontId="1"/>
  </si>
  <si>
    <t>(6,*5,9,*4,*8,*2,4,7,*4,5,2,5),(6,*7,*5,*2,*5,*8,*3,1,1,*2,1,5),(*2,*2,1,*2,1,*1,4,9,8,5,*9,*8),(1,*4,*9,*3,*7,*3,*9,*5,1,*4,*6,*3),(1,1,8,*3,*4,*7,*8,*7,*2,*8,*6,*5),(7,1,1,*2,*2,*4,*3,*2,*9,1,*8,*9),(*8,*8,5,6,*5,*4,*6,1,*2,7,9,*7),(*2,6,7,*8,*2,8,*9,*8,*4,8,1,*3),(*3,*2,*6,1,1,*3,4,*9,*3,*9,*7,9),(8,*9,*9,*2,*4,*7,*8,*3,*2,*2,*6,6),(*6,3,*4,*2,*6,*4,*6,*8,*9,7,7,*9),(5,5,*3,*5,*3,*4,*4,*5,2,1,9,8)</t>
    <phoneticPr fontId="1"/>
  </si>
  <si>
    <t>*32,97915,932499,*24,88,685485,69,832,572,544353,9864624,6481,73,835,7725</t>
    <phoneticPr fontId="1"/>
  </si>
  <si>
    <t>(4,7,*7,*3,*5,*4,*7,*4,8,6,2,*5),(7,*9,*9,2,*3,7,4,*1,6,*4,*4,*5),(9,*6,4,*4,7,*1,*1,7,8,*5,*5,*5),(1,*8,*3,6,*8,*2,*6,6,1,*5,3,5),(1,*2,*8,2,*7,*9,8,*2,*2,2,*1,8),(7,*5,*3,*1,5,2,*9,*4,*3,*7,4,6),(*4,7,*1,*7,*3,*1,*9,*7,*2,*3,8,*4),(9,3,*3,4,9,*5,*4,*6,*1,7,*5,*5),(1,2,*4,*4,1,2,*1,*3,*7,*1,3,5),(6,7,*1,*5,8,6,1,*6,*4,*3,4,3),(8,4,2,5,*4,*4,*7,*6,*6,*8,4,7),(4,7,1,4,9,*9,*1,*9,*3,*8,*4,*4)</t>
    <phoneticPr fontId="1"/>
  </si>
  <si>
    <t>*1799849,3831341,45,*4483919,86674,332613,4271,11271,9137,735474,1371,6271,55524,96825,643</t>
    <phoneticPr fontId="1"/>
  </si>
  <si>
    <t>(8,1,2,3,1,5,*3,*3,*6,*7,3,4),(7,8,9,1,8,6,2,2,7,7,7,7),(9,4,9,5,*9,*8,2,9,1,2,2,2),(*2,7,*2,6,1,*3,*1,8,3,6,3,8),(*4,*6,6,6,3,6,*2,*5,8,6,5,4),(*8,7,1,6,*8,3,8,*1,*5,2,7,2),(9,6,7,*3,8,*2,9,5,*2,9,4,5),(6,1,*4,9,*3,9,*4,*9,*5,*4,9,2),(1,*7,3,*1,2,9,4,3,1,2,*6,2),(*3,7,*4,2,6,2,4,6,1,4,6,2),(3,*6,*2,*7,*4,*6,*2,*4,*1,1,9,1),(*8,*4,9,7,3,5,*6,7,1,6,3,5)</t>
    <phoneticPr fontId="1"/>
  </si>
  <si>
    <t>*5518,83473,6421239,*7668946,62,23146,495,7633,1426472,12225,372357,918,812315,84,842</t>
    <phoneticPr fontId="1"/>
  </si>
  <si>
    <t>(4,6,1,7,2,5,*9,*9,*2,*6,*5,*4),(1,6,7,2,9,9,7,5,2,2,8,4),(6,3,*4,*1,*7,*5,*4,8,3,*6,5,2),(4,3,5,*3,*7,*8,*6,*8,8,*3,5,6),(5,5,9,4,*1,*1,*4,*7,*8,*9,6,6),(7,*1,9,7,2,*1,*4,*7,*7,*7,*9,*8),(4,*1,*6,*2,*2,*6,*7,*1,*4,7,*2,5),(*9,*9,5,*6,*3,*9,*8,*8,*5,*4,*4,5),(*3,4,*7,*3,*3,*5,*9,*9,1,5,*1,7),(*5,7,*2,*6,*5,*7,*4,6,1,1,*5,1),(9,9,9,7,6,2,3,5,8,1,*5,1),(3,4,3,9,7,2,5,3,2,1,*7,1)</t>
    <phoneticPr fontId="1"/>
  </si>
  <si>
    <t>*6226714,24155,8977741,*55,6398854,911,26574,456299,6397,995337,41754,86873,557,987411,539</t>
    <phoneticPr fontId="1"/>
  </si>
  <si>
    <t>(1,9,9,2,*1,*6,*4,*9,*5,*7,*5,4),(3,5,7,4,6,*6,*9,*5,4,3,7,4),(6,5,*8,*5,*6,*5,*4,*2,*1,2,3,5),(5,2,*4,*2,*3,*7,*3,*3,*5,*3,4,*9),(8,*8,2,*7,6,4,2,3,7,6,*6,7),(*9,1,*8,3,*8,1,2,8,2,*5,4,8),(7,*5,5,*1,*4,*1,*6,8,*8,*3,5,7),(7,5,*5,8,*6,6,*5,*8,8,*6,3,5),(5,5,7,*2,6,*2,6,*6,8,*5,4,1),(4,4,3,1,*3,7,*7,3,3,*7,7,2),(5,1,9,3,3,2,2,*7,5,5,5,6),(1,2,6,*5,*3,*8,*8,*9,*2,3,9,5)</t>
    <phoneticPr fontId="1"/>
  </si>
  <si>
    <t>(7,2,6,*4,*9,*2,6,4,5,*1,*3,*5),(9,7,7,*2,1,5,2,7,7,2,4,*6),(1,*1,6,*3,4,9,1,6,*2,*5,*1,5),(7,*9,8,7,6,1,8,*8,*5,*6,7,8),(8,*3,3,3,4,3,*8,*3,*8,2,5,5),(3,*7,5,4,2,*9,*6,*1,5,8,2,5),(*4,5,4,*9,*4,*2,*4,8,8,5,*5,*4),(*5,9,3,4,*5,7,8,4,2,1,9,1),(*9,9,4,1,3,7,7,9,4,*2,*6,8),(*1,*3,*8,*5,*5,*1,*1,*6,9,7,8,9),(2,*9,*8,*2,*7,*1,6,1,1,5,2,1),(*8,*6,*8,*6,*5,*3,*5,7,8,7,4,1)</t>
  </si>
  <si>
    <t>23,26,17289,7391,814,61681,54,28894,135,3855116,553625,49,4591,294,8686535</t>
  </si>
  <si>
    <t>(5,*2,*7,7,1,8,7,*1,9,3,6,3),(4,*2,*9,9,*1,6,*5,4,*1,2,8,4),(5,*6,*8,2,*8,1,4,*4,6,*1,1,7),(5,*2,5,*4,*2,5,9,2,*5,7,*6,*9),(4,*7,8,6,8,4,5,8,*4,*3,*1,*6),(3,2,4,8,3,8,9,*8,8,*8,*3,4),(1,5,8,5,9,1,*9,9,*5,3,2,*1),(*6,*8,*9,*2,*2,*6,*1,7,8,4,*8,9),(4,4,*3,*5,*4,*5,*6,*9,*9,*4,*4,*7),(4,6,4,5,3,9,5,6,9,6,1,8),(3,8,2,2,1,7,*8,*8,3,2,3,7),(2,6,7,6,3,*6,*6,*4,*9,*6,*6,*4)</t>
  </si>
  <si>
    <t>133545,42,5819,489,6892261,6545,11166,78,88,4669466,182,99447,38,72622,798</t>
  </si>
  <si>
    <t>(7,*9,*1,*1,*4,*5,2,1,4,8,7,2),(1,7,4,1,7,1,2,7,8,8,*1,*3),(*1,*9,*1,*8,9,*5,1,7,3,2,*9,*3),(*7,1,4,5,3,*5,9,9,1,3,*4,*9),(*5,9,6,5,6,*1,8,5,2,9,*1,*2),(*6,*3,*7,*2,8,*7,5,8,7,8,*1,*5),(*7,4,5,4,1,*6,4,*9,*3,4,*3,9),(*1,6,2,*1,*6,*2,1,1,2,9,*7,1),(*2,1,8,*7,*9,*5,*3,*3,*5,*4,9,7),(8,3,3,*7,*7,9,*5,*7,*9,8,7,9),(7,1,3,8,*1,8,9,3,*6,1,9,4),(8,3,9,7,6,1,*3,*8,*9,*4,*7,4)</t>
  </si>
  <si>
    <t>177,551762,273,2176571,819,6971,4533,79,7311491,86,52933,91145,55,38947,93</t>
  </si>
  <si>
    <t>(6,2,2,8,4,6,7,4,6,2,8,7),(6,4,2,7,*4,5,1,4,7,*7,9,4),(*1,1,5,3,*8,1,*4,2,*2,2,1,7),(3,*6,6,*9,*6,7,*7,*3,8,8,9,8),(9,7,*2,*7,*3,1,*8,3,2,8,*3,9),(7,8,4,*1,*9,8,*1,*7,8,*3,*2,3),(1,1,1,*5,*9,*1,*5,*2,*7,7,*4,1),(3,8,8,*2,*4,*7,*6,4,2,*8,6,1),(2,5,*7,*9,9,*4,*9,3,*1,4,*2,4),(2,4,2,9,4,*9,*5,*2,4,*1,7,*2),(8,9,5,4,3,*9,*5,7,4,3,*2,6),(7,7,4,1,6,4,7,7,9,3,6,*2)</t>
  </si>
  <si>
    <t>162,423,79,925179,17499,33,12,4781,27,22877,1398747,4863994,55965,327,1122</t>
  </si>
  <si>
    <t>(5,7,7,7,6,5,3,4,9,*6,6,7),(1,1,5,6,1,6,2,7,*2,6,9,6),(9,*1,4,9,2,1,4,*9,8,*1,1,5),(*2,2,*2,*1,4,3,8,8,2,3,*7,1),(*9,7,8,*3,*5,8,2,2,3,6,7,*8),(*7,3,7,7,*5,*1,9,6,9,7,*1,9),(*7,9,7,6,*8,*2,*3,2,6,2,*7,3),(*3,*1,4,5,*1,*4,*9,*6,*6,*8,*7,1),(*2,9,*9,*6,2,2,*6,6,5,*5,*7,*3),(*8,8,7,*5,6,5,3,*4,5,*7,*2,3),(3,1,6,6,*4,9,9,3,*6,*3,*2,6),(9,6,3,6,3,*4,5,4,7,*7,*5,7)</t>
  </si>
  <si>
    <t>72,2178,95,43,216,63151,37,764648,3758,25321,926,1777225,966,19544,8237792</t>
  </si>
  <si>
    <t>(3,*3,3,7,3,9,5,1,1,7,*9,4),(7,*7,6,2,5,7,6,1,2,2,*1,5),(6,*3,*2,*8,*6,*2,*5,*1,*2,*1,*8,6),(3,*8,6,2,5,6,5,3,4,*4,*5,6),(*5,*1,6,2,7,3,8,3,3,*2,*5,2),(2,*9,4,*8,*1,7,*3,*6,4,*6,4,9),(*7,*4,*1,4,*5,8,3,*3,2,*8,8,9),(*1,2,*8,*1,2,8,2,*5,9,*5,3,9),(*8,7,7,*2,*8,4,4,*4,5,*6,9,6),(*9,*8,3,7,*5,*7,8,9,4,*6,2,9),(*1,*6,4,8,1,5,*4,*8,*5,*1,8,9),(7,*4,2,3,7,5,2,4,*9,4,8,1)</t>
  </si>
  <si>
    <t>2152682,91855,81,685661,4781195,142,15,86,468,6354,4825,584,71891,18373,59</t>
  </si>
  <si>
    <t>(6,8,8,7,3,3,9,*5,*2,*8,1,8),(8,3,9,5,9,7,6,1,5,1,7,9),(5,*5,*8,*4,3,*5,7,*2,4,7,9,*5),(5,*6,*5,*3,6,*3,5,*5,7,1,*5,1),(4,*1,*6,*9,9,*1,*1,3,*6,*6,5,5),(*5,*8,*5,*3,5,6,3,*7,*5,*1,1,7),(*4,4,*3,*9,5,8,6,*5,*5,6,*4,6),(*3,7,*8,*3,*6,*1,*2,1,2,*1,*5,*9),(*3,*1,7,*3,8,*7,5,3,2,1,*6,2),(6,5,1,*5,3,4,2,3,3,3,6,7),(3,3,2,1,5,9,5,3,1,8,5,5),(7,3,8,4,3,5,1,2,1,9,9,5)</t>
  </si>
  <si>
    <t>4393933,17516,5565527,5433,14,13,528,835658,531,8165,45,335,94165,61,51219</t>
  </si>
  <si>
    <t>(9,6,7,5,9,4,8,2,5,6,9,7),(2,4,*2,3,*1,*1,*8,*8,*9,*1,*5,1),(2,8,*5,4,8,9,8,3,9,2,2,1),(3,4,*3,9,1,3,7,*5,*9,*9,*3,*7),(2,9,5,*2,8,6,1,*8,*1,7,3,5),(*6,*4,*1,*4,*7,7,3,*7,8,8,1,4),(1,*3,*2,*9,*8,*4,3,*7,6,5,7,*2),(4,6,*8,*9,*2,*5,4,9,3,5,3,*8),(2,2,1,*7,*4,*1,*6,6,*8,8,1,*8),(6,4,6,9,6,3,*1,*1,*2,1,5,*1),(3,9,4,2,*7,8,8,7,*6,8,5,*7),(9,6,7,4,*4,1,4,4,1,*7,7,1)</t>
    <phoneticPr fontId="1"/>
  </si>
  <si>
    <t>6387,71882,59937,761658,4924,253,877,82,4294384,49,74,1188915,472,19211,81</t>
    <phoneticPr fontId="1"/>
  </si>
  <si>
    <t>(*2,2,9,*3,5,7,3,7,4,8,3,9),(8,*6,5,*6,*7,7,9,1,1,*5,7,6),(5,5,*8,7,*9,*9,6,6,3,*2,3,3),(*9,3,5,*4,4,*2,*6,*8,3,*5,3,6),(*1,2,1,*5,*7,7,*1,*3,6,*8,8,6),(*5,7,6,*9,*5,*9,4,*7,*5,*2,8,*1),(*9,9,9,*1,*2,5,*2,8,9,*5,9,*7),(6,3,*9,*8,*8,2,5,4,9,5,8,*5),(8,4,*3,*8,*2,7,*3,*8,*3,6,4,5),(*4,7,*8,*4,8,*1,8,6,7,6,6,8),(*1,2,*1,9,6,*5,*3,4,9,7,5,2),(*1,3,*6,3,2,*2,8,1,9,6,6,6)</t>
  </si>
  <si>
    <t>5282,68,383,99,114,2974862,175,9519,28525,5536973,31,488195,71296,93816,25</t>
  </si>
  <si>
    <t>(*4,7,7,1,8,7,3,*1,6,3,1,9),(*7,*2,9,3,7,1,1,*7,3,1,1,1),(4,*1,*5,6,9,2,2,*9,8,6,4,6),(*3,*5,*2,*8,2,3,1,*7,6,7,9,*9),(*2,*1,*1,*2,*2,4,8,*8,*6,2,1,*4),(*7,*5,1,3,*2,1,9,*3,2,*5,7,*7),(*5,*1,5,3,*4,8,2,*7,*8,2,*4,3),(*2,*8,2,3,*8,2,*3,*6,4,*5,4,*3),(*6,*6,8,8,*6,8,8,*6,*3,2,1,8),(*9,9,7,8,*5,8,2,*8,*4,*1,2,2),(8,2,1,6,9,5,*5,9,2,*1,2,5),(3,8,6,5,9,*3,8,8,7,9,4,4)</t>
  </si>
  <si>
    <t>463,53853,68,28524,947,42,221,6543,56842,9625723,11,79,515186,1797837,7122</t>
  </si>
  <si>
    <t>(6,2,*4,3,7,4,4,3,5,3,3,7),(6,6,*6,8,5,*9,*5,*5,*7,*4,*7,*9),(6,3,*8,1,*4,3,2,4,*4,*8,*9,1),(9,1,*8,1,*8,1,6,7,*4,*2,7,9),(7,9,*4,5,*2,*8,1,1,6,*2,2,5),(1,6,*2,9,*4,*9,*8,*9,7,6,6,9),(*4,5,5,*7,5,1,7,*9,*4,*4,5,4),(*6,*9,*6,*7,1,*4,*1,*9,*1,*7,*4,4),(*6,*9,6,8,*1,*4,*9,*5,*6,*4,2,1),(*7,3,3,*4,5,5,7,*6,*7,*1,*1,*8),(*6,3,5,6,7,*3,*5,*4,*1,*3,*4,*2),(*1,8,7,6,4,2,6,7,7,3,4,5)</t>
  </si>
  <si>
    <t>4284,81176,967,24,74,94,414,98,191,9747559,48864,46594,2431453,9629,167664</t>
  </si>
  <si>
    <t>(6,7,7,*6,2,*3,*2,*8,*4,*2,3,3),(2,5,3,*7,*4,*4,*6,*8,*9,*7,8,5),(8,4,*9,*7,*7,*6,3,2,*1,*9,4,3),(*4,*8,*4,*9,*3,*9,*2,7,2,2,9,*8),(*8,*1,*8,2,*6,3,*1,*1,*6,*9,*6,*1),(*3,*9,*9,*6,5,2,*3,*9,3,*4,*4,5),(*7,3,*5,*1,*4,*4,*9,*6,5,5,1,*6),(*3,*9,*8,*4,5,4,*7,*2,2,5,1,4),(*5,2,4,3,*8,5,*1,*1,6,6,1,4),(*4,*8,*1,*1,3,*5,*8,*5,*8,5,3,6),(2,3,9,3,*8,4,2,*3,*8,9,*6,5),(3,*8,*1,*8,*9,*4,*5,*8,5,4,*8,3)</t>
  </si>
  <si>
    <t>9621538,5144,18,68,79,699,81793,1169,4849392,24823,158,984,37354,549818,46</t>
  </si>
  <si>
    <t>(5,3,1,4,7,8,*6,1,*7,7,7,7),(7,7,3,6,5,*8,*6,2,2,*4,4,6),(4,*2,*2,*3,*6,*5,*9,*1,*1,3,*5,1),(9,*1,*1,*7,*7,*6,*1,*1,*8,*1,7,9),(*4,*5,*6,*3,*7,*2,*1,2,*6,7,7,*5),(9,3,*2,6,*9,*6,*9,*5,*8,*9,6,*4),(7,*1,*5,7,*4,*9,*3,2,*7,*1,6,*2),(*8,*8,*8,*9,*5,*1,3,*3,*8,*9,*9,*3),(*8,*1,*1,*8,*3,2,*4,*9,*5,*8,6,*5),(3,*3,*2,7,*8,*6,1,*3,*1,*1,*1,*3),(*4,2,*5,*5,*8,*9,2,7,*1,*8,4,*5),(1,3,3,*8,6,*1,4,5,3,*1,3,8)</t>
  </si>
  <si>
    <t>15878,431946,11776,4563721,547,85,812,6322,468,93,5353245,18,89,13561,1966</t>
  </si>
  <si>
    <t>(*4,*8,*1,*4,*9,*9,*7,6,*8,*3,*8,*4),(2,*1,8,*4,*4,*6,*2,*8,*1,*4,*4,*1),(9,*1,5,*4,*9,8,*6,7,6,3,*1,1),(6,*9,*4,2,*8,*1,*6,*2,*9,*6,2,7),(5,2,*9,6,*8,*8,1,*1,*8,*3,*5,*4),(9,7,*9,*4,*8,*3,*9,*7,*1,*6,5,*9),(*8,2,*3,*9,*9,2,2,*9,6,4,7,4),(*5,*8,*9,2,3,7,9,3,*4,2,*1,2),(*2,*4,*6,*2,*5,*4,*3,4,5,5,*4,3),(*6,*1,7,2,*9,*6,3,5,*4,*9,6,2),(*4,2,*1,7,*7,7,2,5,4,*3,*2,*5),(*2,*8,*4,*3,2,8,2,*6,*6,5,9,3)</t>
  </si>
  <si>
    <t>61793,4625,45381,523,3673,49,66,4814997,38,14,284,692618,886,46258,1441826</t>
  </si>
  <si>
    <t>(1,3,7,6,9,5,*5,6,*1,*4,3,2),(7,7,*1,7,9,*6,2,2,*9,*1,*6,5),(*2,*4,8,*9,*7,7,5,1,7,5,*2,6),(8,*4,7,*4,*8,*4,6,2,*7,6,*7,5),(7,*1,*1,8,*4,*2,3,*5,5,1,*9,*4),(3,*5,*7,*1,*9,*6,*7,3,*7,5,*6,8),(*5,*9,*7,5,*4,*5,*3,*8,2,*7,*7,7),(*4,*4,*9,*2,*9,7,9,*5,*3,2,*6,9),(5,*8,*5,7,*1,3,*7,*6,*2,*1,7,*8),(7,5,*3,2,*3,2,*2,5,5,*6,*4,3),(1,6,*1,*1,*8,3,*7,*4,*2,*2,*1,5),(3,3,*4,*2,7,6,*5,*1,*6,*4,*1,*1)</t>
  </si>
  <si>
    <t>138,42,41,4948,95757,8677,1162536,621,49,5514765,77953,627967,14615,727,11</t>
  </si>
  <si>
    <t>(8,9,2,6,7,1,3,5,7,2,1,6),(4,8,*9,*9,*1,*7,*3,*8,*5,*5,*6,6),(2,1,8,*5,*9,3,3,5,*9,*5,*1,3),(4,1,9,8,*1,4,7,5,*8,8,3,9),(*5,8,2,5,2,*9,*6,*7,*3,4,*5,8),(*9,7,*1,4,*1,2,*8,6,*9,*4,*1,*9),(*9,*9,4,*1,*9,*7,*7,*6,*5,*9,2,4),(*9,*1,5,*9,3,*9,7,*4,*8,8,7,8),(*1,*1,4,5,*5,*1,*7,*2,*8,*9,*9,6),(*9,2,*1,*9,3,*9,*3,*5,*6,*7,3,2),(*6,4,*2,*8,*7,*2,6,7,*5,*6,1,8),(4,*5,*7,*1,*2,*5,8,8,*3,*8,*2,*5)</t>
    <phoneticPr fontId="1"/>
  </si>
  <si>
    <t>975,51986,951,78,7974545,2175,5999196,5283,98232,917385,376,19,65,29597,99</t>
    <phoneticPr fontId="1"/>
  </si>
  <si>
    <t>(4,5,5,*5,*3,*1,*4,2,9,*8,9,6),(5,6,*1,4,7,5,7,6,*7,6,*3,1),(*3,6,*2,6,2,7,2,*6,9,*1,*7,6),(*8,9,*2,*2,2,*7,*8,*2,*2,*1,4,*8),(*7,*3,*4,*9,*2,*7,9,*8,4,*2,*1,*3),(6,*9,*8,3,*7,*1,*8,*4,6,*7,*3,*6),(1,*4,*2,*4,5,*9,2,*7,*8,2,*8,6),(6,*9,*5,*1,9,*1,4,*6,2,*4,9,4),(*7,*9,3,4,5,*1,*2,*9,*4,4,8,1),(*8,*7,*7,9,6,*3,7,*9,1,9,7,6),(4,*6,*8,6,*8,*5,*7,*9,*7,*7,4,3),(5,*2,9,5,*7,6,4,5,3,9,7,4)</t>
    <phoneticPr fontId="1"/>
  </si>
  <si>
    <t>4769,349,94486,5477867,83,21,76167,988213,11,951,57977,2679949,122,4135,87</t>
    <phoneticPr fontId="1"/>
  </si>
  <si>
    <t>(3,*7,*5,*8,*7,*7,*1,*1,5,7,1,9),(3,9,9,1,6,8,*2,9,*7,7,8,6),(3,2,3,5,3,7,9,8,6,*6,5,*2),(4,7,*3,1,5,*9,*3,*8,5,2,*7,*1),(*1,4,5,*2,4,9,8,8,2,7,1,*3),(9,*3,4,1,*9,*9,*5,*6,*4,*1,2,*2),(1,2,*7,8,4,*8,4,7,1,*9,6,*8),(6,1,3,*3,3,2,*8,2,*6,*7,3,*1),(6,8,*2,*3,*6,*9,*6,*5,*6,*1,9,*4),(2,*5,4,*8,*1,*8,*3,*4,*9,*3,*8,1),(3,*2,5,7,3,6,1,6,8,*2,6,9),(3,*8,8,9,9,4,5,1,1,*6,4,4)</t>
  </si>
  <si>
    <t>834,3731,528,7671,56,95641,623179,76,32988,2369656,839,81,2132814,12,75877</t>
  </si>
  <si>
    <t>(7,7,5,*1,*8,8,2,*4,*4,*9,5,2),(6,3,*7,9,*6,*1,1,*4,8,6,5,7),(4,7,*8,8,4,*1,*5,*9,4,6,6,7),(1,3,*9,*7,*1,*6,*6,*6,5,6,4,*5),(*2,9,*6,7,4,*8,2,*2,*4,*5,*9,3),(*6,*6,3,8,8,2,*8,7,*8,*4,2,1),(8,*5,*5,9,4,4,*5,*6,*7,*3,1,5),(7,*8,*5,*7,4,*6,8,8,*6,4,8,8),(*5,4,*7,*4,*1,*5,1,6,9,*4,9,5),(*2,8,3,*1,*9,*9,3,7,*5,*2,*5,2),(1,4,6,9,*6,*1,3,1,8,5,5,*3),(7,5,7,9,5,*1,1,3,2,7,4,6)</t>
  </si>
  <si>
    <t>81564,956,52,58,7896,16178,7495,449,617,95,194556,8866453,17562,52,3826161</t>
  </si>
  <si>
    <t>(*1,*6,*4,*7,1,*5,*1,*3,*8,*2,*6,*9),(7,1,5,*8,1,4,1,4,4,6,4,4),(1,4,5,*9,2,6,2,3,*9,7,3,*8),(4,4,8,*5,*5,*9,*3,2,*4,6,7,*8),(6,7,*5,*1,4,1,*6,4,*4,8,4,*3),(2,6,*2,*7,6,3,*6,8,1,5,4,*8),(5,2,*2,8,6,6,4,*7,*8,5,9,*9),(1,7,*2,4,4,5,*9,*2,*1,*1,*9,*7),(2,1,*6,9,9,6,4,*2,5,2,*7,3),(1,3,4,*7,7,4,1,2,*5,2,3,5),(5,4,*2,*1,*5,*4,*7,*8,*4,*6,7,1),(8,6,2,3,1,*7,*7,*6,*9,*9,*8,8)</t>
  </si>
  <si>
    <t>99677,663,5138269,92119,95,8652,67,87,789517,461,2225,77,2154784,449,98388</t>
  </si>
  <si>
    <t>(8,8,7,*5,6,4,3,8,2,3,7,1),(9,4,*4,7,2,1,4,8,2,1,2,4),(5,*9,6,8,8,9,5,*9,*9,*2,9,1),(*3,4,7,5,3,7,*2,6,*3,*1,1,3),(9,7,6,4,*9,*9,*1,*4,*1,4,4,*8),(*3,*5,*6,*3,*2,8,8,2,*8,7,*8,*6),(6,3,*9,*2,*1,*4,8,*4,*9,4,*7,*7),(6,*3,*3,9,*7,3,8,*6,*8,3,*9,*9),(9,*8,9,1,*1,5,6,*1,3,9,*8,*7),(*8,2,7,2,*2,8,4,*7,4,5,*1,*5),(3,9,9,9,*4,3,3,*3,1,9,*1,*7),(5,6,7,3,*3,2,1,4,6,7,*9,5)</t>
  </si>
  <si>
    <t>356,141,37164,31898,12,5493,41,7579768,9118978,992,21,3939,342171,92,22388</t>
  </si>
  <si>
    <t>(6,1,*4,3,7,5,1,9,*7,*8,6,1),(4,3,*4,3,6,8,9,5,9,8,8,5),(2,7,*6,9,4,7,8,8,9,3,1,1),(3,9,*9,2,*8,*9,2,7,3,7,1,3),(1,5,*2,2,9,6,5,5,5,9,*5,*5),(1,8,*8,*9,*4,*4,*2,*1,7,4,*5,*9),(9,6,*9,7,*1,*1,*3,*3,*7,*2,*8,*8),(1,*2,*1,*8,*3,*4,3,5,4,*9,*5,*3),(5,*5,*8,3,4,3,6,7,*4,8,3,*1),(4,*4,7,6,8,8,8,*3,*1,*9,*9,*6),(2,*6,9,1,1,4,*6,1,9,5,3,*1),(2,1,1,7,9,*9,5,6,8,4,4,4)</t>
    <phoneticPr fontId="1"/>
  </si>
  <si>
    <t>98,43812,289,18,5855,4469289,78,199,96349,546,55,12449,3119,273311,5983161</t>
    <phoneticPr fontId="1"/>
  </si>
  <si>
    <t>(9,3,2,*9,6,2,4,*2,*4,5,5,1),(7,*2,7,*2,*6,1,5,2,6,9,4,9),(5,*7,1,3,*6,*7,3,7,7,*8,*3,*4),(8,*4,5,7,2,*6,*3,7,3,*1,8,*1),(2,*4,7,2,*5,2,*9,*6,1,*3,4,*8),(2,9,9,*5,1,7,3,*9,6,*1,4,*3),(5,*5,*2,3,8,8,*7,6,*3,*6,2,*4),(2,*7,*7,9,9,6,*9,*4,2,*1,4,*2),(2,*6,7,5,6,7,*2,6,*6,*5,*9,*8),(*3,*2,8,6,8,9,*6,*7,*2,*4,*4,4),(2,*5,3,7,7,6,3,4,1,7,5,9),(4,3,4,6,8,*8,*5,*4,*8,*1,6,3)</t>
  </si>
  <si>
    <t>24,52675,552,83,4183428,746,763,85481,92,4472,266993,63769,4276,49,8131615</t>
  </si>
  <si>
    <t>(5,*8,*8,*5,*1,*9,*4,4,*5,3,5,2),(6,8,*9,9,8,2,6,4,*5,7,1,6),(5,6,*4,5,7,5,*7,7,*8,4,4,9),(8,9,*4,5,2,*7,6,2,*3,6,5,9),(6,5,*7,5,*8,*3,*4,*7,*1,*7,*2,3),(6,1,*7,*4,3,3,4,*1,7,1,4,5),(3,*7,*8,4,6,3,*9,*7,*2,*1,*9,1),(4,*7,*3,8,4,*1,5,1,6,4,6,4),(*5,2,3,*7,*6,4,9,5,3,3,9,9),(4,3,3,*4,8,7,*4,*3,*4,*3,*2,*2),(5,*2,*3,*9,3,1,4,1,2,4,7,2),(7,*3,6,2,*6,*6,*3,*1,*1,4,7,4)</t>
  </si>
  <si>
    <t>27174,7219,885194,11,737,3855,5784877,77449,239,366,1916433,44,37,43,22343</t>
  </si>
  <si>
    <t>(*7,3,9,8,4,9,*8,*5,*4,*6,*5,7),(*2,6,3,4,1,1,1,3,5,*6,2,4),(*6,6,7,6,9,5,3,7,8,*4,*9,2),(*7,3,8,5,1,9,7,1,7,*5,*4,7),(2,2,6,*4,6,5,9,3,*1,*4,*7,9),(2,1,*8,1,2,4,*4,*6,8,*9,*1,*2),(1,*1,4,6,4,*4,*9,*2,*7,2,*3,*1),(3,4,*8,2,*3,*4,8,4,*2,*3,*9,*1),(3,7,1,*1,*5,8,8,6,*6,7,*6,*9),(1,6,*6,*6,*3,8,6,3,7,6,*2,*3),(1,7,5,8,5,*8,1,6,8,1,7,*5),(*9,*2,*8,*3,1,6,*9,4,8,5,9,*4)</t>
  </si>
  <si>
    <t>66,49,4713962,7627,726,54961,2119354,344,27,181389,336,94546,84,85465,3829</t>
  </si>
  <si>
    <t>(5,2,4,3,9,3,3,7,*7,7,9,1),(*3,1,3,*4,4,1,7,5,8,*1,1,1),(1,*6,5,*2,*4,*5,*2,*8,*8,7,*9,5),(1,5,*7,3,*8,*4,2,6,2,6,3,*1),(7,*4,7,*9,6,*2,*9,*3,*6,*2,6,*6),(5,*1,4,3,*8,2,*6,*5,8,5,2,*5),(4,5,*4,*2,*3,*8,9,*8,*7,5,7,*9),(8,9,2,4,*1,9,6,8,3,*5,*5,*9),(*3,*1,*8,8,2,1,5,8,4,5,5,*5),(*3,*6,*8,5,6,6,6,2,4,3,7,*5),(5,9,6,7,*6,*8,*2,*9,*3,2,9,*2),(8,*4,*7,*4,*7,*7,2,9,5,7,1,5)</t>
  </si>
  <si>
    <t>5759444,367988,7191,28268,55,5288,68293,31,2559956,362,318,47477,14,42,368</t>
  </si>
  <si>
    <t>(7,*2,*4,*5,8,*3,*7,*7,*2,*8,5,1),(*2,8,8,2,*9,5,3,3,1,*1,6,3),(*2,5,9,4,6,*4,2,6,*4,*2,4,1),(*8,2,9,5,1,6,*9,8,7,*5,2,5),(*8,1,7,6,4,8,*1,*2,*3,*5,3,8),(*4,*6,*4,*6,9,2,*7,*6,8,*9,8,4),(3,5,4,4,9,*6,*7,9,8,*8,9,1),(4,6,5,7,*8,*4,5,5,5,*5,2,1),(4,9,1,*1,*3,*5,*5,*2,*9,*9,4,5),(6,1,*1,*8,2,*2,*6,*5,*3,*4,3,8),(8,*3,6,9,4,3,*5,*8,*1,7,4,6),(*9,8,9,6,3,4,9,*5,*8,*1,7,2)</t>
    <phoneticPr fontId="1"/>
  </si>
  <si>
    <t>834763,56,82949,2288,992,37728,542,42,43562,25,9311867,5895521,581,91,6464</t>
    <phoneticPr fontId="1"/>
  </si>
  <si>
    <t>(9,1,2,9,4,6,*7,*2,*6,*8,8,8),(5,*2,*2,*1,7,*6,*9,8,5,4,*7,2),(4,*7,9,9,6,*8,*6,5,8,*9,8,6),(5,*3,3,7,7,*3,*9,*9,*3,8,4,4),(4,*3,7,1,*5,*7,8,*6,1,6,9,4),(8,*7,5,*2,8,*3,*7,9,4,8,2,9),(1,*5,*3,6,8,*6,7,2,1,*3,1,9),(4,*8,5,7,*4,*7,*6,*6,*4,*6,2,5),(*2,4,7,*5,9,4,9,9,5,*6,1,9),(5,4,*1,8,2,6,2,9,8,4,5,6),(5,1,2,9,3,4,3,4,*9,6,1,1),(*2,*5,*3,*1,*3,*7,*5,*5,*5,*8,*4,*4)</t>
  </si>
  <si>
    <t>21,28325,44855,95,9697,95,268,7664,366,69,3676451,573372,793,37386,5731352</t>
  </si>
  <si>
    <t>(6,3,1,3,*1,5,4,*3,5,9,1,3),(2,2,*7,3,6,*2,6,*9,1,5,*1,2),(*3,9,*7,1,*8,8,*9,*9,6,*7,2,9),(*7,5,4,5,*2,3,4,*6,6,4,6,4),(*4,8,3,6,*5,*3,*8,1,5,1,5,6),(*1,9,*8,9,*8,*3,4,8,7,*4,*5,*4),(*7,8,*2,2,*4,*6,5,6,9,9,6,3),(*9,5,*9,5,4,*1,3,*4,*8,*9,*7,*8),(3,9,*3,*2,*1,8,1,*8,*9,*3,*4,6),(6,7,*2,8,2,6,1,6,8,2,9,3),(9,*4,*2,*6,*8,*5,*1,*8,4,2,5,3),(8,7,4,6,3,*1,*2,*9,*9,*5,*1,*6)</t>
  </si>
  <si>
    <t>454,8934,971473,1296,38,77,48978,4268518,1299516,71,361,399,82584,21,82932</t>
  </si>
  <si>
    <t>(3,1,1,2,*9,*9,*3,*8,*8,5,7,7),(5,3,9,9,4,*6,*5,*6,*5,*7,*9,*6),(6,7,*7,*9,*9,*2,*7,*6,*3,1,4,4),(6,*4,*9,*2,*9,3,*6,5,3,*6,9,8),(6,9,8,7,*8,*5,6,2,1,3,*3,*7),(6,1,8,9,*8,*6,*6,4,*2,*5,*5,3),(1,2,6,*7,6,*2,6,7,2,*3,*7,4),(2,1,7,1,1,*7,4,5,*5,*1,9,9),(3,3,*3,*4,*4,*2,9,*6,*4,4,*7,6),(2,3,*7,5,6,*3,*5,*1,6,8,*3,4),(4,*5,3,5,9,*9,*7,2,5,7,8,8),(8,8,5,1,9,*9,4,6,3,9,8,2)</t>
  </si>
  <si>
    <t>574,4929,66587,2723,363,714179,9565357,443,52,66,98,6975656,37,99388,79927</t>
  </si>
  <si>
    <t>(8,9,2,*2,*1,*9,*8,*5,1,3,4,1),(9,7,3,2,2,5,*9,*4,*4,*5,*3,*4),(3,4,*4,*3,*5,*9,*1,*1,*7,*2,6,9),(2,8,4,3,*9,*4,2,*3,*4,*4,*4,*8),(3,8,9,*9,6,4,8,1,7,6,1,9),(*6,6,7,*2,*6,*6,*9,*7,*5,*3,1,4),(*6,3,7,4,5,9,3,*3,6,8,9,8),(*5,*8,*5,1,8,3,*7,8,*2,1,9,2),(*6,4,5,2,5,9,3,*3,9,*8,1,5),(2,*2,4,4,5,3,5,7,*8,4,*5,4),(2,*9,5,8,9,7,9,2,4,7,6,2),(5,*7,*8,*5,*4,*1,9,8,4,1,2,2)</t>
  </si>
  <si>
    <t>5823,78541,435449,6656,425,2669753,92,94,34448,29,585,4359117,738,21985,72</t>
  </si>
  <si>
    <t>(2,5,8,*6,9,8,9,1,8,*3,1,5),(2,7,*9,9,2,3,5,1,*9,9,3,3),(1,*1,2,9,3,8,*8,*4,9,5,6,9),(7,*3,9,3,8,*8,*6,*7,4,8,5,2),(6,*4,*8,1,*9,*2,4,2,*5,1,4,3),(3,*6,5,*2,*3,8,9,2,4,*1,7,5),(1,*8,*2,5,*5,*8,6,*7,*5,*8,*7,4),(*3,*5,8,*7,8,*2,8,3,*4,7,1,7),(*2,*4,*6,3,8,*1,1,*6,8,5,9,2),(*9,*8,*5,*5,*8,*7,*2,5,8,1,3,9),(*7,6,7,1,8,*2,5,2,9,7,3,9),(*1,4,3,2,*6,*4,*9,*8,*2,*5,*3,2)</t>
  </si>
  <si>
    <t>691,82172,57,7517,22988,326493,32971,55,3468548,48,2648,576,35,6498253,855</t>
  </si>
  <si>
    <t>(1,8,1,7,5,1,2,4,6,7,9,2),(6,*8,*3,*1,*3,*8,*7,*3,*3,4,5,2),(2,*2,3,3,5,*8,*4,*2,*2,5,*2,6),(2,*9,*6,4,4,8,*8,*8,*3,*7,3,3),(6,*3,1,4,*8,*5,*8,9,*6,7,2,*3),(4,*6,4,1,*1,3,8,*3,2,4,*8,*9),(7,5,8,*1,*1,7,*4,8,5,*4,*5,*1),(1,4,9,*4,8,*2,4,9,*4,*7,*4,6),(2,3,6,*6,4,1,7,*8,*2,*2,9,9),(2,6,7,*5,*1,9,*1,*3,*4,*1,3,8),(4,4,2,1,*2,6,*1,*9,6,5,*2,5),(8,5,7,2,*9,*3,4,4,3,5,8,*7)</t>
  </si>
  <si>
    <t>129,384481,63928,127,883,81,3138733,62,12,9572313,1465,14249,8422,58,27634</t>
  </si>
  <si>
    <t>(2,3,2,5,4,1,7,1,4,7,7,9),(*2,4,4,4,1,6,*2,*1,*7,*8,*3,2),(6,*8,*6,*3,*8,*8,9,*8,8,3,9,3),(5,1,*9,*5,1,*4,4,*1,6,3,3,6),(1,3,*3,*8,*4,4,9,*2,9,5,6,9),(1,2,2,*5,*9,1,5,*1,2,8,8,1),(*2,8,4,7,*7,3,1,*1,2,2,1,5),(*4,8,8,2,6,7,1,*7,7,6,3,*5),(*8,5,9,*4,*1,*7,*6,*8,5,7,4,*1),(5,9,7,*5,*8,*5,*6,*1,*5,9,4,*7),(*6,*5,*1,*3,*1,*7,*1,3,7,4,6,*7),(7,5,9,1,*1,*2,*7,*1,*5,*2,4,9)</t>
  </si>
  <si>
    <t>83,79,51658,248,98982,8121178,48,6513171,7715,456,6714,753,15,38712,251721</t>
  </si>
  <si>
    <t>(7,5,4,4,2,9,4,4,3,6,8,6),(9,2,*2,*9,*5,*7,*1,*4,8,1,8,5),(5,4,6,7,*7,*2,*6,*6,*1,*5,*1,9),(4,9,7,9,*3,8,5,9,*4,*3,1,9),(*2,*9,*8,*8,*7,*3,2,4,2,5,6,2),(*3,*6,*8,3,*8,*3,2,*8,9,2,9,5),(*1,*2,*5,6,*5,*7,1,*3,9,*3,1,4),(*2,*9,8,*9,*4,*9,2,*5,5,*9,5,9),(*3,9,*5,3,*9,9,4,*5,*8,2,3,2),(3,8,7,*2,9,1,1,*1,3,*5,4,5),(9,9,7,9,*9,1,*7,*4,8,8,*5,9),(5,6,6,8,8,*2,4,*9,9,9,7,8)</t>
  </si>
  <si>
    <t>417592,89,45873,882,34,93,3213,558,3379,9415538,1516627,549,95292,79,26599</t>
  </si>
  <si>
    <t>(2,*1,8,9,5,*3,*5,*2,*2,*5,8,7),(9,*5,*2,4,*9,*4,*5,*1,*5,4,6,6),(6,*7,*4,2,8,*5,*9,*3,*5,4,6,5),(4,*2,*2,*3,*7,6,3,3,2,4,1,9),(4,1,*2,*1,*4,5,8,9,*7,*5,*7,5),(6,2,*6,*2,*2,7,1,9,6,*3,7,2),(3,8,*5,*7,*1,8,3,6,*8,7,9,3),(4,7,*4,*9,*6,8,2,*3,7,9,9,7),(9,3,*5,5,*1,2,*5,1,3,9,3,3),(1,*8,*5,*1,*6,*1,3,2,4,6,9,*1),(8,8,*6,2,*5,3,4,6,6,5,7,*8),(8,*6,*5,5,4,7,7,9,6,8,9,1)</t>
  </si>
  <si>
    <t>35225,72,5935,1572,4562242,16,757,851,31279,383515,94515,18,7421616,556,56</t>
  </si>
  <si>
    <t>(3,*8,*6,*9,*8,*4,*5,3,7,6,3,9),(6,3,3,4,8,3,1,5,1,*6,*8,*8),(3,9,3,8,5,6,3,3,6,1,4,2),(8,1,7,9,1,3,*2,2,3,6,5,8),(6,*2,*7,*4,*8,*9,*8,*5,*6,*2,*8,*8),(4,7,*1,*3,*3,*8,*2,*8,*2,9,2,3),(5,5,8,5,2,*1,8,*2,*7,*8,*9,*5),(9,2,2,*8,*2,*4,*8,*2,*5,*6,5,1),(4,7,4,*4,*4,*8,3,2,1,2,4,3),(8,5,5,*9,*1,*1,1,*4,7,5,*6,*3),(4,4,4,*2,*7,*7,*8,1,7,4,2,8),(9,1,5,*1,1,*3,*2,*6,1,4,7,6)</t>
  </si>
  <si>
    <t>36,14817,6528,1338282,548968,71,92,2748985,12948,241,84,27895,8826,688,326</t>
  </si>
  <si>
    <t>(1,*5,*6,*6,*4,*4,9,5,8,2,4,4),(6,4,1,1,8,2,2,5,2,1,3,1),(*1,5,*5,*8,*4,*3,*9,*8,6,*5,3,2),(*6,3,7,2,7,4,*6,1,*7,*8,*8,5),(7,7,5,7,*7,1,*7,*3,1,*4,*5,9),(2,5,1,1,*5,9,*2,*8,*7,*2,*1,9),(8,8,8,3,*8,9,2,2,4,*3,*8,3),(5,4,4,3,*9,3,6,5,6,*6,*2,5),(1,7,5,8,1,9,4,9,6,*3,8,5),(5,5,*2,*1,*7,*5,*1,*7,*9,9,6,2),(7,6,4,7,*1,*2,*2,*2,*9,5,1,3),(1,6,*2,*3,7,*5,*1,*8,*1,*7,*3,*3)</t>
  </si>
  <si>
    <t>248,7589,5181733,87,363,5732,92221,571,56644,9715712,23,893485,85182,67,61</t>
  </si>
  <si>
    <t>(8,4,*4,7,*4,9,9,8,4,1,1,7),(3,2,*4,9,*5,5,*9,*5,*2,*2,*2,*8),(5,6,*8,3,*7,9,5,8,4,*6,*7,7),(1,*8,4,5,*3,1,7,*5,*7,*6,3,5),(*8,8,6,9,4,8,*4,*1,*1,*3,*8,1),(9,4,*4,3,1,*7,*7,*1,8,*4,6,3),(4,7,*8,*1,5,*3,5,8,*6,4,4,3),(3,5,*3,6,*3,2,9,*5,3,9,6,7),(4,6,*1,5,6,*3,*8,9,2,1,1,2),(3,5,*2,1,*4,*8,1,8,*5,8,1,3),(7,1,*6,*6,*9,*7,*6,*8,*1,*2,6,1),(6,1,*5,*8,*5,*4,*3,2,6,6,8,4)</t>
  </si>
  <si>
    <t>8543,44,888,46588,4573,5621384,337176,138,745,43,81,11678,2186796,51,95222</t>
  </si>
  <si>
    <t>(5,*1,*2,*6,*3,2,6,*1,*6,*1,*1,*6),(5,3,5,*7,5,*7,4,5,7,4,4,9),(3,4,5,*5,2,8,*8,*7,*6,8,6,3),(7,8,*3,*7,9,5,2,*4,7,3,3,4),(6,5,2,*7,8,2,5,2,*9,1,8,1),(3,7,4,*4,*9,*4,6,6,2,*9,8,3),(1,7,8,*1,3,4,4,7,1,1,*6,3),(1,2,5,*4,3,4,6,4,6,6,1,*9),(1,2,2,*5,7,4,*8,*5,*2,*9,*5,3),(2,8,1,*1,*4,*8,*8,*1,*8,4,3,3),(4,3,7,*7,*6,3,8,*6,*6,*2,*9,*4),(2,6,5,*3,*5,*3,*5,*5,*9,*4,3,4)</t>
  </si>
  <si>
    <t>59,757,76,48818,414517,9699487,66294,4955353,618,973,94,8529,3621,46,16116</t>
  </si>
  <si>
    <t>(*6,*4,*6,*2,7,3,5,1,1,3,1,*7),(4,6,1,6,5,*8,7,*2,7,7,2,*7),(7,6,3,2,5,*1,*6,3,*5,7,3,*6),(9,4,*9,2,*4,*2,1,*6,7,*3,7,*3),(4,3,*4,4,*2,*8,3,7,*4,1,3,*9),(*3,*1,7,6,*2,*8,*5,9,2,*6,4,5),(6,*6,*6,7,*3,*3,*3,*3,4,2,*3,5),(8,9,*6,*2,2,*4,*7,*2,1,8,6,6),(1,6,3,*8,*4,*3,*6,*8,5,1,2,9),(6,7,8,*7,*7,*7,*2,6,9,7,8,5),(6,5,1,2,8,*6,*1,*7,5,7,2,3),(1,1,1,3,6,4,*1,5,3,5,8,3)</t>
  </si>
  <si>
    <t>3224,66463,723,74261,49,537621,6462,253,77639,358,82,37,87,1678663,4388218</t>
  </si>
  <si>
    <t>(3,8,7,5,3,7,9,4,3,*1,4,1),(9,9,9,3,6,3,2,2,4,*3,*9,*7),(7,8,*8,*3,*8,*9,*7,7,*4,*4,1,2),(*2,*3,5,9,*7,4,9,7,*7,*2,2,6),(9,*6,3,1,*5,3,5,*7,*5,5,9,9),(1,*1,1,7,7,4,*2,8,*5,3,3,3),(6,*1,2,8,3,*7,4,9,*5,9,2,6),(6,*8,6,*9,*8,6,4,*2,*9,6,7,*2),(2,*2,*9,*6,*5,3,8,9,*2,6,4,*1),(3,*9,6,*8,3,*4,5,7,*2,2,7,*9),(7,*6,2,9,*3,5,*4,*7,*9,4,7,*5),(*3,*9,*2,*9,7,1,5,*4,*3,8,7,*4)</t>
  </si>
  <si>
    <t>2431,79838,983,3922955,95444,793,73,772786,32,6928116,475,75,9293,45912,22</t>
  </si>
  <si>
    <t>(9,5,9,7,*2,*4,*9,*7,*3,*4,*7,5),(8,4,2,2,*5,*3,*6,8,1,*3,2,*5),(5,2,9,5,*5,8,*6,*6,*1,*2,*4,2),(2,5,9,*4,2,*4,9,*5,4,*5,7,1),(4,6,*6,6,*9,*2,*4,8,*5,2,9,5),(3,*3,*9,*9,9,*8,6,*5,1,9,6,4),(*4,*8,*9,*1,*1,7,*4,6,4,7,2,2),(2,*9,*1,*7,*5,2,4,*2,9,2,3,9),(8,4,2,*8,1,*6,7,*7,6,2,9,8),(7,2,2,3,*4,9,*5,*7,6,8,2,4),(2,5,1,3,7,3,4,*3,9,4,7,5),(2,5,9,9,3,6,4,*9,*8,*9,*6,*5)</t>
  </si>
  <si>
    <t>82,7437942,612,739,98,7184513,43645,5698,27,91565,545554,635,99946,8184,65</t>
  </si>
  <si>
    <t>(6,9,3,7,1,4,9,*7,*8,*6,5,*2),(2,9,5,*9,5,4,2,1,2,8,*8,9),(9,*6,*5,*2,3,2,9,6,8,*8,2,4),(4,7,6,*9,6,4,*3,4,*7,9,8,3),(3,5,9,*2,5,3,7,*5,6,2,*9,8),(4,7,1,*4,2,3,6,6,*4,*1,2,*3),(*4,*4,*1,*7,*5,1,7,9,*6,7,7,*4),(3,5,4,*4,*3,*6,7,*2,3,2,*8,*3),(2,7,*3,2,1,4,*9,7,5,3,*4,*5),(4,*9,8,7,5,7,7,1,6,3,8,*5),(*1,6,*7,*3,*2,*4,*1,*2,*9,*5,5,*5),(*8,*3,*6,*4,*6,*9,*4,6,2,*9,*8,8)</t>
  </si>
  <si>
    <t>974,63,4417,354,65,5921423,42929,343555,84,92619,98,687,8364694,54391,7882</t>
  </si>
  <si>
    <t>(7,*3,*9,1,5,7,2,7,4,*1,9,5),(6,1,*5,*3,4,7,4,3,*4,7,9,1),(1,3,8,*6,*3,7,6,*9,4,1,*2,8),(7,*9,*4,*2,*1,*8,*3,1,4,*9,*5,*8),(2,*7,*3,8,9,*3,*5,*6,*7,1,*5,*4),(1,*4,9,*6,*8,2,5,*8,5,6,*6,*1),(8,*9,4,*6,*8,3,*3,3,*1,8,*2,*6),(5,*3,2,*3,*7,*4,3,4,3,*3,*8,*4),(9,*3,1,3,*1,5,*2,4,6,8,*2,*7),(3,3,*3,*4,8,7,*7,4,4,6,5,*2),(1,4,4,8,5,9,7,1,6,1,8,*7),(1,5,4,7,3,9,3,9,1,6,2,*9)</t>
  </si>
  <si>
    <t>6833941,1653,132,67,2978341,93385,124,647279,8639,37,43,841,82655,33947,27</t>
  </si>
  <si>
    <t>(*2,*2,*1,*5,*4,*1,*2,*1,*3,*2,*1,2),(7,2,5,2,3,9,7,9,5,8,3,6),(6,8,9,9,1,9,5,7,8,9,6,2),(*4,6,7,5,3,*2,2,7,3,*5,8,*7),(*8,8,*9,*5,*4,1,5,3,*6,5,*1,8),(*9,6,8,*1,2,7,*8,*8,*9,*7,1,6),(*1,*7,*2,1,5,*4,*4,2,*3,*7,2,6),(*8,*7,*9,3,*8,6,3,*8,6,*9,*2,6),(8,3,3,*3,*9,5,*4,*7,9,*3,*3,9),(1,1,*1,*2,*2,*2,*6,1,9,7,*1,2),(8,*2,1,*7,2,*3,9,4,9,4,2,6),(1,2,5,*5,5,1,1,9,9,4,7,7)</t>
  </si>
  <si>
    <t>7173842,572,72142,5684,367,279,1231,23979,39,2145122,31,81984,89,848312,95</t>
  </si>
  <si>
    <t>(7,2,*8,*3,*2,*7,7,3,4,6,1,7),(9,3,2,3,6,5,9,8,6,6,9,4),(7,2,*2,2,*7,*5,*4,*5,*2,*9,*1,7),(5,7,6,*8,1,7,*3,*6,6,2,1,6),(6,3,*2,*4,*5,*9,3,*6,1,3,6,1),(2,4,*1,*1,*9,5,*3,*1,5,2,2,3),(1,*5,2,*6,*3,2,*2,*9,4,*5,*1,5),(*2,9,*2,9,5,*8,*2,6,*5,5,1,3),(5,4,*4,9,*9,*1,*8,*1,2,3,5,5),(6,7,*8,3,*4,9,*7,*3,6,9,4,5),(9,6,*4,*8,*7,*5,9,4,*8,9,3,4),(9,2,*7,6,6,5,9,*8,*4,*8,*8,*5)</t>
  </si>
  <si>
    <t>46,16,7238,39962,4152,23,51,7545291,582,57155,784129,484,58848,8388312,749</t>
  </si>
  <si>
    <t>(4,*6,5,7,*2,*1,*9,*6,*6,*1,*3,9),(5,5,*3,3,8,7,*5,*6,2,7,1,5),(3,5,2,*2,*2,4,6,*8,9,7,5,5),(4,9,8,*8,*8,6,1,*2,7,7,1,2),(2,*6,*6,2,5,*4,7,1,*1,8,4,2),(5,*5,3,8,7,9,8,7,7,*1,2,1),(*9,6,4,*4,*2,1,7,7,3,7,*2,*7),(4,1,*5,5,5,3,3,8,9,3,*4,*9),(1,9,5,*5,8,5,2,8,6,*3,*1,*9),(5,4,*7,*9,*9,*1,*1,*6,*8,*6,*9,*3),(8,5,8,9,9,5,5,6,2,*1,2,*1),(5,*7,*7,*4,*2,*4,*8,*4,6,*3,3,3)</t>
  </si>
  <si>
    <t>991168,3166912,112,56,28659,48236,15,3163,24,559,7742484,97,79931,286,2419</t>
  </si>
  <si>
    <t>累計ポイント</t>
    <rPh sb="0" eb="2">
      <t>ルイケイ</t>
    </rPh>
    <phoneticPr fontId="1"/>
  </si>
  <si>
    <t>(*2,*1,*7,*9,*7,*9,7,1,4,3,5,7),(5,6,*8,5,5,*6,4,3,5,9,4,9),(8,1,*4,9,*1,4,*1,2,2,3,1,9),(2,5,*5,8,5,*8,8,*2,7,7,8,5),(9,4,9,*9,*4,1,*6,2,*5,9,6,5),(5,6,*3,*8,9,*5,6,*7,5,*1,9,8),(6,7,*4,*8,8,5,*2,7,2,5,*5,5),(*3,*1,*3,*6,6,1,*6,*8,7,1,3,*1),(*7,*4,*8,*4,*5,8,*5,*7,*4,8,4,8),(2,2,*6,*9,2,2,3,4,*3,4,9,7),(3,3,*8,*1,*7,*6,*5,*3,*3,*4,4,5),(3,8,*9,4,4,5,8,2,4,4,9,3)</t>
  </si>
  <si>
    <t>1867,845,6734,335671,46889,1515216,17979,58,895,58,217,45284,9868343,41,73</t>
  </si>
  <si>
    <t>(5,7,1,9,2,*6,*7,*3,*2,*2,7,1),(9,1,7,4,*8,*8,*9,*1,*3,*2,*8,*7),(1,5,3,9,2,*8,7,9,4,7,*2,9),(7,6,7,4,5,*3,*1,2,8,*7,5,9),(8,6,8,7,5,*5,1,*7,*6,5,1,*9),(3,8,2,8,7,*9,1,9,*7,*2,1,*3),(3,4,9,4,4,*3,*7,3,*4,*7,5,*5),(4,1,3,6,3,*5,6,*1,2,*2,*5,*4),(1,6,1,5,9,*3,*4,6,2,*8,6,*6),(4,2,1,3,5,*3,3,8,8,*2,*4,*5),(6,3,*6,*7,4,9,9,7,3,*1,7,5),(4,7,8,4,5,1,5,*9,*7,*3,*1,*9)</t>
  </si>
  <si>
    <t>76,34142,564539,8891328,2821,71,41,3539538,874,499,19,57771,7276,22376,379</t>
  </si>
  <si>
    <t>(1,9,*8,8,9,2,*7,*9,*2,9,1,7),(9,7,7,*3,6,7,9,8,1,7,8,1),(6,6,8,6,*4,1,3,9,3,3,7,1),(*5,*5,*6,*6,*6,8,*5,2,2,6,8,3),(3,9,7,4,*6,*5,*8,*9,4,4,5,7),(5,1,2,9,4,3,4,*8,*2,*9,*1,*3),(*7,*7,*6,*5,*4,*9,4,*6,*2,6,*1,2),(*4,*1,*5,*5,*1,*1,*8,2,*7,*7,3,5),(*4,*5,6,1,9,1,1,8,2,*4,6,7),(*1,1,*7,*7,*7,*5,*3,*7,*6,2,*6,3),(*3,*4,8,6,5,1,4,9,5,7,5,*3),(*4,6,6,5,1,8,7,8,9,3,9,5)</t>
    <phoneticPr fontId="1"/>
  </si>
  <si>
    <t>43,82913,754,438,776549,4134,297,11,36476,4155118,55,6589,7775376,55666,71</t>
    <phoneticPr fontId="1"/>
  </si>
  <si>
    <t>目標達成／目標未達</t>
    <phoneticPr fontId="1"/>
  </si>
  <si>
    <t>得点１（見つけたサーチワードの長さ、同じサーチワードを見つけたら１つ目はこっちに加算）</t>
    <rPh sb="0" eb="2">
      <t>トクテン</t>
    </rPh>
    <rPh sb="4" eb="5">
      <t>ミ</t>
    </rPh>
    <rPh sb="15" eb="16">
      <t>オサ</t>
    </rPh>
    <rPh sb="18" eb="19">
      <t>オナ</t>
    </rPh>
    <rPh sb="27" eb="28">
      <t>ミ</t>
    </rPh>
    <rPh sb="34" eb="35">
      <t>メ</t>
    </rPh>
    <rPh sb="40" eb="42">
      <t>カサン</t>
    </rPh>
    <phoneticPr fontId="1"/>
  </si>
  <si>
    <t>得点２（見つけたサーチワードの長さ、同じサーチワードを見つけたら２つ目以降はこっちに加算）</t>
    <phoneticPr fontId="1"/>
  </si>
  <si>
    <t>減点１（サーチワードがない所を選択した数）</t>
    <rPh sb="0" eb="2">
      <t>ゲンテン</t>
    </rPh>
    <rPh sb="13" eb="14">
      <t>トコロ</t>
    </rPh>
    <rPh sb="15" eb="17">
      <t>センタク</t>
    </rPh>
    <rPh sb="19" eb="20">
      <t>カズ</t>
    </rPh>
    <phoneticPr fontId="1"/>
  </si>
  <si>
    <t>減点２（見つけられていないサーチワードの長さ、サーチワードが赤になります）</t>
    <rPh sb="0" eb="2">
      <t>ゲンテン</t>
    </rPh>
    <rPh sb="4" eb="5">
      <t>ミ</t>
    </rPh>
    <rPh sb="20" eb="21">
      <t>オサ</t>
    </rPh>
    <rPh sb="30" eb="31">
      <t>アカ</t>
    </rPh>
    <phoneticPr fontId="1"/>
  </si>
  <si>
    <t>減点３（サーチワードが部分的に選択されているためサーチワードが完成していない）</t>
    <rPh sb="0" eb="2">
      <t>ゲンテン</t>
    </rPh>
    <rPh sb="31" eb="33">
      <t>カンセイ</t>
    </rPh>
    <phoneticPr fontId="1"/>
  </si>
  <si>
    <t>(9,4,4,8,3,3,8,*2,3,3,3,*3),(4,4,8,3,5,9,1,*1,6,8,5,*4),(7,6,4,1,3,5,5,*5,6,5,3,*8),(*6,*4,*1,*6,*8,9,5,8,4,6,6,*1),(*8,*2,*8,*6,*9,*7,*4,6,2,8,1,*7),(4,6,8,8,*1,*7,*6,*6,*8,3,2,9),(3,2,7,3,*3,8,*5,*4,*8,*9,3,1),(5,6,6,1,*2,7,1,*9,*1,*4,*6,2),(4,7,7,6,*6,5,*3,4,*9,*6,*8,*3),(8,3,9,8,*5,6,2,*7,7,*2,*4,*4),(3,2,7,5,*2,*2,4,4,*9,*8,*5,*1),(*1,*3,2,4,7,*7,*6,*2,5,8,5,3)</t>
    <phoneticPr fontId="1"/>
  </si>
  <si>
    <t>9132652,3698,973,215,77,64168,762,59925,71843,468484,58,22,31,6828,1461467</t>
    <phoneticPr fontId="1"/>
  </si>
  <si>
    <t>累計１日目標ポイント</t>
    <rPh sb="0" eb="2">
      <t>ルイケイ</t>
    </rPh>
    <rPh sb="3" eb="4">
      <t>ニチ</t>
    </rPh>
    <phoneticPr fontId="1"/>
  </si>
  <si>
    <t>ポイント
（2025/11/20未満は１、2025/11/20以上は得点１が６０点、減点全てが０点に限り、１０分台が１、0分台が２）</t>
    <rPh sb="16" eb="18">
      <t>ミマン</t>
    </rPh>
    <rPh sb="31" eb="33">
      <t>イジョウ</t>
    </rPh>
    <rPh sb="34" eb="36">
      <t>トクテン</t>
    </rPh>
    <rPh sb="40" eb="41">
      <t>テン</t>
    </rPh>
    <rPh sb="42" eb="44">
      <t>ゲンテン</t>
    </rPh>
    <rPh sb="44" eb="45">
      <t>スベ</t>
    </rPh>
    <rPh sb="48" eb="49">
      <t>テン</t>
    </rPh>
    <rPh sb="50" eb="51">
      <t>カギ</t>
    </rPh>
    <rPh sb="55" eb="57">
      <t>フンダイ</t>
    </rPh>
    <rPh sb="61" eb="63">
      <t>フンダイ</t>
    </rPh>
    <phoneticPr fontId="1"/>
  </si>
  <si>
    <t>罰（2025/11/8は１）</t>
    <phoneticPr fontId="1"/>
  </si>
  <si>
    <t>(1,2,1,5,*9,9,8,5,8,7,9,5),(*1,7,9,2,*7,6,*7,*1,*6,*8,*8,*1),(*7,8,*6,*7,*4,*2,*8,1,9,2,3,*2),(*2,2,4,6,*6,*7,*8,*3,9,3,*5,*6),(*3,6,2,8,*6,4,2,*4,4,*8,*3,*7),(*9,7,9,*3,5,9,*8,*4,*3,1,*2,*1),(2,5,*3,2,*7,8,6,*8,5,5,*8,7),(4,1,1,5,*9,*8,3,1,7,7,*8,2),(5,6,9,3,*6,*4,4,2,9,7,*6,2),(6,2,*1,3,*4,2,6,8,4,3,*2,3),(2,5,*6,6,*7,3,9,5,6,5,*4,8),(5,3,7,4,3,*8,*3,*7,*1,*5,*8,*8)</t>
  </si>
  <si>
    <t>17239,79647,97,2671,6783,633,3288624,84,67428,188617,85,844,843,61,8371588</t>
  </si>
  <si>
    <t>(*8,*3,*2,*1,*9,4,2,2,8,3,9,8),(9,1,9,7,*2,*1,*5,*2,*7,3,4,6),(7,1,8,2,3,*8,*2,*7,*2,3,*5,9),(8,2,6,8,6,8,1,9,9,*7,8,*6),(2,9,1,8,8,6,4,9,*8,3,7,*3),(*8,*2,7,1,*6,1,*5,*7,1,*1,5,*5),(*2,*4,9,*2,2,*9,*7,8,4,*9,*8,*4),(9,*6,*5,*6,*6,*1,4,8,9,*8,*1,*7),(2,7,5,*2,*4,3,9,*1,4,1,*6,*5),(6,8,*1,*5,*8,*5,*2,*8,*8,1,*8,*5),(6,4,9,7,6,9,3,7,6,*8,*6,5),(9,4,5,9,1,2,4,8,7,8,*2,8)</t>
  </si>
  <si>
    <t>891,881,26,28,656,24,12,4177875,72512,8272,82585,268618,5962,83219,5574536</t>
  </si>
  <si>
    <t>(8,2,2,2,*8,*4,*5,1,1,3,4,5),(5,*9,*3,*2,*5,*1,*7,*7,7,1,*2,7),(8,5,9,*5,*7,3,2,8,9,2,*6,6),(6,5,6,2,6,4,*5,*5,*1,*4,*5,5),(4,9,7,3,3,3,*3,*9,9,*3,*9,8),(1,*2,*7,*9,9,*8,*8,1,2,*2,*9,3),(*1,4,4,8,*1,*3,9,3,5,*6,3,1),(5,*6,2,*1,*2,*6,9,2,7,*6,*3,1),(3,4,*8,*1,4,8,*2,3,4,*6,7,3),(3,9,*3,*7,1,8,*2,*1,4,*2,9,8),(2,*2,1,2,*5,6,4,2,*6,8,1,4),(3,3,6,3,*3,4,5,9,9,*3,2,4)</t>
  </si>
  <si>
    <t>5514,9832132,57861,266623,263,279,3811,9325177,73,62163,63,15,845,26599,75</t>
  </si>
  <si>
    <t>(6,7,7,3,8,9,3,7,4,7,1,8),(*1,*6,*6,*6,*6,5,5,*2,4,4,*1,4),(6,4,1,4,2,*6,*3,*4,9,*2,*3,7),(8,*9,1,2,*4,*2,*3,9,7,*9,*1,3),(1,*3,8,*2,*9,*7,4,2,6,*8,*7,9),(8,*2,*9,*5,2,9,4,4,9,*4,*5,2),(8,*7,7,1,6,8,5,1,*4,*1,4,8),(7,9,*4,*4,*2,*3,*5,*9,*9,9,2,*5),(9,2,7,8,7,7,3,*3,9,2,5,*5),(4,4,4,9,3,6,7,*3,8,9,5,8),(6,1,3,*5,*1,*5,*5,*1,*1,*5,7,6),(9,6,5,7,3,*3,*5,*2,*5,*9,*4,2)</t>
  </si>
  <si>
    <t>339,9953244,66661,23295,89,59,5115515,352594,2984,41,55,734,642,13175,7239</t>
  </si>
  <si>
    <t>(7,9,*9,9,4,2,9,*9,8,8,*8,1),(1,3,2,*6,9,3,*6,6,*4,*2,6,*5),(2,5,4,8,*9,*3,8,*4,*7,7,*3,8),(3,1,5,*9,*8,9,*5,*7,5,*2,8,*9),(1,4,4,*4,3,*2,*8,*2,*6,1,*8,8),(7,5,5,6,8,*6,*7,*8,2,*2,6,*8),(9,5,9,6,2,*3,*1,8,*1,9,*6,7),(*8,4,4,2,*6,*1,6,*2,2,*8,9,9),(*1,6,5,*2,*5,2,*1,6,*2,2,3,6),(*1,1,7,2,1,*4,9,2,3,5,6,4),(*1,6,5,2,8,2,*3,*7,*8,*2,*1,*8),(*4,1,3,3,8,7,6,5,3,6,5,5)</t>
  </si>
  <si>
    <t>873,26372,41118,969,96384,1186235,25,218,8682,4452,11,54,4121289,827786,49</t>
  </si>
  <si>
    <t>(7,3,9,9,9,4,*5,*9,*3,*6,*9,*1),(8,2,9,6,9,2,*6,7,1,3,9,5),(4,*7,*2,*9,*6,*4,*6,7,9,6,6,6),(5,4,6,7,*4,4,*6,2,8,7,*4,2),(*4,5,*6,*2,6,7,*9,*4,1,*8,5,7),(6,*8,*9,*1,5,1,*5,*3,1,6,7,8),(4,*4,*4,8,*3,*9,4,*3,1,8,2,3),(*8,1,7,*3,*9,*5,5,*2,4,6,*5,*2),(9,5,2,*4,*6,*9,*5,*4,5,*4,7,1),(3,1,1,9,*7,*2,5,7,9,*5,9,5),(1,*9,*3,*6,*3,*8,*9,9,7,*8,3,4),(8,6,6,6,2,5,*2,3,1,*2,4,1)</t>
  </si>
  <si>
    <t>287,2854,83639,6442948,196395,84,9263484,55316,7296,45994,32,954,966,35,52</t>
  </si>
  <si>
    <t>(4,1,7,1,8,4,1,4,3,3,5,7),(*6,*4,*1,*8,*9,*5,*4,7,7,7,8,1),(*2,*7,*8,*8,4,7,6,8,5,6,8,9),(6,4,5,1,*8,2,5,9,4,3,1,9),(2,5,9,6,*1,*4,*3,*3,*6,*9,*5,*4),(5,6,2,1,*1,4,*3,*3,*4,*2,4,*6),(*7,*1,*1,1,*3,9,3,*4,*5,1,6,*5),(*4,8,*5,2,*4,*6,9,4,*6,1,2,*5),(*7,8,*9,5,*1,5,5,*2,3,*2,3,9),(*1,2,*5,*6,7,4,7,*9,*5,*6,*8,*1),(*7,9,*4,6,6,3,1,4,1,6,1,3),(*6,4,6,*4,*5,6,5,9,5,7,4,8)</t>
  </si>
  <si>
    <t>4311,29,59633,8843462,17,671747,278,54,45,45951,4598146,18659,342,4655,616</t>
  </si>
  <si>
    <t>(7,2,2,1,6,*5,*3,*5,*2,*8,*3,2),(9,5,7,*2,7,3,7,5,5,8,7,2),(2,1,*9,*4,7,*6,1,3,7,3,5,5),(2,9,*9,*6,*8,*1,*9,1,5,*3,4,8),(4,5,*6,*5,*4,8,7,*7,*2,2,8,7),(6,7,*6,*1,3,*8,3,*3,*9,5,6,6),(5,9,*3,*2,*2,*4,*1,*7,7,8,1,6),(7,5,6,3,*8,*9,*6,1,1,1,5,6),(4,*7,8,4,4,6,8,7,1,5,*5,6),(1,1,*2,1,1,4,3,7,3,2,*6,7),(1,2,9,*8,6,*5,*3,*1,*7,*1,*6,*4),(2,3,7,5,9,3,7,1,6,8,4,2)</t>
  </si>
  <si>
    <t>24651,698,18,95,323,4617135,535283,19,71422,827,6481,7564229,9796,99663,65</t>
  </si>
  <si>
    <t>(5,4,6,3,*5,*3,*5,*9,*3,*7,8,5),(3,6,6,8,1,*3,*1,*1,*1,*4,1,4),(2,9,4,7,5,6,*4,7,1,1,1,*7),(8,4,*7,8,1,*6,5,4,8,4,*9,4),(9,*1,7,5,*3,*1,2,6,1,*3,5,*7),(*4,*1,4,*3,3,8,*5,*8,6,4,*5,*2),(4,*8,2,1,9,9,*1,*9,9,*2,8,*4),(8,*9,3,*4,*1,*5,2,3,*5,4,*7,*1),(1,*5,8,3,*3,2,6,*6,4,2,*3,*5),(8,*2,5,*8,*9,1,*7,4,4,4,*5,*8),(5,*5,5,3,2,7,3,2,5,1,*8,*9),(8,*5,3,3,7,8,5,3,1,3,*4,4)</t>
  </si>
  <si>
    <t>89,8153,1895255,41113,41,76525,3364,951,53,7241589,397,89,739535,714,48537</t>
  </si>
  <si>
    <t>(5,5,5,1,4,5,5,5,5,*2,*1,*4),(1,*1,*7,*3,*7,*2,*5,*5,1,3,5,2),(8,9,7,2,*9,*3,*7,*4,*1,4,8,2),(2,8,*9,*6,9,6,9,1,3,7,2,9),(1,6,3,9,5,8,9,3,8,6,5,1),(*4,3,9,6,*1,*7,*5,*9,*8,*1,*4,8),(*4,*9,*7,*5,*7,6,4,8,5,*6,8,1),(*1,*2,*1,*2,*9,*5,9,7,*8,5,*1,8),(*3,9,2,3,*8,1,6,*7,2,1,8,*2),(*9,8,*6,*1,*2,*5,8,1,7,1,4,9),(*9,4,2,4,4,8,1,*4,*5,*7,*1,*4),(*7,8,5,6,*6,*7,8,*1,*8,5,1,4)</t>
  </si>
  <si>
    <t>7864,96,18,21,59212,175981,14739,76,45714,7993144,285,214,612,9757,5527371</t>
  </si>
  <si>
    <t>(3,3,2,1,1,8,3,5,*1,6,5,5),(4,5,3,6,1,6,1,*3,*9,*6,2,5),(9,*8,6,7,4,8,7,*9,*6,1,*6,5),(*8,*5,*1,*5,9,4,*4,1,6,*7,9,*7),(1,1,3,3,2,*4,2,9,9,8,*6,*2),(4,5,*7,8,*2,*5,5,7,6,6,7,*8),(5,3,*4,6,*6,*1,*4,4,1,2,1,5),(2,9,*3,4,*1,9,*1,*5,6,7,8,6),(9,2,*6,5,*1,5,6,*5,*5,4,9,9),(3,4,*6,*9,*7,4,3,7,*6,*4,7,2),(*3,*5,*7,*3,*9,*4,*6,*1,2,*4,*1,2),(7,7,*1,2,*7,*3,*6,*1,*3,6,*2,*8)</t>
  </si>
  <si>
    <t>515,24499,73613,7436671,8145545,26,88,6763,6117,827,115642,35,79,166,16493</t>
  </si>
  <si>
    <t>(1,*8,*4,*8,*6,1,4,5,*8,7,5,9),(7,4,5,3,6,5,*5,7,*6,4,8,7),(4,1,7,5,5,3,*8,3,*2,8,6,6),(2,4,8,2,6,5,*2,*3,*8,5,2,*2),(3,3,5,5,*9,4,*6,4,6,3,*9,*6),(6,5,6,7,*9,*3,*4,8,2,*5,6,5),(4,4,4,5,9,*8,*6,3,*1,4,*2,*6),(9,6,2,1,*4,6,*6,*3,9,*6,7,*2),(9,6,5,2,3,*7,5,*4,*6,7,*6,*7),(3,*5,*7,*8,*9,*7,*7,2,*4,2,9,*9),(5,*5,*7,*8,*2,*8,*2,*5,8,*2,8,*3),(6,5,7,3,6,9,1,9,7,5,*5,*3)</t>
  </si>
  <si>
    <t>5782825,53,58264,627933,63639,592,477,38,96,22,166,8486,9864425,8628,57897</t>
  </si>
  <si>
    <t>(1,7,6,6,7,*4,*1,*3,*9,*1,9,7),(*9,*5,*4,*3,*1,*5,*7,7,7,3,4,4),(2,8,7,5,4,1,*6,9,1,5,*7,8),(2,9,*7,*6,6,*1,6,8,9,*8,*3,3),(7,3,2,3,*3,6,5,*6,*9,*6,6,3),(1,7,9,*4,4,7,*1,*9,*6,2,3,2),(5,4,*3,4,*7,*2,1,*5,3,*1,*9,*4),(2,9,6,1,*7,5,*2,3,*5,8,9,7),(6,3,*3,*2,8,*4,6,*7,*2,*3,7,6),(*6,7,*2,*8,*5,2,*1,*7,2,*2,9,3),(*6,6,4,1,*1,*1,5,*9,3,7,*1,5),(*2,5,7,8,7,*4,3,*9,9,2,7,*8)</t>
  </si>
  <si>
    <t>227216,34316,76,5425663,218,266,15711,94,9987,4183,997,9543157,77,23,41391</t>
  </si>
  <si>
    <t>１日目標ポイント（２と2025/11/30以降は１）</t>
    <rPh sb="1" eb="2">
      <t>ニチ</t>
    </rPh>
    <rPh sb="21" eb="23">
      <t>イコウ</t>
    </rPh>
    <phoneticPr fontId="1"/>
  </si>
  <si>
    <t>(*4,1,9,5,6,*4,*2,*8,*1,*7,2,3),(*4,7,*4,*1,*4,*7,7,6,6,8,7,9),(*9,*9,8,8,*5,9,2,5,*5,5,5,1),(*8,6,*2,*8,*3,7,8,7,*4,8,1,3),(*4,*9,*6,*9,*5,*7,*3,2,*7,5,5,2),(*1,*7,3,*3,*8,*8,*3,1,*6,*5,4,1),(*2,7,1,*2,*2,4,*5,5,*2,*5,4,5),(7,1,2,*3,*2,6,*3,6,1,*5,4,2),(8,5,3,*2,*5,1,*2,5,6,*9,2,2),(4,5,1,*6,*4,9,*3,5,3,*1,3,6),(4,1,3,2,*7,3,*1,4,8,1,*6,1),(2,6,5,7,1,*1,7,3,3,5,*5,3)</t>
  </si>
  <si>
    <t>4522853,7586,929,55591,54762,176,414,3232,71824,4498412,97,335323,31,65,87</t>
  </si>
  <si>
    <t>(8,5,1,*7,6,3,3,6,9,3,4,*2),(8,2,*9,7,3,*7,5,5,5,1,*7,*6),(9,*6,2,9,*1,*9,*1,1,6,*5,6,*9),(*2,3,9,4,*2,*6,*5,*9,7,8,6,*2),(1,5,8,*8,2,4,*5,1,*1,8,2,1),(*9,2,*3,9,6,*4,*6,3,8,*1,6,2),(*1,*1,8,2,*9,*2,*6,*5,*4,*6,*7,4),(*7,4,*4,*9,*4,*8,*1,*5,*1,1,*4,*8),(*9,1,4,1,3,4,6,2,6,*3,7,8),(*1,*3,*6,8,2,2,9,5,*7,9,5,7),(*1,4,1,5,2,6,3,*7,7,2,6,2),(4,2,9,3,3,6,*4,*1,7,6,8,7)</t>
  </si>
  <si>
    <t>549,57,16,8711917,13829,426,2697,36,4948151,119719,26546,47734,14,155,2692</t>
  </si>
  <si>
    <t>(*4,*2,*1,*1,*3,*5,*1,2,*2,*6,*5,5),(4,*9,*3,*4,*6,*4,1,4,1,2,7,*1),(6,*1,5,9,9,7,6,8,1,5,*4,7),(*8,1,*5,6,9,*3,8,7,*9,*3,*3,6),(7,*7,8,*2,*6,*4,*7,*7,*7,3,*9,9),(1,1,*2,*3,*8,9,1,*2,5,9,*5,2),(9,4,*4,*8,2,*7,2,5,8,6,*8,4),(9,*3,*9,1,*6,1,4,8,9,*1,5,9),(*7,7,*6,*7,*1,*9,7,2,*8,5,3,7),(3,7,*8,1,6,6,*8,7,8,*2,2,2),(3,4,*7,5,9,3,8,6,5,5,*6,4),(8,6,8,7,6,4,8,5,2,7,1,1)</t>
  </si>
  <si>
    <t>734363,774,8968278,14372,265,9687,15287,57,97,4211351,3958,18,826,93464,71</t>
  </si>
  <si>
    <t>(4,4,1,5,8,*7,*8,*8,*5,*1,3,5),(7,9,2,4,1,1,6,9,*5,*9,6,6),(8,*1,*1,8,4,3,8,*3,7,*2,*5,4),(1,9,6,2,*1,*9,*3,1,7,*4,*7,3),(3,*1,2,*6,9,*8,7,8,4,*2,6,2),(3,*5,1,*5,7,*4,*4,4,*9,*1,4,1),(9,*8,3,1,9,*3,5,*6,9,*4,3,1),(1,*4,1,7,5,9,*7,4,*7,2,9,5),(4,*7,1,7,9,5,*3,*8,4,8,1,7),(2,*7,1,6,2,7,*7,3,4,3,6,8),(8,*7,5,5,7,*1,9,3,2,9,2,5),(9,4,6,7,*9,7,8,8,4,4,7,3)</t>
  </si>
  <si>
    <t>11,27,737,9178,7774851,769,18467,412429,45,44887,1294794,78851,3489,533,65</t>
  </si>
  <si>
    <t>(4,3,*2,*2,*1,*9,*1,*6,*2,*8,8,3),(7,*8,2,2,*2,1,8,8,5,*1,4,6),(2,*3,2,1,*7,*7,*4,*8,7,7,8,*7),(*7,*7,8,6,7,7,8,6,3,5,*7,*5),(*3,*6,9,4,3,3,8,8,6,3,*7,*8),(*5,*4,*4,1,1,1,8,*1,*1,4,*6,9),(5,*1,*7,*9,*8,*2,*3,*3,*4,9,*1,3),(*5,9,*1,7,1,6,7,*8,*8,7,*3,8),(5,5,*7,4,2,4,4,5,9,7,6,4),(2,4,*7,*2,*3,*7,*8,*7,1,6,4,2),(6,7,2,6,*7,*1,*5,*6,*1,*3,*1,3),(8,5,3,1,8,3,6,7,9,3,2,9)</t>
  </si>
  <si>
    <t>81,31677,2619122,1316517,514,11,433289,23787,88,7717,758,72,83764,537,7748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</si>
</sst>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[h]:mm"/>
  </numFmts>
  <fonts count="7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9"/>
      <color rgb="FF000000"/>
      <name val="Meiryo UI"/>
      <family val="3"/>
      <charset val="128"/>
    </font>
    <font>
      <sz val="11"/>
      <color rgb="FF000000"/>
      <name val="游ゴシック"/>
      <family val="3"/>
      <charset val="128"/>
      <scheme val="minor"/>
    </font>
    <font>
      <sz val="11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  <font>
      <b/>
      <sz val="22"/>
      <color rgb="FF00FF00"/>
      <name val="游ゴシック"/>
      <family val="3"/>
      <charset val="128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2">
    <border>
      <left/>
      <right/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/>
      <diagonal/>
    </border>
  </borders>
  <cellStyleXfs count="1">
    <xf numFmtId="0" fontId="0" fillId="0" borderId="0">
      <alignment vertical="center"/>
    </xf>
  </cellStyleXfs>
  <cellXfs count="27">
    <xf numFmtId="0" fontId="0" fillId="0" borderId="0" xfId="0">
      <alignment vertical="center"/>
    </xf>
    <xf numFmtId="0" fontId="4" fillId="0" borderId="0" xfId="0" applyFont="1">
      <alignment vertical="center"/>
    </xf>
    <xf numFmtId="0" fontId="3" fillId="0" borderId="0" xfId="0" applyFont="1">
      <alignment vertical="center"/>
    </xf>
    <xf numFmtId="22" fontId="0" fillId="0" borderId="0" xfId="0" applyNumberFormat="1">
      <alignment vertical="center"/>
    </xf>
    <xf numFmtId="0" fontId="0" fillId="0" borderId="0" xfId="0" applyAlignment="1">
      <alignment vertical="center" wrapText="1"/>
    </xf>
    <xf numFmtId="176" fontId="0" fillId="0" borderId="0" xfId="0" applyNumberFormat="1">
      <alignment vertical="center"/>
    </xf>
    <xf numFmtId="0" fontId="0" fillId="2" borderId="0" xfId="0" applyFill="1">
      <alignment vertical="center"/>
    </xf>
    <xf numFmtId="0" fontId="0" fillId="0" borderId="1" xfId="0" applyBorder="1">
      <alignment vertical="center"/>
    </xf>
    <xf numFmtId="0" fontId="0" fillId="0" borderId="3" xfId="0" applyBorder="1">
      <alignment vertical="center"/>
    </xf>
    <xf numFmtId="0" fontId="0" fillId="0" borderId="2" xfId="0" applyBorder="1">
      <alignment vertical="center"/>
    </xf>
    <xf numFmtId="0" fontId="4" fillId="0" borderId="4" xfId="0" applyFont="1" applyBorder="1">
      <alignment vertical="center"/>
    </xf>
    <xf numFmtId="0" fontId="4" fillId="0" borderId="1" xfId="0" applyFont="1" applyBorder="1">
      <alignment vertical="center"/>
    </xf>
    <xf numFmtId="0" fontId="4" fillId="0" borderId="2" xfId="0" applyFont="1" applyBorder="1">
      <alignment vertical="center"/>
    </xf>
    <xf numFmtId="0" fontId="4" fillId="0" borderId="3" xfId="0" applyFont="1" applyBorder="1">
      <alignment vertical="center"/>
    </xf>
    <xf numFmtId="0" fontId="4" fillId="0" borderId="5" xfId="0" applyFont="1" applyBorder="1">
      <alignment vertical="center"/>
    </xf>
    <xf numFmtId="0" fontId="4" fillId="0" borderId="7" xfId="0" applyFont="1" applyBorder="1">
      <alignment vertical="center"/>
    </xf>
    <xf numFmtId="0" fontId="0" fillId="0" borderId="8" xfId="0" applyBorder="1">
      <alignment vertical="center"/>
    </xf>
    <xf numFmtId="0" fontId="0" fillId="0" borderId="9" xfId="0" applyBorder="1">
      <alignment vertical="center"/>
    </xf>
    <xf numFmtId="0" fontId="0" fillId="0" borderId="10" xfId="0" applyBorder="1">
      <alignment vertical="center"/>
    </xf>
    <xf numFmtId="0" fontId="4" fillId="0" borderId="6" xfId="0" applyFont="1" applyBorder="1">
      <alignment vertical="center"/>
    </xf>
    <xf numFmtId="0" fontId="4" fillId="0" borderId="9" xfId="0" applyFont="1" applyBorder="1">
      <alignment vertical="center"/>
    </xf>
    <xf numFmtId="0" fontId="4" fillId="0" borderId="11" xfId="0" applyFont="1" applyBorder="1">
      <alignment vertical="center"/>
    </xf>
    <xf numFmtId="0" fontId="3" fillId="2" borderId="0" xfId="0" applyFont="1" applyFill="1">
      <alignment vertical="center"/>
    </xf>
    <xf numFmtId="0" fontId="6" fillId="2" borderId="0" xfId="0" applyFont="1" applyFill="1">
      <alignment vertical="center"/>
    </xf>
    <xf numFmtId="22" fontId="0" fillId="0" borderId="0" xfId="0" applyNumberFormat="1">
      <alignment vertical="center"/>
    </xf>
    <xf numFmtId="0" fontId="0" fillId="0" borderId="0" xfId="0">
      <alignment vertical="center"/>
    </xf>
    <xf numFmtId="0" fontId="3" fillId="0" borderId="0" xfId="0" applyFont="1" applyFill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ja-JP" altLang="en-US"/>
              <a:t>日時と得点／経過時間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データ!$P$1:$P$79</c:f>
              <c:strCache>
                <c:ptCount val="79"/>
                <c:pt idx="0">
                  <c:v>目標達成／目標未達</c:v>
                </c:pt>
                <c:pt idx="16">
                  <c:v>未達成（1）</c:v>
                </c:pt>
                <c:pt idx="17">
                  <c:v>達成</c:v>
                </c:pt>
                <c:pt idx="18">
                  <c:v>未達成（1）</c:v>
                </c:pt>
                <c:pt idx="19">
                  <c:v>達成</c:v>
                </c:pt>
                <c:pt idx="20">
                  <c:v>未達成（1）</c:v>
                </c:pt>
                <c:pt idx="21">
                  <c:v>達成</c:v>
                </c:pt>
                <c:pt idx="22">
                  <c:v>未達成（1）</c:v>
                </c:pt>
                <c:pt idx="23">
                  <c:v>達成</c:v>
                </c:pt>
                <c:pt idx="24">
                  <c:v>未達成（1）</c:v>
                </c:pt>
                <c:pt idx="25">
                  <c:v>達成</c:v>
                </c:pt>
                <c:pt idx="26">
                  <c:v>未達成（2）</c:v>
                </c:pt>
                <c:pt idx="27">
                  <c:v>未達成（1）</c:v>
                </c:pt>
                <c:pt idx="28">
                  <c:v>達成</c:v>
                </c:pt>
                <c:pt idx="29">
                  <c:v>未達成（1）</c:v>
                </c:pt>
                <c:pt idx="30">
                  <c:v>達成</c:v>
                </c:pt>
                <c:pt idx="31">
                  <c:v>未達成（1）</c:v>
                </c:pt>
                <c:pt idx="32">
                  <c:v>達成</c:v>
                </c:pt>
                <c:pt idx="33">
                  <c:v>未達成（1）</c:v>
                </c:pt>
                <c:pt idx="34">
                  <c:v>達成</c:v>
                </c:pt>
                <c:pt idx="35">
                  <c:v>未達成（1）</c:v>
                </c:pt>
                <c:pt idx="36">
                  <c:v>達成</c:v>
                </c:pt>
                <c:pt idx="37">
                  <c:v>未達成（3）</c:v>
                </c:pt>
                <c:pt idx="38">
                  <c:v>未達成（2）</c:v>
                </c:pt>
                <c:pt idx="39">
                  <c:v>未達成（3）</c:v>
                </c:pt>
                <c:pt idx="40">
                  <c:v>未達成（2）</c:v>
                </c:pt>
                <c:pt idx="41">
                  <c:v>未達成（3）</c:v>
                </c:pt>
                <c:pt idx="42">
                  <c:v>未達成（2）</c:v>
                </c:pt>
                <c:pt idx="43">
                  <c:v>未達成（1）</c:v>
                </c:pt>
                <c:pt idx="44">
                  <c:v>達成</c:v>
                </c:pt>
                <c:pt idx="45">
                  <c:v>前倒し（1）</c:v>
                </c:pt>
                <c:pt idx="46">
                  <c:v>前倒し（2）</c:v>
                </c:pt>
                <c:pt idx="47">
                  <c:v>前倒し（1）</c:v>
                </c:pt>
                <c:pt idx="48">
                  <c:v>前倒し（2）</c:v>
                </c:pt>
                <c:pt idx="49">
                  <c:v>前倒し（3）</c:v>
                </c:pt>
                <c:pt idx="50">
                  <c:v>前倒し（4）</c:v>
                </c:pt>
                <c:pt idx="51">
                  <c:v>前倒し（1）</c:v>
                </c:pt>
                <c:pt idx="52">
                  <c:v>前倒し（2）</c:v>
                </c:pt>
                <c:pt idx="53">
                  <c:v>前倒し（1）</c:v>
                </c:pt>
                <c:pt idx="54">
                  <c:v>前倒し（1）</c:v>
                </c:pt>
                <c:pt idx="55">
                  <c:v>達成</c:v>
                </c:pt>
                <c:pt idx="56">
                  <c:v>未達成（1）</c:v>
                </c:pt>
                <c:pt idx="57">
                  <c:v>達成</c:v>
                </c:pt>
                <c:pt idx="58">
                  <c:v>未達成（3）</c:v>
                </c:pt>
                <c:pt idx="59">
                  <c:v>未達成（3）</c:v>
                </c:pt>
                <c:pt idx="60">
                  <c:v>未達成（3）</c:v>
                </c:pt>
                <c:pt idx="61">
                  <c:v>未達成（2）</c:v>
                </c:pt>
                <c:pt idx="62">
                  <c:v>達成</c:v>
                </c:pt>
                <c:pt idx="63">
                  <c:v>達成</c:v>
                </c:pt>
                <c:pt idx="64">
                  <c:v>未達成（2）</c:v>
                </c:pt>
                <c:pt idx="65">
                  <c:v>達成</c:v>
                </c:pt>
                <c:pt idx="66">
                  <c:v>未達成（1）</c:v>
                </c:pt>
                <c:pt idx="67">
                  <c:v>未達成（1）</c:v>
                </c:pt>
                <c:pt idx="68">
                  <c:v>達成</c:v>
                </c:pt>
                <c:pt idx="69">
                  <c:v>未達成（2）</c:v>
                </c:pt>
                <c:pt idx="70">
                  <c:v>未達成（1）</c:v>
                </c:pt>
                <c:pt idx="71">
                  <c:v>達成</c:v>
                </c:pt>
                <c:pt idx="72">
                  <c:v>未達成（1）</c:v>
                </c:pt>
                <c:pt idx="73">
                  <c:v>達成</c:v>
                </c:pt>
                <c:pt idx="74">
                  <c:v>未達成（1）</c:v>
                </c:pt>
                <c:pt idx="75">
                  <c:v>前倒し（1）</c:v>
                </c:pt>
                <c:pt idx="76">
                  <c:v>未達成（1）</c:v>
                </c:pt>
                <c:pt idx="77">
                  <c:v>前倒し（1）</c:v>
                </c:pt>
                <c:pt idx="78">
                  <c:v>未達成（2）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データ!$A$2:$A$80</c:f>
              <c:numCache>
                <c:formatCode>m/d/yyyy\ h:mm</c:formatCode>
                <c:ptCount val="79"/>
                <c:pt idx="0">
                  <c:v>45951.701574074075</c:v>
                </c:pt>
                <c:pt idx="1">
                  <c:v>45951.867650462962</c:v>
                </c:pt>
                <c:pt idx="2">
                  <c:v>45952.483495370368</c:v>
                </c:pt>
                <c:pt idx="3">
                  <c:v>45952.864699074074</c:v>
                </c:pt>
                <c:pt idx="4">
                  <c:v>45953.849791666667</c:v>
                </c:pt>
                <c:pt idx="5">
                  <c:v>45953.869490740741</c:v>
                </c:pt>
                <c:pt idx="6">
                  <c:v>45954.406076388892</c:v>
                </c:pt>
                <c:pt idx="7">
                  <c:v>45954.875092592592</c:v>
                </c:pt>
                <c:pt idx="8">
                  <c:v>45956.6015625</c:v>
                </c:pt>
                <c:pt idx="9">
                  <c:v>45958.470810185187</c:v>
                </c:pt>
                <c:pt idx="10">
                  <c:v>45958.877384259256</c:v>
                </c:pt>
                <c:pt idx="11">
                  <c:v>45960.297789351855</c:v>
                </c:pt>
                <c:pt idx="12">
                  <c:v>45960.313784722224</c:v>
                </c:pt>
                <c:pt idx="13">
                  <c:v>45963.852662037039</c:v>
                </c:pt>
                <c:pt idx="14">
                  <c:v>45963.866400462961</c:v>
                </c:pt>
                <c:pt idx="15">
                  <c:v>45964.374537037038</c:v>
                </c:pt>
                <c:pt idx="16">
                  <c:v>45964.485486111109</c:v>
                </c:pt>
                <c:pt idx="17">
                  <c:v>45965.688217592593</c:v>
                </c:pt>
                <c:pt idx="18">
                  <c:v>45965.84888888889</c:v>
                </c:pt>
                <c:pt idx="19">
                  <c:v>45966.436736111114</c:v>
                </c:pt>
                <c:pt idx="20">
                  <c:v>45966.85869212963</c:v>
                </c:pt>
                <c:pt idx="21">
                  <c:v>45967.811736111114</c:v>
                </c:pt>
                <c:pt idx="22">
                  <c:v>45967.82545138889</c:v>
                </c:pt>
                <c:pt idx="23">
                  <c:v>45968.850543981483</c:v>
                </c:pt>
                <c:pt idx="24">
                  <c:v>45968.864317129628</c:v>
                </c:pt>
                <c:pt idx="25">
                  <c:v>45969.555104166669</c:v>
                </c:pt>
                <c:pt idx="26">
                  <c:v>45969.845405092594</c:v>
                </c:pt>
                <c:pt idx="27">
                  <c:v>45969.862083333333</c:v>
                </c:pt>
                <c:pt idx="28">
                  <c:v>45970.704884259256</c:v>
                </c:pt>
                <c:pt idx="29">
                  <c:v>45970.721099537041</c:v>
                </c:pt>
                <c:pt idx="30">
                  <c:v>45971.832638888889</c:v>
                </c:pt>
                <c:pt idx="31">
                  <c:v>45971.844918981478</c:v>
                </c:pt>
                <c:pt idx="32">
                  <c:v>45972.780532407407</c:v>
                </c:pt>
                <c:pt idx="33">
                  <c:v>45972.793865740743</c:v>
                </c:pt>
                <c:pt idx="34">
                  <c:v>45973.843310185184</c:v>
                </c:pt>
                <c:pt idx="35">
                  <c:v>45973.856666666667</c:v>
                </c:pt>
                <c:pt idx="36">
                  <c:v>45975.317916666667</c:v>
                </c:pt>
                <c:pt idx="37">
                  <c:v>45975.32885416667</c:v>
                </c:pt>
                <c:pt idx="38">
                  <c:v>45976.853715277779</c:v>
                </c:pt>
                <c:pt idx="39">
                  <c:v>45976.862627314818</c:v>
                </c:pt>
                <c:pt idx="40">
                  <c:v>45977.309733796297</c:v>
                </c:pt>
                <c:pt idx="41">
                  <c:v>45977.319560185184</c:v>
                </c:pt>
                <c:pt idx="42">
                  <c:v>45977.560624999998</c:v>
                </c:pt>
                <c:pt idx="43">
                  <c:v>45977.569733796299</c:v>
                </c:pt>
                <c:pt idx="44">
                  <c:v>45977.856840277775</c:v>
                </c:pt>
                <c:pt idx="45">
                  <c:v>45977.87672453704</c:v>
                </c:pt>
                <c:pt idx="46">
                  <c:v>45978.468275462961</c:v>
                </c:pt>
                <c:pt idx="47">
                  <c:v>45978.476666666669</c:v>
                </c:pt>
                <c:pt idx="48">
                  <c:v>45978.71597222222</c:v>
                </c:pt>
                <c:pt idx="49">
                  <c:v>45978.727893518517</c:v>
                </c:pt>
                <c:pt idx="50">
                  <c:v>45980.706655092596</c:v>
                </c:pt>
                <c:pt idx="51">
                  <c:v>45980.717303240737</c:v>
                </c:pt>
                <c:pt idx="52">
                  <c:v>45981.721944444442</c:v>
                </c:pt>
                <c:pt idx="53">
                  <c:v>45981.741168981483</c:v>
                </c:pt>
                <c:pt idx="54">
                  <c:v>45982.730763888889</c:v>
                </c:pt>
                <c:pt idx="55">
                  <c:v>45983.588194444441</c:v>
                </c:pt>
                <c:pt idx="56">
                  <c:v>45983.599224537036</c:v>
                </c:pt>
                <c:pt idx="57">
                  <c:v>45985.354814814818</c:v>
                </c:pt>
                <c:pt idx="58">
                  <c:v>45985.363796296297</c:v>
                </c:pt>
                <c:pt idx="59">
                  <c:v>45985.538761574076</c:v>
                </c:pt>
                <c:pt idx="60">
                  <c:v>45985.598680555559</c:v>
                </c:pt>
                <c:pt idx="61">
                  <c:v>45985.709016203706</c:v>
                </c:pt>
                <c:pt idx="62">
                  <c:v>45986.535011574073</c:v>
                </c:pt>
                <c:pt idx="63">
                  <c:v>45987.58321759259</c:v>
                </c:pt>
                <c:pt idx="64">
                  <c:v>45987.616712962961</c:v>
                </c:pt>
                <c:pt idx="65">
                  <c:v>45988.290625000001</c:v>
                </c:pt>
                <c:pt idx="66">
                  <c:v>45988.529618055552</c:v>
                </c:pt>
                <c:pt idx="67">
                  <c:v>45988.852812500001</c:v>
                </c:pt>
                <c:pt idx="68">
                  <c:v>45989.291273148148</c:v>
                </c:pt>
                <c:pt idx="69">
                  <c:v>45989.299722222226</c:v>
                </c:pt>
                <c:pt idx="70">
                  <c:v>45989.308298611111</c:v>
                </c:pt>
                <c:pt idx="71">
                  <c:v>45990.459027777775</c:v>
                </c:pt>
                <c:pt idx="72">
                  <c:v>45990.539907407408</c:v>
                </c:pt>
                <c:pt idx="73">
                  <c:v>45991.563125000001</c:v>
                </c:pt>
                <c:pt idx="74">
                  <c:v>45991.575856481482</c:v>
                </c:pt>
                <c:pt idx="75">
                  <c:v>45992.289467592593</c:v>
                </c:pt>
                <c:pt idx="76">
                  <c:v>45992.298761574071</c:v>
                </c:pt>
                <c:pt idx="77">
                  <c:v>45993.285081018519</c:v>
                </c:pt>
                <c:pt idx="78">
                  <c:v>45993.29241898148</c:v>
                </c:pt>
              </c:numCache>
            </c:numRef>
          </c:xVal>
          <c:yVal>
            <c:numRef>
              <c:f>データ!$B$2:$B$80</c:f>
              <c:numCache>
                <c:formatCode>General</c:formatCode>
                <c:ptCount val="79"/>
                <c:pt idx="0">
                  <c:v>61</c:v>
                </c:pt>
                <c:pt idx="1">
                  <c:v>74</c:v>
                </c:pt>
                <c:pt idx="2">
                  <c:v>42</c:v>
                </c:pt>
                <c:pt idx="3">
                  <c:v>70</c:v>
                </c:pt>
                <c:pt idx="4">
                  <c:v>53</c:v>
                </c:pt>
                <c:pt idx="5">
                  <c:v>58</c:v>
                </c:pt>
                <c:pt idx="6">
                  <c:v>50</c:v>
                </c:pt>
                <c:pt idx="7">
                  <c:v>57</c:v>
                </c:pt>
                <c:pt idx="8">
                  <c:v>31</c:v>
                </c:pt>
                <c:pt idx="9">
                  <c:v>60</c:v>
                </c:pt>
                <c:pt idx="10">
                  <c:v>60</c:v>
                </c:pt>
                <c:pt idx="11">
                  <c:v>60</c:v>
                </c:pt>
                <c:pt idx="12">
                  <c:v>53</c:v>
                </c:pt>
                <c:pt idx="13">
                  <c:v>60</c:v>
                </c:pt>
                <c:pt idx="14">
                  <c:v>60</c:v>
                </c:pt>
                <c:pt idx="15">
                  <c:v>55</c:v>
                </c:pt>
                <c:pt idx="16">
                  <c:v>53</c:v>
                </c:pt>
                <c:pt idx="17">
                  <c:v>60</c:v>
                </c:pt>
                <c:pt idx="18">
                  <c:v>60</c:v>
                </c:pt>
                <c:pt idx="19">
                  <c:v>56</c:v>
                </c:pt>
                <c:pt idx="20">
                  <c:v>60</c:v>
                </c:pt>
                <c:pt idx="21">
                  <c:v>60</c:v>
                </c:pt>
                <c:pt idx="22">
                  <c:v>60</c:v>
                </c:pt>
                <c:pt idx="23">
                  <c:v>60</c:v>
                </c:pt>
                <c:pt idx="24">
                  <c:v>60</c:v>
                </c:pt>
                <c:pt idx="25">
                  <c:v>55</c:v>
                </c:pt>
                <c:pt idx="26">
                  <c:v>60</c:v>
                </c:pt>
                <c:pt idx="27">
                  <c:v>60</c:v>
                </c:pt>
                <c:pt idx="28">
                  <c:v>60</c:v>
                </c:pt>
                <c:pt idx="29">
                  <c:v>60</c:v>
                </c:pt>
                <c:pt idx="30">
                  <c:v>56</c:v>
                </c:pt>
                <c:pt idx="31">
                  <c:v>60</c:v>
                </c:pt>
                <c:pt idx="32">
                  <c:v>60</c:v>
                </c:pt>
                <c:pt idx="33">
                  <c:v>60</c:v>
                </c:pt>
                <c:pt idx="34">
                  <c:v>55</c:v>
                </c:pt>
                <c:pt idx="35">
                  <c:v>60</c:v>
                </c:pt>
                <c:pt idx="36">
                  <c:v>60</c:v>
                </c:pt>
                <c:pt idx="37">
                  <c:v>60</c:v>
                </c:pt>
                <c:pt idx="38">
                  <c:v>60</c:v>
                </c:pt>
                <c:pt idx="39">
                  <c:v>60</c:v>
                </c:pt>
                <c:pt idx="40">
                  <c:v>60</c:v>
                </c:pt>
                <c:pt idx="41">
                  <c:v>60</c:v>
                </c:pt>
                <c:pt idx="42">
                  <c:v>60</c:v>
                </c:pt>
                <c:pt idx="43">
                  <c:v>60</c:v>
                </c:pt>
                <c:pt idx="44">
                  <c:v>60</c:v>
                </c:pt>
                <c:pt idx="45">
                  <c:v>60</c:v>
                </c:pt>
                <c:pt idx="46">
                  <c:v>60</c:v>
                </c:pt>
                <c:pt idx="47">
                  <c:v>60</c:v>
                </c:pt>
                <c:pt idx="48">
                  <c:v>60</c:v>
                </c:pt>
                <c:pt idx="49">
                  <c:v>60</c:v>
                </c:pt>
                <c:pt idx="50">
                  <c:v>60</c:v>
                </c:pt>
                <c:pt idx="51">
                  <c:v>60</c:v>
                </c:pt>
                <c:pt idx="52">
                  <c:v>60</c:v>
                </c:pt>
                <c:pt idx="53">
                  <c:v>60</c:v>
                </c:pt>
                <c:pt idx="54">
                  <c:v>60</c:v>
                </c:pt>
                <c:pt idx="55">
                  <c:v>60</c:v>
                </c:pt>
                <c:pt idx="56">
                  <c:v>60</c:v>
                </c:pt>
                <c:pt idx="57">
                  <c:v>60</c:v>
                </c:pt>
                <c:pt idx="58">
                  <c:v>54</c:v>
                </c:pt>
                <c:pt idx="59">
                  <c:v>60</c:v>
                </c:pt>
                <c:pt idx="60">
                  <c:v>60</c:v>
                </c:pt>
                <c:pt idx="61">
                  <c:v>60</c:v>
                </c:pt>
                <c:pt idx="62">
                  <c:v>60</c:v>
                </c:pt>
                <c:pt idx="63">
                  <c:v>57</c:v>
                </c:pt>
                <c:pt idx="64">
                  <c:v>60</c:v>
                </c:pt>
                <c:pt idx="65">
                  <c:v>60</c:v>
                </c:pt>
                <c:pt idx="66">
                  <c:v>60</c:v>
                </c:pt>
                <c:pt idx="67">
                  <c:v>60</c:v>
                </c:pt>
                <c:pt idx="68">
                  <c:v>53</c:v>
                </c:pt>
                <c:pt idx="69">
                  <c:v>60</c:v>
                </c:pt>
                <c:pt idx="70">
                  <c:v>60</c:v>
                </c:pt>
                <c:pt idx="71">
                  <c:v>60</c:v>
                </c:pt>
                <c:pt idx="72">
                  <c:v>60</c:v>
                </c:pt>
                <c:pt idx="73">
                  <c:v>60</c:v>
                </c:pt>
                <c:pt idx="74">
                  <c:v>60</c:v>
                </c:pt>
                <c:pt idx="75">
                  <c:v>60</c:v>
                </c:pt>
                <c:pt idx="76">
                  <c:v>60</c:v>
                </c:pt>
                <c:pt idx="77">
                  <c:v>48</c:v>
                </c:pt>
                <c:pt idx="78">
                  <c:v>60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750-4493-B8A5-A67022CF2CB0}"/>
            </c:ext>
          </c:extLst>
        </c:ser>
        <c:ser>
          <c:idx val="2"/>
          <c:order val="2"/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2-7750-4493-B8A5-A67022CF2C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28071120"/>
        <c:axId val="728065840"/>
      </c:scatterChart>
      <c:scatterChart>
        <c:scatterStyle val="lineMarker"/>
        <c:varyColors val="0"/>
        <c:ser>
          <c:idx val="1"/>
          <c:order val="1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データ!$A$2:$A$80</c:f>
              <c:numCache>
                <c:formatCode>m/d/yyyy\ h:mm</c:formatCode>
                <c:ptCount val="79"/>
                <c:pt idx="0">
                  <c:v>45951.701574074075</c:v>
                </c:pt>
                <c:pt idx="1">
                  <c:v>45951.867650462962</c:v>
                </c:pt>
                <c:pt idx="2">
                  <c:v>45952.483495370368</c:v>
                </c:pt>
                <c:pt idx="3">
                  <c:v>45952.864699074074</c:v>
                </c:pt>
                <c:pt idx="4">
                  <c:v>45953.849791666667</c:v>
                </c:pt>
                <c:pt idx="5">
                  <c:v>45953.869490740741</c:v>
                </c:pt>
                <c:pt idx="6">
                  <c:v>45954.406076388892</c:v>
                </c:pt>
                <c:pt idx="7">
                  <c:v>45954.875092592592</c:v>
                </c:pt>
                <c:pt idx="8">
                  <c:v>45956.6015625</c:v>
                </c:pt>
                <c:pt idx="9">
                  <c:v>45958.470810185187</c:v>
                </c:pt>
                <c:pt idx="10">
                  <c:v>45958.877384259256</c:v>
                </c:pt>
                <c:pt idx="11">
                  <c:v>45960.297789351855</c:v>
                </c:pt>
                <c:pt idx="12">
                  <c:v>45960.313784722224</c:v>
                </c:pt>
                <c:pt idx="13">
                  <c:v>45963.852662037039</c:v>
                </c:pt>
                <c:pt idx="14">
                  <c:v>45963.866400462961</c:v>
                </c:pt>
                <c:pt idx="15">
                  <c:v>45964.374537037038</c:v>
                </c:pt>
                <c:pt idx="16">
                  <c:v>45964.485486111109</c:v>
                </c:pt>
                <c:pt idx="17">
                  <c:v>45965.688217592593</c:v>
                </c:pt>
                <c:pt idx="18">
                  <c:v>45965.84888888889</c:v>
                </c:pt>
                <c:pt idx="19">
                  <c:v>45966.436736111114</c:v>
                </c:pt>
                <c:pt idx="20">
                  <c:v>45966.85869212963</c:v>
                </c:pt>
                <c:pt idx="21">
                  <c:v>45967.811736111114</c:v>
                </c:pt>
                <c:pt idx="22">
                  <c:v>45967.82545138889</c:v>
                </c:pt>
                <c:pt idx="23">
                  <c:v>45968.850543981483</c:v>
                </c:pt>
                <c:pt idx="24">
                  <c:v>45968.864317129628</c:v>
                </c:pt>
                <c:pt idx="25">
                  <c:v>45969.555104166669</c:v>
                </c:pt>
                <c:pt idx="26">
                  <c:v>45969.845405092594</c:v>
                </c:pt>
                <c:pt idx="27">
                  <c:v>45969.862083333333</c:v>
                </c:pt>
                <c:pt idx="28">
                  <c:v>45970.704884259256</c:v>
                </c:pt>
                <c:pt idx="29">
                  <c:v>45970.721099537041</c:v>
                </c:pt>
                <c:pt idx="30">
                  <c:v>45971.832638888889</c:v>
                </c:pt>
                <c:pt idx="31">
                  <c:v>45971.844918981478</c:v>
                </c:pt>
                <c:pt idx="32">
                  <c:v>45972.780532407407</c:v>
                </c:pt>
                <c:pt idx="33">
                  <c:v>45972.793865740743</c:v>
                </c:pt>
                <c:pt idx="34">
                  <c:v>45973.843310185184</c:v>
                </c:pt>
                <c:pt idx="35">
                  <c:v>45973.856666666667</c:v>
                </c:pt>
                <c:pt idx="36">
                  <c:v>45975.317916666667</c:v>
                </c:pt>
                <c:pt idx="37">
                  <c:v>45975.32885416667</c:v>
                </c:pt>
                <c:pt idx="38">
                  <c:v>45976.853715277779</c:v>
                </c:pt>
                <c:pt idx="39">
                  <c:v>45976.862627314818</c:v>
                </c:pt>
                <c:pt idx="40">
                  <c:v>45977.309733796297</c:v>
                </c:pt>
                <c:pt idx="41">
                  <c:v>45977.319560185184</c:v>
                </c:pt>
                <c:pt idx="42">
                  <c:v>45977.560624999998</c:v>
                </c:pt>
                <c:pt idx="43">
                  <c:v>45977.569733796299</c:v>
                </c:pt>
                <c:pt idx="44">
                  <c:v>45977.856840277775</c:v>
                </c:pt>
                <c:pt idx="45">
                  <c:v>45977.87672453704</c:v>
                </c:pt>
                <c:pt idx="46">
                  <c:v>45978.468275462961</c:v>
                </c:pt>
                <c:pt idx="47">
                  <c:v>45978.476666666669</c:v>
                </c:pt>
                <c:pt idx="48">
                  <c:v>45978.71597222222</c:v>
                </c:pt>
                <c:pt idx="49">
                  <c:v>45978.727893518517</c:v>
                </c:pt>
                <c:pt idx="50">
                  <c:v>45980.706655092596</c:v>
                </c:pt>
                <c:pt idx="51">
                  <c:v>45980.717303240737</c:v>
                </c:pt>
                <c:pt idx="52">
                  <c:v>45981.721944444442</c:v>
                </c:pt>
                <c:pt idx="53">
                  <c:v>45981.741168981483</c:v>
                </c:pt>
                <c:pt idx="54">
                  <c:v>45982.730763888889</c:v>
                </c:pt>
                <c:pt idx="55">
                  <c:v>45983.588194444441</c:v>
                </c:pt>
                <c:pt idx="56">
                  <c:v>45983.599224537036</c:v>
                </c:pt>
                <c:pt idx="57">
                  <c:v>45985.354814814818</c:v>
                </c:pt>
                <c:pt idx="58">
                  <c:v>45985.363796296297</c:v>
                </c:pt>
                <c:pt idx="59">
                  <c:v>45985.538761574076</c:v>
                </c:pt>
                <c:pt idx="60">
                  <c:v>45985.598680555559</c:v>
                </c:pt>
                <c:pt idx="61">
                  <c:v>45985.709016203706</c:v>
                </c:pt>
                <c:pt idx="62">
                  <c:v>45986.535011574073</c:v>
                </c:pt>
                <c:pt idx="63">
                  <c:v>45987.58321759259</c:v>
                </c:pt>
                <c:pt idx="64">
                  <c:v>45987.616712962961</c:v>
                </c:pt>
                <c:pt idx="65">
                  <c:v>45988.290625000001</c:v>
                </c:pt>
                <c:pt idx="66">
                  <c:v>45988.529618055552</c:v>
                </c:pt>
                <c:pt idx="67">
                  <c:v>45988.852812500001</c:v>
                </c:pt>
                <c:pt idx="68">
                  <c:v>45989.291273148148</c:v>
                </c:pt>
                <c:pt idx="69">
                  <c:v>45989.299722222226</c:v>
                </c:pt>
                <c:pt idx="70">
                  <c:v>45989.308298611111</c:v>
                </c:pt>
                <c:pt idx="71">
                  <c:v>45990.459027777775</c:v>
                </c:pt>
                <c:pt idx="72">
                  <c:v>45990.539907407408</c:v>
                </c:pt>
                <c:pt idx="73">
                  <c:v>45991.563125000001</c:v>
                </c:pt>
                <c:pt idx="74">
                  <c:v>45991.575856481482</c:v>
                </c:pt>
                <c:pt idx="75">
                  <c:v>45992.289467592593</c:v>
                </c:pt>
                <c:pt idx="76">
                  <c:v>45992.298761574071</c:v>
                </c:pt>
                <c:pt idx="77">
                  <c:v>45993.285081018519</c:v>
                </c:pt>
                <c:pt idx="78">
                  <c:v>45993.29241898148</c:v>
                </c:pt>
              </c:numCache>
            </c:numRef>
          </c:xVal>
          <c:yVal>
            <c:numRef>
              <c:f>データ!$G$2:$G$80</c:f>
              <c:numCache>
                <c:formatCode>[h]:mm</c:formatCode>
                <c:ptCount val="79"/>
                <c:pt idx="0">
                  <c:v>1.4050925929041114E-2</c:v>
                </c:pt>
                <c:pt idx="1">
                  <c:v>1.0868055556784384E-2</c:v>
                </c:pt>
                <c:pt idx="2">
                  <c:v>1.7534722217533272E-2</c:v>
                </c:pt>
                <c:pt idx="3">
                  <c:v>1.9606481480877846E-2</c:v>
                </c:pt>
                <c:pt idx="4">
                  <c:v>1.4953703706851229E-2</c:v>
                </c:pt>
                <c:pt idx="5">
                  <c:v>1.8831018518540077E-2</c:v>
                </c:pt>
                <c:pt idx="6">
                  <c:v>1.0740740741312038E-2</c:v>
                </c:pt>
                <c:pt idx="7">
                  <c:v>2.0335648150648922E-2</c:v>
                </c:pt>
                <c:pt idx="8">
                  <c:v>1.4293981483206153E-2</c:v>
                </c:pt>
                <c:pt idx="9">
                  <c:v>6.7708333372138441E-3</c:v>
                </c:pt>
                <c:pt idx="10">
                  <c:v>1.0983796295477077E-2</c:v>
                </c:pt>
                <c:pt idx="11">
                  <c:v>6.7592592604341917E-3</c:v>
                </c:pt>
                <c:pt idx="12">
                  <c:v>1.5023148152977228E-2</c:v>
                </c:pt>
                <c:pt idx="13">
                  <c:v>1.2187500004074536E-2</c:v>
                </c:pt>
                <c:pt idx="14">
                  <c:v>1.2881944443506654E-2</c:v>
                </c:pt>
                <c:pt idx="15">
                  <c:v>1.7210648147738539E-2</c:v>
                </c:pt>
                <c:pt idx="16">
                  <c:v>1.5312499999708962E-2</c:v>
                </c:pt>
                <c:pt idx="17">
                  <c:v>1.5277777776645962E-2</c:v>
                </c:pt>
                <c:pt idx="18">
                  <c:v>1.4004629629198462E-2</c:v>
                </c:pt>
                <c:pt idx="19">
                  <c:v>7.9398148154723458E-3</c:v>
                </c:pt>
                <c:pt idx="20">
                  <c:v>1.4085648152104113E-2</c:v>
                </c:pt>
                <c:pt idx="21">
                  <c:v>1.5046296299260575E-2</c:v>
                </c:pt>
                <c:pt idx="22">
                  <c:v>1.226851851970423E-2</c:v>
                </c:pt>
                <c:pt idx="23">
                  <c:v>2.5509259263344575E-2</c:v>
                </c:pt>
                <c:pt idx="24">
                  <c:v>1.2974537035916001E-2</c:v>
                </c:pt>
                <c:pt idx="25">
                  <c:v>1.0231481486698613E-2</c:v>
                </c:pt>
                <c:pt idx="26">
                  <c:v>1.1145833334012423E-2</c:v>
                </c:pt>
                <c:pt idx="27">
                  <c:v>1.6215277777519077E-2</c:v>
                </c:pt>
                <c:pt idx="28">
                  <c:v>8.5648148087784648E-3</c:v>
                </c:pt>
                <c:pt idx="29">
                  <c:v>1.4189814821293112E-2</c:v>
                </c:pt>
                <c:pt idx="30">
                  <c:v>1.2141203704231884E-2</c:v>
                </c:pt>
                <c:pt idx="31">
                  <c:v>1.1770833327318542E-2</c:v>
                </c:pt>
                <c:pt idx="32">
                  <c:v>9.3750000014551915E-3</c:v>
                </c:pt>
                <c:pt idx="33">
                  <c:v>1.2557870373711921E-2</c:v>
                </c:pt>
                <c:pt idx="34">
                  <c:v>1.0891203703067731E-2</c:v>
                </c:pt>
                <c:pt idx="35">
                  <c:v>1.0324074071832001E-2</c:v>
                </c:pt>
                <c:pt idx="36">
                  <c:v>1.0081018517666962E-2</c:v>
                </c:pt>
                <c:pt idx="37">
                  <c:v>1.0335648148611654E-2</c:v>
                </c:pt>
                <c:pt idx="38">
                  <c:v>8.3912037080153823E-3</c:v>
                </c:pt>
                <c:pt idx="39">
                  <c:v>8.4722222236450762E-3</c:v>
                </c:pt>
                <c:pt idx="40">
                  <c:v>7.7546296306536533E-3</c:v>
                </c:pt>
                <c:pt idx="41">
                  <c:v>8.5300925929914229E-3</c:v>
                </c:pt>
                <c:pt idx="42">
                  <c:v>8.9004629626288079E-3</c:v>
                </c:pt>
                <c:pt idx="43">
                  <c:v>7.6967592613073066E-3</c:v>
                </c:pt>
                <c:pt idx="44">
                  <c:v>5.7870370364980772E-3</c:v>
                </c:pt>
                <c:pt idx="45">
                  <c:v>7.291666668606922E-3</c:v>
                </c:pt>
                <c:pt idx="46">
                  <c:v>5.277777774608694E-3</c:v>
                </c:pt>
                <c:pt idx="47">
                  <c:v>6.8518518528435379E-3</c:v>
                </c:pt>
                <c:pt idx="48">
                  <c:v>8.4027777775190771E-3</c:v>
                </c:pt>
                <c:pt idx="49">
                  <c:v>1.1284722218988463E-2</c:v>
                </c:pt>
                <c:pt idx="50">
                  <c:v>6.4004629675764591E-3</c:v>
                </c:pt>
                <c:pt idx="51">
                  <c:v>1.0150462956517003E-2</c:v>
                </c:pt>
                <c:pt idx="52">
                  <c:v>7.8125E-3</c:v>
                </c:pt>
                <c:pt idx="53">
                  <c:v>1.8877314818382729E-2</c:v>
                </c:pt>
                <c:pt idx="54">
                  <c:v>9.29398147854954E-3</c:v>
                </c:pt>
                <c:pt idx="55">
                  <c:v>9.7453703638166189E-3</c:v>
                </c:pt>
                <c:pt idx="56">
                  <c:v>1.0347222218115348E-2</c:v>
                </c:pt>
                <c:pt idx="57">
                  <c:v>7.2453703760402277E-3</c:v>
                </c:pt>
                <c:pt idx="58">
                  <c:v>8.3101851851097308E-3</c:v>
                </c:pt>
                <c:pt idx="59">
                  <c:v>8.5069444467080757E-3</c:v>
                </c:pt>
                <c:pt idx="60">
                  <c:v>1.0196759263635613E-2</c:v>
                </c:pt>
                <c:pt idx="61">
                  <c:v>5.7175925976480357E-3</c:v>
                </c:pt>
                <c:pt idx="62">
                  <c:v>6.701388891087845E-3</c:v>
                </c:pt>
                <c:pt idx="63">
                  <c:v>7.696759254031349E-3</c:v>
                </c:pt>
                <c:pt idx="64">
                  <c:v>6.6782407375285402E-3</c:v>
                </c:pt>
                <c:pt idx="65">
                  <c:v>1.0150462963792961E-2</c:v>
                </c:pt>
                <c:pt idx="66">
                  <c:v>1.7013888886140194E-2</c:v>
                </c:pt>
                <c:pt idx="67">
                  <c:v>1.0983796295477077E-2</c:v>
                </c:pt>
                <c:pt idx="68">
                  <c:v>7.9861111080390401E-3</c:v>
                </c:pt>
                <c:pt idx="69">
                  <c:v>7.6967592613073066E-3</c:v>
                </c:pt>
                <c:pt idx="70">
                  <c:v>7.7662037074333057E-3</c:v>
                </c:pt>
                <c:pt idx="71">
                  <c:v>9.814814809942618E-3</c:v>
                </c:pt>
                <c:pt idx="72">
                  <c:v>1.1226851849642117E-2</c:v>
                </c:pt>
                <c:pt idx="73">
                  <c:v>5.694444444088731E-3</c:v>
                </c:pt>
                <c:pt idx="74">
                  <c:v>5.5324074055533856E-3</c:v>
                </c:pt>
                <c:pt idx="75">
                  <c:v>1.0162037040572613E-2</c:v>
                </c:pt>
                <c:pt idx="76">
                  <c:v>6.168981475639157E-3</c:v>
                </c:pt>
                <c:pt idx="77">
                  <c:v>7.8703703693463467E-3</c:v>
                </c:pt>
                <c:pt idx="78">
                  <c:v>6.7476851836545393E-3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750-4493-B8A5-A67022CF2C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28082640"/>
        <c:axId val="728077840"/>
      </c:scatterChart>
      <c:valAx>
        <c:axId val="72807112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/yyyy\ h:mm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28065840"/>
        <c:crosses val="autoZero"/>
        <c:crossBetween val="midCat"/>
      </c:valAx>
      <c:valAx>
        <c:axId val="7280658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28071120"/>
        <c:crosses val="autoZero"/>
        <c:crossBetween val="midCat"/>
      </c:valAx>
      <c:valAx>
        <c:axId val="728077840"/>
        <c:scaling>
          <c:orientation val="minMax"/>
        </c:scaling>
        <c:delete val="0"/>
        <c:axPos val="r"/>
        <c:numFmt formatCode="[h]:mm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28082640"/>
        <c:crosses val="max"/>
        <c:crossBetween val="midCat"/>
      </c:valAx>
      <c:valAx>
        <c:axId val="728082640"/>
        <c:scaling>
          <c:orientation val="minMax"/>
        </c:scaling>
        <c:delete val="0"/>
        <c:axPos val="b"/>
        <c:numFmt formatCode="m/d/yyyy\ h:mm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28077840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CheckBox" checked="Checked" fmlaLink="セルを黄色" lockText="1" noThreeD="1"/>
</file>

<file path=xl/ctrlProps/ctrlProp15.xml><?xml version="1.0" encoding="utf-8"?>
<formControlPr xmlns="http://schemas.microsoft.com/office/spreadsheetml/2009/9/main" objectType="CheckBox" fmlaLink="線を引く" lockText="1" noThreeD="1"/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685800</xdr:colOff>
          <xdr:row>1</xdr:row>
          <xdr:rowOff>14288</xdr:rowOff>
        </xdr:from>
        <xdr:to>
          <xdr:col>11</xdr:col>
          <xdr:colOff>0</xdr:colOff>
          <xdr:row>2</xdr:row>
          <xdr:rowOff>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0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リセット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9525</xdr:colOff>
          <xdr:row>1</xdr:row>
          <xdr:rowOff>0</xdr:rowOff>
        </xdr:from>
        <xdr:to>
          <xdr:col>18</xdr:col>
          <xdr:colOff>0</xdr:colOff>
          <xdr:row>1</xdr:row>
          <xdr:rowOff>352425</xdr:rowOff>
        </xdr:to>
        <xdr:sp macro="" textlink="">
          <xdr:nvSpPr>
            <xdr:cNvPr id="1050" name="CreateQuestion" hidden="1">
              <a:extLst>
                <a:ext uri="{63B3BB69-23CF-44E3-9099-C40C66FF867C}">
                  <a14:compatExt spid="_x0000_s1050"/>
                </a:ext>
                <a:ext uri="{FF2B5EF4-FFF2-40B4-BE49-F238E27FC236}">
                  <a16:creationId xmlns:a16="http://schemas.microsoft.com/office/drawing/2014/main" id="{00000000-0008-0000-0100-00001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9525</xdr:colOff>
          <xdr:row>4</xdr:row>
          <xdr:rowOff>0</xdr:rowOff>
        </xdr:from>
        <xdr:to>
          <xdr:col>18</xdr:col>
          <xdr:colOff>0</xdr:colOff>
          <xdr:row>4</xdr:row>
          <xdr:rowOff>352425</xdr:rowOff>
        </xdr:to>
        <xdr:sp macro="" textlink="">
          <xdr:nvSpPr>
            <xdr:cNvPr id="1051" name="CheckAllMatches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1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答え合わせ（全て）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</xdr:row>
          <xdr:rowOff>0</xdr:rowOff>
        </xdr:from>
        <xdr:to>
          <xdr:col>18</xdr:col>
          <xdr:colOff>0</xdr:colOff>
          <xdr:row>6</xdr:row>
          <xdr:rowOff>0</xdr:rowOff>
        </xdr:to>
        <xdr:sp macro="" textlink="">
          <xdr:nvSpPr>
            <xdr:cNvPr id="1052" name="CheckSelectMatches" hidden="1">
              <a:extLst>
                <a:ext uri="{63B3BB69-23CF-44E3-9099-C40C66FF867C}">
                  <a14:compatExt spid="_x0000_s1052"/>
                </a:ext>
                <a:ext uri="{FF2B5EF4-FFF2-40B4-BE49-F238E27FC236}">
                  <a16:creationId xmlns:a16="http://schemas.microsoft.com/office/drawing/2014/main" id="{00000000-0008-0000-0100-00001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答え合わせ（選択）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</xdr:row>
          <xdr:rowOff>0</xdr:rowOff>
        </xdr:from>
        <xdr:to>
          <xdr:col>18</xdr:col>
          <xdr:colOff>0</xdr:colOff>
          <xdr:row>7</xdr:row>
          <xdr:rowOff>0</xdr:rowOff>
        </xdr:to>
        <xdr:sp macro="" textlink="">
          <xdr:nvSpPr>
            <xdr:cNvPr id="1053" name="ResetCheck" hidden="1">
              <a:extLst>
                <a:ext uri="{63B3BB69-23CF-44E3-9099-C40C66FF867C}">
                  <a14:compatExt spid="_x0000_s1053"/>
                </a:ext>
                <a:ext uri="{FF2B5EF4-FFF2-40B4-BE49-F238E27FC236}">
                  <a16:creationId xmlns:a16="http://schemas.microsoft.com/office/drawing/2014/main" id="{00000000-0008-0000-0100-00001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消す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9525</xdr:colOff>
          <xdr:row>3</xdr:row>
          <xdr:rowOff>0</xdr:rowOff>
        </xdr:from>
        <xdr:to>
          <xdr:col>18</xdr:col>
          <xdr:colOff>0</xdr:colOff>
          <xdr:row>3</xdr:row>
          <xdr:rowOff>352425</xdr:rowOff>
        </xdr:to>
        <xdr:sp macro="" textlink="">
          <xdr:nvSpPr>
            <xdr:cNvPr id="1054" name="StartQuestion" hidden="1">
              <a:extLst>
                <a:ext uri="{63B3BB69-23CF-44E3-9099-C40C66FF867C}">
                  <a14:compatExt spid="_x0000_s1054"/>
                </a:ext>
                <a:ext uri="{FF2B5EF4-FFF2-40B4-BE49-F238E27FC236}">
                  <a16:creationId xmlns:a16="http://schemas.microsoft.com/office/drawing/2014/main" id="{00000000-0008-0000-0100-00001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はじめ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0</xdr:colOff>
          <xdr:row>4</xdr:row>
          <xdr:rowOff>0</xdr:rowOff>
        </xdr:from>
        <xdr:to>
          <xdr:col>21</xdr:col>
          <xdr:colOff>0</xdr:colOff>
          <xdr:row>4</xdr:row>
          <xdr:rowOff>352425</xdr:rowOff>
        </xdr:to>
        <xdr:sp macro="" textlink="">
          <xdr:nvSpPr>
            <xdr:cNvPr id="1058" name="AnserAllMatches" hidden="1">
              <a:extLst>
                <a:ext uri="{63B3BB69-23CF-44E3-9099-C40C66FF867C}">
                  <a14:compatExt spid="_x0000_s1058"/>
                </a:ext>
                <a:ext uri="{FF2B5EF4-FFF2-40B4-BE49-F238E27FC236}">
                  <a16:creationId xmlns:a16="http://schemas.microsoft.com/office/drawing/2014/main" id="{00000000-0008-0000-0100-00002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答え（全て）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6</xdr:row>
          <xdr:rowOff>0</xdr:rowOff>
        </xdr:from>
        <xdr:to>
          <xdr:col>21</xdr:col>
          <xdr:colOff>0</xdr:colOff>
          <xdr:row>7</xdr:row>
          <xdr:rowOff>0</xdr:rowOff>
        </xdr:to>
        <xdr:sp macro="" textlink="">
          <xdr:nvSpPr>
            <xdr:cNvPr id="1059" name="ResetAnser" hidden="1">
              <a:extLst>
                <a:ext uri="{63B3BB69-23CF-44E3-9099-C40C66FF867C}">
                  <a14:compatExt spid="_x0000_s1059"/>
                </a:ext>
                <a:ext uri="{FF2B5EF4-FFF2-40B4-BE49-F238E27FC236}">
                  <a16:creationId xmlns:a16="http://schemas.microsoft.com/office/drawing/2014/main" id="{00000000-0008-0000-0100-00002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消す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5</xdr:row>
          <xdr:rowOff>0</xdr:rowOff>
        </xdr:from>
        <xdr:to>
          <xdr:col>21</xdr:col>
          <xdr:colOff>0</xdr:colOff>
          <xdr:row>6</xdr:row>
          <xdr:rowOff>0</xdr:rowOff>
        </xdr:to>
        <xdr:sp macro="" textlink="">
          <xdr:nvSpPr>
            <xdr:cNvPr id="1060" name="AnserSelectMatches" hidden="1">
              <a:extLst>
                <a:ext uri="{63B3BB69-23CF-44E3-9099-C40C66FF867C}">
                  <a14:compatExt spid="_x0000_s1060"/>
                </a:ext>
                <a:ext uri="{FF2B5EF4-FFF2-40B4-BE49-F238E27FC236}">
                  <a16:creationId xmlns:a16="http://schemas.microsoft.com/office/drawing/2014/main" id="{00000000-0008-0000-0100-00002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答え（選択）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9525</xdr:colOff>
          <xdr:row>3</xdr:row>
          <xdr:rowOff>0</xdr:rowOff>
        </xdr:from>
        <xdr:to>
          <xdr:col>21</xdr:col>
          <xdr:colOff>0</xdr:colOff>
          <xdr:row>3</xdr:row>
          <xdr:rowOff>352425</xdr:rowOff>
        </xdr:to>
        <xdr:sp macro="" textlink="">
          <xdr:nvSpPr>
            <xdr:cNvPr id="1062" name="DisplayQuestion" hidden="1">
              <a:extLst>
                <a:ext uri="{63B3BB69-23CF-44E3-9099-C40C66FF867C}">
                  <a14:compatExt spid="_x0000_s1062"/>
                </a:ext>
                <a:ext uri="{FF2B5EF4-FFF2-40B4-BE49-F238E27FC236}">
                  <a16:creationId xmlns:a16="http://schemas.microsoft.com/office/drawing/2014/main" id="{00000000-0008-0000-0100-00002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表示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0</xdr:row>
          <xdr:rowOff>0</xdr:rowOff>
        </xdr:from>
        <xdr:to>
          <xdr:col>17</xdr:col>
          <xdr:colOff>0</xdr:colOff>
          <xdr:row>1</xdr:row>
          <xdr:rowOff>0</xdr:rowOff>
        </xdr:to>
        <xdr:sp macro="" textlink="">
          <xdr:nvSpPr>
            <xdr:cNvPr id="4100" name="CreateChart" descr="グラフ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2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グラフ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0</xdr:row>
          <xdr:rowOff>0</xdr:rowOff>
        </xdr:from>
        <xdr:to>
          <xdr:col>18</xdr:col>
          <xdr:colOff>0</xdr:colOff>
          <xdr:row>1</xdr:row>
          <xdr:rowOff>0</xdr:rowOff>
        </xdr:to>
        <xdr:sp macro="" textlink="">
          <xdr:nvSpPr>
            <xdr:cNvPr id="4102" name="CreateChart" descr="グラフ" hidden="1">
              <a:extLst>
                <a:ext uri="{63B3BB69-23CF-44E3-9099-C40C66FF867C}">
                  <a14:compatExt spid="_x0000_s4102"/>
                </a:ext>
                <a:ext uri="{FF2B5EF4-FFF2-40B4-BE49-F238E27FC236}">
                  <a16:creationId xmlns:a16="http://schemas.microsoft.com/office/drawing/2014/main" id="{00000000-0008-0000-0200-00000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ロード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0</xdr:row>
          <xdr:rowOff>0</xdr:rowOff>
        </xdr:from>
        <xdr:to>
          <xdr:col>19</xdr:col>
          <xdr:colOff>0</xdr:colOff>
          <xdr:row>1</xdr:row>
          <xdr:rowOff>0</xdr:rowOff>
        </xdr:to>
        <xdr:sp macro="" textlink="">
          <xdr:nvSpPr>
            <xdr:cNvPr id="4103" name="Button 7" descr="グラフ" hidden="1">
              <a:extLst>
                <a:ext uri="{63B3BB69-23CF-44E3-9099-C40C66FF867C}">
                  <a14:compatExt spid="_x0000_s4103"/>
                </a:ext>
                <a:ext uri="{FF2B5EF4-FFF2-40B4-BE49-F238E27FC236}">
                  <a16:creationId xmlns:a16="http://schemas.microsoft.com/office/drawing/2014/main" id="{00000000-0008-0000-0200-00000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再答え合わせ</a:t>
              </a:r>
            </a:p>
          </xdr:txBody>
        </xdr:sp>
        <xdr:clientData fPrintsWithSheet="0"/>
      </xdr:twoCellAnchor>
    </mc:Choice>
    <mc:Fallback/>
  </mc:AlternateContent>
  <xdr:twoCellAnchor>
    <xdr:from>
      <xdr:col>19</xdr:col>
      <xdr:colOff>0</xdr:colOff>
      <xdr:row>0</xdr:row>
      <xdr:rowOff>0</xdr:rowOff>
    </xdr:from>
    <xdr:to>
      <xdr:col>25</xdr:col>
      <xdr:colOff>457200</xdr:colOff>
      <xdr:row>0</xdr:row>
      <xdr:rowOff>2743200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A211C172-4166-B0EB-504B-6D64172F3ED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2</xdr:col>
          <xdr:colOff>0</xdr:colOff>
          <xdr:row>1</xdr:row>
          <xdr:rowOff>14288</xdr:rowOff>
        </xdr:to>
        <xdr:sp macro="" textlink="">
          <xdr:nvSpPr>
            <xdr:cNvPr id="2049" name="Check Box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3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00" mc:Ignorable="a14" a14:legacySpreadsheetColorIndex="34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45720" tIns="36576" rIns="0" bIns="36576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セルを黄色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</xdr:row>
          <xdr:rowOff>0</xdr:rowOff>
        </xdr:from>
        <xdr:to>
          <xdr:col>2</xdr:col>
          <xdr:colOff>0</xdr:colOff>
          <xdr:row>2</xdr:row>
          <xdr:rowOff>9525</xdr:rowOff>
        </xdr:to>
        <xdr:sp macro="" textlink="">
          <xdr:nvSpPr>
            <xdr:cNvPr id="2050" name="Check Box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3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00" mc:Ignorable="a14" a14:legacySpreadsheetColorIndex="34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45720" tIns="36576" rIns="0" bIns="36576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線を引く</a:t>
              </a:r>
            </a:p>
          </xdr:txBody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5.xml"/><Relationship Id="rId12" Type="http://schemas.openxmlformats.org/officeDocument/2006/relationships/ctrlProp" Target="../ctrlProps/ctrlProp10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4.xml"/><Relationship Id="rId11" Type="http://schemas.openxmlformats.org/officeDocument/2006/relationships/ctrlProp" Target="../ctrlProps/ctrlProp9.xml"/><Relationship Id="rId5" Type="http://schemas.openxmlformats.org/officeDocument/2006/relationships/ctrlProp" Target="../ctrlProps/ctrlProp3.xml"/><Relationship Id="rId10" Type="http://schemas.openxmlformats.org/officeDocument/2006/relationships/ctrlProp" Target="../ctrlProps/ctrlProp8.xml"/><Relationship Id="rId4" Type="http://schemas.openxmlformats.org/officeDocument/2006/relationships/ctrlProp" Target="../ctrlProps/ctrlProp2.xml"/><Relationship Id="rId9" Type="http://schemas.openxmlformats.org/officeDocument/2006/relationships/ctrlProp" Target="../ctrlProps/ctrlProp7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13.xml"/><Relationship Id="rId5" Type="http://schemas.openxmlformats.org/officeDocument/2006/relationships/ctrlProp" Target="../ctrlProps/ctrlProp12.xml"/><Relationship Id="rId4" Type="http://schemas.openxmlformats.org/officeDocument/2006/relationships/ctrlProp" Target="../ctrlProps/ctrlProp1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1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64D400-75B6-4216-B5C3-3F236A110556}">
  <sheetPr codeName="Sheet1"/>
  <dimension ref="A1:I16"/>
  <sheetViews>
    <sheetView zoomScaleNormal="100" workbookViewId="0"/>
  </sheetViews>
  <sheetFormatPr defaultRowHeight="17.649999999999999"/>
  <sheetData>
    <row r="1" spans="1:9" ht="28.35" customHeight="1">
      <c r="A1" t="s">
        <v>26</v>
      </c>
    </row>
    <row r="2" spans="1:9" ht="28.35" customHeight="1">
      <c r="A2" t="s">
        <v>27</v>
      </c>
    </row>
    <row r="3" spans="1:9" ht="28.35" customHeight="1"/>
    <row r="4" spans="1:9" ht="28.35" customHeight="1">
      <c r="A4" s="7" t="s">
        <v>28</v>
      </c>
      <c r="B4" s="7" t="s">
        <v>29</v>
      </c>
      <c r="C4" s="8"/>
      <c r="D4" s="9" t="s">
        <v>30</v>
      </c>
      <c r="E4" s="9"/>
      <c r="F4" s="7" t="s">
        <v>30</v>
      </c>
      <c r="G4" s="8"/>
      <c r="H4" s="7" t="s">
        <v>30</v>
      </c>
      <c r="I4" s="8"/>
    </row>
    <row r="5" spans="1:9" ht="28.35" customHeight="1">
      <c r="A5" s="10" t="s">
        <v>24</v>
      </c>
      <c r="B5" s="11" t="s">
        <v>9</v>
      </c>
      <c r="C5" s="8"/>
      <c r="D5" s="12" t="s">
        <v>24</v>
      </c>
      <c r="E5" s="12"/>
      <c r="F5" s="11"/>
      <c r="G5" s="13"/>
      <c r="H5" s="9"/>
      <c r="I5" s="8"/>
    </row>
    <row r="6" spans="1:9" ht="28.35" customHeight="1">
      <c r="A6" s="14"/>
      <c r="B6" s="15" t="s">
        <v>4</v>
      </c>
      <c r="C6" s="16"/>
      <c r="D6" s="12" t="s">
        <v>5</v>
      </c>
      <c r="E6" s="12"/>
      <c r="F6" s="11" t="s">
        <v>7</v>
      </c>
      <c r="G6" s="8"/>
      <c r="H6" s="12" t="s">
        <v>24</v>
      </c>
      <c r="I6" s="8"/>
    </row>
    <row r="7" spans="1:9" ht="28.35" customHeight="1">
      <c r="A7" s="14"/>
      <c r="B7" s="17"/>
      <c r="C7" s="18"/>
      <c r="D7" s="12" t="s">
        <v>6</v>
      </c>
      <c r="E7" s="12"/>
      <c r="F7" s="11" t="s">
        <v>7</v>
      </c>
      <c r="G7" s="8"/>
      <c r="H7" s="12" t="s">
        <v>24</v>
      </c>
      <c r="I7" s="8"/>
    </row>
    <row r="8" spans="1:9" ht="28.35" customHeight="1">
      <c r="A8" s="14"/>
      <c r="B8" s="15" t="s">
        <v>8</v>
      </c>
      <c r="C8" s="16"/>
      <c r="D8" s="12" t="s">
        <v>13</v>
      </c>
      <c r="E8" s="12"/>
      <c r="F8" s="11" t="s">
        <v>7</v>
      </c>
      <c r="G8" s="8"/>
      <c r="H8" s="12" t="s">
        <v>24</v>
      </c>
      <c r="I8" s="8"/>
    </row>
    <row r="9" spans="1:9" ht="28.35" customHeight="1">
      <c r="A9" s="19"/>
      <c r="B9" s="20"/>
      <c r="C9" s="18"/>
      <c r="D9" s="12" t="s">
        <v>14</v>
      </c>
      <c r="E9" s="12"/>
      <c r="F9" s="11" t="s">
        <v>7</v>
      </c>
      <c r="G9" s="8"/>
      <c r="H9" s="12" t="s">
        <v>24</v>
      </c>
      <c r="I9" s="8"/>
    </row>
    <row r="10" spans="1:9" ht="28.35" customHeight="1">
      <c r="A10" s="15" t="s">
        <v>25</v>
      </c>
      <c r="B10" s="11" t="s">
        <v>31</v>
      </c>
      <c r="C10" s="13"/>
      <c r="D10" s="12" t="s">
        <v>25</v>
      </c>
      <c r="E10" s="9"/>
      <c r="F10" s="7"/>
      <c r="G10" s="8"/>
      <c r="H10" s="9"/>
      <c r="I10" s="8"/>
    </row>
    <row r="11" spans="1:9" ht="28.35" customHeight="1">
      <c r="A11" s="21"/>
      <c r="B11" s="11" t="s">
        <v>40</v>
      </c>
      <c r="C11" s="13"/>
      <c r="D11" s="12" t="s">
        <v>24</v>
      </c>
      <c r="E11" s="9"/>
      <c r="F11" s="7"/>
      <c r="G11" s="8"/>
      <c r="H11" s="9"/>
      <c r="I11" s="8"/>
    </row>
    <row r="12" spans="1:9" ht="28.35" customHeight="1">
      <c r="A12" s="19"/>
      <c r="B12" s="11" t="s">
        <v>47</v>
      </c>
      <c r="C12" s="13"/>
      <c r="D12" s="12" t="s">
        <v>25</v>
      </c>
      <c r="E12" s="9"/>
      <c r="F12" s="7"/>
      <c r="G12" s="8"/>
      <c r="H12" s="9"/>
      <c r="I12" s="8"/>
    </row>
    <row r="13" spans="1:9" ht="28.35" customHeight="1"/>
    <row r="14" spans="1:9" ht="28.35" customHeight="1">
      <c r="B14" s="1" t="s">
        <v>41</v>
      </c>
      <c r="D14" s="1" t="s">
        <v>44</v>
      </c>
    </row>
    <row r="15" spans="1:9" ht="28.35" customHeight="1">
      <c r="D15" s="1" t="s">
        <v>46</v>
      </c>
    </row>
    <row r="16" spans="1:9" ht="28.35" customHeight="1">
      <c r="D16" s="1" t="s">
        <v>45</v>
      </c>
    </row>
  </sheetData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ResetSheet">
                <anchor moveWithCells="1" sizeWithCells="1">
                  <from>
                    <xdr:col>9</xdr:col>
                    <xdr:colOff>685800</xdr:colOff>
                    <xdr:row>1</xdr:row>
                    <xdr:rowOff>14288</xdr:rowOff>
                  </from>
                  <to>
                    <xdr:col>11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78D2D4-9038-45CC-A4FE-36F39C10CBF1}">
  <sheetPr codeName="Sheet2"/>
  <dimension ref="A1:O15"/>
  <sheetViews>
    <sheetView zoomScaleNormal="100" workbookViewId="0">
      <selection activeCell="A4" sqref="A4"/>
    </sheetView>
  </sheetViews>
  <sheetFormatPr defaultRowHeight="17.649999999999999"/>
  <cols>
    <col min="1" max="12" width="5.5625" style="1" customWidth="1"/>
    <col min="13" max="13" width="9" style="1"/>
    <col min="14" max="14" width="17.4375" style="1" customWidth="1"/>
    <col min="15" max="15" width="9" style="1" customWidth="1"/>
    <col min="16" max="16384" width="9" style="1"/>
  </cols>
  <sheetData>
    <row r="1" spans="1:15" ht="28.25" customHeight="1">
      <c r="A1" s="26">
        <v>4</v>
      </c>
      <c r="B1" s="26">
        <v>3</v>
      </c>
      <c r="C1" s="23">
        <v>2</v>
      </c>
      <c r="D1" s="23">
        <v>2</v>
      </c>
      <c r="E1" s="23">
        <v>1</v>
      </c>
      <c r="F1" s="23">
        <v>9</v>
      </c>
      <c r="G1" s="23">
        <v>1</v>
      </c>
      <c r="H1" s="23">
        <v>6</v>
      </c>
      <c r="I1" s="23">
        <v>2</v>
      </c>
      <c r="J1" s="23">
        <v>8</v>
      </c>
      <c r="K1" s="22">
        <v>8</v>
      </c>
      <c r="L1" s="26">
        <v>3</v>
      </c>
      <c r="N1" s="2">
        <v>81</v>
      </c>
      <c r="O1" s="1">
        <v>21</v>
      </c>
    </row>
    <row r="2" spans="1:15" ht="28.25" customHeight="1">
      <c r="A2" s="22">
        <v>7</v>
      </c>
      <c r="B2" s="23">
        <v>8</v>
      </c>
      <c r="C2" s="26">
        <v>2</v>
      </c>
      <c r="D2" s="22">
        <v>2</v>
      </c>
      <c r="E2" s="23">
        <v>2</v>
      </c>
      <c r="F2" s="22">
        <v>1</v>
      </c>
      <c r="G2" s="22">
        <v>8</v>
      </c>
      <c r="H2" s="22">
        <v>8</v>
      </c>
      <c r="I2" s="22">
        <v>5</v>
      </c>
      <c r="J2" s="23">
        <v>1</v>
      </c>
      <c r="K2" s="22">
        <v>4</v>
      </c>
      <c r="L2" s="26">
        <v>6</v>
      </c>
      <c r="N2" s="2">
        <v>31677</v>
      </c>
      <c r="O2" s="1">
        <v>1</v>
      </c>
    </row>
    <row r="3" spans="1:15" ht="28.25" customHeight="1">
      <c r="A3" s="22">
        <v>2</v>
      </c>
      <c r="B3" s="23">
        <v>3</v>
      </c>
      <c r="C3" s="22">
        <v>2</v>
      </c>
      <c r="D3" s="22">
        <v>1</v>
      </c>
      <c r="E3" s="23">
        <v>7</v>
      </c>
      <c r="F3" s="23">
        <v>7</v>
      </c>
      <c r="G3" s="23">
        <v>4</v>
      </c>
      <c r="H3" s="23">
        <v>8</v>
      </c>
      <c r="I3" s="26">
        <v>7</v>
      </c>
      <c r="J3" s="26">
        <v>7</v>
      </c>
      <c r="K3" s="22">
        <v>8</v>
      </c>
      <c r="L3" s="23">
        <v>7</v>
      </c>
      <c r="N3" s="2">
        <v>2619122</v>
      </c>
      <c r="O3" s="1">
        <v>1</v>
      </c>
    </row>
    <row r="4" spans="1:15" ht="28.25" customHeight="1">
      <c r="A4" s="23">
        <v>7</v>
      </c>
      <c r="B4" s="23">
        <v>7</v>
      </c>
      <c r="C4" s="22">
        <v>8</v>
      </c>
      <c r="D4" s="26">
        <v>6</v>
      </c>
      <c r="E4" s="26">
        <v>7</v>
      </c>
      <c r="F4" s="26">
        <v>7</v>
      </c>
      <c r="G4" s="22">
        <v>8</v>
      </c>
      <c r="H4" s="26">
        <v>6</v>
      </c>
      <c r="I4" s="26">
        <v>3</v>
      </c>
      <c r="J4" s="26">
        <v>5</v>
      </c>
      <c r="K4" s="23">
        <v>7</v>
      </c>
      <c r="L4" s="23">
        <v>5</v>
      </c>
      <c r="N4" s="2">
        <v>1316517</v>
      </c>
      <c r="O4" s="1">
        <v>1</v>
      </c>
    </row>
    <row r="5" spans="1:15" ht="28.25" customHeight="1">
      <c r="A5" s="23">
        <v>3</v>
      </c>
      <c r="B5" s="23">
        <v>6</v>
      </c>
      <c r="C5" s="26">
        <v>9</v>
      </c>
      <c r="D5" s="26">
        <v>4</v>
      </c>
      <c r="E5" s="26">
        <v>3</v>
      </c>
      <c r="F5" s="26">
        <v>3</v>
      </c>
      <c r="G5" s="22">
        <v>8</v>
      </c>
      <c r="H5" s="22">
        <v>8</v>
      </c>
      <c r="I5" s="26">
        <v>6</v>
      </c>
      <c r="J5" s="26">
        <v>3</v>
      </c>
      <c r="K5" s="23">
        <v>7</v>
      </c>
      <c r="L5" s="23">
        <v>8</v>
      </c>
      <c r="N5" s="2">
        <v>514</v>
      </c>
      <c r="O5" s="1">
        <v>2</v>
      </c>
    </row>
    <row r="6" spans="1:15" ht="28.25" customHeight="1">
      <c r="A6" s="23">
        <v>5</v>
      </c>
      <c r="B6" s="23">
        <v>4</v>
      </c>
      <c r="C6" s="23">
        <v>4</v>
      </c>
      <c r="D6" s="22">
        <v>1</v>
      </c>
      <c r="E6" s="22">
        <v>1</v>
      </c>
      <c r="F6" s="22">
        <v>1</v>
      </c>
      <c r="G6" s="22">
        <v>8</v>
      </c>
      <c r="H6" s="23">
        <v>1</v>
      </c>
      <c r="I6" s="23">
        <v>1</v>
      </c>
      <c r="J6" s="26">
        <v>4</v>
      </c>
      <c r="K6" s="23">
        <v>6</v>
      </c>
      <c r="L6" s="26">
        <v>9</v>
      </c>
      <c r="N6" s="2">
        <v>11</v>
      </c>
      <c r="O6" s="1">
        <v>14</v>
      </c>
    </row>
    <row r="7" spans="1:15" ht="28.25" customHeight="1">
      <c r="A7" s="26">
        <v>5</v>
      </c>
      <c r="B7" s="23">
        <v>1</v>
      </c>
      <c r="C7" s="23">
        <v>7</v>
      </c>
      <c r="D7" s="23">
        <v>9</v>
      </c>
      <c r="E7" s="23">
        <v>8</v>
      </c>
      <c r="F7" s="23">
        <v>2</v>
      </c>
      <c r="G7" s="23">
        <v>3</v>
      </c>
      <c r="H7" s="23">
        <v>3</v>
      </c>
      <c r="I7" s="23">
        <v>4</v>
      </c>
      <c r="J7" s="26">
        <v>9</v>
      </c>
      <c r="K7" s="23">
        <v>1</v>
      </c>
      <c r="L7" s="26">
        <v>3</v>
      </c>
      <c r="N7" s="2">
        <v>433289</v>
      </c>
      <c r="O7" s="1">
        <v>1</v>
      </c>
    </row>
    <row r="8" spans="1:15" ht="28.25" customHeight="1">
      <c r="A8" s="23">
        <v>5</v>
      </c>
      <c r="B8" s="26">
        <v>9</v>
      </c>
      <c r="C8" s="23">
        <v>1</v>
      </c>
      <c r="D8" s="22">
        <v>7</v>
      </c>
      <c r="E8" s="22">
        <v>1</v>
      </c>
      <c r="F8" s="26">
        <v>6</v>
      </c>
      <c r="G8" s="22">
        <v>7</v>
      </c>
      <c r="H8" s="23">
        <v>8</v>
      </c>
      <c r="I8" s="23">
        <v>8</v>
      </c>
      <c r="J8" s="26">
        <v>7</v>
      </c>
      <c r="K8" s="23">
        <v>3</v>
      </c>
      <c r="L8" s="22">
        <v>8</v>
      </c>
      <c r="N8" s="2">
        <v>23787</v>
      </c>
      <c r="O8" s="1">
        <v>1</v>
      </c>
    </row>
    <row r="9" spans="1:15" ht="28.25" customHeight="1">
      <c r="A9" s="26">
        <v>5</v>
      </c>
      <c r="B9" s="26">
        <v>5</v>
      </c>
      <c r="C9" s="23">
        <v>7</v>
      </c>
      <c r="D9" s="26">
        <v>4</v>
      </c>
      <c r="E9" s="22">
        <v>2</v>
      </c>
      <c r="F9" s="26">
        <v>4</v>
      </c>
      <c r="G9" s="22">
        <v>4</v>
      </c>
      <c r="H9" s="22">
        <v>5</v>
      </c>
      <c r="I9" s="26">
        <v>9</v>
      </c>
      <c r="J9" s="26">
        <v>7</v>
      </c>
      <c r="K9" s="26">
        <v>6</v>
      </c>
      <c r="L9" s="26">
        <v>4</v>
      </c>
      <c r="N9" s="2">
        <v>88</v>
      </c>
      <c r="O9" s="1">
        <v>22</v>
      </c>
    </row>
    <row r="10" spans="1:15" ht="28.25" customHeight="1">
      <c r="A10" s="22">
        <v>2</v>
      </c>
      <c r="B10" s="26">
        <v>4</v>
      </c>
      <c r="C10" s="23">
        <v>7</v>
      </c>
      <c r="D10" s="23">
        <v>2</v>
      </c>
      <c r="E10" s="23">
        <v>3</v>
      </c>
      <c r="F10" s="23">
        <v>7</v>
      </c>
      <c r="G10" s="23">
        <v>8</v>
      </c>
      <c r="H10" s="23">
        <v>7</v>
      </c>
      <c r="I10" s="22">
        <v>1</v>
      </c>
      <c r="J10" s="26">
        <v>6</v>
      </c>
      <c r="K10" s="26">
        <v>4</v>
      </c>
      <c r="L10" s="26">
        <v>2</v>
      </c>
      <c r="N10" s="2">
        <v>7717</v>
      </c>
      <c r="O10" s="1">
        <v>1</v>
      </c>
    </row>
    <row r="11" spans="1:15" ht="28.25" customHeight="1">
      <c r="A11" s="26">
        <v>6</v>
      </c>
      <c r="B11" s="22">
        <v>7</v>
      </c>
      <c r="C11" s="22">
        <v>2</v>
      </c>
      <c r="D11" s="26">
        <v>6</v>
      </c>
      <c r="E11" s="23">
        <v>7</v>
      </c>
      <c r="F11" s="23">
        <v>1</v>
      </c>
      <c r="G11" s="23">
        <v>5</v>
      </c>
      <c r="H11" s="23">
        <v>6</v>
      </c>
      <c r="I11" s="23">
        <v>1</v>
      </c>
      <c r="J11" s="23">
        <v>3</v>
      </c>
      <c r="K11" s="23">
        <v>1</v>
      </c>
      <c r="L11" s="26">
        <v>3</v>
      </c>
      <c r="N11" s="2">
        <v>758</v>
      </c>
      <c r="O11" s="1">
        <v>2</v>
      </c>
    </row>
    <row r="12" spans="1:15" ht="28.25" customHeight="1">
      <c r="A12" s="26">
        <v>8</v>
      </c>
      <c r="B12" s="26">
        <v>5</v>
      </c>
      <c r="C12" s="26">
        <v>3</v>
      </c>
      <c r="D12" s="22">
        <v>1</v>
      </c>
      <c r="E12" s="22">
        <v>8</v>
      </c>
      <c r="F12" s="26">
        <v>3</v>
      </c>
      <c r="G12" s="26">
        <v>6</v>
      </c>
      <c r="H12" s="26">
        <v>7</v>
      </c>
      <c r="I12" s="26">
        <v>9</v>
      </c>
      <c r="J12" s="26">
        <v>3</v>
      </c>
      <c r="K12" s="26">
        <v>2</v>
      </c>
      <c r="L12" s="26">
        <v>9</v>
      </c>
      <c r="N12" s="2">
        <v>72</v>
      </c>
      <c r="O12" s="1">
        <v>16</v>
      </c>
    </row>
    <row r="13" spans="1:15" ht="28.25" customHeight="1">
      <c r="N13" s="2">
        <v>83764</v>
      </c>
      <c r="O13" s="1">
        <v>1</v>
      </c>
    </row>
    <row r="14" spans="1:15" ht="28.25" customHeight="1">
      <c r="N14" s="2">
        <v>537</v>
      </c>
      <c r="O14" s="1">
        <v>1</v>
      </c>
    </row>
    <row r="15" spans="1:15" ht="28.25" customHeight="1">
      <c r="N15" s="2">
        <v>7748</v>
      </c>
      <c r="O15" s="1">
        <v>2</v>
      </c>
    </row>
  </sheetData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50" r:id="rId4" name="CreateQuestion">
              <controlPr defaultSize="0" print="0" autoFill="0" autoPict="0" macro="[0]!CreateQuestion">
                <anchor moveWithCells="1">
                  <from>
                    <xdr:col>16</xdr:col>
                    <xdr:colOff>9525</xdr:colOff>
                    <xdr:row>1</xdr:row>
                    <xdr:rowOff>0</xdr:rowOff>
                  </from>
                  <to>
                    <xdr:col>18</xdr:col>
                    <xdr:colOff>0</xdr:colOff>
                    <xdr:row>1</xdr:row>
                    <xdr:rowOff>352425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1" r:id="rId5" name="CheckAllMatches">
              <controlPr defaultSize="0" print="0" autoFill="0" autoPict="0" macro="[0]!CheckAllMatches">
                <anchor moveWithCells="1">
                  <from>
                    <xdr:col>16</xdr:col>
                    <xdr:colOff>9525</xdr:colOff>
                    <xdr:row>4</xdr:row>
                    <xdr:rowOff>0</xdr:rowOff>
                  </from>
                  <to>
                    <xdr:col>18</xdr:col>
                    <xdr:colOff>0</xdr:colOff>
                    <xdr:row>4</xdr:row>
                    <xdr:rowOff>352425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2" r:id="rId6" name="CheckSelectMatches">
              <controlPr defaultSize="0" print="0" autoFill="0" autoPict="0" macro="[0]!CheckSelectMatches">
                <anchor moveWithCells="1" sizeWithCells="1">
                  <from>
                    <xdr:col>16</xdr:col>
                    <xdr:colOff>0</xdr:colOff>
                    <xdr:row>5</xdr:row>
                    <xdr:rowOff>0</xdr:rowOff>
                  </from>
                  <to>
                    <xdr:col>18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3" r:id="rId7" name="ResetCheck">
              <controlPr defaultSize="0" print="0" autoFill="0" autoPict="0" macro="[0]!ResetCheck">
                <anchor moveWithCells="1" sizeWithCells="1">
                  <from>
                    <xdr:col>16</xdr:col>
                    <xdr:colOff>0</xdr:colOff>
                    <xdr:row>6</xdr:row>
                    <xdr:rowOff>0</xdr:rowOff>
                  </from>
                  <to>
                    <xdr:col>18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4" r:id="rId8" name="StartQuestion">
              <controlPr defaultSize="0" print="0" autoFill="0" autoPict="0" macro="[0]!StartQuestion">
                <anchor moveWithCells="1">
                  <from>
                    <xdr:col>16</xdr:col>
                    <xdr:colOff>9525</xdr:colOff>
                    <xdr:row>3</xdr:row>
                    <xdr:rowOff>0</xdr:rowOff>
                  </from>
                  <to>
                    <xdr:col>18</xdr:col>
                    <xdr:colOff>0</xdr:colOff>
                    <xdr:row>3</xdr:row>
                    <xdr:rowOff>352425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8" r:id="rId9" name="AnserAllMatches">
              <controlPr defaultSize="0" print="0" autoFill="0" autoPict="0" macro="[0]!AnserAllMatches">
                <anchor moveWithCells="1">
                  <from>
                    <xdr:col>19</xdr:col>
                    <xdr:colOff>0</xdr:colOff>
                    <xdr:row>4</xdr:row>
                    <xdr:rowOff>0</xdr:rowOff>
                  </from>
                  <to>
                    <xdr:col>21</xdr:col>
                    <xdr:colOff>0</xdr:colOff>
                    <xdr:row>4</xdr:row>
                    <xdr:rowOff>352425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9" r:id="rId10" name="ResetAnser">
              <controlPr defaultSize="0" print="0" autoFill="0" autoPict="0" macro="[0]!ResetAnser">
                <anchor moveWithCells="1" sizeWithCells="1">
                  <from>
                    <xdr:col>19</xdr:col>
                    <xdr:colOff>0</xdr:colOff>
                    <xdr:row>6</xdr:row>
                    <xdr:rowOff>0</xdr:rowOff>
                  </from>
                  <to>
                    <xdr:col>21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0" r:id="rId11" name="AnserSelectMatches">
              <controlPr defaultSize="0" print="0" autoFill="0" autoPict="0" macro="[0]!AnserSelectMatches">
                <anchor moveWithCells="1" sizeWithCells="1">
                  <from>
                    <xdr:col>19</xdr:col>
                    <xdr:colOff>0</xdr:colOff>
                    <xdr:row>5</xdr:row>
                    <xdr:rowOff>0</xdr:rowOff>
                  </from>
                  <to>
                    <xdr:col>21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2" r:id="rId12" name="DisplayQuestion">
              <controlPr defaultSize="0" print="0" autoFill="0" autoPict="0" macro="[0]!DisplayQuestion">
                <anchor moveWithCells="1">
                  <from>
                    <xdr:col>19</xdr:col>
                    <xdr:colOff>9525</xdr:colOff>
                    <xdr:row>3</xdr:row>
                    <xdr:rowOff>0</xdr:rowOff>
                  </from>
                  <to>
                    <xdr:col>21</xdr:col>
                    <xdr:colOff>0</xdr:colOff>
                    <xdr:row>3</xdr:row>
                    <xdr:rowOff>352425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13C06D-1ED9-4ED1-AE6E-B533EAD988BF}">
  <sheetPr codeName="Sheet3"/>
  <dimension ref="A1:AI80"/>
  <sheetViews>
    <sheetView tabSelected="1" zoomScaleNormal="100" workbookViewId="0">
      <pane ySplit="1" topLeftCell="A73" activePane="bottomLeft" state="frozen"/>
      <selection pane="bottomLeft" activeCell="A80" sqref="A80"/>
    </sheetView>
  </sheetViews>
  <sheetFormatPr defaultRowHeight="17.649999999999999"/>
  <cols>
    <col min="1" max="1" width="16.0625" bestFit="1" customWidth="1"/>
    <col min="2" max="3" width="9" customWidth="1"/>
    <col min="7" max="7" width="10.5625" bestFit="1" customWidth="1"/>
    <col min="27" max="27" width="16.0625" bestFit="1" customWidth="1"/>
  </cols>
  <sheetData>
    <row r="1" spans="1:35" ht="246.75">
      <c r="A1" t="s">
        <v>0</v>
      </c>
      <c r="B1" s="4" t="s">
        <v>171</v>
      </c>
      <c r="C1" s="4" t="s">
        <v>172</v>
      </c>
      <c r="D1" s="4" t="s">
        <v>173</v>
      </c>
      <c r="E1" s="4" t="s">
        <v>174</v>
      </c>
      <c r="F1" s="4" t="s">
        <v>175</v>
      </c>
      <c r="G1" s="4" t="s">
        <v>10</v>
      </c>
      <c r="H1" s="4" t="s">
        <v>16</v>
      </c>
      <c r="I1" s="4" t="s">
        <v>15</v>
      </c>
      <c r="J1" s="4" t="s">
        <v>11</v>
      </c>
      <c r="K1" s="4" t="s">
        <v>179</v>
      </c>
      <c r="L1" s="4" t="s">
        <v>163</v>
      </c>
      <c r="M1" s="4" t="s">
        <v>207</v>
      </c>
      <c r="N1" s="4" t="s">
        <v>178</v>
      </c>
      <c r="O1" s="4" t="s">
        <v>180</v>
      </c>
      <c r="P1" s="4" t="s">
        <v>170</v>
      </c>
      <c r="AA1" t="s">
        <v>0</v>
      </c>
      <c r="AB1" s="4" t="s">
        <v>49</v>
      </c>
      <c r="AC1" s="4" t="s">
        <v>1</v>
      </c>
      <c r="AD1" s="4" t="s">
        <v>2</v>
      </c>
      <c r="AE1" s="4" t="s">
        <v>3</v>
      </c>
      <c r="AF1" s="4" t="s">
        <v>10</v>
      </c>
      <c r="AG1" s="4" t="s">
        <v>16</v>
      </c>
      <c r="AH1" s="4" t="s">
        <v>15</v>
      </c>
      <c r="AI1" s="4" t="s">
        <v>11</v>
      </c>
    </row>
    <row r="2" spans="1:35">
      <c r="A2" s="3">
        <v>45951.701574074075</v>
      </c>
      <c r="B2">
        <v>61</v>
      </c>
      <c r="C2">
        <v>16</v>
      </c>
      <c r="D2">
        <v>0</v>
      </c>
      <c r="E2">
        <v>17</v>
      </c>
      <c r="F2">
        <v>0</v>
      </c>
      <c r="G2" s="5">
        <v>1.4050925929041114E-2</v>
      </c>
      <c r="H2" t="s">
        <v>66</v>
      </c>
      <c r="I2" t="s">
        <v>48</v>
      </c>
      <c r="J2">
        <v>0</v>
      </c>
      <c r="AA2" s="3">
        <v>45951.701574074075</v>
      </c>
      <c r="AB2">
        <v>20</v>
      </c>
      <c r="AC2">
        <v>0</v>
      </c>
      <c r="AD2">
        <v>3</v>
      </c>
      <c r="AE2">
        <v>0</v>
      </c>
      <c r="AF2" s="5">
        <v>1.4050925929041114E-2</v>
      </c>
      <c r="AG2" t="s">
        <v>17</v>
      </c>
      <c r="AH2" t="s">
        <v>48</v>
      </c>
      <c r="AI2">
        <v>0</v>
      </c>
    </row>
    <row r="3" spans="1:35">
      <c r="A3" s="3">
        <v>45951.867650462962</v>
      </c>
      <c r="B3">
        <v>74</v>
      </c>
      <c r="C3">
        <v>10</v>
      </c>
      <c r="D3">
        <v>0</v>
      </c>
      <c r="E3">
        <v>0</v>
      </c>
      <c r="F3">
        <v>0</v>
      </c>
      <c r="G3" s="5">
        <v>1.0868055556784384E-2</v>
      </c>
      <c r="H3" t="s">
        <v>64</v>
      </c>
      <c r="I3" t="s">
        <v>65</v>
      </c>
      <c r="J3">
        <v>0</v>
      </c>
      <c r="AA3" s="3">
        <v>45951.867650462962</v>
      </c>
      <c r="AB3">
        <v>19</v>
      </c>
      <c r="AC3">
        <v>0</v>
      </c>
      <c r="AD3">
        <v>0</v>
      </c>
      <c r="AE3">
        <v>0</v>
      </c>
      <c r="AF3" s="5">
        <v>1.0868055556784384E-2</v>
      </c>
      <c r="AG3" t="s">
        <v>18</v>
      </c>
      <c r="AH3" t="s">
        <v>19</v>
      </c>
      <c r="AI3">
        <v>0</v>
      </c>
    </row>
    <row r="4" spans="1:35">
      <c r="A4" s="3">
        <v>45952.483495370368</v>
      </c>
      <c r="B4">
        <v>42</v>
      </c>
      <c r="C4">
        <v>10</v>
      </c>
      <c r="D4">
        <v>0</v>
      </c>
      <c r="E4">
        <v>27</v>
      </c>
      <c r="F4">
        <v>0</v>
      </c>
      <c r="G4" s="5">
        <v>1.7534722217533272E-2</v>
      </c>
      <c r="H4" t="s">
        <v>62</v>
      </c>
      <c r="I4" t="s">
        <v>63</v>
      </c>
      <c r="J4">
        <v>0</v>
      </c>
      <c r="AA4" s="3">
        <v>45952.483495370368</v>
      </c>
      <c r="AB4">
        <v>15</v>
      </c>
      <c r="AC4">
        <v>0</v>
      </c>
      <c r="AD4">
        <v>5</v>
      </c>
      <c r="AE4">
        <v>0</v>
      </c>
      <c r="AF4" s="5">
        <v>1.7534722217533272E-2</v>
      </c>
      <c r="AG4" t="s">
        <v>20</v>
      </c>
      <c r="AH4" t="s">
        <v>21</v>
      </c>
      <c r="AI4">
        <v>0</v>
      </c>
    </row>
    <row r="5" spans="1:35">
      <c r="A5" s="3">
        <v>45952.864699074074</v>
      </c>
      <c r="B5">
        <v>70</v>
      </c>
      <c r="C5">
        <v>32</v>
      </c>
      <c r="D5">
        <v>0</v>
      </c>
      <c r="E5">
        <v>4</v>
      </c>
      <c r="F5">
        <v>0</v>
      </c>
      <c r="G5" s="5">
        <v>1.9606481480877846E-2</v>
      </c>
      <c r="H5" t="s">
        <v>60</v>
      </c>
      <c r="I5" t="s">
        <v>61</v>
      </c>
      <c r="J5">
        <v>0</v>
      </c>
      <c r="AA5" s="3">
        <v>45952.864699074074</v>
      </c>
      <c r="AB5">
        <v>29</v>
      </c>
      <c r="AC5">
        <v>0</v>
      </c>
      <c r="AD5">
        <v>1</v>
      </c>
      <c r="AE5">
        <v>0</v>
      </c>
      <c r="AF5" s="5">
        <v>1.9606481480877846E-2</v>
      </c>
      <c r="AG5" t="s">
        <v>22</v>
      </c>
      <c r="AH5" t="s">
        <v>23</v>
      </c>
      <c r="AI5">
        <v>0</v>
      </c>
    </row>
    <row r="6" spans="1:35">
      <c r="A6" s="3">
        <v>45953.849791666667</v>
      </c>
      <c r="B6">
        <v>53</v>
      </c>
      <c r="C6">
        <v>105</v>
      </c>
      <c r="D6">
        <v>0</v>
      </c>
      <c r="E6">
        <v>4</v>
      </c>
      <c r="F6">
        <v>0</v>
      </c>
      <c r="G6" s="5">
        <v>1.4953703706851229E-2</v>
      </c>
      <c r="H6" t="s">
        <v>58</v>
      </c>
      <c r="I6" t="s">
        <v>59</v>
      </c>
      <c r="J6">
        <v>0</v>
      </c>
      <c r="AA6" s="3">
        <v>45953.849791666667</v>
      </c>
      <c r="AB6">
        <v>65</v>
      </c>
      <c r="AC6">
        <v>0</v>
      </c>
      <c r="AD6">
        <v>1</v>
      </c>
      <c r="AE6">
        <v>0</v>
      </c>
      <c r="AF6" s="5">
        <v>1.4953703706851229E-2</v>
      </c>
      <c r="AG6" t="s">
        <v>32</v>
      </c>
      <c r="AH6" t="s">
        <v>33</v>
      </c>
      <c r="AI6">
        <v>0</v>
      </c>
    </row>
    <row r="7" spans="1:35">
      <c r="A7" s="3">
        <v>45953.869490740741</v>
      </c>
      <c r="B7">
        <v>58</v>
      </c>
      <c r="C7">
        <v>82</v>
      </c>
      <c r="D7">
        <v>0</v>
      </c>
      <c r="E7">
        <v>3</v>
      </c>
      <c r="F7">
        <v>0</v>
      </c>
      <c r="G7" s="5">
        <v>1.8831018518540077E-2</v>
      </c>
      <c r="H7" t="s">
        <v>56</v>
      </c>
      <c r="I7" t="s">
        <v>57</v>
      </c>
      <c r="J7">
        <v>0</v>
      </c>
      <c r="AA7" s="3">
        <v>45953.869490740741</v>
      </c>
      <c r="AB7">
        <v>54</v>
      </c>
      <c r="AC7">
        <v>0</v>
      </c>
      <c r="AD7">
        <v>1</v>
      </c>
      <c r="AE7">
        <v>0</v>
      </c>
      <c r="AF7" s="5">
        <v>1.8831018518540077E-2</v>
      </c>
      <c r="AG7" t="s">
        <v>34</v>
      </c>
      <c r="AH7" t="s">
        <v>35</v>
      </c>
      <c r="AI7">
        <v>0</v>
      </c>
    </row>
    <row r="8" spans="1:35">
      <c r="A8" s="3">
        <v>45954.406076388892</v>
      </c>
      <c r="B8">
        <v>50</v>
      </c>
      <c r="C8">
        <v>67</v>
      </c>
      <c r="D8">
        <v>0</v>
      </c>
      <c r="E8">
        <v>13</v>
      </c>
      <c r="F8">
        <v>0</v>
      </c>
      <c r="G8" s="5">
        <v>1.0740740741312038E-2</v>
      </c>
      <c r="H8" t="s">
        <v>54</v>
      </c>
      <c r="I8" t="s">
        <v>55</v>
      </c>
      <c r="J8">
        <v>0</v>
      </c>
      <c r="AA8" s="3">
        <v>45954.406076388892</v>
      </c>
      <c r="AB8">
        <v>45</v>
      </c>
      <c r="AC8">
        <v>0</v>
      </c>
      <c r="AD8">
        <v>3</v>
      </c>
      <c r="AE8">
        <v>0</v>
      </c>
      <c r="AF8" s="5">
        <v>1.0740740741312038E-2</v>
      </c>
      <c r="AG8" t="s">
        <v>36</v>
      </c>
      <c r="AH8" t="s">
        <v>37</v>
      </c>
      <c r="AI8">
        <v>0</v>
      </c>
    </row>
    <row r="9" spans="1:35">
      <c r="A9" s="3">
        <v>45954.875092592592</v>
      </c>
      <c r="B9">
        <v>57</v>
      </c>
      <c r="C9">
        <v>66</v>
      </c>
      <c r="D9">
        <v>0</v>
      </c>
      <c r="E9">
        <v>7</v>
      </c>
      <c r="F9">
        <v>0</v>
      </c>
      <c r="G9" s="5">
        <v>2.0335648150648922E-2</v>
      </c>
      <c r="H9" t="s">
        <v>52</v>
      </c>
      <c r="I9" t="s">
        <v>53</v>
      </c>
      <c r="J9">
        <v>0</v>
      </c>
      <c r="AA9" s="3">
        <v>45954.875092592592</v>
      </c>
      <c r="AB9">
        <v>43</v>
      </c>
      <c r="AC9">
        <v>0</v>
      </c>
      <c r="AD9">
        <v>2</v>
      </c>
      <c r="AE9">
        <v>0</v>
      </c>
      <c r="AF9" s="5">
        <v>2.0335648150648922E-2</v>
      </c>
      <c r="AG9" t="s">
        <v>38</v>
      </c>
      <c r="AH9" t="s">
        <v>39</v>
      </c>
      <c r="AI9">
        <v>0</v>
      </c>
    </row>
    <row r="10" spans="1:35">
      <c r="A10" s="3">
        <v>45956.6015625</v>
      </c>
      <c r="B10">
        <v>31</v>
      </c>
      <c r="C10">
        <v>14</v>
      </c>
      <c r="D10">
        <v>0</v>
      </c>
      <c r="E10">
        <v>29</v>
      </c>
      <c r="F10">
        <v>0</v>
      </c>
      <c r="G10" s="5">
        <v>1.4293981483206153E-2</v>
      </c>
      <c r="H10" t="s">
        <v>50</v>
      </c>
      <c r="I10" t="s">
        <v>51</v>
      </c>
      <c r="J10">
        <v>0</v>
      </c>
    </row>
    <row r="11" spans="1:35">
      <c r="A11" s="3">
        <v>45958.470810185187</v>
      </c>
      <c r="B11">
        <v>60</v>
      </c>
      <c r="C11">
        <v>16</v>
      </c>
      <c r="D11">
        <v>0</v>
      </c>
      <c r="E11">
        <v>0</v>
      </c>
      <c r="F11">
        <v>0</v>
      </c>
      <c r="G11" s="5">
        <v>6.7708333372138441E-3</v>
      </c>
      <c r="H11" t="s">
        <v>67</v>
      </c>
      <c r="I11" t="s">
        <v>68</v>
      </c>
      <c r="J11">
        <v>0</v>
      </c>
    </row>
    <row r="12" spans="1:35">
      <c r="A12" s="3">
        <v>45958.877384259256</v>
      </c>
      <c r="B12">
        <v>60</v>
      </c>
      <c r="C12">
        <v>10</v>
      </c>
      <c r="D12">
        <v>0</v>
      </c>
      <c r="E12">
        <v>0</v>
      </c>
      <c r="F12">
        <v>0</v>
      </c>
      <c r="G12" s="5">
        <v>1.0983796295477077E-2</v>
      </c>
      <c r="H12" t="s">
        <v>69</v>
      </c>
      <c r="I12" t="s">
        <v>70</v>
      </c>
      <c r="J12">
        <v>0</v>
      </c>
    </row>
    <row r="13" spans="1:35">
      <c r="A13" s="3">
        <v>45960.297789351855</v>
      </c>
      <c r="B13">
        <v>60</v>
      </c>
      <c r="C13">
        <v>22</v>
      </c>
      <c r="D13">
        <v>0</v>
      </c>
      <c r="E13">
        <v>0</v>
      </c>
      <c r="F13">
        <v>0</v>
      </c>
      <c r="G13" s="5">
        <v>6.7592592604341917E-3</v>
      </c>
      <c r="H13" t="s">
        <v>71</v>
      </c>
      <c r="I13" t="s">
        <v>72</v>
      </c>
      <c r="J13">
        <v>0</v>
      </c>
    </row>
    <row r="14" spans="1:35">
      <c r="A14" s="3">
        <v>45960.313784722224</v>
      </c>
      <c r="B14">
        <v>53</v>
      </c>
      <c r="C14">
        <v>26</v>
      </c>
      <c r="D14">
        <v>0</v>
      </c>
      <c r="E14">
        <v>7</v>
      </c>
      <c r="F14">
        <v>0</v>
      </c>
      <c r="G14" s="5">
        <v>1.5023148152977228E-2</v>
      </c>
      <c r="H14" t="s">
        <v>73</v>
      </c>
      <c r="I14" t="s">
        <v>74</v>
      </c>
      <c r="J14">
        <v>0</v>
      </c>
    </row>
    <row r="15" spans="1:35">
      <c r="A15" s="3">
        <v>45963.852662037039</v>
      </c>
      <c r="B15">
        <v>60</v>
      </c>
      <c r="C15">
        <v>14</v>
      </c>
      <c r="D15">
        <v>0</v>
      </c>
      <c r="E15">
        <v>0</v>
      </c>
      <c r="F15">
        <v>0</v>
      </c>
      <c r="G15" s="5">
        <v>1.2187500004074536E-2</v>
      </c>
      <c r="H15" t="s">
        <v>75</v>
      </c>
      <c r="I15" t="s">
        <v>76</v>
      </c>
      <c r="J15">
        <v>0</v>
      </c>
    </row>
    <row r="16" spans="1:35">
      <c r="A16" s="3">
        <v>45963.866400462961</v>
      </c>
      <c r="B16">
        <v>60</v>
      </c>
      <c r="C16">
        <v>34</v>
      </c>
      <c r="D16">
        <v>1</v>
      </c>
      <c r="E16">
        <v>0</v>
      </c>
      <c r="F16">
        <v>0</v>
      </c>
      <c r="G16" s="5">
        <v>1.2881944443506654E-2</v>
      </c>
      <c r="H16" t="s">
        <v>77</v>
      </c>
      <c r="I16" t="s">
        <v>78</v>
      </c>
      <c r="J16">
        <v>0</v>
      </c>
    </row>
    <row r="17" spans="1:16">
      <c r="A17" s="3">
        <v>45964.374537037038</v>
      </c>
      <c r="B17">
        <v>55</v>
      </c>
      <c r="C17">
        <v>22</v>
      </c>
      <c r="D17">
        <v>1</v>
      </c>
      <c r="E17">
        <v>5</v>
      </c>
      <c r="F17">
        <v>0</v>
      </c>
      <c r="G17" s="5">
        <v>1.7210648147738539E-2</v>
      </c>
      <c r="H17" t="s">
        <v>79</v>
      </c>
      <c r="I17" t="s">
        <v>80</v>
      </c>
      <c r="J17">
        <v>0</v>
      </c>
      <c r="K17">
        <f>IF(A17&lt;DATEVALUE("2025/11/20"),1,IF(B17-SUM(D17:F17)&lt;&gt;60,0,MAX(2-INT(G17*24*60/10),0)))</f>
        <v>1</v>
      </c>
      <c r="L17">
        <f>L16+K17</f>
        <v>1</v>
      </c>
      <c r="M17">
        <f>2+IF(A17&gt;=DATEVALUE("2025/11/30"),1,0)</f>
        <v>2</v>
      </c>
      <c r="N17">
        <f t="shared" ref="N17:N63" si="0">N16+M17*(INT(A17-6/24)-INT(A16-6/24))+O17</f>
        <v>2</v>
      </c>
      <c r="O17">
        <f>IF(A17&gt;=DATEVALUE("2025/11/8"),1,0)-IF(A16&gt;=DATEVALUE("2025/11/8"),1,0)</f>
        <v>0</v>
      </c>
      <c r="P17" t="str">
        <f>IF(L17&lt;N17,"未達成（"&amp;N17-L17&amp;"）",IF(L17=N17,"達成","前倒し（"&amp;L17-N17&amp;"）"))</f>
        <v>未達成（1）</v>
      </c>
    </row>
    <row r="18" spans="1:16">
      <c r="A18" s="3">
        <v>45964.485486111109</v>
      </c>
      <c r="B18">
        <v>53</v>
      </c>
      <c r="C18">
        <v>20</v>
      </c>
      <c r="D18">
        <v>0</v>
      </c>
      <c r="E18">
        <v>7</v>
      </c>
      <c r="F18">
        <v>0</v>
      </c>
      <c r="G18" s="5">
        <v>1.5312499999708962E-2</v>
      </c>
      <c r="H18" t="s">
        <v>81</v>
      </c>
      <c r="I18" t="s">
        <v>82</v>
      </c>
      <c r="J18">
        <v>0</v>
      </c>
      <c r="K18">
        <f t="shared" ref="K18:K62" si="1">IF(A18&lt;DATEVALUE("2025/11/20"),1,IF(B18-SUM(D18:F18)&lt;&gt;60,0,MAX(2-INT(G18*24*60/10),0)))</f>
        <v>1</v>
      </c>
      <c r="L18">
        <f t="shared" ref="L18:L58" si="2">L17+K18</f>
        <v>2</v>
      </c>
      <c r="M18">
        <f t="shared" ref="M18:M75" si="3">2+IF(A18&gt;=DATEVALUE("2025/11/30"),1,0)</f>
        <v>2</v>
      </c>
      <c r="N18">
        <f t="shared" si="0"/>
        <v>2</v>
      </c>
      <c r="O18">
        <f t="shared" ref="O18:O75" si="4">IF(A18&gt;=DATEVALUE("2025/11/8"),1,0)-IF(A17&gt;=DATEVALUE("2025/11/8"),1,0)</f>
        <v>0</v>
      </c>
      <c r="P18" t="str">
        <f t="shared" ref="P18:P58" si="5">IF(L18&lt;N18,"未達成（"&amp;N18-L18&amp;"）",IF(L18=N18,"達成","前倒し（"&amp;L18-N18&amp;"）"))</f>
        <v>達成</v>
      </c>
    </row>
    <row r="19" spans="1:16">
      <c r="A19" s="3">
        <v>45965.688217592593</v>
      </c>
      <c r="B19">
        <v>60</v>
      </c>
      <c r="C19">
        <v>23</v>
      </c>
      <c r="D19">
        <v>0</v>
      </c>
      <c r="E19">
        <v>0</v>
      </c>
      <c r="F19">
        <v>0</v>
      </c>
      <c r="G19" s="5">
        <v>1.5277777776645962E-2</v>
      </c>
      <c r="H19" t="s">
        <v>83</v>
      </c>
      <c r="I19" t="s">
        <v>84</v>
      </c>
      <c r="J19">
        <v>0</v>
      </c>
      <c r="K19">
        <f t="shared" si="1"/>
        <v>1</v>
      </c>
      <c r="L19">
        <f t="shared" si="2"/>
        <v>3</v>
      </c>
      <c r="M19">
        <f t="shared" si="3"/>
        <v>2</v>
      </c>
      <c r="N19">
        <f t="shared" si="0"/>
        <v>4</v>
      </c>
      <c r="O19">
        <f t="shared" si="4"/>
        <v>0</v>
      </c>
      <c r="P19" t="str">
        <f t="shared" si="5"/>
        <v>未達成（1）</v>
      </c>
    </row>
    <row r="20" spans="1:16">
      <c r="A20" s="3">
        <v>45965.84888888889</v>
      </c>
      <c r="B20">
        <v>60</v>
      </c>
      <c r="C20">
        <v>23</v>
      </c>
      <c r="D20">
        <v>0</v>
      </c>
      <c r="E20">
        <v>0</v>
      </c>
      <c r="F20">
        <v>0</v>
      </c>
      <c r="G20" s="5">
        <v>1.4004629629198462E-2</v>
      </c>
      <c r="H20" t="s">
        <v>85</v>
      </c>
      <c r="I20" t="s">
        <v>86</v>
      </c>
      <c r="J20">
        <v>0</v>
      </c>
      <c r="K20">
        <f t="shared" si="1"/>
        <v>1</v>
      </c>
      <c r="L20">
        <f t="shared" si="2"/>
        <v>4</v>
      </c>
      <c r="M20">
        <f t="shared" si="3"/>
        <v>2</v>
      </c>
      <c r="N20">
        <f t="shared" si="0"/>
        <v>4</v>
      </c>
      <c r="O20">
        <f t="shared" si="4"/>
        <v>0</v>
      </c>
      <c r="P20" t="str">
        <f t="shared" si="5"/>
        <v>達成</v>
      </c>
    </row>
    <row r="21" spans="1:16">
      <c r="A21" s="3">
        <v>45966.436736111114</v>
      </c>
      <c r="B21">
        <v>56</v>
      </c>
      <c r="C21">
        <v>61</v>
      </c>
      <c r="D21">
        <v>0</v>
      </c>
      <c r="E21">
        <v>4</v>
      </c>
      <c r="F21">
        <v>0</v>
      </c>
      <c r="G21" s="5">
        <v>7.9398148154723458E-3</v>
      </c>
      <c r="H21" t="s">
        <v>87</v>
      </c>
      <c r="I21" t="s">
        <v>88</v>
      </c>
      <c r="J21">
        <v>0</v>
      </c>
      <c r="K21">
        <f t="shared" si="1"/>
        <v>1</v>
      </c>
      <c r="L21">
        <f t="shared" si="2"/>
        <v>5</v>
      </c>
      <c r="M21">
        <f t="shared" si="3"/>
        <v>2</v>
      </c>
      <c r="N21">
        <f t="shared" si="0"/>
        <v>6</v>
      </c>
      <c r="O21">
        <f t="shared" si="4"/>
        <v>0</v>
      </c>
      <c r="P21" t="str">
        <f t="shared" si="5"/>
        <v>未達成（1）</v>
      </c>
    </row>
    <row r="22" spans="1:16">
      <c r="A22" s="3">
        <v>45966.85869212963</v>
      </c>
      <c r="B22">
        <v>60</v>
      </c>
      <c r="C22">
        <v>80</v>
      </c>
      <c r="D22">
        <v>0</v>
      </c>
      <c r="E22">
        <v>0</v>
      </c>
      <c r="F22">
        <v>0</v>
      </c>
      <c r="G22" s="5">
        <v>1.4085648152104113E-2</v>
      </c>
      <c r="H22" t="s">
        <v>89</v>
      </c>
      <c r="I22" t="s">
        <v>90</v>
      </c>
      <c r="J22">
        <v>0</v>
      </c>
      <c r="K22">
        <f t="shared" si="1"/>
        <v>1</v>
      </c>
      <c r="L22">
        <f t="shared" si="2"/>
        <v>6</v>
      </c>
      <c r="M22">
        <f t="shared" si="3"/>
        <v>2</v>
      </c>
      <c r="N22">
        <f t="shared" si="0"/>
        <v>6</v>
      </c>
      <c r="O22">
        <f t="shared" si="4"/>
        <v>0</v>
      </c>
      <c r="P22" t="str">
        <f t="shared" si="5"/>
        <v>達成</v>
      </c>
    </row>
    <row r="23" spans="1:16">
      <c r="A23" s="3">
        <v>45967.811736111114</v>
      </c>
      <c r="B23">
        <v>60</v>
      </c>
      <c r="C23">
        <v>104</v>
      </c>
      <c r="D23">
        <v>0</v>
      </c>
      <c r="E23">
        <v>0</v>
      </c>
      <c r="F23">
        <v>0</v>
      </c>
      <c r="G23" s="5">
        <v>1.5046296299260575E-2</v>
      </c>
      <c r="H23" t="s">
        <v>91</v>
      </c>
      <c r="I23" t="s">
        <v>92</v>
      </c>
      <c r="J23">
        <v>0</v>
      </c>
      <c r="K23">
        <f t="shared" si="1"/>
        <v>1</v>
      </c>
      <c r="L23">
        <f t="shared" si="2"/>
        <v>7</v>
      </c>
      <c r="M23">
        <f t="shared" si="3"/>
        <v>2</v>
      </c>
      <c r="N23">
        <f t="shared" si="0"/>
        <v>8</v>
      </c>
      <c r="O23">
        <f t="shared" si="4"/>
        <v>0</v>
      </c>
      <c r="P23" t="str">
        <f t="shared" si="5"/>
        <v>未達成（1）</v>
      </c>
    </row>
    <row r="24" spans="1:16">
      <c r="A24" s="3">
        <v>45967.82545138889</v>
      </c>
      <c r="B24">
        <v>60</v>
      </c>
      <c r="C24">
        <v>92</v>
      </c>
      <c r="D24">
        <v>0</v>
      </c>
      <c r="E24">
        <v>0</v>
      </c>
      <c r="F24">
        <v>0</v>
      </c>
      <c r="G24" s="5">
        <v>1.226851851970423E-2</v>
      </c>
      <c r="H24" t="s">
        <v>93</v>
      </c>
      <c r="I24" t="s">
        <v>94</v>
      </c>
      <c r="J24">
        <v>0</v>
      </c>
      <c r="K24">
        <f t="shared" si="1"/>
        <v>1</v>
      </c>
      <c r="L24">
        <f t="shared" si="2"/>
        <v>8</v>
      </c>
      <c r="M24">
        <f t="shared" si="3"/>
        <v>2</v>
      </c>
      <c r="N24">
        <f t="shared" si="0"/>
        <v>8</v>
      </c>
      <c r="O24">
        <f t="shared" si="4"/>
        <v>0</v>
      </c>
      <c r="P24" t="str">
        <f t="shared" si="5"/>
        <v>達成</v>
      </c>
    </row>
    <row r="25" spans="1:16">
      <c r="A25" s="3">
        <v>45968.850543981483</v>
      </c>
      <c r="B25">
        <v>60</v>
      </c>
      <c r="C25">
        <v>102</v>
      </c>
      <c r="D25">
        <v>0</v>
      </c>
      <c r="E25">
        <v>0</v>
      </c>
      <c r="F25">
        <v>0</v>
      </c>
      <c r="G25" s="5">
        <v>2.5509259263344575E-2</v>
      </c>
      <c r="H25" t="s">
        <v>95</v>
      </c>
      <c r="I25" t="s">
        <v>96</v>
      </c>
      <c r="J25">
        <v>0</v>
      </c>
      <c r="K25">
        <f t="shared" si="1"/>
        <v>1</v>
      </c>
      <c r="L25">
        <f t="shared" si="2"/>
        <v>9</v>
      </c>
      <c r="M25">
        <f t="shared" si="3"/>
        <v>2</v>
      </c>
      <c r="N25">
        <f t="shared" si="0"/>
        <v>10</v>
      </c>
      <c r="O25">
        <f t="shared" si="4"/>
        <v>0</v>
      </c>
      <c r="P25" t="str">
        <f t="shared" si="5"/>
        <v>未達成（1）</v>
      </c>
    </row>
    <row r="26" spans="1:16">
      <c r="A26" s="3">
        <v>45968.864317129628</v>
      </c>
      <c r="B26">
        <v>60</v>
      </c>
      <c r="C26">
        <v>115</v>
      </c>
      <c r="D26">
        <v>0</v>
      </c>
      <c r="E26">
        <v>0</v>
      </c>
      <c r="F26">
        <v>0</v>
      </c>
      <c r="G26" s="5">
        <v>1.2974537035916001E-2</v>
      </c>
      <c r="H26" t="s">
        <v>97</v>
      </c>
      <c r="I26" t="s">
        <v>98</v>
      </c>
      <c r="J26">
        <v>0</v>
      </c>
      <c r="K26">
        <f t="shared" si="1"/>
        <v>1</v>
      </c>
      <c r="L26">
        <f t="shared" si="2"/>
        <v>10</v>
      </c>
      <c r="M26">
        <f t="shared" si="3"/>
        <v>2</v>
      </c>
      <c r="N26">
        <f t="shared" si="0"/>
        <v>10</v>
      </c>
      <c r="O26">
        <f t="shared" si="4"/>
        <v>0</v>
      </c>
      <c r="P26" t="str">
        <f t="shared" si="5"/>
        <v>達成</v>
      </c>
    </row>
    <row r="27" spans="1:16">
      <c r="A27" s="3">
        <v>45969.555104166669</v>
      </c>
      <c r="B27">
        <v>55</v>
      </c>
      <c r="C27">
        <v>72</v>
      </c>
      <c r="D27">
        <v>0</v>
      </c>
      <c r="E27">
        <v>5</v>
      </c>
      <c r="F27">
        <v>0</v>
      </c>
      <c r="G27" s="5">
        <v>1.0231481486698613E-2</v>
      </c>
      <c r="H27" t="s">
        <v>99</v>
      </c>
      <c r="I27" t="s">
        <v>100</v>
      </c>
      <c r="J27">
        <v>0</v>
      </c>
      <c r="K27">
        <f t="shared" si="1"/>
        <v>1</v>
      </c>
      <c r="L27">
        <f t="shared" si="2"/>
        <v>11</v>
      </c>
      <c r="M27">
        <f t="shared" si="3"/>
        <v>2</v>
      </c>
      <c r="N27">
        <f t="shared" si="0"/>
        <v>13</v>
      </c>
      <c r="O27">
        <f t="shared" si="4"/>
        <v>1</v>
      </c>
      <c r="P27" t="str">
        <f t="shared" si="5"/>
        <v>未達成（2）</v>
      </c>
    </row>
    <row r="28" spans="1:16">
      <c r="A28" s="3">
        <v>45969.845405092594</v>
      </c>
      <c r="B28">
        <v>60</v>
      </c>
      <c r="C28">
        <v>25</v>
      </c>
      <c r="D28">
        <v>0</v>
      </c>
      <c r="E28">
        <v>0</v>
      </c>
      <c r="F28">
        <v>0</v>
      </c>
      <c r="G28" s="5">
        <v>1.1145833334012423E-2</v>
      </c>
      <c r="H28" t="s">
        <v>101</v>
      </c>
      <c r="I28" t="s">
        <v>102</v>
      </c>
      <c r="J28">
        <v>0</v>
      </c>
      <c r="K28">
        <f t="shared" si="1"/>
        <v>1</v>
      </c>
      <c r="L28">
        <f t="shared" si="2"/>
        <v>12</v>
      </c>
      <c r="M28">
        <f t="shared" si="3"/>
        <v>2</v>
      </c>
      <c r="N28">
        <f t="shared" si="0"/>
        <v>13</v>
      </c>
      <c r="O28">
        <f t="shared" si="4"/>
        <v>0</v>
      </c>
      <c r="P28" t="str">
        <f t="shared" si="5"/>
        <v>未達成（1）</v>
      </c>
    </row>
    <row r="29" spans="1:16">
      <c r="A29" s="3">
        <v>45969.862083333333</v>
      </c>
      <c r="B29">
        <v>60</v>
      </c>
      <c r="C29">
        <v>32</v>
      </c>
      <c r="D29">
        <v>0</v>
      </c>
      <c r="E29">
        <v>0</v>
      </c>
      <c r="F29">
        <v>0</v>
      </c>
      <c r="G29" s="5">
        <v>1.6215277777519077E-2</v>
      </c>
      <c r="H29" t="s">
        <v>103</v>
      </c>
      <c r="I29" t="s">
        <v>104</v>
      </c>
      <c r="J29">
        <v>0</v>
      </c>
      <c r="K29">
        <f t="shared" si="1"/>
        <v>1</v>
      </c>
      <c r="L29">
        <f t="shared" si="2"/>
        <v>13</v>
      </c>
      <c r="M29">
        <f t="shared" si="3"/>
        <v>2</v>
      </c>
      <c r="N29">
        <f t="shared" si="0"/>
        <v>13</v>
      </c>
      <c r="O29">
        <f t="shared" si="4"/>
        <v>0</v>
      </c>
      <c r="P29" t="str">
        <f t="shared" si="5"/>
        <v>達成</v>
      </c>
    </row>
    <row r="30" spans="1:16">
      <c r="A30" s="3">
        <v>45970.704884259256</v>
      </c>
      <c r="B30">
        <v>60</v>
      </c>
      <c r="C30">
        <v>30</v>
      </c>
      <c r="D30">
        <v>0</v>
      </c>
      <c r="E30">
        <v>0</v>
      </c>
      <c r="F30">
        <v>0</v>
      </c>
      <c r="G30" s="5">
        <v>8.5648148087784648E-3</v>
      </c>
      <c r="H30" t="s">
        <v>105</v>
      </c>
      <c r="I30" t="s">
        <v>106</v>
      </c>
      <c r="J30">
        <v>0</v>
      </c>
      <c r="K30">
        <f t="shared" si="1"/>
        <v>1</v>
      </c>
      <c r="L30">
        <f t="shared" si="2"/>
        <v>14</v>
      </c>
      <c r="M30">
        <f t="shared" si="3"/>
        <v>2</v>
      </c>
      <c r="N30">
        <f t="shared" si="0"/>
        <v>15</v>
      </c>
      <c r="O30">
        <f t="shared" si="4"/>
        <v>0</v>
      </c>
      <c r="P30" t="str">
        <f t="shared" si="5"/>
        <v>未達成（1）</v>
      </c>
    </row>
    <row r="31" spans="1:16">
      <c r="A31" s="3">
        <v>45970.721099537041</v>
      </c>
      <c r="B31">
        <v>60</v>
      </c>
      <c r="C31">
        <v>33</v>
      </c>
      <c r="D31">
        <v>0</v>
      </c>
      <c r="E31">
        <v>0</v>
      </c>
      <c r="F31">
        <v>0</v>
      </c>
      <c r="G31" s="5">
        <v>1.4189814821293112E-2</v>
      </c>
      <c r="H31" t="s">
        <v>107</v>
      </c>
      <c r="I31" t="s">
        <v>108</v>
      </c>
      <c r="J31">
        <v>0</v>
      </c>
      <c r="K31">
        <f t="shared" si="1"/>
        <v>1</v>
      </c>
      <c r="L31">
        <f t="shared" si="2"/>
        <v>15</v>
      </c>
      <c r="M31">
        <f t="shared" si="3"/>
        <v>2</v>
      </c>
      <c r="N31">
        <f t="shared" si="0"/>
        <v>15</v>
      </c>
      <c r="O31">
        <f t="shared" si="4"/>
        <v>0</v>
      </c>
      <c r="P31" t="str">
        <f t="shared" si="5"/>
        <v>達成</v>
      </c>
    </row>
    <row r="32" spans="1:16">
      <c r="A32" s="3">
        <v>45971.832638888889</v>
      </c>
      <c r="B32">
        <v>56</v>
      </c>
      <c r="C32">
        <v>26</v>
      </c>
      <c r="D32">
        <v>0</v>
      </c>
      <c r="E32">
        <v>4</v>
      </c>
      <c r="F32">
        <v>0</v>
      </c>
      <c r="G32" s="5">
        <v>1.2141203704231884E-2</v>
      </c>
      <c r="H32" t="s">
        <v>109</v>
      </c>
      <c r="I32" t="s">
        <v>110</v>
      </c>
      <c r="J32">
        <v>0</v>
      </c>
      <c r="K32">
        <f t="shared" si="1"/>
        <v>1</v>
      </c>
      <c r="L32">
        <f t="shared" si="2"/>
        <v>16</v>
      </c>
      <c r="M32">
        <f t="shared" si="3"/>
        <v>2</v>
      </c>
      <c r="N32">
        <f t="shared" si="0"/>
        <v>17</v>
      </c>
      <c r="O32">
        <f t="shared" si="4"/>
        <v>0</v>
      </c>
      <c r="P32" t="str">
        <f t="shared" si="5"/>
        <v>未達成（1）</v>
      </c>
    </row>
    <row r="33" spans="1:16">
      <c r="A33" s="3">
        <v>45971.844918981478</v>
      </c>
      <c r="B33">
        <v>60</v>
      </c>
      <c r="C33">
        <v>16</v>
      </c>
      <c r="D33">
        <v>0</v>
      </c>
      <c r="E33">
        <v>0</v>
      </c>
      <c r="F33">
        <v>0</v>
      </c>
      <c r="G33" s="5">
        <v>1.1770833327318542E-2</v>
      </c>
      <c r="H33" t="s">
        <v>111</v>
      </c>
      <c r="I33" t="s">
        <v>112</v>
      </c>
      <c r="J33">
        <v>0</v>
      </c>
      <c r="K33">
        <f t="shared" si="1"/>
        <v>1</v>
      </c>
      <c r="L33">
        <f t="shared" si="2"/>
        <v>17</v>
      </c>
      <c r="M33">
        <f t="shared" si="3"/>
        <v>2</v>
      </c>
      <c r="N33">
        <f t="shared" si="0"/>
        <v>17</v>
      </c>
      <c r="O33">
        <f t="shared" si="4"/>
        <v>0</v>
      </c>
      <c r="P33" t="str">
        <f t="shared" si="5"/>
        <v>達成</v>
      </c>
    </row>
    <row r="34" spans="1:16">
      <c r="A34" s="3">
        <v>45972.780532407407</v>
      </c>
      <c r="B34">
        <v>60</v>
      </c>
      <c r="C34">
        <v>29</v>
      </c>
      <c r="D34">
        <v>0</v>
      </c>
      <c r="E34">
        <v>0</v>
      </c>
      <c r="F34">
        <v>0</v>
      </c>
      <c r="G34" s="5">
        <v>9.3750000014551915E-3</v>
      </c>
      <c r="H34" t="s">
        <v>113</v>
      </c>
      <c r="I34" t="s">
        <v>114</v>
      </c>
      <c r="J34">
        <v>0</v>
      </c>
      <c r="K34">
        <f t="shared" si="1"/>
        <v>1</v>
      </c>
      <c r="L34">
        <f t="shared" si="2"/>
        <v>18</v>
      </c>
      <c r="M34">
        <f t="shared" si="3"/>
        <v>2</v>
      </c>
      <c r="N34">
        <f t="shared" si="0"/>
        <v>19</v>
      </c>
      <c r="O34">
        <f t="shared" si="4"/>
        <v>0</v>
      </c>
      <c r="P34" t="str">
        <f t="shared" si="5"/>
        <v>未達成（1）</v>
      </c>
    </row>
    <row r="35" spans="1:16">
      <c r="A35" s="3">
        <v>45972.793865740743</v>
      </c>
      <c r="B35">
        <v>60</v>
      </c>
      <c r="C35">
        <v>25</v>
      </c>
      <c r="D35">
        <v>0</v>
      </c>
      <c r="E35">
        <v>0</v>
      </c>
      <c r="F35">
        <v>0</v>
      </c>
      <c r="G35" s="5">
        <v>1.2557870373711921E-2</v>
      </c>
      <c r="H35" t="s">
        <v>115</v>
      </c>
      <c r="I35" t="s">
        <v>116</v>
      </c>
      <c r="J35">
        <v>0</v>
      </c>
      <c r="K35">
        <f t="shared" si="1"/>
        <v>1</v>
      </c>
      <c r="L35">
        <f t="shared" si="2"/>
        <v>19</v>
      </c>
      <c r="M35">
        <f t="shared" si="3"/>
        <v>2</v>
      </c>
      <c r="N35">
        <f t="shared" si="0"/>
        <v>19</v>
      </c>
      <c r="O35">
        <f t="shared" si="4"/>
        <v>0</v>
      </c>
      <c r="P35" t="str">
        <f t="shared" si="5"/>
        <v>達成</v>
      </c>
    </row>
    <row r="36" spans="1:16">
      <c r="A36" s="3">
        <v>45973.843310185184</v>
      </c>
      <c r="B36">
        <v>55</v>
      </c>
      <c r="C36">
        <v>21</v>
      </c>
      <c r="D36">
        <v>0</v>
      </c>
      <c r="E36">
        <v>5</v>
      </c>
      <c r="F36">
        <v>3</v>
      </c>
      <c r="G36" s="5">
        <v>1.0891203703067731E-2</v>
      </c>
      <c r="H36" t="s">
        <v>119</v>
      </c>
      <c r="I36" t="s">
        <v>120</v>
      </c>
      <c r="J36">
        <v>0</v>
      </c>
      <c r="K36">
        <f t="shared" si="1"/>
        <v>1</v>
      </c>
      <c r="L36">
        <f t="shared" si="2"/>
        <v>20</v>
      </c>
      <c r="M36">
        <f t="shared" si="3"/>
        <v>2</v>
      </c>
      <c r="N36">
        <f t="shared" si="0"/>
        <v>21</v>
      </c>
      <c r="O36">
        <f t="shared" si="4"/>
        <v>0</v>
      </c>
      <c r="P36" t="str">
        <f t="shared" si="5"/>
        <v>未達成（1）</v>
      </c>
    </row>
    <row r="37" spans="1:16">
      <c r="A37" s="3">
        <v>45973.856666666667</v>
      </c>
      <c r="B37">
        <v>60</v>
      </c>
      <c r="C37">
        <v>27</v>
      </c>
      <c r="D37">
        <v>0</v>
      </c>
      <c r="E37">
        <v>0</v>
      </c>
      <c r="F37">
        <v>0</v>
      </c>
      <c r="G37" s="5">
        <v>1.0324074071832001E-2</v>
      </c>
      <c r="H37" t="s">
        <v>117</v>
      </c>
      <c r="I37" t="s">
        <v>118</v>
      </c>
      <c r="J37">
        <v>0</v>
      </c>
      <c r="K37">
        <f t="shared" si="1"/>
        <v>1</v>
      </c>
      <c r="L37">
        <f t="shared" si="2"/>
        <v>21</v>
      </c>
      <c r="M37">
        <f t="shared" si="3"/>
        <v>2</v>
      </c>
      <c r="N37">
        <f t="shared" si="0"/>
        <v>21</v>
      </c>
      <c r="O37">
        <f t="shared" si="4"/>
        <v>0</v>
      </c>
      <c r="P37" t="str">
        <f t="shared" si="5"/>
        <v>達成</v>
      </c>
    </row>
    <row r="38" spans="1:16">
      <c r="A38" s="3">
        <v>45975.317916666667</v>
      </c>
      <c r="B38">
        <v>60</v>
      </c>
      <c r="C38">
        <v>14</v>
      </c>
      <c r="D38">
        <v>0</v>
      </c>
      <c r="E38">
        <v>0</v>
      </c>
      <c r="F38">
        <v>0</v>
      </c>
      <c r="G38" s="5">
        <v>1.0081018517666962E-2</v>
      </c>
      <c r="H38" t="s">
        <v>121</v>
      </c>
      <c r="I38" t="s">
        <v>122</v>
      </c>
      <c r="J38">
        <v>0</v>
      </c>
      <c r="K38">
        <f t="shared" si="1"/>
        <v>1</v>
      </c>
      <c r="L38">
        <f t="shared" si="2"/>
        <v>22</v>
      </c>
      <c r="M38">
        <f t="shared" si="3"/>
        <v>2</v>
      </c>
      <c r="N38">
        <f t="shared" si="0"/>
        <v>25</v>
      </c>
      <c r="O38">
        <f t="shared" si="4"/>
        <v>0</v>
      </c>
      <c r="P38" t="str">
        <f t="shared" si="5"/>
        <v>未達成（3）</v>
      </c>
    </row>
    <row r="39" spans="1:16">
      <c r="A39" s="3">
        <v>45975.32885416667</v>
      </c>
      <c r="B39">
        <v>60</v>
      </c>
      <c r="C39">
        <v>21</v>
      </c>
      <c r="D39">
        <v>0</v>
      </c>
      <c r="E39">
        <v>0</v>
      </c>
      <c r="F39">
        <v>0</v>
      </c>
      <c r="G39" s="5">
        <v>1.0335648148611654E-2</v>
      </c>
      <c r="H39" t="s">
        <v>123</v>
      </c>
      <c r="I39" t="s">
        <v>124</v>
      </c>
      <c r="J39">
        <v>0</v>
      </c>
      <c r="K39">
        <f t="shared" si="1"/>
        <v>1</v>
      </c>
      <c r="L39">
        <f t="shared" si="2"/>
        <v>23</v>
      </c>
      <c r="M39">
        <f t="shared" si="3"/>
        <v>2</v>
      </c>
      <c r="N39">
        <f t="shared" si="0"/>
        <v>25</v>
      </c>
      <c r="O39">
        <f t="shared" si="4"/>
        <v>0</v>
      </c>
      <c r="P39" t="str">
        <f t="shared" si="5"/>
        <v>未達成（2）</v>
      </c>
    </row>
    <row r="40" spans="1:16">
      <c r="A40" s="3">
        <v>45976.853715277779</v>
      </c>
      <c r="B40">
        <v>60</v>
      </c>
      <c r="C40">
        <v>33</v>
      </c>
      <c r="D40">
        <v>0</v>
      </c>
      <c r="E40">
        <v>0</v>
      </c>
      <c r="F40">
        <v>0</v>
      </c>
      <c r="G40" s="5">
        <v>8.3912037080153823E-3</v>
      </c>
      <c r="H40" t="s">
        <v>125</v>
      </c>
      <c r="I40" t="s">
        <v>126</v>
      </c>
      <c r="J40">
        <v>0</v>
      </c>
      <c r="K40">
        <f t="shared" si="1"/>
        <v>1</v>
      </c>
      <c r="L40">
        <f t="shared" si="2"/>
        <v>24</v>
      </c>
      <c r="M40">
        <f t="shared" si="3"/>
        <v>2</v>
      </c>
      <c r="N40">
        <f t="shared" si="0"/>
        <v>27</v>
      </c>
      <c r="O40">
        <f t="shared" si="4"/>
        <v>0</v>
      </c>
      <c r="P40" t="str">
        <f t="shared" si="5"/>
        <v>未達成（3）</v>
      </c>
    </row>
    <row r="41" spans="1:16">
      <c r="A41" s="3">
        <v>45976.862627314818</v>
      </c>
      <c r="B41">
        <v>60</v>
      </c>
      <c r="C41">
        <v>11</v>
      </c>
      <c r="D41">
        <v>0</v>
      </c>
      <c r="E41">
        <v>0</v>
      </c>
      <c r="F41">
        <v>0</v>
      </c>
      <c r="G41" s="5">
        <v>8.4722222236450762E-3</v>
      </c>
      <c r="H41" t="s">
        <v>127</v>
      </c>
      <c r="I41" t="s">
        <v>128</v>
      </c>
      <c r="J41">
        <v>0</v>
      </c>
      <c r="K41">
        <f t="shared" si="1"/>
        <v>1</v>
      </c>
      <c r="L41">
        <f t="shared" si="2"/>
        <v>25</v>
      </c>
      <c r="M41">
        <f t="shared" si="3"/>
        <v>2</v>
      </c>
      <c r="N41">
        <f t="shared" si="0"/>
        <v>27</v>
      </c>
      <c r="O41">
        <f t="shared" si="4"/>
        <v>0</v>
      </c>
      <c r="P41" t="str">
        <f t="shared" si="5"/>
        <v>未達成（2）</v>
      </c>
    </row>
    <row r="42" spans="1:16">
      <c r="A42" s="3">
        <v>45977.309733796297</v>
      </c>
      <c r="B42">
        <v>60</v>
      </c>
      <c r="C42">
        <v>19</v>
      </c>
      <c r="D42">
        <v>0</v>
      </c>
      <c r="E42">
        <v>0</v>
      </c>
      <c r="F42">
        <v>0</v>
      </c>
      <c r="G42" s="5">
        <v>7.7546296306536533E-3</v>
      </c>
      <c r="H42" t="s">
        <v>129</v>
      </c>
      <c r="I42" t="s">
        <v>130</v>
      </c>
      <c r="J42">
        <v>0</v>
      </c>
      <c r="K42">
        <f t="shared" si="1"/>
        <v>1</v>
      </c>
      <c r="L42">
        <f t="shared" si="2"/>
        <v>26</v>
      </c>
      <c r="M42">
        <f t="shared" si="3"/>
        <v>2</v>
      </c>
      <c r="N42">
        <f t="shared" si="0"/>
        <v>29</v>
      </c>
      <c r="O42">
        <f t="shared" si="4"/>
        <v>0</v>
      </c>
      <c r="P42" t="str">
        <f t="shared" si="5"/>
        <v>未達成（3）</v>
      </c>
    </row>
    <row r="43" spans="1:16">
      <c r="A43" s="3">
        <v>45977.319560185184</v>
      </c>
      <c r="B43">
        <v>60</v>
      </c>
      <c r="C43">
        <v>24</v>
      </c>
      <c r="D43">
        <v>0</v>
      </c>
      <c r="E43">
        <v>0</v>
      </c>
      <c r="F43">
        <v>0</v>
      </c>
      <c r="G43" s="5">
        <v>8.5300925929914229E-3</v>
      </c>
      <c r="H43" t="s">
        <v>131</v>
      </c>
      <c r="I43" t="s">
        <v>132</v>
      </c>
      <c r="J43">
        <v>0</v>
      </c>
      <c r="K43">
        <f t="shared" si="1"/>
        <v>1</v>
      </c>
      <c r="L43">
        <f t="shared" si="2"/>
        <v>27</v>
      </c>
      <c r="M43">
        <f t="shared" si="3"/>
        <v>2</v>
      </c>
      <c r="N43">
        <f t="shared" si="0"/>
        <v>29</v>
      </c>
      <c r="O43">
        <f t="shared" si="4"/>
        <v>0</v>
      </c>
      <c r="P43" t="str">
        <f t="shared" si="5"/>
        <v>未達成（2）</v>
      </c>
    </row>
    <row r="44" spans="1:16">
      <c r="A44" s="3">
        <v>45977.560624999998</v>
      </c>
      <c r="B44">
        <v>60</v>
      </c>
      <c r="C44">
        <v>32</v>
      </c>
      <c r="D44">
        <v>0</v>
      </c>
      <c r="E44">
        <v>0</v>
      </c>
      <c r="F44">
        <v>0</v>
      </c>
      <c r="G44" s="5">
        <v>8.9004629626288079E-3</v>
      </c>
      <c r="H44" t="s">
        <v>133</v>
      </c>
      <c r="I44" t="s">
        <v>134</v>
      </c>
      <c r="J44">
        <v>0</v>
      </c>
      <c r="K44">
        <f t="shared" si="1"/>
        <v>1</v>
      </c>
      <c r="L44">
        <f t="shared" si="2"/>
        <v>28</v>
      </c>
      <c r="M44">
        <f t="shared" si="3"/>
        <v>2</v>
      </c>
      <c r="N44">
        <f t="shared" si="0"/>
        <v>29</v>
      </c>
      <c r="O44">
        <f t="shared" si="4"/>
        <v>0</v>
      </c>
      <c r="P44" t="str">
        <f t="shared" si="5"/>
        <v>未達成（1）</v>
      </c>
    </row>
    <row r="45" spans="1:16">
      <c r="A45" s="3">
        <v>45977.569733796299</v>
      </c>
      <c r="B45">
        <v>60</v>
      </c>
      <c r="C45">
        <v>12</v>
      </c>
      <c r="D45">
        <v>0</v>
      </c>
      <c r="E45">
        <v>0</v>
      </c>
      <c r="F45">
        <v>0</v>
      </c>
      <c r="G45" s="5">
        <v>7.6967592613073066E-3</v>
      </c>
      <c r="H45" t="s">
        <v>135</v>
      </c>
      <c r="I45" t="s">
        <v>136</v>
      </c>
      <c r="J45">
        <v>0</v>
      </c>
      <c r="K45">
        <f t="shared" si="1"/>
        <v>1</v>
      </c>
      <c r="L45">
        <f t="shared" si="2"/>
        <v>29</v>
      </c>
      <c r="M45">
        <f t="shared" si="3"/>
        <v>2</v>
      </c>
      <c r="N45">
        <f t="shared" si="0"/>
        <v>29</v>
      </c>
      <c r="O45">
        <f t="shared" si="4"/>
        <v>0</v>
      </c>
      <c r="P45" t="str">
        <f t="shared" si="5"/>
        <v>達成</v>
      </c>
    </row>
    <row r="46" spans="1:16">
      <c r="A46" s="3">
        <v>45977.856840277775</v>
      </c>
      <c r="B46">
        <v>60</v>
      </c>
      <c r="C46">
        <v>31</v>
      </c>
      <c r="D46">
        <v>0</v>
      </c>
      <c r="E46">
        <v>0</v>
      </c>
      <c r="F46">
        <v>0</v>
      </c>
      <c r="G46" s="5">
        <v>5.7870370364980772E-3</v>
      </c>
      <c r="H46" t="s">
        <v>137</v>
      </c>
      <c r="I46" t="s">
        <v>138</v>
      </c>
      <c r="J46">
        <v>0</v>
      </c>
      <c r="K46">
        <f t="shared" si="1"/>
        <v>1</v>
      </c>
      <c r="L46">
        <f t="shared" si="2"/>
        <v>30</v>
      </c>
      <c r="M46">
        <f t="shared" si="3"/>
        <v>2</v>
      </c>
      <c r="N46">
        <f t="shared" si="0"/>
        <v>29</v>
      </c>
      <c r="O46">
        <f t="shared" si="4"/>
        <v>0</v>
      </c>
      <c r="P46" t="str">
        <f t="shared" si="5"/>
        <v>前倒し（1）</v>
      </c>
    </row>
    <row r="47" spans="1:16">
      <c r="A47" s="3">
        <v>45977.87672453704</v>
      </c>
      <c r="B47">
        <v>60</v>
      </c>
      <c r="C47">
        <v>28</v>
      </c>
      <c r="D47">
        <v>0</v>
      </c>
      <c r="E47">
        <v>0</v>
      </c>
      <c r="F47">
        <v>0</v>
      </c>
      <c r="G47" s="5">
        <v>7.291666668606922E-3</v>
      </c>
      <c r="H47" t="s">
        <v>139</v>
      </c>
      <c r="I47" t="s">
        <v>140</v>
      </c>
      <c r="J47">
        <v>0</v>
      </c>
      <c r="K47">
        <f t="shared" si="1"/>
        <v>1</v>
      </c>
      <c r="L47">
        <f t="shared" si="2"/>
        <v>31</v>
      </c>
      <c r="M47">
        <f t="shared" si="3"/>
        <v>2</v>
      </c>
      <c r="N47">
        <f t="shared" si="0"/>
        <v>29</v>
      </c>
      <c r="O47">
        <f t="shared" si="4"/>
        <v>0</v>
      </c>
      <c r="P47" t="str">
        <f t="shared" si="5"/>
        <v>前倒し（2）</v>
      </c>
    </row>
    <row r="48" spans="1:16">
      <c r="A48" s="3">
        <v>45978.468275462961</v>
      </c>
      <c r="B48">
        <v>60</v>
      </c>
      <c r="C48">
        <v>23</v>
      </c>
      <c r="D48">
        <v>0</v>
      </c>
      <c r="E48">
        <v>0</v>
      </c>
      <c r="F48">
        <v>0</v>
      </c>
      <c r="G48" s="5">
        <v>5.277777774608694E-3</v>
      </c>
      <c r="H48" t="s">
        <v>141</v>
      </c>
      <c r="I48" t="s">
        <v>142</v>
      </c>
      <c r="J48">
        <v>0</v>
      </c>
      <c r="K48">
        <f t="shared" si="1"/>
        <v>1</v>
      </c>
      <c r="L48">
        <f t="shared" si="2"/>
        <v>32</v>
      </c>
      <c r="M48">
        <f t="shared" si="3"/>
        <v>2</v>
      </c>
      <c r="N48">
        <f t="shared" si="0"/>
        <v>31</v>
      </c>
      <c r="O48">
        <f t="shared" si="4"/>
        <v>0</v>
      </c>
      <c r="P48" t="str">
        <f t="shared" si="5"/>
        <v>前倒し（1）</v>
      </c>
    </row>
    <row r="49" spans="1:16">
      <c r="A49" s="3">
        <v>45978.476666666669</v>
      </c>
      <c r="B49">
        <v>60</v>
      </c>
      <c r="C49">
        <v>18</v>
      </c>
      <c r="D49">
        <v>0</v>
      </c>
      <c r="E49">
        <v>0</v>
      </c>
      <c r="F49">
        <v>0</v>
      </c>
      <c r="G49" s="5">
        <v>6.8518518528435379E-3</v>
      </c>
      <c r="H49" t="s">
        <v>143</v>
      </c>
      <c r="I49" t="s">
        <v>144</v>
      </c>
      <c r="J49">
        <v>0</v>
      </c>
      <c r="K49">
        <f t="shared" si="1"/>
        <v>1</v>
      </c>
      <c r="L49">
        <f t="shared" si="2"/>
        <v>33</v>
      </c>
      <c r="M49">
        <f t="shared" si="3"/>
        <v>2</v>
      </c>
      <c r="N49">
        <f t="shared" si="0"/>
        <v>31</v>
      </c>
      <c r="O49">
        <f t="shared" si="4"/>
        <v>0</v>
      </c>
      <c r="P49" t="str">
        <f t="shared" si="5"/>
        <v>前倒し（2）</v>
      </c>
    </row>
    <row r="50" spans="1:16">
      <c r="A50" s="3">
        <v>45978.71597222222</v>
      </c>
      <c r="B50">
        <v>60</v>
      </c>
      <c r="C50">
        <v>25</v>
      </c>
      <c r="D50">
        <v>0</v>
      </c>
      <c r="E50">
        <v>0</v>
      </c>
      <c r="F50">
        <v>0</v>
      </c>
      <c r="G50" s="5">
        <v>8.4027777775190771E-3</v>
      </c>
      <c r="H50" t="s">
        <v>145</v>
      </c>
      <c r="I50" t="s">
        <v>146</v>
      </c>
      <c r="J50">
        <v>0</v>
      </c>
      <c r="K50">
        <f t="shared" si="1"/>
        <v>1</v>
      </c>
      <c r="L50">
        <f t="shared" si="2"/>
        <v>34</v>
      </c>
      <c r="M50">
        <f t="shared" si="3"/>
        <v>2</v>
      </c>
      <c r="N50">
        <f t="shared" si="0"/>
        <v>31</v>
      </c>
      <c r="O50">
        <f t="shared" si="4"/>
        <v>0</v>
      </c>
      <c r="P50" t="str">
        <f t="shared" si="5"/>
        <v>前倒し（3）</v>
      </c>
    </row>
    <row r="51" spans="1:16">
      <c r="A51" s="3">
        <v>45978.727893518517</v>
      </c>
      <c r="B51">
        <v>60</v>
      </c>
      <c r="C51">
        <v>28</v>
      </c>
      <c r="D51">
        <v>0</v>
      </c>
      <c r="E51">
        <v>0</v>
      </c>
      <c r="F51">
        <v>0</v>
      </c>
      <c r="G51" s="5">
        <v>1.1284722218988463E-2</v>
      </c>
      <c r="H51" t="s">
        <v>147</v>
      </c>
      <c r="I51" t="s">
        <v>148</v>
      </c>
      <c r="J51">
        <v>0</v>
      </c>
      <c r="K51">
        <f t="shared" si="1"/>
        <v>1</v>
      </c>
      <c r="L51">
        <f t="shared" si="2"/>
        <v>35</v>
      </c>
      <c r="M51">
        <f t="shared" si="3"/>
        <v>2</v>
      </c>
      <c r="N51">
        <f t="shared" si="0"/>
        <v>31</v>
      </c>
      <c r="O51">
        <f t="shared" si="4"/>
        <v>0</v>
      </c>
      <c r="P51" t="str">
        <f t="shared" si="5"/>
        <v>前倒し（4）</v>
      </c>
    </row>
    <row r="52" spans="1:16">
      <c r="A52" s="3">
        <v>45980.706655092596</v>
      </c>
      <c r="B52">
        <v>60</v>
      </c>
      <c r="C52">
        <v>17</v>
      </c>
      <c r="D52">
        <v>0</v>
      </c>
      <c r="E52">
        <v>0</v>
      </c>
      <c r="F52">
        <v>0</v>
      </c>
      <c r="G52" s="5">
        <v>6.4004629675764591E-3</v>
      </c>
      <c r="H52" t="s">
        <v>149</v>
      </c>
      <c r="I52" t="s">
        <v>150</v>
      </c>
      <c r="J52">
        <v>0</v>
      </c>
      <c r="K52">
        <f t="shared" si="1"/>
        <v>1</v>
      </c>
      <c r="L52">
        <f t="shared" si="2"/>
        <v>36</v>
      </c>
      <c r="M52">
        <f t="shared" si="3"/>
        <v>2</v>
      </c>
      <c r="N52">
        <f t="shared" si="0"/>
        <v>35</v>
      </c>
      <c r="O52">
        <f t="shared" si="4"/>
        <v>0</v>
      </c>
      <c r="P52" t="str">
        <f t="shared" si="5"/>
        <v>前倒し（1）</v>
      </c>
    </row>
    <row r="53" spans="1:16">
      <c r="A53" s="3">
        <v>45980.717303240737</v>
      </c>
      <c r="B53">
        <v>60</v>
      </c>
      <c r="C53">
        <v>18</v>
      </c>
      <c r="D53">
        <v>0</v>
      </c>
      <c r="E53">
        <v>0</v>
      </c>
      <c r="F53">
        <v>0</v>
      </c>
      <c r="G53" s="5">
        <v>1.0150462956517003E-2</v>
      </c>
      <c r="H53" t="s">
        <v>151</v>
      </c>
      <c r="I53" t="s">
        <v>152</v>
      </c>
      <c r="J53">
        <v>0</v>
      </c>
      <c r="K53">
        <f t="shared" si="1"/>
        <v>1</v>
      </c>
      <c r="L53">
        <f t="shared" si="2"/>
        <v>37</v>
      </c>
      <c r="M53">
        <f t="shared" si="3"/>
        <v>2</v>
      </c>
      <c r="N53">
        <f t="shared" si="0"/>
        <v>35</v>
      </c>
      <c r="O53">
        <f t="shared" si="4"/>
        <v>0</v>
      </c>
      <c r="P53" t="str">
        <f t="shared" si="5"/>
        <v>前倒し（2）</v>
      </c>
    </row>
    <row r="54" spans="1:16">
      <c r="A54" s="3">
        <v>45981.721944444442</v>
      </c>
      <c r="B54">
        <v>60</v>
      </c>
      <c r="C54">
        <v>10</v>
      </c>
      <c r="D54">
        <v>0</v>
      </c>
      <c r="E54">
        <v>0</v>
      </c>
      <c r="F54">
        <v>0</v>
      </c>
      <c r="G54" s="5">
        <v>7.8125E-3</v>
      </c>
      <c r="H54" t="s">
        <v>153</v>
      </c>
      <c r="I54" t="s">
        <v>154</v>
      </c>
      <c r="J54">
        <v>0</v>
      </c>
      <c r="K54">
        <f t="shared" si="1"/>
        <v>1</v>
      </c>
      <c r="L54">
        <f t="shared" si="2"/>
        <v>38</v>
      </c>
      <c r="M54">
        <f t="shared" si="3"/>
        <v>2</v>
      </c>
      <c r="N54">
        <f t="shared" si="0"/>
        <v>37</v>
      </c>
      <c r="O54">
        <f t="shared" si="4"/>
        <v>0</v>
      </c>
      <c r="P54" t="str">
        <f t="shared" si="5"/>
        <v>前倒し（1）</v>
      </c>
    </row>
    <row r="55" spans="1:16">
      <c r="A55" s="3">
        <v>45981.741168981483</v>
      </c>
      <c r="B55">
        <v>60</v>
      </c>
      <c r="C55">
        <v>16</v>
      </c>
      <c r="D55">
        <v>0</v>
      </c>
      <c r="E55">
        <v>0</v>
      </c>
      <c r="F55">
        <v>0</v>
      </c>
      <c r="G55" s="5">
        <v>1.8877314818382729E-2</v>
      </c>
      <c r="H55" t="s">
        <v>155</v>
      </c>
      <c r="I55" t="s">
        <v>156</v>
      </c>
      <c r="J55">
        <v>0</v>
      </c>
      <c r="K55">
        <f t="shared" si="1"/>
        <v>0</v>
      </c>
      <c r="L55">
        <f t="shared" si="2"/>
        <v>38</v>
      </c>
      <c r="M55">
        <f t="shared" si="3"/>
        <v>2</v>
      </c>
      <c r="N55">
        <f t="shared" si="0"/>
        <v>37</v>
      </c>
      <c r="O55">
        <f t="shared" si="4"/>
        <v>0</v>
      </c>
      <c r="P55" t="str">
        <f t="shared" si="5"/>
        <v>前倒し（1）</v>
      </c>
    </row>
    <row r="56" spans="1:16">
      <c r="A56" s="3">
        <v>45982.730763888889</v>
      </c>
      <c r="B56">
        <v>60</v>
      </c>
      <c r="C56">
        <v>20</v>
      </c>
      <c r="D56">
        <v>0</v>
      </c>
      <c r="E56">
        <v>0</v>
      </c>
      <c r="F56">
        <v>0</v>
      </c>
      <c r="G56" s="5">
        <v>9.29398147854954E-3</v>
      </c>
      <c r="H56" t="s">
        <v>157</v>
      </c>
      <c r="I56" t="s">
        <v>158</v>
      </c>
      <c r="J56">
        <v>0</v>
      </c>
      <c r="K56">
        <f t="shared" si="1"/>
        <v>1</v>
      </c>
      <c r="L56">
        <f t="shared" si="2"/>
        <v>39</v>
      </c>
      <c r="M56">
        <f t="shared" si="3"/>
        <v>2</v>
      </c>
      <c r="N56">
        <f t="shared" si="0"/>
        <v>39</v>
      </c>
      <c r="O56">
        <f t="shared" si="4"/>
        <v>0</v>
      </c>
      <c r="P56" t="str">
        <f t="shared" si="5"/>
        <v>達成</v>
      </c>
    </row>
    <row r="57" spans="1:16">
      <c r="A57" s="3">
        <v>45983.588194444441</v>
      </c>
      <c r="B57">
        <v>60</v>
      </c>
      <c r="C57">
        <v>15</v>
      </c>
      <c r="D57">
        <v>0</v>
      </c>
      <c r="E57">
        <v>0</v>
      </c>
      <c r="F57">
        <v>0</v>
      </c>
      <c r="G57" s="5">
        <v>9.7453703638166189E-3</v>
      </c>
      <c r="H57" t="s">
        <v>159</v>
      </c>
      <c r="I57" t="s">
        <v>160</v>
      </c>
      <c r="J57">
        <v>0</v>
      </c>
      <c r="K57">
        <f t="shared" si="1"/>
        <v>1</v>
      </c>
      <c r="L57">
        <f t="shared" si="2"/>
        <v>40</v>
      </c>
      <c r="M57">
        <f t="shared" si="3"/>
        <v>2</v>
      </c>
      <c r="N57">
        <f t="shared" si="0"/>
        <v>41</v>
      </c>
      <c r="O57">
        <f t="shared" si="4"/>
        <v>0</v>
      </c>
      <c r="P57" t="str">
        <f t="shared" si="5"/>
        <v>未達成（1）</v>
      </c>
    </row>
    <row r="58" spans="1:16">
      <c r="A58" s="3">
        <v>45983.599224537036</v>
      </c>
      <c r="B58">
        <v>60</v>
      </c>
      <c r="C58">
        <v>20</v>
      </c>
      <c r="D58">
        <v>0</v>
      </c>
      <c r="E58">
        <v>0</v>
      </c>
      <c r="F58">
        <v>0</v>
      </c>
      <c r="G58" s="5">
        <v>1.0347222218115348E-2</v>
      </c>
      <c r="H58" t="s">
        <v>161</v>
      </c>
      <c r="I58" t="s">
        <v>162</v>
      </c>
      <c r="J58">
        <v>0</v>
      </c>
      <c r="K58">
        <f t="shared" si="1"/>
        <v>1</v>
      </c>
      <c r="L58">
        <f t="shared" si="2"/>
        <v>41</v>
      </c>
      <c r="M58">
        <f t="shared" si="3"/>
        <v>2</v>
      </c>
      <c r="N58">
        <f t="shared" si="0"/>
        <v>41</v>
      </c>
      <c r="O58">
        <f t="shared" si="4"/>
        <v>0</v>
      </c>
      <c r="P58" t="str">
        <f t="shared" si="5"/>
        <v>達成</v>
      </c>
    </row>
    <row r="59" spans="1:16">
      <c r="A59" s="3">
        <v>45985.354814814818</v>
      </c>
      <c r="B59">
        <v>60</v>
      </c>
      <c r="C59">
        <v>7</v>
      </c>
      <c r="D59">
        <v>0</v>
      </c>
      <c r="E59">
        <v>0</v>
      </c>
      <c r="F59">
        <v>0</v>
      </c>
      <c r="G59" s="5">
        <v>7.2453703760402277E-3</v>
      </c>
      <c r="H59" t="s">
        <v>164</v>
      </c>
      <c r="I59" t="s">
        <v>165</v>
      </c>
      <c r="J59">
        <v>0</v>
      </c>
      <c r="K59">
        <f t="shared" si="1"/>
        <v>1</v>
      </c>
      <c r="L59">
        <f t="shared" ref="L59" si="6">L58+K59</f>
        <v>42</v>
      </c>
      <c r="M59">
        <f t="shared" si="3"/>
        <v>2</v>
      </c>
      <c r="N59">
        <f t="shared" si="0"/>
        <v>45</v>
      </c>
      <c r="O59">
        <f t="shared" si="4"/>
        <v>0</v>
      </c>
      <c r="P59" t="str">
        <f t="shared" ref="P59" si="7">IF(L59&lt;N59,"未達成（"&amp;N59-L59&amp;"）",IF(L59=N59,"達成","前倒し（"&amp;L59-N59&amp;"）"))</f>
        <v>未達成（3）</v>
      </c>
    </row>
    <row r="60" spans="1:16">
      <c r="A60" s="3">
        <v>45985.363796296297</v>
      </c>
      <c r="B60">
        <v>54</v>
      </c>
      <c r="C60">
        <v>20</v>
      </c>
      <c r="D60">
        <v>0</v>
      </c>
      <c r="E60">
        <v>6</v>
      </c>
      <c r="F60">
        <v>0</v>
      </c>
      <c r="G60" s="5">
        <v>8.3101851851097308E-3</v>
      </c>
      <c r="H60" t="s">
        <v>166</v>
      </c>
      <c r="I60" t="s">
        <v>167</v>
      </c>
      <c r="J60">
        <v>0</v>
      </c>
      <c r="K60">
        <f t="shared" si="1"/>
        <v>0</v>
      </c>
      <c r="L60">
        <f t="shared" ref="L60" si="8">L59+K60</f>
        <v>42</v>
      </c>
      <c r="M60">
        <f t="shared" si="3"/>
        <v>2</v>
      </c>
      <c r="N60">
        <f t="shared" si="0"/>
        <v>45</v>
      </c>
      <c r="O60">
        <f t="shared" si="4"/>
        <v>0</v>
      </c>
      <c r="P60" t="str">
        <f t="shared" ref="P60" si="9">IF(L60&lt;N60,"未達成（"&amp;N60-L60&amp;"）",IF(L60=N60,"達成","前倒し（"&amp;L60-N60&amp;"）"))</f>
        <v>未達成（3）</v>
      </c>
    </row>
    <row r="61" spans="1:16">
      <c r="A61" s="3">
        <v>45985.538761574076</v>
      </c>
      <c r="B61">
        <v>60</v>
      </c>
      <c r="C61">
        <v>36</v>
      </c>
      <c r="D61">
        <v>1</v>
      </c>
      <c r="E61">
        <v>0</v>
      </c>
      <c r="F61">
        <v>0</v>
      </c>
      <c r="G61" s="5">
        <v>8.5069444467080757E-3</v>
      </c>
      <c r="H61" t="s">
        <v>168</v>
      </c>
      <c r="I61" t="s">
        <v>169</v>
      </c>
      <c r="J61">
        <v>0</v>
      </c>
      <c r="K61">
        <f t="shared" si="1"/>
        <v>0</v>
      </c>
      <c r="L61">
        <f t="shared" ref="L61" si="10">L60+K61</f>
        <v>42</v>
      </c>
      <c r="M61">
        <f t="shared" si="3"/>
        <v>2</v>
      </c>
      <c r="N61">
        <f t="shared" si="0"/>
        <v>45</v>
      </c>
      <c r="O61">
        <f t="shared" si="4"/>
        <v>0</v>
      </c>
      <c r="P61" t="str">
        <f t="shared" ref="P61" si="11">IF(L61&lt;N61,"未達成（"&amp;N61-L61&amp;"）",IF(L61=N61,"達成","前倒し（"&amp;L61-N61&amp;"）"))</f>
        <v>未達成（3）</v>
      </c>
    </row>
    <row r="62" spans="1:16">
      <c r="A62" s="3">
        <v>45985.598680555559</v>
      </c>
      <c r="B62">
        <v>60</v>
      </c>
      <c r="C62">
        <v>6</v>
      </c>
      <c r="D62">
        <v>0</v>
      </c>
      <c r="E62">
        <v>0</v>
      </c>
      <c r="F62">
        <v>0</v>
      </c>
      <c r="G62" s="5">
        <v>1.0196759263635613E-2</v>
      </c>
      <c r="H62" t="s">
        <v>176</v>
      </c>
      <c r="I62" t="s">
        <v>177</v>
      </c>
      <c r="J62">
        <v>0</v>
      </c>
      <c r="K62">
        <f t="shared" si="1"/>
        <v>1</v>
      </c>
      <c r="L62">
        <f t="shared" ref="L62" si="12">L61+K62</f>
        <v>43</v>
      </c>
      <c r="M62">
        <f t="shared" si="3"/>
        <v>2</v>
      </c>
      <c r="N62">
        <f t="shared" si="0"/>
        <v>45</v>
      </c>
      <c r="O62">
        <f t="shared" si="4"/>
        <v>0</v>
      </c>
      <c r="P62" t="str">
        <f t="shared" ref="P62" si="13">IF(L62&lt;N62,"未達成（"&amp;N62-L62&amp;"）",IF(L62=N62,"達成","前倒し（"&amp;L62-N62&amp;"）"))</f>
        <v>未達成（2）</v>
      </c>
    </row>
    <row r="63" spans="1:16">
      <c r="A63" s="3">
        <v>45985.709016203706</v>
      </c>
      <c r="B63">
        <v>60</v>
      </c>
      <c r="C63">
        <v>21</v>
      </c>
      <c r="D63">
        <v>0</v>
      </c>
      <c r="E63">
        <v>0</v>
      </c>
      <c r="F63">
        <v>0</v>
      </c>
      <c r="G63" s="5">
        <v>5.7175925976480357E-3</v>
      </c>
      <c r="H63" t="s">
        <v>181</v>
      </c>
      <c r="I63" t="s">
        <v>182</v>
      </c>
      <c r="J63">
        <v>0</v>
      </c>
      <c r="K63">
        <f t="shared" ref="K63" si="14">IF(A63&lt;DATEVALUE("2025/11/20"),1,IF(B63-SUM(D63:F63)&lt;&gt;60,0,MAX(2-INT(G63*24*60/10),0)))</f>
        <v>2</v>
      </c>
      <c r="L63">
        <f t="shared" ref="L63" si="15">L62+K63</f>
        <v>45</v>
      </c>
      <c r="M63">
        <f t="shared" si="3"/>
        <v>2</v>
      </c>
      <c r="N63">
        <f t="shared" si="0"/>
        <v>45</v>
      </c>
      <c r="O63">
        <f t="shared" si="4"/>
        <v>0</v>
      </c>
      <c r="P63" t="str">
        <f t="shared" ref="P63" si="16">IF(L63&lt;N63,"未達成（"&amp;N63-L63&amp;"）",IF(L63=N63,"達成","前倒し（"&amp;L63-N63&amp;"）"))</f>
        <v>達成</v>
      </c>
    </row>
    <row r="64" spans="1:16">
      <c r="A64" s="3">
        <v>45986.535011574073</v>
      </c>
      <c r="B64">
        <v>60</v>
      </c>
      <c r="C64">
        <v>41</v>
      </c>
      <c r="D64">
        <v>0</v>
      </c>
      <c r="E64">
        <v>0</v>
      </c>
      <c r="F64">
        <v>0</v>
      </c>
      <c r="G64" s="5">
        <v>6.701388891087845E-3</v>
      </c>
      <c r="H64" t="s">
        <v>183</v>
      </c>
      <c r="I64" t="s">
        <v>184</v>
      </c>
      <c r="J64">
        <v>0</v>
      </c>
      <c r="K64">
        <f t="shared" ref="K64" si="17">IF(A64&lt;DATEVALUE("2025/11/20"),1,IF(B64-SUM(D64:F64)&lt;&gt;60,0,MAX(2-INT(G64*24*60/10),0)))</f>
        <v>2</v>
      </c>
      <c r="L64">
        <f t="shared" ref="L64" si="18">L63+K64</f>
        <v>47</v>
      </c>
      <c r="M64">
        <f t="shared" si="3"/>
        <v>2</v>
      </c>
      <c r="N64">
        <f t="shared" ref="N64" si="19">N63+M64*(INT(A64-6/24)-INT(A63-6/24))+O64</f>
        <v>47</v>
      </c>
      <c r="O64">
        <f t="shared" si="4"/>
        <v>0</v>
      </c>
      <c r="P64" t="str">
        <f t="shared" ref="P64" si="20">IF(L64&lt;N64,"未達成（"&amp;N64-L64&amp;"）",IF(L64=N64,"達成","前倒し（"&amp;L64-N64&amp;"）"))</f>
        <v>達成</v>
      </c>
    </row>
    <row r="65" spans="1:16">
      <c r="A65" s="3">
        <v>45987.58321759259</v>
      </c>
      <c r="B65">
        <v>57</v>
      </c>
      <c r="C65">
        <v>20</v>
      </c>
      <c r="D65">
        <v>0</v>
      </c>
      <c r="E65">
        <v>3</v>
      </c>
      <c r="F65">
        <v>2</v>
      </c>
      <c r="G65" s="5">
        <v>7.696759254031349E-3</v>
      </c>
      <c r="H65" t="s">
        <v>185</v>
      </c>
      <c r="I65" t="s">
        <v>186</v>
      </c>
      <c r="J65">
        <v>0</v>
      </c>
      <c r="K65">
        <f t="shared" ref="K65" si="21">IF(A65&lt;DATEVALUE("2025/11/20"),1,IF(B65-SUM(D65:F65)&lt;&gt;60,0,MAX(2-INT(G65*24*60/10),0)))</f>
        <v>0</v>
      </c>
      <c r="L65">
        <f t="shared" ref="L65" si="22">L64+K65</f>
        <v>47</v>
      </c>
      <c r="M65">
        <f t="shared" si="3"/>
        <v>2</v>
      </c>
      <c r="N65">
        <f t="shared" ref="N65" si="23">N64+M65*(INT(A65-6/24)-INT(A64-6/24))+O65</f>
        <v>49</v>
      </c>
      <c r="O65">
        <f t="shared" si="4"/>
        <v>0</v>
      </c>
      <c r="P65" t="str">
        <f t="shared" ref="P65" si="24">IF(L65&lt;N65,"未達成（"&amp;N65-L65&amp;"）",IF(L65=N65,"達成","前倒し（"&amp;L65-N65&amp;"）"))</f>
        <v>未達成（2）</v>
      </c>
    </row>
    <row r="66" spans="1:16">
      <c r="A66" s="3">
        <v>45987.616712962961</v>
      </c>
      <c r="B66">
        <v>60</v>
      </c>
      <c r="C66">
        <v>28</v>
      </c>
      <c r="D66">
        <v>0</v>
      </c>
      <c r="E66">
        <v>0</v>
      </c>
      <c r="F66">
        <v>0</v>
      </c>
      <c r="G66" s="5">
        <v>6.6782407375285402E-3</v>
      </c>
      <c r="H66" t="s">
        <v>187</v>
      </c>
      <c r="I66" t="s">
        <v>188</v>
      </c>
      <c r="J66">
        <v>0</v>
      </c>
      <c r="K66">
        <f t="shared" ref="K66" si="25">IF(A66&lt;DATEVALUE("2025/11/20"),1,IF(B66-SUM(D66:F66)&lt;&gt;60,0,MAX(2-INT(G66*24*60/10),0)))</f>
        <v>2</v>
      </c>
      <c r="L66">
        <f t="shared" ref="L66" si="26">L65+K66</f>
        <v>49</v>
      </c>
      <c r="M66">
        <f t="shared" si="3"/>
        <v>2</v>
      </c>
      <c r="N66">
        <f t="shared" ref="N66" si="27">N65+M66*(INT(A66-6/24)-INT(A65-6/24))+O66</f>
        <v>49</v>
      </c>
      <c r="O66">
        <f t="shared" si="4"/>
        <v>0</v>
      </c>
      <c r="P66" t="str">
        <f t="shared" ref="P66" si="28">IF(L66&lt;N66,"未達成（"&amp;N66-L66&amp;"）",IF(L66=N66,"達成","前倒し（"&amp;L66-N66&amp;"）"))</f>
        <v>達成</v>
      </c>
    </row>
    <row r="67" spans="1:16">
      <c r="A67" s="3">
        <v>45988.290625000001</v>
      </c>
      <c r="B67">
        <v>60</v>
      </c>
      <c r="C67">
        <v>25</v>
      </c>
      <c r="D67">
        <v>0</v>
      </c>
      <c r="E67">
        <v>0</v>
      </c>
      <c r="F67">
        <v>0</v>
      </c>
      <c r="G67" s="5">
        <v>1.0150462963792961E-2</v>
      </c>
      <c r="H67" t="s">
        <v>189</v>
      </c>
      <c r="I67" t="s">
        <v>190</v>
      </c>
      <c r="J67">
        <v>0</v>
      </c>
      <c r="K67">
        <f t="shared" ref="K67" si="29">IF(A67&lt;DATEVALUE("2025/11/20"),1,IF(B67-SUM(D67:F67)&lt;&gt;60,0,MAX(2-INT(G67*24*60/10),0)))</f>
        <v>1</v>
      </c>
      <c r="L67">
        <f t="shared" ref="L67" si="30">L66+K67</f>
        <v>50</v>
      </c>
      <c r="M67">
        <f t="shared" si="3"/>
        <v>2</v>
      </c>
      <c r="N67">
        <f t="shared" ref="N67" si="31">N66+M67*(INT(A67-6/24)-INT(A66-6/24))+O67</f>
        <v>51</v>
      </c>
      <c r="O67">
        <f t="shared" si="4"/>
        <v>0</v>
      </c>
      <c r="P67" t="str">
        <f t="shared" ref="P67" si="32">IF(L67&lt;N67,"未達成（"&amp;N67-L67&amp;"）",IF(L67=N67,"達成","前倒し（"&amp;L67-N67&amp;"）"))</f>
        <v>未達成（1）</v>
      </c>
    </row>
    <row r="68" spans="1:16">
      <c r="A68" s="3">
        <v>45988.529618055552</v>
      </c>
      <c r="B68">
        <v>60</v>
      </c>
      <c r="C68">
        <v>21</v>
      </c>
      <c r="D68">
        <v>0</v>
      </c>
      <c r="E68">
        <v>0</v>
      </c>
      <c r="F68">
        <v>0</v>
      </c>
      <c r="G68" s="5">
        <v>1.7013888886140194E-2</v>
      </c>
      <c r="H68" t="s">
        <v>191</v>
      </c>
      <c r="I68" t="s">
        <v>192</v>
      </c>
      <c r="J68">
        <v>0</v>
      </c>
      <c r="K68">
        <f t="shared" ref="K68" si="33">IF(A68&lt;DATEVALUE("2025/11/20"),1,IF(B68-SUM(D68:F68)&lt;&gt;60,0,MAX(2-INT(G68*24*60/10),0)))</f>
        <v>0</v>
      </c>
      <c r="L68">
        <f t="shared" ref="L68" si="34">L67+K68</f>
        <v>50</v>
      </c>
      <c r="M68">
        <f t="shared" si="3"/>
        <v>2</v>
      </c>
      <c r="N68">
        <f t="shared" ref="N68" si="35">N67+M68*(INT(A68-6/24)-INT(A67-6/24))+O68</f>
        <v>51</v>
      </c>
      <c r="O68">
        <f t="shared" si="4"/>
        <v>0</v>
      </c>
      <c r="P68" t="str">
        <f t="shared" ref="P68" si="36">IF(L68&lt;N68,"未達成（"&amp;N68-L68&amp;"）",IF(L68=N68,"達成","前倒し（"&amp;L68-N68&amp;"）"))</f>
        <v>未達成（1）</v>
      </c>
    </row>
    <row r="69" spans="1:16">
      <c r="A69" s="3">
        <v>45988.852812500001</v>
      </c>
      <c r="B69">
        <v>60</v>
      </c>
      <c r="C69">
        <v>31</v>
      </c>
      <c r="D69">
        <v>0</v>
      </c>
      <c r="E69">
        <v>0</v>
      </c>
      <c r="F69">
        <v>0</v>
      </c>
      <c r="G69" s="5">
        <v>1.0983796295477077E-2</v>
      </c>
      <c r="H69" t="s">
        <v>193</v>
      </c>
      <c r="I69" t="s">
        <v>194</v>
      </c>
      <c r="J69">
        <v>0</v>
      </c>
      <c r="K69">
        <f t="shared" ref="K69" si="37">IF(A69&lt;DATEVALUE("2025/11/20"),1,IF(B69-SUM(D69:F69)&lt;&gt;60,0,MAX(2-INT(G69*24*60/10),0)))</f>
        <v>1</v>
      </c>
      <c r="L69">
        <f t="shared" ref="L69" si="38">L68+K69</f>
        <v>51</v>
      </c>
      <c r="M69">
        <f t="shared" si="3"/>
        <v>2</v>
      </c>
      <c r="N69">
        <f t="shared" ref="N69" si="39">N68+M69*(INT(A69-6/24)-INT(A68-6/24))+O69</f>
        <v>51</v>
      </c>
      <c r="O69">
        <f t="shared" si="4"/>
        <v>0</v>
      </c>
      <c r="P69" t="str">
        <f t="shared" ref="P69" si="40">IF(L69&lt;N69,"未達成（"&amp;N69-L69&amp;"）",IF(L69=N69,"達成","前倒し（"&amp;L69-N69&amp;"）"))</f>
        <v>達成</v>
      </c>
    </row>
    <row r="70" spans="1:16">
      <c r="A70" s="3">
        <v>45989.291273148148</v>
      </c>
      <c r="B70">
        <v>53</v>
      </c>
      <c r="C70">
        <v>13</v>
      </c>
      <c r="D70">
        <v>0</v>
      </c>
      <c r="E70">
        <v>7</v>
      </c>
      <c r="F70">
        <v>0</v>
      </c>
      <c r="G70" s="5">
        <v>7.9861111080390401E-3</v>
      </c>
      <c r="H70" t="s">
        <v>195</v>
      </c>
      <c r="I70" t="s">
        <v>196</v>
      </c>
      <c r="J70">
        <v>0</v>
      </c>
      <c r="K70">
        <f t="shared" ref="K70" si="41">IF(A70&lt;DATEVALUE("2025/11/20"),1,IF(B70-SUM(D70:F70)&lt;&gt;60,0,MAX(2-INT(G70*24*60/10),0)))</f>
        <v>0</v>
      </c>
      <c r="L70">
        <f t="shared" ref="L70" si="42">L69+K70</f>
        <v>51</v>
      </c>
      <c r="M70">
        <f t="shared" si="3"/>
        <v>2</v>
      </c>
      <c r="N70">
        <f t="shared" ref="N70" si="43">N69+M70*(INT(A70-6/24)-INT(A69-6/24))+O70</f>
        <v>53</v>
      </c>
      <c r="O70">
        <f t="shared" si="4"/>
        <v>0</v>
      </c>
      <c r="P70" t="str">
        <f t="shared" ref="P70" si="44">IF(L70&lt;N70,"未達成（"&amp;N70-L70&amp;"）",IF(L70=N70,"達成","前倒し（"&amp;L70-N70&amp;"）"))</f>
        <v>未達成（2）</v>
      </c>
    </row>
    <row r="71" spans="1:16">
      <c r="A71" s="3">
        <v>45989.299722222226</v>
      </c>
      <c r="B71">
        <v>60</v>
      </c>
      <c r="C71">
        <v>42</v>
      </c>
      <c r="D71">
        <v>0</v>
      </c>
      <c r="E71">
        <v>0</v>
      </c>
      <c r="F71">
        <v>0</v>
      </c>
      <c r="G71" s="5">
        <v>7.6967592613073066E-3</v>
      </c>
      <c r="H71" t="s">
        <v>197</v>
      </c>
      <c r="I71" t="s">
        <v>198</v>
      </c>
      <c r="J71">
        <v>0</v>
      </c>
      <c r="K71">
        <f t="shared" ref="K71" si="45">IF(A71&lt;DATEVALUE("2025/11/20"),1,IF(B71-SUM(D71:F71)&lt;&gt;60,0,MAX(2-INT(G71*24*60/10),0)))</f>
        <v>1</v>
      </c>
      <c r="L71">
        <f t="shared" ref="L71" si="46">L70+K71</f>
        <v>52</v>
      </c>
      <c r="M71">
        <f t="shared" si="3"/>
        <v>2</v>
      </c>
      <c r="N71">
        <f t="shared" ref="N71" si="47">N70+M71*(INT(A71-6/24)-INT(A70-6/24))+O71</f>
        <v>53</v>
      </c>
      <c r="O71">
        <f t="shared" si="4"/>
        <v>0</v>
      </c>
      <c r="P71" t="str">
        <f t="shared" ref="P71" si="48">IF(L71&lt;N71,"未達成（"&amp;N71-L71&amp;"）",IF(L71=N71,"達成","前倒し（"&amp;L71-N71&amp;"）"))</f>
        <v>未達成（1）</v>
      </c>
    </row>
    <row r="72" spans="1:16">
      <c r="A72" s="3">
        <v>45989.308298611111</v>
      </c>
      <c r="B72">
        <v>60</v>
      </c>
      <c r="C72">
        <v>19</v>
      </c>
      <c r="D72">
        <v>0</v>
      </c>
      <c r="E72">
        <v>0</v>
      </c>
      <c r="F72">
        <v>0</v>
      </c>
      <c r="G72" s="5">
        <v>7.7662037074333057E-3</v>
      </c>
      <c r="H72" t="s">
        <v>199</v>
      </c>
      <c r="I72" t="s">
        <v>200</v>
      </c>
      <c r="J72">
        <v>0</v>
      </c>
      <c r="K72">
        <f t="shared" ref="K72" si="49">IF(A72&lt;DATEVALUE("2025/11/20"),1,IF(B72-SUM(D72:F72)&lt;&gt;60,0,MAX(2-INT(G72*24*60/10),0)))</f>
        <v>1</v>
      </c>
      <c r="L72">
        <f t="shared" ref="L72" si="50">L71+K72</f>
        <v>53</v>
      </c>
      <c r="M72">
        <f t="shared" si="3"/>
        <v>2</v>
      </c>
      <c r="N72">
        <f t="shared" ref="N72" si="51">N71+M72*(INT(A72-6/24)-INT(A71-6/24))+O72</f>
        <v>53</v>
      </c>
      <c r="O72">
        <f t="shared" si="4"/>
        <v>0</v>
      </c>
      <c r="P72" t="str">
        <f t="shared" ref="P72" si="52">IF(L72&lt;N72,"未達成（"&amp;N72-L72&amp;"）",IF(L72=N72,"達成","前倒し（"&amp;L72-N72&amp;"）"))</f>
        <v>達成</v>
      </c>
    </row>
    <row r="73" spans="1:16">
      <c r="A73" s="3">
        <v>45990.459027777775</v>
      </c>
      <c r="B73">
        <v>60</v>
      </c>
      <c r="C73">
        <v>13</v>
      </c>
      <c r="D73">
        <v>0</v>
      </c>
      <c r="E73">
        <v>0</v>
      </c>
      <c r="F73">
        <v>0</v>
      </c>
      <c r="G73" s="5">
        <v>9.814814809942618E-3</v>
      </c>
      <c r="H73" t="s">
        <v>201</v>
      </c>
      <c r="I73" t="s">
        <v>202</v>
      </c>
      <c r="J73">
        <v>0</v>
      </c>
      <c r="K73">
        <f t="shared" ref="K73" si="53">IF(A73&lt;DATEVALUE("2025/11/20"),1,IF(B73-SUM(D73:F73)&lt;&gt;60,0,MAX(2-INT(G73*24*60/10),0)))</f>
        <v>1</v>
      </c>
      <c r="L73">
        <f t="shared" ref="L73" si="54">L72+K73</f>
        <v>54</v>
      </c>
      <c r="M73">
        <f t="shared" si="3"/>
        <v>2</v>
      </c>
      <c r="N73">
        <f t="shared" ref="N73" si="55">N72+M73*(INT(A73-6/24)-INT(A72-6/24))+O73</f>
        <v>55</v>
      </c>
      <c r="O73">
        <f t="shared" si="4"/>
        <v>0</v>
      </c>
      <c r="P73" t="str">
        <f t="shared" ref="P73" si="56">IF(L73&lt;N73,"未達成（"&amp;N73-L73&amp;"）",IF(L73=N73,"達成","前倒し（"&amp;L73-N73&amp;"）"))</f>
        <v>未達成（1）</v>
      </c>
    </row>
    <row r="74" spans="1:16">
      <c r="A74" s="3">
        <v>45990.539907407408</v>
      </c>
      <c r="B74">
        <v>60</v>
      </c>
      <c r="C74">
        <v>10</v>
      </c>
      <c r="D74">
        <v>0</v>
      </c>
      <c r="E74">
        <v>0</v>
      </c>
      <c r="F74">
        <v>0</v>
      </c>
      <c r="G74" s="5">
        <v>1.1226851849642117E-2</v>
      </c>
      <c r="H74" t="s">
        <v>203</v>
      </c>
      <c r="I74" t="s">
        <v>204</v>
      </c>
      <c r="J74">
        <v>0</v>
      </c>
      <c r="K74">
        <f t="shared" ref="K74" si="57">IF(A74&lt;DATEVALUE("2025/11/20"),1,IF(B74-SUM(D74:F74)&lt;&gt;60,0,MAX(2-INT(G74*24*60/10),0)))</f>
        <v>1</v>
      </c>
      <c r="L74">
        <f t="shared" ref="L74" si="58">L73+K74</f>
        <v>55</v>
      </c>
      <c r="M74">
        <f t="shared" si="3"/>
        <v>2</v>
      </c>
      <c r="N74">
        <f t="shared" ref="N74" si="59">N73+M74*(INT(A74-6/24)-INT(A73-6/24))+O74</f>
        <v>55</v>
      </c>
      <c r="O74">
        <f t="shared" si="4"/>
        <v>0</v>
      </c>
      <c r="P74" t="str">
        <f t="shared" ref="P74" si="60">IF(L74&lt;N74,"未達成（"&amp;N74-L74&amp;"）",IF(L74=N74,"達成","前倒し（"&amp;L74-N74&amp;"）"))</f>
        <v>達成</v>
      </c>
    </row>
    <row r="75" spans="1:16">
      <c r="A75" s="3">
        <v>45991.563125000001</v>
      </c>
      <c r="B75">
        <v>60</v>
      </c>
      <c r="C75">
        <v>14</v>
      </c>
      <c r="D75">
        <v>0</v>
      </c>
      <c r="E75">
        <v>0</v>
      </c>
      <c r="F75">
        <v>0</v>
      </c>
      <c r="G75" s="5">
        <v>5.694444444088731E-3</v>
      </c>
      <c r="H75" t="s">
        <v>205</v>
      </c>
      <c r="I75" t="s">
        <v>206</v>
      </c>
      <c r="J75">
        <v>0</v>
      </c>
      <c r="K75">
        <f t="shared" ref="K75" si="61">IF(A75&lt;DATEVALUE("2025/11/20"),1,IF(B75-SUM(D75:F75)&lt;&gt;60,0,MAX(2-INT(G75*24*60/10),0)))</f>
        <v>2</v>
      </c>
      <c r="L75">
        <f t="shared" ref="L75" si="62">L74+K75</f>
        <v>57</v>
      </c>
      <c r="M75">
        <f t="shared" si="3"/>
        <v>3</v>
      </c>
      <c r="N75">
        <f t="shared" ref="N75" si="63">N74+M75*(INT(A75-6/24)-INT(A74-6/24))+O75</f>
        <v>58</v>
      </c>
      <c r="O75">
        <f t="shared" si="4"/>
        <v>0</v>
      </c>
      <c r="P75" t="str">
        <f t="shared" ref="P75" si="64">IF(L75&lt;N75,"未達成（"&amp;N75-L75&amp;"）",IF(L75=N75,"達成","前倒し（"&amp;L75-N75&amp;"）"))</f>
        <v>未達成（1）</v>
      </c>
    </row>
    <row r="76" spans="1:16">
      <c r="A76" s="3">
        <v>45991.575856481482</v>
      </c>
      <c r="B76">
        <v>60</v>
      </c>
      <c r="C76">
        <v>14</v>
      </c>
      <c r="D76">
        <v>0</v>
      </c>
      <c r="E76">
        <v>0</v>
      </c>
      <c r="F76">
        <v>0</v>
      </c>
      <c r="G76" s="5">
        <v>5.5324074055533856E-3</v>
      </c>
      <c r="H76" t="s">
        <v>208</v>
      </c>
      <c r="I76" t="s">
        <v>209</v>
      </c>
      <c r="J76">
        <v>0</v>
      </c>
      <c r="K76">
        <f t="shared" ref="K76" si="65">IF(A76&lt;DATEVALUE("2025/11/20"),1,IF(B76-SUM(D76:F76)&lt;&gt;60,0,MAX(2-INT(G76*24*60/10),0)))</f>
        <v>2</v>
      </c>
      <c r="L76">
        <f t="shared" ref="L76" si="66">L75+K76</f>
        <v>59</v>
      </c>
      <c r="M76">
        <f t="shared" ref="M76" si="67">2+IF(A76&gt;=DATEVALUE("2025/11/30"),1,0)</f>
        <v>3</v>
      </c>
      <c r="N76">
        <f t="shared" ref="N76" si="68">N75+M76*(INT(A76-6/24)-INT(A75-6/24))+O76</f>
        <v>58</v>
      </c>
      <c r="O76">
        <f t="shared" ref="O76" si="69">IF(A76&gt;=DATEVALUE("2025/11/8"),1,0)-IF(A75&gt;=DATEVALUE("2025/11/8"),1,0)</f>
        <v>0</v>
      </c>
      <c r="P76" t="str">
        <f t="shared" ref="P76" si="70">IF(L76&lt;N76,"未達成（"&amp;N76-L76&amp;"）",IF(L76=N76,"達成","前倒し（"&amp;L76-N76&amp;"）"))</f>
        <v>前倒し（1）</v>
      </c>
    </row>
    <row r="77" spans="1:16">
      <c r="A77" s="3">
        <v>45992.289467592593</v>
      </c>
      <c r="B77">
        <v>60</v>
      </c>
      <c r="C77">
        <v>14</v>
      </c>
      <c r="D77">
        <v>0</v>
      </c>
      <c r="E77">
        <v>0</v>
      </c>
      <c r="F77">
        <v>0</v>
      </c>
      <c r="G77" s="5">
        <v>1.0162037040572613E-2</v>
      </c>
      <c r="H77" t="s">
        <v>210</v>
      </c>
      <c r="I77" t="s">
        <v>211</v>
      </c>
      <c r="J77">
        <v>0</v>
      </c>
      <c r="K77">
        <f t="shared" ref="K77" si="71">IF(A77&lt;DATEVALUE("2025/11/20"),1,IF(B77-SUM(D77:F77)&lt;&gt;60,0,MAX(2-INT(G77*24*60/10),0)))</f>
        <v>1</v>
      </c>
      <c r="L77">
        <f t="shared" ref="L77" si="72">L76+K77</f>
        <v>60</v>
      </c>
      <c r="M77">
        <f t="shared" ref="M77" si="73">2+IF(A77&gt;=DATEVALUE("2025/11/30"),1,0)</f>
        <v>3</v>
      </c>
      <c r="N77">
        <f t="shared" ref="N77" si="74">N76+M77*(INT(A77-6/24)-INT(A76-6/24))+O77</f>
        <v>61</v>
      </c>
      <c r="O77">
        <f t="shared" ref="O77" si="75">IF(A77&gt;=DATEVALUE("2025/11/8"),1,0)-IF(A76&gt;=DATEVALUE("2025/11/8"),1,0)</f>
        <v>0</v>
      </c>
      <c r="P77" t="str">
        <f t="shared" ref="P77" si="76">IF(L77&lt;N77,"未達成（"&amp;N77-L77&amp;"）",IF(L77=N77,"達成","前倒し（"&amp;L77-N77&amp;"）"))</f>
        <v>未達成（1）</v>
      </c>
    </row>
    <row r="78" spans="1:16">
      <c r="A78" s="3">
        <v>45992.298761574071</v>
      </c>
      <c r="B78">
        <v>60</v>
      </c>
      <c r="C78">
        <v>8</v>
      </c>
      <c r="D78">
        <v>0</v>
      </c>
      <c r="E78">
        <v>0</v>
      </c>
      <c r="F78">
        <v>0</v>
      </c>
      <c r="G78" s="5">
        <v>6.168981475639157E-3</v>
      </c>
      <c r="H78" t="s">
        <v>212</v>
      </c>
      <c r="I78" t="s">
        <v>213</v>
      </c>
      <c r="J78">
        <v>0</v>
      </c>
      <c r="K78">
        <f t="shared" ref="K78" si="77">IF(A78&lt;DATEVALUE("2025/11/20"),1,IF(B78-SUM(D78:F78)&lt;&gt;60,0,MAX(2-INT(G78*24*60/10),0)))</f>
        <v>2</v>
      </c>
      <c r="L78">
        <f t="shared" ref="L78" si="78">L77+K78</f>
        <v>62</v>
      </c>
      <c r="M78">
        <f t="shared" ref="M78" si="79">2+IF(A78&gt;=DATEVALUE("2025/11/30"),1,0)</f>
        <v>3</v>
      </c>
      <c r="N78">
        <f t="shared" ref="N78" si="80">N77+M78*(INT(A78-6/24)-INT(A77-6/24))+O78</f>
        <v>61</v>
      </c>
      <c r="O78">
        <f t="shared" ref="O78" si="81">IF(A78&gt;=DATEVALUE("2025/11/8"),1,0)-IF(A77&gt;=DATEVALUE("2025/11/8"),1,0)</f>
        <v>0</v>
      </c>
      <c r="P78" t="str">
        <f t="shared" ref="P78" si="82">IF(L78&lt;N78,"未達成（"&amp;N78-L78&amp;"）",IF(L78=N78,"達成","前倒し（"&amp;L78-N78&amp;"）"))</f>
        <v>前倒し（1）</v>
      </c>
    </row>
    <row r="79" spans="1:16">
      <c r="A79" s="3">
        <v>45993.285081018519</v>
      </c>
      <c r="B79">
        <v>48</v>
      </c>
      <c r="C79">
        <v>7</v>
      </c>
      <c r="D79">
        <v>0</v>
      </c>
      <c r="E79">
        <v>12</v>
      </c>
      <c r="F79">
        <v>0</v>
      </c>
      <c r="G79" s="5">
        <v>7.8703703693463467E-3</v>
      </c>
      <c r="H79" t="s">
        <v>214</v>
      </c>
      <c r="I79" t="s">
        <v>215</v>
      </c>
      <c r="J79">
        <v>0</v>
      </c>
      <c r="K79">
        <f t="shared" ref="K79" si="83">IF(A79&lt;DATEVALUE("2025/11/20"),1,IF(B79-SUM(D79:F79)&lt;&gt;60,0,MAX(2-INT(G79*24*60/10),0)))</f>
        <v>0</v>
      </c>
      <c r="L79">
        <f t="shared" ref="L79" si="84">L78+K79</f>
        <v>62</v>
      </c>
      <c r="M79">
        <f t="shared" ref="M79" si="85">2+IF(A79&gt;=DATEVALUE("2025/11/30"),1,0)</f>
        <v>3</v>
      </c>
      <c r="N79">
        <f t="shared" ref="N79" si="86">N78+M79*(INT(A79-6/24)-INT(A78-6/24))+O79</f>
        <v>64</v>
      </c>
      <c r="O79">
        <f t="shared" ref="O79" si="87">IF(A79&gt;=DATEVALUE("2025/11/8"),1,0)-IF(A78&gt;=DATEVALUE("2025/11/8"),1,0)</f>
        <v>0</v>
      </c>
      <c r="P79" t="str">
        <f t="shared" ref="P79" si="88">IF(L79&lt;N79,"未達成（"&amp;N79-L79&amp;"）",IF(L79=N79,"達成","前倒し（"&amp;L79-N79&amp;"）"))</f>
        <v>未達成（2）</v>
      </c>
    </row>
    <row r="80" spans="1:16">
      <c r="A80" s="3">
        <v>45993.29241898148</v>
      </c>
      <c r="B80">
        <v>60</v>
      </c>
      <c r="C80">
        <v>18</v>
      </c>
      <c r="D80">
        <v>0</v>
      </c>
      <c r="E80">
        <v>0</v>
      </c>
      <c r="F80">
        <v>0</v>
      </c>
      <c r="G80" s="5">
        <v>6.7476851836545393E-3</v>
      </c>
      <c r="H80" t="s">
        <v>216</v>
      </c>
      <c r="I80" t="s">
        <v>217</v>
      </c>
      <c r="J80">
        <v>0</v>
      </c>
      <c r="K80">
        <f t="shared" ref="K80" si="89">IF(A80&lt;DATEVALUE("2025/11/20"),1,IF(B80-SUM(D80:F80)&lt;&gt;60,0,MAX(2-INT(G80*24*60/10),0)))</f>
        <v>2</v>
      </c>
      <c r="L80">
        <f t="shared" ref="L80" si="90">L79+K80</f>
        <v>64</v>
      </c>
      <c r="M80">
        <f t="shared" ref="M80" si="91">2+IF(A80&gt;=DATEVALUE("2025/11/30"),1,0)</f>
        <v>3</v>
      </c>
      <c r="N80">
        <f t="shared" ref="N80" si="92">N79+M80*(INT(A80-6/24)-INT(A79-6/24))+O80</f>
        <v>64</v>
      </c>
      <c r="O80">
        <f t="shared" ref="O80" si="93">IF(A80&gt;=DATEVALUE("2025/11/8"),1,0)-IF(A79&gt;=DATEVALUE("2025/11/8"),1,0)</f>
        <v>0</v>
      </c>
      <c r="P80" t="str">
        <f t="shared" ref="P80" si="94">IF(L80&lt;N80,"未達成（"&amp;N80-L80&amp;"）",IF(L80=N80,"達成","前倒し（"&amp;L80-N80&amp;"）"))</f>
        <v>達成</v>
      </c>
    </row>
  </sheetData>
  <dataConsolidate/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00" r:id="rId4" name="CreateChart">
              <controlPr defaultSize="0" print="0" autoFill="0" autoPict="0" macro="[0]!CreateChart" altText="グラフ">
                <anchor moveWithCells="1" sizeWithCells="1">
                  <from>
                    <xdr:col>16</xdr:col>
                    <xdr:colOff>0</xdr:colOff>
                    <xdr:row>0</xdr:row>
                    <xdr:rowOff>0</xdr:rowOff>
                  </from>
                  <to>
                    <xdr:col>17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" r:id="rId5" name="Button 6">
              <controlPr defaultSize="0" print="0" autoFill="0" autoPict="0" macro="[0]!LoadQuestion" altText="グラフ">
                <anchor moveWithCells="1" sizeWithCells="1">
                  <from>
                    <xdr:col>17</xdr:col>
                    <xdr:colOff>0</xdr:colOff>
                    <xdr:row>0</xdr:row>
                    <xdr:rowOff>0</xdr:rowOff>
                  </from>
                  <to>
                    <xdr:col>18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" r:id="rId6" name="Button 7">
              <controlPr defaultSize="0" print="0" autoFill="0" autoPict="0" macro="[0]!Recheck" altText="グラフ">
                <anchor moveWithCells="1" sizeWithCells="1">
                  <from>
                    <xdr:col>18</xdr:col>
                    <xdr:colOff>0</xdr:colOff>
                    <xdr:row>0</xdr:row>
                    <xdr:rowOff>0</xdr:rowOff>
                  </from>
                  <to>
                    <xdr:col>19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F3F95D-BDF8-415C-9003-870D0FA9A639}">
  <sheetPr codeName="Sheet4"/>
  <dimension ref="A1:D25"/>
  <sheetViews>
    <sheetView zoomScaleNormal="100" workbookViewId="0"/>
  </sheetViews>
  <sheetFormatPr defaultRowHeight="17.649999999999999"/>
  <cols>
    <col min="3" max="3" width="9" customWidth="1"/>
  </cols>
  <sheetData>
    <row r="1" spans="1:4">
      <c r="C1" t="b">
        <v>1</v>
      </c>
    </row>
    <row r="2" spans="1:4">
      <c r="C2" t="b">
        <v>0</v>
      </c>
    </row>
    <row r="3" spans="1:4">
      <c r="A3" t="s">
        <v>12</v>
      </c>
      <c r="C3" s="24">
        <v>45993.285671296297</v>
      </c>
      <c r="D3" s="25"/>
    </row>
    <row r="4" spans="1:4">
      <c r="A4" t="s">
        <v>42</v>
      </c>
      <c r="C4" s="6">
        <v>2</v>
      </c>
    </row>
    <row r="5" spans="1:4">
      <c r="C5" s="6">
        <v>3</v>
      </c>
    </row>
    <row r="6" spans="1:4">
      <c r="C6" s="6">
        <v>7</v>
      </c>
    </row>
    <row r="7" spans="1:4">
      <c r="C7" s="6">
        <v>5</v>
      </c>
    </row>
    <row r="8" spans="1:4">
      <c r="C8" s="6">
        <v>2</v>
      </c>
    </row>
    <row r="9" spans="1:4">
      <c r="C9" s="6">
        <v>5</v>
      </c>
    </row>
    <row r="10" spans="1:4">
      <c r="C10" s="6">
        <v>3</v>
      </c>
    </row>
    <row r="11" spans="1:4">
      <c r="C11" s="6">
        <v>4</v>
      </c>
    </row>
    <row r="12" spans="1:4">
      <c r="C12" s="6">
        <v>2</v>
      </c>
    </row>
    <row r="13" spans="1:4">
      <c r="C13" s="6">
        <v>6</v>
      </c>
    </row>
    <row r="14" spans="1:4">
      <c r="C14" s="6">
        <v>2</v>
      </c>
    </row>
    <row r="15" spans="1:4">
      <c r="C15" s="6">
        <v>4</v>
      </c>
    </row>
    <row r="16" spans="1:4">
      <c r="C16" s="6">
        <v>7</v>
      </c>
    </row>
    <row r="17" spans="1:3">
      <c r="C17" s="6">
        <v>3</v>
      </c>
    </row>
    <row r="18" spans="1:3">
      <c r="C18" s="6">
        <v>5</v>
      </c>
    </row>
    <row r="19" spans="1:3">
      <c r="A19" t="s">
        <v>43</v>
      </c>
    </row>
    <row r="20" spans="1:3">
      <c r="B20">
        <v>2</v>
      </c>
      <c r="C20" s="6">
        <v>2</v>
      </c>
    </row>
    <row r="21" spans="1:3">
      <c r="B21">
        <v>3</v>
      </c>
      <c r="C21" s="6">
        <v>3</v>
      </c>
    </row>
    <row r="22" spans="1:3">
      <c r="B22">
        <v>4</v>
      </c>
      <c r="C22" s="6">
        <v>4</v>
      </c>
    </row>
    <row r="23" spans="1:3">
      <c r="B23">
        <v>5</v>
      </c>
      <c r="C23" s="6">
        <v>5</v>
      </c>
    </row>
    <row r="24" spans="1:3">
      <c r="B24">
        <v>6</v>
      </c>
      <c r="C24" s="6">
        <v>6</v>
      </c>
    </row>
    <row r="25" spans="1:3">
      <c r="B25">
        <v>7</v>
      </c>
      <c r="C25" s="6">
        <v>7</v>
      </c>
    </row>
  </sheetData>
  <mergeCells count="1">
    <mergeCell ref="C3:D3"/>
  </mergeCells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Check Box 1">
              <controlPr defaultSize="0" autoFill="0" autoLine="0" autoPict="0">
                <anchor mov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2</xdr:col>
                    <xdr:colOff>0</xdr:colOff>
                    <xdr:row>1</xdr:row>
                    <xdr:rowOff>14288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Check Box 2">
              <controlPr defaultSize="0" autoFill="0" autoLine="0" autoPict="0">
                <anchor moveWithCells="1">
                  <from>
                    <xdr:col>0</xdr:col>
                    <xdr:colOff>0</xdr:colOff>
                    <xdr:row>1</xdr:row>
                    <xdr:rowOff>0</xdr:rowOff>
                  </from>
                  <to>
                    <xdr:col>2</xdr:col>
                    <xdr:colOff>0</xdr:colOff>
                    <xdr:row>2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3E15AB-8C22-4CF2-8EF5-F74628A142DF}">
  <sheetPr codeName="Sheet5"/>
  <dimension ref="A1:T15"/>
  <sheetViews>
    <sheetView zoomScaleNormal="100" workbookViewId="0"/>
  </sheetViews>
  <sheetFormatPr defaultRowHeight="17.649999999999999"/>
  <cols>
    <col min="1" max="12" width="5.5625" customWidth="1"/>
    <col min="14" max="14" width="17.4375" customWidth="1"/>
  </cols>
  <sheetData>
    <row r="1" spans="1:20" ht="28.15" customHeight="1">
      <c r="A1">
        <v>7</v>
      </c>
      <c r="B1">
        <v>8</v>
      </c>
      <c r="C1">
        <v>1</v>
      </c>
      <c r="D1">
        <v>7</v>
      </c>
      <c r="E1">
        <v>3</v>
      </c>
      <c r="F1">
        <v>1</v>
      </c>
      <c r="G1">
        <v>3</v>
      </c>
      <c r="H1">
        <v>4</v>
      </c>
      <c r="I1">
        <v>5</v>
      </c>
      <c r="J1">
        <v>2</v>
      </c>
      <c r="K1">
        <v>9</v>
      </c>
      <c r="L1">
        <v>1</v>
      </c>
      <c r="N1">
        <v>60</v>
      </c>
      <c r="Q1">
        <f>LEN(N1)</f>
        <v>2</v>
      </c>
      <c r="S1">
        <v>2</v>
      </c>
      <c r="T1">
        <f>COUNTIF(Q:Q,S1)</f>
        <v>4</v>
      </c>
    </row>
    <row r="2" spans="1:20" ht="28.15" customHeight="1">
      <c r="A2">
        <v>9</v>
      </c>
      <c r="B2">
        <v>1</v>
      </c>
      <c r="C2">
        <v>6</v>
      </c>
      <c r="D2">
        <v>0</v>
      </c>
      <c r="E2">
        <v>9</v>
      </c>
      <c r="F2">
        <v>7</v>
      </c>
      <c r="G2">
        <v>2</v>
      </c>
      <c r="H2">
        <v>9</v>
      </c>
      <c r="I2">
        <v>7</v>
      </c>
      <c r="J2">
        <v>0</v>
      </c>
      <c r="K2">
        <v>9</v>
      </c>
      <c r="L2">
        <v>7</v>
      </c>
      <c r="N2">
        <v>317</v>
      </c>
      <c r="Q2">
        <f t="shared" ref="Q2:Q15" si="0">LEN(N2)</f>
        <v>3</v>
      </c>
      <c r="S2">
        <f>S1+1</f>
        <v>3</v>
      </c>
      <c r="T2">
        <f t="shared" ref="T2:T6" si="1">COUNTIF(Q:Q,S2)</f>
        <v>3</v>
      </c>
    </row>
    <row r="3" spans="1:20" ht="28.15" customHeight="1">
      <c r="A3">
        <v>2</v>
      </c>
      <c r="B3">
        <v>0</v>
      </c>
      <c r="C3">
        <v>3</v>
      </c>
      <c r="D3">
        <v>7</v>
      </c>
      <c r="E3">
        <v>2</v>
      </c>
      <c r="F3">
        <v>5</v>
      </c>
      <c r="G3">
        <v>3</v>
      </c>
      <c r="H3">
        <v>7</v>
      </c>
      <c r="I3">
        <v>4</v>
      </c>
      <c r="J3">
        <v>8</v>
      </c>
      <c r="K3">
        <v>4</v>
      </c>
      <c r="L3">
        <v>2</v>
      </c>
      <c r="N3">
        <v>9468371</v>
      </c>
      <c r="Q3">
        <f t="shared" si="0"/>
        <v>7</v>
      </c>
      <c r="S3">
        <f t="shared" ref="S3:S6" si="2">S2+1</f>
        <v>4</v>
      </c>
      <c r="T3">
        <f t="shared" si="1"/>
        <v>2</v>
      </c>
    </row>
    <row r="4" spans="1:20" ht="28.15" customHeight="1">
      <c r="A4">
        <v>7</v>
      </c>
      <c r="B4">
        <v>5</v>
      </c>
      <c r="C4">
        <v>0</v>
      </c>
      <c r="D4">
        <v>5</v>
      </c>
      <c r="E4">
        <v>3</v>
      </c>
      <c r="F4">
        <v>1</v>
      </c>
      <c r="G4">
        <v>5</v>
      </c>
      <c r="H4">
        <v>6</v>
      </c>
      <c r="I4">
        <v>9</v>
      </c>
      <c r="J4">
        <v>7</v>
      </c>
      <c r="K4">
        <v>2</v>
      </c>
      <c r="L4">
        <v>5</v>
      </c>
      <c r="N4">
        <v>34529</v>
      </c>
      <c r="Q4">
        <f t="shared" si="0"/>
        <v>5</v>
      </c>
      <c r="S4">
        <f t="shared" si="2"/>
        <v>5</v>
      </c>
      <c r="T4">
        <f t="shared" si="1"/>
        <v>3</v>
      </c>
    </row>
    <row r="5" spans="1:20" ht="28.15" customHeight="1">
      <c r="A5">
        <v>8</v>
      </c>
      <c r="B5">
        <v>0</v>
      </c>
      <c r="C5">
        <v>4</v>
      </c>
      <c r="D5">
        <v>8</v>
      </c>
      <c r="E5">
        <v>2</v>
      </c>
      <c r="F5">
        <v>7</v>
      </c>
      <c r="G5">
        <v>0</v>
      </c>
      <c r="H5">
        <v>1</v>
      </c>
      <c r="I5">
        <v>4</v>
      </c>
      <c r="J5">
        <v>2</v>
      </c>
      <c r="K5">
        <v>6</v>
      </c>
      <c r="L5">
        <v>8</v>
      </c>
      <c r="N5">
        <v>75</v>
      </c>
      <c r="Q5">
        <f t="shared" si="0"/>
        <v>2</v>
      </c>
      <c r="S5">
        <f t="shared" si="2"/>
        <v>6</v>
      </c>
      <c r="T5">
        <f t="shared" si="1"/>
        <v>1</v>
      </c>
    </row>
    <row r="6" spans="1:20" ht="28.15" customHeight="1">
      <c r="A6">
        <v>1</v>
      </c>
      <c r="B6">
        <v>3</v>
      </c>
      <c r="C6">
        <v>9</v>
      </c>
      <c r="D6">
        <v>7</v>
      </c>
      <c r="E6">
        <v>6</v>
      </c>
      <c r="F6">
        <v>5</v>
      </c>
      <c r="G6">
        <v>2</v>
      </c>
      <c r="H6">
        <v>3</v>
      </c>
      <c r="I6">
        <v>3</v>
      </c>
      <c r="J6">
        <v>4</v>
      </c>
      <c r="K6">
        <v>4</v>
      </c>
      <c r="L6">
        <v>3</v>
      </c>
      <c r="N6">
        <v>25418</v>
      </c>
      <c r="Q6">
        <f t="shared" si="0"/>
        <v>5</v>
      </c>
      <c r="S6">
        <f t="shared" si="2"/>
        <v>7</v>
      </c>
      <c r="T6">
        <f t="shared" si="1"/>
        <v>2</v>
      </c>
    </row>
    <row r="7" spans="1:20" ht="28.15" customHeight="1">
      <c r="A7">
        <v>4</v>
      </c>
      <c r="B7">
        <v>1</v>
      </c>
      <c r="C7">
        <v>8</v>
      </c>
      <c r="D7">
        <v>4</v>
      </c>
      <c r="E7">
        <v>5</v>
      </c>
      <c r="F7">
        <v>1</v>
      </c>
      <c r="G7">
        <v>4</v>
      </c>
      <c r="H7">
        <v>2</v>
      </c>
      <c r="I7">
        <v>5</v>
      </c>
      <c r="J7">
        <v>3</v>
      </c>
      <c r="K7">
        <v>2</v>
      </c>
      <c r="L7">
        <v>6</v>
      </c>
      <c r="N7">
        <v>790</v>
      </c>
      <c r="Q7">
        <f t="shared" si="0"/>
        <v>3</v>
      </c>
    </row>
    <row r="8" spans="1:20" ht="28.15" customHeight="1">
      <c r="A8">
        <v>5</v>
      </c>
      <c r="B8">
        <v>0</v>
      </c>
      <c r="C8">
        <v>7</v>
      </c>
      <c r="D8">
        <v>0</v>
      </c>
      <c r="E8">
        <v>3</v>
      </c>
      <c r="F8">
        <v>1</v>
      </c>
      <c r="G8">
        <v>6</v>
      </c>
      <c r="H8">
        <v>0</v>
      </c>
      <c r="I8">
        <v>5</v>
      </c>
      <c r="J8">
        <v>6</v>
      </c>
      <c r="K8">
        <v>0</v>
      </c>
      <c r="L8">
        <v>8</v>
      </c>
      <c r="N8">
        <v>2543</v>
      </c>
      <c r="Q8">
        <f t="shared" si="0"/>
        <v>4</v>
      </c>
    </row>
    <row r="9" spans="1:20" ht="28.15" customHeight="1">
      <c r="A9">
        <v>2</v>
      </c>
      <c r="B9">
        <v>5</v>
      </c>
      <c r="C9">
        <v>4</v>
      </c>
      <c r="D9">
        <v>1</v>
      </c>
      <c r="E9">
        <v>7</v>
      </c>
      <c r="F9">
        <v>3</v>
      </c>
      <c r="G9">
        <v>2</v>
      </c>
      <c r="H9">
        <v>5</v>
      </c>
      <c r="I9">
        <v>6</v>
      </c>
      <c r="J9">
        <v>2</v>
      </c>
      <c r="K9">
        <v>9</v>
      </c>
      <c r="L9">
        <v>1</v>
      </c>
      <c r="N9">
        <v>62</v>
      </c>
      <c r="Q9">
        <f t="shared" si="0"/>
        <v>2</v>
      </c>
    </row>
    <row r="10" spans="1:20" ht="28.15" customHeight="1">
      <c r="A10">
        <v>8</v>
      </c>
      <c r="B10">
        <v>6</v>
      </c>
      <c r="C10">
        <v>4</v>
      </c>
      <c r="D10">
        <v>8</v>
      </c>
      <c r="E10">
        <v>6</v>
      </c>
      <c r="F10">
        <v>4</v>
      </c>
      <c r="G10">
        <v>7</v>
      </c>
      <c r="H10">
        <v>3</v>
      </c>
      <c r="I10">
        <v>2</v>
      </c>
      <c r="J10">
        <v>8</v>
      </c>
      <c r="K10">
        <v>1</v>
      </c>
      <c r="L10">
        <v>6</v>
      </c>
      <c r="N10">
        <v>473281</v>
      </c>
      <c r="Q10">
        <f t="shared" si="0"/>
        <v>6</v>
      </c>
    </row>
    <row r="11" spans="1:20" ht="28.15" customHeight="1">
      <c r="A11">
        <v>0</v>
      </c>
      <c r="B11">
        <v>3</v>
      </c>
      <c r="C11">
        <v>2</v>
      </c>
      <c r="D11">
        <v>2</v>
      </c>
      <c r="E11">
        <v>3</v>
      </c>
      <c r="F11">
        <v>1</v>
      </c>
      <c r="G11">
        <v>8</v>
      </c>
      <c r="H11">
        <v>2</v>
      </c>
      <c r="I11">
        <v>4</v>
      </c>
      <c r="J11">
        <v>2</v>
      </c>
      <c r="K11">
        <v>7</v>
      </c>
      <c r="L11">
        <v>7</v>
      </c>
      <c r="N11">
        <v>84</v>
      </c>
      <c r="Q11">
        <f t="shared" si="0"/>
        <v>2</v>
      </c>
    </row>
    <row r="12" spans="1:20" ht="28.15" customHeight="1">
      <c r="A12">
        <v>4</v>
      </c>
      <c r="B12">
        <v>1</v>
      </c>
      <c r="C12">
        <v>7</v>
      </c>
      <c r="D12">
        <v>3</v>
      </c>
      <c r="E12">
        <v>8</v>
      </c>
      <c r="F12">
        <v>6</v>
      </c>
      <c r="G12">
        <v>4</v>
      </c>
      <c r="H12">
        <v>9</v>
      </c>
      <c r="I12">
        <v>6</v>
      </c>
      <c r="J12">
        <v>8</v>
      </c>
      <c r="K12">
        <v>0</v>
      </c>
      <c r="L12">
        <v>5</v>
      </c>
      <c r="N12">
        <v>1732</v>
      </c>
      <c r="Q12">
        <f t="shared" si="0"/>
        <v>4</v>
      </c>
    </row>
    <row r="13" spans="1:20" ht="28.15" customHeight="1">
      <c r="N13">
        <v>8244637</v>
      </c>
      <c r="Q13">
        <f t="shared" si="0"/>
        <v>7</v>
      </c>
    </row>
    <row r="14" spans="1:20" ht="28.15" customHeight="1">
      <c r="N14">
        <v>583</v>
      </c>
      <c r="Q14">
        <f t="shared" si="0"/>
        <v>3</v>
      </c>
    </row>
    <row r="15" spans="1:20" ht="28.15" customHeight="1">
      <c r="N15">
        <v>32567</v>
      </c>
      <c r="Q15">
        <f t="shared" si="0"/>
        <v>5</v>
      </c>
    </row>
  </sheetData>
  <phoneticPr fontId="1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AE4D4C-AE18-4075-BBA7-CB2AB648CA20}">
  <sheetPr codeName="Sheet6"/>
  <dimension ref="A1:T15"/>
  <sheetViews>
    <sheetView zoomScaleNormal="100" workbookViewId="0"/>
  </sheetViews>
  <sheetFormatPr defaultRowHeight="17.649999999999999"/>
  <cols>
    <col min="1" max="12" width="5.5625" customWidth="1"/>
    <col min="14" max="14" width="17.4375" customWidth="1"/>
  </cols>
  <sheetData>
    <row r="1" spans="1:20" ht="28.15" customHeight="1">
      <c r="A1" s="2">
        <v>1</v>
      </c>
      <c r="B1" s="2">
        <v>3</v>
      </c>
      <c r="C1" s="2">
        <v>4</v>
      </c>
      <c r="D1" s="2">
        <v>4</v>
      </c>
      <c r="E1" s="2">
        <v>6</v>
      </c>
      <c r="F1" s="2">
        <v>2</v>
      </c>
      <c r="G1" s="2">
        <v>5</v>
      </c>
      <c r="H1" s="2">
        <v>4</v>
      </c>
      <c r="I1" s="2">
        <v>7</v>
      </c>
      <c r="J1" s="2">
        <v>5</v>
      </c>
      <c r="K1" s="2">
        <v>4</v>
      </c>
      <c r="L1" s="2">
        <v>4</v>
      </c>
      <c r="M1" s="1"/>
      <c r="N1">
        <v>1225854</v>
      </c>
      <c r="Q1">
        <f>LEN(N1)</f>
        <v>7</v>
      </c>
      <c r="S1">
        <v>2</v>
      </c>
      <c r="T1">
        <f>COUNTIF(Q:Q,S1)</f>
        <v>4</v>
      </c>
    </row>
    <row r="2" spans="1:20" ht="28.25" customHeight="1">
      <c r="A2" s="2">
        <v>8</v>
      </c>
      <c r="B2" s="2">
        <v>3</v>
      </c>
      <c r="C2" s="2">
        <v>8</v>
      </c>
      <c r="D2" s="2">
        <v>5</v>
      </c>
      <c r="E2" s="2">
        <v>2</v>
      </c>
      <c r="F2" s="2">
        <v>5</v>
      </c>
      <c r="G2" s="2">
        <v>3</v>
      </c>
      <c r="H2" s="2">
        <v>3</v>
      </c>
      <c r="I2" s="2">
        <v>7</v>
      </c>
      <c r="J2" s="2">
        <v>4</v>
      </c>
      <c r="K2" s="2">
        <v>8</v>
      </c>
      <c r="L2" s="2">
        <v>3</v>
      </c>
      <c r="M2" s="1"/>
      <c r="N2">
        <v>711</v>
      </c>
      <c r="Q2">
        <f t="shared" ref="Q2:Q15" si="0">LEN(N2)</f>
        <v>3</v>
      </c>
      <c r="S2">
        <f>S1+1</f>
        <v>3</v>
      </c>
      <c r="T2">
        <f t="shared" ref="T2:T6" si="1">COUNTIF(Q:Q,S2)</f>
        <v>3</v>
      </c>
    </row>
    <row r="3" spans="1:20" ht="28.15" customHeight="1">
      <c r="A3" s="2">
        <v>9</v>
      </c>
      <c r="B3" s="2">
        <v>1</v>
      </c>
      <c r="C3" s="2">
        <v>8</v>
      </c>
      <c r="D3" s="2">
        <v>4</v>
      </c>
      <c r="E3" s="2">
        <v>8</v>
      </c>
      <c r="F3" s="2">
        <v>9</v>
      </c>
      <c r="G3" s="2">
        <v>4</v>
      </c>
      <c r="H3" s="2">
        <v>6</v>
      </c>
      <c r="I3" s="2">
        <v>3</v>
      </c>
      <c r="J3" s="2">
        <v>4</v>
      </c>
      <c r="K3" s="2">
        <v>9</v>
      </c>
      <c r="L3" s="2">
        <v>9</v>
      </c>
      <c r="M3" s="1"/>
      <c r="N3">
        <v>295</v>
      </c>
      <c r="Q3">
        <f t="shared" si="0"/>
        <v>3</v>
      </c>
      <c r="S3">
        <f t="shared" ref="S3:S6" si="2">S2+1</f>
        <v>4</v>
      </c>
      <c r="T3">
        <f t="shared" si="1"/>
        <v>2</v>
      </c>
    </row>
    <row r="4" spans="1:20" ht="28.15" customHeight="1">
      <c r="A4" s="2">
        <v>6</v>
      </c>
      <c r="B4" s="2">
        <v>4</v>
      </c>
      <c r="C4" s="2">
        <v>3</v>
      </c>
      <c r="D4" s="2">
        <v>4</v>
      </c>
      <c r="E4" s="2">
        <v>4</v>
      </c>
      <c r="F4" s="2">
        <v>5</v>
      </c>
      <c r="G4" s="2">
        <v>5</v>
      </c>
      <c r="H4" s="2">
        <v>5</v>
      </c>
      <c r="I4" s="2">
        <v>3</v>
      </c>
      <c r="J4" s="2">
        <v>2</v>
      </c>
      <c r="K4" s="2">
        <v>2</v>
      </c>
      <c r="L4" s="2">
        <v>7</v>
      </c>
      <c r="M4" s="1"/>
      <c r="N4">
        <v>9472</v>
      </c>
      <c r="Q4">
        <f t="shared" si="0"/>
        <v>4</v>
      </c>
      <c r="S4">
        <f t="shared" si="2"/>
        <v>5</v>
      </c>
      <c r="T4">
        <f t="shared" si="1"/>
        <v>3</v>
      </c>
    </row>
    <row r="5" spans="1:20" ht="28.15" customHeight="1">
      <c r="A5" s="2">
        <v>9</v>
      </c>
      <c r="B5" s="2">
        <v>4</v>
      </c>
      <c r="C5" s="2">
        <v>7</v>
      </c>
      <c r="D5" s="2">
        <v>2</v>
      </c>
      <c r="E5" s="2">
        <v>7</v>
      </c>
      <c r="F5" s="2">
        <v>8</v>
      </c>
      <c r="G5" s="2">
        <v>2</v>
      </c>
      <c r="H5" s="2">
        <v>9</v>
      </c>
      <c r="I5" s="2">
        <v>3</v>
      </c>
      <c r="J5" s="2">
        <v>5</v>
      </c>
      <c r="K5" s="2">
        <v>3</v>
      </c>
      <c r="L5" s="2">
        <v>1</v>
      </c>
      <c r="M5" s="1"/>
      <c r="N5">
        <v>26</v>
      </c>
      <c r="Q5">
        <f t="shared" si="0"/>
        <v>2</v>
      </c>
      <c r="S5">
        <f t="shared" si="2"/>
        <v>6</v>
      </c>
      <c r="T5">
        <f t="shared" si="1"/>
        <v>1</v>
      </c>
    </row>
    <row r="6" spans="1:20" ht="28.15" customHeight="1">
      <c r="A6" s="2">
        <v>5</v>
      </c>
      <c r="B6" s="2">
        <v>1</v>
      </c>
      <c r="C6" s="2">
        <v>1</v>
      </c>
      <c r="D6" s="2">
        <v>3</v>
      </c>
      <c r="E6" s="2">
        <v>9</v>
      </c>
      <c r="F6" s="2">
        <v>4</v>
      </c>
      <c r="G6" s="2">
        <v>1</v>
      </c>
      <c r="H6" s="2">
        <v>2</v>
      </c>
      <c r="I6" s="2">
        <v>2</v>
      </c>
      <c r="J6" s="2">
        <v>8</v>
      </c>
      <c r="K6" s="2">
        <v>8</v>
      </c>
      <c r="L6" s="2">
        <v>4</v>
      </c>
      <c r="M6" s="1"/>
      <c r="N6">
        <v>44</v>
      </c>
      <c r="Q6">
        <f t="shared" si="0"/>
        <v>2</v>
      </c>
      <c r="S6">
        <f t="shared" si="2"/>
        <v>7</v>
      </c>
      <c r="T6">
        <f t="shared" si="1"/>
        <v>2</v>
      </c>
    </row>
    <row r="7" spans="1:20" ht="28.15" customHeight="1">
      <c r="A7" s="2">
        <v>2</v>
      </c>
      <c r="B7" s="2">
        <v>8</v>
      </c>
      <c r="C7" s="2">
        <v>7</v>
      </c>
      <c r="D7" s="2">
        <v>9</v>
      </c>
      <c r="E7" s="2">
        <v>8</v>
      </c>
      <c r="F7" s="2">
        <v>2</v>
      </c>
      <c r="G7" s="2">
        <v>3</v>
      </c>
      <c r="H7" s="2">
        <v>6</v>
      </c>
      <c r="I7" s="2">
        <v>1</v>
      </c>
      <c r="J7" s="2">
        <v>7</v>
      </c>
      <c r="K7" s="2">
        <v>9</v>
      </c>
      <c r="L7" s="2">
        <v>7</v>
      </c>
      <c r="M7" s="1"/>
      <c r="N7">
        <v>38897</v>
      </c>
      <c r="Q7">
        <f t="shared" si="0"/>
        <v>5</v>
      </c>
    </row>
    <row r="8" spans="1:20" ht="28.15" customHeight="1">
      <c r="A8" s="2">
        <v>6</v>
      </c>
      <c r="B8" s="2">
        <v>1</v>
      </c>
      <c r="C8" s="2">
        <v>4</v>
      </c>
      <c r="D8" s="2">
        <v>5</v>
      </c>
      <c r="E8" s="2">
        <v>8</v>
      </c>
      <c r="F8" s="2">
        <v>6</v>
      </c>
      <c r="G8" s="2">
        <v>6</v>
      </c>
      <c r="H8" s="2">
        <v>2</v>
      </c>
      <c r="I8" s="2">
        <v>2</v>
      </c>
      <c r="J8" s="2">
        <v>8</v>
      </c>
      <c r="K8" s="2">
        <v>9</v>
      </c>
      <c r="L8" s="2">
        <v>9</v>
      </c>
      <c r="M8" s="1"/>
      <c r="N8">
        <v>15</v>
      </c>
      <c r="Q8">
        <f t="shared" si="0"/>
        <v>2</v>
      </c>
    </row>
    <row r="9" spans="1:20" ht="28.15" customHeight="1">
      <c r="A9" s="2">
        <v>3</v>
      </c>
      <c r="B9" s="2">
        <v>4</v>
      </c>
      <c r="C9" s="2">
        <v>5</v>
      </c>
      <c r="D9" s="2">
        <v>1</v>
      </c>
      <c r="E9" s="2">
        <v>3</v>
      </c>
      <c r="F9" s="2">
        <v>2</v>
      </c>
      <c r="G9" s="2">
        <v>7</v>
      </c>
      <c r="H9" s="2">
        <v>2</v>
      </c>
      <c r="I9" s="2">
        <v>5</v>
      </c>
      <c r="J9" s="2">
        <v>4</v>
      </c>
      <c r="K9" s="2">
        <v>9</v>
      </c>
      <c r="L9" s="2">
        <v>3</v>
      </c>
      <c r="M9" s="1"/>
      <c r="N9">
        <v>473352</v>
      </c>
      <c r="Q9">
        <f t="shared" si="0"/>
        <v>6</v>
      </c>
    </row>
    <row r="10" spans="1:20" ht="28.15" customHeight="1">
      <c r="A10" s="2">
        <v>4</v>
      </c>
      <c r="B10" s="2">
        <v>3</v>
      </c>
      <c r="C10" s="2">
        <v>6</v>
      </c>
      <c r="D10" s="2">
        <v>9</v>
      </c>
      <c r="E10" s="2">
        <v>1</v>
      </c>
      <c r="F10" s="2">
        <v>9</v>
      </c>
      <c r="G10" s="2">
        <v>5</v>
      </c>
      <c r="H10" s="2">
        <v>1</v>
      </c>
      <c r="I10" s="2">
        <v>7</v>
      </c>
      <c r="J10" s="2">
        <v>7</v>
      </c>
      <c r="K10" s="2">
        <v>6</v>
      </c>
      <c r="L10" s="2">
        <v>2</v>
      </c>
      <c r="M10" s="1"/>
      <c r="N10">
        <v>42587</v>
      </c>
      <c r="Q10">
        <f t="shared" si="0"/>
        <v>5</v>
      </c>
    </row>
    <row r="11" spans="1:20" ht="28.15" customHeight="1">
      <c r="A11" s="2">
        <v>3</v>
      </c>
      <c r="B11" s="2">
        <v>1</v>
      </c>
      <c r="C11" s="2">
        <v>9</v>
      </c>
      <c r="D11" s="2">
        <v>4</v>
      </c>
      <c r="E11" s="2">
        <v>1</v>
      </c>
      <c r="F11" s="2">
        <v>7</v>
      </c>
      <c r="G11" s="2">
        <v>9</v>
      </c>
      <c r="H11" s="2">
        <v>7</v>
      </c>
      <c r="I11" s="2">
        <v>4</v>
      </c>
      <c r="J11" s="2">
        <v>4</v>
      </c>
      <c r="K11" s="2">
        <v>1</v>
      </c>
      <c r="L11" s="2">
        <v>4</v>
      </c>
      <c r="M11" s="1"/>
      <c r="N11">
        <v>1965</v>
      </c>
      <c r="Q11">
        <f t="shared" si="0"/>
        <v>4</v>
      </c>
    </row>
    <row r="12" spans="1:20" ht="28.15" customHeight="1">
      <c r="A12" s="2">
        <v>7</v>
      </c>
      <c r="B12" s="2">
        <v>6</v>
      </c>
      <c r="C12" s="2">
        <v>1</v>
      </c>
      <c r="D12" s="2">
        <v>8</v>
      </c>
      <c r="E12" s="2">
        <v>7</v>
      </c>
      <c r="F12" s="2">
        <v>2</v>
      </c>
      <c r="G12" s="2">
        <v>5</v>
      </c>
      <c r="H12" s="2">
        <v>6</v>
      </c>
      <c r="I12" s="2">
        <v>9</v>
      </c>
      <c r="J12" s="2">
        <v>3</v>
      </c>
      <c r="K12" s="2">
        <v>5</v>
      </c>
      <c r="L12" s="2">
        <v>8</v>
      </c>
      <c r="M12" s="1"/>
      <c r="N12">
        <v>325</v>
      </c>
      <c r="Q12">
        <f t="shared" si="0"/>
        <v>3</v>
      </c>
    </row>
    <row r="13" spans="1:20" ht="28.15" customHeight="1">
      <c r="A13" s="1"/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>
        <v>49</v>
      </c>
      <c r="Q13">
        <f t="shared" si="0"/>
        <v>2</v>
      </c>
    </row>
    <row r="14" spans="1:20" ht="28.15" customHeight="1">
      <c r="A14" s="1"/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>
        <v>4625475</v>
      </c>
      <c r="Q14">
        <f t="shared" si="0"/>
        <v>7</v>
      </c>
    </row>
    <row r="15" spans="1:20" ht="28.15" customHeight="1">
      <c r="A15" s="1"/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>
        <v>85396</v>
      </c>
      <c r="Q15">
        <f t="shared" si="0"/>
        <v>5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6</vt:i4>
      </vt:variant>
      <vt:variant>
        <vt:lpstr>名前付き一覧</vt:lpstr>
      </vt:variant>
      <vt:variant>
        <vt:i4>5</vt:i4>
      </vt:variant>
    </vt:vector>
  </HeadingPairs>
  <TitlesOfParts>
    <vt:vector size="11" baseType="lpstr">
      <vt:lpstr>説明</vt:lpstr>
      <vt:lpstr>画面</vt:lpstr>
      <vt:lpstr>データ</vt:lpstr>
      <vt:lpstr>設定</vt:lpstr>
      <vt:lpstr>Sheet5</vt:lpstr>
      <vt:lpstr>Sheet6</vt:lpstr>
      <vt:lpstr>サーチワードの長さ</vt:lpstr>
      <vt:lpstr>サーチワードの長さに対する加点</vt:lpstr>
      <vt:lpstr>セルを黄色</vt:lpstr>
      <vt:lpstr>開始時間</vt:lpstr>
      <vt:lpstr>線を引く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Nakamura Makoto</dc:creator>
  <cp:lastModifiedBy>Nakamura Makoto</cp:lastModifiedBy>
  <dcterms:created xsi:type="dcterms:W3CDTF">2025-10-12T04:11:05Z</dcterms:created>
  <dcterms:modified xsi:type="dcterms:W3CDTF">2025-12-01T22:07:11Z</dcterms:modified>
</cp:coreProperties>
</file>
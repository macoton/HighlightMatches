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9C92339D-9945-4CA1-9434-180FD8B72806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18" i="4" l="1"/>
  <c r="O318" i="4"/>
  <c r="M318" i="4"/>
  <c r="N318" i="4" s="1"/>
  <c r="K318" i="4"/>
  <c r="L318" i="4" s="1"/>
  <c r="P318" i="4" s="1"/>
  <c r="Q317" i="4"/>
  <c r="O317" i="4"/>
  <c r="M317" i="4"/>
  <c r="N317" i="4" s="1"/>
  <c r="K317" i="4"/>
  <c r="L317" i="4" s="1"/>
  <c r="Q316" i="4"/>
  <c r="O316" i="4"/>
  <c r="N316" i="4" s="1"/>
  <c r="M316" i="4"/>
  <c r="K316" i="4"/>
  <c r="L316" i="4" s="1"/>
  <c r="Q315" i="4"/>
  <c r="O315" i="4"/>
  <c r="N315" i="4"/>
  <c r="M315" i="4"/>
  <c r="K315" i="4"/>
  <c r="L315" i="4" s="1"/>
  <c r="P315" i="4" s="1"/>
  <c r="Q314" i="4"/>
  <c r="O314" i="4"/>
  <c r="M314" i="4"/>
  <c r="N314" i="4" s="1"/>
  <c r="K314" i="4"/>
  <c r="L314" i="4" s="1"/>
  <c r="Q313" i="4"/>
  <c r="O313" i="4"/>
  <c r="M313" i="4"/>
  <c r="N313" i="4" s="1"/>
  <c r="K313" i="4"/>
  <c r="L313" i="4" s="1"/>
  <c r="P313" i="4" s="1"/>
  <c r="Q312" i="4"/>
  <c r="O312" i="4"/>
  <c r="M312" i="4"/>
  <c r="N312" i="4" s="1"/>
  <c r="K312" i="4"/>
  <c r="L312" i="4" s="1"/>
  <c r="Q311" i="4"/>
  <c r="O311" i="4"/>
  <c r="M311" i="4"/>
  <c r="N311" i="4" s="1"/>
  <c r="K311" i="4"/>
  <c r="L311" i="4" s="1"/>
  <c r="O310" i="4"/>
  <c r="O309" i="4"/>
  <c r="O308" i="4"/>
  <c r="O307" i="4"/>
  <c r="O306" i="4"/>
  <c r="O305" i="4"/>
  <c r="O304" i="4"/>
  <c r="O303" i="4"/>
  <c r="O302" i="4"/>
  <c r="O301" i="4"/>
  <c r="O300" i="4"/>
  <c r="O299" i="4"/>
  <c r="O298" i="4"/>
  <c r="O297" i="4"/>
  <c r="O296" i="4"/>
  <c r="O295" i="4"/>
  <c r="O294" i="4"/>
  <c r="O293" i="4"/>
  <c r="O292" i="4"/>
  <c r="O291" i="4"/>
  <c r="O290" i="4"/>
  <c r="O289" i="4"/>
  <c r="O288" i="4"/>
  <c r="O287" i="4"/>
  <c r="O286" i="4"/>
  <c r="O285" i="4"/>
  <c r="O284" i="4"/>
  <c r="O283" i="4"/>
  <c r="O282" i="4"/>
  <c r="O281" i="4"/>
  <c r="O280" i="4"/>
  <c r="O279" i="4"/>
  <c r="O278" i="4"/>
  <c r="O277" i="4"/>
  <c r="O276" i="4"/>
  <c r="O275" i="4"/>
  <c r="O274" i="4"/>
  <c r="O273" i="4"/>
  <c r="O272" i="4"/>
  <c r="O271" i="4"/>
  <c r="O270" i="4"/>
  <c r="O269" i="4"/>
  <c r="O268" i="4"/>
  <c r="O267" i="4"/>
  <c r="O266" i="4"/>
  <c r="O265" i="4"/>
  <c r="O264" i="4"/>
  <c r="O263" i="4"/>
  <c r="O262" i="4"/>
  <c r="O261" i="4"/>
  <c r="O260" i="4"/>
  <c r="O259" i="4"/>
  <c r="O258" i="4"/>
  <c r="O257" i="4"/>
  <c r="O256" i="4"/>
  <c r="O255" i="4"/>
  <c r="O254" i="4"/>
  <c r="O253" i="4"/>
  <c r="O252" i="4"/>
  <c r="O251" i="4"/>
  <c r="O250" i="4"/>
  <c r="O249" i="4"/>
  <c r="O248" i="4"/>
  <c r="O247" i="4"/>
  <c r="O246" i="4"/>
  <c r="O245" i="4"/>
  <c r="O244" i="4"/>
  <c r="O243" i="4"/>
  <c r="O242" i="4"/>
  <c r="O241" i="4"/>
  <c r="O240" i="4"/>
  <c r="O239" i="4"/>
  <c r="O238" i="4"/>
  <c r="O237" i="4"/>
  <c r="O236" i="4"/>
  <c r="O235" i="4"/>
  <c r="O234" i="4"/>
  <c r="O233" i="4"/>
  <c r="O232" i="4"/>
  <c r="O231" i="4"/>
  <c r="O230" i="4"/>
  <c r="O229" i="4"/>
  <c r="O228" i="4"/>
  <c r="O227" i="4"/>
  <c r="O226" i="4"/>
  <c r="O225" i="4"/>
  <c r="O224" i="4"/>
  <c r="O223" i="4"/>
  <c r="O222" i="4"/>
  <c r="O221" i="4"/>
  <c r="O220" i="4"/>
  <c r="O219" i="4"/>
  <c r="O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310" i="4"/>
  <c r="M310" i="4"/>
  <c r="L310" i="4"/>
  <c r="K310" i="4"/>
  <c r="Q309" i="4"/>
  <c r="M309" i="4"/>
  <c r="K309" i="4"/>
  <c r="L309" i="4" s="1"/>
  <c r="Q308" i="4"/>
  <c r="M308" i="4"/>
  <c r="K308" i="4"/>
  <c r="L308" i="4" s="1"/>
  <c r="Q307" i="4"/>
  <c r="M307" i="4"/>
  <c r="K307" i="4"/>
  <c r="L307" i="4" s="1"/>
  <c r="Q306" i="4"/>
  <c r="M306" i="4"/>
  <c r="K306" i="4"/>
  <c r="L306" i="4" s="1"/>
  <c r="Q305" i="4"/>
  <c r="M305" i="4"/>
  <c r="K305" i="4"/>
  <c r="L305" i="4" s="1"/>
  <c r="Q304" i="4"/>
  <c r="M304" i="4"/>
  <c r="K304" i="4"/>
  <c r="L304" i="4" s="1"/>
  <c r="Q303" i="4"/>
  <c r="M303" i="4"/>
  <c r="K303" i="4"/>
  <c r="L303" i="4" s="1"/>
  <c r="Q302" i="4"/>
  <c r="M302" i="4"/>
  <c r="K302" i="4"/>
  <c r="L302" i="4" s="1"/>
  <c r="Q301" i="4"/>
  <c r="M301" i="4"/>
  <c r="K301" i="4"/>
  <c r="L301" i="4" s="1"/>
  <c r="Q300" i="4"/>
  <c r="M300" i="4"/>
  <c r="K300" i="4"/>
  <c r="L300" i="4" s="1"/>
  <c r="Q299" i="4"/>
  <c r="M299" i="4"/>
  <c r="K299" i="4"/>
  <c r="L299" i="4" s="1"/>
  <c r="Q298" i="4"/>
  <c r="M298" i="4"/>
  <c r="K298" i="4"/>
  <c r="L298" i="4" s="1"/>
  <c r="Q297" i="4"/>
  <c r="M297" i="4"/>
  <c r="K297" i="4"/>
  <c r="L297" i="4" s="1"/>
  <c r="Q296" i="4"/>
  <c r="M296" i="4"/>
  <c r="K296" i="4"/>
  <c r="L296" i="4" s="1"/>
  <c r="Q295" i="4"/>
  <c r="M295" i="4"/>
  <c r="K295" i="4"/>
  <c r="L295" i="4" s="1"/>
  <c r="Q294" i="4"/>
  <c r="M294" i="4"/>
  <c r="K294" i="4"/>
  <c r="L294" i="4" s="1"/>
  <c r="Q293" i="4"/>
  <c r="M293" i="4"/>
  <c r="K293" i="4"/>
  <c r="L293" i="4" s="1"/>
  <c r="Q292" i="4"/>
  <c r="M292" i="4"/>
  <c r="K292" i="4"/>
  <c r="L292" i="4" s="1"/>
  <c r="Q291" i="4"/>
  <c r="M291" i="4"/>
  <c r="K291" i="4"/>
  <c r="L291" i="4" s="1"/>
  <c r="Q290" i="4"/>
  <c r="M290" i="4"/>
  <c r="K290" i="4"/>
  <c r="L290" i="4" s="1"/>
  <c r="Q289" i="4"/>
  <c r="M289" i="4"/>
  <c r="K289" i="4"/>
  <c r="L289" i="4" s="1"/>
  <c r="Q288" i="4"/>
  <c r="M288" i="4"/>
  <c r="K288" i="4"/>
  <c r="L288" i="4" s="1"/>
  <c r="Q287" i="4"/>
  <c r="M287" i="4"/>
  <c r="K287" i="4"/>
  <c r="Q286" i="4"/>
  <c r="M286" i="4"/>
  <c r="K286" i="4"/>
  <c r="Q285" i="4"/>
  <c r="M285" i="4"/>
  <c r="K285" i="4"/>
  <c r="Q284" i="4"/>
  <c r="M284" i="4"/>
  <c r="K284" i="4"/>
  <c r="Q283" i="4"/>
  <c r="M283" i="4"/>
  <c r="K283" i="4"/>
  <c r="Q282" i="4"/>
  <c r="M282" i="4"/>
  <c r="K282" i="4"/>
  <c r="Q281" i="4"/>
  <c r="M281" i="4"/>
  <c r="K281" i="4"/>
  <c r="Q280" i="4"/>
  <c r="M280" i="4"/>
  <c r="K280" i="4"/>
  <c r="Q279" i="4"/>
  <c r="M279" i="4"/>
  <c r="K279" i="4"/>
  <c r="Q278" i="4"/>
  <c r="M278" i="4"/>
  <c r="K278" i="4"/>
  <c r="Q277" i="4"/>
  <c r="M277" i="4"/>
  <c r="K277" i="4"/>
  <c r="Q276" i="4"/>
  <c r="M276" i="4"/>
  <c r="K276" i="4"/>
  <c r="Q275" i="4"/>
  <c r="M275" i="4"/>
  <c r="K275" i="4"/>
  <c r="Q274" i="4"/>
  <c r="M274" i="4"/>
  <c r="K274" i="4"/>
  <c r="Q273" i="4"/>
  <c r="M273" i="4"/>
  <c r="K273" i="4"/>
  <c r="Q272" i="4"/>
  <c r="M272" i="4"/>
  <c r="K272" i="4"/>
  <c r="Q271" i="4"/>
  <c r="M271" i="4"/>
  <c r="K271" i="4"/>
  <c r="Q270" i="4"/>
  <c r="M270" i="4"/>
  <c r="K270" i="4"/>
  <c r="Q269" i="4"/>
  <c r="M269" i="4"/>
  <c r="K269" i="4"/>
  <c r="Q268" i="4"/>
  <c r="M268" i="4"/>
  <c r="K268" i="4"/>
  <c r="Q267" i="4"/>
  <c r="M267" i="4"/>
  <c r="K267" i="4"/>
  <c r="Q266" i="4"/>
  <c r="M266" i="4"/>
  <c r="K266" i="4"/>
  <c r="Q265" i="4"/>
  <c r="M265" i="4"/>
  <c r="K265" i="4"/>
  <c r="Q264" i="4"/>
  <c r="M264" i="4"/>
  <c r="K264" i="4"/>
  <c r="Q263" i="4"/>
  <c r="M263" i="4"/>
  <c r="K263" i="4"/>
  <c r="Q262" i="4"/>
  <c r="M262" i="4"/>
  <c r="K262" i="4"/>
  <c r="Q261" i="4"/>
  <c r="M261" i="4"/>
  <c r="K261" i="4"/>
  <c r="Q260" i="4"/>
  <c r="M260" i="4"/>
  <c r="K260" i="4"/>
  <c r="Q259" i="4"/>
  <c r="M259" i="4"/>
  <c r="K259" i="4"/>
  <c r="Q258" i="4"/>
  <c r="M258" i="4"/>
  <c r="K258" i="4"/>
  <c r="Q257" i="4"/>
  <c r="M257" i="4"/>
  <c r="K257" i="4"/>
  <c r="Q256" i="4"/>
  <c r="M256" i="4"/>
  <c r="K256" i="4"/>
  <c r="Q255" i="4"/>
  <c r="M255" i="4"/>
  <c r="K255" i="4"/>
  <c r="Q254" i="4"/>
  <c r="M254" i="4"/>
  <c r="K254" i="4"/>
  <c r="Q253" i="4"/>
  <c r="M253" i="4"/>
  <c r="K253" i="4"/>
  <c r="Q252" i="4"/>
  <c r="M252" i="4"/>
  <c r="K252" i="4"/>
  <c r="Q251" i="4"/>
  <c r="M251" i="4"/>
  <c r="K251" i="4"/>
  <c r="Q250" i="4"/>
  <c r="M250" i="4"/>
  <c r="K250" i="4"/>
  <c r="Q249" i="4"/>
  <c r="M249" i="4"/>
  <c r="K249" i="4"/>
  <c r="Q248" i="4"/>
  <c r="M248" i="4"/>
  <c r="K248" i="4"/>
  <c r="Q247" i="4"/>
  <c r="M247" i="4"/>
  <c r="K247" i="4"/>
  <c r="Q246" i="4"/>
  <c r="M246" i="4"/>
  <c r="K246" i="4"/>
  <c r="Q245" i="4"/>
  <c r="M245" i="4"/>
  <c r="K245" i="4"/>
  <c r="Q244" i="4"/>
  <c r="M244" i="4"/>
  <c r="K244" i="4"/>
  <c r="Q243" i="4"/>
  <c r="M243" i="4"/>
  <c r="K243" i="4"/>
  <c r="Q242" i="4"/>
  <c r="M242" i="4"/>
  <c r="K242" i="4"/>
  <c r="Q241" i="4"/>
  <c r="M241" i="4"/>
  <c r="K241" i="4"/>
  <c r="Q240" i="4"/>
  <c r="M240" i="4"/>
  <c r="K240" i="4"/>
  <c r="Q239" i="4"/>
  <c r="M239" i="4"/>
  <c r="K239" i="4"/>
  <c r="Q238" i="4"/>
  <c r="M238" i="4"/>
  <c r="K238" i="4"/>
  <c r="Q237" i="4"/>
  <c r="M237" i="4"/>
  <c r="K237" i="4"/>
  <c r="Q236" i="4"/>
  <c r="M236" i="4"/>
  <c r="K236" i="4"/>
  <c r="Q235" i="4"/>
  <c r="M235" i="4"/>
  <c r="K235" i="4"/>
  <c r="Q234" i="4"/>
  <c r="M234" i="4"/>
  <c r="K234" i="4"/>
  <c r="Q233" i="4"/>
  <c r="M233" i="4"/>
  <c r="K233" i="4"/>
  <c r="Q232" i="4"/>
  <c r="M232" i="4"/>
  <c r="K232" i="4"/>
  <c r="Q231" i="4"/>
  <c r="M231" i="4"/>
  <c r="K231" i="4"/>
  <c r="Q230" i="4"/>
  <c r="M230" i="4"/>
  <c r="K230" i="4"/>
  <c r="Q229" i="4"/>
  <c r="M229" i="4"/>
  <c r="K229" i="4"/>
  <c r="Q228" i="4"/>
  <c r="M228" i="4"/>
  <c r="K228" i="4"/>
  <c r="Q227" i="4"/>
  <c r="M227" i="4"/>
  <c r="K227" i="4"/>
  <c r="Q226" i="4"/>
  <c r="M226" i="4"/>
  <c r="K226" i="4"/>
  <c r="Q225" i="4"/>
  <c r="M225" i="4"/>
  <c r="K225" i="4"/>
  <c r="Q224" i="4"/>
  <c r="M224" i="4"/>
  <c r="K224" i="4"/>
  <c r="Q223" i="4"/>
  <c r="M223" i="4"/>
  <c r="K223" i="4"/>
  <c r="Q222" i="4"/>
  <c r="M222" i="4"/>
  <c r="K222" i="4"/>
  <c r="Q221" i="4"/>
  <c r="M221" i="4"/>
  <c r="K221" i="4"/>
  <c r="Q220" i="4"/>
  <c r="M220" i="4"/>
  <c r="K220" i="4"/>
  <c r="Q219" i="4"/>
  <c r="M219" i="4"/>
  <c r="K219" i="4"/>
  <c r="Q218" i="4"/>
  <c r="M218" i="4"/>
  <c r="K2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317" i="4" l="1"/>
  <c r="P316" i="4"/>
  <c r="P314" i="4"/>
  <c r="P312" i="4"/>
  <c r="P311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L54" i="4"/>
  <c r="P53" i="4"/>
  <c r="N289" i="4" l="1"/>
  <c r="P288" i="4"/>
  <c r="L55" i="4"/>
  <c r="P54" i="4"/>
  <c r="P289" i="4" l="1"/>
  <c r="N290" i="4"/>
  <c r="L56" i="4"/>
  <c r="P55" i="4"/>
  <c r="N291" i="4" l="1"/>
  <c r="P290" i="4"/>
  <c r="P56" i="4"/>
  <c r="L57" i="4"/>
  <c r="N292" i="4" l="1"/>
  <c r="P291" i="4"/>
  <c r="L58" i="4"/>
  <c r="P57" i="4"/>
  <c r="N293" i="4" l="1"/>
  <c r="P292" i="4"/>
  <c r="L59" i="4"/>
  <c r="P58" i="4"/>
  <c r="N294" i="4" l="1"/>
  <c r="P293" i="4"/>
  <c r="L60" i="4"/>
  <c r="P59" i="4"/>
  <c r="P294" i="4" l="1"/>
  <c r="N295" i="4"/>
  <c r="P60" i="4"/>
  <c r="L61" i="4"/>
  <c r="P295" i="4" l="1"/>
  <c r="N296" i="4"/>
  <c r="L62" i="4"/>
  <c r="P61" i="4"/>
  <c r="N297" i="4" l="1"/>
  <c r="P296" i="4"/>
  <c r="L63" i="4"/>
  <c r="P62" i="4"/>
  <c r="N298" i="4" l="1"/>
  <c r="P297" i="4"/>
  <c r="L64" i="4"/>
  <c r="P63" i="4"/>
  <c r="N299" i="4" l="1"/>
  <c r="P298" i="4"/>
  <c r="P64" i="4"/>
  <c r="L65" i="4"/>
  <c r="N300" i="4" l="1"/>
  <c r="P299" i="4"/>
  <c r="L66" i="4"/>
  <c r="P65" i="4"/>
  <c r="N301" i="4" l="1"/>
  <c r="P300" i="4"/>
  <c r="L67" i="4"/>
  <c r="P66" i="4"/>
  <c r="N302" i="4" l="1"/>
  <c r="P301" i="4"/>
  <c r="L68" i="4"/>
  <c r="P67" i="4"/>
  <c r="N303" i="4" l="1"/>
  <c r="P302" i="4"/>
  <c r="P68" i="4"/>
  <c r="L69" i="4"/>
  <c r="P303" i="4" l="1"/>
  <c r="N304" i="4"/>
  <c r="L70" i="4"/>
  <c r="P69" i="4"/>
  <c r="N305" i="4" l="1"/>
  <c r="P304" i="4"/>
  <c r="P70" i="4"/>
  <c r="L71" i="4"/>
  <c r="N306" i="4" l="1"/>
  <c r="P305" i="4"/>
  <c r="L72" i="4"/>
  <c r="P71" i="4"/>
  <c r="N307" i="4" l="1"/>
  <c r="P306" i="4"/>
  <c r="L73" i="4"/>
  <c r="P72" i="4"/>
  <c r="P307" i="4" l="1"/>
  <c r="N308" i="4"/>
  <c r="L74" i="4"/>
  <c r="P73" i="4"/>
  <c r="P308" i="4" l="1"/>
  <c r="N309" i="4"/>
  <c r="P74" i="4"/>
  <c r="L75" i="4"/>
  <c r="N310" i="4" l="1"/>
  <c r="P310" i="4" s="1"/>
  <c r="P309" i="4"/>
  <c r="L76" i="4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L254" i="4" s="1"/>
  <c r="P254" i="4" l="1"/>
  <c r="L255" i="4"/>
  <c r="P253" i="4"/>
  <c r="P255" i="4" l="1"/>
  <c r="L256" i="4"/>
  <c r="P256" i="4" l="1"/>
  <c r="L257" i="4"/>
  <c r="L258" i="4" l="1"/>
  <c r="P257" i="4"/>
  <c r="P258" i="4" l="1"/>
  <c r="L259" i="4"/>
  <c r="P259" i="4" l="1"/>
  <c r="L260" i="4"/>
  <c r="P260" i="4" l="1"/>
  <c r="L261" i="4"/>
  <c r="P261" i="4" l="1"/>
  <c r="L262" i="4"/>
  <c r="L263" i="4" l="1"/>
  <c r="P262" i="4"/>
  <c r="L264" i="4" l="1"/>
  <c r="P263" i="4"/>
  <c r="P264" i="4" l="1"/>
  <c r="L265" i="4"/>
  <c r="L266" i="4" l="1"/>
  <c r="P265" i="4"/>
  <c r="P266" i="4" l="1"/>
  <c r="L267" i="4"/>
  <c r="P267" i="4" l="1"/>
  <c r="L268" i="4"/>
  <c r="P268" i="4" l="1"/>
  <c r="L269" i="4"/>
  <c r="P269" i="4" l="1"/>
  <c r="L270" i="4"/>
  <c r="P270" i="4" l="1"/>
  <c r="L271" i="4"/>
  <c r="P271" i="4" l="1"/>
  <c r="L272" i="4"/>
  <c r="P272" i="4" l="1"/>
  <c r="L273" i="4"/>
  <c r="P273" i="4" l="1"/>
  <c r="L274" i="4"/>
  <c r="P274" i="4" l="1"/>
  <c r="L275" i="4"/>
  <c r="L276" i="4" l="1"/>
  <c r="P275" i="4"/>
  <c r="P276" i="4" l="1"/>
  <c r="L277" i="4"/>
  <c r="P277" i="4" l="1"/>
  <c r="L278" i="4"/>
  <c r="L279" i="4" l="1"/>
  <c r="P278" i="4"/>
  <c r="P279" i="4" l="1"/>
  <c r="L280" i="4"/>
  <c r="L281" i="4" l="1"/>
  <c r="P280" i="4"/>
  <c r="P281" i="4" l="1"/>
  <c r="L282" i="4"/>
  <c r="P282" i="4" l="1"/>
  <c r="L283" i="4"/>
  <c r="P283" i="4" l="1"/>
  <c r="L284" i="4"/>
  <c r="P284" i="4" l="1"/>
  <c r="L285" i="4"/>
  <c r="L286" i="4" l="1"/>
  <c r="P285" i="4"/>
  <c r="P286" i="4" l="1"/>
  <c r="L287" i="4"/>
  <c r="P287" i="4" s="1"/>
</calcChain>
</file>

<file path=xl/sharedStrings.xml><?xml version="1.0" encoding="utf-8"?>
<sst xmlns="http://schemas.openxmlformats.org/spreadsheetml/2006/main" count="713" uniqueCount="692">
  <si>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</si>
  <si>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</si>
  <si>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</si>
  <si>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</si>
  <si>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</si>
  <si>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</si>
  <si>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</si>
  <si>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</si>
  <si>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</si>
  <si>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</si>
  <si>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</si>
  <si>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</si>
  <si>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</si>
  <si>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</si>
  <si>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</si>
  <si>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</si>
  <si>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</si>
  <si>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</si>
  <si>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</si>
  <si>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</si>
  <si>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</si>
  <si>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</si>
  <si>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</si>
  <si>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</si>
  <si>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</si>
  <si>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</si>
  <si>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</si>
  <si>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</si>
  <si>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</si>
  <si>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</si>
  <si>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</si>
  <si>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</si>
  <si>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</si>
  <si>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</si>
  <si>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</si>
  <si>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</si>
  <si>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</si>
  <si>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</si>
  <si>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</si>
  <si>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</si>
  <si>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</si>
  <si>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</si>
  <si>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</si>
  <si>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</si>
  <si>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</si>
  <si>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</si>
  <si>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</si>
  <si>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</si>
  <si>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</si>
  <si>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</si>
  <si>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</si>
  <si>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</si>
  <si>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</si>
  <si>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</si>
  <si>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</si>
  <si>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</si>
  <si>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</si>
  <si>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</si>
  <si>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</si>
  <si>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</si>
  <si>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</si>
  <si>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</si>
  <si>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</si>
  <si>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</si>
  <si>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</si>
  <si>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</si>
  <si>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</si>
  <si>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</si>
  <si>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</si>
  <si>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</si>
  <si>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</si>
  <si>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</si>
  <si>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</si>
  <si>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</si>
  <si>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</si>
  <si>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</si>
  <si>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</si>
  <si>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</si>
  <si>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</si>
  <si>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</si>
  <si>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</si>
  <si>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</si>
  <si>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</si>
  <si>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</si>
  <si>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</si>
  <si>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</si>
  <si>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</si>
  <si>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</si>
  <si>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</si>
  <si>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</si>
  <si>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</si>
  <si>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</si>
  <si>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</si>
  <si>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</si>
  <si>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</si>
  <si>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</si>
  <si>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</si>
  <si>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</si>
  <si>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</si>
  <si>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</si>
  <si>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</si>
  <si>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</si>
  <si>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</si>
  <si>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</si>
  <si>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</si>
  <si>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</si>
  <si>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</si>
  <si>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</si>
  <si>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</si>
  <si>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</si>
  <si>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</si>
  <si>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</si>
  <si>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</si>
  <si>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</si>
  <si>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</si>
  <si>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</si>
  <si>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</si>
  <si>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</si>
  <si>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</si>
  <si>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</si>
  <si>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</si>
  <si>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</si>
  <si>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</si>
  <si>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</si>
  <si>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</si>
  <si>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</si>
  <si>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</si>
  <si>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</si>
  <si>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</si>
  <si>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</si>
  <si>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</si>
  <si>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</si>
  <si>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</si>
  <si>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</si>
  <si>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</si>
  <si>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</si>
  <si>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</si>
  <si>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</si>
  <si>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</si>
  <si>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</si>
  <si>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</si>
  <si>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</si>
  <si>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</si>
  <si>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</si>
  <si>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</si>
  <si>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</si>
  <si>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</si>
  <si>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</si>
  <si>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</si>
  <si>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</si>
  <si>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</si>
  <si>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</si>
  <si>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</si>
  <si>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</si>
  <si>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</si>
  <si>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</si>
  <si>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</si>
  <si>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</si>
  <si>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</si>
  <si>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</si>
  <si>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</si>
  <si>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</si>
  <si>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</si>
  <si>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</si>
  <si>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</si>
  <si>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</si>
  <si>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</si>
  <si>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</si>
  <si>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</si>
  <si>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</si>
  <si>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</si>
  <si>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</si>
  <si>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</si>
  <si>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</si>
  <si>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</si>
  <si>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</si>
  <si>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</si>
  <si>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</si>
  <si>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</si>
  <si>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</si>
  <si>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</si>
  <si>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</si>
  <si>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</si>
  <si>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</si>
  <si>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</si>
  <si>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</si>
  <si>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</si>
  <si>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</si>
  <si>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</si>
  <si>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</si>
  <si>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</si>
  <si>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</si>
  <si>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</si>
  <si>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</si>
  <si>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</si>
  <si>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</si>
  <si>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</si>
  <si>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</si>
  <si>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</si>
  <si>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</si>
  <si>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</si>
  <si>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</si>
  <si>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</si>
  <si>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</si>
  <si>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</si>
  <si>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</si>
  <si>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</si>
  <si>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</si>
  <si>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</si>
  <si>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</si>
  <si>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</si>
  <si>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</si>
  <si>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</si>
  <si>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</si>
  <si>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</si>
  <si>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</si>
  <si>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</si>
  <si>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</si>
  <si>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</si>
  <si>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</si>
  <si>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</si>
  <si>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</si>
  <si>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</si>
  <si>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</si>
  <si>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</si>
  <si>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</si>
  <si>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</si>
  <si>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</si>
  <si>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</si>
  <si>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</si>
  <si>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</si>
  <si>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</si>
  <si>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</si>
  <si>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</si>
  <si>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</si>
  <si>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</si>
  <si>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</si>
  <si>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</si>
  <si>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</si>
  <si>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</si>
  <si>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</si>
  <si>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</si>
  <si>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</si>
  <si>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</si>
  <si>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</si>
  <si>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</si>
  <si>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</si>
  <si>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</si>
  <si>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</si>
  <si>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</si>
  <si>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</si>
  <si>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</si>
  <si>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</si>
  <si>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</si>
  <si>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</si>
  <si>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</si>
  <si>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</si>
  <si>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</si>
  <si>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</si>
  <si>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</si>
  <si>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</si>
  <si>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</si>
  <si>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</si>
  <si>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</si>
  <si>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</si>
  <si>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</si>
  <si>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</si>
  <si>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</si>
  <si>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</si>
  <si>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</si>
  <si>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</si>
  <si>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</si>
  <si>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</si>
  <si>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</si>
  <si>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</si>
  <si>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</si>
  <si>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</si>
  <si>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</si>
  <si>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</si>
  <si>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</si>
  <si>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</si>
  <si>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</si>
  <si>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</si>
  <si>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</si>
  <si>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</si>
  <si>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</si>
  <si>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</si>
  <si>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</si>
  <si>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</si>
  <si>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</si>
  <si>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</si>
  <si>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</si>
  <si>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</si>
  <si>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</si>
  <si>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</si>
  <si>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</si>
  <si>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</si>
  <si>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</si>
  <si>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</si>
  <si>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</si>
  <si>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</si>
  <si>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</si>
  <si>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</si>
  <si>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</si>
  <si>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</si>
  <si>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</si>
  <si>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</si>
  <si>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</si>
  <si>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</si>
  <si>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</si>
  <si>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</si>
  <si>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</si>
  <si>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</si>
  <si>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</si>
  <si>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</si>
  <si>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</si>
  <si>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</si>
  <si>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</si>
  <si>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</si>
  <si>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</si>
  <si>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</si>
  <si>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</si>
  <si>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</si>
  <si>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</si>
  <si>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</si>
  <si>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</si>
  <si>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</si>
  <si>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</si>
  <si>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</si>
  <si>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</si>
  <si>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</si>
  <si>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</si>
  <si>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</si>
  <si>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</si>
  <si>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</si>
  <si>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</si>
  <si>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</si>
  <si>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</si>
  <si>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</si>
  <si>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</si>
  <si>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</si>
  <si>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</si>
  <si>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</si>
  <si>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</si>
  <si>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</si>
  <si>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</si>
  <si>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</si>
  <si>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</si>
  <si>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</si>
  <si>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</si>
  <si>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</si>
  <si>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</si>
  <si>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</si>
  <si>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</si>
  <si>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</si>
  <si>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</si>
  <si>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</si>
  <si>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</si>
  <si>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</si>
  <si>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</si>
  <si>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</si>
  <si>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</si>
  <si>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</si>
  <si>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</si>
  <si>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</si>
  <si>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</si>
  <si>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</si>
  <si>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</si>
  <si>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</si>
  <si>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</si>
  <si>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</si>
  <si>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</si>
  <si>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</si>
  <si>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</si>
  <si>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</si>
  <si>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</si>
  <si>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</si>
  <si>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</si>
  <si>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</si>
  <si>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</si>
  <si>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</si>
  <si>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</si>
  <si>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</si>
  <si>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</si>
  <si>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</si>
  <si>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</si>
  <si>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</si>
  <si>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</si>
  <si>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</si>
  <si>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</si>
  <si>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</si>
  <si>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</si>
  <si>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</si>
  <si>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</si>
  <si>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</si>
  <si>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</si>
  <si>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</si>
  <si>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</si>
  <si>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</si>
  <si>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</si>
  <si>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</si>
  <si>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</si>
  <si>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</si>
  <si>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</si>
  <si>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</si>
  <si>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</si>
  <si>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</si>
  <si>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</si>
  <si>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</si>
  <si>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</si>
  <si>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</si>
  <si>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</si>
  <si>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</si>
  <si>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</si>
  <si>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</si>
  <si>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</si>
  <si>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</si>
  <si>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</si>
  <si>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</si>
  <si>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</si>
  <si>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</si>
  <si>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</si>
  <si>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</si>
  <si>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</si>
  <si>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</si>
  <si>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</si>
  <si>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</si>
  <si>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</si>
  <si>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</si>
  <si>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</si>
  <si>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</si>
  <si>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</si>
  <si>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</si>
  <si>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</si>
  <si>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</si>
  <si>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</si>
  <si>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</si>
  <si>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</si>
  <si>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</si>
  <si>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</si>
  <si>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</si>
  <si>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</si>
  <si>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</si>
  <si>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</si>
  <si>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</si>
  <si>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</si>
  <si>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</si>
  <si>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</si>
  <si>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</si>
  <si>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</si>
  <si>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</si>
  <si>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</si>
  <si>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</si>
  <si>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</si>
  <si>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</si>
  <si>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</si>
  <si>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</si>
  <si>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</si>
  <si>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</si>
  <si>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</si>
  <si>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</si>
  <si>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</si>
  <si>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</si>
  <si>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</si>
  <si>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</si>
  <si>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</si>
  <si>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</si>
  <si>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</si>
  <si>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</si>
  <si>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</si>
  <si>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</si>
  <si>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</si>
  <si>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</si>
  <si>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</si>
  <si>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</si>
  <si>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</si>
  <si>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</si>
  <si>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</si>
  <si>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</si>
  <si>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</si>
  <si>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</si>
  <si>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</si>
  <si>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</si>
  <si>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</si>
  <si>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</si>
  <si>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</si>
  <si>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</si>
  <si>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</si>
  <si>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</si>
  <si>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</si>
  <si>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</si>
  <si>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</si>
  <si>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</si>
  <si>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</si>
  <si>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</si>
  <si>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</si>
  <si>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</si>
  <si>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</si>
  <si>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</si>
  <si>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</si>
  <si>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</si>
  <si>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</si>
  <si>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</si>
  <si>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</si>
  <si>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</si>
  <si>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</si>
  <si>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</si>
  <si>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</si>
  <si>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</si>
  <si>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</si>
  <si>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</si>
  <si>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</si>
  <si>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</si>
  <si>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</si>
  <si>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</si>
  <si>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</si>
  <si>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</si>
  <si>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</si>
  <si>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</si>
  <si>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</si>
  <si>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</si>
  <si>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</si>
  <si>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</si>
  <si>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</si>
  <si>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</si>
  <si>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</si>
  <si>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</si>
  <si>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</si>
  <si>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</si>
  <si>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</si>
  <si>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</si>
  <si>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</si>
  <si>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</si>
  <si>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</si>
  <si>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</si>
  <si>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</si>
  <si>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</si>
  <si>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</si>
  <si>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</si>
  <si>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</si>
  <si>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</si>
  <si>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</si>
  <si>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</si>
  <si>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</si>
  <si>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</si>
  <si>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</si>
  <si>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</si>
  <si>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</si>
  <si>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</si>
  <si>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</si>
  <si>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</si>
  <si>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</si>
  <si>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</si>
  <si>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</si>
  <si>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</si>
  <si>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</si>
  <si>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</si>
  <si>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</si>
  <si>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</si>
  <si>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</si>
  <si>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</si>
  <si>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</si>
  <si>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</si>
  <si>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</si>
  <si>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</si>
  <si>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</si>
  <si>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</si>
  <si>
    <t>(3,2,3,6,*6,7,*5,8,*1,4,1,7),(*1,9,2,*6,2,2,*7,2,*6,8,3,3),(5,*3,*9,*3,*7,*6,*8,*7,*8,8,8,7),(5,*8,*1,*3,*6,*4,*3,*1,9,6,1,8),(*8,*7,7,*4,*4,*1,*5,*2,*3,6,*9,3),(5,5,*6,7,6,4,4,*8,6,*2,*9,9),(*7,*1,*6,*3,1,6,9,7,*3,*7,8,7),(4,2,1,2,*2,6,8,*4,*3,4,7,6),(6,5,8,1,1,1,*9,*6,1,1,4,6),(2,*1,*6,*6,*9,*2,*7,2,7,2,6,7),(3,*1,6,4,*6,*7,8,4,4,1,8,7),(7,3,9,3,*2,6,9,*5,*9,2,4,8)</t>
  </si>
  <si>
    <t>441523,75,9736772,37687,6294329,168,11,9661,66988,13463,83,7632,59,131,617</t>
  </si>
  <si>
    <t>(5,8,1,8,8,5,3,3,8,7,2,8),(8,5,8,5,7,6,4,7,5,3,8,9),(1,8,3,7,3,7,7,2,2,6,5,3),(2,4,8,8,3,1,9,6,2,*7,2,4),(6,4,9,*7,*8,*1,6,7,*4,3,9,1),(1,*5,7,7,3,2,4,*4,3,5,8,2),(1,4,*7,4,2,1,1,3,8,9,4,9),(6,5,3,*4,5,1,2,6,1,6,4,3),(9,1,1,2,*1,1,1,9,3,8,9,7),(6,4,9,*7,6,4,6,9,2,5,3,8),(3,7,6,4,9,9,8,3,1,1,9,2),(1,3,3,7,2,5,6,1,3,5,8,7)</t>
  </si>
  <si>
    <t>447,42377,31192,71,187,574,7941685,3562,7973,88,969198,64,7392143,83,13587</t>
  </si>
  <si>
    <t>447,42377,31192,71,187,574,7941685,*3562,7973,88,969198,64,7392143,83,13587</t>
    <phoneticPr fontId="1"/>
  </si>
  <si>
    <t>(5,8,1,8,8,5,3,3,8,7,2,8),(8,5,8,5,7,6,4,7,5,3,8,9),(1,8,3,7,3,*7,7,2,*2,*6,*5,*3),(2,4,*8,*8,3,1,*9,6,2,*7,2,*4),(6,4,9,*7,*8,*1,6,*7,*4,3,9,*1),(1,*5,*7,*7,*3,*2,*4,*4,*3,*5,*8,*2),(1,4,*7,4,2,1,1,3,*8,*9,4,*9),(6,5,3,*4,5,1,2,*6,*1,*6,*4,*3),(9,1,1,2,*1,1,*1,*9,3,8,9,*7),(6,4,9,*7,6,*4,*6,9,2,5,3,8),(3,7,6,4,*9,*9,*8,*3,*1,*1,*9,*2),(1,3,3,*7,2,5,6,*1,*3,*5,*8,*7)</t>
  </si>
  <si>
    <t>(3,9,9,4,6,8,2,6,2,2,7,8),(6,*8,*7,*8,*2,*7,*6,*7,6,2,4,4),(3,5,5,8,*6,6,8,9,7,*6,*5,5),(8,9,5,*8,*9,*8,*6,7,5,4,7,5),(5,3,*2,7,2,8,*1,*9,5,2,7,9),(4,6,1,7,7,4,8,*4,*9,*6,4,3),(3,3,9,2,3,*3,1,3,*5,*2,4,6),(6,*4,*2,*6,*2,*6,*9,*7,8,*2,*1,1),(2,*9,9,6,8,*3,*5,*3,*7,*7,*2,*5),(1,4,2,2,5,*5,*4,*3,*1,*8,7,4),(9,4,8,*6,*1,*4,*6,*1,*4,5,4,9),(4,9,1,2,2,7,8,*2,7,2,7,8)</t>
  </si>
  <si>
    <t>3537,61461,65,98,22541,81345,286,512996,2842,7672878,7962624,226,49,527,36</t>
  </si>
  <si>
    <t>(8,*6,5,*6,*1,*6,*7,*3,3,7,3,2),(5,*7,4,1,5,3,3,4,*2,*2,5,6),(2,*8,7,*2,*7,5,4,6,*6,*5,2,3),(1,*4,9,9,2,4,8,*8,5,8,*1,9),(1,*2,*8,*7,*7,*1,*6,6,2,*4,7,*2),(3,*4,*3,5,1,*2,8,9,*9,7,1,5),(2,*8,1,*4,*5,6,*3,*6,7,8,6,*6),(1,4,*1,6,5,8,*4,*2,8,5,6,*4),(9,8,*6,7,*7,*8,3,1,1,8,3,*6),(*1,*4,*3,9,*5,2,*3,9,3,3,5,*9),(6,6,2,*5,*6,3,8,*5,4,9,7,*9),(3,2,2,8,*1,*3,*7,*1,*2,7,3,8)</t>
  </si>
  <si>
    <t>232,72,64699,43,361,32512,6784248,53,5584694,14,7616,1778,21731,526862,756</t>
  </si>
  <si>
    <t>(8,*9,*2,8,4,1,9,8,3,3,2,1),(1,*1,*9,9,2,5,2,9,*5,*1,*6,*1),(4,*5,*9,5,5,7,*4,9,4,6,6,*1),(7,*6,*3,2,3,*6,2,4,*5,4,8,*2),(9,*2,*8,6,*9,5,*3,*4,6,*1,8,*3),(5,1,*4,*9,7,4,1,4,*8,1,*2,*6),(9,9,*4,*4,*1,*5,*1,*5,*8,1,3,*8),(6,*2,7,8,9,1,2,5,*6,2,3,8),(*2,*1,*8,*1,*7,*4,*9,*5,*1,9,2,5),(4,*2,4,*8,*8,*4,3,1,*2,9,8,2),(9,*5,1,1,5,2,1,9,6,*7,8,3),(8,4,2,5,6,*6,*9,*2,3,4,9,5)</t>
  </si>
  <si>
    <t>483992,1615,1688,1817495,27,512,45,41515,43,26519,296,4699422,86321,884,52</t>
  </si>
  <si>
    <t>(1,3,5,8,5,3,5,6,3,*1,8,7),(4,8,*5,1,7,3,5,6,8,*2,6,3),(6,2,*5,7,7,6,*6,4,8,*6,9,6),(7,6,*8,6,*1,*5,6,1,7,*7,6,2),(*6,3,*7,4,*4,*6,*2,*9,*3,*5,*8,*4),(*3,6,*3,*2,6,3,*8,7,*9,4,7,*7),(*3,5,*7,2,7,*8,*9,1,6,*3,8,*7),(9,*1,6,4,*7,2,*9,2,2,*9,*1,*3),(*9,4,3,*9,2,9,*9,4,*8,5,5,*5),(*9,6,*6,7,*8,*6,*6,*4,*2,3,2,*3),(8,*7,3,*8,7,1,*9,5,*5,2,8,*9),(1,9,*4,*1,3,*8,3,7,2,7,1,3)</t>
  </si>
  <si>
    <t>89996,633,7621,14,853926,98498,8796,6542719,18,4773539,37855,974,139,68,52</t>
  </si>
  <si>
    <t>(*7,*5,*9,1,4,3,4,8,8,9,5,5),(3,6,2,5,4,9,2,*1,5,2,1,*4),(6,9,1,*5,*7,*5,*4,*3,1,*3,*8,9),(4,9,8,4,2,8,6,3,4,*8,*1,4),(5,*6,*5,*6,*7,*9,1,7,*7,4,3,*7),(6,*2,*8,9,5,8,*5,*6,7,*9,2,9),(3,6,4,8,3,8,*2,*3,*5,9,5,2),(*4,*2,*5,*8,8,*6,9,*8,*1,1,1,*5),(8,5,*8,1,3,3,*5,1,9,*9,*7,6),(9,*4,8,2,9,*8,2,6,6,*1,*6,7),(*4,*5,*1,3,*9,7,8,8,*8,3,3,*8),(2,8,5,*8,1,4,*3,*7,*8,*9,*6,2)</t>
  </si>
  <si>
    <t>41,34575,6267884,9585898,83,28,65679,448,15,4258,37896,713,957,5718,531968</t>
  </si>
  <si>
    <t>(1,4,7,1,4,8,7,6,1,7,5,*9),(*1,3,7,8,3,1,5,3,5,8,*3,7),(8,*8,9,2,8,3,2,3,2,*8,*4,5),(6,*2,*1,9,3,4,3,*8,*4,*3,4,2),(4,*3,*8,*2,2,1,*2,*9,*4,7,4,2),(*5,*8,8,*5,*6,*6,*8,*9,*3,*2,*2,9),(*6,*8,1,4,*9,*3,*1,*4,*4,4,9,2),(*3,5,3,*5,7,*9,8,*5,9,*2,8,6),(*9,*1,*6,8,5,*1,9,8,*5,*2,6,3),(*8,*6,1,7,9,1,*8,4,*2,*8,9,3),(9,6,5,*1,*3,5,6,*9,*3,*2,5,3),(1,2,7,4,7,7,1,7,*5,*4,1,3)</t>
  </si>
  <si>
    <t>981,62181,89365,223,5325,919434,6659628,42822,285,15,44,16,31,2388,3894839</t>
  </si>
  <si>
    <t>(8,8,2,6,8,9,4,6,7,3,7,8),(8,*4,*4,*5,*3,*5,*9,*7,1,7,3,5),(2,2,3,9,7,2,8,7,6,5,6,8),(4,4,7,8,6,8,*2,8,8,8,5,1),(2,9,9,7,5,*3,*6,*3,*5,*7,*7,*9),(4,1,*8,9,3,8,*4,*5,*9,*8,*2,2),(3,1,*4,1,4,*9,*1,*3,*1,*3,*3,9),(7,9,*8,*1,9,*7,*4,6,6,3,*2,6),(1,6,*2,4,*4,*7,*7,*9,3,3,*9,2),(*5,*5,*7,*6,9,*7,*4,*2,5,8,*1,1),(7,9,*3,1,4,*1,*2,4,*4,6,*1,9),(6,*8,3,7,2,3,*2,3,2,*6,5,8)</t>
  </si>
  <si>
    <t>17779,9775363,8364,239,72848,32911,313,12,55,4453597,94,5982,246,22,414742</t>
  </si>
  <si>
    <t>(6,4,5,*4,*3,*7,2,6,6,*7,7,*5),(*4,*2,*3,*8,*7,*1,*3,9,*2,7,*9,9),(8,3,9,3,9,8,4,*1,*9,*8,7,5),(3,8,6,8,6,*3,5,2,*9,*6,1,7),(*1,*5,*8,*4,*3,*6,*8,*8,7,9,*7,9),(3,4,4,4,4,5,*2,*2,6,5,6,*3),(1,5,5,3,*5,6,7,5,*9,*3,*2,*8),(1,8,8,8,*5,8,8,*3,*9,*1,4,7),(2,2,1,*2,*4,*3,*2,*9,*1,*4,*7,3),(1,6,4,3,7,6,7,1,3,5,7,*3),(1,9,3,5,4,4,*6,*1,3,2,1,2),(2,7,8,9,1,*1,*2,*8,*2,*8,1,7)</t>
  </si>
  <si>
    <t>3829173,61,86,598982,34851,8324,3769,437,328,82821,721,2432914,39,31783,55</t>
  </si>
  <si>
    <t>(2,2,8,*6,1,8,4,8,1,*7,5,9),(9,9,8,*1,*2,5,3,6,1,*7,7,*8),(1,6,2,*3,6,*3,1,2,4,*6,8,*8),(2,*7,8,*5,*5,*1,*1,7,6,3,8,*1),(5,*2,1,2,*6,*8,*9,*1,9,3,2,*6),(3,*8,5,3,*4,6,7,*3,*7,9,6,*4),(9,*1,9,7,*8,5,9,*6,*5,*9,8,*5),(*7,*2,4,*4,*2,8,*7,9,3,*2,*8,*1),(*4,*8,6,6,*7,*4,5,6,7,2,4,4),(*3,*1,9,6,*4,5,8,5,6,2,9,1),(6,4,*3,*9,3,9,6,2,5,9,2,3),(1,6,5,*3,1,*1,*6,*6,*6,5,6,8)</t>
  </si>
  <si>
    <t>21827,8816451,5316,776,86,67449,2311798,347,564827,19352,83,24,6661,413,33</t>
  </si>
  <si>
    <t>(8,8,8,8,3,*7,*7,*2,*8,*9,*1,4),(1,6,6,1,*3,3,8,*5,*6,*8,5,5),(4,4,5,*9,4,*1,3,*2,3,2,8,9),(2,9,*4,9,2,*4,6,*3,3,1,2,6),(6,*8,2,5,8,*1,3,*1,6,8,6,6),(*2,3,8,6,6,*5,3,*1,9,1,2,7),(4,*2,8,7,*4,*1,*7,*5,8,4,8,3),(4,4,*6,5,4,*8,*2,*2,*4,9,3,6),(*9,3,*3,*4,9,*9,*8,*6,*8,2,7,2),(*9,2,*7,*3,5,4,*3,*6,*1,4,7,6),(*3,8,*3,9,2,6,*9,5,*6,8,8,8),(7,7,*2,5,*9,*2,*8,*9,*8,6,8,4)</t>
  </si>
  <si>
    <t>568,399,462,45,9289,78,3732,89382,2511325,33,66,86184,9815141,39482,772891</t>
  </si>
  <si>
    <t>(9,4,8,*3,5,8,2,4,*7,*7,2,2),(3,*3,8,1,*1,1,6,*3,8,*8,1,4),(6,*9,4,*7,4,*7,*7,9,3,*5,7,8),(*3,5,3,*4,3,*2,*7,6,8,2,4,1),(*3,2,1,*4,*1,*5,*8,*8,8,5,5,8),(*2,5,7,*4,4,6,6,*3,*1,5,3,4),(*6,2,6,*4,7,*4,3,3,*2,*9,5,5),(*1,8,*4,*6,*8,*8,*9,*8,*1,*9,6,*9),(3,8,2,*3,1,8,7,6,8,6,*6,*7),(7,1,1,9,*7,*9,*6,*7,*3,6,4,*7),(7,7,2,*2,*1,*7,8,4,4,9,2,*3),(3,7,4,6,*5,*5,*8,6,2,2,5,*3)</t>
  </si>
  <si>
    <t>55,283296,8773,48,74444,737,39,51,9673,4688981,712,33261,3177819,785,97733</t>
  </si>
  <si>
    <t>(7,9,7,9,6,6,*1,*3,*4,*8,*3,*1),(3,7,9,6,5,6,*1,6,8,9,5,6),(8,6,9,3,8,6,*9,3,*7,5,2,5),(4,3,4,*9,*6,2,*4,3,*9,*7,9,4),(2,1,9,7,*3,*5,*3,8,*2,8,*1,*8),(7,8,2,*8,*1,*3,*2,6,*5,1,9,*2),(5,3,*7,*9,5,9,*4,*4,*2,4,7,*7),(*8,6,7,2,9,*6,5,*7,*5,6,8,*5),(6,*4,5,7,2,3,*9,*1,*3,*2,4,*7),(5,2,*1,5,9,*5,9,*9,9,*6,*6,*4),(8,9,6,*6,4,3,*5,4,*2,9,*6,*9),(5,2,3,3,9,2,4,*1,4,*7,4,3)</t>
  </si>
  <si>
    <t>34911,6374339,97,155,174,66,76,177,81,8416,8275749,13843,69927,254256,9252</t>
  </si>
  <si>
    <t>(6,4,1,6,*8,*3,*1,*5,*3,*8,*1,1),(8,2,7,7,9,6,5,9,*2,4,2,1),(2,*7,8,5,3,3,9,*8,1,1,2,2),(9,*5,5,6,4,7,*3,3,6,7,6,*9),(*8,*1,9,2,3,*9,1,6,2,1,6,*9),(*3,*6,*5,4,*7,*1,4,1,8,2,*2,*5),(*2,3,4,*1,5,*9,*1,9,5,*8,*2,*4),(*9,2,5,3,*4,*5,1,*2,5,*7,*7,*8),(*8,5,7,5,9,*4,3,8,*4,*1,*8,*5),(5,*1,*1,*5,6,9,8,8,9,*9,*5,*3),(3,9,*3,*5,*8,*8,9,3,2,*6,*3,4),(4,*7,*6,7,5,7,8,5,8,9,6,6)</t>
  </si>
  <si>
    <t>735,65,88,124,3584599,1514,28397,115,75,1835138,69178,68,358722,1954,83298</t>
  </si>
  <si>
    <t>(5,7,1,8,7,*1,1,8,*5,*9,*7,*1),(*1,*5,*4,7,7,*2,3,2,9,7,5,4),(*5,5,8,8,3,*1,5,5,4,1,*8,3),(*8,2,3,8,6,3,2,*8,1,*8,9,9),(*5,6,3,3,2,2,*6,*2,*3,4,5,7),(*1,*4,1,6,9,*3,1,*8,9,2,6,2),(*1,*3,7,3,*3,9,*7,*5,*6,*8,*9,*4),(*1,*5,6,*6,6,8,6,1,7,6,4,6),(*7,*5,*1,6,3,5,4,7,5,6,3,4),(*4,*1,1,9,4,*6,3,3,1,2,7,5),(*4,*9,*5,*2,*2,*6,*5,*1,*3,*5,*2,9),(*6,*9,2,*5,3,8,3,7,5,*9,*1,9)</t>
  </si>
  <si>
    <t>32,5111744,78388,49865,69,863361,526,45,15534,121,1795,1352,1562259,19,851</t>
  </si>
  <si>
    <t>(5,*5,*4,*1,*9,*4,*7,*6,4,4,3,6),(6,8,1,*7,*7,*7,3,1,2,9,7,7),(1,3,8,9,*6,*5,2,9,1,6,*2,*8),(*5,2,3,7,*1,*9,*7,9,8,*5,*5,2),(7,*3,4,7,*1,*9,1,*5,*5,*6,7,5),(3,6,*4,6,*2,*3,4,*8,*7,9,*2,3),(*4,1,6,*7,*3,7,*3,*4,1,*8,*3,2),(2,*2,*8,5,*8,*1,*3,6,*1,6,*2,6),(*6,1,9,7,*5,6,4,*3,8,5,3,1),(2,*7,3,7,8,2,*6,7,8,3,4,2),(4,5,*4,1,8,*5,5,3,1,4,*9,2),(6,6,6,*5,*7,5,7,7,9,8,*6,9)</t>
  </si>
  <si>
    <t>2558315,79,578,5419476,53478,856743,24,777,13657,232,28,6745,3995,61123,96</t>
  </si>
  <si>
    <t>(5,8,2,7,4,7,3,6,4,5,5,8),(5,4,1,6,1,8,9,*8,*5,*9,6,6),(4,6,6,3,3,2,7,9,7,9,6,4),(4,1,*5,*4,3,7,4,6,2,4,9,9),(9,8,3,*4,*4,2,4,*3,2,*1,*7,*4),(4,1,*5,*5,*6,*4,4,*6,7,1,*6,*8),(6,6,9,1,5,8,*7,9,4,8,9,7),(2,7,8,*5,1,9,9,*6,1,7,9,1),(4,7,4,*7,3,3,1,1,1,9,6,6),(8,8,3,8,1,6,6,5,6,9,6,3),(8,7,*9,*9,*5,*2,*4,*2,*2,3,4,7),(5,2,8,3,6,4,1,1,9,1,8,3)</t>
  </si>
  <si>
    <t>174,36,859,55,2242599,67444,68,*9849,546,8426,19183,75,42331,279796,3816656</t>
  </si>
  <si>
    <t>(5,8,2,7,4,7,3,6,4,5,5,8),(5,4,*1,6,1,8,9,*8,*5,*9,6,6),(4,6,6,*3,3,*2,*7,*9,*7,*9,*6,4),(4,1,*5,*4,*3,7,4,6,2,4,9,9),(9,8,3,*4,*4,*2,4,*3,2,*1,*7,*4),(4,1,*5,*5,*6,*4,*4,*6,7,1,*6,*8),(*6,6,9,1,5,8,*7,*9,*4,*8,*9,7),(*2,7,8,*5,1,9,9,*6,1,7,9,1),(*4,7,4,*7,3,3,1,1,1,9,6,6),(*8,8,*3,*8,*1,*6,*6,*5,*6,9,6,3),(8,7,*9,*9,*5,*2,*4,*2,*2,3,4,7),(5,2,8,3,6,4,1,*1,*9,*1,*8,*3)</t>
  </si>
  <si>
    <t>174,36,859,55,2242599,67444,68,9849,546,8426,19183,75,42331,279796,3816656</t>
  </si>
  <si>
    <t>(1,1,5,2,8,1,*7,*9,*7,*7,*9,4),(*1,*5,*5,*8,*9,*6,*5,*9,3,9,2,2),(*2,7,6,*4,9,6,2,5,9,6,7,1),(*6,*2,6,*9,*6,6,8,9,5,8,9,6),(*4,3,*4,3,*9,*5,1,9,6,7,6,1),(*3,3,4,*7,4,6,1,6,3,8,1,2),(*2,4,*9,*3,*6,*1,*6,*8,*4,*4,*2,1),(*1,5,*9,*7,*2,2,6,2,9,4,*8,9),(5,*9,*1,*4,*3,*2,*7,1,8,6,1,7),(4,9,9,4,*7,*3,*7,*8,*8,3,9,5),(9,9,1,3,8,2,*6,*7,*1,5,4,4),(*7,*3,*1,*6,1,4,*1,3,7,6,9,7)</t>
  </si>
  <si>
    <t>99,2476,465,39,97797,723419,972,44861,9569855,761,88737,1264321,82,6137,17</t>
  </si>
  <si>
    <t>(5,3,5,*7,*9,*9,*7,*5,*2,*9,1,3),(8,5,9,8,4,*3,4,3,2,2,*3,5),(6,4,5,4,6,*8,2,6,1,*6,1,9),(6,2,9,1,*9,*8,*9,*3,*9,4,5,9),(5,8,*9,1,*1,*6,5,*9,9,9,4,5),(4,9,*5,*1,*6,7,*6,*4,1,6,*9,5),(*9,9,*9,7,*2,*5,1,8,1,1,*5,2),(*1,1,*5,*1,8,6,2,2,3,5,*3,2),(*9,8,*4,5,9,2,8,*1,4,9,*9,5),(5,6,6,5,7,*8,8,*1,8,7,*6,7),(5,6,8,6,2,*2,*2,*3,*6,*8,*5,7),(*8,*7,*9,*6,*3,*7,*5,9,5,6,1,1)</t>
  </si>
  <si>
    <t>5736978,51,23685,6883,45959,219,98,95396,493,919,9162,369965,11,28,9257997</t>
  </si>
  <si>
    <t>(8,7,3,5,2,6,1,5,9,4,7,1),(9,2,9,9,9,2,3,2,4,2,5,*1),(2,9,1,*7,5,7,1,*1,1,2,*6,9),(6,6,4,*8,2,1,*6,7,1,*7,3,*7),(8,2,4,*4,7,*9,8,9,*2,4,3,*2),(8,9,2,*2,*4,7,8,*9,9,9,9,*2),(4,8,*6,*5,7,*9,*3,4,1,6,8,*8),(2,*3,*6,*8,3,*5,5,4,6,6,4,*3),(4,*6,*2,8,4,*2,7,9,6,*4,5,*7),(5,*7,*4,*6,5,5,2,9,5,*7,1,*6),(8,*6,*5,*9,*1,3,*9,*7,*5,*2,*1,*4),(3,*1,6,*6,8,3,3,6,8,*3,8,9)</t>
  </si>
  <si>
    <t>1672935,19,259,6738227,4266,16763,542,4961,15437,41,12579,74,696,784258,32</t>
  </si>
  <si>
    <t>(4,1,9,4,2,*4,*5,*8,*7,2,2,6),(5,*9,*2,*7,*8,*7,5,3,1,3,1,1),(6,8,6,*5,*7,*4,*2,*3,*7,*9,*6,3),(9,4,*8,*1,7,*1,1,1,*4,*9,4,8),(5,*5,*7,2,4,6,*7,6,1,*2,7,6),(4,*8,8,*2,3,6,1,*7,*8,4,4,3),(*1,2,*9,*5,*2,4,1,*7,*1,7,8,7),(3,*5,5,5,6,5,*8,1,*6,*4,1,7),(*3,2,8,6,3,*2,7,*5,1,5,*2,2),(4,3,1,9,*4,*2,*9,*9,*3,8,5,*2),(3,8,3,*4,9,4,2,8,9,3,1,1),(3,5,9,8,5,3,*1,*3,*1,*3,*9,*9)</t>
  </si>
  <si>
    <t>187177,52,65,3592,97324,1771422,3992,49,131,2878244,96,48585,587,927,99313</t>
  </si>
  <si>
    <t>(8,4,9,8,*9,1,7,*1,4,9,5,2),(8,1,6,*1,2,1,*2,4,*2,3,8,8),(9,1,*9,7,6,*9,2,5,2,*8,*6,2),(4,*6,*6,8,*6,9,6,3,5,4,*7,7),(*2,8,*8,*4,*8,*8,*7,*6,*2,*4,*4,4),(4,7,*3,*4,*7,*2,*2,*5,*5,*4,*8,4),(3,3,4,*2,*5,*2,*4,8,9,3,*8,1),(6,6,1,*4,*9,*2,*3,*4,*3,*5,*6,5),(3,1,4,*6,*6,*6,2,7,8,*3,9,9),(9,7,*9,*5,6,8,1,9,*9,4,7,5),(*9,*9,*8,6,8,6,1,*4,3,8,3,7),(4,*7,*1,4,2,1,*9,8,2,8,7,8)</t>
  </si>
  <si>
    <t>9493,34692,128,68,189,4552274,88476,99,66,6534329,4252,564,426788,17,26919</t>
  </si>
  <si>
    <t>(3,*1,*5,2,6,3,9,9,8,4,5,1),(9,*5,2,*2,4,*9,6,2,5,7,7,*7),(8,*6,9,8,*8,*1,*2,5,6,3,*4,*3),(8,*3,9,2,6,*1,4,2,9,*1,*6,5),(*9,*5,*9,*3,*5,*5,*6,9,*4,*8,8,2),(9,*6,*6,*8,2,1,1,*7,*4,7,8,3),(3,7,*7,7,5,2,1,*5,8,5,9,1),(8,*4,*4,4,3,7,8,4,6,3,4,7),(3,3,*3,*2,*5,*6,*8,*5,4,6,7,*4),(8,1,*6,5,7,7,1,1,3,7,4,*8),(2,2,*1,7,*7,*2,*2,*8,*1,*7,4,*1),(1,9,*6,*1,*5,*4,*4,*2,*4,*9,3,6)</t>
  </si>
  <si>
    <t>66,4863,9424451,29,43616,11,825,722817,1563,6553959,874,184,74147,25685,57</t>
  </si>
  <si>
    <t>(5,3,6,2,7,*7,9,8,7,5,5,2),(7,*9,*3,*5,8,*6,3,4,7,8,6,9),(*2,3,7,5,5,*1,5,8,7,*1,8,8),(*6,3,*8,3,3,*5,1,5,4,*1,1,*5),(*6,3,*9,9,2,*6,4,6,1,*4,2,*1),(*6,4,*2,2,9,*1,4,*1,*2,*8,7,*3),(*1,9,*9,3,9,*1,*1,*8,*1,5,6,*5),(*4,9,8,5,9,*1,4,5,*6,3,2,*5),(*7,5,*1,1,*9,*4,*3,7,*1,8,6,9),(6,4,*4,*7,4,7,3,2,*2,6,4,4),(2,8,*2,7,2,*9,7,*6,*3,2,1,6),(2,*9,*4,*6,*9,*1,*3,*3,2,7,4,5)</t>
  </si>
  <si>
    <t>1165167,8411,8929,21612,36,416662,51355,79111,241,147,99,3319649,34,86,539</t>
  </si>
  <si>
    <t>(9,2,6,*1,4,*6,2,8,7,1,5,7),(8,7,*2,4,*7,*8,*4,7,8,9,6,3),(6,4,4,*3,*3,*9,3,*6,6,*6,9,*9),(3,6,9,*3,*5,7,*7,3,4,*6,9,*7),(5,4,*4,7,9,*9,8,*1,*8,*2,1,*6),(3,*9,*1,9,*6,3,*3,*7,2,*1,*6,*7),(*7,7,*9,4,*3,5,3,*6,8,*6,*2,5),(*2,6,9,5,*8,9,8,8,*4,9,*2,2),(2,*3,*1,*2,*1,*6,4,5,8,7,*4,6),(3,9,8,6,*8,*7,*6,*1,*8,*3,*2,*5),(9,7,2,9,7,4,7,8,5,3,7,9),(8,6,9,4,2,5,9,1,4,2,6,5)</t>
  </si>
  <si>
    <t>61213,4639532,419,836,7679,73,646,68,5238167,833497,27,4226,17971,78,66216</t>
  </si>
  <si>
    <t>(4,5,1,1,*6,*5,*6,*1,*3,9,6,6),(3,8,8,2,2,5,*9,*5,*3,*6,4,8),(*4,*7,*6,*6,*1,*2,*5,*6,5,2,5,2),(*6,4,4,3,*4,*7,*9,4,4,8,1,7),(*7,4,8,4,2,5,*8,6,9,6,1,*7),(*8,9,2,*2,8,5,*2,4,*6,6,8,*6),(*1,*7,8,*1,*8,1,4,*3,*3,1,7,*8),(*9,*4,*7,*6,*1,2,*2,*8,*9,1,7,9),(7,*1,9,*6,*1,5,2,8,*2,4,7,4),(8,*4,5,*7,*1,5,2,7,*1,1,4,4),(3,3,1,*5,*4,3,3,2,7,*1,*9,*5),(9,2,6,*1,1,4,6,1,4,9,9,8)</t>
  </si>
  <si>
    <t>31656,7661256,768,6359,41118,63921,4147,1576612,479,28,195,38,918764,23,17</t>
  </si>
  <si>
    <t>(4,*6,8,8,*8,5,4,5,5,6,4,7),(8,*5,6,9,7,*9,*6,6,*1,6,5,7),(5,*4,1,3,6,3,*1,*3,6,*2,3,8),(*3,*8,*5,*2,*7,*7,*5,*9,*8,5,*5,1),(5,4,4,6,*3,*8,9,2,*4,*9,*4,6),(7,4,1,1,*5,*6,9,4,2,4,*4,1),(*9,3,2,1,*3,7,*6,9,4,1,*8,8),(1,*4,3,6,*6,7,5,*6,9,3,5,5),(1,8,*3,9,*5,6,*3,4,*5,5,3,5),(5,4,9,*7,*4,*1,*1,*5,*5,*9,*7,8),(2,1,7,2,*1,8,5,7,1,9,2,1),(5,3,2,2,3,*9,*4,*5,*9,*8,*3,4)</t>
  </si>
  <si>
    <t>917349,4115597,654,549,31,49198,48,5365,5983,3852775,44,86,56663,63894,125</t>
  </si>
  <si>
    <t>(4,5,9,2,6,4,7,2,3,4,5,7),(*1,4,3,3,9,3,2,7,5,4,6,2),(*5,*7,*4,*2,*2,*9,*1,*4,*4,*5,*9,9),(2,5,*8,*7,*3,8,7,*7,*7,*5,*3,1),(5,*5,*2,*3,*7,*7,*3,*1,9,*7,4,4),(*2,6,8,1,9,*8,1,7,*9,*3,4,7),(8,*7,2,3,7,*4,9,9,9,*6,*1,1),(2,2,*9,9,*7,*8,*6,*6,6,*1,*2,7),(5,8,2,*1,8,*6,6,3,1,*8,*8,1),(7,3,6,6,*4,9,6,7,1,1,*6,3),(7,3,3,9,7,4,*8,*6,*3,8,2,3),(8,6,7,3,2,*2,*6,*3,*4,*7,*7,*8)</t>
  </si>
  <si>
    <t>41972,76,1286,848,66,14459,93,8774362,5237731,922475,7753,73618,368,15,378</t>
  </si>
  <si>
    <t>(3,*2,*6,*8,*9,*4,*4,*7,6,3,4,6),(6,3,7,2,*5,*4,8,4,2,9,6,1),(5,*4,*4,*1,*3,8,7,9,8,5,3,8),(8,9,1,*9,8,*4,*2,*4,*2,*5,1,5),(5,9,2,*6,*5,6,4,8,9,5,8,7),(5,3,*3,*6,*4,*2,*7,*2,*4,*4,2,*1),(7,*6,7,*2,4,3,9,6,*6,7,5,*2),(7,6,6,*4,5,3,7,*1,8,9,3,*9),(1,6,6,*1,4,8,*6,7,1,7,7,*4),(1,4,3,*6,*4,*2,7,8,7,*8,8,*7),(6,9,*5,*7,2,*3,*9,*7,9,*7,9,8),(4,4,*6,*7,*1,*2,*2,*3,*2,*8,8,4)</t>
  </si>
  <si>
    <t>62416,442724,95,74921,636,3144,6712232,6162,75,52424,97,34,254,7449862,878</t>
  </si>
  <si>
    <t>(*4,*2,*8,*6,*3,*8,*8,3,6,3,4,7),(6,2,1,4,6,7,5,5,1,8,2,*1),(2,*5,*2,3,5,7,3,*6,9,2,2,*4),(5,9,4,2,8,7,*3,*7,1,9,2,*2),(7,7,1,2,3,*1,8,1,6,6,4,*4),(9,*4,*2,4,*5,1,2,2,9,*7,*7,*2),(6,*6,*9,*5,9,5,1,5,*9,*5,*9,*2),(*8,7,*1,*2,*7,*7,*1,*1,8,9,*3,1),(6,6,*1,1,*7,5,*2,5,4,5,*3,*7),(5,4,*5,8,5,*6,2,9,5,1,*2,*4),(9,6,*7,1,*1,9,5,2,5,4,6,*4),(4,8,7,*1,2,8,2,4,7,1,9,9)</t>
  </si>
  <si>
    <t>224241,744,52,862,73,63155,59,46,79332,1162197,771,4286388,35782,1157,4927</t>
  </si>
  <si>
    <t>(9,2,2,7,*6,*6,*7,*7,*9,*4,*7,*7),(4,3,*6,*3,*9,4,4,6,4,7,4,*3),(5,7,*1,*8,*5,3,1,5,5,6,2,*9),(5,5,9,4,*1,*5,*4,*5,6,*5,8,*4),(5,4,*8,6,1,9,6,3,*1,9,2,*5),(2,*3,*5,*7,*5,8,2,*4,*8,4,9,*8),(3,7,2,*2,*5,4,*3,*9,4,*9,7,7),(7,8,2,*2,*9,*2,*7,7,7,*5,*7,1),(4,8,7,*7,3,*1,9,4,9,*6,*3,9),(1,7,*9,7,*9,9,7,1,5,*4,*6,5),(9,*9,8,*9,1,8,3,7,7,*8,8,1),(*5,1,*4,*6,3,7,5,7,1,8,4,9)</t>
  </si>
  <si>
    <t>739458,23415,84659,639,87,5451,6677947,59979,185,3575,4991798,55,22,69,637</t>
  </si>
  <si>
    <t>(7,6,2,1,6,7,7,5,6,6,3,2),(7,4,9,6,1,2,4,3,7,8,7,5),(3,3,8,6,2,5,9,6,9,9,9,5),(3,3,7,7,*1,*6,8,1,9,8,1,2),(9,7,2,6,2,*8,6,3,9,6,2,4),(*5,*5,*5,4,*4,1,9,5,9,8,2,4),(6,7,2,9,4,*7,8,2,2,3,8,4),(1,8,3,9,*2,2,6,7,7,6,7,5),(4,4,1,*8,5,4,4,3,9,2,5,8),(6,1,3,6,8,*9,3,5,2,8,5,6),(4,9,4,5,5,4,*6,4,7,6,4,7),(9,4,6,5,8,7,1,6,8,2,5,4)</t>
  </si>
  <si>
    <t>81,84,*4674645,987,8739385,61,827,57873,36746,6632,332442,555,52729,5414,96</t>
  </si>
  <si>
    <t>(7,6,2,1,6,7,7,5,*6,*6,*3,*2),(7,4,*9,6,1,2,4,*3,*7,*8,*7,*5),(*3,3,*8,6,2,*5,9,6,9,9,9,5),(3,*3,*7,7,*1,*6,*8,1,9,8,1,2),(9,7,*2,*6,2,*8,6,*3,9,6,2,4),(*5,*5,*5,*4,*4,1,*9,5,*9,8,2,4),(6,7,2,9,*4,*7,8,*2,2,*3,8,4),(1,8,3,9,*2,*2,*6,7,*7,6,*7,5),(*4,4,1,*8,5,4,4,*3,9,*2,5,*8),(6,*1,3,6,8,*9,3,5,2,8,*5,6),(4,9,*4,5,*5,*4,*6,*4,*7,*6,*4,7),(9,4,6,*5,8,7,1,6,8,2,5,4)</t>
  </si>
  <si>
    <t>81,84,4674645,987,8739385,61,827,57873,36746,6632,332442,555,52729,5414,96</t>
  </si>
  <si>
    <t>(*5,1,8,3,4,6,4,4,9,4,8,1),(5,*2,7,*3,*9,*4,*9,*6,*5,*7,2,7),(2,4,*7,1,9,*6,8,4,9,2,8,9),(7,9,4,*1,*9,8,6,1,5,7,*9,*2),(8,*9,3,*7,*9,4,1,3,*6,*2,*6,3),(*2,*4,*5,3,*3,*4,*6,*7,*6,*6,*9,*8),(*1,*3,4,7,*3,7,*3,5,6,8,*8,2),(*3,*7,2,7,*6,4,1,*8,*1,7,4,4),(*5,*5,3,1,*7,6,*2,*4,*1,8,7,8),(*3,5,7,6,*1,4,9,6,*5,1,3,3),(*4,8,3,3,*3,4,2,1,5,9,5,2),(*4,6,8,9,*9,*1,*2,*1,*3,1,2,8)</t>
  </si>
  <si>
    <t>866,6975,317633,29,62,83,3949657,511,91725,24,91213,2135344,896,4676,94375</t>
  </si>
  <si>
    <t>(*7,*4,*4,5,1,8,6,2,8,8,7,2),(3,2,8,*4,5,9,3,9,2,5,8,4),(*4,*7,*9,*1,1,6,*2,4,1,3,8,9),(2,9,7,*9,7,2,*6,*3,*1,*3,*8,*6),(9,7,9,*5,8,*2,9,*6,*1,5,7,3),(6,4,8,*2,*4,*2,3,3,*5,*1,8,1),(9,*9,*1,*7,*7,*7,*5,*1,6,*6,*6,6),(3,6,6,6,*1,*3,*2,*6,*1,*1,*1,9),(2,9,9,8,8,7,4,6,5,2,9,7),(1,3,9,2,1,5,3,3,9,2,6,1),(9,8,3,4,5,*7,*8,*5,*6,*6,*7,*3),(*3,*3,*4,1,4,5,*9,*5,*9,*1,4,8)</t>
  </si>
  <si>
    <t>334,6831,1577719,479,66561,27,54,22,3766587,42,744,25914,9591,23116,116231</t>
  </si>
  <si>
    <t>(3,9,2,2,6,5,3,6,8,2,1,*9),(2,*1,*4,2,*1,*8,2,5,8,*3,*8,9),(5,1,4,*6,*6,8,*4,9,*6,*9,5,4),(8,5,*1,*9,*1,*5,9,*8,*8,3,8,7),(4,*8,*2,5,5,3,*2,*3,*7,2,9,5),(*9,5,*6,6,*8,2,*5,*7,*1,*2,*4,*3),(4,*8,*5,6,3,*3,3,2,*2,7,7,9),(3,*8,*7,*2,2,3,*5,6,*8,5,7,5),(5,*1,*5,*3,9,*5,3,*1,*3,5,5,4),(2,3,*7,*8,7,8,6,3,*1,5,8,3),(7,7,*5,*9,6,8,1,8,9,*5,5,8),(5,*6,*4,*3,*3,*3,4,3,9,7,*1,3)</t>
  </si>
  <si>
    <t>848,243,64333,71283,91,6527,2389,5757562,14,188,36,538989,98161,55,1511538</t>
  </si>
  <si>
    <t>(6,7,*7,5,1,*6,2,6,8,1,5,7),(5,4,*8,4,*7,2,8,1,3,1,1,3),(6,5,*2,*2,*5,*6,*1,*1,*6,*6,7,1),(*1,5,*6,*1,3,3,6,*2,*5,*9,*1,*2),(*2,5,*9,*1,3,*7,2,1,8,1,*4,*1),(*3,9,*2,*3,4,2,*1,2,9,3,*7,*4),(*5,9,*8,*6,*4,2,2,2,9,6,8,*2),(*5,5,2,*7,1,*8,*2,*2,*2,3,9,7),(*2,1,8,8,*2,2,*9,8,1,7,9,3),(*9,3,7,3,2,*9,2,*6,5,9,2,4),(*1,*3,*9,*1,*2,1,*9,6,7,8,3,4),(2,*1,*5,*3,7,4,5,7,5,4,3,9)</t>
  </si>
  <si>
    <t>38,71,4896,21952,1136,67,1235529,21931,99278,241,6611652,74,782692,153,222</t>
  </si>
  <si>
    <t>(5,9,3,7,3,8,*3,*1,8,3,*8,8),(2,1,*5,5,8,*9,*8,3,8,*6,*6,7),(*2,*2,*6,5,*3,*8,4,5,*2,8,*5,8),(2,4,*9,*8,5,6,5,*7,*7,1,*1,2),(8,6,*9,5,6,8,*7,*9,5,*6,*4,*3),(5,2,*8,6,*7,4,2,5,*4,6,*5,*3),(9,9,5,7,*8,1,*3,*1,*5,9,*6,*7),(6,7,8,7,3,3,*4,*3,1,3,1,*1),(6,3,1,7,2,*7,*2,*1,5,4,1,*4),(9,3,9,1,*7,*8,*6,5,3,1,2,*1),(6,7,4,*1,9,*9,3,1,3,1,6,*7),(7,5,4,3,9,2,*9,*9,*8,*9,*9,9)</t>
  </si>
  <si>
    <t>961,87,31,22,3938,8235,188,97,567,6414771,99899,77268,7141733,89965,654156</t>
  </si>
  <si>
    <t>(3,4,1,2,4,2,1,*6,6,1,*4,1),(9,8,8,1,1,1,*5,*4,9,7,*8,*9),(4,9,3,1,2,*6,5,*8,9,1,*8,*7),(6,*9,8,8,*5,5,1,*7,*1,2,*2,*5),(*9,7,*4,*7,9,1,6,*8,*2,2,6,8),(*1,*1,*3,*8,1,2,2,*4,*4,7,6,6),(*5,1,8,5,*2,5,*2,*2,*9,*6,9,9),(8,2,1,3,4,*4,4,8,*1,6,7,6),(7,9,2,8,*6,*2,*6,*6,*1,*5,*4,*8),(4,1,6,*8,6,*1,*6,5,1,3,9,2),(4,4,*7,3,9,6,*1,8,*9,*4,*9,1),(3,*6,*6,*8,*3,*3,*7,*8,8,3,9,8)</t>
  </si>
  <si>
    <t>24687,975,661548,2849,13,19421,56573,96,949,915,4882,11,26,6683378,6487842</t>
  </si>
  <si>
    <t>(4,8,7,3,5,7,*3,*3,3,8,2,2),(2,4,*3,5,5,8,6,7,4,7,7,1),(2,6,*8,*8,*4,*6,*5,*2,*2,*8,4,6),(6,5,*2,*3,*5,*1,*5,*6,*4,1,4,6),(4,3,2,7,*2,*9,*7,*5,*4,*1,*9,3),(*8,3,*7,*1,*4,*7,*5,5,4,2,4,*9),(7,*4,7,8,*3,*6,*7,*1,*9,1,*6,6),(8,4,*7,*5,*8,*9,5,*2,7,*4,1,9),(*7,*2,*1,*4,*8,4,*9,4,*9,4,5,6),(7,2,1,*9,4,3,1,*6,2,4,2,1),(*8,*7,*9,9,8,5,*7,3,9,4,2,6),(4,2,9,2,2,1,4,9,8,9,9,2)</t>
  </si>
  <si>
    <t>964967,2975419,589,8225648,71475,84127,38,9989,3671,51564,33,847,23,929,87</t>
  </si>
  <si>
    <t>(9,*1,*6,*5,1,9,6,*8,*2,*2,*6,*2),(5,3,6,*5,7,7,9,3,*6,*1,*9,*3),(1,*7,*1,5,1,6,5,9,4,2,3,1),(8,*8,*4,*2,*8,*6,7,1,9,7,4,9),(*6,*1,*5,*5,4,9,*2,2,2,2,8,6),(7,*9,*1,5,5,4,*5,*7,*7,3,3,4),(7,*7,*8,3,8,*7,9,*6,*2,5,4,4),(4,*4,*9,4,*6,*1,*5,4,4,*6,8,4),(2,*1,9,*2,7,*9,5,7,9,7,*1,6),(4,9,*4,*7,*2,8,*5,7,5,3,2,*6),(1,2,5,*1,*3,4,7,1,7,3,4,8),(9,9,*9,4,8,*5,2,3,6,6,3,8)</t>
  </si>
  <si>
    <t>6193,87,695,7659219,17,6272616,82262,981541,561,25,537,58,57624,14791,5186</t>
  </si>
  <si>
    <t>(1,8,9,2,6,3,6,4,*6,*4,1,6),(*8,1,7,1,2,6,2,7,*4,*7,7,5),(*8,6,8,2,8,*4,6,6,*2,*7,6,8),(*5,1,4,8,5,*4,*2,8,*7,*1,4,2),(*8,5,5,3,2,1,1,*9,*6,*2,5,3),(*6,8,7,9,8,1,7,2,*1,*6,*4,7),(7,4,*1,9,7,*3,9,*8,6,3,*5,7),(*5,*3,*8,8,*2,*1,*6,*1,*4,*5,*8,1),(*1,7,*6,6,7,4,*9,*5,5,9,*1,5),(*5,5,*7,8,9,4,1,5,3,5,*8,1),(2,9,*6,*1,*8,*2,*2,*6,*1,*4,*4,9),(1,6,*8,9,3,8,8,8,3,3,*2,9)</t>
  </si>
  <si>
    <t>31,44,86768,477126,4581842,4162281,64276,8858,32,16145,6858,515,924,218,95</t>
  </si>
  <si>
    <t>(6,9,*5,*3,*8,*4,4,9,*3,9,2,5),(4,1,*8,7,5,8,2,6,*7,*1,6,7),(4,9,*1,5,3,6,6,*9,4,9,*2,*5),(5,3,*1,1,3,*1,*9,9,6,9,4,*4),(5,9,8,*4,*7,*9,8,3,7,6,2,1),(*4,5,3,*9,*7,7,*2,*3,*9,*6,*5,8),(*4,8,*5,*1,*5,*3,2,5,8,*5,9,3),(5,*6,*4,3,3,2,4,7,6,*7,1,5),(4,1,8,1,3,6,2,3,5,*4,1,8),(9,4,6,5,2,5,3,5,3,5,9,8),(*3,*4,*3,*7,*4,*2,*3,*7,*9,*7,*8,*6),(*1,*9,*9,*5,4,3,7,9,1,2,8,1)</t>
  </si>
  <si>
    <t>94,23965,4179997,475,5991,44,35,213,384,54,3437423,79786,821973,17956,5811</t>
  </si>
  <si>
    <t>(5,9,3,1,8,8,8,7,5,6,2,5),(7,5,*6,*9,*3,*1,*2,*5,*3,5,*8,9),(3,2,7,*4,*3,*4,*9,7,4,*1,5,7),(9,*2,8,4,4,8,*3,*8,*6,*8,*6,*1),(9,*1,5,4,*3,7,*7,8,9,6,*1,8),(8,*5,4,*7,*2,1,*5,7,5,*7,6,7),(5,*6,*3,*8,9,3,9,*4,*9,*4,*3,*5),(1,*9,*8,5,7,4,*5,6,*1,5,9,4),(*2,*9,7,8,3,7,2,*4,3,7,3,5),(*8,6,8,6,7,7,7,3,*2,*8,3,7),(*8,*4,*9,*6,*7,*2,*4,9,*2,*1,8,8),(4,3,8,2,7,8,4,*5,2,7,*6,1)</t>
  </si>
  <si>
    <t>28898,8496724,17,75,54216,9434,825,373,29,816,21569,41,9435,6931253,386861</t>
  </si>
  <si>
    <t>(5,5,8,*2,*9,*1,*2,*9,*9,*1,5,6),(5,4,*6,*5,*8,*3,*1,*8,*3,3,3,5),(7,*9,1,3,3,7,5,7,2,3,8,4),(9,*7,1,*2,*4,*5,4,5,4,*7,5,7),(5,*3,4,8,1,*2,*5,*2,*2,*4,2,6),(9,*6,*7,*1,*8,*3,*6,8,*2,1,5,1),(6,*8,2,1,7,4,2,4,*2,5,6,8),(*4,*2,8,5,6,5,4,7,*3,5,9,*4),(*4,1,3,*3,*4,*5,*2,1,*6,9,3,*8),(*2,9,3,1,4,*7,*2,7,*9,8,7,*3),(*6,6,6,*5,2,*9,*9,1,6,1,2,*7),(*1,3,1,*3,3,4,*5,2,4,7,3,9)</t>
  </si>
  <si>
    <t>34,5922,22369,245,3813856,71,286379,25224,7384,2912991,836,47,579,44261,53</t>
  </si>
  <si>
    <t>(3,*3,3,8,2,9,1,3,8,8,4,7),(5,*2,7,9,2,6,*7,1,9,3,4,9),(4,*4,5,1,2,1,5,*4,5,7,6,6),(7,*8,8,*5,7,8,2,4,*3,*6,*1,*5),(9,*8,*2,*1,2,9,1,6,4,*8,*6,*8),(3,9,*2,*2,8,2,*9,*6,*1,*6,*6,*7),(7,6,*6,7,5,1,1,7,3,*1,*9,*4),(9,*5,*2,2,6,4,6,8,*6,*4,*3,*7),(1,*6,*2,5,8,*8,*9,*1,*1,7,*3,*6),(4,*4,9,*2,*8,3,*1,*4,3,*2,*1,*2),(4,*7,2,6,4,*5,*5,2,*7,4,2,5),(*6,*3,9,1,*1,8,6,*7,7,8,3,9)</t>
  </si>
  <si>
    <t>86,215,2674785,772,22622,9616,5414,82,37465,151161,89,1669331,32488,63,743</t>
  </si>
  <si>
    <t>(1,5,7,7,7,*5,*9,*5,*5,*3,9,6),(5,*4,*5,*6,*4,*6,*7,1,1,3,3,4),(6,6,9,1,2,1,*7,5,2,*9,*2,*7),(6,*7,8,1,7,*1,*8,6,6,8,5,*9),(1,8,*5,3,3,*5,*4,4,9,1,2,*1),(*4,8,3,*7,*2,*4,*9,4,*6,6,7,*5),(1,*1,1,4,*2,3,*1,3,8,*9,1,*8),(6,9,*7,1,8,*7,*2,*8,*1,8,*3,*4),(9,2,3,*9,1,*4,4,2,*2,5,5,9),(1,3,9,4,*1,6,1,5,2,*7,6,8),(1,6,1,3,7,*7,*9,*4,*2,1,*2,1),(1,8,4,8,*8,*9,*8,*6,*5,*3,*8,4)</t>
  </si>
  <si>
    <t>45646,396,29,25,59553,451,81,19714,7572,74,2497,485197,2194877,8356898,272</t>
  </si>
  <si>
    <t>(*9,2,7,9,7,7,8,9,5,*4,2,1),(7,*1,1,*1,*3,*9,3,6,9,*8,1,3),(*1,9,*9,*3,4,7,5,1,7,*4,*5,6),(*4,5,1,*2,2,8,9,5,*6,*5,*4,9),(*7,*6,7,9,*8,2,7,*5,7,*7,*6,3),(*3,5,*2,9,7,*2,*9,1,9,7,*6,2),(*5,1,*1,*4,1,*2,*9,1,5,5,8,4),(*1,3,7,*4,*7,8,*8,*9,8,1,7,9),(*8,9,3,*6,*1,*5,4,*5,3,1,*5,2),(2,7,4,1,*3,*6,6,*2,9,7,*2,*3),(3,9,1,*4,*9,*2,*2,*9,3,4,*3,4),(5,7,4,9,9,9,6,*5,5,4,*5,4)</t>
  </si>
  <si>
    <t>1473518,95295,75484,426,39,853,31,5466,33,672956,9192829,14162,492,17,5325</t>
  </si>
  <si>
    <t>(*2,1,8,5,7,6,*2,1,9,5,1,9),(*3,5,*8,*4,*1,*1,*6,*8,5,9,7,4),(*1,*6,*7,4,5,*6,5,1,*6,9,5,2),(*8,6,*3,*2,3,9,*4,3,9,*8,9,8),(*9,7,5,*9,*3,6,1,*5,9,7,*6,5),(*4,3,6,*5,*2,*7,3,6,*5,8,8,*5),(*1,3,7,7,*7,8,*9,7,2,*3,7,3),(*6,4,1,*3,9,*8,*6,*4,5,*1,*6,2),(*9,*7,*8,2,8,2,1,2,*3,6,6,*2),(*3,*6,6,8,2,9,6,*3,2,1,4,6),(1,9,*4,*4,7,1,1,8,4,5,9,9),(*6,*2,*1,*2,*9,*1,1,6,4,8,7,2)</t>
  </si>
  <si>
    <t>28,44,192126,864,7386,6392,56868,231,95,331,61148,6455362,3961498,97327,76</t>
  </si>
  <si>
    <t>(9,1,9,*4,*1,*3,*9,*7,2,5,5,1),(7,9,7,2,2,*9,6,9,5,6,2,3),(9,9,*4,*4,*2,2,7,6,3,6,2,5),(5,3,*4,1,*2,*7,3,*7,*7,*1,*6,3),(8,6,*5,2,5,*4,5,*5,*8,*8,*9,*8),(7,4,3,1,*4,5,*6,1,9,9,8,6),(*5,*6,*9,*7,*9,*1,*1,*3,8,3,4,7),(2,7,5,9,2,4,2,3,*4,3,*5,9),(8,4,*2,9,5,7,5,*5,8,*7,*5,4),(3,*7,5,*2,7,4,*9,*1,*9,*3,*5,2),(7,*8,8,6,2,2,1,4,6,*6,*8,8),(4,8,*1,*8,*5,*7,*5,*7,9,2,*5,1)</t>
  </si>
  <si>
    <t>6177,55585,299,72,49,9193,596,5697911,89885,185757,22,4246347,79314,87,445</t>
  </si>
  <si>
    <t>(3,7,1,9,6,1,6,1,4,2,8,4),(5,*1,*8,*8,*1,*3,2,2,8,8,5,3),(3,6,4,4,7,*6,*7,*6,*3,4,6,6),(*3,6,1,9,*4,*2,*4,*1,*9,*3,*1,*1),(9,*7,3,4,6,*6,*1,7,4,9,1,*5),(9,2,*1,6,3,8,*5,*3,*3,1,7,*5),(4,8,8,*3,1,9,*9,*4,*9,6,2,*6),(4,1,6,9,*8,9,*2,*9,*6,3,3,*6),(9,3,*8,*5,*9,*3,9,*1,3,3,5,*4),(5,8,*4,*6,*3,*3,*1,*9,3,4,6,*8),(7,8,3,7,5,1,7,*7,7,9,3,*2),(1,7,9,3,8,5,4,*1,3,1,8,9)</t>
  </si>
  <si>
    <t>3958,62,179194,46331,61,34,31881,1391424,693,37138,35,3676,295,284,1556648</t>
  </si>
  <si>
    <t>罰（2025/11/8は１、2026/1/22は３、2026/2/21は１）</t>
    <phoneticPr fontId="1"/>
  </si>
  <si>
    <t>(6,*5,1,7,5,2,7,3,9,8,2,3),(1,*4,2,*1,*8,7,*6,3,8,1,6,3),(1,*3,*6,*9,2,*8,4,*8,1,2,8,6),(9,*5,*7,*5,3,5,*4,5,*1,6,3,4),(4,*1,*9,*2,1,*4,5,*5,5,*2,1,8),(8,2,*9,*4,*5,1,1,5,3,3,3,*2),(2,9,*9,*6,1,1,*4,*6,*3,*9,*4,*2),(9,5,*5,1,7,1,6,*1,*5,*7,4,5),(7,6,*9,2,*2,*7,*9,*3,*8,*6,8,7),(5,9,5,2,4,8,3,6,6,3,4,6),(*5,*5,4,7,7,9,7,9,3,*8,*7,4),(5,8,3,*4,*7,*5,*9,*5,*7,*6,4,6)</t>
  </si>
  <si>
    <t>79386,654,249364,2186,42591,5488,742,751,85,27,6799959,15345,6759574,55,87</t>
  </si>
  <si>
    <t>(*4,*2,3,*7,*5,*1,*5,*6,6,5,1,1),(*6,*6,7,4,5,4,2,1,8,6,9,7),(*8,*8,5,*7,2,4,1,2,7,6,3,3),(*1,6,*8,4,*6,*9,4,*8,6,9,5,4),(*1,1,7,*1,*1,*3,8,*3,9,*3,2,5),(*7,1,1,*1,6,6,*6,*7,9,*1,7,9),(*5,8,*9,*4,*1,1,9,*5,2,*8,3,8),(*3,*1,*3,*9,*8,9,5,*4,6,*5,7,8),(*1,8,7,7,6,5,3,*5,*3,*9,5,1),(2,*3,*9,*3,*7,*9,4,*1,5,1,4,8),(*4,*4,9,7,5,7,*1,5,4,1,8,4),(4,3,3,8,9,2,*2,*8,1,5,4,6)</t>
  </si>
  <si>
    <t>44,1545738,95813,918,31398,188,268,3937,119119,6367,41,53,28,5711864,75156</t>
  </si>
  <si>
    <t>(4,2,5,8,7,*2,*1,*5,*5,*7,*8,3),(3,*2,9,6,7,7,3,*8,9,8,2,8),(1,*5,9,*6,1,2,*2,3,5,2,6,2),(8,*1,4,2,*4,*4,*3,5,5,9,1,2),(7,*5,5,*9,*8,*5,1,*6,4,7,1,*4),(2,*1,5,*3,*1,1,*2,7,*3,4,1,*8),(4,3,7,*3,7,*4,3,*3,*5,*9,6,*1),(*9,9,7,2,7,*5,*3,3,1,*6,3,*9),(*7,*7,*7,*2,*9,*9,8,*1,*2,*7,*2,8),(*3,9,1,1,2,9,8,2,*4,3,9,5),(5,5,5,2,6,4,3,4,3,*2,5,4),(5,7,*3,*7,*4,*3,*6,*8,*6,3,7,3)</t>
  </si>
  <si>
    <t>32546,33,35,272,77299,15152,59,9184,96,3743686,2413419,875512,363,379,8428</t>
  </si>
  <si>
    <t>(1,6,8,7,*9,4,*4,*6,1,9,*3,4),(1,8,9,*5,3,*5,5,4,*3,*5,3,2),(7,3,*8,8,*4,1,4,5,*7,*6,*6,3),(9,*6,2,*4,3,9,7,*9,8,*7,*7,6),(*8,9,*5,6,*8,4,3,5,*7,5,3,7),(9,*5,4,7,*7,8,6,*8,2,8,1,7),(*7,8,3,7,*2,5,*9,2,*6,2,2,8),(9,*8,2,*2,1,*6,9,*7,5,8,6,8),(9,*5,4,*5,*5,*6,*2,9,5,4,7,3),(2,*8,6,2,2,*5,*4,*7,*3,*6,6,1),(8,*2,3,9,*7,4,1,3,*8,*7,*5,4),(4,*3,9,3,*1,*7,*3,*2,*1,*9,*1,8)</t>
  </si>
  <si>
    <t>4544557,95868,32858,672,7636,25,732191,6778965,26,71,278,63745,875,3579,15</t>
  </si>
  <si>
    <t>(3,*8,*6,6,6,*2,6,2,1,6,8,4),(6,*7,*1,*9,*9,*3,*4,*4,9,6,1,2),(3,*7,*1,7,*7,8,3,*1,*5,2,1,2),(*7,*2,*3,7,4,*3,*8,2,1,6,*2,3),(*8,*8,*8,5,9,*5,*5,2,4,1,*2,7),(*2,3,6,3,*4,1,6,*9,2,9,*7,4),(*7,4,1,*3,9,*1,8,7,*1,9,2,8),(*7,7,*8,8,8,9,*3,3,1,*6,7,2),(*2,*9,2,2,7,9,4,*1,3,2,2,6),(*6,3,1,8,*4,*2,*7,9,*3,2,5,9),(6,2,3,4,*8,*6,2,7,4,*7,6,4),(1,4,8,*9,*6,6,*7,*3,*4,*3,5,5)</t>
  </si>
  <si>
    <t>289,722,9834581,766,62,73131,6195379,782772,51,82778,23,9344,3437,24,83116</t>
  </si>
  <si>
    <t>(*1,1,9,2,3,1,1,*8,6,2,6,7),(*1,3,8,4,3,4,*4,8,1,6,*7,*1),(*1,9,2,3,1,*5,*2,9,7,8,*6,*9),(*2,5,1,4,*3,2,5,2,*8,*6,*2,*1),(*8,5,7,*5,*7,3,*7,*1,*3,*3,*9,*6),(*5,4,*2,3,*4,1,*7,8,7,*5,*8,*3),(*7,*1,9,4,1,*9,3,6,*8,*1,*2,*1),(5,2,*8,*9,*9,*4,*4,5,8,2,*3,5),(7,4,7,9,3,5,9,9,7,2,*6,1),(*3,*7,*3,*3,9,1,2,9,6,8,*7,4),(4,4,2,5,3,1,4,3,4,1,*7,7),(5,2,8,6,4,6,2,6,8,3,*5,4)</t>
  </si>
  <si>
    <t>76298,19163,86,8453521,42,971,51,577632,381,3733,8591,89944,74,1112857,317</t>
  </si>
  <si>
    <t>(4,7,3,2,1,6,*9,9,*7,*9,8,*8),(7,*8,8,5,6,7,*5,6,1,6,*1,*8),(7,9,*2,*5,*3,*5,*4,*9,9,*1,*4,2),(3,6,9,*2,8,2,*6,9,*5,*1,6,*5),(1,5,8,5,*6,4,*6,9,*2,6,*4,*7),(5,9,8,*8,4,*3,*5,3,1,8,*3,*4),(8,2,1,8,*4,9,*8,8,8,*7,*8,*6),(9,*2,*6,*6,7,*4,*1,*9,*2,8,*3,*8),(6,*1,5,6,8,6,*5,*5,1,4,*5,2),(9,*7,6,6,6,9,*6,*3,*9,7,*8,5),(9,7,7,5,1,*8,4,7,*3,5,*2,4),(5,1,2,6,2,2,1,1,*8,*8,6,2)</t>
  </si>
  <si>
    <t>72568,57468,71,662,8412,938,91,8115,566,8445338,79,836228,95,94535,4383582</t>
  </si>
  <si>
    <t>(3,7,7,5,5,3,7,2,9,7,*7,3),(4,3,3,3,4,2,1,2,6,*3,7,9),(*2,4,1,6,6,*7,5,6,*3,9,5,*9),(9,*7,*9,9,7,*8,1,*4,*7,1,3,*8),(7,6,*8,8,*2,*8,9,5,4,9,1,*9),(9,4,*2,*5,2,*4,3,*5,1,8,*9,*4),(8,*3,6,1,*7,3,*6,*4,*5,9,*5,*9),(*1,3,*8,9,9,1,7,*8,8,4,*1,*7),(*6,3,8,*9,5,*8,5,2,*3,6,*7,*6),(*4,*2,*1,*9,*8,7,*8,2,8,*3,*8,3),(*1,9,2,5,7,*4,2,*8,5,2,*4,4),(*1,4,8,9,2,9,*4,6,*5,4,8,7)</t>
  </si>
  <si>
    <t>4337,87159,11461,912,75872,8885,65,52,788,2468334,74,448983,982,6794989,45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</si>
</sst>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データ!$A$3:$A$318</c:f>
              <c:numCache>
                <c:formatCode>m/d/yyyy\ h:mm</c:formatCode>
                <c:ptCount val="316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  <c:pt idx="308">
                  <c:v>46075.278703703705</c:v>
                </c:pt>
                <c:pt idx="309">
                  <c:v>46075.28570601852</c:v>
                </c:pt>
                <c:pt idx="310">
                  <c:v>46075.294641203705</c:v>
                </c:pt>
                <c:pt idx="311">
                  <c:v>46076.28765046296</c:v>
                </c:pt>
                <c:pt idx="312">
                  <c:v>46076.295347222222</c:v>
                </c:pt>
                <c:pt idx="313">
                  <c:v>46076.311805555553</c:v>
                </c:pt>
                <c:pt idx="314">
                  <c:v>46077.300196759257</c:v>
                </c:pt>
                <c:pt idx="315">
                  <c:v>46077.307708333334</c:v>
                </c:pt>
              </c:numCache>
            </c:numRef>
          </c:xVal>
          <c:yVal>
            <c:numRef>
              <c:f>データ!$B$3:$B$318</c:f>
              <c:numCache>
                <c:formatCode>General</c:formatCode>
                <c:ptCount val="316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55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57</c:v>
                </c:pt>
                <c:pt idx="286">
                  <c:v>55</c:v>
                </c:pt>
                <c:pt idx="287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60</c:v>
                </c:pt>
                <c:pt idx="298">
                  <c:v>60</c:v>
                </c:pt>
                <c:pt idx="299">
                  <c:v>54</c:v>
                </c:pt>
                <c:pt idx="300">
                  <c:v>60</c:v>
                </c:pt>
                <c:pt idx="301">
                  <c:v>60</c:v>
                </c:pt>
                <c:pt idx="302">
                  <c:v>60</c:v>
                </c:pt>
                <c:pt idx="303">
                  <c:v>60</c:v>
                </c:pt>
                <c:pt idx="304">
                  <c:v>60</c:v>
                </c:pt>
                <c:pt idx="305">
                  <c:v>60</c:v>
                </c:pt>
                <c:pt idx="306">
                  <c:v>60</c:v>
                </c:pt>
                <c:pt idx="307">
                  <c:v>60</c:v>
                </c:pt>
                <c:pt idx="308">
                  <c:v>60</c:v>
                </c:pt>
                <c:pt idx="309">
                  <c:v>60</c:v>
                </c:pt>
                <c:pt idx="310">
                  <c:v>60</c:v>
                </c:pt>
                <c:pt idx="311">
                  <c:v>60</c:v>
                </c:pt>
                <c:pt idx="312">
                  <c:v>60</c:v>
                </c:pt>
                <c:pt idx="313">
                  <c:v>60</c:v>
                </c:pt>
                <c:pt idx="314">
                  <c:v>60</c:v>
                </c:pt>
                <c:pt idx="31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11-4FCB-A4FB-683D846A69BD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2811-4FCB-A4FB-683D846A6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1461904"/>
        <c:axId val="1971486384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データ!$A$3:$A$318</c:f>
              <c:numCache>
                <c:formatCode>m/d/yyyy\ h:mm</c:formatCode>
                <c:ptCount val="316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  <c:pt idx="308">
                  <c:v>46075.278703703705</c:v>
                </c:pt>
                <c:pt idx="309">
                  <c:v>46075.28570601852</c:v>
                </c:pt>
                <c:pt idx="310">
                  <c:v>46075.294641203705</c:v>
                </c:pt>
                <c:pt idx="311">
                  <c:v>46076.28765046296</c:v>
                </c:pt>
                <c:pt idx="312">
                  <c:v>46076.295347222222</c:v>
                </c:pt>
                <c:pt idx="313">
                  <c:v>46076.311805555553</c:v>
                </c:pt>
                <c:pt idx="314">
                  <c:v>46077.300196759257</c:v>
                </c:pt>
                <c:pt idx="315">
                  <c:v>46077.307708333334</c:v>
                </c:pt>
              </c:numCache>
            </c:numRef>
          </c:xVal>
          <c:yVal>
            <c:numRef>
              <c:f>データ!$Q$3:$Q$318</c:f>
              <c:numCache>
                <c:formatCode>[h]:mm</c:formatCode>
                <c:ptCount val="316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  <c:pt idx="254" formatCode="General">
                  <c:v>5.7291666671517305E-3</c:v>
                </c:pt>
                <c:pt idx="255" formatCode="General">
                  <c:v>#N/A</c:v>
                </c:pt>
                <c:pt idx="256" formatCode="General">
                  <c:v>4.4907407354912721E-3</c:v>
                </c:pt>
                <c:pt idx="257" formatCode="General">
                  <c:v>7.3495370379532687E-3</c:v>
                </c:pt>
                <c:pt idx="258" formatCode="General">
                  <c:v>5.9490740750334226E-3</c:v>
                </c:pt>
                <c:pt idx="259" formatCode="General">
                  <c:v>6.5856481451191939E-3</c:v>
                </c:pt>
                <c:pt idx="260" formatCode="General">
                  <c:v>7.2337962919846177E-3</c:v>
                </c:pt>
                <c:pt idx="261" formatCode="General">
                  <c:v>1.0648148148902692E-2</c:v>
                </c:pt>
                <c:pt idx="262" formatCode="General">
                  <c:v>9.1203703705104999E-3</c:v>
                </c:pt>
                <c:pt idx="263" formatCode="General">
                  <c:v>5.173611112695653E-3</c:v>
                </c:pt>
                <c:pt idx="264" formatCode="General">
                  <c:v>9.4675925938645378E-3</c:v>
                </c:pt>
                <c:pt idx="265" formatCode="General">
                  <c:v>8.1134259307873435E-3</c:v>
                </c:pt>
                <c:pt idx="266" formatCode="General">
                  <c:v>1.0937499995634425E-2</c:v>
                </c:pt>
                <c:pt idx="267" formatCode="General">
                  <c:v>5.6828703745850362E-3</c:v>
                </c:pt>
                <c:pt idx="268" formatCode="General">
                  <c:v>7.6851851845276542E-3</c:v>
                </c:pt>
                <c:pt idx="269" formatCode="General">
                  <c:v>6.6666666680248454E-3</c:v>
                </c:pt>
                <c:pt idx="270" formatCode="General">
                  <c:v>8.9236111161881126E-3</c:v>
                </c:pt>
                <c:pt idx="271" formatCode="General">
                  <c:v>6.7245370373711921E-3</c:v>
                </c:pt>
                <c:pt idx="272" formatCode="General">
                  <c:v>#N/A</c:v>
                </c:pt>
                <c:pt idx="273" formatCode="General">
                  <c:v>4.7916666735545732E-3</c:v>
                </c:pt>
                <c:pt idx="274" formatCode="General">
                  <c:v>3.8888888884685002E-3</c:v>
                </c:pt>
                <c:pt idx="275" formatCode="General">
                  <c:v>9.9652777789742686E-3</c:v>
                </c:pt>
                <c:pt idx="276" formatCode="General">
                  <c:v>8.7384259313694201E-3</c:v>
                </c:pt>
                <c:pt idx="277" formatCode="General">
                  <c:v>5.7175925903720781E-3</c:v>
                </c:pt>
                <c:pt idx="278" formatCode="General">
                  <c:v>1.1863425927003846E-2</c:v>
                </c:pt>
                <c:pt idx="279" formatCode="General">
                  <c:v>1.0497685187146999E-2</c:v>
                </c:pt>
                <c:pt idx="280" formatCode="General">
                  <c:v>4.9537037048139609E-3</c:v>
                </c:pt>
                <c:pt idx="281" formatCode="General">
                  <c:v>6.9907407378195785E-3</c:v>
                </c:pt>
                <c:pt idx="282" formatCode="General">
                  <c:v>4.8611111124046147E-3</c:v>
                </c:pt>
                <c:pt idx="283" formatCode="General">
                  <c:v>1.2199074073578231E-2</c:v>
                </c:pt>
                <c:pt idx="284" formatCode="General">
                  <c:v>8.1250000002910383E-3</c:v>
                </c:pt>
                <c:pt idx="285" formatCode="General">
                  <c:v>5.0810185202863067E-3</c:v>
                </c:pt>
                <c:pt idx="286" formatCode="General">
                  <c:v>1.003472221782431E-2</c:v>
                </c:pt>
                <c:pt idx="287" formatCode="General">
                  <c:v>5.6828703745850362E-3</c:v>
                </c:pt>
                <c:pt idx="288" formatCode="General">
                  <c:v>#N/A</c:v>
                </c:pt>
                <c:pt idx="289" formatCode="General">
                  <c:v>7.928240745968651E-3</c:v>
                </c:pt>
                <c:pt idx="290" formatCode="General">
                  <c:v>4.2476851813262329E-3</c:v>
                </c:pt>
                <c:pt idx="291" formatCode="General">
                  <c:v>6.7476851836545393E-3</c:v>
                </c:pt>
                <c:pt idx="292" formatCode="General">
                  <c:v>8.1712963001336902E-3</c:v>
                </c:pt>
                <c:pt idx="293" formatCode="General">
                  <c:v>4.4444444502005354E-3</c:v>
                </c:pt>
                <c:pt idx="294" formatCode="General">
                  <c:v>7.3148148148902692E-3</c:v>
                </c:pt>
                <c:pt idx="295" formatCode="General">
                  <c:v>6.0416666674427688E-3</c:v>
                </c:pt>
                <c:pt idx="296" formatCode="General">
                  <c:v>4.4212962966412306E-3</c:v>
                </c:pt>
                <c:pt idx="297" formatCode="General">
                  <c:v>8.2175925927003846E-3</c:v>
                </c:pt>
                <c:pt idx="298" formatCode="General">
                  <c:v>6.5393518525524996E-3</c:v>
                </c:pt>
                <c:pt idx="299" formatCode="General">
                  <c:v>6.9097222221898846E-3</c:v>
                </c:pt>
                <c:pt idx="300" formatCode="General">
                  <c:v>6.8287036992842332E-3</c:v>
                </c:pt>
                <c:pt idx="301" formatCode="General">
                  <c:v>8.0555555541650392E-3</c:v>
                </c:pt>
                <c:pt idx="302" formatCode="General">
                  <c:v>6.4930555527098477E-3</c:v>
                </c:pt>
                <c:pt idx="303" formatCode="General">
                  <c:v>5.3472222280106507E-3</c:v>
                </c:pt>
                <c:pt idx="304" formatCode="General">
                  <c:v>8.4606481468654238E-3</c:v>
                </c:pt>
                <c:pt idx="305" formatCode="General">
                  <c:v>5.2546296356013045E-3</c:v>
                </c:pt>
                <c:pt idx="306" formatCode="General">
                  <c:v>5.8912036984111182E-3</c:v>
                </c:pt>
                <c:pt idx="307" formatCode="General">
                  <c:v>6.2152777754818089E-3</c:v>
                </c:pt>
                <c:pt idx="308" formatCode="General">
                  <c:v>9.1203703705104999E-3</c:v>
                </c:pt>
                <c:pt idx="309" formatCode="General">
                  <c:v>6.2615740753244609E-3</c:v>
                </c:pt>
                <c:pt idx="310" formatCode="General">
                  <c:v>8.2175925927003846E-3</c:v>
                </c:pt>
                <c:pt idx="311" formatCode="General">
                  <c:v>1.6284722216369119E-2</c:v>
                </c:pt>
                <c:pt idx="312" formatCode="General">
                  <c:v>6.5509259220561944E-3</c:v>
                </c:pt>
                <c:pt idx="313" formatCode="General">
                  <c:v>5.428240736364387E-3</c:v>
                </c:pt>
                <c:pt idx="314" formatCode="General">
                  <c:v>4.4907407354912721E-3</c:v>
                </c:pt>
                <c:pt idx="315" formatCode="General">
                  <c:v>6.921296298969537E-3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11-4FCB-A4FB-683D846A6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1518064"/>
        <c:axId val="1971538224"/>
      </c:scatterChart>
      <c:valAx>
        <c:axId val="1971461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71486384"/>
        <c:crosses val="autoZero"/>
        <c:crossBetween val="midCat"/>
      </c:valAx>
      <c:valAx>
        <c:axId val="197148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71461904"/>
        <c:crosses val="autoZero"/>
        <c:crossBetween val="midCat"/>
      </c:valAx>
      <c:valAx>
        <c:axId val="1971538224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71518064"/>
        <c:crosses val="max"/>
        <c:crossBetween val="midCat"/>
      </c:valAx>
      <c:valAx>
        <c:axId val="1971518064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7153822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211931</xdr:colOff>
      <xdr:row>0</xdr:row>
      <xdr:rowOff>178594</xdr:rowOff>
    </xdr:from>
    <xdr:to>
      <xdr:col>10</xdr:col>
      <xdr:colOff>211931</xdr:colOff>
      <xdr:row>3</xdr:row>
      <xdr:rowOff>178593</xdr:rowOff>
    </xdr:to>
    <xdr:cxnSp macro="">
      <xdr:nvCxnSpPr>
        <xdr:cNvPr id="1042" name="Match0">
          <a:extLst>
            <a:ext uri="{FF2B5EF4-FFF2-40B4-BE49-F238E27FC236}">
              <a16:creationId xmlns:a16="http://schemas.microsoft.com/office/drawing/2014/main" id="{94A4E05B-5C8D-D985-7556-6379FB938D06}"/>
            </a:ext>
          </a:extLst>
        </xdr:cNvPr>
        <xdr:cNvCxnSpPr/>
      </xdr:nvCxnSpPr>
      <xdr:spPr>
        <a:xfrm flipV="1">
          <a:off x="3178969" y="178594"/>
          <a:ext cx="1271587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5</xdr:row>
      <xdr:rowOff>178593</xdr:rowOff>
    </xdr:from>
    <xdr:to>
      <xdr:col>10</xdr:col>
      <xdr:colOff>211931</xdr:colOff>
      <xdr:row>9</xdr:row>
      <xdr:rowOff>178593</xdr:rowOff>
    </xdr:to>
    <xdr:cxnSp macro="">
      <xdr:nvCxnSpPr>
        <xdr:cNvPr id="1043" name="Match1">
          <a:extLst>
            <a:ext uri="{FF2B5EF4-FFF2-40B4-BE49-F238E27FC236}">
              <a16:creationId xmlns:a16="http://schemas.microsoft.com/office/drawing/2014/main" id="{E99CCCC0-6581-C8E6-C966-B930B49BC8C9}"/>
            </a:ext>
          </a:extLst>
        </xdr:cNvPr>
        <xdr:cNvCxnSpPr/>
      </xdr:nvCxnSpPr>
      <xdr:spPr>
        <a:xfrm flipV="1">
          <a:off x="4450556" y="1964531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0</xdr:col>
      <xdr:colOff>211931</xdr:colOff>
      <xdr:row>11</xdr:row>
      <xdr:rowOff>178593</xdr:rowOff>
    </xdr:to>
    <xdr:cxnSp macro="">
      <xdr:nvCxnSpPr>
        <xdr:cNvPr id="1044" name="Match2">
          <a:extLst>
            <a:ext uri="{FF2B5EF4-FFF2-40B4-BE49-F238E27FC236}">
              <a16:creationId xmlns:a16="http://schemas.microsoft.com/office/drawing/2014/main" id="{F76DC0AA-68F1-5DAC-7C96-DA7253CA9CBF}"/>
            </a:ext>
          </a:extLst>
        </xdr:cNvPr>
        <xdr:cNvCxnSpPr/>
      </xdr:nvCxnSpPr>
      <xdr:spPr>
        <a:xfrm flipV="1">
          <a:off x="211931" y="2678906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4</xdr:col>
      <xdr:colOff>211931</xdr:colOff>
      <xdr:row>7</xdr:row>
      <xdr:rowOff>178593</xdr:rowOff>
    </xdr:to>
    <xdr:cxnSp macro="">
      <xdr:nvCxnSpPr>
        <xdr:cNvPr id="1045" name="Match3">
          <a:extLst>
            <a:ext uri="{FF2B5EF4-FFF2-40B4-BE49-F238E27FC236}">
              <a16:creationId xmlns:a16="http://schemas.microsoft.com/office/drawing/2014/main" id="{AEFBDDD4-1E24-4B67-6DA4-AD7667C5D343}"/>
            </a:ext>
          </a:extLst>
        </xdr:cNvPr>
        <xdr:cNvCxnSpPr/>
      </xdr:nvCxnSpPr>
      <xdr:spPr>
        <a:xfrm flipH="1" flipV="1">
          <a:off x="1059656" y="196453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9</xdr:row>
      <xdr:rowOff>178593</xdr:rowOff>
    </xdr:from>
    <xdr:to>
      <xdr:col>3</xdr:col>
      <xdr:colOff>211931</xdr:colOff>
      <xdr:row>9</xdr:row>
      <xdr:rowOff>178593</xdr:rowOff>
    </xdr:to>
    <xdr:cxnSp macro="">
      <xdr:nvCxnSpPr>
        <xdr:cNvPr id="1046" name="Match4">
          <a:extLst>
            <a:ext uri="{FF2B5EF4-FFF2-40B4-BE49-F238E27FC236}">
              <a16:creationId xmlns:a16="http://schemas.microsoft.com/office/drawing/2014/main" id="{F9A6DA71-5902-0D28-4EFB-32039DAEC770}"/>
            </a:ext>
          </a:extLst>
        </xdr:cNvPr>
        <xdr:cNvCxnSpPr/>
      </xdr:nvCxnSpPr>
      <xdr:spPr>
        <a:xfrm flipH="1">
          <a:off x="635794" y="339328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4</xdr:col>
      <xdr:colOff>211931</xdr:colOff>
      <xdr:row>6</xdr:row>
      <xdr:rowOff>178594</xdr:rowOff>
    </xdr:to>
    <xdr:cxnSp macro="">
      <xdr:nvCxnSpPr>
        <xdr:cNvPr id="1047" name="Match5">
          <a:extLst>
            <a:ext uri="{FF2B5EF4-FFF2-40B4-BE49-F238E27FC236}">
              <a16:creationId xmlns:a16="http://schemas.microsoft.com/office/drawing/2014/main" id="{A1E470F1-DFE3-A8C9-4A94-CAFC6D95356B}"/>
            </a:ext>
          </a:extLst>
        </xdr:cNvPr>
        <xdr:cNvCxnSpPr/>
      </xdr:nvCxnSpPr>
      <xdr:spPr>
        <a:xfrm flipH="1" flipV="1">
          <a:off x="211931" y="892969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8</xdr:row>
      <xdr:rowOff>178594</xdr:rowOff>
    </xdr:from>
    <xdr:to>
      <xdr:col>8</xdr:col>
      <xdr:colOff>211931</xdr:colOff>
      <xdr:row>11</xdr:row>
      <xdr:rowOff>178593</xdr:rowOff>
    </xdr:to>
    <xdr:cxnSp macro="">
      <xdr:nvCxnSpPr>
        <xdr:cNvPr id="1048" name="Match6">
          <a:extLst>
            <a:ext uri="{FF2B5EF4-FFF2-40B4-BE49-F238E27FC236}">
              <a16:creationId xmlns:a16="http://schemas.microsoft.com/office/drawing/2014/main" id="{E1C03949-5FE5-03EF-9805-A90887C8307B}"/>
            </a:ext>
          </a:extLst>
        </xdr:cNvPr>
        <xdr:cNvCxnSpPr/>
      </xdr:nvCxnSpPr>
      <xdr:spPr>
        <a:xfrm>
          <a:off x="2331244" y="3036094"/>
          <a:ext cx="1271587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2</xdr:row>
      <xdr:rowOff>178594</xdr:rowOff>
    </xdr:from>
    <xdr:to>
      <xdr:col>7</xdr:col>
      <xdr:colOff>211931</xdr:colOff>
      <xdr:row>2</xdr:row>
      <xdr:rowOff>178594</xdr:rowOff>
    </xdr:to>
    <xdr:cxnSp macro="">
      <xdr:nvCxnSpPr>
        <xdr:cNvPr id="1922" name="Match7">
          <a:extLst>
            <a:ext uri="{FF2B5EF4-FFF2-40B4-BE49-F238E27FC236}">
              <a16:creationId xmlns:a16="http://schemas.microsoft.com/office/drawing/2014/main" id="{EDC13E5B-055C-D0A6-E036-2CD384106167}"/>
            </a:ext>
          </a:extLst>
        </xdr:cNvPr>
        <xdr:cNvCxnSpPr/>
      </xdr:nvCxnSpPr>
      <xdr:spPr>
        <a:xfrm flipH="1">
          <a:off x="2755106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3</xdr:col>
      <xdr:colOff>211931</xdr:colOff>
      <xdr:row>6</xdr:row>
      <xdr:rowOff>178594</xdr:rowOff>
    </xdr:to>
    <xdr:cxnSp macro="">
      <xdr:nvCxnSpPr>
        <xdr:cNvPr id="1923" name="Match8">
          <a:extLst>
            <a:ext uri="{FF2B5EF4-FFF2-40B4-BE49-F238E27FC236}">
              <a16:creationId xmlns:a16="http://schemas.microsoft.com/office/drawing/2014/main" id="{756D18F7-EFDC-0AC1-EBA7-86CE1B7D1A23}"/>
            </a:ext>
          </a:extLst>
        </xdr:cNvPr>
        <xdr:cNvCxnSpPr/>
      </xdr:nvCxnSpPr>
      <xdr:spPr>
        <a:xfrm flipV="1">
          <a:off x="1059656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5</xdr:row>
      <xdr:rowOff>178593</xdr:rowOff>
    </xdr:from>
    <xdr:to>
      <xdr:col>7</xdr:col>
      <xdr:colOff>211931</xdr:colOff>
      <xdr:row>6</xdr:row>
      <xdr:rowOff>178594</xdr:rowOff>
    </xdr:to>
    <xdr:cxnSp macro="">
      <xdr:nvCxnSpPr>
        <xdr:cNvPr id="1924" name="Match9">
          <a:extLst>
            <a:ext uri="{FF2B5EF4-FFF2-40B4-BE49-F238E27FC236}">
              <a16:creationId xmlns:a16="http://schemas.microsoft.com/office/drawing/2014/main" id="{0D738B6A-DC2A-2848-4B98-32E2345751E1}"/>
            </a:ext>
          </a:extLst>
        </xdr:cNvPr>
        <xdr:cNvCxnSpPr/>
      </xdr:nvCxnSpPr>
      <xdr:spPr>
        <a:xfrm flipV="1">
          <a:off x="2755106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11</xdr:row>
      <xdr:rowOff>178593</xdr:rowOff>
    </xdr:from>
    <xdr:to>
      <xdr:col>8</xdr:col>
      <xdr:colOff>211931</xdr:colOff>
      <xdr:row>11</xdr:row>
      <xdr:rowOff>178593</xdr:rowOff>
    </xdr:to>
    <xdr:cxnSp macro="">
      <xdr:nvCxnSpPr>
        <xdr:cNvPr id="1925" name="Match10">
          <a:extLst>
            <a:ext uri="{FF2B5EF4-FFF2-40B4-BE49-F238E27FC236}">
              <a16:creationId xmlns:a16="http://schemas.microsoft.com/office/drawing/2014/main" id="{892D2255-4608-B8C4-6BBA-9DB16ACDD0D3}"/>
            </a:ext>
          </a:extLst>
        </xdr:cNvPr>
        <xdr:cNvCxnSpPr/>
      </xdr:nvCxnSpPr>
      <xdr:spPr>
        <a:xfrm>
          <a:off x="3178969" y="41076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10</xdr:row>
      <xdr:rowOff>203994</xdr:rowOff>
    </xdr:from>
    <xdr:to>
      <xdr:col>8</xdr:col>
      <xdr:colOff>237331</xdr:colOff>
      <xdr:row>11</xdr:row>
      <xdr:rowOff>203993</xdr:rowOff>
    </xdr:to>
    <xdr:cxnSp macro="">
      <xdr:nvCxnSpPr>
        <xdr:cNvPr id="1926" name="Match11">
          <a:extLst>
            <a:ext uri="{FF2B5EF4-FFF2-40B4-BE49-F238E27FC236}">
              <a16:creationId xmlns:a16="http://schemas.microsoft.com/office/drawing/2014/main" id="{0A13C1AD-45DB-D5E7-271E-FCD44C2A0092}"/>
            </a:ext>
          </a:extLst>
        </xdr:cNvPr>
        <xdr:cNvCxnSpPr/>
      </xdr:nvCxnSpPr>
      <xdr:spPr>
        <a:xfrm flipV="1">
          <a:off x="3204369" y="37758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5</xdr:col>
      <xdr:colOff>211931</xdr:colOff>
      <xdr:row>1</xdr:row>
      <xdr:rowOff>178593</xdr:rowOff>
    </xdr:to>
    <xdr:cxnSp macro="">
      <xdr:nvCxnSpPr>
        <xdr:cNvPr id="1927" name="Match12">
          <a:extLst>
            <a:ext uri="{FF2B5EF4-FFF2-40B4-BE49-F238E27FC236}">
              <a16:creationId xmlns:a16="http://schemas.microsoft.com/office/drawing/2014/main" id="{BCE7F450-D860-9B7A-B2BF-265965E3495A}"/>
            </a:ext>
          </a:extLst>
        </xdr:cNvPr>
        <xdr:cNvCxnSpPr/>
      </xdr:nvCxnSpPr>
      <xdr:spPr>
        <a:xfrm>
          <a:off x="190738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6</xdr:col>
      <xdr:colOff>211931</xdr:colOff>
      <xdr:row>2</xdr:row>
      <xdr:rowOff>178594</xdr:rowOff>
    </xdr:to>
    <xdr:cxnSp macro="">
      <xdr:nvCxnSpPr>
        <xdr:cNvPr id="1928" name="Match13">
          <a:extLst>
            <a:ext uri="{FF2B5EF4-FFF2-40B4-BE49-F238E27FC236}">
              <a16:creationId xmlns:a16="http://schemas.microsoft.com/office/drawing/2014/main" id="{CB08C2A7-539A-529B-B71A-E590A045CE0C}"/>
            </a:ext>
          </a:extLst>
        </xdr:cNvPr>
        <xdr:cNvCxnSpPr/>
      </xdr:nvCxnSpPr>
      <xdr:spPr>
        <a:xfrm flipH="1" flipV="1">
          <a:off x="233124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1</xdr:row>
      <xdr:rowOff>203993</xdr:rowOff>
    </xdr:from>
    <xdr:to>
      <xdr:col>7</xdr:col>
      <xdr:colOff>237331</xdr:colOff>
      <xdr:row>2</xdr:row>
      <xdr:rowOff>203994</xdr:rowOff>
    </xdr:to>
    <xdr:cxnSp macro="">
      <xdr:nvCxnSpPr>
        <xdr:cNvPr id="1929" name="Match14">
          <a:extLst>
            <a:ext uri="{FF2B5EF4-FFF2-40B4-BE49-F238E27FC236}">
              <a16:creationId xmlns:a16="http://schemas.microsoft.com/office/drawing/2014/main" id="{88236FE3-6359-7C47-825D-F7BA6399FE62}"/>
            </a:ext>
          </a:extLst>
        </xdr:cNvPr>
        <xdr:cNvCxnSpPr/>
      </xdr:nvCxnSpPr>
      <xdr:spPr>
        <a:xfrm flipV="1">
          <a:off x="2780506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4</xdr:col>
      <xdr:colOff>211931</xdr:colOff>
      <xdr:row>5</xdr:row>
      <xdr:rowOff>178593</xdr:rowOff>
    </xdr:to>
    <xdr:cxnSp macro="">
      <xdr:nvCxnSpPr>
        <xdr:cNvPr id="1930" name="Match15">
          <a:extLst>
            <a:ext uri="{FF2B5EF4-FFF2-40B4-BE49-F238E27FC236}">
              <a16:creationId xmlns:a16="http://schemas.microsoft.com/office/drawing/2014/main" id="{B5492CD7-CB08-52DD-21AC-04B34A5125AE}"/>
            </a:ext>
          </a:extLst>
        </xdr:cNvPr>
        <xdr:cNvCxnSpPr/>
      </xdr:nvCxnSpPr>
      <xdr:spPr>
        <a:xfrm>
          <a:off x="1483519" y="196453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5</xdr:row>
      <xdr:rowOff>203993</xdr:rowOff>
    </xdr:from>
    <xdr:to>
      <xdr:col>3</xdr:col>
      <xdr:colOff>237331</xdr:colOff>
      <xdr:row>5</xdr:row>
      <xdr:rowOff>203993</xdr:rowOff>
    </xdr:to>
    <xdr:cxnSp macro="">
      <xdr:nvCxnSpPr>
        <xdr:cNvPr id="1931" name="Match16">
          <a:extLst>
            <a:ext uri="{FF2B5EF4-FFF2-40B4-BE49-F238E27FC236}">
              <a16:creationId xmlns:a16="http://schemas.microsoft.com/office/drawing/2014/main" id="{C8CBC865-2A32-F41C-BED1-1870B633EFF0}"/>
            </a:ext>
          </a:extLst>
        </xdr:cNvPr>
        <xdr:cNvCxnSpPr/>
      </xdr:nvCxnSpPr>
      <xdr:spPr>
        <a:xfrm flipH="1">
          <a:off x="1085056" y="1989931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4</xdr:row>
      <xdr:rowOff>229394</xdr:rowOff>
    </xdr:from>
    <xdr:to>
      <xdr:col>4</xdr:col>
      <xdr:colOff>262731</xdr:colOff>
      <xdr:row>5</xdr:row>
      <xdr:rowOff>229393</xdr:rowOff>
    </xdr:to>
    <xdr:cxnSp macro="">
      <xdr:nvCxnSpPr>
        <xdr:cNvPr id="1932" name="Match17">
          <a:extLst>
            <a:ext uri="{FF2B5EF4-FFF2-40B4-BE49-F238E27FC236}">
              <a16:creationId xmlns:a16="http://schemas.microsoft.com/office/drawing/2014/main" id="{8C304E36-4217-5FFD-A324-2269485A50F6}"/>
            </a:ext>
          </a:extLst>
        </xdr:cNvPr>
        <xdr:cNvCxnSpPr/>
      </xdr:nvCxnSpPr>
      <xdr:spPr>
        <a:xfrm flipV="1">
          <a:off x="1534319" y="1658144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8</xdr:row>
      <xdr:rowOff>178594</xdr:rowOff>
    </xdr:from>
    <xdr:to>
      <xdr:col>7</xdr:col>
      <xdr:colOff>211931</xdr:colOff>
      <xdr:row>8</xdr:row>
      <xdr:rowOff>178594</xdr:rowOff>
    </xdr:to>
    <xdr:cxnSp macro="">
      <xdr:nvCxnSpPr>
        <xdr:cNvPr id="1933" name="Match18">
          <a:extLst>
            <a:ext uri="{FF2B5EF4-FFF2-40B4-BE49-F238E27FC236}">
              <a16:creationId xmlns:a16="http://schemas.microsoft.com/office/drawing/2014/main" id="{9D00A276-B0B0-2C4E-01A7-19DA8C3A0348}"/>
            </a:ext>
          </a:extLst>
        </xdr:cNvPr>
        <xdr:cNvCxnSpPr/>
      </xdr:nvCxnSpPr>
      <xdr:spPr>
        <a:xfrm>
          <a:off x="2755106" y="30360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8</xdr:row>
      <xdr:rowOff>203994</xdr:rowOff>
    </xdr:from>
    <xdr:to>
      <xdr:col>7</xdr:col>
      <xdr:colOff>237331</xdr:colOff>
      <xdr:row>9</xdr:row>
      <xdr:rowOff>203993</xdr:rowOff>
    </xdr:to>
    <xdr:cxnSp macro="">
      <xdr:nvCxnSpPr>
        <xdr:cNvPr id="1934" name="Match19">
          <a:extLst>
            <a:ext uri="{FF2B5EF4-FFF2-40B4-BE49-F238E27FC236}">
              <a16:creationId xmlns:a16="http://schemas.microsoft.com/office/drawing/2014/main" id="{295FACBA-F163-A4FB-B382-6ABAD8422233}"/>
            </a:ext>
          </a:extLst>
        </xdr:cNvPr>
        <xdr:cNvCxnSpPr/>
      </xdr:nvCxnSpPr>
      <xdr:spPr>
        <a:xfrm>
          <a:off x="2780506" y="30614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10</xdr:row>
      <xdr:rowOff>178594</xdr:rowOff>
    </xdr:from>
    <xdr:to>
      <xdr:col>4</xdr:col>
      <xdr:colOff>211931</xdr:colOff>
      <xdr:row>11</xdr:row>
      <xdr:rowOff>178593</xdr:rowOff>
    </xdr:to>
    <xdr:cxnSp macro="">
      <xdr:nvCxnSpPr>
        <xdr:cNvPr id="1935" name="Match20">
          <a:extLst>
            <a:ext uri="{FF2B5EF4-FFF2-40B4-BE49-F238E27FC236}">
              <a16:creationId xmlns:a16="http://schemas.microsoft.com/office/drawing/2014/main" id="{F23E41E1-2C03-9617-DD75-B0EF0242CD72}"/>
            </a:ext>
          </a:extLst>
        </xdr:cNvPr>
        <xdr:cNvCxnSpPr/>
      </xdr:nvCxnSpPr>
      <xdr:spPr>
        <a:xfrm>
          <a:off x="1483519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10</xdr:row>
      <xdr:rowOff>203994</xdr:rowOff>
    </xdr:from>
    <xdr:to>
      <xdr:col>3</xdr:col>
      <xdr:colOff>237331</xdr:colOff>
      <xdr:row>10</xdr:row>
      <xdr:rowOff>203994</xdr:rowOff>
    </xdr:to>
    <xdr:cxnSp macro="">
      <xdr:nvCxnSpPr>
        <xdr:cNvPr id="1936" name="Match21">
          <a:extLst>
            <a:ext uri="{FF2B5EF4-FFF2-40B4-BE49-F238E27FC236}">
              <a16:creationId xmlns:a16="http://schemas.microsoft.com/office/drawing/2014/main" id="{168A1285-FB80-CFFA-2FBE-CB6B447E8AE4}"/>
            </a:ext>
          </a:extLst>
        </xdr:cNvPr>
        <xdr:cNvCxnSpPr/>
      </xdr:nvCxnSpPr>
      <xdr:spPr>
        <a:xfrm flipH="1">
          <a:off x="1085056" y="3775869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10</xdr:row>
      <xdr:rowOff>178594</xdr:rowOff>
    </xdr:from>
    <xdr:to>
      <xdr:col>9</xdr:col>
      <xdr:colOff>211931</xdr:colOff>
      <xdr:row>10</xdr:row>
      <xdr:rowOff>178594</xdr:rowOff>
    </xdr:to>
    <xdr:cxnSp macro="">
      <xdr:nvCxnSpPr>
        <xdr:cNvPr id="1937" name="Match22">
          <a:extLst>
            <a:ext uri="{FF2B5EF4-FFF2-40B4-BE49-F238E27FC236}">
              <a16:creationId xmlns:a16="http://schemas.microsoft.com/office/drawing/2014/main" id="{19DF34A8-C8F1-3AB4-FDE7-1AE0720AAE8E}"/>
            </a:ext>
          </a:extLst>
        </xdr:cNvPr>
        <xdr:cNvCxnSpPr/>
      </xdr:nvCxnSpPr>
      <xdr:spPr>
        <a:xfrm>
          <a:off x="3602831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9</xdr:row>
      <xdr:rowOff>203993</xdr:rowOff>
    </xdr:from>
    <xdr:to>
      <xdr:col>8</xdr:col>
      <xdr:colOff>237331</xdr:colOff>
      <xdr:row>10</xdr:row>
      <xdr:rowOff>203994</xdr:rowOff>
    </xdr:to>
    <xdr:cxnSp macro="">
      <xdr:nvCxnSpPr>
        <xdr:cNvPr id="1938" name="Match23">
          <a:extLst>
            <a:ext uri="{FF2B5EF4-FFF2-40B4-BE49-F238E27FC236}">
              <a16:creationId xmlns:a16="http://schemas.microsoft.com/office/drawing/2014/main" id="{8EF891E5-5A2A-3D97-E1F9-6E5F93CCD417}"/>
            </a:ext>
          </a:extLst>
        </xdr:cNvPr>
        <xdr:cNvCxnSpPr/>
      </xdr:nvCxnSpPr>
      <xdr:spPr>
        <a:xfrm flipH="1" flipV="1">
          <a:off x="3204369" y="34186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10</xdr:row>
      <xdr:rowOff>178594</xdr:rowOff>
    </xdr:from>
    <xdr:to>
      <xdr:col>9</xdr:col>
      <xdr:colOff>211931</xdr:colOff>
      <xdr:row>11</xdr:row>
      <xdr:rowOff>178593</xdr:rowOff>
    </xdr:to>
    <xdr:cxnSp macro="">
      <xdr:nvCxnSpPr>
        <xdr:cNvPr id="1939" name="Match24">
          <a:extLst>
            <a:ext uri="{FF2B5EF4-FFF2-40B4-BE49-F238E27FC236}">
              <a16:creationId xmlns:a16="http://schemas.microsoft.com/office/drawing/2014/main" id="{9F14459F-0C8A-9273-91C4-8CE1C76CADF9}"/>
            </a:ext>
          </a:extLst>
        </xdr:cNvPr>
        <xdr:cNvCxnSpPr/>
      </xdr:nvCxnSpPr>
      <xdr:spPr>
        <a:xfrm flipV="1">
          <a:off x="360283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5</xdr:col>
      <xdr:colOff>211931</xdr:colOff>
      <xdr:row>4</xdr:row>
      <xdr:rowOff>178594</xdr:rowOff>
    </xdr:to>
    <xdr:cxnSp macro="">
      <xdr:nvCxnSpPr>
        <xdr:cNvPr id="1940" name="Match25">
          <a:extLst>
            <a:ext uri="{FF2B5EF4-FFF2-40B4-BE49-F238E27FC236}">
              <a16:creationId xmlns:a16="http://schemas.microsoft.com/office/drawing/2014/main" id="{4A07C40A-36C1-3AB8-5ACA-3477E07CE342}"/>
            </a:ext>
          </a:extLst>
        </xdr:cNvPr>
        <xdr:cNvCxnSpPr/>
      </xdr:nvCxnSpPr>
      <xdr:spPr>
        <a:xfrm>
          <a:off x="2331244" y="892969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7</xdr:row>
      <xdr:rowOff>178593</xdr:rowOff>
    </xdr:from>
    <xdr:to>
      <xdr:col>8</xdr:col>
      <xdr:colOff>211931</xdr:colOff>
      <xdr:row>7</xdr:row>
      <xdr:rowOff>178593</xdr:rowOff>
    </xdr:to>
    <xdr:cxnSp macro="">
      <xdr:nvCxnSpPr>
        <xdr:cNvPr id="1941" name="Match26">
          <a:extLst>
            <a:ext uri="{FF2B5EF4-FFF2-40B4-BE49-F238E27FC236}">
              <a16:creationId xmlns:a16="http://schemas.microsoft.com/office/drawing/2014/main" id="{FF47ACEB-6446-2910-B95F-B50AF84E797B}"/>
            </a:ext>
          </a:extLst>
        </xdr:cNvPr>
        <xdr:cNvCxnSpPr/>
      </xdr:nvCxnSpPr>
      <xdr:spPr>
        <a:xfrm>
          <a:off x="2755106" y="2678906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7</xdr:row>
      <xdr:rowOff>203993</xdr:rowOff>
    </xdr:from>
    <xdr:to>
      <xdr:col>6</xdr:col>
      <xdr:colOff>237331</xdr:colOff>
      <xdr:row>9</xdr:row>
      <xdr:rowOff>203993</xdr:rowOff>
    </xdr:to>
    <xdr:cxnSp macro="">
      <xdr:nvCxnSpPr>
        <xdr:cNvPr id="1942" name="Match27">
          <a:extLst>
            <a:ext uri="{FF2B5EF4-FFF2-40B4-BE49-F238E27FC236}">
              <a16:creationId xmlns:a16="http://schemas.microsoft.com/office/drawing/2014/main" id="{4ABA02D2-AF84-50A9-1A5D-D09C9138961D}"/>
            </a:ext>
          </a:extLst>
        </xdr:cNvPr>
        <xdr:cNvCxnSpPr/>
      </xdr:nvCxnSpPr>
      <xdr:spPr>
        <a:xfrm flipH="1">
          <a:off x="1932781" y="2704306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4</xdr:row>
      <xdr:rowOff>178594</xdr:rowOff>
    </xdr:from>
    <xdr:to>
      <xdr:col>10</xdr:col>
      <xdr:colOff>211931</xdr:colOff>
      <xdr:row>10</xdr:row>
      <xdr:rowOff>178594</xdr:rowOff>
    </xdr:to>
    <xdr:cxnSp macro="">
      <xdr:nvCxnSpPr>
        <xdr:cNvPr id="1943" name="Match28">
          <a:extLst>
            <a:ext uri="{FF2B5EF4-FFF2-40B4-BE49-F238E27FC236}">
              <a16:creationId xmlns:a16="http://schemas.microsoft.com/office/drawing/2014/main" id="{8965A2C5-6F28-20CF-18E2-4AC6E35A4980}"/>
            </a:ext>
          </a:extLst>
        </xdr:cNvPr>
        <xdr:cNvCxnSpPr/>
      </xdr:nvCxnSpPr>
      <xdr:spPr>
        <a:xfrm>
          <a:off x="1907381" y="1607344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1</xdr:col>
      <xdr:colOff>211931</xdr:colOff>
      <xdr:row>1</xdr:row>
      <xdr:rowOff>178593</xdr:rowOff>
    </xdr:to>
    <xdr:cxnSp macro="">
      <xdr:nvCxnSpPr>
        <xdr:cNvPr id="1944" name="Match29">
          <a:extLst>
            <a:ext uri="{FF2B5EF4-FFF2-40B4-BE49-F238E27FC236}">
              <a16:creationId xmlns:a16="http://schemas.microsoft.com/office/drawing/2014/main" id="{BA70B7F3-DA17-3A00-3408-6C2AB600BD52}"/>
            </a:ext>
          </a:extLst>
        </xdr:cNvPr>
        <xdr:cNvCxnSpPr/>
      </xdr:nvCxnSpPr>
      <xdr:spPr>
        <a:xfrm flipH="1">
          <a:off x="21193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1</xdr:row>
      <xdr:rowOff>203993</xdr:rowOff>
    </xdr:from>
    <xdr:to>
      <xdr:col>5</xdr:col>
      <xdr:colOff>237331</xdr:colOff>
      <xdr:row>2</xdr:row>
      <xdr:rowOff>203994</xdr:rowOff>
    </xdr:to>
    <xdr:cxnSp macro="">
      <xdr:nvCxnSpPr>
        <xdr:cNvPr id="1945" name="Match30">
          <a:extLst>
            <a:ext uri="{FF2B5EF4-FFF2-40B4-BE49-F238E27FC236}">
              <a16:creationId xmlns:a16="http://schemas.microsoft.com/office/drawing/2014/main" id="{22BDAEDA-F9EE-C423-9797-A15362AE7252}"/>
            </a:ext>
          </a:extLst>
        </xdr:cNvPr>
        <xdr:cNvCxnSpPr/>
      </xdr:nvCxnSpPr>
      <xdr:spPr>
        <a:xfrm flipH="1" flipV="1">
          <a:off x="1932781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1</xdr:col>
      <xdr:colOff>211931</xdr:colOff>
      <xdr:row>3</xdr:row>
      <xdr:rowOff>178593</xdr:rowOff>
    </xdr:to>
    <xdr:cxnSp macro="">
      <xdr:nvCxnSpPr>
        <xdr:cNvPr id="1946" name="Match31">
          <a:extLst>
            <a:ext uri="{FF2B5EF4-FFF2-40B4-BE49-F238E27FC236}">
              <a16:creationId xmlns:a16="http://schemas.microsoft.com/office/drawing/2014/main" id="{44BAF289-769A-3255-7038-D7E682D887DB}"/>
            </a:ext>
          </a:extLst>
        </xdr:cNvPr>
        <xdr:cNvCxnSpPr/>
      </xdr:nvCxnSpPr>
      <xdr:spPr>
        <a:xfrm flipV="1">
          <a:off x="635794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3</xdr:row>
      <xdr:rowOff>178593</xdr:rowOff>
    </xdr:from>
    <xdr:to>
      <xdr:col>8</xdr:col>
      <xdr:colOff>211931</xdr:colOff>
      <xdr:row>4</xdr:row>
      <xdr:rowOff>178594</xdr:rowOff>
    </xdr:to>
    <xdr:cxnSp macro="">
      <xdr:nvCxnSpPr>
        <xdr:cNvPr id="1947" name="Match32">
          <a:extLst>
            <a:ext uri="{FF2B5EF4-FFF2-40B4-BE49-F238E27FC236}">
              <a16:creationId xmlns:a16="http://schemas.microsoft.com/office/drawing/2014/main" id="{29BEBC99-CABF-4BE6-A8F1-21622674D381}"/>
            </a:ext>
          </a:extLst>
        </xdr:cNvPr>
        <xdr:cNvCxnSpPr/>
      </xdr:nvCxnSpPr>
      <xdr:spPr>
        <a:xfrm>
          <a:off x="3602831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3</xdr:row>
      <xdr:rowOff>203993</xdr:rowOff>
    </xdr:from>
    <xdr:to>
      <xdr:col>8</xdr:col>
      <xdr:colOff>237331</xdr:colOff>
      <xdr:row>3</xdr:row>
      <xdr:rowOff>203993</xdr:rowOff>
    </xdr:to>
    <xdr:cxnSp macro="">
      <xdr:nvCxnSpPr>
        <xdr:cNvPr id="1948" name="Match33">
          <a:extLst>
            <a:ext uri="{FF2B5EF4-FFF2-40B4-BE49-F238E27FC236}">
              <a16:creationId xmlns:a16="http://schemas.microsoft.com/office/drawing/2014/main" id="{5FB56A7E-50CD-4EF0-92E2-28CCD1B03C3E}"/>
            </a:ext>
          </a:extLst>
        </xdr:cNvPr>
        <xdr:cNvCxnSpPr/>
      </xdr:nvCxnSpPr>
      <xdr:spPr>
        <a:xfrm flipH="1">
          <a:off x="3204369" y="1275556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4</xdr:row>
      <xdr:rowOff>178594</xdr:rowOff>
    </xdr:from>
    <xdr:to>
      <xdr:col>1</xdr:col>
      <xdr:colOff>211931</xdr:colOff>
      <xdr:row>5</xdr:row>
      <xdr:rowOff>178593</xdr:rowOff>
    </xdr:to>
    <xdr:cxnSp macro="">
      <xdr:nvCxnSpPr>
        <xdr:cNvPr id="1949" name="Match34">
          <a:extLst>
            <a:ext uri="{FF2B5EF4-FFF2-40B4-BE49-F238E27FC236}">
              <a16:creationId xmlns:a16="http://schemas.microsoft.com/office/drawing/2014/main" id="{FB951E94-C762-80C9-E2E1-9CC2D83C70CC}"/>
            </a:ext>
          </a:extLst>
        </xdr:cNvPr>
        <xdr:cNvCxnSpPr/>
      </xdr:nvCxnSpPr>
      <xdr:spPr>
        <a:xfrm>
          <a:off x="21193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5</xdr:row>
      <xdr:rowOff>203993</xdr:rowOff>
    </xdr:from>
    <xdr:to>
      <xdr:col>5</xdr:col>
      <xdr:colOff>237331</xdr:colOff>
      <xdr:row>6</xdr:row>
      <xdr:rowOff>203994</xdr:rowOff>
    </xdr:to>
    <xdr:cxnSp macro="">
      <xdr:nvCxnSpPr>
        <xdr:cNvPr id="1950" name="Match35">
          <a:extLst>
            <a:ext uri="{FF2B5EF4-FFF2-40B4-BE49-F238E27FC236}">
              <a16:creationId xmlns:a16="http://schemas.microsoft.com/office/drawing/2014/main" id="{03C066F5-B1FA-5122-A0C8-335FB2FCD085}"/>
            </a:ext>
          </a:extLst>
        </xdr:cNvPr>
        <xdr:cNvCxnSpPr/>
      </xdr:nvCxnSpPr>
      <xdr:spPr>
        <a:xfrm flipV="1">
          <a:off x="1932781" y="198993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6</xdr:row>
      <xdr:rowOff>229394</xdr:rowOff>
    </xdr:from>
    <xdr:to>
      <xdr:col>7</xdr:col>
      <xdr:colOff>262731</xdr:colOff>
      <xdr:row>7</xdr:row>
      <xdr:rowOff>229393</xdr:rowOff>
    </xdr:to>
    <xdr:cxnSp macro="">
      <xdr:nvCxnSpPr>
        <xdr:cNvPr id="1951" name="Match36">
          <a:extLst>
            <a:ext uri="{FF2B5EF4-FFF2-40B4-BE49-F238E27FC236}">
              <a16:creationId xmlns:a16="http://schemas.microsoft.com/office/drawing/2014/main" id="{0D825583-B95C-4F79-BD18-B4EAE117F403}"/>
            </a:ext>
          </a:extLst>
        </xdr:cNvPr>
        <xdr:cNvCxnSpPr/>
      </xdr:nvCxnSpPr>
      <xdr:spPr>
        <a:xfrm flipV="1">
          <a:off x="2805906" y="2372519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7</xdr:row>
      <xdr:rowOff>178593</xdr:rowOff>
    </xdr:from>
    <xdr:to>
      <xdr:col>10</xdr:col>
      <xdr:colOff>211931</xdr:colOff>
      <xdr:row>8</xdr:row>
      <xdr:rowOff>178594</xdr:rowOff>
    </xdr:to>
    <xdr:cxnSp macro="">
      <xdr:nvCxnSpPr>
        <xdr:cNvPr id="1952" name="Match37">
          <a:extLst>
            <a:ext uri="{FF2B5EF4-FFF2-40B4-BE49-F238E27FC236}">
              <a16:creationId xmlns:a16="http://schemas.microsoft.com/office/drawing/2014/main" id="{30B7A1C6-7CD6-EC9E-678F-0579C5D53BBD}"/>
            </a:ext>
          </a:extLst>
        </xdr:cNvPr>
        <xdr:cNvCxnSpPr/>
      </xdr:nvCxnSpPr>
      <xdr:spPr>
        <a:xfrm flipH="1" flipV="1">
          <a:off x="402669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9</xdr:row>
      <xdr:rowOff>178593</xdr:rowOff>
    </xdr:from>
    <xdr:to>
      <xdr:col>5</xdr:col>
      <xdr:colOff>211931</xdr:colOff>
      <xdr:row>10</xdr:row>
      <xdr:rowOff>178594</xdr:rowOff>
    </xdr:to>
    <xdr:cxnSp macro="">
      <xdr:nvCxnSpPr>
        <xdr:cNvPr id="1953" name="Match38">
          <a:extLst>
            <a:ext uri="{FF2B5EF4-FFF2-40B4-BE49-F238E27FC236}">
              <a16:creationId xmlns:a16="http://schemas.microsoft.com/office/drawing/2014/main" id="{190EC60F-E882-511A-1958-3584B17BB132}"/>
            </a:ext>
          </a:extLst>
        </xdr:cNvPr>
        <xdr:cNvCxnSpPr/>
      </xdr:nvCxnSpPr>
      <xdr:spPr>
        <a:xfrm>
          <a:off x="2331244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10</xdr:row>
      <xdr:rowOff>178594</xdr:rowOff>
    </xdr:from>
    <xdr:to>
      <xdr:col>5</xdr:col>
      <xdr:colOff>211931</xdr:colOff>
      <xdr:row>10</xdr:row>
      <xdr:rowOff>178594</xdr:rowOff>
    </xdr:to>
    <xdr:cxnSp macro="">
      <xdr:nvCxnSpPr>
        <xdr:cNvPr id="1954" name="Match39">
          <a:extLst>
            <a:ext uri="{FF2B5EF4-FFF2-40B4-BE49-F238E27FC236}">
              <a16:creationId xmlns:a16="http://schemas.microsoft.com/office/drawing/2014/main" id="{E1B8B1B1-D995-5DBF-E424-13EA00B5D3DD}"/>
            </a:ext>
          </a:extLst>
        </xdr:cNvPr>
        <xdr:cNvCxnSpPr/>
      </xdr:nvCxnSpPr>
      <xdr:spPr>
        <a:xfrm>
          <a:off x="1907381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10</xdr:row>
      <xdr:rowOff>178594</xdr:rowOff>
    </xdr:from>
    <xdr:to>
      <xdr:col>11</xdr:col>
      <xdr:colOff>211931</xdr:colOff>
      <xdr:row>11</xdr:row>
      <xdr:rowOff>178593</xdr:rowOff>
    </xdr:to>
    <xdr:cxnSp macro="">
      <xdr:nvCxnSpPr>
        <xdr:cNvPr id="1955" name="Match40">
          <a:extLst>
            <a:ext uri="{FF2B5EF4-FFF2-40B4-BE49-F238E27FC236}">
              <a16:creationId xmlns:a16="http://schemas.microsoft.com/office/drawing/2014/main" id="{2170AB2E-DF1B-BDBF-BA42-9C25E3105AAC}"/>
            </a:ext>
          </a:extLst>
        </xdr:cNvPr>
        <xdr:cNvCxnSpPr/>
      </xdr:nvCxnSpPr>
      <xdr:spPr>
        <a:xfrm flipH="1" flipV="1">
          <a:off x="445055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237331</xdr:colOff>
      <xdr:row>10</xdr:row>
      <xdr:rowOff>203994</xdr:rowOff>
    </xdr:from>
    <xdr:to>
      <xdr:col>11</xdr:col>
      <xdr:colOff>237331</xdr:colOff>
      <xdr:row>11</xdr:row>
      <xdr:rowOff>203993</xdr:rowOff>
    </xdr:to>
    <xdr:cxnSp macro="">
      <xdr:nvCxnSpPr>
        <xdr:cNvPr id="1956" name="Match41">
          <a:extLst>
            <a:ext uri="{FF2B5EF4-FFF2-40B4-BE49-F238E27FC236}">
              <a16:creationId xmlns:a16="http://schemas.microsoft.com/office/drawing/2014/main" id="{837CB118-2BDB-FE7E-E767-06302A73D703}"/>
            </a:ext>
          </a:extLst>
        </xdr:cNvPr>
        <xdr:cNvCxnSpPr/>
      </xdr:nvCxnSpPr>
      <xdr:spPr>
        <a:xfrm flipV="1">
          <a:off x="4899819" y="37758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6</xdr:col>
      <xdr:colOff>211931</xdr:colOff>
      <xdr:row>11</xdr:row>
      <xdr:rowOff>178593</xdr:rowOff>
    </xdr:to>
    <xdr:cxnSp macro="">
      <xdr:nvCxnSpPr>
        <xdr:cNvPr id="1957" name="Match42">
          <a:extLst>
            <a:ext uri="{FF2B5EF4-FFF2-40B4-BE49-F238E27FC236}">
              <a16:creationId xmlns:a16="http://schemas.microsoft.com/office/drawing/2014/main" id="{4F1AB4CE-38CA-7C4A-A93A-C87E2BD56B6A}"/>
            </a:ext>
          </a:extLst>
        </xdr:cNvPr>
        <xdr:cNvCxnSpPr/>
      </xdr:nvCxnSpPr>
      <xdr:spPr>
        <a:xfrm flipH="1" flipV="1">
          <a:off x="635794" y="2321719"/>
          <a:ext cx="2119312" cy="178593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4</xdr:col>
      <xdr:colOff>211931</xdr:colOff>
      <xdr:row>5</xdr:row>
      <xdr:rowOff>178593</xdr:rowOff>
    </xdr:to>
    <xdr:cxnSp macro="">
      <xdr:nvCxnSpPr>
        <xdr:cNvPr id="1958" name="Match43">
          <a:extLst>
            <a:ext uri="{FF2B5EF4-FFF2-40B4-BE49-F238E27FC236}">
              <a16:creationId xmlns:a16="http://schemas.microsoft.com/office/drawing/2014/main" id="{1609692D-BDD3-AFB6-A951-F85308704F94}"/>
            </a:ext>
          </a:extLst>
        </xdr:cNvPr>
        <xdr:cNvCxnSpPr/>
      </xdr:nvCxnSpPr>
      <xdr:spPr>
        <a:xfrm>
          <a:off x="1059656" y="125015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3</xdr:row>
      <xdr:rowOff>203993</xdr:rowOff>
    </xdr:from>
    <xdr:to>
      <xdr:col>2</xdr:col>
      <xdr:colOff>237331</xdr:colOff>
      <xdr:row>5</xdr:row>
      <xdr:rowOff>203993</xdr:rowOff>
    </xdr:to>
    <xdr:cxnSp macro="">
      <xdr:nvCxnSpPr>
        <xdr:cNvPr id="1959" name="Match44">
          <a:extLst>
            <a:ext uri="{FF2B5EF4-FFF2-40B4-BE49-F238E27FC236}">
              <a16:creationId xmlns:a16="http://schemas.microsoft.com/office/drawing/2014/main" id="{1358108C-CFBA-6968-0372-E44D244E4029}"/>
            </a:ext>
          </a:extLst>
        </xdr:cNvPr>
        <xdr:cNvCxnSpPr/>
      </xdr:nvCxnSpPr>
      <xdr:spPr>
        <a:xfrm>
          <a:off x="1085056" y="1275556"/>
          <a:ext cx="0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4</xdr:row>
      <xdr:rowOff>178594</xdr:rowOff>
    </xdr:from>
    <xdr:to>
      <xdr:col>6</xdr:col>
      <xdr:colOff>211931</xdr:colOff>
      <xdr:row>4</xdr:row>
      <xdr:rowOff>178594</xdr:rowOff>
    </xdr:to>
    <xdr:cxnSp macro="">
      <xdr:nvCxnSpPr>
        <xdr:cNvPr id="1960" name="Match45">
          <a:extLst>
            <a:ext uri="{FF2B5EF4-FFF2-40B4-BE49-F238E27FC236}">
              <a16:creationId xmlns:a16="http://schemas.microsoft.com/office/drawing/2014/main" id="{70B6006C-2D16-F245-C9EB-A8C48EB2A6BF}"/>
            </a:ext>
          </a:extLst>
        </xdr:cNvPr>
        <xdr:cNvCxnSpPr/>
      </xdr:nvCxnSpPr>
      <xdr:spPr>
        <a:xfrm flipH="1">
          <a:off x="1907381" y="160734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9</xdr:col>
      <xdr:colOff>211931</xdr:colOff>
      <xdr:row>8</xdr:row>
      <xdr:rowOff>178594</xdr:rowOff>
    </xdr:to>
    <xdr:cxnSp macro="">
      <xdr:nvCxnSpPr>
        <xdr:cNvPr id="1961" name="Match46">
          <a:extLst>
            <a:ext uri="{FF2B5EF4-FFF2-40B4-BE49-F238E27FC236}">
              <a16:creationId xmlns:a16="http://schemas.microsoft.com/office/drawing/2014/main" id="{8C168A65-B58E-DA6E-D0EF-DA7027FCDB30}"/>
            </a:ext>
          </a:extLst>
        </xdr:cNvPr>
        <xdr:cNvCxnSpPr/>
      </xdr:nvCxnSpPr>
      <xdr:spPr>
        <a:xfrm flipH="1">
          <a:off x="3178969" y="232171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3</xdr:col>
      <xdr:colOff>211931</xdr:colOff>
      <xdr:row>9</xdr:row>
      <xdr:rowOff>178593</xdr:rowOff>
    </xdr:to>
    <xdr:cxnSp macro="">
      <xdr:nvCxnSpPr>
        <xdr:cNvPr id="1962" name="Match47">
          <a:extLst>
            <a:ext uri="{FF2B5EF4-FFF2-40B4-BE49-F238E27FC236}">
              <a16:creationId xmlns:a16="http://schemas.microsoft.com/office/drawing/2014/main" id="{2D873797-7AEB-17F8-FFFA-6612164BE185}"/>
            </a:ext>
          </a:extLst>
        </xdr:cNvPr>
        <xdr:cNvCxnSpPr/>
      </xdr:nvCxnSpPr>
      <xdr:spPr>
        <a:xfrm flipH="1">
          <a:off x="635794" y="267890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2</xdr:row>
      <xdr:rowOff>178594</xdr:rowOff>
    </xdr:from>
    <xdr:to>
      <xdr:col>11</xdr:col>
      <xdr:colOff>211931</xdr:colOff>
      <xdr:row>8</xdr:row>
      <xdr:rowOff>178594</xdr:rowOff>
    </xdr:to>
    <xdr:cxnSp macro="">
      <xdr:nvCxnSpPr>
        <xdr:cNvPr id="1963" name="Match48">
          <a:extLst>
            <a:ext uri="{FF2B5EF4-FFF2-40B4-BE49-F238E27FC236}">
              <a16:creationId xmlns:a16="http://schemas.microsoft.com/office/drawing/2014/main" id="{12D787B1-FA1A-C26E-6A69-DBD6E4F2FA43}"/>
            </a:ext>
          </a:extLst>
        </xdr:cNvPr>
        <xdr:cNvCxnSpPr/>
      </xdr:nvCxnSpPr>
      <xdr:spPr>
        <a:xfrm flipV="1">
          <a:off x="4874419" y="892969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4</xdr:col>
      <xdr:colOff>211931</xdr:colOff>
      <xdr:row>1</xdr:row>
      <xdr:rowOff>178593</xdr:rowOff>
    </xdr:to>
    <xdr:cxnSp macro="">
      <xdr:nvCxnSpPr>
        <xdr:cNvPr id="1964" name="Match49">
          <a:extLst>
            <a:ext uri="{FF2B5EF4-FFF2-40B4-BE49-F238E27FC236}">
              <a16:creationId xmlns:a16="http://schemas.microsoft.com/office/drawing/2014/main" id="{BA11AAFD-7F77-BF32-020E-6C2B337E1B76}"/>
            </a:ext>
          </a:extLst>
        </xdr:cNvPr>
        <xdr:cNvCxnSpPr/>
      </xdr:nvCxnSpPr>
      <xdr:spPr>
        <a:xfrm flipH="1" flipV="1">
          <a:off x="1483519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0</xdr:row>
      <xdr:rowOff>203994</xdr:rowOff>
    </xdr:from>
    <xdr:to>
      <xdr:col>4</xdr:col>
      <xdr:colOff>237331</xdr:colOff>
      <xdr:row>1</xdr:row>
      <xdr:rowOff>203993</xdr:rowOff>
    </xdr:to>
    <xdr:cxnSp macro="">
      <xdr:nvCxnSpPr>
        <xdr:cNvPr id="1965" name="Match50">
          <a:extLst>
            <a:ext uri="{FF2B5EF4-FFF2-40B4-BE49-F238E27FC236}">
              <a16:creationId xmlns:a16="http://schemas.microsoft.com/office/drawing/2014/main" id="{5B2C69DF-F078-C9D0-AD10-6F76508A5BB6}"/>
            </a:ext>
          </a:extLst>
        </xdr:cNvPr>
        <xdr:cNvCxnSpPr/>
      </xdr:nvCxnSpPr>
      <xdr:spPr>
        <a:xfrm flipV="1">
          <a:off x="1932781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3</xdr:row>
      <xdr:rowOff>203993</xdr:rowOff>
    </xdr:from>
    <xdr:to>
      <xdr:col>7</xdr:col>
      <xdr:colOff>237331</xdr:colOff>
      <xdr:row>4</xdr:row>
      <xdr:rowOff>203994</xdr:rowOff>
    </xdr:to>
    <xdr:cxnSp macro="">
      <xdr:nvCxnSpPr>
        <xdr:cNvPr id="1966" name="Match51">
          <a:extLst>
            <a:ext uri="{FF2B5EF4-FFF2-40B4-BE49-F238E27FC236}">
              <a16:creationId xmlns:a16="http://schemas.microsoft.com/office/drawing/2014/main" id="{65FF9651-14EF-91AE-1542-51447B5EBCEF}"/>
            </a:ext>
          </a:extLst>
        </xdr:cNvPr>
        <xdr:cNvCxnSpPr/>
      </xdr:nvCxnSpPr>
      <xdr:spPr>
        <a:xfrm>
          <a:off x="3204369" y="127555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2</xdr:row>
      <xdr:rowOff>229394</xdr:rowOff>
    </xdr:from>
    <xdr:to>
      <xdr:col>7</xdr:col>
      <xdr:colOff>262731</xdr:colOff>
      <xdr:row>3</xdr:row>
      <xdr:rowOff>229393</xdr:rowOff>
    </xdr:to>
    <xdr:cxnSp macro="">
      <xdr:nvCxnSpPr>
        <xdr:cNvPr id="1967" name="Match52">
          <a:extLst>
            <a:ext uri="{FF2B5EF4-FFF2-40B4-BE49-F238E27FC236}">
              <a16:creationId xmlns:a16="http://schemas.microsoft.com/office/drawing/2014/main" id="{51E5513C-D3F6-970F-B659-7CE237A0A818}"/>
            </a:ext>
          </a:extLst>
        </xdr:cNvPr>
        <xdr:cNvCxnSpPr/>
      </xdr:nvCxnSpPr>
      <xdr:spPr>
        <a:xfrm flipH="1" flipV="1">
          <a:off x="2805906" y="943769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4</xdr:row>
      <xdr:rowOff>178594</xdr:rowOff>
    </xdr:from>
    <xdr:to>
      <xdr:col>8</xdr:col>
      <xdr:colOff>211931</xdr:colOff>
      <xdr:row>5</xdr:row>
      <xdr:rowOff>178593</xdr:rowOff>
    </xdr:to>
    <xdr:cxnSp macro="">
      <xdr:nvCxnSpPr>
        <xdr:cNvPr id="1968" name="Match53">
          <a:extLst>
            <a:ext uri="{FF2B5EF4-FFF2-40B4-BE49-F238E27FC236}">
              <a16:creationId xmlns:a16="http://schemas.microsoft.com/office/drawing/2014/main" id="{69E6AFA9-1AE3-D5CC-DF77-7BC23E714D1D}"/>
            </a:ext>
          </a:extLst>
        </xdr:cNvPr>
        <xdr:cNvCxnSpPr/>
      </xdr:nvCxnSpPr>
      <xdr:spPr>
        <a:xfrm flipH="1">
          <a:off x="3178969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4</xdr:row>
      <xdr:rowOff>203994</xdr:rowOff>
    </xdr:from>
    <xdr:to>
      <xdr:col>8</xdr:col>
      <xdr:colOff>237331</xdr:colOff>
      <xdr:row>4</xdr:row>
      <xdr:rowOff>203994</xdr:rowOff>
    </xdr:to>
    <xdr:cxnSp macro="">
      <xdr:nvCxnSpPr>
        <xdr:cNvPr id="1969" name="Match54">
          <a:extLst>
            <a:ext uri="{FF2B5EF4-FFF2-40B4-BE49-F238E27FC236}">
              <a16:creationId xmlns:a16="http://schemas.microsoft.com/office/drawing/2014/main" id="{8F2D4C8D-0E56-1B86-9E11-C49E960BEEDB}"/>
            </a:ext>
          </a:extLst>
        </xdr:cNvPr>
        <xdr:cNvCxnSpPr/>
      </xdr:nvCxnSpPr>
      <xdr:spPr>
        <a:xfrm flipH="1">
          <a:off x="3204369" y="1632744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5</xdr:row>
      <xdr:rowOff>178593</xdr:rowOff>
    </xdr:from>
    <xdr:to>
      <xdr:col>11</xdr:col>
      <xdr:colOff>211931</xdr:colOff>
      <xdr:row>6</xdr:row>
      <xdr:rowOff>178594</xdr:rowOff>
    </xdr:to>
    <xdr:cxnSp macro="">
      <xdr:nvCxnSpPr>
        <xdr:cNvPr id="1970" name="Match55">
          <a:extLst>
            <a:ext uri="{FF2B5EF4-FFF2-40B4-BE49-F238E27FC236}">
              <a16:creationId xmlns:a16="http://schemas.microsoft.com/office/drawing/2014/main" id="{65B4E6A4-4D24-2F4B-9543-21044C50A4F0}"/>
            </a:ext>
          </a:extLst>
        </xdr:cNvPr>
        <xdr:cNvCxnSpPr/>
      </xdr:nvCxnSpPr>
      <xdr:spPr>
        <a:xfrm flipH="1">
          <a:off x="4450556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8</xdr:col>
      <xdr:colOff>211931</xdr:colOff>
      <xdr:row>6</xdr:row>
      <xdr:rowOff>178594</xdr:rowOff>
    </xdr:to>
    <xdr:cxnSp macro="">
      <xdr:nvCxnSpPr>
        <xdr:cNvPr id="1971" name="Match56">
          <a:extLst>
            <a:ext uri="{FF2B5EF4-FFF2-40B4-BE49-F238E27FC236}">
              <a16:creationId xmlns:a16="http://schemas.microsoft.com/office/drawing/2014/main" id="{9DDC4129-65C6-FFBB-3D10-E56A82756F94}"/>
            </a:ext>
          </a:extLst>
        </xdr:cNvPr>
        <xdr:cNvCxnSpPr/>
      </xdr:nvCxnSpPr>
      <xdr:spPr>
        <a:xfrm>
          <a:off x="3178969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5</xdr:row>
      <xdr:rowOff>203993</xdr:rowOff>
    </xdr:from>
    <xdr:to>
      <xdr:col>7</xdr:col>
      <xdr:colOff>237331</xdr:colOff>
      <xdr:row>6</xdr:row>
      <xdr:rowOff>203994</xdr:rowOff>
    </xdr:to>
    <xdr:cxnSp macro="">
      <xdr:nvCxnSpPr>
        <xdr:cNvPr id="1972" name="Match57">
          <a:extLst>
            <a:ext uri="{FF2B5EF4-FFF2-40B4-BE49-F238E27FC236}">
              <a16:creationId xmlns:a16="http://schemas.microsoft.com/office/drawing/2014/main" id="{44029EF3-8F45-B918-E058-ABC246926E62}"/>
            </a:ext>
          </a:extLst>
        </xdr:cNvPr>
        <xdr:cNvCxnSpPr/>
      </xdr:nvCxnSpPr>
      <xdr:spPr>
        <a:xfrm flipV="1">
          <a:off x="3204369" y="198993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6</xdr:row>
      <xdr:rowOff>178594</xdr:rowOff>
    </xdr:from>
    <xdr:to>
      <xdr:col>9</xdr:col>
      <xdr:colOff>211931</xdr:colOff>
      <xdr:row>7</xdr:row>
      <xdr:rowOff>178593</xdr:rowOff>
    </xdr:to>
    <xdr:cxnSp macro="">
      <xdr:nvCxnSpPr>
        <xdr:cNvPr id="1973" name="Match58">
          <a:extLst>
            <a:ext uri="{FF2B5EF4-FFF2-40B4-BE49-F238E27FC236}">
              <a16:creationId xmlns:a16="http://schemas.microsoft.com/office/drawing/2014/main" id="{1E2FECED-DB37-4766-AD08-3EE8ABEDA944}"/>
            </a:ext>
          </a:extLst>
        </xdr:cNvPr>
        <xdr:cNvCxnSpPr/>
      </xdr:nvCxnSpPr>
      <xdr:spPr>
        <a:xfrm flipH="1" flipV="1">
          <a:off x="360283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6</xdr:row>
      <xdr:rowOff>203994</xdr:rowOff>
    </xdr:from>
    <xdr:to>
      <xdr:col>10</xdr:col>
      <xdr:colOff>237331</xdr:colOff>
      <xdr:row>7</xdr:row>
      <xdr:rowOff>203993</xdr:rowOff>
    </xdr:to>
    <xdr:cxnSp macro="">
      <xdr:nvCxnSpPr>
        <xdr:cNvPr id="1974" name="Match59">
          <a:extLst>
            <a:ext uri="{FF2B5EF4-FFF2-40B4-BE49-F238E27FC236}">
              <a16:creationId xmlns:a16="http://schemas.microsoft.com/office/drawing/2014/main" id="{631D034C-933B-7A0D-2DF0-80228DA4E6C1}"/>
            </a:ext>
          </a:extLst>
        </xdr:cNvPr>
        <xdr:cNvCxnSpPr/>
      </xdr:nvCxnSpPr>
      <xdr:spPr>
        <a:xfrm flipV="1">
          <a:off x="4052094" y="234711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11</xdr:row>
      <xdr:rowOff>178593</xdr:rowOff>
    </xdr:from>
    <xdr:to>
      <xdr:col>9</xdr:col>
      <xdr:colOff>211931</xdr:colOff>
      <xdr:row>11</xdr:row>
      <xdr:rowOff>178593</xdr:rowOff>
    </xdr:to>
    <xdr:cxnSp macro="">
      <xdr:nvCxnSpPr>
        <xdr:cNvPr id="1975" name="Match60">
          <a:extLst>
            <a:ext uri="{FF2B5EF4-FFF2-40B4-BE49-F238E27FC236}">
              <a16:creationId xmlns:a16="http://schemas.microsoft.com/office/drawing/2014/main" id="{B7E9CCEB-3C83-C5D9-8521-8C98FFC115F5}"/>
            </a:ext>
          </a:extLst>
        </xdr:cNvPr>
        <xdr:cNvCxnSpPr/>
      </xdr:nvCxnSpPr>
      <xdr:spPr>
        <a:xfrm flipH="1">
          <a:off x="3602831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10</xdr:row>
      <xdr:rowOff>203994</xdr:rowOff>
    </xdr:from>
    <xdr:to>
      <xdr:col>9</xdr:col>
      <xdr:colOff>237331</xdr:colOff>
      <xdr:row>11</xdr:row>
      <xdr:rowOff>203993</xdr:rowOff>
    </xdr:to>
    <xdr:cxnSp macro="">
      <xdr:nvCxnSpPr>
        <xdr:cNvPr id="1976" name="Match61">
          <a:extLst>
            <a:ext uri="{FF2B5EF4-FFF2-40B4-BE49-F238E27FC236}">
              <a16:creationId xmlns:a16="http://schemas.microsoft.com/office/drawing/2014/main" id="{6908B36B-7BDB-819D-2EAD-6C38E94E72FD}"/>
            </a:ext>
          </a:extLst>
        </xdr:cNvPr>
        <xdr:cNvCxnSpPr/>
      </xdr:nvCxnSpPr>
      <xdr:spPr>
        <a:xfrm flipH="1" flipV="1">
          <a:off x="3628231" y="37758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C2F8116-3DB7-3039-F779-DD11419067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L3" sqref="L3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3</v>
      </c>
      <c r="B1" s="23">
        <v>7</v>
      </c>
      <c r="C1" s="27">
        <v>7</v>
      </c>
      <c r="D1" s="23">
        <v>5</v>
      </c>
      <c r="E1" s="23">
        <v>5</v>
      </c>
      <c r="F1" s="27">
        <v>3</v>
      </c>
      <c r="G1" s="27">
        <v>7</v>
      </c>
      <c r="H1" s="27">
        <v>2</v>
      </c>
      <c r="I1" s="27">
        <v>9</v>
      </c>
      <c r="J1" s="27">
        <v>7</v>
      </c>
      <c r="K1" s="22">
        <v>7</v>
      </c>
      <c r="L1" s="27">
        <v>3</v>
      </c>
      <c r="N1" s="2">
        <v>4337</v>
      </c>
      <c r="O1" s="1">
        <v>1</v>
      </c>
    </row>
    <row r="2" spans="1:15" s="2" customFormat="1" ht="28.25" customHeight="1">
      <c r="A2" s="23">
        <v>4</v>
      </c>
      <c r="B2" s="27">
        <v>3</v>
      </c>
      <c r="C2" s="27">
        <v>3</v>
      </c>
      <c r="D2" s="27">
        <v>3</v>
      </c>
      <c r="E2" s="23">
        <v>4</v>
      </c>
      <c r="F2" s="23">
        <v>2</v>
      </c>
      <c r="G2" s="27">
        <v>1</v>
      </c>
      <c r="H2" s="23">
        <v>2</v>
      </c>
      <c r="I2" s="27">
        <v>6</v>
      </c>
      <c r="J2" s="22">
        <v>3</v>
      </c>
      <c r="K2" s="27">
        <v>7</v>
      </c>
      <c r="L2" s="27">
        <v>9</v>
      </c>
      <c r="N2" s="2">
        <v>87159</v>
      </c>
      <c r="O2" s="2">
        <v>1</v>
      </c>
    </row>
    <row r="3" spans="1:15" ht="28.25" customHeight="1">
      <c r="A3" s="22">
        <v>2</v>
      </c>
      <c r="B3" s="23">
        <v>4</v>
      </c>
      <c r="C3" s="27">
        <v>1</v>
      </c>
      <c r="D3" s="27">
        <v>6</v>
      </c>
      <c r="E3" s="27">
        <v>6</v>
      </c>
      <c r="F3" s="22">
        <v>7</v>
      </c>
      <c r="G3" s="23">
        <v>5</v>
      </c>
      <c r="H3" s="23">
        <v>6</v>
      </c>
      <c r="I3" s="22">
        <v>3</v>
      </c>
      <c r="J3" s="27">
        <v>9</v>
      </c>
      <c r="K3" s="27">
        <v>5</v>
      </c>
      <c r="L3" s="22">
        <v>9</v>
      </c>
      <c r="N3" s="2">
        <v>11461</v>
      </c>
      <c r="O3" s="1">
        <v>1</v>
      </c>
    </row>
    <row r="4" spans="1:15" ht="28.25" customHeight="1">
      <c r="A4" s="27">
        <v>9</v>
      </c>
      <c r="B4" s="22">
        <v>7</v>
      </c>
      <c r="C4" s="22">
        <v>9</v>
      </c>
      <c r="D4" s="27">
        <v>9</v>
      </c>
      <c r="E4" s="27">
        <v>7</v>
      </c>
      <c r="F4" s="22">
        <v>8</v>
      </c>
      <c r="G4" s="27">
        <v>1</v>
      </c>
      <c r="H4" s="22">
        <v>4</v>
      </c>
      <c r="I4" s="22">
        <v>7</v>
      </c>
      <c r="J4" s="27">
        <v>1</v>
      </c>
      <c r="K4" s="27">
        <v>3</v>
      </c>
      <c r="L4" s="22">
        <v>8</v>
      </c>
      <c r="N4" s="2">
        <v>912</v>
      </c>
      <c r="O4" s="1">
        <v>2</v>
      </c>
    </row>
    <row r="5" spans="1:15" ht="28.25" customHeight="1">
      <c r="A5" s="23">
        <v>7</v>
      </c>
      <c r="B5" s="27">
        <v>6</v>
      </c>
      <c r="C5" s="22">
        <v>8</v>
      </c>
      <c r="D5" s="23">
        <v>8</v>
      </c>
      <c r="E5" s="22">
        <v>2</v>
      </c>
      <c r="F5" s="22">
        <v>8</v>
      </c>
      <c r="G5" s="23">
        <v>9</v>
      </c>
      <c r="H5" s="23">
        <v>5</v>
      </c>
      <c r="I5" s="23">
        <v>4</v>
      </c>
      <c r="J5" s="27">
        <v>9</v>
      </c>
      <c r="K5" s="27">
        <v>1</v>
      </c>
      <c r="L5" s="22">
        <v>9</v>
      </c>
      <c r="N5" s="2">
        <v>75872</v>
      </c>
      <c r="O5" s="1">
        <v>1</v>
      </c>
    </row>
    <row r="6" spans="1:15" ht="28.25" customHeight="1">
      <c r="A6" s="27">
        <v>9</v>
      </c>
      <c r="B6" s="23">
        <v>4</v>
      </c>
      <c r="C6" s="22">
        <v>2</v>
      </c>
      <c r="D6" s="22">
        <v>5</v>
      </c>
      <c r="E6" s="23">
        <v>2</v>
      </c>
      <c r="F6" s="22">
        <v>4</v>
      </c>
      <c r="G6" s="27">
        <v>3</v>
      </c>
      <c r="H6" s="22">
        <v>5</v>
      </c>
      <c r="I6" s="27">
        <v>1</v>
      </c>
      <c r="J6" s="27">
        <v>8</v>
      </c>
      <c r="K6" s="22">
        <v>9</v>
      </c>
      <c r="L6" s="22">
        <v>4</v>
      </c>
      <c r="N6" s="2">
        <v>8885</v>
      </c>
      <c r="O6" s="1">
        <v>1</v>
      </c>
    </row>
    <row r="7" spans="1:15" ht="28.25" customHeight="1">
      <c r="A7" s="27">
        <v>8</v>
      </c>
      <c r="B7" s="22">
        <v>3</v>
      </c>
      <c r="C7" s="23">
        <v>6</v>
      </c>
      <c r="D7" s="23">
        <v>1</v>
      </c>
      <c r="E7" s="22">
        <v>7</v>
      </c>
      <c r="F7" s="27">
        <v>3</v>
      </c>
      <c r="G7" s="22">
        <v>6</v>
      </c>
      <c r="H7" s="22">
        <v>4</v>
      </c>
      <c r="I7" s="22">
        <v>5</v>
      </c>
      <c r="J7" s="23">
        <v>9</v>
      </c>
      <c r="K7" s="22">
        <v>5</v>
      </c>
      <c r="L7" s="22">
        <v>9</v>
      </c>
      <c r="N7" s="2">
        <v>65</v>
      </c>
      <c r="O7" s="1">
        <v>5</v>
      </c>
    </row>
    <row r="8" spans="1:15" ht="28.25" customHeight="1">
      <c r="A8" s="22">
        <v>1</v>
      </c>
      <c r="B8" s="27">
        <v>3</v>
      </c>
      <c r="C8" s="22">
        <v>8</v>
      </c>
      <c r="D8" s="23">
        <v>9</v>
      </c>
      <c r="E8" s="23">
        <v>9</v>
      </c>
      <c r="F8" s="27">
        <v>1</v>
      </c>
      <c r="G8" s="23">
        <v>7</v>
      </c>
      <c r="H8" s="22">
        <v>8</v>
      </c>
      <c r="I8" s="23">
        <v>8</v>
      </c>
      <c r="J8" s="23">
        <v>4</v>
      </c>
      <c r="K8" s="22">
        <v>1</v>
      </c>
      <c r="L8" s="22">
        <v>7</v>
      </c>
      <c r="N8" s="2">
        <v>52</v>
      </c>
      <c r="O8" s="1">
        <v>13</v>
      </c>
    </row>
    <row r="9" spans="1:15" ht="28.25" customHeight="1">
      <c r="A9" s="22">
        <v>6</v>
      </c>
      <c r="B9" s="27">
        <v>3</v>
      </c>
      <c r="C9" s="23">
        <v>8</v>
      </c>
      <c r="D9" s="22">
        <v>9</v>
      </c>
      <c r="E9" s="27">
        <v>5</v>
      </c>
      <c r="F9" s="22">
        <v>8</v>
      </c>
      <c r="G9" s="23">
        <v>5</v>
      </c>
      <c r="H9" s="23">
        <v>2</v>
      </c>
      <c r="I9" s="22">
        <v>3</v>
      </c>
      <c r="J9" s="27">
        <v>6</v>
      </c>
      <c r="K9" s="22">
        <v>7</v>
      </c>
      <c r="L9" s="22">
        <v>6</v>
      </c>
      <c r="N9" s="2">
        <v>788</v>
      </c>
      <c r="O9" s="1">
        <v>3</v>
      </c>
    </row>
    <row r="10" spans="1:15" ht="28.25" customHeight="1">
      <c r="A10" s="22">
        <v>4</v>
      </c>
      <c r="B10" s="22">
        <v>2</v>
      </c>
      <c r="C10" s="22">
        <v>1</v>
      </c>
      <c r="D10" s="22">
        <v>9</v>
      </c>
      <c r="E10" s="22">
        <v>8</v>
      </c>
      <c r="F10" s="23">
        <v>7</v>
      </c>
      <c r="G10" s="22">
        <v>8</v>
      </c>
      <c r="H10" s="23">
        <v>2</v>
      </c>
      <c r="I10" s="27">
        <v>8</v>
      </c>
      <c r="J10" s="22">
        <v>3</v>
      </c>
      <c r="K10" s="22">
        <v>8</v>
      </c>
      <c r="L10" s="27">
        <v>3</v>
      </c>
      <c r="N10" s="2">
        <v>2468334</v>
      </c>
      <c r="O10" s="1">
        <v>1</v>
      </c>
    </row>
    <row r="11" spans="1:15" ht="28.25" customHeight="1">
      <c r="A11" s="22">
        <v>1</v>
      </c>
      <c r="B11" s="27">
        <v>9</v>
      </c>
      <c r="C11" s="23">
        <v>2</v>
      </c>
      <c r="D11" s="23">
        <v>5</v>
      </c>
      <c r="E11" s="23">
        <v>7</v>
      </c>
      <c r="F11" s="22">
        <v>4</v>
      </c>
      <c r="G11" s="27">
        <v>2</v>
      </c>
      <c r="H11" s="22">
        <v>8</v>
      </c>
      <c r="I11" s="23">
        <v>5</v>
      </c>
      <c r="J11" s="23">
        <v>2</v>
      </c>
      <c r="K11" s="22">
        <v>4</v>
      </c>
      <c r="L11" s="23">
        <v>4</v>
      </c>
      <c r="N11" s="2">
        <v>74</v>
      </c>
      <c r="O11" s="1">
        <v>13</v>
      </c>
    </row>
    <row r="12" spans="1:15" ht="28.25" customHeight="1">
      <c r="A12" s="22">
        <v>1</v>
      </c>
      <c r="B12" s="27">
        <v>4</v>
      </c>
      <c r="C12" s="27">
        <v>8</v>
      </c>
      <c r="D12" s="27">
        <v>9</v>
      </c>
      <c r="E12" s="23">
        <v>2</v>
      </c>
      <c r="F12" s="27">
        <v>9</v>
      </c>
      <c r="G12" s="22">
        <v>4</v>
      </c>
      <c r="H12" s="23">
        <v>6</v>
      </c>
      <c r="I12" s="22">
        <v>5</v>
      </c>
      <c r="J12" s="23">
        <v>4</v>
      </c>
      <c r="K12" s="27">
        <v>8</v>
      </c>
      <c r="L12" s="23">
        <v>7</v>
      </c>
      <c r="N12" s="2">
        <v>448983</v>
      </c>
      <c r="O12" s="1">
        <v>1</v>
      </c>
    </row>
    <row r="13" spans="1:15" ht="28.25" customHeight="1">
      <c r="N13" s="2">
        <v>982</v>
      </c>
      <c r="O13" s="1">
        <v>5</v>
      </c>
    </row>
    <row r="14" spans="1:15" ht="28.25" customHeight="1">
      <c r="N14" s="2">
        <v>6794989</v>
      </c>
      <c r="O14" s="1">
        <v>1</v>
      </c>
    </row>
    <row r="15" spans="1:15" ht="28.25" customHeight="1">
      <c r="N15" s="2">
        <v>45</v>
      </c>
      <c r="O15" s="1">
        <v>13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318"/>
  <sheetViews>
    <sheetView tabSelected="1" zoomScaleNormal="100" workbookViewId="0">
      <pane ySplit="2" topLeftCell="A312" activePane="bottomLeft" state="frozen"/>
      <selection pane="bottomLeft" activeCell="A318" sqref="A318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675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
+IF(A18&gt;=DATEVALUE("2026/2/21")+TIMEVALUE("6:00"),1,0)-IF(A17&gt;=DATEVALUE("2026/2/21")+TIMEVALUE("6:00"),1,0)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
+IF(A19&gt;=DATEVALUE("2026/2/21")+TIMEVALUE("6:00"),1,0)-IF(A18&gt;=DATEVALUE("2026/2/21")+TIMEVALUE("6:00"),1,0)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
+IF(A83&gt;=DATEVALUE("2026/2/21")+TIMEVALUE("6:00"),1,0)-IF(A82&gt;=DATEVALUE("2026/2/21")+TIMEVALUE("6:00"),1,0)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
+IF(A147&gt;=DATEVALUE("2026/2/21")+TIMEVALUE("6:00"),1,0)-IF(A146&gt;=DATEVALUE("2026/2/21")+TIMEVALUE("6:00"),1,0)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509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74" si="192">IF(A211&gt;=DATEVALUE("2025/11/8")+TIMEVALUE("6:00"),1,0)-IF(A210&gt;=DATEVALUE("2025/11/8")+TIMEVALUE("6:00"),1,0)
+IF(A211&gt;=DATEVALUE("2026/1/22")+TIMEVALUE("6:00"),3,0)-IF(A210&gt;=DATEVALUE("2026/1/22")+TIMEVALUE("6:00"),3,0)
+IF(A211&gt;=DATEVALUE("2026/2/21")+TIMEVALUE("6:00"),1,0)-IF(A210&gt;=DATEVALUE("2026/2/21")+TIMEVALUE("6:00"),1,0)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510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510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487</v>
      </c>
      <c r="I218" t="s">
        <v>488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si="192"/>
        <v>0</v>
      </c>
      <c r="P218" t="str">
        <f t="shared" ref="P218" si="235">IF(L218&lt;N218,"未達成（"&amp;N218-L218&amp;"）",IF(L218=N218,"達成","前倒し（"&amp;L218-N218&amp;"）"))</f>
        <v>未達成（4）</v>
      </c>
      <c r="Q218">
        <f t="shared" ref="Q218" si="236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489</v>
      </c>
      <c r="I219" t="s">
        <v>490</v>
      </c>
      <c r="J219">
        <v>0</v>
      </c>
      <c r="K219">
        <f t="shared" ref="K219" si="237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8">L218+K219</f>
        <v>261</v>
      </c>
      <c r="M219">
        <f t="shared" ref="M219" si="239">2+IF(A219&gt;=DATEVALUE("2025/11/30")+TIMEVALUE("6:00"),1,0)+IF(A219&gt;=DATEVALUE("2025/12/11")+TIMEVALUE("6:00"),1,0)</f>
        <v>4</v>
      </c>
      <c r="N219">
        <f t="shared" ref="N219" si="240">N218+M219*(INT(A219-6/24)-INT(A218-6/24))+O219</f>
        <v>263</v>
      </c>
      <c r="O219">
        <f t="shared" si="192"/>
        <v>0</v>
      </c>
      <c r="P219" t="str">
        <f t="shared" ref="P219" si="241">IF(L219&lt;N219,"未達成（"&amp;N219-L219&amp;"）",IF(L219=N219,"達成","前倒し（"&amp;L219-N219&amp;"）"))</f>
        <v>未達成（2）</v>
      </c>
      <c r="Q219">
        <f t="shared" ref="Q219" si="242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491</v>
      </c>
      <c r="I220" t="s">
        <v>492</v>
      </c>
      <c r="J220">
        <v>0</v>
      </c>
      <c r="K220">
        <f t="shared" ref="K220" si="243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4">L219+K220</f>
        <v>263</v>
      </c>
      <c r="M220">
        <f t="shared" ref="M220" si="245">2+IF(A220&gt;=DATEVALUE("2025/11/30")+TIMEVALUE("6:00"),1,0)+IF(A220&gt;=DATEVALUE("2025/12/11")+TIMEVALUE("6:00"),1,0)</f>
        <v>4</v>
      </c>
      <c r="N220">
        <f t="shared" ref="N220" si="246">N219+M220*(INT(A220-6/24)-INT(A219-6/24))+O220</f>
        <v>263</v>
      </c>
      <c r="O220">
        <f t="shared" si="192"/>
        <v>0</v>
      </c>
      <c r="P220" t="str">
        <f t="shared" ref="P220" si="247">IF(L220&lt;N220,"未達成（"&amp;N220-L220&amp;"）",IF(L220=N220,"達成","前倒し（"&amp;L220-N220&amp;"）"))</f>
        <v>達成</v>
      </c>
      <c r="Q220">
        <f t="shared" ref="Q220" si="248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493</v>
      </c>
      <c r="I221" t="s">
        <v>494</v>
      </c>
      <c r="J221">
        <v>0</v>
      </c>
      <c r="K221">
        <f t="shared" ref="K221" si="249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0">L220+K221</f>
        <v>265</v>
      </c>
      <c r="M221">
        <f t="shared" ref="M221" si="251">2+IF(A221&gt;=DATEVALUE("2025/11/30")+TIMEVALUE("6:00"),1,0)+IF(A221&gt;=DATEVALUE("2025/12/11")+TIMEVALUE("6:00"),1,0)</f>
        <v>4</v>
      </c>
      <c r="N221">
        <f t="shared" ref="N221" si="252">N220+M221*(INT(A221-6/24)-INT(A220-6/24))+O221</f>
        <v>267</v>
      </c>
      <c r="O221">
        <f t="shared" si="192"/>
        <v>0</v>
      </c>
      <c r="P221" t="str">
        <f t="shared" ref="P221" si="253">IF(L221&lt;N221,"未達成（"&amp;N221-L221&amp;"）",IF(L221=N221,"達成","前倒し（"&amp;L221-N221&amp;"）"))</f>
        <v>未達成（2）</v>
      </c>
      <c r="Q221">
        <f t="shared" ref="Q221" si="254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495</v>
      </c>
      <c r="I222" t="s">
        <v>496</v>
      </c>
      <c r="J222">
        <v>0</v>
      </c>
      <c r="K222">
        <f t="shared" ref="K222" si="255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56">L221+K222</f>
        <v>267</v>
      </c>
      <c r="M222">
        <f t="shared" ref="M222" si="257">2+IF(A222&gt;=DATEVALUE("2025/11/30")+TIMEVALUE("6:00"),1,0)+IF(A222&gt;=DATEVALUE("2025/12/11")+TIMEVALUE("6:00"),1,0)</f>
        <v>4</v>
      </c>
      <c r="N222">
        <f t="shared" ref="N222" si="258">N221+M222*(INT(A222-6/24)-INT(A221-6/24))+O222</f>
        <v>267</v>
      </c>
      <c r="O222">
        <f t="shared" si="192"/>
        <v>0</v>
      </c>
      <c r="P222" t="str">
        <f t="shared" ref="P222" si="259">IF(L222&lt;N222,"未達成（"&amp;N222-L222&amp;"）",IF(L222=N222,"達成","前倒し（"&amp;L222-N222&amp;"）"))</f>
        <v>達成</v>
      </c>
      <c r="Q222">
        <f t="shared" ref="Q222" si="260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497</v>
      </c>
      <c r="I223" t="s">
        <v>498</v>
      </c>
      <c r="J223">
        <v>0</v>
      </c>
      <c r="K223">
        <f t="shared" ref="K223" si="261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2">L222+K223</f>
        <v>268</v>
      </c>
      <c r="M223">
        <f t="shared" ref="M223" si="263">2+IF(A223&gt;=DATEVALUE("2025/11/30")+TIMEVALUE("6:00"),1,0)+IF(A223&gt;=DATEVALUE("2025/12/11")+TIMEVALUE("6:00"),1,0)</f>
        <v>4</v>
      </c>
      <c r="N223">
        <f t="shared" ref="N223" si="264">N222+M223*(INT(A223-6/24)-INT(A222-6/24))+O223</f>
        <v>271</v>
      </c>
      <c r="O223">
        <f t="shared" si="192"/>
        <v>0</v>
      </c>
      <c r="P223" t="str">
        <f t="shared" ref="P223" si="265">IF(L223&lt;N223,"未達成（"&amp;N223-L223&amp;"）",IF(L223=N223,"達成","前倒し（"&amp;L223-N223&amp;"）"))</f>
        <v>未達成（3）</v>
      </c>
      <c r="Q223">
        <f t="shared" ref="Q223" si="266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499</v>
      </c>
      <c r="I224" t="s">
        <v>500</v>
      </c>
      <c r="J224">
        <v>0</v>
      </c>
      <c r="K224">
        <f t="shared" ref="K224" si="267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68">L223+K224</f>
        <v>270</v>
      </c>
      <c r="M224">
        <f t="shared" ref="M224" si="269">2+IF(A224&gt;=DATEVALUE("2025/11/30")+TIMEVALUE("6:00"),1,0)+IF(A224&gt;=DATEVALUE("2025/12/11")+TIMEVALUE("6:00"),1,0)</f>
        <v>4</v>
      </c>
      <c r="N224">
        <f t="shared" ref="N224" si="270">N223+M224*(INT(A224-6/24)-INT(A223-6/24))+O224</f>
        <v>271</v>
      </c>
      <c r="O224">
        <f t="shared" si="192"/>
        <v>0</v>
      </c>
      <c r="P224" t="str">
        <f t="shared" ref="P224" si="271">IF(L224&lt;N224,"未達成（"&amp;N224-L224&amp;"）",IF(L224=N224,"達成","前倒し（"&amp;L224-N224&amp;"）"))</f>
        <v>未達成（1）</v>
      </c>
      <c r="Q224">
        <f t="shared" ref="Q224" si="272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501</v>
      </c>
      <c r="I225" t="s">
        <v>502</v>
      </c>
      <c r="J225">
        <v>0</v>
      </c>
      <c r="K225">
        <f t="shared" ref="K225" si="273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74">L224+K225</f>
        <v>271</v>
      </c>
      <c r="M225">
        <f t="shared" ref="M225" si="275">2+IF(A225&gt;=DATEVALUE("2025/11/30")+TIMEVALUE("6:00"),1,0)+IF(A225&gt;=DATEVALUE("2025/12/11")+TIMEVALUE("6:00"),1,0)</f>
        <v>4</v>
      </c>
      <c r="N225">
        <f t="shared" ref="N225" si="276">N224+M225*(INT(A225-6/24)-INT(A224-6/24))+O225</f>
        <v>271</v>
      </c>
      <c r="O225">
        <f t="shared" si="192"/>
        <v>0</v>
      </c>
      <c r="P225" t="str">
        <f t="shared" ref="P225" si="277">IF(L225&lt;N225,"未達成（"&amp;N225-L225&amp;"）",IF(L225=N225,"達成","前倒し（"&amp;L225-N225&amp;"）"))</f>
        <v>達成</v>
      </c>
      <c r="Q225">
        <f t="shared" ref="Q225" si="278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503</v>
      </c>
      <c r="I226" t="s">
        <v>504</v>
      </c>
      <c r="J226">
        <v>0</v>
      </c>
      <c r="K226">
        <f t="shared" ref="K226" si="279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0">L225+K226</f>
        <v>272</v>
      </c>
      <c r="M226">
        <f t="shared" ref="M226" si="281">2+IF(A226&gt;=DATEVALUE("2025/11/30")+TIMEVALUE("6:00"),1,0)+IF(A226&gt;=DATEVALUE("2025/12/11")+TIMEVALUE("6:00"),1,0)</f>
        <v>4</v>
      </c>
      <c r="N226">
        <f t="shared" ref="N226" si="282">N225+M226*(INT(A226-6/24)-INT(A225-6/24))+O226</f>
        <v>275</v>
      </c>
      <c r="O226">
        <f t="shared" si="192"/>
        <v>0</v>
      </c>
      <c r="P226" t="str">
        <f t="shared" ref="P226" si="283">IF(L226&lt;N226,"未達成（"&amp;N226-L226&amp;"）",IF(L226=N226,"達成","前倒し（"&amp;L226-N226&amp;"）"))</f>
        <v>未達成（3）</v>
      </c>
      <c r="Q226">
        <f t="shared" ref="Q226" si="284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505</v>
      </c>
      <c r="I227" t="s">
        <v>506</v>
      </c>
      <c r="J227">
        <v>0</v>
      </c>
      <c r="K227">
        <f t="shared" ref="K227" si="285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86">L226+K227</f>
        <v>274</v>
      </c>
      <c r="M227">
        <f t="shared" ref="M227" si="287">2+IF(A227&gt;=DATEVALUE("2025/11/30")+TIMEVALUE("6:00"),1,0)+IF(A227&gt;=DATEVALUE("2025/12/11")+TIMEVALUE("6:00"),1,0)</f>
        <v>4</v>
      </c>
      <c r="N227">
        <f t="shared" ref="N227" si="288">N226+M227*(INT(A227-6/24)-INT(A226-6/24))+O227</f>
        <v>275</v>
      </c>
      <c r="O227">
        <f t="shared" si="192"/>
        <v>0</v>
      </c>
      <c r="P227" t="str">
        <f t="shared" ref="P227" si="289">IF(L227&lt;N227,"未達成（"&amp;N227-L227&amp;"）",IF(L227=N227,"達成","前倒し（"&amp;L227-N227&amp;"）"))</f>
        <v>未達成（1）</v>
      </c>
      <c r="Q227">
        <f t="shared" ref="Q227" si="29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507</v>
      </c>
      <c r="I228" t="s">
        <v>511</v>
      </c>
      <c r="J228">
        <v>1</v>
      </c>
      <c r="K228">
        <f t="shared" ref="K228" si="29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292">L227+K228</f>
        <v>274</v>
      </c>
      <c r="M228">
        <f t="shared" ref="M228" si="293">2+IF(A228&gt;=DATEVALUE("2025/11/30")+TIMEVALUE("6:00"),1,0)+IF(A228&gt;=DATEVALUE("2025/12/11")+TIMEVALUE("6:00"),1,0)</f>
        <v>4</v>
      </c>
      <c r="N228">
        <f t="shared" ref="N228" si="294">N227+M228*(INT(A228-6/24)-INT(A227-6/24))+O228</f>
        <v>275</v>
      </c>
      <c r="O228">
        <f t="shared" si="192"/>
        <v>0</v>
      </c>
      <c r="P228" t="str">
        <f t="shared" ref="P228" si="295">IF(L228&lt;N228,"未達成（"&amp;N228-L228&amp;"）",IF(L228=N228,"達成","前倒し（"&amp;L228-N228&amp;"）"))</f>
        <v>未達成（1）</v>
      </c>
      <c r="Q228" t="e">
        <f t="shared" ref="Q228" si="296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512</v>
      </c>
      <c r="I229" t="s">
        <v>508</v>
      </c>
      <c r="J229">
        <v>0</v>
      </c>
      <c r="K229">
        <f t="shared" ref="K229" si="297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298">L228+K229</f>
        <v>275</v>
      </c>
      <c r="M229">
        <f t="shared" ref="M229" si="299">2+IF(A229&gt;=DATEVALUE("2025/11/30")+TIMEVALUE("6:00"),1,0)+IF(A229&gt;=DATEVALUE("2025/12/11")+TIMEVALUE("6:00"),1,0)</f>
        <v>4</v>
      </c>
      <c r="N229">
        <f t="shared" ref="N229" si="300">N228+M229*(INT(A229-6/24)-INT(A228-6/24))+O229</f>
        <v>275</v>
      </c>
      <c r="O229">
        <f t="shared" si="192"/>
        <v>0</v>
      </c>
      <c r="P229" t="str">
        <f t="shared" ref="P229" si="301">IF(L229&lt;N229,"未達成（"&amp;N229-L229&amp;"）",IF(L229=N229,"達成","前倒し（"&amp;L229-N229&amp;"）"))</f>
        <v>達成</v>
      </c>
      <c r="Q229">
        <f t="shared" ref="Q229" si="302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513</v>
      </c>
      <c r="I230" t="s">
        <v>514</v>
      </c>
      <c r="J230">
        <v>0</v>
      </c>
      <c r="K230">
        <f t="shared" ref="K230" si="303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04">L229+K230</f>
        <v>276</v>
      </c>
      <c r="M230">
        <f t="shared" ref="M230" si="305">2+IF(A230&gt;=DATEVALUE("2025/11/30")+TIMEVALUE("6:00"),1,0)+IF(A230&gt;=DATEVALUE("2025/12/11")+TIMEVALUE("6:00"),1,0)</f>
        <v>4</v>
      </c>
      <c r="N230">
        <f t="shared" ref="N230" si="306">N229+M230*(INT(A230-6/24)-INT(A229-6/24))+O230</f>
        <v>279</v>
      </c>
      <c r="O230">
        <f t="shared" si="192"/>
        <v>0</v>
      </c>
      <c r="P230" t="str">
        <f t="shared" ref="P230" si="307">IF(L230&lt;N230,"未達成（"&amp;N230-L230&amp;"）",IF(L230=N230,"達成","前倒し（"&amp;L230-N230&amp;"）"))</f>
        <v>未達成（3）</v>
      </c>
      <c r="Q230">
        <f t="shared" ref="Q230" si="308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515</v>
      </c>
      <c r="I231" t="s">
        <v>516</v>
      </c>
      <c r="J231">
        <v>0</v>
      </c>
      <c r="K231">
        <f t="shared" ref="K231" si="309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10">L230+K231</f>
        <v>278</v>
      </c>
      <c r="M231">
        <f t="shared" ref="M231" si="311">2+IF(A231&gt;=DATEVALUE("2025/11/30")+TIMEVALUE("6:00"),1,0)+IF(A231&gt;=DATEVALUE("2025/12/11")+TIMEVALUE("6:00"),1,0)</f>
        <v>4</v>
      </c>
      <c r="N231">
        <f t="shared" ref="N231" si="312">N230+M231*(INT(A231-6/24)-INT(A230-6/24))+O231</f>
        <v>279</v>
      </c>
      <c r="O231">
        <f t="shared" si="192"/>
        <v>0</v>
      </c>
      <c r="P231" t="str">
        <f t="shared" ref="P231" si="313">IF(L231&lt;N231,"未達成（"&amp;N231-L231&amp;"）",IF(L231=N231,"達成","前倒し（"&amp;L231-N231&amp;"）"))</f>
        <v>未達成（1）</v>
      </c>
      <c r="Q231">
        <f t="shared" ref="Q231" si="314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517</v>
      </c>
      <c r="I232" t="s">
        <v>518</v>
      </c>
      <c r="J232">
        <v>0</v>
      </c>
      <c r="K232">
        <f t="shared" ref="K232" si="315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16">L231+K232</f>
        <v>280</v>
      </c>
      <c r="M232">
        <f t="shared" ref="M232" si="317">2+IF(A232&gt;=DATEVALUE("2025/11/30")+TIMEVALUE("6:00"),1,0)+IF(A232&gt;=DATEVALUE("2025/12/11")+TIMEVALUE("6:00"),1,0)</f>
        <v>4</v>
      </c>
      <c r="N232">
        <f t="shared" ref="N232" si="318">N231+M232*(INT(A232-6/24)-INT(A231-6/24))+O232</f>
        <v>279</v>
      </c>
      <c r="O232">
        <f t="shared" si="192"/>
        <v>0</v>
      </c>
      <c r="P232" t="str">
        <f t="shared" ref="P232" si="319">IF(L232&lt;N232,"未達成（"&amp;N232-L232&amp;"）",IF(L232=N232,"達成","前倒し（"&amp;L232-N232&amp;"）"))</f>
        <v>前倒し（1）</v>
      </c>
      <c r="Q232">
        <f t="shared" ref="Q232" si="320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519</v>
      </c>
      <c r="I233" t="s">
        <v>520</v>
      </c>
      <c r="J233">
        <v>0</v>
      </c>
      <c r="K233">
        <f t="shared" ref="K233" si="321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22">L232+K233</f>
        <v>282</v>
      </c>
      <c r="M233">
        <f t="shared" ref="M233" si="323">2+IF(A233&gt;=DATEVALUE("2025/11/30")+TIMEVALUE("6:00"),1,0)+IF(A233&gt;=DATEVALUE("2025/12/11")+TIMEVALUE("6:00"),1,0)</f>
        <v>4</v>
      </c>
      <c r="N233">
        <f t="shared" ref="N233" si="324">N232+M233*(INT(A233-6/24)-INT(A232-6/24))+O233</f>
        <v>283</v>
      </c>
      <c r="O233">
        <f t="shared" si="192"/>
        <v>0</v>
      </c>
      <c r="P233" t="str">
        <f t="shared" ref="P233" si="325">IF(L233&lt;N233,"未達成（"&amp;N233-L233&amp;"）",IF(L233=N233,"達成","前倒し（"&amp;L233-N233&amp;"）"))</f>
        <v>未達成（1）</v>
      </c>
      <c r="Q233">
        <f t="shared" ref="Q233" si="326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521</v>
      </c>
      <c r="I234" t="s">
        <v>522</v>
      </c>
      <c r="J234">
        <v>0</v>
      </c>
      <c r="K234">
        <f t="shared" ref="K234" si="327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28">L233+K234</f>
        <v>283</v>
      </c>
      <c r="M234">
        <f t="shared" ref="M234" si="329">2+IF(A234&gt;=DATEVALUE("2025/11/30")+TIMEVALUE("6:00"),1,0)+IF(A234&gt;=DATEVALUE("2025/12/11")+TIMEVALUE("6:00"),1,0)</f>
        <v>4</v>
      </c>
      <c r="N234">
        <f t="shared" ref="N234" si="330">N233+M234*(INT(A234-6/24)-INT(A233-6/24))+O234</f>
        <v>283</v>
      </c>
      <c r="O234">
        <f t="shared" si="192"/>
        <v>0</v>
      </c>
      <c r="P234" t="str">
        <f t="shared" ref="P234" si="331">IF(L234&lt;N234,"未達成（"&amp;N234-L234&amp;"）",IF(L234=N234,"達成","前倒し（"&amp;L234-N234&amp;"）"))</f>
        <v>達成</v>
      </c>
      <c r="Q234">
        <f t="shared" ref="Q234" si="332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523</v>
      </c>
      <c r="I235" t="s">
        <v>524</v>
      </c>
      <c r="J235">
        <v>0</v>
      </c>
      <c r="K235">
        <f t="shared" ref="K235" si="333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34">L234+K235</f>
        <v>284</v>
      </c>
      <c r="M235">
        <f t="shared" ref="M235" si="335">2+IF(A235&gt;=DATEVALUE("2025/11/30")+TIMEVALUE("6:00"),1,0)+IF(A235&gt;=DATEVALUE("2025/12/11")+TIMEVALUE("6:00"),1,0)</f>
        <v>4</v>
      </c>
      <c r="N235">
        <f t="shared" ref="N235" si="336">N234+M235*(INT(A235-6/24)-INT(A234-6/24))+O235</f>
        <v>287</v>
      </c>
      <c r="O235">
        <f t="shared" si="192"/>
        <v>0</v>
      </c>
      <c r="P235" t="str">
        <f t="shared" ref="P235" si="337">IF(L235&lt;N235,"未達成（"&amp;N235-L235&amp;"）",IF(L235=N235,"達成","前倒し（"&amp;L235-N235&amp;"）"))</f>
        <v>未達成（3）</v>
      </c>
      <c r="Q235">
        <f t="shared" ref="Q235" si="338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525</v>
      </c>
      <c r="I236" t="s">
        <v>526</v>
      </c>
      <c r="J236">
        <v>0</v>
      </c>
      <c r="K236">
        <f t="shared" ref="K236" si="339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40">L235+K236</f>
        <v>284</v>
      </c>
      <c r="M236">
        <f t="shared" ref="M236" si="341">2+IF(A236&gt;=DATEVALUE("2025/11/30")+TIMEVALUE("6:00"),1,0)+IF(A236&gt;=DATEVALUE("2025/12/11")+TIMEVALUE("6:00"),1,0)</f>
        <v>4</v>
      </c>
      <c r="N236">
        <f t="shared" ref="N236" si="342">N235+M236*(INT(A236-6/24)-INT(A235-6/24))+O236</f>
        <v>287</v>
      </c>
      <c r="O236">
        <f t="shared" si="192"/>
        <v>0</v>
      </c>
      <c r="P236" t="str">
        <f t="shared" ref="P236" si="343">IF(L236&lt;N236,"未達成（"&amp;N236-L236&amp;"）",IF(L236=N236,"達成","前倒し（"&amp;L236-N236&amp;"）"))</f>
        <v>未達成（3）</v>
      </c>
      <c r="Q236">
        <f t="shared" ref="Q236" si="344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527</v>
      </c>
      <c r="I237" t="s">
        <v>528</v>
      </c>
      <c r="J237">
        <v>0</v>
      </c>
      <c r="K237">
        <f t="shared" ref="K237" si="345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46">L236+K237</f>
        <v>285</v>
      </c>
      <c r="M237">
        <f t="shared" ref="M237" si="347">2+IF(A237&gt;=DATEVALUE("2025/11/30")+TIMEVALUE("6:00"),1,0)+IF(A237&gt;=DATEVALUE("2025/12/11")+TIMEVALUE("6:00"),1,0)</f>
        <v>4</v>
      </c>
      <c r="N237">
        <f t="shared" ref="N237" si="348">N236+M237*(INT(A237-6/24)-INT(A236-6/24))+O237</f>
        <v>287</v>
      </c>
      <c r="O237">
        <f t="shared" si="192"/>
        <v>0</v>
      </c>
      <c r="P237" t="str">
        <f t="shared" ref="P237" si="349">IF(L237&lt;N237,"未達成（"&amp;N237-L237&amp;"）",IF(L237=N237,"達成","前倒し（"&amp;L237-N237&amp;"）"))</f>
        <v>未達成（2）</v>
      </c>
      <c r="Q237">
        <f t="shared" ref="Q237" si="35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529</v>
      </c>
      <c r="I238" t="s">
        <v>530</v>
      </c>
      <c r="J238">
        <v>0</v>
      </c>
      <c r="K238">
        <f t="shared" ref="K238" si="35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52">L237+K238</f>
        <v>285</v>
      </c>
      <c r="M238">
        <f t="shared" ref="M238" si="353">2+IF(A238&gt;=DATEVALUE("2025/11/30")+TIMEVALUE("6:00"),1,0)+IF(A238&gt;=DATEVALUE("2025/12/11")+TIMEVALUE("6:00"),1,0)</f>
        <v>4</v>
      </c>
      <c r="N238">
        <f t="shared" ref="N238" si="354">N237+M238*(INT(A238-6/24)-INT(A237-6/24))+O238</f>
        <v>287</v>
      </c>
      <c r="O238">
        <f t="shared" si="192"/>
        <v>0</v>
      </c>
      <c r="P238" t="str">
        <f t="shared" ref="P238" si="355">IF(L238&lt;N238,"未達成（"&amp;N238-L238&amp;"）",IF(L238=N238,"達成","前倒し（"&amp;L238-N238&amp;"）"))</f>
        <v>未達成（2）</v>
      </c>
      <c r="Q238">
        <f t="shared" ref="Q238" si="356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531</v>
      </c>
      <c r="I239" t="s">
        <v>532</v>
      </c>
      <c r="J239">
        <v>0</v>
      </c>
      <c r="K239">
        <f t="shared" ref="K239" si="357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58">L238+K239</f>
        <v>287</v>
      </c>
      <c r="M239">
        <f t="shared" ref="M239" si="359">2+IF(A239&gt;=DATEVALUE("2025/11/30")+TIMEVALUE("6:00"),1,0)+IF(A239&gt;=DATEVALUE("2025/12/11")+TIMEVALUE("6:00"),1,0)</f>
        <v>4</v>
      </c>
      <c r="N239">
        <f t="shared" ref="N239" si="360">N238+M239*(INT(A239-6/24)-INT(A238-6/24))+O239</f>
        <v>287</v>
      </c>
      <c r="O239">
        <f t="shared" si="192"/>
        <v>0</v>
      </c>
      <c r="P239" t="str">
        <f t="shared" ref="P239" si="361">IF(L239&lt;N239,"未達成（"&amp;N239-L239&amp;"）",IF(L239=N239,"達成","前倒し（"&amp;L239-N239&amp;"）"))</f>
        <v>達成</v>
      </c>
      <c r="Q239">
        <f t="shared" ref="Q239" si="362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533</v>
      </c>
      <c r="I240" t="s">
        <v>534</v>
      </c>
      <c r="J240">
        <v>0</v>
      </c>
      <c r="K240">
        <f t="shared" ref="K240" si="363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64">L239+K240</f>
        <v>288</v>
      </c>
      <c r="M240">
        <f t="shared" ref="M240" si="365">2+IF(A240&gt;=DATEVALUE("2025/11/30")+TIMEVALUE("6:00"),1,0)+IF(A240&gt;=DATEVALUE("2025/12/11")+TIMEVALUE("6:00"),1,0)</f>
        <v>4</v>
      </c>
      <c r="N240">
        <f t="shared" ref="N240" si="366">N239+M240*(INT(A240-6/24)-INT(A239-6/24))+O240</f>
        <v>291</v>
      </c>
      <c r="O240">
        <f t="shared" si="192"/>
        <v>0</v>
      </c>
      <c r="P240" t="str">
        <f t="shared" ref="P240" si="367">IF(L240&lt;N240,"未達成（"&amp;N240-L240&amp;"）",IF(L240=N240,"達成","前倒し（"&amp;L240-N240&amp;"）"))</f>
        <v>未達成（3）</v>
      </c>
      <c r="Q240">
        <f t="shared" ref="Q240" si="368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535</v>
      </c>
      <c r="I241" t="s">
        <v>536</v>
      </c>
      <c r="J241">
        <v>0</v>
      </c>
      <c r="K241">
        <f t="shared" ref="K241" si="369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70">L240+K241</f>
        <v>290</v>
      </c>
      <c r="M241">
        <f t="shared" ref="M241" si="371">2+IF(A241&gt;=DATEVALUE("2025/11/30")+TIMEVALUE("6:00"),1,0)+IF(A241&gt;=DATEVALUE("2025/12/11")+TIMEVALUE("6:00"),1,0)</f>
        <v>4</v>
      </c>
      <c r="N241">
        <f t="shared" ref="N241" si="372">N240+M241*(INT(A241-6/24)-INT(A240-6/24))+O241</f>
        <v>291</v>
      </c>
      <c r="O241">
        <f t="shared" si="192"/>
        <v>0</v>
      </c>
      <c r="P241" t="str">
        <f t="shared" ref="P241" si="373">IF(L241&lt;N241,"未達成（"&amp;N241-L241&amp;"）",IF(L241=N241,"達成","前倒し（"&amp;L241-N241&amp;"）"))</f>
        <v>未達成（1）</v>
      </c>
      <c r="Q241">
        <f t="shared" ref="Q241" si="374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537</v>
      </c>
      <c r="I242" t="s">
        <v>538</v>
      </c>
      <c r="J242">
        <v>0</v>
      </c>
      <c r="K242">
        <f t="shared" ref="K242" si="375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376">L241+K242</f>
        <v>292</v>
      </c>
      <c r="M242">
        <f t="shared" ref="M242" si="377">2+IF(A242&gt;=DATEVALUE("2025/11/30")+TIMEVALUE("6:00"),1,0)+IF(A242&gt;=DATEVALUE("2025/12/11")+TIMEVALUE("6:00"),1,0)</f>
        <v>4</v>
      </c>
      <c r="N242">
        <f t="shared" ref="N242" si="378">N241+M242*(INT(A242-6/24)-INT(A241-6/24))+O242</f>
        <v>291</v>
      </c>
      <c r="O242">
        <f t="shared" si="192"/>
        <v>0</v>
      </c>
      <c r="P242" t="str">
        <f t="shared" ref="P242" si="379">IF(L242&lt;N242,"未達成（"&amp;N242-L242&amp;"）",IF(L242=N242,"達成","前倒し（"&amp;L242-N242&amp;"）"))</f>
        <v>前倒し（1）</v>
      </c>
      <c r="Q242">
        <f t="shared" ref="Q242" si="380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539</v>
      </c>
      <c r="I243" t="s">
        <v>540</v>
      </c>
      <c r="J243">
        <v>0</v>
      </c>
      <c r="K243">
        <f t="shared" ref="K243" si="381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382">L242+K243</f>
        <v>292</v>
      </c>
      <c r="M243">
        <f t="shared" ref="M243" si="383">2+IF(A243&gt;=DATEVALUE("2025/11/30")+TIMEVALUE("6:00"),1,0)+IF(A243&gt;=DATEVALUE("2025/12/11")+TIMEVALUE("6:00"),1,0)</f>
        <v>4</v>
      </c>
      <c r="N243">
        <f t="shared" ref="N243" si="384">N242+M243*(INT(A243-6/24)-INT(A242-6/24))+O243</f>
        <v>295</v>
      </c>
      <c r="O243">
        <f t="shared" si="192"/>
        <v>0</v>
      </c>
      <c r="P243" t="str">
        <f t="shared" ref="P243" si="385">IF(L243&lt;N243,"未達成（"&amp;N243-L243&amp;"）",IF(L243=N243,"達成","前倒し（"&amp;L243-N243&amp;"）"))</f>
        <v>未達成（3）</v>
      </c>
      <c r="Q243">
        <f t="shared" ref="Q243" si="386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541</v>
      </c>
      <c r="I244" t="s">
        <v>543</v>
      </c>
      <c r="J244">
        <v>1</v>
      </c>
      <c r="K244">
        <f t="shared" ref="K244" si="387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388">L243+K244</f>
        <v>292</v>
      </c>
      <c r="M244">
        <f t="shared" ref="M244" si="389">2+IF(A244&gt;=DATEVALUE("2025/11/30")+TIMEVALUE("6:00"),1,0)+IF(A244&gt;=DATEVALUE("2025/12/11")+TIMEVALUE("6:00"),1,0)</f>
        <v>4</v>
      </c>
      <c r="N244">
        <f t="shared" ref="N244" si="390">N243+M244*(INT(A244-6/24)-INT(A243-6/24))+O244</f>
        <v>295</v>
      </c>
      <c r="O244">
        <f t="shared" si="192"/>
        <v>0</v>
      </c>
      <c r="P244" t="str">
        <f t="shared" ref="P244" si="391">IF(L244&lt;N244,"未達成（"&amp;N244-L244&amp;"）",IF(L244=N244,"達成","前倒し（"&amp;L244-N244&amp;"）"))</f>
        <v>未達成（3）</v>
      </c>
      <c r="Q244" t="e">
        <f t="shared" ref="Q244" si="392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544</v>
      </c>
      <c r="I245" t="s">
        <v>542</v>
      </c>
      <c r="J245">
        <v>0</v>
      </c>
      <c r="K245">
        <f t="shared" ref="K245" si="393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394">L244+K245</f>
        <v>294</v>
      </c>
      <c r="M245">
        <f t="shared" ref="M245" si="395">2+IF(A245&gt;=DATEVALUE("2025/11/30")+TIMEVALUE("6:00"),1,0)+IF(A245&gt;=DATEVALUE("2025/12/11")+TIMEVALUE("6:00"),1,0)</f>
        <v>4</v>
      </c>
      <c r="N245">
        <f t="shared" ref="N245" si="396">N244+M245*(INT(A245-6/24)-INT(A244-6/24))+O245</f>
        <v>295</v>
      </c>
      <c r="O245">
        <f t="shared" si="192"/>
        <v>0</v>
      </c>
      <c r="P245" t="str">
        <f t="shared" ref="P245" si="397">IF(L245&lt;N245,"未達成（"&amp;N245-L245&amp;"）",IF(L245=N245,"達成","前倒し（"&amp;L245-N245&amp;"）"))</f>
        <v>未達成（1）</v>
      </c>
      <c r="Q245">
        <f t="shared" ref="Q245" si="398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545</v>
      </c>
      <c r="I246" t="s">
        <v>546</v>
      </c>
      <c r="J246">
        <v>0</v>
      </c>
      <c r="K246">
        <f t="shared" ref="K246" si="399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00">L245+K246</f>
        <v>296</v>
      </c>
      <c r="M246">
        <f t="shared" ref="M246" si="401">2+IF(A246&gt;=DATEVALUE("2025/11/30")+TIMEVALUE("6:00"),1,0)+IF(A246&gt;=DATEVALUE("2025/12/11")+TIMEVALUE("6:00"),1,0)</f>
        <v>4</v>
      </c>
      <c r="N246">
        <f t="shared" ref="N246" si="402">N245+M246*(INT(A246-6/24)-INT(A245-6/24))+O246</f>
        <v>295</v>
      </c>
      <c r="O246">
        <f t="shared" si="192"/>
        <v>0</v>
      </c>
      <c r="P246" t="str">
        <f t="shared" ref="P246" si="403">IF(L246&lt;N246,"未達成（"&amp;N246-L246&amp;"）",IF(L246=N246,"達成","前倒し（"&amp;L246-N246&amp;"）"))</f>
        <v>前倒し（1）</v>
      </c>
      <c r="Q246">
        <f t="shared" ref="Q246" si="404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547</v>
      </c>
      <c r="I247" t="s">
        <v>548</v>
      </c>
      <c r="J247">
        <v>0</v>
      </c>
      <c r="K247">
        <f t="shared" ref="K247" si="405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06">L246+K247</f>
        <v>298</v>
      </c>
      <c r="M247">
        <f t="shared" ref="M247" si="407">2+IF(A247&gt;=DATEVALUE("2025/11/30")+TIMEVALUE("6:00"),1,0)+IF(A247&gt;=DATEVALUE("2025/12/11")+TIMEVALUE("6:00"),1,0)</f>
        <v>4</v>
      </c>
      <c r="N247">
        <f t="shared" ref="N247" si="408">N246+M247*(INT(A247-6/24)-INT(A246-6/24))+O247</f>
        <v>299</v>
      </c>
      <c r="O247">
        <f t="shared" si="192"/>
        <v>0</v>
      </c>
      <c r="P247" t="str">
        <f t="shared" ref="P247" si="409">IF(L247&lt;N247,"未達成（"&amp;N247-L247&amp;"）",IF(L247=N247,"達成","前倒し（"&amp;L247-N247&amp;"）"))</f>
        <v>未達成（1）</v>
      </c>
      <c r="Q247">
        <f t="shared" ref="Q247" si="41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549</v>
      </c>
      <c r="I248" t="s">
        <v>550</v>
      </c>
      <c r="J248">
        <v>0</v>
      </c>
      <c r="K248">
        <f t="shared" ref="K248" si="41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12">L247+K248</f>
        <v>300</v>
      </c>
      <c r="M248">
        <f t="shared" ref="M248" si="413">2+IF(A248&gt;=DATEVALUE("2025/11/30")+TIMEVALUE("6:00"),1,0)+IF(A248&gt;=DATEVALUE("2025/12/11")+TIMEVALUE("6:00"),1,0)</f>
        <v>4</v>
      </c>
      <c r="N248">
        <f t="shared" ref="N248" si="414">N247+M248*(INT(A248-6/24)-INT(A247-6/24))+O248</f>
        <v>299</v>
      </c>
      <c r="O248">
        <f t="shared" si="192"/>
        <v>0</v>
      </c>
      <c r="P248" t="str">
        <f t="shared" ref="P248" si="415">IF(L248&lt;N248,"未達成（"&amp;N248-L248&amp;"）",IF(L248=N248,"達成","前倒し（"&amp;L248-N248&amp;"）"))</f>
        <v>前倒し（1）</v>
      </c>
      <c r="Q248">
        <f t="shared" ref="Q248" si="416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551</v>
      </c>
      <c r="I249" t="s">
        <v>552</v>
      </c>
      <c r="J249">
        <v>0</v>
      </c>
      <c r="K249">
        <f t="shared" ref="K249" si="417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18">L248+K249</f>
        <v>301</v>
      </c>
      <c r="M249">
        <f t="shared" ref="M249" si="419">2+IF(A249&gt;=DATEVALUE("2025/11/30")+TIMEVALUE("6:00"),1,0)+IF(A249&gt;=DATEVALUE("2025/12/11")+TIMEVALUE("6:00"),1,0)</f>
        <v>4</v>
      </c>
      <c r="N249">
        <f t="shared" ref="N249" si="420">N248+M249*(INT(A249-6/24)-INT(A248-6/24))+O249</f>
        <v>303</v>
      </c>
      <c r="O249">
        <f t="shared" si="192"/>
        <v>0</v>
      </c>
      <c r="P249" t="str">
        <f t="shared" ref="P249" si="421">IF(L249&lt;N249,"未達成（"&amp;N249-L249&amp;"）",IF(L249=N249,"達成","前倒し（"&amp;L249-N249&amp;"）"))</f>
        <v>未達成（2）</v>
      </c>
      <c r="Q249">
        <f t="shared" ref="Q249" si="422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553</v>
      </c>
      <c r="I250" t="s">
        <v>554</v>
      </c>
      <c r="J250">
        <v>0</v>
      </c>
      <c r="K250">
        <f t="shared" ref="K250" si="423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24">L249+K250</f>
        <v>303</v>
      </c>
      <c r="M250">
        <f t="shared" ref="M250" si="425">2+IF(A250&gt;=DATEVALUE("2025/11/30")+TIMEVALUE("6:00"),1,0)+IF(A250&gt;=DATEVALUE("2025/12/11")+TIMEVALUE("6:00"),1,0)</f>
        <v>4</v>
      </c>
      <c r="N250">
        <f t="shared" ref="N250" si="426">N249+M250*(INT(A250-6/24)-INT(A249-6/24))+O250</f>
        <v>303</v>
      </c>
      <c r="O250">
        <f t="shared" si="192"/>
        <v>0</v>
      </c>
      <c r="P250" t="str">
        <f t="shared" ref="P250" si="427">IF(L250&lt;N250,"未達成（"&amp;N250-L250&amp;"）",IF(L250=N250,"達成","前倒し（"&amp;L250-N250&amp;"）"))</f>
        <v>達成</v>
      </c>
      <c r="Q250">
        <f t="shared" ref="Q250" si="428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555</v>
      </c>
      <c r="I251" t="s">
        <v>556</v>
      </c>
      <c r="J251">
        <v>0</v>
      </c>
      <c r="K251">
        <f t="shared" ref="K251" si="429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30">L250+K251</f>
        <v>305</v>
      </c>
      <c r="M251">
        <f t="shared" ref="M251" si="431">2+IF(A251&gt;=DATEVALUE("2025/11/30")+TIMEVALUE("6:00"),1,0)+IF(A251&gt;=DATEVALUE("2025/12/11")+TIMEVALUE("6:00"),1,0)</f>
        <v>4</v>
      </c>
      <c r="N251">
        <f t="shared" ref="N251" si="432">N250+M251*(INT(A251-6/24)-INT(A250-6/24))+O251</f>
        <v>307</v>
      </c>
      <c r="O251">
        <f t="shared" si="192"/>
        <v>0</v>
      </c>
      <c r="P251" t="str">
        <f t="shared" ref="P251" si="433">IF(L251&lt;N251,"未達成（"&amp;N251-L251&amp;"）",IF(L251=N251,"達成","前倒し（"&amp;L251-N251&amp;"）"))</f>
        <v>未達成（2）</v>
      </c>
      <c r="Q251">
        <f t="shared" ref="Q251" si="434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557</v>
      </c>
      <c r="I252" t="s">
        <v>560</v>
      </c>
      <c r="J252">
        <v>1</v>
      </c>
      <c r="K252">
        <f t="shared" ref="K252" si="435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36">L251+K252</f>
        <v>305</v>
      </c>
      <c r="M252">
        <f t="shared" ref="M252" si="437">2+IF(A252&gt;=DATEVALUE("2025/11/30")+TIMEVALUE("6:00"),1,0)+IF(A252&gt;=DATEVALUE("2025/12/11")+TIMEVALUE("6:00"),1,0)</f>
        <v>4</v>
      </c>
      <c r="N252">
        <f t="shared" ref="N252" si="438">N251+M252*(INT(A252-6/24)-INT(A251-6/24))+O252</f>
        <v>307</v>
      </c>
      <c r="O252">
        <f t="shared" si="192"/>
        <v>0</v>
      </c>
      <c r="P252" t="str">
        <f t="shared" ref="P252" si="439">IF(L252&lt;N252,"未達成（"&amp;N252-L252&amp;"）",IF(L252=N252,"達成","前倒し（"&amp;L252-N252&amp;"）"))</f>
        <v>未達成（2）</v>
      </c>
      <c r="Q252" t="e">
        <f t="shared" ref="Q252" si="440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558</v>
      </c>
      <c r="I253" t="s">
        <v>559</v>
      </c>
      <c r="J253">
        <v>1</v>
      </c>
      <c r="K253">
        <f t="shared" ref="K253" si="441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42">L252+K253</f>
        <v>305</v>
      </c>
      <c r="M253">
        <f t="shared" ref="M253" si="443">2+IF(A253&gt;=DATEVALUE("2025/11/30")+TIMEVALUE("6:00"),1,0)+IF(A253&gt;=DATEVALUE("2025/12/11")+TIMEVALUE("6:00"),1,0)</f>
        <v>4</v>
      </c>
      <c r="N253">
        <f t="shared" ref="N253" si="444">N252+M253*(INT(A253-6/24)-INT(A252-6/24))+O253</f>
        <v>307</v>
      </c>
      <c r="O253">
        <f t="shared" si="192"/>
        <v>0</v>
      </c>
      <c r="P253" t="str">
        <f t="shared" ref="P253" si="445">IF(L253&lt;N253,"未達成（"&amp;N253-L253&amp;"）",IF(L253=N253,"達成","前倒し（"&amp;L253-N253&amp;"）"))</f>
        <v>未達成（2）</v>
      </c>
      <c r="Q253" t="e">
        <f t="shared" ref="Q253" si="446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561</v>
      </c>
      <c r="I254" t="s">
        <v>562</v>
      </c>
      <c r="J254">
        <v>0</v>
      </c>
      <c r="K254">
        <f t="shared" ref="K254" si="447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48">L253+K254</f>
        <v>307</v>
      </c>
      <c r="M254">
        <f t="shared" ref="M254" si="449">2+IF(A254&gt;=DATEVALUE("2025/11/30")+TIMEVALUE("6:00"),1,0)+IF(A254&gt;=DATEVALUE("2025/12/11")+TIMEVALUE("6:00"),1,0)</f>
        <v>4</v>
      </c>
      <c r="N254">
        <f t="shared" ref="N254" si="450">N253+M254*(INT(A254-6/24)-INT(A253-6/24))+O254</f>
        <v>307</v>
      </c>
      <c r="O254">
        <f t="shared" si="192"/>
        <v>0</v>
      </c>
      <c r="P254" t="str">
        <f t="shared" ref="P254" si="451">IF(L254&lt;N254,"未達成（"&amp;N254-L254&amp;"）",IF(L254=N254,"達成","前倒し（"&amp;L254-N254&amp;"）"))</f>
        <v>達成</v>
      </c>
      <c r="Q254">
        <f t="shared" ref="Q254" si="452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563</v>
      </c>
      <c r="I255" t="s">
        <v>564</v>
      </c>
      <c r="J255">
        <v>0</v>
      </c>
      <c r="K255">
        <f t="shared" ref="K255" si="453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54">L254+K255</f>
        <v>309</v>
      </c>
      <c r="M255">
        <f t="shared" ref="M255" si="455">2+IF(A255&gt;=DATEVALUE("2025/11/30")+TIMEVALUE("6:00"),1,0)+IF(A255&gt;=DATEVALUE("2025/12/11")+TIMEVALUE("6:00"),1,0)</f>
        <v>4</v>
      </c>
      <c r="N255">
        <f t="shared" ref="N255" si="456">N254+M255*(INT(A255-6/24)-INT(A254-6/24))+O255</f>
        <v>311</v>
      </c>
      <c r="O255">
        <f t="shared" si="192"/>
        <v>0</v>
      </c>
      <c r="P255" t="str">
        <f t="shared" ref="P255" si="457">IF(L255&lt;N255,"未達成（"&amp;N255-L255&amp;"）",IF(L255=N255,"達成","前倒し（"&amp;L255-N255&amp;"）"))</f>
        <v>未達成（2）</v>
      </c>
      <c r="Q255">
        <f t="shared" ref="Q255" si="458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565</v>
      </c>
      <c r="I256" t="s">
        <v>566</v>
      </c>
      <c r="J256">
        <v>0</v>
      </c>
      <c r="K256">
        <f t="shared" ref="K256" si="459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60">L255+K256</f>
        <v>311</v>
      </c>
      <c r="M256">
        <f t="shared" ref="M256" si="461">2+IF(A256&gt;=DATEVALUE("2025/11/30")+TIMEVALUE("6:00"),1,0)+IF(A256&gt;=DATEVALUE("2025/12/11")+TIMEVALUE("6:00"),1,0)</f>
        <v>4</v>
      </c>
      <c r="N256">
        <f t="shared" ref="N256" si="462">N255+M256*(INT(A256-6/24)-INT(A255-6/24))+O256</f>
        <v>311</v>
      </c>
      <c r="O256">
        <f t="shared" si="192"/>
        <v>0</v>
      </c>
      <c r="P256" t="str">
        <f t="shared" ref="P256" si="463">IF(L256&lt;N256,"未達成（"&amp;N256-L256&amp;"）",IF(L256=N256,"達成","前倒し（"&amp;L256-N256&amp;"）"))</f>
        <v>達成</v>
      </c>
      <c r="Q256">
        <f t="shared" ref="Q256" si="464">IF(B256="",NA(),G256)</f>
        <v>6.1574074134114198E-3</v>
      </c>
    </row>
    <row r="257" spans="1:17">
      <c r="A257" s="3">
        <v>46057.297500000001</v>
      </c>
      <c r="B257">
        <v>60</v>
      </c>
      <c r="C257">
        <v>11</v>
      </c>
      <c r="D257">
        <v>0</v>
      </c>
      <c r="E257">
        <v>0</v>
      </c>
      <c r="F257">
        <v>0</v>
      </c>
      <c r="G257" s="5">
        <v>5.7291666671517305E-3</v>
      </c>
      <c r="H257" t="s">
        <v>567</v>
      </c>
      <c r="I257" t="s">
        <v>568</v>
      </c>
      <c r="J257">
        <v>0</v>
      </c>
      <c r="K257">
        <f t="shared" ref="K257" si="465">IF(A257&lt;DATEVALUE("2025/11/20")+TIMEVALUE("6:00"),1,IF(OR(B257&lt;&gt;60,SUM(D257:F257)&lt;&gt;0,G257&gt;=IF(A257&lt;DATEVALUE("2025/12/28")+TIMEVALUE("6:00"),20,18)/24/60),0,2-INT(G257*24*60/10)))</f>
        <v>2</v>
      </c>
      <c r="L257">
        <f t="shared" ref="L257" si="466">L256+K257</f>
        <v>313</v>
      </c>
      <c r="M257">
        <f t="shared" ref="M257" si="467">2+IF(A257&gt;=DATEVALUE("2025/11/30")+TIMEVALUE("6:00"),1,0)+IF(A257&gt;=DATEVALUE("2025/12/11")+TIMEVALUE("6:00"),1,0)</f>
        <v>4</v>
      </c>
      <c r="N257">
        <f t="shared" ref="N257" si="468">N256+M257*(INT(A257-6/24)-INT(A256-6/24))+O257</f>
        <v>315</v>
      </c>
      <c r="O257">
        <f t="shared" si="192"/>
        <v>0</v>
      </c>
      <c r="P257" t="str">
        <f t="shared" ref="P257" si="469">IF(L257&lt;N257,"未達成（"&amp;N257-L257&amp;"）",IF(L257=N257,"達成","前倒し（"&amp;L257-N257&amp;"）"))</f>
        <v>未達成（2）</v>
      </c>
      <c r="Q257">
        <f t="shared" ref="Q257" si="470">IF(B257="",NA(),G257)</f>
        <v>5.7291666671517305E-3</v>
      </c>
    </row>
    <row r="258" spans="1:17">
      <c r="A258" s="3">
        <v>46057.299641203703</v>
      </c>
      <c r="G258" s="5">
        <v>9.4907407037680969E-4</v>
      </c>
      <c r="H258" t="s">
        <v>569</v>
      </c>
      <c r="I258" t="s">
        <v>571</v>
      </c>
      <c r="J258">
        <v>1</v>
      </c>
      <c r="K258">
        <f t="shared" ref="K258" si="471">IF(A258&lt;DATEVALUE("2025/11/20")+TIMEVALUE("6:00"),1,IF(OR(B258&lt;&gt;60,SUM(D258:F258)&lt;&gt;0,G258&gt;=IF(A258&lt;DATEVALUE("2025/12/28")+TIMEVALUE("6:00"),20,18)/24/60),0,2-INT(G258*24*60/10)))</f>
        <v>0</v>
      </c>
      <c r="L258">
        <f t="shared" ref="L258" si="472">L257+K258</f>
        <v>313</v>
      </c>
      <c r="M258">
        <f t="shared" ref="M258" si="473">2+IF(A258&gt;=DATEVALUE("2025/11/30")+TIMEVALUE("6:00"),1,0)+IF(A258&gt;=DATEVALUE("2025/12/11")+TIMEVALUE("6:00"),1,0)</f>
        <v>4</v>
      </c>
      <c r="N258">
        <f t="shared" ref="N258" si="474">N257+M258*(INT(A258-6/24)-INT(A257-6/24))+O258</f>
        <v>315</v>
      </c>
      <c r="O258">
        <f t="shared" si="192"/>
        <v>0</v>
      </c>
      <c r="P258" t="str">
        <f t="shared" ref="P258" si="475">IF(L258&lt;N258,"未達成（"&amp;N258-L258&amp;"）",IF(L258=N258,"達成","前倒し（"&amp;L258-N258&amp;"）"))</f>
        <v>未達成（2）</v>
      </c>
      <c r="Q258" t="e">
        <f t="shared" ref="Q258" si="476">IF(B258="",NA(),G258)</f>
        <v>#N/A</v>
      </c>
    </row>
    <row r="259" spans="1:17">
      <c r="A259" s="3">
        <v>46057.36550925926</v>
      </c>
      <c r="B259">
        <v>60</v>
      </c>
      <c r="C259">
        <v>15</v>
      </c>
      <c r="D259">
        <v>0</v>
      </c>
      <c r="E259">
        <v>0</v>
      </c>
      <c r="F259">
        <v>0</v>
      </c>
      <c r="G259" s="5">
        <v>4.4907407354912721E-3</v>
      </c>
      <c r="H259" t="s">
        <v>572</v>
      </c>
      <c r="I259" t="s">
        <v>570</v>
      </c>
      <c r="J259">
        <v>0</v>
      </c>
      <c r="K259">
        <f t="shared" ref="K259" si="477">IF(A259&lt;DATEVALUE("2025/11/20")+TIMEVALUE("6:00"),1,IF(OR(B259&lt;&gt;60,SUM(D259:F259)&lt;&gt;0,G259&gt;=IF(A259&lt;DATEVALUE("2025/12/28")+TIMEVALUE("6:00"),20,18)/24/60),0,2-INT(G259*24*60/10)))</f>
        <v>2</v>
      </c>
      <c r="L259">
        <f t="shared" ref="L259" si="478">L258+K259</f>
        <v>315</v>
      </c>
      <c r="M259">
        <f t="shared" ref="M259" si="479">2+IF(A259&gt;=DATEVALUE("2025/11/30")+TIMEVALUE("6:00"),1,0)+IF(A259&gt;=DATEVALUE("2025/12/11")+TIMEVALUE("6:00"),1,0)</f>
        <v>4</v>
      </c>
      <c r="N259">
        <f t="shared" ref="N259" si="480">N258+M259*(INT(A259-6/24)-INT(A258-6/24))+O259</f>
        <v>315</v>
      </c>
      <c r="O259">
        <f t="shared" si="192"/>
        <v>0</v>
      </c>
      <c r="P259" t="str">
        <f t="shared" ref="P259" si="481">IF(L259&lt;N259,"未達成（"&amp;N259-L259&amp;"）",IF(L259=N259,"達成","前倒し（"&amp;L259-N259&amp;"）"))</f>
        <v>達成</v>
      </c>
      <c r="Q259">
        <f t="shared" ref="Q259" si="482">IF(B259="",NA(),G259)</f>
        <v>4.4907407354912721E-3</v>
      </c>
    </row>
    <row r="260" spans="1:17">
      <c r="A260" s="3">
        <v>46058.304814814815</v>
      </c>
      <c r="B260">
        <v>60</v>
      </c>
      <c r="C260">
        <v>16</v>
      </c>
      <c r="D260">
        <v>0</v>
      </c>
      <c r="E260">
        <v>0</v>
      </c>
      <c r="F260">
        <v>0</v>
      </c>
      <c r="G260" s="5">
        <v>7.3495370379532687E-3</v>
      </c>
      <c r="H260" t="s">
        <v>573</v>
      </c>
      <c r="I260" t="s">
        <v>574</v>
      </c>
      <c r="J260">
        <v>0</v>
      </c>
      <c r="K260">
        <f t="shared" ref="K260" si="483">IF(A260&lt;DATEVALUE("2025/11/20")+TIMEVALUE("6:00"),1,IF(OR(B260&lt;&gt;60,SUM(D260:F260)&lt;&gt;0,G260&gt;=IF(A260&lt;DATEVALUE("2025/12/28")+TIMEVALUE("6:00"),20,18)/24/60),0,2-INT(G260*24*60/10)))</f>
        <v>1</v>
      </c>
      <c r="L260">
        <f t="shared" ref="L260" si="484">L259+K260</f>
        <v>316</v>
      </c>
      <c r="M260">
        <f t="shared" ref="M260" si="485">2+IF(A260&gt;=DATEVALUE("2025/11/30")+TIMEVALUE("6:00"),1,0)+IF(A260&gt;=DATEVALUE("2025/12/11")+TIMEVALUE("6:00"),1,0)</f>
        <v>4</v>
      </c>
      <c r="N260">
        <f t="shared" ref="N260" si="486">N259+M260*(INT(A260-6/24)-INT(A259-6/24))+O260</f>
        <v>319</v>
      </c>
      <c r="O260">
        <f t="shared" si="192"/>
        <v>0</v>
      </c>
      <c r="P260" t="str">
        <f t="shared" ref="P260" si="487">IF(L260&lt;N260,"未達成（"&amp;N260-L260&amp;"）",IF(L260=N260,"達成","前倒し（"&amp;L260-N260&amp;"）"))</f>
        <v>未達成（3）</v>
      </c>
      <c r="Q260">
        <f t="shared" ref="Q260" si="488">IF(B260="",NA(),G260)</f>
        <v>7.3495370379532687E-3</v>
      </c>
    </row>
    <row r="261" spans="1:17">
      <c r="A261" s="3">
        <v>46058.311574074076</v>
      </c>
      <c r="B261">
        <v>60</v>
      </c>
      <c r="C261">
        <v>17</v>
      </c>
      <c r="D261">
        <v>0</v>
      </c>
      <c r="E261">
        <v>0</v>
      </c>
      <c r="F261">
        <v>0</v>
      </c>
      <c r="G261" s="5">
        <v>5.9490740750334226E-3</v>
      </c>
      <c r="H261" t="s">
        <v>575</v>
      </c>
      <c r="I261" t="s">
        <v>576</v>
      </c>
      <c r="J261">
        <v>0</v>
      </c>
      <c r="K261">
        <f t="shared" ref="K261" si="489">IF(A261&lt;DATEVALUE("2025/11/20")+TIMEVALUE("6:00"),1,IF(OR(B261&lt;&gt;60,SUM(D261:F261)&lt;&gt;0,G261&gt;=IF(A261&lt;DATEVALUE("2025/12/28")+TIMEVALUE("6:00"),20,18)/24/60),0,2-INT(G261*24*60/10)))</f>
        <v>2</v>
      </c>
      <c r="L261">
        <f t="shared" ref="L261" si="490">L260+K261</f>
        <v>318</v>
      </c>
      <c r="M261">
        <f t="shared" ref="M261" si="491">2+IF(A261&gt;=DATEVALUE("2025/11/30")+TIMEVALUE("6:00"),1,0)+IF(A261&gt;=DATEVALUE("2025/12/11")+TIMEVALUE("6:00"),1,0)</f>
        <v>4</v>
      </c>
      <c r="N261">
        <f t="shared" ref="N261" si="492">N260+M261*(INT(A261-6/24)-INT(A260-6/24))+O261</f>
        <v>319</v>
      </c>
      <c r="O261">
        <f t="shared" si="192"/>
        <v>0</v>
      </c>
      <c r="P261" t="str">
        <f t="shared" ref="P261" si="493">IF(L261&lt;N261,"未達成（"&amp;N261-L261&amp;"）",IF(L261=N261,"達成","前倒し（"&amp;L261-N261&amp;"）"))</f>
        <v>未達成（1）</v>
      </c>
      <c r="Q261">
        <f t="shared" ref="Q261" si="494">IF(B261="",NA(),G261)</f>
        <v>5.9490740750334226E-3</v>
      </c>
    </row>
    <row r="262" spans="1:17">
      <c r="A262" s="3">
        <v>46058.318773148145</v>
      </c>
      <c r="B262">
        <v>60</v>
      </c>
      <c r="C262">
        <v>2</v>
      </c>
      <c r="D262">
        <v>0</v>
      </c>
      <c r="E262">
        <v>0</v>
      </c>
      <c r="F262">
        <v>0</v>
      </c>
      <c r="G262" s="5">
        <v>6.5856481451191939E-3</v>
      </c>
      <c r="H262" t="s">
        <v>577</v>
      </c>
      <c r="I262" t="s">
        <v>578</v>
      </c>
      <c r="J262">
        <v>0</v>
      </c>
      <c r="K262">
        <f t="shared" ref="K262" si="495">IF(A262&lt;DATEVALUE("2025/11/20")+TIMEVALUE("6:00"),1,IF(OR(B262&lt;&gt;60,SUM(D262:F262)&lt;&gt;0,G262&gt;=IF(A262&lt;DATEVALUE("2025/12/28")+TIMEVALUE("6:00"),20,18)/24/60),0,2-INT(G262*24*60/10)))</f>
        <v>2</v>
      </c>
      <c r="L262">
        <f t="shared" ref="L262" si="496">L261+K262</f>
        <v>320</v>
      </c>
      <c r="M262">
        <f t="shared" ref="M262" si="497">2+IF(A262&gt;=DATEVALUE("2025/11/30")+TIMEVALUE("6:00"),1,0)+IF(A262&gt;=DATEVALUE("2025/12/11")+TIMEVALUE("6:00"),1,0)</f>
        <v>4</v>
      </c>
      <c r="N262">
        <f t="shared" ref="N262" si="498">N261+M262*(INT(A262-6/24)-INT(A261-6/24))+O262</f>
        <v>319</v>
      </c>
      <c r="O262">
        <f t="shared" si="192"/>
        <v>0</v>
      </c>
      <c r="P262" t="str">
        <f t="shared" ref="P262" si="499">IF(L262&lt;N262,"未達成（"&amp;N262-L262&amp;"）",IF(L262=N262,"達成","前倒し（"&amp;L262-N262&amp;"）"))</f>
        <v>前倒し（1）</v>
      </c>
      <c r="Q262">
        <f t="shared" ref="Q262" si="500">IF(B262="",NA(),G262)</f>
        <v>6.5856481451191939E-3</v>
      </c>
    </row>
    <row r="263" spans="1:17">
      <c r="A263" s="3">
        <v>46059.313368055555</v>
      </c>
      <c r="B263">
        <v>60</v>
      </c>
      <c r="C263">
        <v>8</v>
      </c>
      <c r="D263">
        <v>0</v>
      </c>
      <c r="E263">
        <v>0</v>
      </c>
      <c r="F263">
        <v>0</v>
      </c>
      <c r="G263" s="5">
        <v>7.2337962919846177E-3</v>
      </c>
      <c r="H263" t="s">
        <v>579</v>
      </c>
      <c r="I263" t="s">
        <v>580</v>
      </c>
      <c r="J263">
        <v>0</v>
      </c>
      <c r="K263">
        <f t="shared" ref="K263" si="501">IF(A263&lt;DATEVALUE("2025/11/20")+TIMEVALUE("6:00"),1,IF(OR(B263&lt;&gt;60,SUM(D263:F263)&lt;&gt;0,G263&gt;=IF(A263&lt;DATEVALUE("2025/12/28")+TIMEVALUE("6:00"),20,18)/24/60),0,2-INT(G263*24*60/10)))</f>
        <v>1</v>
      </c>
      <c r="L263">
        <f t="shared" ref="L263" si="502">L262+K263</f>
        <v>321</v>
      </c>
      <c r="M263">
        <f t="shared" ref="M263" si="503">2+IF(A263&gt;=DATEVALUE("2025/11/30")+TIMEVALUE("6:00"),1,0)+IF(A263&gt;=DATEVALUE("2025/12/11")+TIMEVALUE("6:00"),1,0)</f>
        <v>4</v>
      </c>
      <c r="N263">
        <f t="shared" ref="N263" si="504">N262+M263*(INT(A263-6/24)-INT(A262-6/24))+O263</f>
        <v>323</v>
      </c>
      <c r="O263">
        <f t="shared" si="192"/>
        <v>0</v>
      </c>
      <c r="P263" t="str">
        <f t="shared" ref="P263" si="505">IF(L263&lt;N263,"未達成（"&amp;N263-L263&amp;"）",IF(L263=N263,"達成","前倒し（"&amp;L263-N263&amp;"）"))</f>
        <v>未達成（2）</v>
      </c>
      <c r="Q263">
        <f t="shared" ref="Q263" si="506">IF(B263="",NA(),G263)</f>
        <v>7.2337962919846177E-3</v>
      </c>
    </row>
    <row r="264" spans="1:17">
      <c r="A264" s="3">
        <v>46059.324537037035</v>
      </c>
      <c r="B264">
        <v>60</v>
      </c>
      <c r="C264">
        <v>12</v>
      </c>
      <c r="D264">
        <v>0</v>
      </c>
      <c r="E264">
        <v>0</v>
      </c>
      <c r="F264">
        <v>0</v>
      </c>
      <c r="G264" s="5">
        <v>1.0648148148902692E-2</v>
      </c>
      <c r="H264" t="s">
        <v>581</v>
      </c>
      <c r="I264" t="s">
        <v>582</v>
      </c>
      <c r="J264">
        <v>0</v>
      </c>
      <c r="K264">
        <f t="shared" ref="K264" si="507">IF(A264&lt;DATEVALUE("2025/11/20")+TIMEVALUE("6:00"),1,IF(OR(B264&lt;&gt;60,SUM(D264:F264)&lt;&gt;0,G264&gt;=IF(A264&lt;DATEVALUE("2025/12/28")+TIMEVALUE("6:00"),20,18)/24/60),0,2-INT(G264*24*60/10)))</f>
        <v>1</v>
      </c>
      <c r="L264">
        <f t="shared" ref="L264" si="508">L263+K264</f>
        <v>322</v>
      </c>
      <c r="M264">
        <f t="shared" ref="M264" si="509">2+IF(A264&gt;=DATEVALUE("2025/11/30")+TIMEVALUE("6:00"),1,0)+IF(A264&gt;=DATEVALUE("2025/12/11")+TIMEVALUE("6:00"),1,0)</f>
        <v>4</v>
      </c>
      <c r="N264">
        <f t="shared" ref="N264" si="510">N263+M264*(INT(A264-6/24)-INT(A263-6/24))+O264</f>
        <v>323</v>
      </c>
      <c r="O264">
        <f t="shared" si="192"/>
        <v>0</v>
      </c>
      <c r="P264" t="str">
        <f t="shared" ref="P264" si="511">IF(L264&lt;N264,"未達成（"&amp;N264-L264&amp;"）",IF(L264=N264,"達成","前倒し（"&amp;L264-N264&amp;"）"))</f>
        <v>未達成（1）</v>
      </c>
      <c r="Q264">
        <f t="shared" ref="Q264" si="512">IF(B264="",NA(),G264)</f>
        <v>1.0648148148902692E-2</v>
      </c>
    </row>
    <row r="265" spans="1:17">
      <c r="A265" s="3">
        <v>46059.887974537036</v>
      </c>
      <c r="B265">
        <v>60</v>
      </c>
      <c r="C265">
        <v>16</v>
      </c>
      <c r="D265">
        <v>0</v>
      </c>
      <c r="E265">
        <v>0</v>
      </c>
      <c r="F265">
        <v>0</v>
      </c>
      <c r="G265" s="5">
        <v>9.1203703705104999E-3</v>
      </c>
      <c r="H265" t="s">
        <v>583</v>
      </c>
      <c r="I265" t="s">
        <v>584</v>
      </c>
      <c r="J265">
        <v>0</v>
      </c>
      <c r="K265">
        <f t="shared" ref="K265" si="513">IF(A265&lt;DATEVALUE("2025/11/20")+TIMEVALUE("6:00"),1,IF(OR(B265&lt;&gt;60,SUM(D265:F265)&lt;&gt;0,G265&gt;=IF(A265&lt;DATEVALUE("2025/12/28")+TIMEVALUE("6:00"),20,18)/24/60),0,2-INT(G265*24*60/10)))</f>
        <v>1</v>
      </c>
      <c r="L265">
        <f t="shared" ref="L265" si="514">L264+K265</f>
        <v>323</v>
      </c>
      <c r="M265">
        <f t="shared" ref="M265" si="515">2+IF(A265&gt;=DATEVALUE("2025/11/30")+TIMEVALUE("6:00"),1,0)+IF(A265&gt;=DATEVALUE("2025/12/11")+TIMEVALUE("6:00"),1,0)</f>
        <v>4</v>
      </c>
      <c r="N265">
        <f t="shared" ref="N265" si="516">N264+M265*(INT(A265-6/24)-INT(A264-6/24))+O265</f>
        <v>323</v>
      </c>
      <c r="O265">
        <f t="shared" si="192"/>
        <v>0</v>
      </c>
      <c r="P265" t="str">
        <f t="shared" ref="P265" si="517">IF(L265&lt;N265,"未達成（"&amp;N265-L265&amp;"）",IF(L265=N265,"達成","前倒し（"&amp;L265-N265&amp;"）"))</f>
        <v>達成</v>
      </c>
      <c r="Q265">
        <f t="shared" ref="Q265" si="518">IF(B265="",NA(),G265)</f>
        <v>9.1203703705104999E-3</v>
      </c>
    </row>
    <row r="266" spans="1:17">
      <c r="A266" s="3">
        <v>46060.286041666666</v>
      </c>
      <c r="B266">
        <v>60</v>
      </c>
      <c r="C266">
        <v>28</v>
      </c>
      <c r="D266">
        <v>0</v>
      </c>
      <c r="E266">
        <v>0</v>
      </c>
      <c r="F266">
        <v>0</v>
      </c>
      <c r="G266" s="5">
        <v>5.173611112695653E-3</v>
      </c>
      <c r="H266" t="s">
        <v>585</v>
      </c>
      <c r="I266" t="s">
        <v>586</v>
      </c>
      <c r="J266">
        <v>0</v>
      </c>
      <c r="K266">
        <f t="shared" ref="K266" si="519">IF(A266&lt;DATEVALUE("2025/11/20")+TIMEVALUE("6:00"),1,IF(OR(B266&lt;&gt;60,SUM(D266:F266)&lt;&gt;0,G266&gt;=IF(A266&lt;DATEVALUE("2025/12/28")+TIMEVALUE("6:00"),20,18)/24/60),0,2-INT(G266*24*60/10)))</f>
        <v>2</v>
      </c>
      <c r="L266">
        <f t="shared" ref="L266" si="520">L265+K266</f>
        <v>325</v>
      </c>
      <c r="M266">
        <f t="shared" ref="M266" si="521">2+IF(A266&gt;=DATEVALUE("2025/11/30")+TIMEVALUE("6:00"),1,0)+IF(A266&gt;=DATEVALUE("2025/12/11")+TIMEVALUE("6:00"),1,0)</f>
        <v>4</v>
      </c>
      <c r="N266">
        <f t="shared" ref="N266" si="522">N265+M266*(INT(A266-6/24)-INT(A265-6/24))+O266</f>
        <v>327</v>
      </c>
      <c r="O266">
        <f t="shared" si="192"/>
        <v>0</v>
      </c>
      <c r="P266" t="str">
        <f t="shared" ref="P266" si="523">IF(L266&lt;N266,"未達成（"&amp;N266-L266&amp;"）",IF(L266=N266,"達成","前倒し（"&amp;L266-N266&amp;"）"))</f>
        <v>未達成（2）</v>
      </c>
      <c r="Q266">
        <f t="shared" ref="Q266" si="524">IF(B266="",NA(),G266)</f>
        <v>5.173611112695653E-3</v>
      </c>
    </row>
    <row r="267" spans="1:17">
      <c r="A267" s="3">
        <v>46060.305289351854</v>
      </c>
      <c r="B267">
        <v>60</v>
      </c>
      <c r="C267">
        <v>16</v>
      </c>
      <c r="D267">
        <v>0</v>
      </c>
      <c r="E267">
        <v>0</v>
      </c>
      <c r="F267">
        <v>0</v>
      </c>
      <c r="G267" s="5">
        <v>9.4675925938645378E-3</v>
      </c>
      <c r="H267" t="s">
        <v>587</v>
      </c>
      <c r="I267" t="s">
        <v>588</v>
      </c>
      <c r="J267">
        <v>0</v>
      </c>
      <c r="K267">
        <f t="shared" ref="K267" si="525">IF(A267&lt;DATEVALUE("2025/11/20")+TIMEVALUE("6:00"),1,IF(OR(B267&lt;&gt;60,SUM(D267:F267)&lt;&gt;0,G267&gt;=IF(A267&lt;DATEVALUE("2025/12/28")+TIMEVALUE("6:00"),20,18)/24/60),0,2-INT(G267*24*60/10)))</f>
        <v>1</v>
      </c>
      <c r="L267">
        <f t="shared" ref="L267" si="526">L266+K267</f>
        <v>326</v>
      </c>
      <c r="M267">
        <f t="shared" ref="M267" si="527">2+IF(A267&gt;=DATEVALUE("2025/11/30")+TIMEVALUE("6:00"),1,0)+IF(A267&gt;=DATEVALUE("2025/12/11")+TIMEVALUE("6:00"),1,0)</f>
        <v>4</v>
      </c>
      <c r="N267">
        <f t="shared" ref="N267" si="528">N266+M267*(INT(A267-6/24)-INT(A266-6/24))+O267</f>
        <v>327</v>
      </c>
      <c r="O267">
        <f t="shared" si="192"/>
        <v>0</v>
      </c>
      <c r="P267" t="str">
        <f t="shared" ref="P267" si="529">IF(L267&lt;N267,"未達成（"&amp;N267-L267&amp;"）",IF(L267=N267,"達成","前倒し（"&amp;L267-N267&amp;"）"))</f>
        <v>未達成（1）</v>
      </c>
      <c r="Q267">
        <f t="shared" ref="Q267" si="530">IF(B267="",NA(),G267)</f>
        <v>9.4675925938645378E-3</v>
      </c>
    </row>
    <row r="268" spans="1:17">
      <c r="A268" s="3">
        <v>46060.31490740741</v>
      </c>
      <c r="B268">
        <v>60</v>
      </c>
      <c r="C268">
        <v>6</v>
      </c>
      <c r="D268">
        <v>0</v>
      </c>
      <c r="E268">
        <v>0</v>
      </c>
      <c r="F268">
        <v>0</v>
      </c>
      <c r="G268" s="5">
        <v>8.1134259307873435E-3</v>
      </c>
      <c r="H268" t="s">
        <v>589</v>
      </c>
      <c r="I268" t="s">
        <v>590</v>
      </c>
      <c r="J268">
        <v>0</v>
      </c>
      <c r="K268">
        <f t="shared" ref="K268" si="531">IF(A268&lt;DATEVALUE("2025/11/20")+TIMEVALUE("6:00"),1,IF(OR(B268&lt;&gt;60,SUM(D268:F268)&lt;&gt;0,G268&gt;=IF(A268&lt;DATEVALUE("2025/12/28")+TIMEVALUE("6:00"),20,18)/24/60),0,2-INT(G268*24*60/10)))</f>
        <v>1</v>
      </c>
      <c r="L268">
        <f t="shared" ref="L268" si="532">L267+K268</f>
        <v>327</v>
      </c>
      <c r="M268">
        <f t="shared" ref="M268" si="533">2+IF(A268&gt;=DATEVALUE("2025/11/30")+TIMEVALUE("6:00"),1,0)+IF(A268&gt;=DATEVALUE("2025/12/11")+TIMEVALUE("6:00"),1,0)</f>
        <v>4</v>
      </c>
      <c r="N268">
        <f t="shared" ref="N268" si="534">N267+M268*(INT(A268-6/24)-INT(A267-6/24))+O268</f>
        <v>327</v>
      </c>
      <c r="O268">
        <f t="shared" si="192"/>
        <v>0</v>
      </c>
      <c r="P268" t="str">
        <f t="shared" ref="P268" si="535">IF(L268&lt;N268,"未達成（"&amp;N268-L268&amp;"）",IF(L268=N268,"達成","前倒し（"&amp;L268-N268&amp;"）"))</f>
        <v>達成</v>
      </c>
      <c r="Q268">
        <f t="shared" ref="Q268" si="536">IF(B268="",NA(),G268)</f>
        <v>8.1134259307873435E-3</v>
      </c>
    </row>
    <row r="269" spans="1:17">
      <c r="A269" s="3">
        <v>46061.276041666664</v>
      </c>
      <c r="B269">
        <v>60</v>
      </c>
      <c r="C269">
        <v>14</v>
      </c>
      <c r="D269">
        <v>0</v>
      </c>
      <c r="E269">
        <v>0</v>
      </c>
      <c r="F269">
        <v>0</v>
      </c>
      <c r="G269" s="5">
        <v>1.0937499995634425E-2</v>
      </c>
      <c r="H269" t="s">
        <v>591</v>
      </c>
      <c r="I269" t="s">
        <v>592</v>
      </c>
      <c r="J269">
        <v>0</v>
      </c>
      <c r="K269">
        <f t="shared" ref="K269" si="537">IF(A269&lt;DATEVALUE("2025/11/20")+TIMEVALUE("6:00"),1,IF(OR(B269&lt;&gt;60,SUM(D269:F269)&lt;&gt;0,G269&gt;=IF(A269&lt;DATEVALUE("2025/12/28")+TIMEVALUE("6:00"),20,18)/24/60),0,2-INT(G269*24*60/10)))</f>
        <v>1</v>
      </c>
      <c r="L269">
        <f t="shared" ref="L269" si="538">L268+K269</f>
        <v>328</v>
      </c>
      <c r="M269">
        <f t="shared" ref="M269" si="539">2+IF(A269&gt;=DATEVALUE("2025/11/30")+TIMEVALUE("6:00"),1,0)+IF(A269&gt;=DATEVALUE("2025/12/11")+TIMEVALUE("6:00"),1,0)</f>
        <v>4</v>
      </c>
      <c r="N269">
        <f t="shared" ref="N269" si="540">N268+M269*(INT(A269-6/24)-INT(A268-6/24))+O269</f>
        <v>331</v>
      </c>
      <c r="O269">
        <f t="shared" si="192"/>
        <v>0</v>
      </c>
      <c r="P269" t="str">
        <f t="shared" ref="P269" si="541">IF(L269&lt;N269,"未達成（"&amp;N269-L269&amp;"）",IF(L269=N269,"達成","前倒し（"&amp;L269-N269&amp;"）"))</f>
        <v>未達成（3）</v>
      </c>
      <c r="Q269">
        <f t="shared" ref="Q269" si="542">IF(B269="",NA(),G269)</f>
        <v>1.0937499995634425E-2</v>
      </c>
    </row>
    <row r="270" spans="1:17">
      <c r="A270" s="3">
        <v>46061.305439814816</v>
      </c>
      <c r="B270">
        <v>60</v>
      </c>
      <c r="C270">
        <v>15</v>
      </c>
      <c r="D270">
        <v>0</v>
      </c>
      <c r="E270">
        <v>0</v>
      </c>
      <c r="F270">
        <v>0</v>
      </c>
      <c r="G270" s="5">
        <v>5.6828703745850362E-3</v>
      </c>
      <c r="H270" t="s">
        <v>593</v>
      </c>
      <c r="I270" t="s">
        <v>594</v>
      </c>
      <c r="J270">
        <v>0</v>
      </c>
      <c r="K270">
        <f t="shared" ref="K270" si="543">IF(A270&lt;DATEVALUE("2025/11/20")+TIMEVALUE("6:00"),1,IF(OR(B270&lt;&gt;60,SUM(D270:F270)&lt;&gt;0,G270&gt;=IF(A270&lt;DATEVALUE("2025/12/28")+TIMEVALUE("6:00"),20,18)/24/60),0,2-INT(G270*24*60/10)))</f>
        <v>2</v>
      </c>
      <c r="L270">
        <f t="shared" ref="L270" si="544">L269+K270</f>
        <v>330</v>
      </c>
      <c r="M270">
        <f t="shared" ref="M270" si="545">2+IF(A270&gt;=DATEVALUE("2025/11/30")+TIMEVALUE("6:00"),1,0)+IF(A270&gt;=DATEVALUE("2025/12/11")+TIMEVALUE("6:00"),1,0)</f>
        <v>4</v>
      </c>
      <c r="N270">
        <f t="shared" ref="N270" si="546">N269+M270*(INT(A270-6/24)-INT(A269-6/24))+O270</f>
        <v>331</v>
      </c>
      <c r="O270">
        <f t="shared" si="192"/>
        <v>0</v>
      </c>
      <c r="P270" t="str">
        <f t="shared" ref="P270" si="547">IF(L270&lt;N270,"未達成（"&amp;N270-L270&amp;"）",IF(L270=N270,"達成","前倒し（"&amp;L270-N270&amp;"）"))</f>
        <v>未達成（1）</v>
      </c>
      <c r="Q270">
        <f t="shared" ref="Q270" si="548">IF(B270="",NA(),G270)</f>
        <v>5.6828703745850362E-3</v>
      </c>
    </row>
    <row r="271" spans="1:17">
      <c r="A271" s="3">
        <v>46061.313645833332</v>
      </c>
      <c r="B271">
        <v>60</v>
      </c>
      <c r="C271">
        <v>20</v>
      </c>
      <c r="D271">
        <v>0</v>
      </c>
      <c r="E271">
        <v>0</v>
      </c>
      <c r="F271">
        <v>0</v>
      </c>
      <c r="G271" s="5">
        <v>7.6851851845276542E-3</v>
      </c>
      <c r="H271" t="s">
        <v>595</v>
      </c>
      <c r="I271" t="s">
        <v>596</v>
      </c>
      <c r="J271">
        <v>0</v>
      </c>
      <c r="K271">
        <f t="shared" ref="K271" si="549">IF(A271&lt;DATEVALUE("2025/11/20")+TIMEVALUE("6:00"),1,IF(OR(B271&lt;&gt;60,SUM(D271:F271)&lt;&gt;0,G271&gt;=IF(A271&lt;DATEVALUE("2025/12/28")+TIMEVALUE("6:00"),20,18)/24/60),0,2-INT(G271*24*60/10)))</f>
        <v>1</v>
      </c>
      <c r="L271">
        <f t="shared" ref="L271" si="550">L270+K271</f>
        <v>331</v>
      </c>
      <c r="M271">
        <f t="shared" ref="M271" si="551">2+IF(A271&gt;=DATEVALUE("2025/11/30")+TIMEVALUE("6:00"),1,0)+IF(A271&gt;=DATEVALUE("2025/12/11")+TIMEVALUE("6:00"),1,0)</f>
        <v>4</v>
      </c>
      <c r="N271">
        <f t="shared" ref="N271" si="552">N270+M271*(INT(A271-6/24)-INT(A270-6/24))+O271</f>
        <v>331</v>
      </c>
      <c r="O271">
        <f t="shared" si="192"/>
        <v>0</v>
      </c>
      <c r="P271" t="str">
        <f t="shared" ref="P271" si="553">IF(L271&lt;N271,"未達成（"&amp;N271-L271&amp;"）",IF(L271=N271,"達成","前倒し（"&amp;L271-N271&amp;"）"))</f>
        <v>達成</v>
      </c>
      <c r="Q271">
        <f t="shared" ref="Q271" si="554">IF(B271="",NA(),G271)</f>
        <v>7.6851851845276542E-3</v>
      </c>
    </row>
    <row r="272" spans="1:17">
      <c r="A272" s="3">
        <v>46062.293506944443</v>
      </c>
      <c r="B272">
        <v>60</v>
      </c>
      <c r="C272">
        <v>12</v>
      </c>
      <c r="D272">
        <v>0</v>
      </c>
      <c r="E272">
        <v>0</v>
      </c>
      <c r="F272">
        <v>0</v>
      </c>
      <c r="G272" s="5">
        <v>6.6666666680248454E-3</v>
      </c>
      <c r="H272" t="s">
        <v>597</v>
      </c>
      <c r="I272" t="s">
        <v>598</v>
      </c>
      <c r="J272">
        <v>0</v>
      </c>
      <c r="K272">
        <f t="shared" ref="K272" si="555">IF(A272&lt;DATEVALUE("2025/11/20")+TIMEVALUE("6:00"),1,IF(OR(B272&lt;&gt;60,SUM(D272:F272)&lt;&gt;0,G272&gt;=IF(A272&lt;DATEVALUE("2025/12/28")+TIMEVALUE("6:00"),20,18)/24/60),0,2-INT(G272*24*60/10)))</f>
        <v>2</v>
      </c>
      <c r="L272">
        <f t="shared" ref="L272" si="556">L271+K272</f>
        <v>333</v>
      </c>
      <c r="M272">
        <f t="shared" ref="M272" si="557">2+IF(A272&gt;=DATEVALUE("2025/11/30")+TIMEVALUE("6:00"),1,0)+IF(A272&gt;=DATEVALUE("2025/12/11")+TIMEVALUE("6:00"),1,0)</f>
        <v>4</v>
      </c>
      <c r="N272">
        <f t="shared" ref="N272" si="558">N271+M272*(INT(A272-6/24)-INT(A271-6/24))+O272</f>
        <v>335</v>
      </c>
      <c r="O272">
        <f t="shared" si="192"/>
        <v>0</v>
      </c>
      <c r="P272" t="str">
        <f t="shared" ref="P272" si="559">IF(L272&lt;N272,"未達成（"&amp;N272-L272&amp;"）",IF(L272=N272,"達成","前倒し（"&amp;L272-N272&amp;"）"))</f>
        <v>未達成（2）</v>
      </c>
      <c r="Q272">
        <f t="shared" ref="Q272" si="560">IF(B272="",NA(),G272)</f>
        <v>6.6666666680248454E-3</v>
      </c>
    </row>
    <row r="273" spans="1:17">
      <c r="A273" s="3">
        <v>46062.303078703706</v>
      </c>
      <c r="B273">
        <v>60</v>
      </c>
      <c r="C273">
        <v>14</v>
      </c>
      <c r="D273">
        <v>0</v>
      </c>
      <c r="E273">
        <v>0</v>
      </c>
      <c r="F273">
        <v>0</v>
      </c>
      <c r="G273" s="5">
        <v>8.9236111161881126E-3</v>
      </c>
      <c r="H273" t="s">
        <v>599</v>
      </c>
      <c r="I273" t="s">
        <v>600</v>
      </c>
      <c r="J273">
        <v>0</v>
      </c>
      <c r="K273">
        <f t="shared" ref="K273" si="561">IF(A273&lt;DATEVALUE("2025/11/20")+TIMEVALUE("6:00"),1,IF(OR(B273&lt;&gt;60,SUM(D273:F273)&lt;&gt;0,G273&gt;=IF(A273&lt;DATEVALUE("2025/12/28")+TIMEVALUE("6:00"),20,18)/24/60),0,2-INT(G273*24*60/10)))</f>
        <v>1</v>
      </c>
      <c r="L273">
        <f t="shared" ref="L273" si="562">L272+K273</f>
        <v>334</v>
      </c>
      <c r="M273">
        <f t="shared" ref="M273" si="563">2+IF(A273&gt;=DATEVALUE("2025/11/30")+TIMEVALUE("6:00"),1,0)+IF(A273&gt;=DATEVALUE("2025/12/11")+TIMEVALUE("6:00"),1,0)</f>
        <v>4</v>
      </c>
      <c r="N273">
        <f t="shared" ref="N273" si="564">N272+M273*(INT(A273-6/24)-INT(A272-6/24))+O273</f>
        <v>335</v>
      </c>
      <c r="O273">
        <f t="shared" si="192"/>
        <v>0</v>
      </c>
      <c r="P273" t="str">
        <f t="shared" ref="P273" si="565">IF(L273&lt;N273,"未達成（"&amp;N273-L273&amp;"）",IF(L273=N273,"達成","前倒し（"&amp;L273-N273&amp;"）"))</f>
        <v>未達成（1）</v>
      </c>
      <c r="Q273">
        <f t="shared" ref="Q273" si="566">IF(B273="",NA(),G273)</f>
        <v>8.9236111161881126E-3</v>
      </c>
    </row>
    <row r="274" spans="1:17">
      <c r="A274" s="3">
        <v>46062.310277777775</v>
      </c>
      <c r="B274">
        <v>60</v>
      </c>
      <c r="C274">
        <v>22</v>
      </c>
      <c r="D274">
        <v>0</v>
      </c>
      <c r="E274">
        <v>0</v>
      </c>
      <c r="F274">
        <v>0</v>
      </c>
      <c r="G274" s="5">
        <v>6.7245370373711921E-3</v>
      </c>
      <c r="H274" t="s">
        <v>601</v>
      </c>
      <c r="I274" t="s">
        <v>602</v>
      </c>
      <c r="J274">
        <v>0</v>
      </c>
      <c r="K274">
        <f t="shared" ref="K274" si="567">IF(A274&lt;DATEVALUE("2025/11/20")+TIMEVALUE("6:00"),1,IF(OR(B274&lt;&gt;60,SUM(D274:F274)&lt;&gt;0,G274&gt;=IF(A274&lt;DATEVALUE("2025/12/28")+TIMEVALUE("6:00"),20,18)/24/60),0,2-INT(G274*24*60/10)))</f>
        <v>2</v>
      </c>
      <c r="L274">
        <f t="shared" ref="L274" si="568">L273+K274</f>
        <v>336</v>
      </c>
      <c r="M274">
        <f t="shared" ref="M274" si="569">2+IF(A274&gt;=DATEVALUE("2025/11/30")+TIMEVALUE("6:00"),1,0)+IF(A274&gt;=DATEVALUE("2025/12/11")+TIMEVALUE("6:00"),1,0)</f>
        <v>4</v>
      </c>
      <c r="N274">
        <f t="shared" ref="N274" si="570">N273+M274*(INT(A274-6/24)-INT(A273-6/24))+O274</f>
        <v>335</v>
      </c>
      <c r="O274">
        <f t="shared" si="192"/>
        <v>0</v>
      </c>
      <c r="P274" t="str">
        <f t="shared" ref="P274" si="571">IF(L274&lt;N274,"未達成（"&amp;N274-L274&amp;"）",IF(L274=N274,"達成","前倒し（"&amp;L274-N274&amp;"）"))</f>
        <v>前倒し（1）</v>
      </c>
      <c r="Q274">
        <f t="shared" ref="Q274" si="572">IF(B274="",NA(),G274)</f>
        <v>6.7245370373711921E-3</v>
      </c>
    </row>
    <row r="275" spans="1:17">
      <c r="A275" s="3">
        <v>46063.323738425926</v>
      </c>
      <c r="G275" s="5">
        <v>2.2800925944466144E-3</v>
      </c>
      <c r="H275" t="s">
        <v>603</v>
      </c>
      <c r="I275" t="s">
        <v>604</v>
      </c>
      <c r="J275">
        <v>1</v>
      </c>
      <c r="K275">
        <f t="shared" ref="K275" si="573">IF(A275&lt;DATEVALUE("2025/11/20")+TIMEVALUE("6:00"),1,IF(OR(B275&lt;&gt;60,SUM(D275:F275)&lt;&gt;0,G275&gt;=IF(A275&lt;DATEVALUE("2025/12/28")+TIMEVALUE("6:00"),20,18)/24/60),0,2-INT(G275*24*60/10)))</f>
        <v>0</v>
      </c>
      <c r="L275">
        <f t="shared" ref="L275" si="574">L274+K275</f>
        <v>336</v>
      </c>
      <c r="M275">
        <f t="shared" ref="M275" si="575">2+IF(A275&gt;=DATEVALUE("2025/11/30")+TIMEVALUE("6:00"),1,0)+IF(A275&gt;=DATEVALUE("2025/12/11")+TIMEVALUE("6:00"),1,0)</f>
        <v>4</v>
      </c>
      <c r="N275">
        <f t="shared" ref="N275" si="576">N274+M275*(INT(A275-6/24)-INT(A274-6/24))+O275</f>
        <v>339</v>
      </c>
      <c r="O275">
        <f t="shared" ref="O275:O310" si="577">IF(A275&gt;=DATEVALUE("2025/11/8")+TIMEVALUE("6:00"),1,0)-IF(A274&gt;=DATEVALUE("2025/11/8")+TIMEVALUE("6:00"),1,0)
+IF(A275&gt;=DATEVALUE("2026/1/22")+TIMEVALUE("6:00"),3,0)-IF(A274&gt;=DATEVALUE("2026/1/22")+TIMEVALUE("6:00"),3,0)
+IF(A275&gt;=DATEVALUE("2026/2/21")+TIMEVALUE("6:00"),1,0)-IF(A274&gt;=DATEVALUE("2026/2/21")+TIMEVALUE("6:00"),1,0)</f>
        <v>0</v>
      </c>
      <c r="P275" t="str">
        <f t="shared" ref="P275" si="578">IF(L275&lt;N275,"未達成（"&amp;N275-L275&amp;"）",IF(L275=N275,"達成","前倒し（"&amp;L275-N275&amp;"）"))</f>
        <v>未達成（3）</v>
      </c>
      <c r="Q275" t="e">
        <f t="shared" ref="Q275" si="579">IF(B275="",NA(),G275)</f>
        <v>#N/A</v>
      </c>
    </row>
    <row r="276" spans="1:17">
      <c r="A276" s="3">
        <v>46063.368935185186</v>
      </c>
      <c r="B276">
        <v>60</v>
      </c>
      <c r="C276">
        <v>6</v>
      </c>
      <c r="D276">
        <v>0</v>
      </c>
      <c r="E276">
        <v>0</v>
      </c>
      <c r="F276">
        <v>0</v>
      </c>
      <c r="G276" s="5">
        <v>4.7916666735545732E-3</v>
      </c>
      <c r="H276" t="s">
        <v>605</v>
      </c>
      <c r="I276" t="s">
        <v>606</v>
      </c>
      <c r="J276">
        <v>0</v>
      </c>
      <c r="K276">
        <f t="shared" ref="K276" si="580">IF(A276&lt;DATEVALUE("2025/11/20")+TIMEVALUE("6:00"),1,IF(OR(B276&lt;&gt;60,SUM(D276:F276)&lt;&gt;0,G276&gt;=IF(A276&lt;DATEVALUE("2025/12/28")+TIMEVALUE("6:00"),20,18)/24/60),0,2-INT(G276*24*60/10)))</f>
        <v>2</v>
      </c>
      <c r="L276">
        <f t="shared" ref="L276" si="581">L275+K276</f>
        <v>338</v>
      </c>
      <c r="M276">
        <f t="shared" ref="M276" si="582">2+IF(A276&gt;=DATEVALUE("2025/11/30")+TIMEVALUE("6:00"),1,0)+IF(A276&gt;=DATEVALUE("2025/12/11")+TIMEVALUE("6:00"),1,0)</f>
        <v>4</v>
      </c>
      <c r="N276">
        <f t="shared" ref="N276" si="583">N275+M276*(INT(A276-6/24)-INT(A275-6/24))+O276</f>
        <v>339</v>
      </c>
      <c r="O276">
        <f t="shared" si="577"/>
        <v>0</v>
      </c>
      <c r="P276" t="str">
        <f t="shared" ref="P276" si="584">IF(L276&lt;N276,"未達成（"&amp;N276-L276&amp;"）",IF(L276=N276,"達成","前倒し（"&amp;L276-N276&amp;"）"))</f>
        <v>未達成（1）</v>
      </c>
      <c r="Q276">
        <f t="shared" ref="Q276" si="585">IF(B276="",NA(),G276)</f>
        <v>4.7916666735545732E-3</v>
      </c>
    </row>
    <row r="277" spans="1:17">
      <c r="A277" s="3">
        <v>46063.476840277777</v>
      </c>
      <c r="B277">
        <v>60</v>
      </c>
      <c r="C277">
        <v>20</v>
      </c>
      <c r="D277">
        <v>0</v>
      </c>
      <c r="E277">
        <v>0</v>
      </c>
      <c r="F277">
        <v>0</v>
      </c>
      <c r="G277" s="5">
        <v>3.8888888884685002E-3</v>
      </c>
      <c r="H277" t="s">
        <v>607</v>
      </c>
      <c r="I277" t="s">
        <v>608</v>
      </c>
      <c r="J277">
        <v>0</v>
      </c>
      <c r="K277">
        <f t="shared" ref="K277" si="586">IF(A277&lt;DATEVALUE("2025/11/20")+TIMEVALUE("6:00"),1,IF(OR(B277&lt;&gt;60,SUM(D277:F277)&lt;&gt;0,G277&gt;=IF(A277&lt;DATEVALUE("2025/12/28")+TIMEVALUE("6:00"),20,18)/24/60),0,2-INT(G277*24*60/10)))</f>
        <v>2</v>
      </c>
      <c r="L277">
        <f t="shared" ref="L277" si="587">L276+K277</f>
        <v>340</v>
      </c>
      <c r="M277">
        <f t="shared" ref="M277" si="588">2+IF(A277&gt;=DATEVALUE("2025/11/30")+TIMEVALUE("6:00"),1,0)+IF(A277&gt;=DATEVALUE("2025/12/11")+TIMEVALUE("6:00"),1,0)</f>
        <v>4</v>
      </c>
      <c r="N277">
        <f t="shared" ref="N277" si="589">N276+M277*(INT(A277-6/24)-INT(A276-6/24))+O277</f>
        <v>339</v>
      </c>
      <c r="O277">
        <f t="shared" si="577"/>
        <v>0</v>
      </c>
      <c r="P277" t="str">
        <f t="shared" ref="P277" si="590">IF(L277&lt;N277,"未達成（"&amp;N277-L277&amp;"）",IF(L277=N277,"達成","前倒し（"&amp;L277-N277&amp;"）"))</f>
        <v>前倒し（1）</v>
      </c>
      <c r="Q277">
        <f t="shared" ref="Q277" si="591">IF(B277="",NA(),G277)</f>
        <v>3.8888888884685002E-3</v>
      </c>
    </row>
    <row r="278" spans="1:17">
      <c r="A278" s="3">
        <v>46064.307627314818</v>
      </c>
      <c r="B278">
        <v>60</v>
      </c>
      <c r="C278">
        <v>19</v>
      </c>
      <c r="D278">
        <v>0</v>
      </c>
      <c r="E278">
        <v>0</v>
      </c>
      <c r="F278">
        <v>0</v>
      </c>
      <c r="G278" s="5">
        <v>9.9652777789742686E-3</v>
      </c>
      <c r="H278" t="s">
        <v>609</v>
      </c>
      <c r="I278" t="s">
        <v>610</v>
      </c>
      <c r="J278">
        <v>0</v>
      </c>
      <c r="K278">
        <f t="shared" ref="K278" si="592">IF(A278&lt;DATEVALUE("2025/11/20")+TIMEVALUE("6:00"),1,IF(OR(B278&lt;&gt;60,SUM(D278:F278)&lt;&gt;0,G278&gt;=IF(A278&lt;DATEVALUE("2025/12/28")+TIMEVALUE("6:00"),20,18)/24/60),0,2-INT(G278*24*60/10)))</f>
        <v>1</v>
      </c>
      <c r="L278">
        <f t="shared" ref="L278" si="593">L277+K278</f>
        <v>341</v>
      </c>
      <c r="M278">
        <f t="shared" ref="M278" si="594">2+IF(A278&gt;=DATEVALUE("2025/11/30")+TIMEVALUE("6:00"),1,0)+IF(A278&gt;=DATEVALUE("2025/12/11")+TIMEVALUE("6:00"),1,0)</f>
        <v>4</v>
      </c>
      <c r="N278">
        <f t="shared" ref="N278" si="595">N277+M278*(INT(A278-6/24)-INT(A277-6/24))+O278</f>
        <v>343</v>
      </c>
      <c r="O278">
        <f t="shared" si="577"/>
        <v>0</v>
      </c>
      <c r="P278" t="str">
        <f t="shared" ref="P278" si="596">IF(L278&lt;N278,"未達成（"&amp;N278-L278&amp;"）",IF(L278=N278,"達成","前倒し（"&amp;L278-N278&amp;"）"))</f>
        <v>未達成（2）</v>
      </c>
      <c r="Q278">
        <f t="shared" ref="Q278" si="597">IF(B278="",NA(),G278)</f>
        <v>9.9652777789742686E-3</v>
      </c>
    </row>
    <row r="279" spans="1:17">
      <c r="A279" s="3">
        <v>46064.317152777781</v>
      </c>
      <c r="B279">
        <v>55</v>
      </c>
      <c r="C279">
        <v>7</v>
      </c>
      <c r="D279">
        <v>0</v>
      </c>
      <c r="E279">
        <v>5</v>
      </c>
      <c r="F279">
        <v>0</v>
      </c>
      <c r="G279" s="5">
        <v>8.7384259313694201E-3</v>
      </c>
      <c r="H279" t="s">
        <v>611</v>
      </c>
      <c r="I279" t="s">
        <v>612</v>
      </c>
      <c r="J279">
        <v>0</v>
      </c>
      <c r="K279">
        <f t="shared" ref="K279" si="598">IF(A279&lt;DATEVALUE("2025/11/20")+TIMEVALUE("6:00"),1,IF(OR(B279&lt;&gt;60,SUM(D279:F279)&lt;&gt;0,G279&gt;=IF(A279&lt;DATEVALUE("2025/12/28")+TIMEVALUE("6:00"),20,18)/24/60),0,2-INT(G279*24*60/10)))</f>
        <v>0</v>
      </c>
      <c r="L279">
        <f t="shared" ref="L279" si="599">L278+K279</f>
        <v>341</v>
      </c>
      <c r="M279">
        <f t="shared" ref="M279" si="600">2+IF(A279&gt;=DATEVALUE("2025/11/30")+TIMEVALUE("6:00"),1,0)+IF(A279&gt;=DATEVALUE("2025/12/11")+TIMEVALUE("6:00"),1,0)</f>
        <v>4</v>
      </c>
      <c r="N279">
        <f t="shared" ref="N279" si="601">N278+M279*(INT(A279-6/24)-INT(A278-6/24))+O279</f>
        <v>343</v>
      </c>
      <c r="O279">
        <f t="shared" si="577"/>
        <v>0</v>
      </c>
      <c r="P279" t="str">
        <f t="shared" ref="P279" si="602">IF(L279&lt;N279,"未達成（"&amp;N279-L279&amp;"）",IF(L279=N279,"達成","前倒し（"&amp;L279-N279&amp;"）"))</f>
        <v>未達成（2）</v>
      </c>
      <c r="Q279">
        <f t="shared" ref="Q279" si="603">IF(B279="",NA(),G279)</f>
        <v>8.7384259313694201E-3</v>
      </c>
    </row>
    <row r="280" spans="1:17">
      <c r="A280" s="3">
        <v>46064.323912037034</v>
      </c>
      <c r="B280">
        <v>60</v>
      </c>
      <c r="C280">
        <v>11</v>
      </c>
      <c r="D280">
        <v>0</v>
      </c>
      <c r="E280">
        <v>0</v>
      </c>
      <c r="F280">
        <v>0</v>
      </c>
      <c r="G280" s="5">
        <v>5.7175925903720781E-3</v>
      </c>
      <c r="H280" t="s">
        <v>613</v>
      </c>
      <c r="I280" t="s">
        <v>614</v>
      </c>
      <c r="J280">
        <v>0</v>
      </c>
      <c r="K280">
        <f t="shared" ref="K280" si="604">IF(A280&lt;DATEVALUE("2025/11/20")+TIMEVALUE("6:00"),1,IF(OR(B280&lt;&gt;60,SUM(D280:F280)&lt;&gt;0,G280&gt;=IF(A280&lt;DATEVALUE("2025/12/28")+TIMEVALUE("6:00"),20,18)/24/60),0,2-INT(G280*24*60/10)))</f>
        <v>2</v>
      </c>
      <c r="L280">
        <f t="shared" ref="L280" si="605">L279+K280</f>
        <v>343</v>
      </c>
      <c r="M280">
        <f t="shared" ref="M280" si="606">2+IF(A280&gt;=DATEVALUE("2025/11/30")+TIMEVALUE("6:00"),1,0)+IF(A280&gt;=DATEVALUE("2025/12/11")+TIMEVALUE("6:00"),1,0)</f>
        <v>4</v>
      </c>
      <c r="N280">
        <f t="shared" ref="N280" si="607">N279+M280*(INT(A280-6/24)-INT(A279-6/24))+O280</f>
        <v>343</v>
      </c>
      <c r="O280">
        <f t="shared" si="577"/>
        <v>0</v>
      </c>
      <c r="P280" t="str">
        <f t="shared" ref="P280" si="608">IF(L280&lt;N280,"未達成（"&amp;N280-L280&amp;"）",IF(L280=N280,"達成","前倒し（"&amp;L280-N280&amp;"）"))</f>
        <v>達成</v>
      </c>
      <c r="Q280">
        <f t="shared" ref="Q280" si="609">IF(B280="",NA(),G280)</f>
        <v>5.7175925903720781E-3</v>
      </c>
    </row>
    <row r="281" spans="1:17">
      <c r="A281" s="3">
        <v>46065.287199074075</v>
      </c>
      <c r="B281">
        <v>60</v>
      </c>
      <c r="C281">
        <v>26</v>
      </c>
      <c r="D281">
        <v>0</v>
      </c>
      <c r="E281">
        <v>0</v>
      </c>
      <c r="F281">
        <v>0</v>
      </c>
      <c r="G281" s="5">
        <v>1.1863425927003846E-2</v>
      </c>
      <c r="H281" t="s">
        <v>615</v>
      </c>
      <c r="I281" t="s">
        <v>616</v>
      </c>
      <c r="J281">
        <v>0</v>
      </c>
      <c r="K281">
        <f t="shared" ref="K281" si="610">IF(A281&lt;DATEVALUE("2025/11/20")+TIMEVALUE("6:00"),1,IF(OR(B281&lt;&gt;60,SUM(D281:F281)&lt;&gt;0,G281&gt;=IF(A281&lt;DATEVALUE("2025/12/28")+TIMEVALUE("6:00"),20,18)/24/60),0,2-INT(G281*24*60/10)))</f>
        <v>1</v>
      </c>
      <c r="L281">
        <f t="shared" ref="L281" si="611">L280+K281</f>
        <v>344</v>
      </c>
      <c r="M281">
        <f t="shared" ref="M281" si="612">2+IF(A281&gt;=DATEVALUE("2025/11/30")+TIMEVALUE("6:00"),1,0)+IF(A281&gt;=DATEVALUE("2025/12/11")+TIMEVALUE("6:00"),1,0)</f>
        <v>4</v>
      </c>
      <c r="N281">
        <f t="shared" ref="N281" si="613">N280+M281*(INT(A281-6/24)-INT(A280-6/24))+O281</f>
        <v>347</v>
      </c>
      <c r="O281">
        <f t="shared" si="577"/>
        <v>0</v>
      </c>
      <c r="P281" t="str">
        <f t="shared" ref="P281" si="614">IF(L281&lt;N281,"未達成（"&amp;N281-L281&amp;"）",IF(L281=N281,"達成","前倒し（"&amp;L281-N281&amp;"）"))</f>
        <v>未達成（3）</v>
      </c>
      <c r="Q281">
        <f t="shared" ref="Q281" si="615">IF(B281="",NA(),G281)</f>
        <v>1.1863425927003846E-2</v>
      </c>
    </row>
    <row r="282" spans="1:17">
      <c r="A282" s="3">
        <v>46065.298506944448</v>
      </c>
      <c r="B282">
        <v>60</v>
      </c>
      <c r="C282">
        <v>15</v>
      </c>
      <c r="D282">
        <v>0</v>
      </c>
      <c r="E282">
        <v>0</v>
      </c>
      <c r="F282">
        <v>0</v>
      </c>
      <c r="G282" s="5">
        <v>1.0497685187146999E-2</v>
      </c>
      <c r="H282" t="s">
        <v>617</v>
      </c>
      <c r="I282" t="s">
        <v>618</v>
      </c>
      <c r="J282">
        <v>0</v>
      </c>
      <c r="K282">
        <f t="shared" ref="K282" si="616">IF(A282&lt;DATEVALUE("2025/11/20")+TIMEVALUE("6:00"),1,IF(OR(B282&lt;&gt;60,SUM(D282:F282)&lt;&gt;0,G282&gt;=IF(A282&lt;DATEVALUE("2025/12/28")+TIMEVALUE("6:00"),20,18)/24/60),0,2-INT(G282*24*60/10)))</f>
        <v>1</v>
      </c>
      <c r="L282">
        <f t="shared" ref="L282" si="617">L281+K282</f>
        <v>345</v>
      </c>
      <c r="M282">
        <f t="shared" ref="M282" si="618">2+IF(A282&gt;=DATEVALUE("2025/11/30")+TIMEVALUE("6:00"),1,0)+IF(A282&gt;=DATEVALUE("2025/12/11")+TIMEVALUE("6:00"),1,0)</f>
        <v>4</v>
      </c>
      <c r="N282">
        <f t="shared" ref="N282" si="619">N281+M282*(INT(A282-6/24)-INT(A281-6/24))+O282</f>
        <v>347</v>
      </c>
      <c r="O282">
        <f t="shared" si="577"/>
        <v>0</v>
      </c>
      <c r="P282" t="str">
        <f t="shared" ref="P282" si="620">IF(L282&lt;N282,"未達成（"&amp;N282-L282&amp;"）",IF(L282=N282,"達成","前倒し（"&amp;L282-N282&amp;"）"))</f>
        <v>未達成（2）</v>
      </c>
      <c r="Q282">
        <f t="shared" ref="Q282" si="621">IF(B282="",NA(),G282)</f>
        <v>1.0497685187146999E-2</v>
      </c>
    </row>
    <row r="283" spans="1:17">
      <c r="A283" s="3">
        <v>46065.31585648148</v>
      </c>
      <c r="B283">
        <v>60</v>
      </c>
      <c r="C283">
        <v>11</v>
      </c>
      <c r="D283">
        <v>0</v>
      </c>
      <c r="E283">
        <v>0</v>
      </c>
      <c r="F283">
        <v>0</v>
      </c>
      <c r="G283" s="5">
        <v>4.9537037048139609E-3</v>
      </c>
      <c r="H283" t="s">
        <v>619</v>
      </c>
      <c r="I283" t="s">
        <v>620</v>
      </c>
      <c r="J283">
        <v>0</v>
      </c>
      <c r="K283">
        <f t="shared" ref="K283" si="622">IF(A283&lt;DATEVALUE("2025/11/20")+TIMEVALUE("6:00"),1,IF(OR(B283&lt;&gt;60,SUM(D283:F283)&lt;&gt;0,G283&gt;=IF(A283&lt;DATEVALUE("2025/12/28")+TIMEVALUE("6:00"),20,18)/24/60),0,2-INT(G283*24*60/10)))</f>
        <v>2</v>
      </c>
      <c r="L283">
        <f t="shared" ref="L283" si="623">L282+K283</f>
        <v>347</v>
      </c>
      <c r="M283">
        <f t="shared" ref="M283" si="624">2+IF(A283&gt;=DATEVALUE("2025/11/30")+TIMEVALUE("6:00"),1,0)+IF(A283&gt;=DATEVALUE("2025/12/11")+TIMEVALUE("6:00"),1,0)</f>
        <v>4</v>
      </c>
      <c r="N283">
        <f t="shared" ref="N283" si="625">N282+M283*(INT(A283-6/24)-INT(A282-6/24))+O283</f>
        <v>347</v>
      </c>
      <c r="O283">
        <f t="shared" si="577"/>
        <v>0</v>
      </c>
      <c r="P283" t="str">
        <f t="shared" ref="P283" si="626">IF(L283&lt;N283,"未達成（"&amp;N283-L283&amp;"）",IF(L283=N283,"達成","前倒し（"&amp;L283-N283&amp;"）"))</f>
        <v>達成</v>
      </c>
      <c r="Q283">
        <f t="shared" ref="Q283" si="627">IF(B283="",NA(),G283)</f>
        <v>4.9537037048139609E-3</v>
      </c>
    </row>
    <row r="284" spans="1:17">
      <c r="A284" s="3">
        <v>46066.28324074074</v>
      </c>
      <c r="B284">
        <v>60</v>
      </c>
      <c r="C284">
        <v>24</v>
      </c>
      <c r="D284">
        <v>0</v>
      </c>
      <c r="E284">
        <v>0</v>
      </c>
      <c r="F284">
        <v>0</v>
      </c>
      <c r="G284" s="5">
        <v>6.9907407378195785E-3</v>
      </c>
      <c r="H284" t="s">
        <v>621</v>
      </c>
      <c r="I284" t="s">
        <v>622</v>
      </c>
      <c r="J284">
        <v>0</v>
      </c>
      <c r="K284">
        <f t="shared" ref="K284" si="628">IF(A284&lt;DATEVALUE("2025/11/20")+TIMEVALUE("6:00"),1,IF(OR(B284&lt;&gt;60,SUM(D284:F284)&lt;&gt;0,G284&gt;=IF(A284&lt;DATEVALUE("2025/12/28")+TIMEVALUE("6:00"),20,18)/24/60),0,2-INT(G284*24*60/10)))</f>
        <v>1</v>
      </c>
      <c r="L284">
        <f t="shared" ref="L284" si="629">L283+K284</f>
        <v>348</v>
      </c>
      <c r="M284">
        <f t="shared" ref="M284" si="630">2+IF(A284&gt;=DATEVALUE("2025/11/30")+TIMEVALUE("6:00"),1,0)+IF(A284&gt;=DATEVALUE("2025/12/11")+TIMEVALUE("6:00"),1,0)</f>
        <v>4</v>
      </c>
      <c r="N284">
        <f t="shared" ref="N284" si="631">N283+M284*(INT(A284-6/24)-INT(A283-6/24))+O284</f>
        <v>351</v>
      </c>
      <c r="O284">
        <f t="shared" si="577"/>
        <v>0</v>
      </c>
      <c r="P284" t="str">
        <f t="shared" ref="P284" si="632">IF(L284&lt;N284,"未達成（"&amp;N284-L284&amp;"）",IF(L284=N284,"達成","前倒し（"&amp;L284-N284&amp;"）"))</f>
        <v>未達成（3）</v>
      </c>
      <c r="Q284">
        <f t="shared" ref="Q284" si="633">IF(B284="",NA(),G284)</f>
        <v>6.9907407378195785E-3</v>
      </c>
    </row>
    <row r="285" spans="1:17">
      <c r="A285" s="3">
        <v>46066.288854166669</v>
      </c>
      <c r="B285">
        <v>60</v>
      </c>
      <c r="C285">
        <v>20</v>
      </c>
      <c r="D285">
        <v>0</v>
      </c>
      <c r="E285">
        <v>0</v>
      </c>
      <c r="F285">
        <v>0</v>
      </c>
      <c r="G285" s="5">
        <v>4.8611111124046147E-3</v>
      </c>
      <c r="H285" t="s">
        <v>623</v>
      </c>
      <c r="I285" t="s">
        <v>624</v>
      </c>
      <c r="J285">
        <v>0</v>
      </c>
      <c r="K285">
        <f t="shared" ref="K285" si="634">IF(A285&lt;DATEVALUE("2025/11/20")+TIMEVALUE("6:00"),1,IF(OR(B285&lt;&gt;60,SUM(D285:F285)&lt;&gt;0,G285&gt;=IF(A285&lt;DATEVALUE("2025/12/28")+TIMEVALUE("6:00"),20,18)/24/60),0,2-INT(G285*24*60/10)))</f>
        <v>2</v>
      </c>
      <c r="L285">
        <f t="shared" ref="L285" si="635">L284+K285</f>
        <v>350</v>
      </c>
      <c r="M285">
        <f t="shared" ref="M285" si="636">2+IF(A285&gt;=DATEVALUE("2025/11/30")+TIMEVALUE("6:00"),1,0)+IF(A285&gt;=DATEVALUE("2025/12/11")+TIMEVALUE("6:00"),1,0)</f>
        <v>4</v>
      </c>
      <c r="N285">
        <f t="shared" ref="N285" si="637">N284+M285*(INT(A285-6/24)-INT(A284-6/24))+O285</f>
        <v>351</v>
      </c>
      <c r="O285">
        <f t="shared" si="577"/>
        <v>0</v>
      </c>
      <c r="P285" t="str">
        <f t="shared" ref="P285" si="638">IF(L285&lt;N285,"未達成（"&amp;N285-L285&amp;"）",IF(L285=N285,"達成","前倒し（"&amp;L285-N285&amp;"）"))</f>
        <v>未達成（1）</v>
      </c>
      <c r="Q285">
        <f t="shared" ref="Q285" si="639">IF(B285="",NA(),G285)</f>
        <v>4.8611111124046147E-3</v>
      </c>
    </row>
    <row r="286" spans="1:17">
      <c r="A286" s="3">
        <v>46066.301921296297</v>
      </c>
      <c r="B286">
        <v>60</v>
      </c>
      <c r="C286">
        <v>15</v>
      </c>
      <c r="D286">
        <v>0</v>
      </c>
      <c r="E286">
        <v>0</v>
      </c>
      <c r="F286">
        <v>0</v>
      </c>
      <c r="G286" s="5">
        <v>1.2199074073578231E-2</v>
      </c>
      <c r="H286" t="s">
        <v>625</v>
      </c>
      <c r="I286" t="s">
        <v>626</v>
      </c>
      <c r="J286">
        <v>0</v>
      </c>
      <c r="K286">
        <f t="shared" ref="K286" si="640">IF(A286&lt;DATEVALUE("2025/11/20")+TIMEVALUE("6:00"),1,IF(OR(B286&lt;&gt;60,SUM(D286:F286)&lt;&gt;0,G286&gt;=IF(A286&lt;DATEVALUE("2025/12/28")+TIMEVALUE("6:00"),20,18)/24/60),0,2-INT(G286*24*60/10)))</f>
        <v>1</v>
      </c>
      <c r="L286">
        <f t="shared" ref="L286" si="641">L285+K286</f>
        <v>351</v>
      </c>
      <c r="M286">
        <f t="shared" ref="M286" si="642">2+IF(A286&gt;=DATEVALUE("2025/11/30")+TIMEVALUE("6:00"),1,0)+IF(A286&gt;=DATEVALUE("2025/12/11")+TIMEVALUE("6:00"),1,0)</f>
        <v>4</v>
      </c>
      <c r="N286">
        <f t="shared" ref="N286" si="643">N285+M286*(INT(A286-6/24)-INT(A285-6/24))+O286</f>
        <v>351</v>
      </c>
      <c r="O286">
        <f t="shared" si="577"/>
        <v>0</v>
      </c>
      <c r="P286" t="str">
        <f t="shared" ref="P286" si="644">IF(L286&lt;N286,"未達成（"&amp;N286-L286&amp;"）",IF(L286=N286,"達成","前倒し（"&amp;L286-N286&amp;"）"))</f>
        <v>達成</v>
      </c>
      <c r="Q286">
        <f t="shared" ref="Q286" si="645">IF(B286="",NA(),G286)</f>
        <v>1.2199074073578231E-2</v>
      </c>
    </row>
    <row r="287" spans="1:17">
      <c r="A287" s="3">
        <v>46067.296168981484</v>
      </c>
      <c r="B287">
        <v>60</v>
      </c>
      <c r="C287">
        <v>17</v>
      </c>
      <c r="D287">
        <v>0</v>
      </c>
      <c r="E287">
        <v>0</v>
      </c>
      <c r="F287">
        <v>0</v>
      </c>
      <c r="G287" s="5">
        <v>8.1250000002910383E-3</v>
      </c>
      <c r="H287" t="s">
        <v>627</v>
      </c>
      <c r="I287" t="s">
        <v>628</v>
      </c>
      <c r="J287">
        <v>0</v>
      </c>
      <c r="K287">
        <f t="shared" ref="K287" si="646">IF(A287&lt;DATEVALUE("2025/11/20")+TIMEVALUE("6:00"),1,IF(OR(B287&lt;&gt;60,SUM(D287:F287)&lt;&gt;0,G287&gt;=IF(A287&lt;DATEVALUE("2025/12/28")+TIMEVALUE("6:00"),20,18)/24/60),0,2-INT(G287*24*60/10)))</f>
        <v>1</v>
      </c>
      <c r="L287">
        <f t="shared" ref="L287" si="647">L286+K287</f>
        <v>352</v>
      </c>
      <c r="M287">
        <f t="shared" ref="M287" si="648">2+IF(A287&gt;=DATEVALUE("2025/11/30")+TIMEVALUE("6:00"),1,0)+IF(A287&gt;=DATEVALUE("2025/12/11")+TIMEVALUE("6:00"),1,0)</f>
        <v>4</v>
      </c>
      <c r="N287">
        <f t="shared" ref="N287" si="649">N286+M287*(INT(A287-6/24)-INT(A286-6/24))+O287</f>
        <v>355</v>
      </c>
      <c r="O287">
        <f t="shared" si="577"/>
        <v>0</v>
      </c>
      <c r="P287" t="str">
        <f t="shared" ref="P287" si="650">IF(L287&lt;N287,"未達成（"&amp;N287-L287&amp;"）",IF(L287=N287,"達成","前倒し（"&amp;L287-N287&amp;"）"))</f>
        <v>未達成（3）</v>
      </c>
      <c r="Q287">
        <f t="shared" ref="Q287" si="651">IF(B287="",NA(),G287)</f>
        <v>8.1250000002910383E-3</v>
      </c>
    </row>
    <row r="288" spans="1:17">
      <c r="A288" s="3">
        <v>46067.302523148152</v>
      </c>
      <c r="B288">
        <v>57</v>
      </c>
      <c r="C288">
        <v>14</v>
      </c>
      <c r="D288">
        <v>0</v>
      </c>
      <c r="E288">
        <v>3</v>
      </c>
      <c r="F288">
        <v>0</v>
      </c>
      <c r="G288" s="5">
        <v>5.0810185202863067E-3</v>
      </c>
      <c r="H288" t="s">
        <v>629</v>
      </c>
      <c r="I288" t="s">
        <v>630</v>
      </c>
      <c r="J288">
        <v>0</v>
      </c>
      <c r="K288">
        <f t="shared" ref="K288" si="652">IF(A288&lt;DATEVALUE("2025/11/20")+TIMEVALUE("6:00"),1,IF(OR(B288&lt;&gt;60,SUM(D288:F288)&lt;&gt;0,G288&gt;=IF(A288&lt;DATEVALUE("2025/12/28")+TIMEVALUE("6:00"),20,18)/24/60),0,2-INT(G288*24*60/10)))</f>
        <v>0</v>
      </c>
      <c r="L288">
        <f t="shared" ref="L288" si="653">L287+K288</f>
        <v>352</v>
      </c>
      <c r="M288">
        <f t="shared" ref="M288" si="654">2+IF(A288&gt;=DATEVALUE("2025/11/30")+TIMEVALUE("6:00"),1,0)+IF(A288&gt;=DATEVALUE("2025/12/11")+TIMEVALUE("6:00"),1,0)</f>
        <v>4</v>
      </c>
      <c r="N288">
        <f t="shared" ref="N288" si="655">N287+M288*(INT(A288-6/24)-INT(A287-6/24))+O288</f>
        <v>355</v>
      </c>
      <c r="O288">
        <f t="shared" si="577"/>
        <v>0</v>
      </c>
      <c r="P288" t="str">
        <f t="shared" ref="P288" si="656">IF(L288&lt;N288,"未達成（"&amp;N288-L288&amp;"）",IF(L288=N288,"達成","前倒し（"&amp;L288-N288&amp;"）"))</f>
        <v>未達成（3）</v>
      </c>
      <c r="Q288">
        <f t="shared" ref="Q288" si="657">IF(B288="",NA(),G288)</f>
        <v>5.0810185202863067E-3</v>
      </c>
    </row>
    <row r="289" spans="1:17">
      <c r="A289" s="3">
        <v>46067.313206018516</v>
      </c>
      <c r="B289">
        <v>55</v>
      </c>
      <c r="C289">
        <v>12</v>
      </c>
      <c r="D289">
        <v>0</v>
      </c>
      <c r="E289">
        <v>5</v>
      </c>
      <c r="F289">
        <v>0</v>
      </c>
      <c r="G289" s="5">
        <v>1.003472221782431E-2</v>
      </c>
      <c r="H289" t="s">
        <v>631</v>
      </c>
      <c r="I289" t="s">
        <v>632</v>
      </c>
      <c r="J289">
        <v>0</v>
      </c>
      <c r="K289">
        <f t="shared" ref="K289" si="658">IF(A289&lt;DATEVALUE("2025/11/20")+TIMEVALUE("6:00"),1,IF(OR(B289&lt;&gt;60,SUM(D289:F289)&lt;&gt;0,G289&gt;=IF(A289&lt;DATEVALUE("2025/12/28")+TIMEVALUE("6:00"),20,18)/24/60),0,2-INT(G289*24*60/10)))</f>
        <v>0</v>
      </c>
      <c r="L289">
        <f t="shared" ref="L289" si="659">L288+K289</f>
        <v>352</v>
      </c>
      <c r="M289">
        <f t="shared" ref="M289" si="660">2+IF(A289&gt;=DATEVALUE("2025/11/30")+TIMEVALUE("6:00"),1,0)+IF(A289&gt;=DATEVALUE("2025/12/11")+TIMEVALUE("6:00"),1,0)</f>
        <v>4</v>
      </c>
      <c r="N289">
        <f t="shared" ref="N289" si="661">N288+M289*(INT(A289-6/24)-INT(A288-6/24))+O289</f>
        <v>355</v>
      </c>
      <c r="O289">
        <f t="shared" si="577"/>
        <v>0</v>
      </c>
      <c r="P289" t="str">
        <f t="shared" ref="P289" si="662">IF(L289&lt;N289,"未達成（"&amp;N289-L289&amp;"）",IF(L289=N289,"達成","前倒し（"&amp;L289-N289&amp;"）"))</f>
        <v>未達成（3）</v>
      </c>
      <c r="Q289">
        <f t="shared" ref="Q289" si="663">IF(B289="",NA(),G289)</f>
        <v>1.003472221782431E-2</v>
      </c>
    </row>
    <row r="290" spans="1:17">
      <c r="A290" s="3">
        <v>46067.319328703707</v>
      </c>
      <c r="B290">
        <v>60</v>
      </c>
      <c r="C290">
        <v>12</v>
      </c>
      <c r="D290">
        <v>0</v>
      </c>
      <c r="E290">
        <v>0</v>
      </c>
      <c r="F290">
        <v>0</v>
      </c>
      <c r="G290" s="5">
        <v>5.6828703745850362E-3</v>
      </c>
      <c r="H290" t="s">
        <v>633</v>
      </c>
      <c r="I290" t="s">
        <v>634</v>
      </c>
      <c r="J290">
        <v>0</v>
      </c>
      <c r="K290">
        <f t="shared" ref="K290" si="664">IF(A290&lt;DATEVALUE("2025/11/20")+TIMEVALUE("6:00"),1,IF(OR(B290&lt;&gt;60,SUM(D290:F290)&lt;&gt;0,G290&gt;=IF(A290&lt;DATEVALUE("2025/12/28")+TIMEVALUE("6:00"),20,18)/24/60),0,2-INT(G290*24*60/10)))</f>
        <v>2</v>
      </c>
      <c r="L290">
        <f t="shared" ref="L290" si="665">L289+K290</f>
        <v>354</v>
      </c>
      <c r="M290">
        <f t="shared" ref="M290" si="666">2+IF(A290&gt;=DATEVALUE("2025/11/30")+TIMEVALUE("6:00"),1,0)+IF(A290&gt;=DATEVALUE("2025/12/11")+TIMEVALUE("6:00"),1,0)</f>
        <v>4</v>
      </c>
      <c r="N290">
        <f t="shared" ref="N290" si="667">N289+M290*(INT(A290-6/24)-INT(A289-6/24))+O290</f>
        <v>355</v>
      </c>
      <c r="O290">
        <f t="shared" si="577"/>
        <v>0</v>
      </c>
      <c r="P290" t="str">
        <f t="shared" ref="P290" si="668">IF(L290&lt;N290,"未達成（"&amp;N290-L290&amp;"）",IF(L290=N290,"達成","前倒し（"&amp;L290-N290&amp;"）"))</f>
        <v>未達成（1）</v>
      </c>
      <c r="Q290">
        <f t="shared" ref="Q290" si="669">IF(B290="",NA(),G290)</f>
        <v>5.6828703745850362E-3</v>
      </c>
    </row>
    <row r="291" spans="1:17">
      <c r="A291" s="3">
        <v>46067.367638888885</v>
      </c>
      <c r="G291" s="5">
        <v>1.5393518478958867E-3</v>
      </c>
      <c r="H291" t="s">
        <v>635</v>
      </c>
      <c r="I291" t="s">
        <v>636</v>
      </c>
      <c r="J291">
        <v>1</v>
      </c>
      <c r="K291">
        <f t="shared" ref="K291" si="670">IF(A291&lt;DATEVALUE("2025/11/20")+TIMEVALUE("6:00"),1,IF(OR(B291&lt;&gt;60,SUM(D291:F291)&lt;&gt;0,G291&gt;=IF(A291&lt;DATEVALUE("2025/12/28")+TIMEVALUE("6:00"),20,18)/24/60),0,2-INT(G291*24*60/10)))</f>
        <v>0</v>
      </c>
      <c r="L291">
        <f t="shared" ref="L291" si="671">L290+K291</f>
        <v>354</v>
      </c>
      <c r="M291">
        <f t="shared" ref="M291" si="672">2+IF(A291&gt;=DATEVALUE("2025/11/30")+TIMEVALUE("6:00"),1,0)+IF(A291&gt;=DATEVALUE("2025/12/11")+TIMEVALUE("6:00"),1,0)</f>
        <v>4</v>
      </c>
      <c r="N291">
        <f t="shared" ref="N291" si="673">N290+M291*(INT(A291-6/24)-INT(A290-6/24))+O291</f>
        <v>355</v>
      </c>
      <c r="O291">
        <f t="shared" si="577"/>
        <v>0</v>
      </c>
      <c r="P291" t="str">
        <f t="shared" ref="P291" si="674">IF(L291&lt;N291,"未達成（"&amp;N291-L291&amp;"）",IF(L291=N291,"達成","前倒し（"&amp;L291-N291&amp;"）"))</f>
        <v>未達成（1）</v>
      </c>
      <c r="Q291" t="e">
        <f t="shared" ref="Q291" si="675">IF(B291="",NA(),G291)</f>
        <v>#N/A</v>
      </c>
    </row>
    <row r="292" spans="1:17">
      <c r="A292" s="3">
        <v>46067.445856481485</v>
      </c>
      <c r="B292">
        <v>60</v>
      </c>
      <c r="C292">
        <v>5</v>
      </c>
      <c r="D292">
        <v>0</v>
      </c>
      <c r="E292">
        <v>0</v>
      </c>
      <c r="F292">
        <v>0</v>
      </c>
      <c r="G292" s="5">
        <v>7.928240745968651E-3</v>
      </c>
      <c r="H292" t="s">
        <v>637</v>
      </c>
      <c r="I292" t="s">
        <v>638</v>
      </c>
      <c r="J292">
        <v>0</v>
      </c>
      <c r="K292">
        <f t="shared" ref="K292" si="676">IF(A292&lt;DATEVALUE("2025/11/20")+TIMEVALUE("6:00"),1,IF(OR(B292&lt;&gt;60,SUM(D292:F292)&lt;&gt;0,G292&gt;=IF(A292&lt;DATEVALUE("2025/12/28")+TIMEVALUE("6:00"),20,18)/24/60),0,2-INT(G292*24*60/10)))</f>
        <v>1</v>
      </c>
      <c r="L292">
        <f t="shared" ref="L292" si="677">L291+K292</f>
        <v>355</v>
      </c>
      <c r="M292">
        <f t="shared" ref="M292" si="678">2+IF(A292&gt;=DATEVALUE("2025/11/30")+TIMEVALUE("6:00"),1,0)+IF(A292&gt;=DATEVALUE("2025/12/11")+TIMEVALUE("6:00"),1,0)</f>
        <v>4</v>
      </c>
      <c r="N292">
        <f t="shared" ref="N292" si="679">N291+M292*(INT(A292-6/24)-INT(A291-6/24))+O292</f>
        <v>355</v>
      </c>
      <c r="O292">
        <f t="shared" si="577"/>
        <v>0</v>
      </c>
      <c r="P292" t="str">
        <f t="shared" ref="P292" si="680">IF(L292&lt;N292,"未達成（"&amp;N292-L292&amp;"）",IF(L292=N292,"達成","前倒し（"&amp;L292-N292&amp;"）"))</f>
        <v>達成</v>
      </c>
      <c r="Q292">
        <f t="shared" ref="Q292" si="681">IF(B292="",NA(),G292)</f>
        <v>7.928240745968651E-3</v>
      </c>
    </row>
    <row r="293" spans="1:17">
      <c r="A293" s="3">
        <v>46068.290046296293</v>
      </c>
      <c r="B293">
        <v>60</v>
      </c>
      <c r="C293">
        <v>19</v>
      </c>
      <c r="D293">
        <v>0</v>
      </c>
      <c r="E293">
        <v>0</v>
      </c>
      <c r="F293">
        <v>0</v>
      </c>
      <c r="G293" s="5">
        <v>4.2476851813262329E-3</v>
      </c>
      <c r="H293" t="s">
        <v>639</v>
      </c>
      <c r="I293" t="s">
        <v>640</v>
      </c>
      <c r="J293">
        <v>0</v>
      </c>
      <c r="K293">
        <f t="shared" ref="K293" si="682">IF(A293&lt;DATEVALUE("2025/11/20")+TIMEVALUE("6:00"),1,IF(OR(B293&lt;&gt;60,SUM(D293:F293)&lt;&gt;0,G293&gt;=IF(A293&lt;DATEVALUE("2025/12/28")+TIMEVALUE("6:00"),20,18)/24/60),0,2-INT(G293*24*60/10)))</f>
        <v>2</v>
      </c>
      <c r="L293">
        <f t="shared" ref="L293" si="683">L292+K293</f>
        <v>357</v>
      </c>
      <c r="M293">
        <f t="shared" ref="M293" si="684">2+IF(A293&gt;=DATEVALUE("2025/11/30")+TIMEVALUE("6:00"),1,0)+IF(A293&gt;=DATEVALUE("2025/12/11")+TIMEVALUE("6:00"),1,0)</f>
        <v>4</v>
      </c>
      <c r="N293">
        <f t="shared" ref="N293" si="685">N292+M293*(INT(A293-6/24)-INT(A292-6/24))+O293</f>
        <v>359</v>
      </c>
      <c r="O293">
        <f t="shared" si="577"/>
        <v>0</v>
      </c>
      <c r="P293" t="str">
        <f t="shared" ref="P293" si="686">IF(L293&lt;N293,"未達成（"&amp;N293-L293&amp;"）",IF(L293=N293,"達成","前倒し（"&amp;L293-N293&amp;"）"))</f>
        <v>未達成（2）</v>
      </c>
      <c r="Q293">
        <f t="shared" ref="Q293" si="687">IF(B293="",NA(),G293)</f>
        <v>4.2476851813262329E-3</v>
      </c>
    </row>
    <row r="294" spans="1:17">
      <c r="A294" s="3">
        <v>46068.297442129631</v>
      </c>
      <c r="B294">
        <v>60</v>
      </c>
      <c r="C294">
        <v>14</v>
      </c>
      <c r="D294">
        <v>0</v>
      </c>
      <c r="E294">
        <v>0</v>
      </c>
      <c r="F294">
        <v>0</v>
      </c>
      <c r="G294" s="5">
        <v>6.7476851836545393E-3</v>
      </c>
      <c r="H294" t="s">
        <v>641</v>
      </c>
      <c r="I294" t="s">
        <v>642</v>
      </c>
      <c r="J294">
        <v>0</v>
      </c>
      <c r="K294">
        <f t="shared" ref="K294" si="688">IF(A294&lt;DATEVALUE("2025/11/20")+TIMEVALUE("6:00"),1,IF(OR(B294&lt;&gt;60,SUM(D294:F294)&lt;&gt;0,G294&gt;=IF(A294&lt;DATEVALUE("2025/12/28")+TIMEVALUE("6:00"),20,18)/24/60),0,2-INT(G294*24*60/10)))</f>
        <v>2</v>
      </c>
      <c r="L294">
        <f t="shared" ref="L294" si="689">L293+K294</f>
        <v>359</v>
      </c>
      <c r="M294">
        <f t="shared" ref="M294" si="690">2+IF(A294&gt;=DATEVALUE("2025/11/30")+TIMEVALUE("6:00"),1,0)+IF(A294&gt;=DATEVALUE("2025/12/11")+TIMEVALUE("6:00"),1,0)</f>
        <v>4</v>
      </c>
      <c r="N294">
        <f t="shared" ref="N294" si="691">N293+M294*(INT(A294-6/24)-INT(A293-6/24))+O294</f>
        <v>359</v>
      </c>
      <c r="O294">
        <f t="shared" si="577"/>
        <v>0</v>
      </c>
      <c r="P294" t="str">
        <f t="shared" ref="P294" si="692">IF(L294&lt;N294,"未達成（"&amp;N294-L294&amp;"）",IF(L294=N294,"達成","前倒し（"&amp;L294-N294&amp;"）"))</f>
        <v>達成</v>
      </c>
      <c r="Q294">
        <f t="shared" ref="Q294" si="693">IF(B294="",NA(),G294)</f>
        <v>6.7476851836545393E-3</v>
      </c>
    </row>
    <row r="295" spans="1:17">
      <c r="A295" s="3">
        <v>46069.282627314817</v>
      </c>
      <c r="B295">
        <v>60</v>
      </c>
      <c r="C295">
        <v>7</v>
      </c>
      <c r="D295">
        <v>0</v>
      </c>
      <c r="E295">
        <v>0</v>
      </c>
      <c r="F295">
        <v>0</v>
      </c>
      <c r="G295" s="5">
        <v>8.1712963001336902E-3</v>
      </c>
      <c r="H295" t="s">
        <v>643</v>
      </c>
      <c r="I295" t="s">
        <v>644</v>
      </c>
      <c r="J295">
        <v>0</v>
      </c>
      <c r="K295">
        <f t="shared" ref="K295" si="694">IF(A295&lt;DATEVALUE("2025/11/20")+TIMEVALUE("6:00"),1,IF(OR(B295&lt;&gt;60,SUM(D295:F295)&lt;&gt;0,G295&gt;=IF(A295&lt;DATEVALUE("2025/12/28")+TIMEVALUE("6:00"),20,18)/24/60),0,2-INT(G295*24*60/10)))</f>
        <v>1</v>
      </c>
      <c r="L295">
        <f t="shared" ref="L295" si="695">L294+K295</f>
        <v>360</v>
      </c>
      <c r="M295">
        <f t="shared" ref="M295" si="696">2+IF(A295&gt;=DATEVALUE("2025/11/30")+TIMEVALUE("6:00"),1,0)+IF(A295&gt;=DATEVALUE("2025/12/11")+TIMEVALUE("6:00"),1,0)</f>
        <v>4</v>
      </c>
      <c r="N295">
        <f t="shared" ref="N295" si="697">N294+M295*(INT(A295-6/24)-INT(A294-6/24))+O295</f>
        <v>363</v>
      </c>
      <c r="O295">
        <f t="shared" si="577"/>
        <v>0</v>
      </c>
      <c r="P295" t="str">
        <f t="shared" ref="P295" si="698">IF(L295&lt;N295,"未達成（"&amp;N295-L295&amp;"）",IF(L295=N295,"達成","前倒し（"&amp;L295-N295&amp;"）"))</f>
        <v>未達成（3）</v>
      </c>
      <c r="Q295">
        <f t="shared" ref="Q295" si="699">IF(B295="",NA(),G295)</f>
        <v>8.1712963001336902E-3</v>
      </c>
    </row>
    <row r="296" spans="1:17">
      <c r="A296" s="3">
        <v>46069.288171296299</v>
      </c>
      <c r="B296">
        <v>60</v>
      </c>
      <c r="C296">
        <v>13</v>
      </c>
      <c r="D296">
        <v>0</v>
      </c>
      <c r="E296">
        <v>0</v>
      </c>
      <c r="F296">
        <v>0</v>
      </c>
      <c r="G296" s="5">
        <v>4.4444444502005354E-3</v>
      </c>
      <c r="H296" t="s">
        <v>645</v>
      </c>
      <c r="I296" t="s">
        <v>646</v>
      </c>
      <c r="J296">
        <v>0</v>
      </c>
      <c r="K296">
        <f t="shared" ref="K296" si="700">IF(A296&lt;DATEVALUE("2025/11/20")+TIMEVALUE("6:00"),1,IF(OR(B296&lt;&gt;60,SUM(D296:F296)&lt;&gt;0,G296&gt;=IF(A296&lt;DATEVALUE("2025/12/28")+TIMEVALUE("6:00"),20,18)/24/60),0,2-INT(G296*24*60/10)))</f>
        <v>2</v>
      </c>
      <c r="L296">
        <f t="shared" ref="L296" si="701">L295+K296</f>
        <v>362</v>
      </c>
      <c r="M296">
        <f t="shared" ref="M296" si="702">2+IF(A296&gt;=DATEVALUE("2025/11/30")+TIMEVALUE("6:00"),1,0)+IF(A296&gt;=DATEVALUE("2025/12/11")+TIMEVALUE("6:00"),1,0)</f>
        <v>4</v>
      </c>
      <c r="N296">
        <f t="shared" ref="N296" si="703">N295+M296*(INT(A296-6/24)-INT(A295-6/24))+O296</f>
        <v>363</v>
      </c>
      <c r="O296">
        <f t="shared" si="577"/>
        <v>0</v>
      </c>
      <c r="P296" t="str">
        <f t="shared" ref="P296" si="704">IF(L296&lt;N296,"未達成（"&amp;N296-L296&amp;"）",IF(L296=N296,"達成","前倒し（"&amp;L296-N296&amp;"）"))</f>
        <v>未達成（1）</v>
      </c>
      <c r="Q296">
        <f t="shared" ref="Q296" si="705">IF(B296="",NA(),G296)</f>
        <v>4.4444444502005354E-3</v>
      </c>
    </row>
    <row r="297" spans="1:17">
      <c r="A297" s="3">
        <v>46069.296064814815</v>
      </c>
      <c r="B297">
        <v>60</v>
      </c>
      <c r="C297">
        <v>27</v>
      </c>
      <c r="D297">
        <v>0</v>
      </c>
      <c r="E297">
        <v>0</v>
      </c>
      <c r="F297">
        <v>0</v>
      </c>
      <c r="G297" s="5">
        <v>7.3148148148902692E-3</v>
      </c>
      <c r="H297" t="s">
        <v>647</v>
      </c>
      <c r="I297" t="s">
        <v>648</v>
      </c>
      <c r="J297">
        <v>0</v>
      </c>
      <c r="K297">
        <f t="shared" ref="K297" si="706">IF(A297&lt;DATEVALUE("2025/11/20")+TIMEVALUE("6:00"),1,IF(OR(B297&lt;&gt;60,SUM(D297:F297)&lt;&gt;0,G297&gt;=IF(A297&lt;DATEVALUE("2025/12/28")+TIMEVALUE("6:00"),20,18)/24/60),0,2-INT(G297*24*60/10)))</f>
        <v>1</v>
      </c>
      <c r="L297">
        <f t="shared" ref="L297" si="707">L296+K297</f>
        <v>363</v>
      </c>
      <c r="M297">
        <f t="shared" ref="M297" si="708">2+IF(A297&gt;=DATEVALUE("2025/11/30")+TIMEVALUE("6:00"),1,0)+IF(A297&gt;=DATEVALUE("2025/12/11")+TIMEVALUE("6:00"),1,0)</f>
        <v>4</v>
      </c>
      <c r="N297">
        <f t="shared" ref="N297" si="709">N296+M297*(INT(A297-6/24)-INT(A296-6/24))+O297</f>
        <v>363</v>
      </c>
      <c r="O297">
        <f t="shared" si="577"/>
        <v>0</v>
      </c>
      <c r="P297" t="str">
        <f t="shared" ref="P297" si="710">IF(L297&lt;N297,"未達成（"&amp;N297-L297&amp;"）",IF(L297=N297,"達成","前倒し（"&amp;L297-N297&amp;"）"))</f>
        <v>達成</v>
      </c>
      <c r="Q297">
        <f t="shared" ref="Q297" si="711">IF(B297="",NA(),G297)</f>
        <v>7.3148148148902692E-3</v>
      </c>
    </row>
    <row r="298" spans="1:17">
      <c r="A298" s="3">
        <v>46070.285833333335</v>
      </c>
      <c r="B298">
        <v>60</v>
      </c>
      <c r="C298">
        <v>19</v>
      </c>
      <c r="D298">
        <v>0</v>
      </c>
      <c r="E298">
        <v>0</v>
      </c>
      <c r="F298">
        <v>0</v>
      </c>
      <c r="G298" s="5">
        <v>6.0416666674427688E-3</v>
      </c>
      <c r="H298" t="s">
        <v>649</v>
      </c>
      <c r="I298" t="s">
        <v>650</v>
      </c>
      <c r="J298">
        <v>0</v>
      </c>
      <c r="K298">
        <f t="shared" ref="K298" si="712">IF(A298&lt;DATEVALUE("2025/11/20")+TIMEVALUE("6:00"),1,IF(OR(B298&lt;&gt;60,SUM(D298:F298)&lt;&gt;0,G298&gt;=IF(A298&lt;DATEVALUE("2025/12/28")+TIMEVALUE("6:00"),20,18)/24/60),0,2-INT(G298*24*60/10)))</f>
        <v>2</v>
      </c>
      <c r="L298">
        <f t="shared" ref="L298" si="713">L297+K298</f>
        <v>365</v>
      </c>
      <c r="M298">
        <f t="shared" ref="M298" si="714">2+IF(A298&gt;=DATEVALUE("2025/11/30")+TIMEVALUE("6:00"),1,0)+IF(A298&gt;=DATEVALUE("2025/12/11")+TIMEVALUE("6:00"),1,0)</f>
        <v>4</v>
      </c>
      <c r="N298">
        <f t="shared" ref="N298" si="715">N297+M298*(INT(A298-6/24)-INT(A297-6/24))+O298</f>
        <v>367</v>
      </c>
      <c r="O298">
        <f t="shared" si="577"/>
        <v>0</v>
      </c>
      <c r="P298" t="str">
        <f t="shared" ref="P298" si="716">IF(L298&lt;N298,"未達成（"&amp;N298-L298&amp;"）",IF(L298=N298,"達成","前倒し（"&amp;L298-N298&amp;"）"))</f>
        <v>未達成（2）</v>
      </c>
      <c r="Q298">
        <f t="shared" ref="Q298" si="717">IF(B298="",NA(),G298)</f>
        <v>6.0416666674427688E-3</v>
      </c>
    </row>
    <row r="299" spans="1:17">
      <c r="A299" s="3">
        <v>46070.29115740741</v>
      </c>
      <c r="B299">
        <v>60</v>
      </c>
      <c r="C299">
        <v>15</v>
      </c>
      <c r="D299">
        <v>0</v>
      </c>
      <c r="E299">
        <v>0</v>
      </c>
      <c r="F299">
        <v>0</v>
      </c>
      <c r="G299" s="5">
        <v>4.4212962966412306E-3</v>
      </c>
      <c r="H299" t="s">
        <v>651</v>
      </c>
      <c r="I299" t="s">
        <v>652</v>
      </c>
      <c r="J299">
        <v>0</v>
      </c>
      <c r="K299">
        <f t="shared" ref="K299" si="718">IF(A299&lt;DATEVALUE("2025/11/20")+TIMEVALUE("6:00"),1,IF(OR(B299&lt;&gt;60,SUM(D299:F299)&lt;&gt;0,G299&gt;=IF(A299&lt;DATEVALUE("2025/12/28")+TIMEVALUE("6:00"),20,18)/24/60),0,2-INT(G299*24*60/10)))</f>
        <v>2</v>
      </c>
      <c r="L299">
        <f t="shared" ref="L299" si="719">L298+K299</f>
        <v>367</v>
      </c>
      <c r="M299">
        <f t="shared" ref="M299" si="720">2+IF(A299&gt;=DATEVALUE("2025/11/30")+TIMEVALUE("6:00"),1,0)+IF(A299&gt;=DATEVALUE("2025/12/11")+TIMEVALUE("6:00"),1,0)</f>
        <v>4</v>
      </c>
      <c r="N299">
        <f t="shared" ref="N299" si="721">N298+M299*(INT(A299-6/24)-INT(A298-6/24))+O299</f>
        <v>367</v>
      </c>
      <c r="O299">
        <f t="shared" si="577"/>
        <v>0</v>
      </c>
      <c r="P299" t="str">
        <f t="shared" ref="P299" si="722">IF(L299&lt;N299,"未達成（"&amp;N299-L299&amp;"）",IF(L299=N299,"達成","前倒し（"&amp;L299-N299&amp;"）"))</f>
        <v>達成</v>
      </c>
      <c r="Q299">
        <f t="shared" ref="Q299" si="723">IF(B299="",NA(),G299)</f>
        <v>4.4212962966412306E-3</v>
      </c>
    </row>
    <row r="300" spans="1:17">
      <c r="A300" s="3">
        <v>46071.285358796296</v>
      </c>
      <c r="B300">
        <v>60</v>
      </c>
      <c r="C300">
        <v>14</v>
      </c>
      <c r="D300">
        <v>0</v>
      </c>
      <c r="E300">
        <v>0</v>
      </c>
      <c r="F300">
        <v>0</v>
      </c>
      <c r="G300" s="5">
        <v>8.2175925927003846E-3</v>
      </c>
      <c r="H300" t="s">
        <v>653</v>
      </c>
      <c r="I300" t="s">
        <v>654</v>
      </c>
      <c r="J300">
        <v>0</v>
      </c>
      <c r="K300">
        <f t="shared" ref="K300" si="724">IF(A300&lt;DATEVALUE("2025/11/20")+TIMEVALUE("6:00"),1,IF(OR(B300&lt;&gt;60,SUM(D300:F300)&lt;&gt;0,G300&gt;=IF(A300&lt;DATEVALUE("2025/12/28")+TIMEVALUE("6:00"),20,18)/24/60),0,2-INT(G300*24*60/10)))</f>
        <v>1</v>
      </c>
      <c r="L300">
        <f t="shared" ref="L300" si="725">L299+K300</f>
        <v>368</v>
      </c>
      <c r="M300">
        <f t="shared" ref="M300" si="726">2+IF(A300&gt;=DATEVALUE("2025/11/30")+TIMEVALUE("6:00"),1,0)+IF(A300&gt;=DATEVALUE("2025/12/11")+TIMEVALUE("6:00"),1,0)</f>
        <v>4</v>
      </c>
      <c r="N300">
        <f t="shared" ref="N300" si="727">N299+M300*(INT(A300-6/24)-INT(A299-6/24))+O300</f>
        <v>371</v>
      </c>
      <c r="O300">
        <f t="shared" si="577"/>
        <v>0</v>
      </c>
      <c r="P300" t="str">
        <f t="shared" ref="P300" si="728">IF(L300&lt;N300,"未達成（"&amp;N300-L300&amp;"）",IF(L300=N300,"達成","前倒し（"&amp;L300-N300&amp;"）"))</f>
        <v>未達成（3）</v>
      </c>
      <c r="Q300">
        <f t="shared" ref="Q300" si="729">IF(B300="",NA(),G300)</f>
        <v>8.2175925927003846E-3</v>
      </c>
    </row>
    <row r="301" spans="1:17">
      <c r="A301" s="3">
        <v>46071.29247685185</v>
      </c>
      <c r="B301">
        <v>60</v>
      </c>
      <c r="C301">
        <v>22</v>
      </c>
      <c r="D301">
        <v>0</v>
      </c>
      <c r="E301">
        <v>0</v>
      </c>
      <c r="F301">
        <v>0</v>
      </c>
      <c r="G301" s="5">
        <v>6.5393518525524996E-3</v>
      </c>
      <c r="H301" t="s">
        <v>655</v>
      </c>
      <c r="I301" t="s">
        <v>656</v>
      </c>
      <c r="J301">
        <v>0</v>
      </c>
      <c r="K301">
        <f t="shared" ref="K301" si="730">IF(A301&lt;DATEVALUE("2025/11/20")+TIMEVALUE("6:00"),1,IF(OR(B301&lt;&gt;60,SUM(D301:F301)&lt;&gt;0,G301&gt;=IF(A301&lt;DATEVALUE("2025/12/28")+TIMEVALUE("6:00"),20,18)/24/60),0,2-INT(G301*24*60/10)))</f>
        <v>2</v>
      </c>
      <c r="L301">
        <f t="shared" ref="L301" si="731">L300+K301</f>
        <v>370</v>
      </c>
      <c r="M301">
        <f t="shared" ref="M301" si="732">2+IF(A301&gt;=DATEVALUE("2025/11/30")+TIMEVALUE("6:00"),1,0)+IF(A301&gt;=DATEVALUE("2025/12/11")+TIMEVALUE("6:00"),1,0)</f>
        <v>4</v>
      </c>
      <c r="N301">
        <f t="shared" ref="N301" si="733">N300+M301*(INT(A301-6/24)-INT(A300-6/24))+O301</f>
        <v>371</v>
      </c>
      <c r="O301">
        <f t="shared" si="577"/>
        <v>0</v>
      </c>
      <c r="P301" t="str">
        <f t="shared" ref="P301" si="734">IF(L301&lt;N301,"未達成（"&amp;N301-L301&amp;"）",IF(L301=N301,"達成","前倒し（"&amp;L301-N301&amp;"）"))</f>
        <v>未達成（1）</v>
      </c>
      <c r="Q301">
        <f t="shared" ref="Q301" si="735">IF(B301="",NA(),G301)</f>
        <v>6.5393518525524996E-3</v>
      </c>
    </row>
    <row r="302" spans="1:17">
      <c r="A302" s="3">
        <v>46071.301759259259</v>
      </c>
      <c r="B302">
        <v>54</v>
      </c>
      <c r="C302">
        <v>14</v>
      </c>
      <c r="D302">
        <v>0</v>
      </c>
      <c r="E302">
        <v>6</v>
      </c>
      <c r="F302">
        <v>0</v>
      </c>
      <c r="G302" s="5">
        <v>6.9097222221898846E-3</v>
      </c>
      <c r="H302" t="s">
        <v>657</v>
      </c>
      <c r="I302" t="s">
        <v>658</v>
      </c>
      <c r="J302">
        <v>0</v>
      </c>
      <c r="K302">
        <f t="shared" ref="K302" si="736">IF(A302&lt;DATEVALUE("2025/11/20")+TIMEVALUE("6:00"),1,IF(OR(B302&lt;&gt;60,SUM(D302:F302)&lt;&gt;0,G302&gt;=IF(A302&lt;DATEVALUE("2025/12/28")+TIMEVALUE("6:00"),20,18)/24/60),0,2-INT(G302*24*60/10)))</f>
        <v>0</v>
      </c>
      <c r="L302">
        <f t="shared" ref="L302" si="737">L301+K302</f>
        <v>370</v>
      </c>
      <c r="M302">
        <f t="shared" ref="M302" si="738">2+IF(A302&gt;=DATEVALUE("2025/11/30")+TIMEVALUE("6:00"),1,0)+IF(A302&gt;=DATEVALUE("2025/12/11")+TIMEVALUE("6:00"),1,0)</f>
        <v>4</v>
      </c>
      <c r="N302">
        <f t="shared" ref="N302" si="739">N301+M302*(INT(A302-6/24)-INT(A301-6/24))+O302</f>
        <v>371</v>
      </c>
      <c r="O302">
        <f t="shared" si="577"/>
        <v>0</v>
      </c>
      <c r="P302" t="str">
        <f t="shared" ref="P302" si="740">IF(L302&lt;N302,"未達成（"&amp;N302-L302&amp;"）",IF(L302=N302,"達成","前倒し（"&amp;L302-N302&amp;"）"))</f>
        <v>未達成（1）</v>
      </c>
      <c r="Q302">
        <f t="shared" ref="Q302" si="741">IF(B302="",NA(),G302)</f>
        <v>6.9097222221898846E-3</v>
      </c>
    </row>
    <row r="303" spans="1:17">
      <c r="A303" s="3">
        <v>46071.309282407405</v>
      </c>
      <c r="B303">
        <v>60</v>
      </c>
      <c r="C303">
        <v>13</v>
      </c>
      <c r="D303">
        <v>0</v>
      </c>
      <c r="E303">
        <v>0</v>
      </c>
      <c r="F303">
        <v>0</v>
      </c>
      <c r="G303" s="5">
        <v>6.8287036992842332E-3</v>
      </c>
      <c r="H303" t="s">
        <v>659</v>
      </c>
      <c r="I303" t="s">
        <v>660</v>
      </c>
      <c r="J303">
        <v>0</v>
      </c>
      <c r="K303">
        <f t="shared" ref="K303" si="742">IF(A303&lt;DATEVALUE("2025/11/20")+TIMEVALUE("6:00"),1,IF(OR(B303&lt;&gt;60,SUM(D303:F303)&lt;&gt;0,G303&gt;=IF(A303&lt;DATEVALUE("2025/12/28")+TIMEVALUE("6:00"),20,18)/24/60),0,2-INT(G303*24*60/10)))</f>
        <v>2</v>
      </c>
      <c r="L303">
        <f t="shared" ref="L303" si="743">L302+K303</f>
        <v>372</v>
      </c>
      <c r="M303">
        <f t="shared" ref="M303" si="744">2+IF(A303&gt;=DATEVALUE("2025/11/30")+TIMEVALUE("6:00"),1,0)+IF(A303&gt;=DATEVALUE("2025/12/11")+TIMEVALUE("6:00"),1,0)</f>
        <v>4</v>
      </c>
      <c r="N303">
        <f t="shared" ref="N303" si="745">N302+M303*(INT(A303-6/24)-INT(A302-6/24))+O303</f>
        <v>371</v>
      </c>
      <c r="O303">
        <f t="shared" si="577"/>
        <v>0</v>
      </c>
      <c r="P303" t="str">
        <f t="shared" ref="P303" si="746">IF(L303&lt;N303,"未達成（"&amp;N303-L303&amp;"）",IF(L303=N303,"達成","前倒し（"&amp;L303-N303&amp;"）"))</f>
        <v>前倒し（1）</v>
      </c>
      <c r="Q303">
        <f t="shared" ref="Q303" si="747">IF(B303="",NA(),G303)</f>
        <v>6.8287036992842332E-3</v>
      </c>
    </row>
    <row r="304" spans="1:17">
      <c r="A304" s="3">
        <v>46072.296064814815</v>
      </c>
      <c r="B304">
        <v>60</v>
      </c>
      <c r="C304">
        <v>4</v>
      </c>
      <c r="D304">
        <v>0</v>
      </c>
      <c r="E304">
        <v>0</v>
      </c>
      <c r="F304">
        <v>0</v>
      </c>
      <c r="G304" s="5">
        <v>8.0555555541650392E-3</v>
      </c>
      <c r="H304" t="s">
        <v>661</v>
      </c>
      <c r="I304" t="s">
        <v>662</v>
      </c>
      <c r="J304">
        <v>0</v>
      </c>
      <c r="K304">
        <f t="shared" ref="K304" si="748">IF(A304&lt;DATEVALUE("2025/11/20")+TIMEVALUE("6:00"),1,IF(OR(B304&lt;&gt;60,SUM(D304:F304)&lt;&gt;0,G304&gt;=IF(A304&lt;DATEVALUE("2025/12/28")+TIMEVALUE("6:00"),20,18)/24/60),0,2-INT(G304*24*60/10)))</f>
        <v>1</v>
      </c>
      <c r="L304">
        <f t="shared" ref="L304" si="749">L303+K304</f>
        <v>373</v>
      </c>
      <c r="M304">
        <f t="shared" ref="M304" si="750">2+IF(A304&gt;=DATEVALUE("2025/11/30")+TIMEVALUE("6:00"),1,0)+IF(A304&gt;=DATEVALUE("2025/12/11")+TIMEVALUE("6:00"),1,0)</f>
        <v>4</v>
      </c>
      <c r="N304">
        <f t="shared" ref="N304" si="751">N303+M304*(INT(A304-6/24)-INT(A303-6/24))+O304</f>
        <v>375</v>
      </c>
      <c r="O304">
        <f t="shared" si="577"/>
        <v>0</v>
      </c>
      <c r="P304" t="str">
        <f t="shared" ref="P304" si="752">IF(L304&lt;N304,"未達成（"&amp;N304-L304&amp;"）",IF(L304=N304,"達成","前倒し（"&amp;L304-N304&amp;"）"))</f>
        <v>未達成（2）</v>
      </c>
      <c r="Q304">
        <f t="shared" ref="Q304" si="753">IF(B304="",NA(),G304)</f>
        <v>8.0555555541650392E-3</v>
      </c>
    </row>
    <row r="305" spans="1:17">
      <c r="A305" s="3">
        <v>46072.303217592591</v>
      </c>
      <c r="B305">
        <v>60</v>
      </c>
      <c r="C305">
        <v>27</v>
      </c>
      <c r="D305">
        <v>0</v>
      </c>
      <c r="E305">
        <v>0</v>
      </c>
      <c r="F305">
        <v>0</v>
      </c>
      <c r="G305" s="5">
        <v>6.4930555527098477E-3</v>
      </c>
      <c r="H305" t="s">
        <v>663</v>
      </c>
      <c r="I305" t="s">
        <v>664</v>
      </c>
      <c r="J305">
        <v>0</v>
      </c>
      <c r="K305">
        <f t="shared" ref="K305" si="754">IF(A305&lt;DATEVALUE("2025/11/20")+TIMEVALUE("6:00"),1,IF(OR(B305&lt;&gt;60,SUM(D305:F305)&lt;&gt;0,G305&gt;=IF(A305&lt;DATEVALUE("2025/12/28")+TIMEVALUE("6:00"),20,18)/24/60),0,2-INT(G305*24*60/10)))</f>
        <v>2</v>
      </c>
      <c r="L305">
        <f t="shared" ref="L305" si="755">L304+K305</f>
        <v>375</v>
      </c>
      <c r="M305">
        <f t="shared" ref="M305" si="756">2+IF(A305&gt;=DATEVALUE("2025/11/30")+TIMEVALUE("6:00"),1,0)+IF(A305&gt;=DATEVALUE("2025/12/11")+TIMEVALUE("6:00"),1,0)</f>
        <v>4</v>
      </c>
      <c r="N305">
        <f t="shared" ref="N305" si="757">N304+M305*(INT(A305-6/24)-INT(A304-6/24))+O305</f>
        <v>375</v>
      </c>
      <c r="O305">
        <f t="shared" si="577"/>
        <v>0</v>
      </c>
      <c r="P305" t="str">
        <f t="shared" ref="P305" si="758">IF(L305&lt;N305,"未達成（"&amp;N305-L305&amp;"）",IF(L305=N305,"達成","前倒し（"&amp;L305-N305&amp;"）"))</f>
        <v>達成</v>
      </c>
      <c r="Q305">
        <f t="shared" ref="Q305" si="759">IF(B305="",NA(),G305)</f>
        <v>6.4930555527098477E-3</v>
      </c>
    </row>
    <row r="306" spans="1:17">
      <c r="A306" s="3">
        <v>46073.294212962966</v>
      </c>
      <c r="B306">
        <v>60</v>
      </c>
      <c r="C306">
        <v>11</v>
      </c>
      <c r="D306">
        <v>0</v>
      </c>
      <c r="E306">
        <v>0</v>
      </c>
      <c r="F306">
        <v>0</v>
      </c>
      <c r="G306" s="5">
        <v>5.3472222280106507E-3</v>
      </c>
      <c r="H306" t="s">
        <v>665</v>
      </c>
      <c r="I306" t="s">
        <v>666</v>
      </c>
      <c r="J306">
        <v>0</v>
      </c>
      <c r="K306">
        <f t="shared" ref="K306" si="760">IF(A306&lt;DATEVALUE("2025/11/20")+TIMEVALUE("6:00"),1,IF(OR(B306&lt;&gt;60,SUM(D306:F306)&lt;&gt;0,G306&gt;=IF(A306&lt;DATEVALUE("2025/12/28")+TIMEVALUE("6:00"),20,18)/24/60),0,2-INT(G306*24*60/10)))</f>
        <v>2</v>
      </c>
      <c r="L306">
        <f t="shared" ref="L306" si="761">L305+K306</f>
        <v>377</v>
      </c>
      <c r="M306">
        <f t="shared" ref="M306" si="762">2+IF(A306&gt;=DATEVALUE("2025/11/30")+TIMEVALUE("6:00"),1,0)+IF(A306&gt;=DATEVALUE("2025/12/11")+TIMEVALUE("6:00"),1,0)</f>
        <v>4</v>
      </c>
      <c r="N306">
        <f t="shared" ref="N306" si="763">N305+M306*(INT(A306-6/24)-INT(A305-6/24))+O306</f>
        <v>379</v>
      </c>
      <c r="O306">
        <f t="shared" si="577"/>
        <v>0</v>
      </c>
      <c r="P306" t="str">
        <f t="shared" ref="P306" si="764">IF(L306&lt;N306,"未達成（"&amp;N306-L306&amp;"）",IF(L306=N306,"達成","前倒し（"&amp;L306-N306&amp;"）"))</f>
        <v>未達成（2）</v>
      </c>
      <c r="Q306">
        <f t="shared" ref="Q306" si="765">IF(B306="",NA(),G306)</f>
        <v>5.3472222280106507E-3</v>
      </c>
    </row>
    <row r="307" spans="1:17">
      <c r="A307" s="3">
        <v>46073.303460648145</v>
      </c>
      <c r="B307">
        <v>60</v>
      </c>
      <c r="C307">
        <v>14</v>
      </c>
      <c r="D307">
        <v>0</v>
      </c>
      <c r="E307">
        <v>0</v>
      </c>
      <c r="F307">
        <v>0</v>
      </c>
      <c r="G307" s="5">
        <v>8.4606481468654238E-3</v>
      </c>
      <c r="H307" t="s">
        <v>667</v>
      </c>
      <c r="I307" t="s">
        <v>668</v>
      </c>
      <c r="J307">
        <v>0</v>
      </c>
      <c r="K307">
        <f t="shared" ref="K307" si="766">IF(A307&lt;DATEVALUE("2025/11/20")+TIMEVALUE("6:00"),1,IF(OR(B307&lt;&gt;60,SUM(D307:F307)&lt;&gt;0,G307&gt;=IF(A307&lt;DATEVALUE("2025/12/28")+TIMEVALUE("6:00"),20,18)/24/60),0,2-INT(G307*24*60/10)))</f>
        <v>1</v>
      </c>
      <c r="L307">
        <f t="shared" ref="L307" si="767">L306+K307</f>
        <v>378</v>
      </c>
      <c r="M307">
        <f t="shared" ref="M307" si="768">2+IF(A307&gt;=DATEVALUE("2025/11/30")+TIMEVALUE("6:00"),1,0)+IF(A307&gt;=DATEVALUE("2025/12/11")+TIMEVALUE("6:00"),1,0)</f>
        <v>4</v>
      </c>
      <c r="N307">
        <f t="shared" ref="N307" si="769">N306+M307*(INT(A307-6/24)-INT(A306-6/24))+O307</f>
        <v>379</v>
      </c>
      <c r="O307">
        <f t="shared" si="577"/>
        <v>0</v>
      </c>
      <c r="P307" t="str">
        <f t="shared" ref="P307" si="770">IF(L307&lt;N307,"未達成（"&amp;N307-L307&amp;"）",IF(L307=N307,"達成","前倒し（"&amp;L307-N307&amp;"）"))</f>
        <v>未達成（1）</v>
      </c>
      <c r="Q307">
        <f t="shared" ref="Q307" si="771">IF(B307="",NA(),G307)</f>
        <v>8.4606481468654238E-3</v>
      </c>
    </row>
    <row r="308" spans="1:17">
      <c r="A308" s="3">
        <v>46073.309305555558</v>
      </c>
      <c r="B308">
        <v>60</v>
      </c>
      <c r="C308">
        <v>6</v>
      </c>
      <c r="D308">
        <v>0</v>
      </c>
      <c r="E308">
        <v>0</v>
      </c>
      <c r="F308">
        <v>0</v>
      </c>
      <c r="G308" s="5">
        <v>5.2546296356013045E-3</v>
      </c>
      <c r="H308" t="s">
        <v>669</v>
      </c>
      <c r="I308" t="s">
        <v>670</v>
      </c>
      <c r="J308">
        <v>0</v>
      </c>
      <c r="K308">
        <f t="shared" ref="K308" si="772">IF(A308&lt;DATEVALUE("2025/11/20")+TIMEVALUE("6:00"),1,IF(OR(B308&lt;&gt;60,SUM(D308:F308)&lt;&gt;0,G308&gt;=IF(A308&lt;DATEVALUE("2025/12/28")+TIMEVALUE("6:00"),20,18)/24/60),0,2-INT(G308*24*60/10)))</f>
        <v>2</v>
      </c>
      <c r="L308">
        <f t="shared" ref="L308" si="773">L307+K308</f>
        <v>380</v>
      </c>
      <c r="M308">
        <f t="shared" ref="M308" si="774">2+IF(A308&gt;=DATEVALUE("2025/11/30")+TIMEVALUE("6:00"),1,0)+IF(A308&gt;=DATEVALUE("2025/12/11")+TIMEVALUE("6:00"),1,0)</f>
        <v>4</v>
      </c>
      <c r="N308">
        <f t="shared" ref="N308" si="775">N307+M308*(INT(A308-6/24)-INT(A307-6/24))+O308</f>
        <v>379</v>
      </c>
      <c r="O308">
        <f t="shared" si="577"/>
        <v>0</v>
      </c>
      <c r="P308" t="str">
        <f t="shared" ref="P308" si="776">IF(L308&lt;N308,"未達成（"&amp;N308-L308&amp;"）",IF(L308=N308,"達成","前倒し（"&amp;L308-N308&amp;"）"))</f>
        <v>前倒し（1）</v>
      </c>
      <c r="Q308">
        <f t="shared" ref="Q308" si="777">IF(B308="",NA(),G308)</f>
        <v>5.2546296356013045E-3</v>
      </c>
    </row>
    <row r="309" spans="1:17">
      <c r="A309" s="3">
        <v>46074.309247685182</v>
      </c>
      <c r="B309">
        <v>60</v>
      </c>
      <c r="C309">
        <v>16</v>
      </c>
      <c r="D309">
        <v>0</v>
      </c>
      <c r="E309">
        <v>0</v>
      </c>
      <c r="F309">
        <v>0</v>
      </c>
      <c r="G309" s="5">
        <v>5.8912036984111182E-3</v>
      </c>
      <c r="H309" t="s">
        <v>671</v>
      </c>
      <c r="I309" t="s">
        <v>672</v>
      </c>
      <c r="J309">
        <v>0</v>
      </c>
      <c r="K309">
        <f t="shared" ref="K309" si="778">IF(A309&lt;DATEVALUE("2025/11/20")+TIMEVALUE("6:00"),1,IF(OR(B309&lt;&gt;60,SUM(D309:F309)&lt;&gt;0,G309&gt;=IF(A309&lt;DATEVALUE("2025/12/28")+TIMEVALUE("6:00"),20,18)/24/60),0,2-INT(G309*24*60/10)))</f>
        <v>2</v>
      </c>
      <c r="L309">
        <f t="shared" ref="L309" si="779">L308+K309</f>
        <v>382</v>
      </c>
      <c r="M309">
        <f t="shared" ref="M309" si="780">2+IF(A309&gt;=DATEVALUE("2025/11/30")+TIMEVALUE("6:00"),1,0)+IF(A309&gt;=DATEVALUE("2025/12/11")+TIMEVALUE("6:00"),1,0)</f>
        <v>4</v>
      </c>
      <c r="N309">
        <f t="shared" ref="N309" si="781">N308+M309*(INT(A309-6/24)-INT(A308-6/24))+O309</f>
        <v>384</v>
      </c>
      <c r="O309">
        <f t="shared" si="577"/>
        <v>1</v>
      </c>
      <c r="P309" t="str">
        <f t="shared" ref="P309" si="782">IF(L309&lt;N309,"未達成（"&amp;N309-L309&amp;"）",IF(L309=N309,"達成","前倒し（"&amp;L309-N309&amp;"）"))</f>
        <v>未達成（2）</v>
      </c>
      <c r="Q309">
        <f t="shared" ref="Q309" si="783">IF(B309="",NA(),G309)</f>
        <v>5.8912036984111182E-3</v>
      </c>
    </row>
    <row r="310" spans="1:17">
      <c r="A310" s="3">
        <v>46074.316076388888</v>
      </c>
      <c r="B310">
        <v>60</v>
      </c>
      <c r="C310">
        <v>12</v>
      </c>
      <c r="D310">
        <v>0</v>
      </c>
      <c r="E310">
        <v>0</v>
      </c>
      <c r="F310">
        <v>0</v>
      </c>
      <c r="G310" s="5">
        <v>6.2152777754818089E-3</v>
      </c>
      <c r="H310" t="s">
        <v>673</v>
      </c>
      <c r="I310" t="s">
        <v>674</v>
      </c>
      <c r="J310">
        <v>0</v>
      </c>
      <c r="K310">
        <f t="shared" ref="K310" si="784">IF(A310&lt;DATEVALUE("2025/11/20")+TIMEVALUE("6:00"),1,IF(OR(B310&lt;&gt;60,SUM(D310:F310)&lt;&gt;0,G310&gt;=IF(A310&lt;DATEVALUE("2025/12/28")+TIMEVALUE("6:00"),20,18)/24/60),0,2-INT(G310*24*60/10)))</f>
        <v>2</v>
      </c>
      <c r="L310">
        <f t="shared" ref="L310" si="785">L309+K310</f>
        <v>384</v>
      </c>
      <c r="M310">
        <f t="shared" ref="M310" si="786">2+IF(A310&gt;=DATEVALUE("2025/11/30")+TIMEVALUE("6:00"),1,0)+IF(A310&gt;=DATEVALUE("2025/12/11")+TIMEVALUE("6:00"),1,0)</f>
        <v>4</v>
      </c>
      <c r="N310">
        <f t="shared" ref="N310" si="787">N309+M310*(INT(A310-6/24)-INT(A309-6/24))+O310</f>
        <v>384</v>
      </c>
      <c r="O310">
        <f t="shared" si="577"/>
        <v>0</v>
      </c>
      <c r="P310" t="str">
        <f t="shared" ref="P310" si="788">IF(L310&lt;N310,"未達成（"&amp;N310-L310&amp;"）",IF(L310=N310,"達成","前倒し（"&amp;L310-N310&amp;"）"))</f>
        <v>達成</v>
      </c>
      <c r="Q310">
        <f t="shared" ref="Q310" si="789">IF(B310="",NA(),G310)</f>
        <v>6.2152777754818089E-3</v>
      </c>
    </row>
    <row r="311" spans="1:17">
      <c r="A311" s="3">
        <v>46075.278703703705</v>
      </c>
      <c r="B311">
        <v>60</v>
      </c>
      <c r="C311">
        <v>8</v>
      </c>
      <c r="D311">
        <v>0</v>
      </c>
      <c r="E311">
        <v>0</v>
      </c>
      <c r="F311">
        <v>0</v>
      </c>
      <c r="G311" s="5">
        <v>9.1203703705104999E-3</v>
      </c>
      <c r="H311" t="s">
        <v>676</v>
      </c>
      <c r="I311" t="s">
        <v>677</v>
      </c>
      <c r="J311">
        <v>0</v>
      </c>
      <c r="K311">
        <f t="shared" ref="K311" si="790">IF(A311&lt;DATEVALUE("2025/11/20")+TIMEVALUE("6:00"),1,IF(OR(B311&lt;&gt;60,SUM(D311:F311)&lt;&gt;0,G311&gt;=IF(A311&lt;DATEVALUE("2025/12/28")+TIMEVALUE("6:00"),20,18)/24/60),0,2-INT(G311*24*60/10)))</f>
        <v>1</v>
      </c>
      <c r="L311">
        <f t="shared" ref="L311" si="791">L310+K311</f>
        <v>385</v>
      </c>
      <c r="M311">
        <f t="shared" ref="M311" si="792">2+IF(A311&gt;=DATEVALUE("2025/11/30")+TIMEVALUE("6:00"),1,0)+IF(A311&gt;=DATEVALUE("2025/12/11")+TIMEVALUE("6:00"),1,0)</f>
        <v>4</v>
      </c>
      <c r="N311">
        <f t="shared" ref="N311" si="793">N310+M311*(INT(A311-6/24)-INT(A310-6/24))+O311</f>
        <v>388</v>
      </c>
      <c r="O311">
        <f t="shared" ref="O311" si="794">IF(A311&gt;=DATEVALUE("2025/11/8")+TIMEVALUE("6:00"),1,0)-IF(A310&gt;=DATEVALUE("2025/11/8")+TIMEVALUE("6:00"),1,0)
+IF(A311&gt;=DATEVALUE("2026/1/22")+TIMEVALUE("6:00"),3,0)-IF(A310&gt;=DATEVALUE("2026/1/22")+TIMEVALUE("6:00"),3,0)
+IF(A311&gt;=DATEVALUE("2026/2/21")+TIMEVALUE("6:00"),1,0)-IF(A310&gt;=DATEVALUE("2026/2/21")+TIMEVALUE("6:00"),1,0)</f>
        <v>0</v>
      </c>
      <c r="P311" t="str">
        <f t="shared" ref="P311" si="795">IF(L311&lt;N311,"未達成（"&amp;N311-L311&amp;"）",IF(L311=N311,"達成","前倒し（"&amp;L311-N311&amp;"）"))</f>
        <v>未達成（3）</v>
      </c>
      <c r="Q311">
        <f t="shared" ref="Q311" si="796">IF(B311="",NA(),G311)</f>
        <v>9.1203703705104999E-3</v>
      </c>
    </row>
    <row r="312" spans="1:17">
      <c r="A312" s="3">
        <v>46075.28570601852</v>
      </c>
      <c r="B312">
        <v>60</v>
      </c>
      <c r="C312">
        <v>8</v>
      </c>
      <c r="D312">
        <v>0</v>
      </c>
      <c r="E312">
        <v>0</v>
      </c>
      <c r="F312">
        <v>0</v>
      </c>
      <c r="G312" s="5">
        <v>6.2615740753244609E-3</v>
      </c>
      <c r="H312" t="s">
        <v>678</v>
      </c>
      <c r="I312" t="s">
        <v>679</v>
      </c>
      <c r="J312">
        <v>0</v>
      </c>
      <c r="K312">
        <f t="shared" ref="K312" si="797">IF(A312&lt;DATEVALUE("2025/11/20")+TIMEVALUE("6:00"),1,IF(OR(B312&lt;&gt;60,SUM(D312:F312)&lt;&gt;0,G312&gt;=IF(A312&lt;DATEVALUE("2025/12/28")+TIMEVALUE("6:00"),20,18)/24/60),0,2-INT(G312*24*60/10)))</f>
        <v>2</v>
      </c>
      <c r="L312">
        <f t="shared" ref="L312" si="798">L311+K312</f>
        <v>387</v>
      </c>
      <c r="M312">
        <f t="shared" ref="M312" si="799">2+IF(A312&gt;=DATEVALUE("2025/11/30")+TIMEVALUE("6:00"),1,0)+IF(A312&gt;=DATEVALUE("2025/12/11")+TIMEVALUE("6:00"),1,0)</f>
        <v>4</v>
      </c>
      <c r="N312">
        <f t="shared" ref="N312" si="800">N311+M312*(INT(A312-6/24)-INT(A311-6/24))+O312</f>
        <v>388</v>
      </c>
      <c r="O312">
        <f t="shared" ref="O312" si="801">IF(A312&gt;=DATEVALUE("2025/11/8")+TIMEVALUE("6:00"),1,0)-IF(A311&gt;=DATEVALUE("2025/11/8")+TIMEVALUE("6:00"),1,0)
+IF(A312&gt;=DATEVALUE("2026/1/22")+TIMEVALUE("6:00"),3,0)-IF(A311&gt;=DATEVALUE("2026/1/22")+TIMEVALUE("6:00"),3,0)
+IF(A312&gt;=DATEVALUE("2026/2/21")+TIMEVALUE("6:00"),1,0)-IF(A311&gt;=DATEVALUE("2026/2/21")+TIMEVALUE("6:00"),1,0)</f>
        <v>0</v>
      </c>
      <c r="P312" t="str">
        <f t="shared" ref="P312" si="802">IF(L312&lt;N312,"未達成（"&amp;N312-L312&amp;"）",IF(L312=N312,"達成","前倒し（"&amp;L312-N312&amp;"）"))</f>
        <v>未達成（1）</v>
      </c>
      <c r="Q312">
        <f t="shared" ref="Q312" si="803">IF(B312="",NA(),G312)</f>
        <v>6.2615740753244609E-3</v>
      </c>
    </row>
    <row r="313" spans="1:17">
      <c r="A313" s="3">
        <v>46075.294641203705</v>
      </c>
      <c r="B313">
        <v>60</v>
      </c>
      <c r="C313">
        <v>26</v>
      </c>
      <c r="D313">
        <v>0</v>
      </c>
      <c r="E313">
        <v>0</v>
      </c>
      <c r="F313">
        <v>0</v>
      </c>
      <c r="G313" s="5">
        <v>8.2175925927003846E-3</v>
      </c>
      <c r="H313" t="s">
        <v>680</v>
      </c>
      <c r="I313" t="s">
        <v>681</v>
      </c>
      <c r="J313">
        <v>0</v>
      </c>
      <c r="K313">
        <f t="shared" ref="K313" si="804">IF(A313&lt;DATEVALUE("2025/11/20")+TIMEVALUE("6:00"),1,IF(OR(B313&lt;&gt;60,SUM(D313:F313)&lt;&gt;0,G313&gt;=IF(A313&lt;DATEVALUE("2025/12/28")+TIMEVALUE("6:00"),20,18)/24/60),0,2-INT(G313*24*60/10)))</f>
        <v>1</v>
      </c>
      <c r="L313">
        <f t="shared" ref="L313" si="805">L312+K313</f>
        <v>388</v>
      </c>
      <c r="M313">
        <f t="shared" ref="M313" si="806">2+IF(A313&gt;=DATEVALUE("2025/11/30")+TIMEVALUE("6:00"),1,0)+IF(A313&gt;=DATEVALUE("2025/12/11")+TIMEVALUE("6:00"),1,0)</f>
        <v>4</v>
      </c>
      <c r="N313">
        <f t="shared" ref="N313" si="807">N312+M313*(INT(A313-6/24)-INT(A312-6/24))+O313</f>
        <v>388</v>
      </c>
      <c r="O313">
        <f t="shared" ref="O313" si="808">IF(A313&gt;=DATEVALUE("2025/11/8")+TIMEVALUE("6:00"),1,0)-IF(A312&gt;=DATEVALUE("2025/11/8")+TIMEVALUE("6:00"),1,0)
+IF(A313&gt;=DATEVALUE("2026/1/22")+TIMEVALUE("6:00"),3,0)-IF(A312&gt;=DATEVALUE("2026/1/22")+TIMEVALUE("6:00"),3,0)
+IF(A313&gt;=DATEVALUE("2026/2/21")+TIMEVALUE("6:00"),1,0)-IF(A312&gt;=DATEVALUE("2026/2/21")+TIMEVALUE("6:00"),1,0)</f>
        <v>0</v>
      </c>
      <c r="P313" t="str">
        <f t="shared" ref="P313" si="809">IF(L313&lt;N313,"未達成（"&amp;N313-L313&amp;"）",IF(L313=N313,"達成","前倒し（"&amp;L313-N313&amp;"）"))</f>
        <v>達成</v>
      </c>
      <c r="Q313">
        <f t="shared" ref="Q313" si="810">IF(B313="",NA(),G313)</f>
        <v>8.2175925927003846E-3</v>
      </c>
    </row>
    <row r="314" spans="1:17">
      <c r="A314" s="3">
        <v>46076.28765046296</v>
      </c>
      <c r="B314">
        <v>60</v>
      </c>
      <c r="C314">
        <v>17</v>
      </c>
      <c r="D314">
        <v>0</v>
      </c>
      <c r="E314">
        <v>0</v>
      </c>
      <c r="F314">
        <v>0</v>
      </c>
      <c r="G314" s="5">
        <v>1.6284722216369119E-2</v>
      </c>
      <c r="H314" t="s">
        <v>682</v>
      </c>
      <c r="I314" t="s">
        <v>683</v>
      </c>
      <c r="J314">
        <v>0</v>
      </c>
      <c r="K314">
        <f t="shared" ref="K314" si="811">IF(A314&lt;DATEVALUE("2025/11/20")+TIMEVALUE("6:00"),1,IF(OR(B314&lt;&gt;60,SUM(D314:F314)&lt;&gt;0,G314&gt;=IF(A314&lt;DATEVALUE("2025/12/28")+TIMEVALUE("6:00"),20,18)/24/60),0,2-INT(G314*24*60/10)))</f>
        <v>0</v>
      </c>
      <c r="L314">
        <f t="shared" ref="L314" si="812">L313+K314</f>
        <v>388</v>
      </c>
      <c r="M314">
        <f t="shared" ref="M314" si="813">2+IF(A314&gt;=DATEVALUE("2025/11/30")+TIMEVALUE("6:00"),1,0)+IF(A314&gt;=DATEVALUE("2025/12/11")+TIMEVALUE("6:00"),1,0)</f>
        <v>4</v>
      </c>
      <c r="N314">
        <f t="shared" ref="N314" si="814">N313+M314*(INT(A314-6/24)-INT(A313-6/24))+O314</f>
        <v>392</v>
      </c>
      <c r="O314">
        <f t="shared" ref="O314" si="815">IF(A314&gt;=DATEVALUE("2025/11/8")+TIMEVALUE("6:00"),1,0)-IF(A313&gt;=DATEVALUE("2025/11/8")+TIMEVALUE("6:00"),1,0)
+IF(A314&gt;=DATEVALUE("2026/1/22")+TIMEVALUE("6:00"),3,0)-IF(A313&gt;=DATEVALUE("2026/1/22")+TIMEVALUE("6:00"),3,0)
+IF(A314&gt;=DATEVALUE("2026/2/21")+TIMEVALUE("6:00"),1,0)-IF(A313&gt;=DATEVALUE("2026/2/21")+TIMEVALUE("6:00"),1,0)</f>
        <v>0</v>
      </c>
      <c r="P314" t="str">
        <f t="shared" ref="P314" si="816">IF(L314&lt;N314,"未達成（"&amp;N314-L314&amp;"）",IF(L314=N314,"達成","前倒し（"&amp;L314-N314&amp;"）"))</f>
        <v>未達成（4）</v>
      </c>
      <c r="Q314">
        <f t="shared" ref="Q314" si="817">IF(B314="",NA(),G314)</f>
        <v>1.6284722216369119E-2</v>
      </c>
    </row>
    <row r="315" spans="1:17">
      <c r="A315" s="3">
        <v>46076.295347222222</v>
      </c>
      <c r="B315">
        <v>60</v>
      </c>
      <c r="C315">
        <v>6</v>
      </c>
      <c r="D315">
        <v>0</v>
      </c>
      <c r="E315">
        <v>0</v>
      </c>
      <c r="F315">
        <v>0</v>
      </c>
      <c r="G315" s="5">
        <v>6.5509259220561944E-3</v>
      </c>
      <c r="H315" t="s">
        <v>684</v>
      </c>
      <c r="I315" t="s">
        <v>685</v>
      </c>
      <c r="J315">
        <v>0</v>
      </c>
      <c r="K315">
        <f t="shared" ref="K315" si="818">IF(A315&lt;DATEVALUE("2025/11/20")+TIMEVALUE("6:00"),1,IF(OR(B315&lt;&gt;60,SUM(D315:F315)&lt;&gt;0,G315&gt;=IF(A315&lt;DATEVALUE("2025/12/28")+TIMEVALUE("6:00"),20,18)/24/60),0,2-INT(G315*24*60/10)))</f>
        <v>2</v>
      </c>
      <c r="L315">
        <f t="shared" ref="L315" si="819">L314+K315</f>
        <v>390</v>
      </c>
      <c r="M315">
        <f t="shared" ref="M315" si="820">2+IF(A315&gt;=DATEVALUE("2025/11/30")+TIMEVALUE("6:00"),1,0)+IF(A315&gt;=DATEVALUE("2025/12/11")+TIMEVALUE("6:00"),1,0)</f>
        <v>4</v>
      </c>
      <c r="N315">
        <f t="shared" ref="N315" si="821">N314+M315*(INT(A315-6/24)-INT(A314-6/24))+O315</f>
        <v>392</v>
      </c>
      <c r="O315">
        <f t="shared" ref="O315" si="822">IF(A315&gt;=DATEVALUE("2025/11/8")+TIMEVALUE("6:00"),1,0)-IF(A314&gt;=DATEVALUE("2025/11/8")+TIMEVALUE("6:00"),1,0)
+IF(A315&gt;=DATEVALUE("2026/1/22")+TIMEVALUE("6:00"),3,0)-IF(A314&gt;=DATEVALUE("2026/1/22")+TIMEVALUE("6:00"),3,0)
+IF(A315&gt;=DATEVALUE("2026/2/21")+TIMEVALUE("6:00"),1,0)-IF(A314&gt;=DATEVALUE("2026/2/21")+TIMEVALUE("6:00"),1,0)</f>
        <v>0</v>
      </c>
      <c r="P315" t="str">
        <f t="shared" ref="P315" si="823">IF(L315&lt;N315,"未達成（"&amp;N315-L315&amp;"）",IF(L315=N315,"達成","前倒し（"&amp;L315-N315&amp;"）"))</f>
        <v>未達成（2）</v>
      </c>
      <c r="Q315">
        <f t="shared" ref="Q315" si="824">IF(B315="",NA(),G315)</f>
        <v>6.5509259220561944E-3</v>
      </c>
    </row>
    <row r="316" spans="1:17">
      <c r="A316" s="3">
        <v>46076.311805555553</v>
      </c>
      <c r="B316">
        <v>60</v>
      </c>
      <c r="C316">
        <v>4</v>
      </c>
      <c r="D316">
        <v>0</v>
      </c>
      <c r="E316">
        <v>0</v>
      </c>
      <c r="F316">
        <v>0</v>
      </c>
      <c r="G316" s="5">
        <v>5.428240736364387E-3</v>
      </c>
      <c r="H316" t="s">
        <v>686</v>
      </c>
      <c r="I316" t="s">
        <v>687</v>
      </c>
      <c r="J316">
        <v>0</v>
      </c>
      <c r="K316">
        <f t="shared" ref="K316" si="825">IF(A316&lt;DATEVALUE("2025/11/20")+TIMEVALUE("6:00"),1,IF(OR(B316&lt;&gt;60,SUM(D316:F316)&lt;&gt;0,G316&gt;=IF(A316&lt;DATEVALUE("2025/12/28")+TIMEVALUE("6:00"),20,18)/24/60),0,2-INT(G316*24*60/10)))</f>
        <v>2</v>
      </c>
      <c r="L316">
        <f t="shared" ref="L316" si="826">L315+K316</f>
        <v>392</v>
      </c>
      <c r="M316">
        <f t="shared" ref="M316" si="827">2+IF(A316&gt;=DATEVALUE("2025/11/30")+TIMEVALUE("6:00"),1,0)+IF(A316&gt;=DATEVALUE("2025/12/11")+TIMEVALUE("6:00"),1,0)</f>
        <v>4</v>
      </c>
      <c r="N316">
        <f t="shared" ref="N316" si="828">N315+M316*(INT(A316-6/24)-INT(A315-6/24))+O316</f>
        <v>392</v>
      </c>
      <c r="O316">
        <f t="shared" ref="O316" si="829">IF(A316&gt;=DATEVALUE("2025/11/8")+TIMEVALUE("6:00"),1,0)-IF(A315&gt;=DATEVALUE("2025/11/8")+TIMEVALUE("6:00"),1,0)
+IF(A316&gt;=DATEVALUE("2026/1/22")+TIMEVALUE("6:00"),3,0)-IF(A315&gt;=DATEVALUE("2026/1/22")+TIMEVALUE("6:00"),3,0)
+IF(A316&gt;=DATEVALUE("2026/2/21")+TIMEVALUE("6:00"),1,0)-IF(A315&gt;=DATEVALUE("2026/2/21")+TIMEVALUE("6:00"),1,0)</f>
        <v>0</v>
      </c>
      <c r="P316" t="str">
        <f t="shared" ref="P316" si="830">IF(L316&lt;N316,"未達成（"&amp;N316-L316&amp;"）",IF(L316=N316,"達成","前倒し（"&amp;L316-N316&amp;"）"))</f>
        <v>達成</v>
      </c>
      <c r="Q316">
        <f t="shared" ref="Q316" si="831">IF(B316="",NA(),G316)</f>
        <v>5.428240736364387E-3</v>
      </c>
    </row>
    <row r="317" spans="1:17">
      <c r="A317" s="3">
        <v>46077.300196759257</v>
      </c>
      <c r="B317">
        <v>60</v>
      </c>
      <c r="C317">
        <v>12</v>
      </c>
      <c r="D317">
        <v>0</v>
      </c>
      <c r="E317">
        <v>0</v>
      </c>
      <c r="F317">
        <v>0</v>
      </c>
      <c r="G317" s="5">
        <v>4.4907407354912721E-3</v>
      </c>
      <c r="H317" t="s">
        <v>688</v>
      </c>
      <c r="I317" t="s">
        <v>689</v>
      </c>
      <c r="J317">
        <v>0</v>
      </c>
      <c r="K317">
        <f t="shared" ref="K317" si="832">IF(A317&lt;DATEVALUE("2025/11/20")+TIMEVALUE("6:00"),1,IF(OR(B317&lt;&gt;60,SUM(D317:F317)&lt;&gt;0,G317&gt;=IF(A317&lt;DATEVALUE("2025/12/28")+TIMEVALUE("6:00"),20,18)/24/60),0,2-INT(G317*24*60/10)))</f>
        <v>2</v>
      </c>
      <c r="L317">
        <f t="shared" ref="L317" si="833">L316+K317</f>
        <v>394</v>
      </c>
      <c r="M317">
        <f t="shared" ref="M317" si="834">2+IF(A317&gt;=DATEVALUE("2025/11/30")+TIMEVALUE("6:00"),1,0)+IF(A317&gt;=DATEVALUE("2025/12/11")+TIMEVALUE("6:00"),1,0)</f>
        <v>4</v>
      </c>
      <c r="N317">
        <f t="shared" ref="N317" si="835">N316+M317*(INT(A317-6/24)-INT(A316-6/24))+O317</f>
        <v>396</v>
      </c>
      <c r="O317">
        <f t="shared" ref="O317" si="836">IF(A317&gt;=DATEVALUE("2025/11/8")+TIMEVALUE("6:00"),1,0)-IF(A316&gt;=DATEVALUE("2025/11/8")+TIMEVALUE("6:00"),1,0)
+IF(A317&gt;=DATEVALUE("2026/1/22")+TIMEVALUE("6:00"),3,0)-IF(A316&gt;=DATEVALUE("2026/1/22")+TIMEVALUE("6:00"),3,0)
+IF(A317&gt;=DATEVALUE("2026/2/21")+TIMEVALUE("6:00"),1,0)-IF(A316&gt;=DATEVALUE("2026/2/21")+TIMEVALUE("6:00"),1,0)</f>
        <v>0</v>
      </c>
      <c r="P317" t="str">
        <f t="shared" ref="P317" si="837">IF(L317&lt;N317,"未達成（"&amp;N317-L317&amp;"）",IF(L317=N317,"達成","前倒し（"&amp;L317-N317&amp;"）"))</f>
        <v>未達成（2）</v>
      </c>
      <c r="Q317">
        <f t="shared" ref="Q317" si="838">IF(B317="",NA(),G317)</f>
        <v>4.4907407354912721E-3</v>
      </c>
    </row>
    <row r="318" spans="1:17">
      <c r="A318" s="3">
        <v>46077.307708333334</v>
      </c>
      <c r="B318">
        <v>60</v>
      </c>
      <c r="C318">
        <v>8</v>
      </c>
      <c r="D318">
        <v>0</v>
      </c>
      <c r="E318">
        <v>0</v>
      </c>
      <c r="F318">
        <v>0</v>
      </c>
      <c r="G318" s="5">
        <v>6.921296298969537E-3</v>
      </c>
      <c r="H318" t="s">
        <v>690</v>
      </c>
      <c r="I318" t="s">
        <v>691</v>
      </c>
      <c r="J318">
        <v>0</v>
      </c>
      <c r="K318">
        <f t="shared" ref="K318" si="839">IF(A318&lt;DATEVALUE("2025/11/20")+TIMEVALUE("6:00"),1,IF(OR(B318&lt;&gt;60,SUM(D318:F318)&lt;&gt;0,G318&gt;=IF(A318&lt;DATEVALUE("2025/12/28")+TIMEVALUE("6:00"),20,18)/24/60),0,2-INT(G318*24*60/10)))</f>
        <v>2</v>
      </c>
      <c r="L318">
        <f t="shared" ref="L318" si="840">L317+K318</f>
        <v>396</v>
      </c>
      <c r="M318">
        <f t="shared" ref="M318" si="841">2+IF(A318&gt;=DATEVALUE("2025/11/30")+TIMEVALUE("6:00"),1,0)+IF(A318&gt;=DATEVALUE("2025/12/11")+TIMEVALUE("6:00"),1,0)</f>
        <v>4</v>
      </c>
      <c r="N318">
        <f t="shared" ref="N318" si="842">N317+M318*(INT(A318-6/24)-INT(A317-6/24))+O318</f>
        <v>396</v>
      </c>
      <c r="O318">
        <f t="shared" ref="O318" si="843">IF(A318&gt;=DATEVALUE("2025/11/8")+TIMEVALUE("6:00"),1,0)-IF(A317&gt;=DATEVALUE("2025/11/8")+TIMEVALUE("6:00"),1,0)
+IF(A318&gt;=DATEVALUE("2026/1/22")+TIMEVALUE("6:00"),3,0)-IF(A317&gt;=DATEVALUE("2026/1/22")+TIMEVALUE("6:00"),3,0)
+IF(A318&gt;=DATEVALUE("2026/2/21")+TIMEVALUE("6:00"),1,0)-IF(A317&gt;=DATEVALUE("2026/2/21")+TIMEVALUE("6:00"),1,0)</f>
        <v>0</v>
      </c>
      <c r="P318" t="str">
        <f t="shared" ref="P318" si="844">IF(L318&lt;N318,"未達成（"&amp;N318-L318&amp;"）",IF(L318=N318,"達成","前倒し（"&amp;L318-N318&amp;"）"))</f>
        <v>達成</v>
      </c>
      <c r="Q318">
        <f t="shared" ref="Q318" si="845">IF(B318="",NA(),G318)</f>
        <v>6.921296298969537E-3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46077.300787037035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2026-02-23T22:24:21Z</dcterms:modified>
</cp:coreProperties>
</file>
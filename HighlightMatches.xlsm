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0C75C455-E20B-4ACB-867C-23A628616F7C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eta.CHAR" hidden="1" xlm="1">#NAME?</definedName>
    <definedName name="_xleta.DATEVALUE" hidden="1" xlm="1">#NAME?</definedName>
    <definedName name="_xleta.N" hidden="1" xlm="1">#NAME?</definedName>
    <definedName name="_xleta.NOW" hidden="1" xlm="1">#NAME?</definedName>
    <definedName name="_xlpm.A" hidden="1" xlm="1">#NAME?</definedName>
    <definedName name="サーチワードの長さ">設定!$C$5:$C$19</definedName>
    <definedName name="サーチワードの長さに対する加点">設定!$C$21:$C$26</definedName>
    <definedName name="セルを黄色">設定!$C$1</definedName>
    <definedName name="開始時間">設定!$C$3</definedName>
    <definedName name="再開時間">設定!$C$4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45" i="4" l="1"/>
  <c r="M145" i="4"/>
  <c r="N145" i="4" s="1"/>
  <c r="K145" i="4"/>
  <c r="L145" i="4" s="1"/>
  <c r="O144" i="4"/>
  <c r="M144" i="4"/>
  <c r="N144" i="4" s="1"/>
  <c r="K144" i="4"/>
  <c r="L144" i="4" s="1"/>
  <c r="O143" i="4"/>
  <c r="M143" i="4"/>
  <c r="N143" i="4" s="1"/>
  <c r="K143" i="4"/>
  <c r="L143" i="4" s="1"/>
  <c r="P143" i="4" s="1"/>
  <c r="O142" i="4"/>
  <c r="M142" i="4"/>
  <c r="K142" i="4"/>
  <c r="O141" i="4"/>
  <c r="M141" i="4"/>
  <c r="K141" i="4"/>
  <c r="O140" i="4"/>
  <c r="M140" i="4"/>
  <c r="K140" i="4"/>
  <c r="O139" i="4"/>
  <c r="M139" i="4"/>
  <c r="K139" i="4"/>
  <c r="O138" i="4"/>
  <c r="M138" i="4"/>
  <c r="K138" i="4"/>
  <c r="O137" i="4"/>
  <c r="M137" i="4"/>
  <c r="K137" i="4"/>
  <c r="O136" i="4"/>
  <c r="M136" i="4"/>
  <c r="K136" i="4"/>
  <c r="O135" i="4"/>
  <c r="M135" i="4"/>
  <c r="K135" i="4"/>
  <c r="O134" i="4"/>
  <c r="M134" i="4"/>
  <c r="K134" i="4"/>
  <c r="O133" i="4"/>
  <c r="M133" i="4"/>
  <c r="K133" i="4"/>
  <c r="O132" i="4"/>
  <c r="M132" i="4"/>
  <c r="K132" i="4"/>
  <c r="O131" i="4"/>
  <c r="M131" i="4"/>
  <c r="K131" i="4"/>
  <c r="O130" i="4"/>
  <c r="M130" i="4"/>
  <c r="K130" i="4"/>
  <c r="O129" i="4"/>
  <c r="M129" i="4"/>
  <c r="K129" i="4"/>
  <c r="O128" i="4"/>
  <c r="M128" i="4"/>
  <c r="K128" i="4"/>
  <c r="O127" i="4"/>
  <c r="M127" i="4"/>
  <c r="K127" i="4"/>
  <c r="O126" i="4"/>
  <c r="M126" i="4"/>
  <c r="K126" i="4"/>
  <c r="O125" i="4"/>
  <c r="M125" i="4"/>
  <c r="K125" i="4"/>
  <c r="O124" i="4"/>
  <c r="M124" i="4"/>
  <c r="K124" i="4"/>
  <c r="O123" i="4"/>
  <c r="M123" i="4"/>
  <c r="K123" i="4"/>
  <c r="O122" i="4"/>
  <c r="M122" i="4"/>
  <c r="K122" i="4"/>
  <c r="O121" i="4"/>
  <c r="M121" i="4"/>
  <c r="K121" i="4"/>
  <c r="O120" i="4"/>
  <c r="M120" i="4"/>
  <c r="K120" i="4"/>
  <c r="O119" i="4"/>
  <c r="M119" i="4"/>
  <c r="K119" i="4"/>
  <c r="O118" i="4"/>
  <c r="M118" i="4"/>
  <c r="K118" i="4"/>
  <c r="O117" i="4"/>
  <c r="M117" i="4"/>
  <c r="K117" i="4"/>
  <c r="O116" i="4"/>
  <c r="M116" i="4"/>
  <c r="K116" i="4"/>
  <c r="O115" i="4"/>
  <c r="M115" i="4"/>
  <c r="K115" i="4"/>
  <c r="O114" i="4"/>
  <c r="M114" i="4"/>
  <c r="K114" i="4"/>
  <c r="O113" i="4"/>
  <c r="M113" i="4"/>
  <c r="K113" i="4"/>
  <c r="O112" i="4"/>
  <c r="M112" i="4"/>
  <c r="K112" i="4"/>
  <c r="O111" i="4"/>
  <c r="M111" i="4"/>
  <c r="K111" i="4"/>
  <c r="O110" i="4"/>
  <c r="M110" i="4"/>
  <c r="K110" i="4"/>
  <c r="O109" i="4"/>
  <c r="M109" i="4"/>
  <c r="K109" i="4"/>
  <c r="O108" i="4"/>
  <c r="M108" i="4"/>
  <c r="K108" i="4"/>
  <c r="O107" i="4"/>
  <c r="M107" i="4"/>
  <c r="K107" i="4"/>
  <c r="O106" i="4"/>
  <c r="M106" i="4"/>
  <c r="K106" i="4"/>
  <c r="O105" i="4"/>
  <c r="M105" i="4"/>
  <c r="K105" i="4"/>
  <c r="O104" i="4"/>
  <c r="M104" i="4"/>
  <c r="K104" i="4"/>
  <c r="O103" i="4"/>
  <c r="M103" i="4"/>
  <c r="K103" i="4"/>
  <c r="O102" i="4"/>
  <c r="M102" i="4"/>
  <c r="K102" i="4"/>
  <c r="O101" i="4"/>
  <c r="M101" i="4"/>
  <c r="K101" i="4"/>
  <c r="O100" i="4"/>
  <c r="M100" i="4"/>
  <c r="K100" i="4"/>
  <c r="O99" i="4"/>
  <c r="M99" i="4"/>
  <c r="K99" i="4"/>
  <c r="O98" i="4"/>
  <c r="M98" i="4"/>
  <c r="K98" i="4"/>
  <c r="O97" i="4"/>
  <c r="M97" i="4"/>
  <c r="K97" i="4"/>
  <c r="O96" i="4"/>
  <c r="M96" i="4"/>
  <c r="K96" i="4"/>
  <c r="O95" i="4"/>
  <c r="M95" i="4"/>
  <c r="K95" i="4"/>
  <c r="O94" i="4"/>
  <c r="M94" i="4"/>
  <c r="K94" i="4"/>
  <c r="O93" i="4"/>
  <c r="M93" i="4"/>
  <c r="K93" i="4"/>
  <c r="O92" i="4"/>
  <c r="M92" i="4"/>
  <c r="K92" i="4"/>
  <c r="O91" i="4"/>
  <c r="M91" i="4"/>
  <c r="K91" i="4"/>
  <c r="O90" i="4"/>
  <c r="M90" i="4"/>
  <c r="K90" i="4"/>
  <c r="O89" i="4"/>
  <c r="M89" i="4"/>
  <c r="K89" i="4"/>
  <c r="O88" i="4"/>
  <c r="M88" i="4"/>
  <c r="K88" i="4"/>
  <c r="O87" i="4"/>
  <c r="M87" i="4"/>
  <c r="K87" i="4"/>
  <c r="O86" i="4"/>
  <c r="M86" i="4"/>
  <c r="K86" i="4"/>
  <c r="O85" i="4"/>
  <c r="M85" i="4"/>
  <c r="K85" i="4"/>
  <c r="O84" i="4"/>
  <c r="M84" i="4"/>
  <c r="K84" i="4"/>
  <c r="O83" i="4"/>
  <c r="M83" i="4"/>
  <c r="K83" i="4"/>
  <c r="O82" i="4"/>
  <c r="M82" i="4"/>
  <c r="K82" i="4"/>
  <c r="O81" i="4"/>
  <c r="M81" i="4"/>
  <c r="K81" i="4"/>
  <c r="O80" i="4"/>
  <c r="M80" i="4"/>
  <c r="K80" i="4"/>
  <c r="O79" i="4"/>
  <c r="M79" i="4"/>
  <c r="K79" i="4"/>
  <c r="O78" i="4"/>
  <c r="M78" i="4"/>
  <c r="K78" i="4"/>
  <c r="O77" i="4"/>
  <c r="M77" i="4"/>
  <c r="K77" i="4"/>
  <c r="O76" i="4"/>
  <c r="M76" i="4"/>
  <c r="K76" i="4"/>
  <c r="O75" i="4"/>
  <c r="M75" i="4"/>
  <c r="K75" i="4"/>
  <c r="O74" i="4"/>
  <c r="M74" i="4"/>
  <c r="K74" i="4"/>
  <c r="O73" i="4"/>
  <c r="M73" i="4"/>
  <c r="K73" i="4"/>
  <c r="O72" i="4"/>
  <c r="M72" i="4"/>
  <c r="K72" i="4"/>
  <c r="O71" i="4"/>
  <c r="M71" i="4"/>
  <c r="K71" i="4"/>
  <c r="O70" i="4"/>
  <c r="M70" i="4"/>
  <c r="K70" i="4"/>
  <c r="O69" i="4"/>
  <c r="M69" i="4"/>
  <c r="K69" i="4"/>
  <c r="O68" i="4"/>
  <c r="M68" i="4"/>
  <c r="K68" i="4"/>
  <c r="O67" i="4"/>
  <c r="M67" i="4"/>
  <c r="K67" i="4"/>
  <c r="O66" i="4"/>
  <c r="M66" i="4"/>
  <c r="K66" i="4"/>
  <c r="O65" i="4"/>
  <c r="M65" i="4"/>
  <c r="K65" i="4"/>
  <c r="O64" i="4"/>
  <c r="M64" i="4"/>
  <c r="K64" i="4"/>
  <c r="O63" i="4"/>
  <c r="M63" i="4"/>
  <c r="K63" i="4"/>
  <c r="O62" i="4"/>
  <c r="M62" i="4"/>
  <c r="K62" i="4"/>
  <c r="O61" i="4"/>
  <c r="M61" i="4"/>
  <c r="K61" i="4"/>
  <c r="O60" i="4"/>
  <c r="M60" i="4"/>
  <c r="K60" i="4"/>
  <c r="O59" i="4"/>
  <c r="M59" i="4"/>
  <c r="K59" i="4"/>
  <c r="O58" i="4"/>
  <c r="M58" i="4"/>
  <c r="K58" i="4"/>
  <c r="O57" i="4"/>
  <c r="M57" i="4"/>
  <c r="K57" i="4"/>
  <c r="O56" i="4"/>
  <c r="M56" i="4"/>
  <c r="K56" i="4"/>
  <c r="O55" i="4"/>
  <c r="M55" i="4"/>
  <c r="K55" i="4"/>
  <c r="O54" i="4"/>
  <c r="M54" i="4"/>
  <c r="K54" i="4"/>
  <c r="O53" i="4"/>
  <c r="M53" i="4"/>
  <c r="K53" i="4"/>
  <c r="O52" i="4"/>
  <c r="M52" i="4"/>
  <c r="K52" i="4"/>
  <c r="O51" i="4"/>
  <c r="M51" i="4"/>
  <c r="K51" i="4"/>
  <c r="O50" i="4"/>
  <c r="M50" i="4"/>
  <c r="K50" i="4"/>
  <c r="O49" i="4"/>
  <c r="M49" i="4"/>
  <c r="K49" i="4"/>
  <c r="O48" i="4"/>
  <c r="M48" i="4"/>
  <c r="K48" i="4"/>
  <c r="O47" i="4"/>
  <c r="M47" i="4"/>
  <c r="K47" i="4"/>
  <c r="O46" i="4"/>
  <c r="M46" i="4"/>
  <c r="K46" i="4"/>
  <c r="O45" i="4"/>
  <c r="M45" i="4"/>
  <c r="K45" i="4"/>
  <c r="O44" i="4"/>
  <c r="M44" i="4"/>
  <c r="K44" i="4"/>
  <c r="O43" i="4"/>
  <c r="M43" i="4"/>
  <c r="K43" i="4"/>
  <c r="O42" i="4"/>
  <c r="M42" i="4"/>
  <c r="K42" i="4"/>
  <c r="O41" i="4"/>
  <c r="M41" i="4"/>
  <c r="K41" i="4"/>
  <c r="O40" i="4"/>
  <c r="M40" i="4"/>
  <c r="K40" i="4"/>
  <c r="O39" i="4"/>
  <c r="M39" i="4"/>
  <c r="K39" i="4"/>
  <c r="O38" i="4"/>
  <c r="M38" i="4"/>
  <c r="K38" i="4"/>
  <c r="O37" i="4"/>
  <c r="M37" i="4"/>
  <c r="K37" i="4"/>
  <c r="O36" i="4"/>
  <c r="M36" i="4"/>
  <c r="K36" i="4"/>
  <c r="O35" i="4"/>
  <c r="M35" i="4"/>
  <c r="K35" i="4"/>
  <c r="O34" i="4"/>
  <c r="M34" i="4"/>
  <c r="K34" i="4"/>
  <c r="O33" i="4"/>
  <c r="M33" i="4"/>
  <c r="K33" i="4"/>
  <c r="O32" i="4"/>
  <c r="M32" i="4"/>
  <c r="K32" i="4"/>
  <c r="O31" i="4"/>
  <c r="M31" i="4"/>
  <c r="K31" i="4"/>
  <c r="O30" i="4"/>
  <c r="M30" i="4"/>
  <c r="K30" i="4"/>
  <c r="O29" i="4"/>
  <c r="M29" i="4"/>
  <c r="K29" i="4"/>
  <c r="O28" i="4"/>
  <c r="M28" i="4"/>
  <c r="K28" i="4"/>
  <c r="O27" i="4"/>
  <c r="M27" i="4"/>
  <c r="K27" i="4"/>
  <c r="O26" i="4"/>
  <c r="M26" i="4"/>
  <c r="K26" i="4"/>
  <c r="O25" i="4"/>
  <c r="M25" i="4"/>
  <c r="K25" i="4"/>
  <c r="O24" i="4"/>
  <c r="M24" i="4"/>
  <c r="K24" i="4"/>
  <c r="O23" i="4"/>
  <c r="M23" i="4"/>
  <c r="K23" i="4"/>
  <c r="O22" i="4"/>
  <c r="M22" i="4"/>
  <c r="K22" i="4"/>
  <c r="O21" i="4"/>
  <c r="M21" i="4"/>
  <c r="K21" i="4"/>
  <c r="O20" i="4"/>
  <c r="M20" i="4"/>
  <c r="K20" i="4"/>
  <c r="O19" i="4"/>
  <c r="M19" i="4"/>
  <c r="K19" i="4"/>
  <c r="O18" i="4"/>
  <c r="M18" i="4"/>
  <c r="K18" i="4"/>
  <c r="P145" i="4" l="1"/>
  <c r="P144" i="4"/>
  <c r="L18" i="4"/>
  <c r="L19" i="4" s="1"/>
  <c r="N18" i="4"/>
  <c r="N19" i="4" s="1"/>
  <c r="N20" i="4" s="1"/>
  <c r="N21" i="4" s="1"/>
  <c r="N22" i="4" s="1"/>
  <c r="N23" i="4" s="1"/>
  <c r="N24" i="4" s="1"/>
  <c r="N25" i="4" s="1"/>
  <c r="N26" i="4" s="1"/>
  <c r="N27" i="4" s="1"/>
  <c r="N28" i="4" s="1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l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L20" i="4"/>
  <c r="P19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L21" i="4" l="1"/>
  <c r="P20" i="4"/>
  <c r="T2" i="5"/>
  <c r="T3" i="5"/>
  <c r="T4" i="3"/>
  <c r="S5" i="3"/>
  <c r="L22" i="4" l="1"/>
  <c r="P21" i="4"/>
  <c r="T4" i="5"/>
  <c r="S6" i="3"/>
  <c r="T6" i="3" s="1"/>
  <c r="T5" i="3"/>
  <c r="P22" i="4" l="1"/>
  <c r="L23" i="4"/>
  <c r="T6" i="5"/>
  <c r="T5" i="5"/>
  <c r="L24" i="4" l="1"/>
  <c r="P23" i="4"/>
  <c r="P18" i="4"/>
  <c r="L25" i="4" l="1"/>
  <c r="P24" i="4"/>
  <c r="L26" i="4" l="1"/>
  <c r="P25" i="4"/>
  <c r="P26" i="4" l="1"/>
  <c r="L27" i="4"/>
  <c r="L28" i="4" l="1"/>
  <c r="P27" i="4"/>
  <c r="L29" i="4" l="1"/>
  <c r="P28" i="4"/>
  <c r="L30" i="4" l="1"/>
  <c r="P29" i="4"/>
  <c r="P30" i="4" l="1"/>
  <c r="L31" i="4"/>
  <c r="L32" i="4" l="1"/>
  <c r="P31" i="4"/>
  <c r="L33" i="4" l="1"/>
  <c r="P32" i="4"/>
  <c r="L34" i="4" l="1"/>
  <c r="P33" i="4"/>
  <c r="P34" i="4" l="1"/>
  <c r="L35" i="4"/>
  <c r="L36" i="4" l="1"/>
  <c r="P35" i="4"/>
  <c r="L37" i="4" l="1"/>
  <c r="P36" i="4"/>
  <c r="L38" i="4" l="1"/>
  <c r="P37" i="4"/>
  <c r="P38" i="4" l="1"/>
  <c r="L39" i="4"/>
  <c r="L40" i="4" l="1"/>
  <c r="P39" i="4"/>
  <c r="L41" i="4" l="1"/>
  <c r="P40" i="4"/>
  <c r="L42" i="4" l="1"/>
  <c r="P41" i="4"/>
  <c r="P42" i="4" l="1"/>
  <c r="L43" i="4"/>
  <c r="L44" i="4" l="1"/>
  <c r="P43" i="4"/>
  <c r="L45" i="4" l="1"/>
  <c r="P44" i="4"/>
  <c r="L46" i="4" l="1"/>
  <c r="P45" i="4"/>
  <c r="P46" i="4" l="1"/>
  <c r="L47" i="4"/>
  <c r="L48" i="4" l="1"/>
  <c r="P47" i="4"/>
  <c r="L49" i="4" l="1"/>
  <c r="P48" i="4"/>
  <c r="L50" i="4" l="1"/>
  <c r="P49" i="4"/>
  <c r="P50" i="4" l="1"/>
  <c r="L51" i="4"/>
  <c r="L52" i="4" l="1"/>
  <c r="P51" i="4"/>
  <c r="L53" i="4" l="1"/>
  <c r="P52" i="4"/>
  <c r="L54" i="4" l="1"/>
  <c r="P53" i="4"/>
  <c r="P54" i="4" l="1"/>
  <c r="L55" i="4"/>
  <c r="L56" i="4" l="1"/>
  <c r="P55" i="4"/>
  <c r="L57" i="4" l="1"/>
  <c r="P56" i="4"/>
  <c r="L58" i="4" l="1"/>
  <c r="P57" i="4"/>
  <c r="P58" i="4" l="1"/>
  <c r="L59" i="4"/>
  <c r="L60" i="4" l="1"/>
  <c r="P59" i="4"/>
  <c r="L61" i="4" l="1"/>
  <c r="P60" i="4"/>
  <c r="L62" i="4" l="1"/>
  <c r="P61" i="4"/>
  <c r="P62" i="4" l="1"/>
  <c r="L63" i="4"/>
  <c r="L64" i="4" l="1"/>
  <c r="P63" i="4"/>
  <c r="L65" i="4" l="1"/>
  <c r="P64" i="4"/>
  <c r="L66" i="4" l="1"/>
  <c r="P65" i="4"/>
  <c r="P66" i="4" l="1"/>
  <c r="L67" i="4"/>
  <c r="L68" i="4" l="1"/>
  <c r="P67" i="4"/>
  <c r="L69" i="4" l="1"/>
  <c r="P68" i="4"/>
  <c r="L70" i="4" l="1"/>
  <c r="P69" i="4"/>
  <c r="P70" i="4" l="1"/>
  <c r="L71" i="4"/>
  <c r="L72" i="4" l="1"/>
  <c r="P71" i="4"/>
  <c r="L73" i="4" l="1"/>
  <c r="P72" i="4"/>
  <c r="L74" i="4" l="1"/>
  <c r="P73" i="4"/>
  <c r="P74" i="4" l="1"/>
  <c r="L75" i="4"/>
  <c r="L76" i="4" l="1"/>
  <c r="P75" i="4"/>
  <c r="L77" i="4" l="1"/>
  <c r="P76" i="4"/>
  <c r="L78" i="4" l="1"/>
  <c r="P77" i="4"/>
  <c r="P78" i="4" l="1"/>
  <c r="L79" i="4"/>
  <c r="L80" i="4" l="1"/>
  <c r="P79" i="4"/>
  <c r="L81" i="4" l="1"/>
  <c r="P80" i="4"/>
  <c r="L82" i="4" l="1"/>
  <c r="P81" i="4"/>
  <c r="P82" i="4" l="1"/>
  <c r="L83" i="4"/>
  <c r="L84" i="4" l="1"/>
  <c r="P83" i="4"/>
  <c r="L85" i="4" l="1"/>
  <c r="P84" i="4"/>
  <c r="L86" i="4" l="1"/>
  <c r="P85" i="4"/>
  <c r="P86" i="4" l="1"/>
  <c r="L87" i="4"/>
  <c r="L88" i="4" l="1"/>
  <c r="P87" i="4"/>
  <c r="L89" i="4" l="1"/>
  <c r="P88" i="4"/>
  <c r="L90" i="4" l="1"/>
  <c r="P89" i="4"/>
  <c r="P90" i="4" l="1"/>
  <c r="L91" i="4"/>
  <c r="L92" i="4" l="1"/>
  <c r="P91" i="4"/>
  <c r="L93" i="4" l="1"/>
  <c r="P92" i="4"/>
  <c r="L94" i="4" l="1"/>
  <c r="P93" i="4"/>
  <c r="P94" i="4" l="1"/>
  <c r="L95" i="4"/>
  <c r="L96" i="4" l="1"/>
  <c r="P95" i="4"/>
  <c r="L97" i="4" l="1"/>
  <c r="P96" i="4"/>
  <c r="L98" i="4" l="1"/>
  <c r="P97" i="4"/>
  <c r="P98" i="4" l="1"/>
  <c r="L99" i="4"/>
  <c r="P99" i="4" l="1"/>
  <c r="L100" i="4"/>
  <c r="P100" i="4" l="1"/>
  <c r="L101" i="4"/>
  <c r="P101" i="4" l="1"/>
  <c r="L102" i="4"/>
  <c r="P102" i="4" l="1"/>
  <c r="L103" i="4"/>
  <c r="P103" i="4" l="1"/>
  <c r="L104" i="4"/>
  <c r="P104" i="4" l="1"/>
  <c r="L105" i="4"/>
  <c r="L106" i="4" l="1"/>
  <c r="P105" i="4"/>
  <c r="P106" i="4" l="1"/>
  <c r="L107" i="4"/>
  <c r="P107" i="4" l="1"/>
  <c r="L108" i="4"/>
  <c r="L109" i="4" l="1"/>
  <c r="P108" i="4"/>
  <c r="P109" i="4" l="1"/>
  <c r="L110" i="4"/>
  <c r="P110" i="4" l="1"/>
  <c r="L111" i="4"/>
  <c r="P111" i="4" l="1"/>
  <c r="L112" i="4"/>
  <c r="P112" i="4" l="1"/>
  <c r="L113" i="4"/>
  <c r="P113" i="4" l="1"/>
  <c r="L114" i="4"/>
  <c r="P114" i="4" l="1"/>
  <c r="L115" i="4"/>
  <c r="P115" i="4" l="1"/>
  <c r="L116" i="4"/>
  <c r="L117" i="4" l="1"/>
  <c r="P116" i="4"/>
  <c r="P117" i="4" l="1"/>
  <c r="L118" i="4"/>
  <c r="L119" i="4" l="1"/>
  <c r="P118" i="4"/>
  <c r="L120" i="4" l="1"/>
  <c r="P119" i="4"/>
  <c r="L121" i="4" l="1"/>
  <c r="P120" i="4"/>
  <c r="P121" i="4" l="1"/>
  <c r="L122" i="4"/>
  <c r="P122" i="4" l="1"/>
  <c r="L123" i="4"/>
  <c r="P123" i="4" l="1"/>
  <c r="L124" i="4"/>
  <c r="L125" i="4" l="1"/>
  <c r="P124" i="4"/>
  <c r="P125" i="4" l="1"/>
  <c r="L126" i="4"/>
  <c r="L127" i="4" l="1"/>
  <c r="P126" i="4"/>
  <c r="L128" i="4" l="1"/>
  <c r="P127" i="4"/>
  <c r="L129" i="4" l="1"/>
  <c r="P128" i="4"/>
  <c r="P129" i="4" l="1"/>
  <c r="L130" i="4"/>
  <c r="P130" i="4" l="1"/>
  <c r="L131" i="4"/>
  <c r="P131" i="4" l="1"/>
  <c r="L132" i="4"/>
  <c r="P132" i="4" l="1"/>
  <c r="L133" i="4"/>
  <c r="P133" i="4" l="1"/>
  <c r="L134" i="4"/>
  <c r="P134" i="4" l="1"/>
  <c r="L135" i="4"/>
  <c r="L136" i="4" l="1"/>
  <c r="P135" i="4"/>
  <c r="L137" i="4" l="1"/>
  <c r="P136" i="4"/>
  <c r="P137" i="4" l="1"/>
  <c r="L138" i="4"/>
  <c r="P138" i="4" l="1"/>
  <c r="L139" i="4"/>
  <c r="L140" i="4" s="1"/>
  <c r="P140" i="4" l="1"/>
  <c r="L141" i="4"/>
  <c r="L142" i="4" s="1"/>
  <c r="P139" i="4"/>
  <c r="P142" i="4" l="1"/>
  <c r="P141" i="4"/>
</calcChain>
</file>

<file path=xl/sharedStrings.xml><?xml version="1.0" encoding="utf-8"?>
<sst xmlns="http://schemas.openxmlformats.org/spreadsheetml/2006/main" count="366" uniqueCount="347">
  <si>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</si>
  <si>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</si>
  <si>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</si>
  <si>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</si>
  <si>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</si>
  <si>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</si>
  <si>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</si>
  <si>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</si>
  <si>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</si>
  <si>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</si>
  <si>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</si>
  <si>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</si>
  <si>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</si>
  <si>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</si>
  <si>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</si>
  <si>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</si>
  <si>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</si>
  <si>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</si>
  <si>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</si>
  <si>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</si>
  <si>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</si>
  <si>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</si>
  <si>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</si>
  <si>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</si>
  <si>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</si>
  <si>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</si>
  <si>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</si>
  <si>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</si>
  <si>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</si>
  <si>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</si>
  <si>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</si>
  <si>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</si>
  <si>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</si>
  <si>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</si>
  <si>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</si>
  <si>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</si>
  <si>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</si>
  <si>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</si>
  <si>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</si>
  <si>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</si>
  <si>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</si>
  <si>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</si>
  <si>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</si>
  <si>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</si>
  <si>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</si>
  <si>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</si>
  <si>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</si>
  <si>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</si>
  <si>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</si>
  <si>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</si>
  <si>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</si>
  <si>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</si>
  <si>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</si>
  <si>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</si>
  <si>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</si>
  <si>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</si>
  <si>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</si>
  <si>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</si>
  <si>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</si>
  <si>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</si>
  <si>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</si>
  <si>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</si>
  <si>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</si>
  <si>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</si>
  <si>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</si>
  <si>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</si>
  <si>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</si>
  <si>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</si>
  <si>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</si>
  <si>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</si>
  <si>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</si>
  <si>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</si>
  <si>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</si>
  <si>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</si>
  <si>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</si>
  <si>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</si>
  <si>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</si>
  <si>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</si>
  <si>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</si>
  <si>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</si>
  <si>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</si>
  <si>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</si>
  <si>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</si>
  <si>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</si>
  <si>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</si>
  <si>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</si>
  <si>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</si>
  <si>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</si>
  <si>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</si>
  <si>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</si>
  <si>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</si>
  <si>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</si>
  <si>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</si>
  <si>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</si>
  <si>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</si>
  <si>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</si>
  <si>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</si>
  <si>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</si>
  <si>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</si>
  <si>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</si>
  <si>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</si>
  <si>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</si>
  <si>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</si>
  <si>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</si>
  <si>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</si>
  <si>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</si>
  <si>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</si>
  <si>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</si>
  <si>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</si>
  <si>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</si>
  <si>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</si>
  <si>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</si>
  <si>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</si>
  <si>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</si>
  <si>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</si>
  <si>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</si>
  <si>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</si>
  <si>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</si>
  <si>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</si>
  <si>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</si>
  <si>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</si>
  <si>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</si>
  <si>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</si>
  <si>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</si>
  <si>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</si>
  <si>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</si>
  <si>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</si>
  <si>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</si>
  <si>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</si>
  <si>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</si>
  <si>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</si>
  <si>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</si>
  <si>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</si>
  <si>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</si>
  <si>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</si>
  <si>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</si>
  <si>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</si>
  <si>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</si>
  <si>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</si>
  <si>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</si>
  <si>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</si>
  <si>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</si>
  <si>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</si>
  <si>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</si>
  <si>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</si>
  <si>
    <t>(5,*1,*2,*6,*3,2,6,*1,*6,*1,*1,*6),(5,3,5,*7,5,*7,4,5,7,4,4,9),(3,4,5,*5,2,8,*8,*7,*6,8,6,3),(7,8,*3,*7,9,5,2,*4,7,3,3,4),(6,5,2,*7,8,2,5,2,*9,1,8,1),(3,7,4,*4,*9,*4,6,6,2,*9,8,3),(1,7,8,*1,3,4,4,7,1,1,*6,3),(1,2,5,*4,3,4,6,4,6,6,1,*9),(1,2,2,*5,7,4,*8,*5,*2,*9,*5,3),(2,8,1,*1,*4,*8,*8,*1,*8,4,3,3),(4,3,7,*7,*6,3,8,*6,*6,*2,*9,*4),(2,6,5,*3,*5,*3,*5,*5,*9,*4,3,4)</t>
  </si>
  <si>
    <t>59,757,76,48818,414517,9699487,66294,4955353,618,973,94,8529,3621,46,16116</t>
  </si>
  <si>
    <t>(*6,*4,*6,*2,7,3,5,1,1,3,1,*7),(4,6,1,6,5,*8,7,*2,7,7,2,*7),(7,6,3,2,5,*1,*6,3,*5,7,3,*6),(9,4,*9,2,*4,*2,1,*6,7,*3,7,*3),(4,3,*4,4,*2,*8,3,7,*4,1,3,*9),(*3,*1,7,6,*2,*8,*5,9,2,*6,4,5),(6,*6,*6,7,*3,*3,*3,*3,4,2,*3,5),(8,9,*6,*2,2,*4,*7,*2,1,8,6,6),(1,6,3,*8,*4,*3,*6,*8,5,1,2,9),(6,7,8,*7,*7,*7,*2,6,9,7,8,5),(6,5,1,2,8,*6,*1,*7,5,7,2,3),(1,1,1,3,6,4,*1,5,3,5,8,3)</t>
  </si>
  <si>
    <t>3224,66463,723,74261,49,537621,6462,253,77639,358,82,37,87,1678663,4388218</t>
  </si>
  <si>
    <t>(3,8,7,5,3,7,9,4,3,*1,4,1),(9,9,9,3,6,3,2,2,4,*3,*9,*7),(7,8,*8,*3,*8,*9,*7,7,*4,*4,1,2),(*2,*3,5,9,*7,4,9,7,*7,*2,2,6),(9,*6,3,1,*5,3,5,*7,*5,5,9,9),(1,*1,1,7,7,4,*2,8,*5,3,3,3),(6,*1,2,8,3,*7,4,9,*5,9,2,6),(6,*8,6,*9,*8,6,4,*2,*9,6,7,*2),(2,*2,*9,*6,*5,3,8,9,*2,6,4,*1),(3,*9,6,*8,3,*4,5,7,*2,2,7,*9),(7,*6,2,9,*3,5,*4,*7,*9,4,7,*5),(*3,*9,*2,*9,7,1,5,*4,*3,8,7,*4)</t>
  </si>
  <si>
    <t>2431,79838,983,3922955,95444,793,73,772786,32,6928116,475,75,9293,45912,22</t>
  </si>
  <si>
    <t>(9,5,9,7,*2,*4,*9,*7,*3,*4,*7,5),(8,4,2,2,*5,*3,*6,8,1,*3,2,*5),(5,2,9,5,*5,8,*6,*6,*1,*2,*4,2),(2,5,9,*4,2,*4,9,*5,4,*5,7,1),(4,6,*6,6,*9,*2,*4,8,*5,2,9,5),(3,*3,*9,*9,9,*8,6,*5,1,9,6,4),(*4,*8,*9,*1,*1,7,*4,6,4,7,2,2),(2,*9,*1,*7,*5,2,4,*2,9,2,3,9),(8,4,2,*8,1,*6,7,*7,6,2,9,8),(7,2,2,3,*4,9,*5,*7,6,8,2,4),(2,5,1,3,7,3,4,*3,9,4,7,5),(2,5,9,9,3,6,4,*9,*8,*9,*6,*5)</t>
  </si>
  <si>
    <t>82,7437942,612,739,98,7184513,43645,5698,27,91565,545554,635,99946,8184,65</t>
  </si>
  <si>
    <t>(6,9,3,7,1,4,9,*7,*8,*6,5,*2),(2,9,5,*9,5,4,2,1,2,8,*8,9),(9,*6,*5,*2,3,2,9,6,8,*8,2,4),(4,7,6,*9,6,4,*3,4,*7,9,8,3),(3,5,9,*2,5,3,7,*5,6,2,*9,8),(4,7,1,*4,2,3,6,6,*4,*1,2,*3),(*4,*4,*1,*7,*5,1,7,9,*6,7,7,*4),(3,5,4,*4,*3,*6,7,*2,3,2,*8,*3),(2,7,*3,2,1,4,*9,7,5,3,*4,*5),(4,*9,8,7,5,7,7,1,6,3,8,*5),(*1,6,*7,*3,*2,*4,*1,*2,*9,*5,5,*5),(*8,*3,*6,*4,*6,*9,*4,6,2,*9,*8,8)</t>
  </si>
  <si>
    <t>974,63,4417,354,65,5921423,42929,343555,84,92619,98,687,8364694,54391,7882</t>
  </si>
  <si>
    <t>(7,*3,*9,1,5,7,2,7,4,*1,9,5),(6,1,*5,*3,4,7,4,3,*4,7,9,1),(1,3,8,*6,*3,7,6,*9,4,1,*2,8),(7,*9,*4,*2,*1,*8,*3,1,4,*9,*5,*8),(2,*7,*3,8,9,*3,*5,*6,*7,1,*5,*4),(1,*4,9,*6,*8,2,5,*8,5,6,*6,*1),(8,*9,4,*6,*8,3,*3,3,*1,8,*2,*6),(5,*3,2,*3,*7,*4,3,4,3,*3,*8,*4),(9,*3,1,3,*1,5,*2,4,6,8,*2,*7),(3,3,*3,*4,8,7,*7,4,4,6,5,*2),(1,4,4,8,5,9,7,1,6,1,8,*7),(1,5,4,7,3,9,3,9,1,6,2,*9)</t>
  </si>
  <si>
    <t>6833941,1653,132,67,2978341,93385,124,647279,8639,37,43,841,82655,33947,27</t>
  </si>
  <si>
    <t>(*2,*2,*1,*5,*4,*1,*2,*1,*3,*2,*1,2),(7,2,5,2,3,9,7,9,5,8,3,6),(6,8,9,9,1,9,5,7,8,9,6,2),(*4,6,7,5,3,*2,2,7,3,*5,8,*7),(*8,8,*9,*5,*4,1,5,3,*6,5,*1,8),(*9,6,8,*1,2,7,*8,*8,*9,*7,1,6),(*1,*7,*2,1,5,*4,*4,2,*3,*7,2,6),(*8,*7,*9,3,*8,6,3,*8,6,*9,*2,6),(8,3,3,*3,*9,5,*4,*7,9,*3,*3,9),(1,1,*1,*2,*2,*2,*6,1,9,7,*1,2),(8,*2,1,*7,2,*3,9,4,9,4,2,6),(1,2,5,*5,5,1,1,9,9,4,7,7)</t>
  </si>
  <si>
    <t>7173842,572,72142,5684,367,279,1231,23979,39,2145122,31,81984,89,848312,95</t>
  </si>
  <si>
    <t>(7,2,*8,*3,*2,*7,7,3,4,6,1,7),(9,3,2,3,6,5,9,8,6,6,9,4),(7,2,*2,2,*7,*5,*4,*5,*2,*9,*1,7),(5,7,6,*8,1,7,*3,*6,6,2,1,6),(6,3,*2,*4,*5,*9,3,*6,1,3,6,1),(2,4,*1,*1,*9,5,*3,*1,5,2,2,3),(1,*5,2,*6,*3,2,*2,*9,4,*5,*1,5),(*2,9,*2,9,5,*8,*2,6,*5,5,1,3),(5,4,*4,9,*9,*1,*8,*1,2,3,5,5),(6,7,*8,3,*4,9,*7,*3,6,9,4,5),(9,6,*4,*8,*7,*5,9,4,*8,9,3,4),(9,2,*7,6,6,5,9,*8,*4,*8,*8,*5)</t>
  </si>
  <si>
    <t>46,16,7238,39962,4152,23,51,7545291,582,57155,784129,484,58848,8388312,749</t>
  </si>
  <si>
    <t>(4,*6,5,7,*2,*1,*9,*6,*6,*1,*3,9),(5,5,*3,3,8,7,*5,*6,2,7,1,5),(3,5,2,*2,*2,4,6,*8,9,7,5,5),(4,9,8,*8,*8,6,1,*2,7,7,1,2),(2,*6,*6,2,5,*4,7,1,*1,8,4,2),(5,*5,3,8,7,9,8,7,7,*1,2,1),(*9,6,4,*4,*2,1,7,7,3,7,*2,*7),(4,1,*5,5,5,3,3,8,9,3,*4,*9),(1,9,5,*5,8,5,2,8,6,*3,*1,*9),(5,4,*7,*9,*9,*1,*1,*6,*8,*6,*9,*3),(8,5,8,9,9,5,5,6,2,*1,2,*1),(5,*7,*7,*4,*2,*4,*8,*4,6,*3,3,3)</t>
  </si>
  <si>
    <t>991168,3166912,112,56,28659,48236,15,3163,24,559,7742484,97,79931,286,2419</t>
  </si>
  <si>
    <t>累計ポイント</t>
    <rPh sb="0" eb="2">
      <t>ルイケイ</t>
    </rPh>
    <phoneticPr fontId="1"/>
  </si>
  <si>
    <t>(*2,*1,*7,*9,*7,*9,7,1,4,3,5,7),(5,6,*8,5,5,*6,4,3,5,9,4,9),(8,1,*4,9,*1,4,*1,2,2,3,1,9),(2,5,*5,8,5,*8,8,*2,7,7,8,5),(9,4,9,*9,*4,1,*6,2,*5,9,6,5),(5,6,*3,*8,9,*5,6,*7,5,*1,9,8),(6,7,*4,*8,8,5,*2,7,2,5,*5,5),(*3,*1,*3,*6,6,1,*6,*8,7,1,3,*1),(*7,*4,*8,*4,*5,8,*5,*7,*4,8,4,8),(2,2,*6,*9,2,2,3,4,*3,4,9,7),(3,3,*8,*1,*7,*6,*5,*3,*3,*4,4,5),(3,8,*9,4,4,5,8,2,4,4,9,3)</t>
  </si>
  <si>
    <t>1867,845,6734,335671,46889,1515216,17979,58,895,58,217,45284,9868343,41,73</t>
  </si>
  <si>
    <t>(5,7,1,9,2,*6,*7,*3,*2,*2,7,1),(9,1,7,4,*8,*8,*9,*1,*3,*2,*8,*7),(1,5,3,9,2,*8,7,9,4,7,*2,9),(7,6,7,4,5,*3,*1,2,8,*7,5,9),(8,6,8,7,5,*5,1,*7,*6,5,1,*9),(3,8,2,8,7,*9,1,9,*7,*2,1,*3),(3,4,9,4,4,*3,*7,3,*4,*7,5,*5),(4,1,3,6,3,*5,6,*1,2,*2,*5,*4),(1,6,1,5,9,*3,*4,6,2,*8,6,*6),(4,2,1,3,5,*3,3,8,8,*2,*4,*5),(6,3,*6,*7,4,9,9,7,3,*1,7,5),(4,7,8,4,5,1,5,*9,*7,*3,*1,*9)</t>
  </si>
  <si>
    <t>76,34142,564539,8891328,2821,71,41,3539538,874,499,19,57771,7276,22376,379</t>
  </si>
  <si>
    <t>(1,9,*8,8,9,2,*7,*9,*2,9,1,7),(9,7,7,*3,6,7,9,8,1,7,8,1),(6,6,8,6,*4,1,3,9,3,3,7,1),(*5,*5,*6,*6,*6,8,*5,2,2,6,8,3),(3,9,7,4,*6,*5,*8,*9,4,4,5,7),(5,1,2,9,4,3,4,*8,*2,*9,*1,*3),(*7,*7,*6,*5,*4,*9,4,*6,*2,6,*1,2),(*4,*1,*5,*5,*1,*1,*8,2,*7,*7,3,5),(*4,*5,6,1,9,1,1,8,2,*4,6,7),(*1,1,*7,*7,*7,*5,*3,*7,*6,2,*6,3),(*3,*4,8,6,5,1,4,9,5,7,5,*3),(*4,6,6,5,1,8,7,8,9,3,9,5)</t>
    <phoneticPr fontId="1"/>
  </si>
  <si>
    <t>43,82913,754,438,776549,4134,297,11,36476,4155118,55,6589,7775376,55666,71</t>
    <phoneticPr fontId="1"/>
  </si>
  <si>
    <t>目標達成／目標未達</t>
    <phoneticPr fontId="1"/>
  </si>
  <si>
    <t>得点１（見つけたサーチワードの長さ、同じサーチワードを見つけたら１つ目はこっちに加算）</t>
    <rPh sb="0" eb="2">
      <t>トクテン</t>
    </rPh>
    <rPh sb="4" eb="5">
      <t>ミ</t>
    </rPh>
    <rPh sb="15" eb="16">
      <t>オサ</t>
    </rPh>
    <rPh sb="18" eb="19">
      <t>オナ</t>
    </rPh>
    <rPh sb="27" eb="28">
      <t>ミ</t>
    </rPh>
    <rPh sb="34" eb="35">
      <t>メ</t>
    </rPh>
    <rPh sb="40" eb="42">
      <t>カサン</t>
    </rPh>
    <phoneticPr fontId="1"/>
  </si>
  <si>
    <t>得点２（見つけたサーチワードの長さ、同じサーチワードを見つけたら２つ目以降はこっちに加算）</t>
    <phoneticPr fontId="1"/>
  </si>
  <si>
    <t>減点１（サーチワードがない所を選択した数）</t>
    <rPh sb="0" eb="2">
      <t>ゲンテン</t>
    </rPh>
    <rPh sb="13" eb="14">
      <t>トコロ</t>
    </rPh>
    <rPh sb="15" eb="17">
      <t>センタク</t>
    </rPh>
    <rPh sb="19" eb="20">
      <t>カズ</t>
    </rPh>
    <phoneticPr fontId="1"/>
  </si>
  <si>
    <t>減点２（見つけられていないサーチワードの長さ、サーチワードが赤になります）</t>
    <rPh sb="0" eb="2">
      <t>ゲンテン</t>
    </rPh>
    <rPh sb="4" eb="5">
      <t>ミ</t>
    </rPh>
    <rPh sb="20" eb="21">
      <t>オサ</t>
    </rPh>
    <rPh sb="30" eb="31">
      <t>アカ</t>
    </rPh>
    <phoneticPr fontId="1"/>
  </si>
  <si>
    <t>減点３（サーチワードが部分的に選択されているためサーチワードが完成していない）</t>
    <rPh sb="0" eb="2">
      <t>ゲンテン</t>
    </rPh>
    <rPh sb="31" eb="33">
      <t>カンセイ</t>
    </rPh>
    <phoneticPr fontId="1"/>
  </si>
  <si>
    <t>(9,4,4,8,3,3,8,*2,3,3,3,*3),(4,4,8,3,5,9,1,*1,6,8,5,*4),(7,6,4,1,3,5,5,*5,6,5,3,*8),(*6,*4,*1,*6,*8,9,5,8,4,6,6,*1),(*8,*2,*8,*6,*9,*7,*4,6,2,8,1,*7),(4,6,8,8,*1,*7,*6,*6,*8,3,2,9),(3,2,7,3,*3,8,*5,*4,*8,*9,3,1),(5,6,6,1,*2,7,1,*9,*1,*4,*6,2),(4,7,7,6,*6,5,*3,4,*9,*6,*8,*3),(8,3,9,8,*5,6,2,*7,7,*2,*4,*4),(3,2,7,5,*2,*2,4,4,*9,*8,*5,*1),(*1,*3,2,4,7,*7,*6,*2,5,8,5,3)</t>
    <phoneticPr fontId="1"/>
  </si>
  <si>
    <t>9132652,3698,973,215,77,64168,762,59925,71843,468484,58,22,31,6828,1461467</t>
    <phoneticPr fontId="1"/>
  </si>
  <si>
    <t>累計１日目標ポイント</t>
    <rPh sb="0" eb="2">
      <t>ルイケイ</t>
    </rPh>
    <rPh sb="3" eb="4">
      <t>ニチ</t>
    </rPh>
    <phoneticPr fontId="1"/>
  </si>
  <si>
    <t>ポイント
（2025/11/20未満は１、2025/11/20以上は得点１が６０点、減点全てが０点に限り、１０分台が１、0分台が２）</t>
    <rPh sb="16" eb="18">
      <t>ミマン</t>
    </rPh>
    <rPh sb="31" eb="33">
      <t>イジョウ</t>
    </rPh>
    <rPh sb="34" eb="36">
      <t>トクテン</t>
    </rPh>
    <rPh sb="40" eb="41">
      <t>テン</t>
    </rPh>
    <rPh sb="42" eb="44">
      <t>ゲンテン</t>
    </rPh>
    <rPh sb="44" eb="45">
      <t>スベ</t>
    </rPh>
    <rPh sb="48" eb="49">
      <t>テン</t>
    </rPh>
    <rPh sb="50" eb="51">
      <t>カギ</t>
    </rPh>
    <rPh sb="55" eb="57">
      <t>フンダイ</t>
    </rPh>
    <rPh sb="61" eb="63">
      <t>フンダイ</t>
    </rPh>
    <phoneticPr fontId="1"/>
  </si>
  <si>
    <t>罰（2025/11/8は１）</t>
    <phoneticPr fontId="1"/>
  </si>
  <si>
    <t>(1,2,1,5,*9,9,8,5,8,7,9,5),(*1,7,9,2,*7,6,*7,*1,*6,*8,*8,*1),(*7,8,*6,*7,*4,*2,*8,1,9,2,3,*2),(*2,2,4,6,*6,*7,*8,*3,9,3,*5,*6),(*3,6,2,8,*6,4,2,*4,4,*8,*3,*7),(*9,7,9,*3,5,9,*8,*4,*3,1,*2,*1),(2,5,*3,2,*7,8,6,*8,5,5,*8,7),(4,1,1,5,*9,*8,3,1,7,7,*8,2),(5,6,9,3,*6,*4,4,2,9,7,*6,2),(6,2,*1,3,*4,2,6,8,4,3,*2,3),(2,5,*6,6,*7,3,9,5,6,5,*4,8),(5,3,7,4,3,*8,*3,*7,*1,*5,*8,*8)</t>
  </si>
  <si>
    <t>17239,79647,97,2671,6783,633,3288624,84,67428,188617,85,844,843,61,8371588</t>
  </si>
  <si>
    <t>(*8,*3,*2,*1,*9,4,2,2,8,3,9,8),(9,1,9,7,*2,*1,*5,*2,*7,3,4,6),(7,1,8,2,3,*8,*2,*7,*2,3,*5,9),(8,2,6,8,6,8,1,9,9,*7,8,*6),(2,9,1,8,8,6,4,9,*8,3,7,*3),(*8,*2,7,1,*6,1,*5,*7,1,*1,5,*5),(*2,*4,9,*2,2,*9,*7,8,4,*9,*8,*4),(9,*6,*5,*6,*6,*1,4,8,9,*8,*1,*7),(2,7,5,*2,*4,3,9,*1,4,1,*6,*5),(6,8,*1,*5,*8,*5,*2,*8,*8,1,*8,*5),(6,4,9,7,6,9,3,7,6,*8,*6,5),(9,4,5,9,1,2,4,8,7,8,*2,8)</t>
  </si>
  <si>
    <t>891,881,26,28,656,24,12,4177875,72512,8272,82585,268618,5962,83219,5574536</t>
  </si>
  <si>
    <t>(8,2,2,2,*8,*4,*5,1,1,3,4,5),(5,*9,*3,*2,*5,*1,*7,*7,7,1,*2,7),(8,5,9,*5,*7,3,2,8,9,2,*6,6),(6,5,6,2,6,4,*5,*5,*1,*4,*5,5),(4,9,7,3,3,3,*3,*9,9,*3,*9,8),(1,*2,*7,*9,9,*8,*8,1,2,*2,*9,3),(*1,4,4,8,*1,*3,9,3,5,*6,3,1),(5,*6,2,*1,*2,*6,9,2,7,*6,*3,1),(3,4,*8,*1,4,8,*2,3,4,*6,7,3),(3,9,*3,*7,1,8,*2,*1,4,*2,9,8),(2,*2,1,2,*5,6,4,2,*6,8,1,4),(3,3,6,3,*3,4,5,9,9,*3,2,4)</t>
  </si>
  <si>
    <t>5514,9832132,57861,266623,263,279,3811,9325177,73,62163,63,15,845,26599,75</t>
  </si>
  <si>
    <t>(6,7,7,3,8,9,3,7,4,7,1,8),(*1,*6,*6,*6,*6,5,5,*2,4,4,*1,4),(6,4,1,4,2,*6,*3,*4,9,*2,*3,7),(8,*9,1,2,*4,*2,*3,9,7,*9,*1,3),(1,*3,8,*2,*9,*7,4,2,6,*8,*7,9),(8,*2,*9,*5,2,9,4,4,9,*4,*5,2),(8,*7,7,1,6,8,5,1,*4,*1,4,8),(7,9,*4,*4,*2,*3,*5,*9,*9,9,2,*5),(9,2,7,8,7,7,3,*3,9,2,5,*5),(4,4,4,9,3,6,7,*3,8,9,5,8),(6,1,3,*5,*1,*5,*5,*1,*1,*5,7,6),(9,6,5,7,3,*3,*5,*2,*5,*9,*4,2)</t>
  </si>
  <si>
    <t>339,9953244,66661,23295,89,59,5115515,352594,2984,41,55,734,642,13175,7239</t>
  </si>
  <si>
    <t>(7,9,*9,9,4,2,9,*9,8,8,*8,1),(1,3,2,*6,9,3,*6,6,*4,*2,6,*5),(2,5,4,8,*9,*3,8,*4,*7,7,*3,8),(3,1,5,*9,*8,9,*5,*7,5,*2,8,*9),(1,4,4,*4,3,*2,*8,*2,*6,1,*8,8),(7,5,5,6,8,*6,*7,*8,2,*2,6,*8),(9,5,9,6,2,*3,*1,8,*1,9,*6,7),(*8,4,4,2,*6,*1,6,*2,2,*8,9,9),(*1,6,5,*2,*5,2,*1,6,*2,2,3,6),(*1,1,7,2,1,*4,9,2,3,5,6,4),(*1,6,5,2,8,2,*3,*7,*8,*2,*1,*8),(*4,1,3,3,8,7,6,5,3,6,5,5)</t>
  </si>
  <si>
    <t>873,26372,41118,969,96384,1186235,25,218,8682,4452,11,54,4121289,827786,49</t>
  </si>
  <si>
    <t>(7,3,9,9,9,4,*5,*9,*3,*6,*9,*1),(8,2,9,6,9,2,*6,7,1,3,9,5),(4,*7,*2,*9,*6,*4,*6,7,9,6,6,6),(5,4,6,7,*4,4,*6,2,8,7,*4,2),(*4,5,*6,*2,6,7,*9,*4,1,*8,5,7),(6,*8,*9,*1,5,1,*5,*3,1,6,7,8),(4,*4,*4,8,*3,*9,4,*3,1,8,2,3),(*8,1,7,*3,*9,*5,5,*2,4,6,*5,*2),(9,5,2,*4,*6,*9,*5,*4,5,*4,7,1),(3,1,1,9,*7,*2,5,7,9,*5,9,5),(1,*9,*3,*6,*3,*8,*9,9,7,*8,3,4),(8,6,6,6,2,5,*2,3,1,*2,4,1)</t>
  </si>
  <si>
    <t>287,2854,83639,6442948,196395,84,9263484,55316,7296,45994,32,954,966,35,52</t>
  </si>
  <si>
    <t>(4,1,7,1,8,4,1,4,3,3,5,7),(*6,*4,*1,*8,*9,*5,*4,7,7,7,8,1),(*2,*7,*8,*8,4,7,6,8,5,6,8,9),(6,4,5,1,*8,2,5,9,4,3,1,9),(2,5,9,6,*1,*4,*3,*3,*6,*9,*5,*4),(5,6,2,1,*1,4,*3,*3,*4,*2,4,*6),(*7,*1,*1,1,*3,9,3,*4,*5,1,6,*5),(*4,8,*5,2,*4,*6,9,4,*6,1,2,*5),(*7,8,*9,5,*1,5,5,*2,3,*2,3,9),(*1,2,*5,*6,7,4,7,*9,*5,*6,*8,*1),(*7,9,*4,6,6,3,1,4,1,6,1,3),(*6,4,6,*4,*5,6,5,9,5,7,4,8)</t>
  </si>
  <si>
    <t>4311,29,59633,8843462,17,671747,278,54,45,45951,4598146,18659,342,4655,616</t>
  </si>
  <si>
    <t>(7,2,2,1,6,*5,*3,*5,*2,*8,*3,2),(9,5,7,*2,7,3,7,5,5,8,7,2),(2,1,*9,*4,7,*6,1,3,7,3,5,5),(2,9,*9,*6,*8,*1,*9,1,5,*3,4,8),(4,5,*6,*5,*4,8,7,*7,*2,2,8,7),(6,7,*6,*1,3,*8,3,*3,*9,5,6,6),(5,9,*3,*2,*2,*4,*1,*7,7,8,1,6),(7,5,6,3,*8,*9,*6,1,1,1,5,6),(4,*7,8,4,4,6,8,7,1,5,*5,6),(1,1,*2,1,1,4,3,7,3,2,*6,7),(1,2,9,*8,6,*5,*3,*1,*7,*1,*6,*4),(2,3,7,5,9,3,7,1,6,8,4,2)</t>
  </si>
  <si>
    <t>24651,698,18,95,323,4617135,535283,19,71422,827,6481,7564229,9796,99663,65</t>
  </si>
  <si>
    <t>(5,4,6,3,*5,*3,*5,*9,*3,*7,8,5),(3,6,6,8,1,*3,*1,*1,*1,*4,1,4),(2,9,4,7,5,6,*4,7,1,1,1,*7),(8,4,*7,8,1,*6,5,4,8,4,*9,4),(9,*1,7,5,*3,*1,2,6,1,*3,5,*7),(*4,*1,4,*3,3,8,*5,*8,6,4,*5,*2),(4,*8,2,1,9,9,*1,*9,9,*2,8,*4),(8,*9,3,*4,*1,*5,2,3,*5,4,*7,*1),(1,*5,8,3,*3,2,6,*6,4,2,*3,*5),(8,*2,5,*8,*9,1,*7,4,4,4,*5,*8),(5,*5,5,3,2,7,3,2,5,1,*8,*9),(8,*5,3,3,7,8,5,3,1,3,*4,4)</t>
  </si>
  <si>
    <t>89,8153,1895255,41113,41,76525,3364,951,53,7241589,397,89,739535,714,48537</t>
  </si>
  <si>
    <t>(5,5,5,1,4,5,5,5,5,*2,*1,*4),(1,*1,*7,*3,*7,*2,*5,*5,1,3,5,2),(8,9,7,2,*9,*3,*7,*4,*1,4,8,2),(2,8,*9,*6,9,6,9,1,3,7,2,9),(1,6,3,9,5,8,9,3,8,6,5,1),(*4,3,9,6,*1,*7,*5,*9,*8,*1,*4,8),(*4,*9,*7,*5,*7,6,4,8,5,*6,8,1),(*1,*2,*1,*2,*9,*5,9,7,*8,5,*1,8),(*3,9,2,3,*8,1,6,*7,2,1,8,*2),(*9,8,*6,*1,*2,*5,8,1,7,1,4,9),(*9,4,2,4,4,8,1,*4,*5,*7,*1,*4),(*7,8,5,6,*6,*7,8,*1,*8,5,1,4)</t>
  </si>
  <si>
    <t>7864,96,18,21,59212,175981,14739,76,45714,7993144,285,214,612,9757,5527371</t>
  </si>
  <si>
    <t>(3,3,2,1,1,8,3,5,*1,6,5,5),(4,5,3,6,1,6,1,*3,*9,*6,2,5),(9,*8,6,7,4,8,7,*9,*6,1,*6,5),(*8,*5,*1,*5,9,4,*4,1,6,*7,9,*7),(1,1,3,3,2,*4,2,9,9,8,*6,*2),(4,5,*7,8,*2,*5,5,7,6,6,7,*8),(5,3,*4,6,*6,*1,*4,4,1,2,1,5),(2,9,*3,4,*1,9,*1,*5,6,7,8,6),(9,2,*6,5,*1,5,6,*5,*5,4,9,9),(3,4,*6,*9,*7,4,3,7,*6,*4,7,2),(*3,*5,*7,*3,*9,*4,*6,*1,2,*4,*1,2),(7,7,*1,2,*7,*3,*6,*1,*3,6,*2,*8)</t>
  </si>
  <si>
    <t>515,24499,73613,7436671,8145545,26,88,6763,6117,827,115642,35,79,166,16493</t>
  </si>
  <si>
    <t>(1,*8,*4,*8,*6,1,4,5,*8,7,5,9),(7,4,5,3,6,5,*5,7,*6,4,8,7),(4,1,7,5,5,3,*8,3,*2,8,6,6),(2,4,8,2,6,5,*2,*3,*8,5,2,*2),(3,3,5,5,*9,4,*6,4,6,3,*9,*6),(6,5,6,7,*9,*3,*4,8,2,*5,6,5),(4,4,4,5,9,*8,*6,3,*1,4,*2,*6),(9,6,2,1,*4,6,*6,*3,9,*6,7,*2),(9,6,5,2,3,*7,5,*4,*6,7,*6,*7),(3,*5,*7,*8,*9,*7,*7,2,*4,2,9,*9),(5,*5,*7,*8,*2,*8,*2,*5,8,*2,8,*3),(6,5,7,3,6,9,1,9,7,5,*5,*3)</t>
  </si>
  <si>
    <t>5782825,53,58264,627933,63639,592,477,38,96,22,166,8486,9864425,8628,57897</t>
  </si>
  <si>
    <t>(1,7,6,6,7,*4,*1,*3,*9,*1,9,7),(*9,*5,*4,*3,*1,*5,*7,7,7,3,4,4),(2,8,7,5,4,1,*6,9,1,5,*7,8),(2,9,*7,*6,6,*1,6,8,9,*8,*3,3),(7,3,2,3,*3,6,5,*6,*9,*6,6,3),(1,7,9,*4,4,7,*1,*9,*6,2,3,2),(5,4,*3,4,*7,*2,1,*5,3,*1,*9,*4),(2,9,6,1,*7,5,*2,3,*5,8,9,7),(6,3,*3,*2,8,*4,6,*7,*2,*3,7,6),(*6,7,*2,*8,*5,2,*1,*7,2,*2,9,3),(*6,6,4,1,*1,*1,5,*9,3,7,*1,5),(*2,5,7,8,7,*4,3,*9,9,2,7,*8)</t>
  </si>
  <si>
    <t>227216,34316,76,5425663,218,266,15711,94,9987,4183,997,9543157,77,23,41391</t>
  </si>
  <si>
    <t>(*4,1,9,5,6,*4,*2,*8,*1,*7,2,3),(*4,7,*4,*1,*4,*7,7,6,6,8,7,9),(*9,*9,8,8,*5,9,2,5,*5,5,5,1),(*8,6,*2,*8,*3,7,8,7,*4,8,1,3),(*4,*9,*6,*9,*5,*7,*3,2,*7,5,5,2),(*1,*7,3,*3,*8,*8,*3,1,*6,*5,4,1),(*2,7,1,*2,*2,4,*5,5,*2,*5,4,5),(7,1,2,*3,*2,6,*3,6,1,*5,4,2),(8,5,3,*2,*5,1,*2,5,6,*9,2,2),(4,5,1,*6,*4,9,*3,5,3,*1,3,6),(4,1,3,2,*7,3,*1,4,8,1,*6,1),(2,6,5,7,1,*1,7,3,3,5,*5,3)</t>
  </si>
  <si>
    <t>4522853,7586,929,55591,54762,176,414,3232,71824,4498412,97,335323,31,65,87</t>
  </si>
  <si>
    <t>(8,5,1,*7,6,3,3,6,9,3,4,*2),(8,2,*9,7,3,*7,5,5,5,1,*7,*6),(9,*6,2,9,*1,*9,*1,1,6,*5,6,*9),(*2,3,9,4,*2,*6,*5,*9,7,8,6,*2),(1,5,8,*8,2,4,*5,1,*1,8,2,1),(*9,2,*3,9,6,*4,*6,3,8,*1,6,2),(*1,*1,8,2,*9,*2,*6,*5,*4,*6,*7,4),(*7,4,*4,*9,*4,*8,*1,*5,*1,1,*4,*8),(*9,1,4,1,3,4,6,2,6,*3,7,8),(*1,*3,*6,8,2,2,9,5,*7,9,5,7),(*1,4,1,5,2,6,3,*7,7,2,6,2),(4,2,9,3,3,6,*4,*1,7,6,8,7)</t>
  </si>
  <si>
    <t>549,57,16,8711917,13829,426,2697,36,4948151,119719,26546,47734,14,155,2692</t>
  </si>
  <si>
    <t>(*4,*2,*1,*1,*3,*5,*1,2,*2,*6,*5,5),(4,*9,*3,*4,*6,*4,1,4,1,2,7,*1),(6,*1,5,9,9,7,6,8,1,5,*4,7),(*8,1,*5,6,9,*3,8,7,*9,*3,*3,6),(7,*7,8,*2,*6,*4,*7,*7,*7,3,*9,9),(1,1,*2,*3,*8,9,1,*2,5,9,*5,2),(9,4,*4,*8,2,*7,2,5,8,6,*8,4),(9,*3,*9,1,*6,1,4,8,9,*1,5,9),(*7,7,*6,*7,*1,*9,7,2,*8,5,3,7),(3,7,*8,1,6,6,*8,7,8,*2,2,2),(3,4,*7,5,9,3,8,6,5,5,*6,4),(8,6,8,7,6,4,8,5,2,7,1,1)</t>
  </si>
  <si>
    <t>734363,774,8968278,14372,265,9687,15287,57,97,4211351,3958,18,826,93464,71</t>
  </si>
  <si>
    <t>(4,4,1,5,8,*7,*8,*8,*5,*1,3,5),(7,9,2,4,1,1,6,9,*5,*9,6,6),(8,*1,*1,8,4,3,8,*3,7,*2,*5,4),(1,9,6,2,*1,*9,*3,1,7,*4,*7,3),(3,*1,2,*6,9,*8,7,8,4,*2,6,2),(3,*5,1,*5,7,*4,*4,4,*9,*1,4,1),(9,*8,3,1,9,*3,5,*6,9,*4,3,1),(1,*4,1,7,5,9,*7,4,*7,2,9,5),(4,*7,1,7,9,5,*3,*8,4,8,1,7),(2,*7,1,6,2,7,*7,3,4,3,6,8),(8,*7,5,5,7,*1,9,3,2,9,2,5),(9,4,6,7,*9,7,8,8,4,4,7,3)</t>
  </si>
  <si>
    <t>11,27,737,9178,7774851,769,18467,412429,45,44887,1294794,78851,3489,533,65</t>
  </si>
  <si>
    <t>(7,9,7,3,*5,*8,*2,*5,*9,*1,*8,*5),(*2,7,4,8,4,5,9,3,3,2,5,4),(*6,5,3,*7,9,*7,*4,*1,*8,*1,4,5),(*5,2,4,*8,5,6,*1,*3,4,4,5,8),(*8,4,4,*3,6,6,*9,2,7,4,7,2),(7,9,*9,*8,3,7,*6,2,8,5,1,1),(6,3,*5,*2,9,4,*6,4,4,1,7,1),(*1,6,*9,*2,3,1,*8,*7,*2,8,5,9),(1,*6,*9,*2,4,4,*2,*6,*7,*7,6,5),(4,2,*8,*8,3,1,*4,*5,*2,9,*6,1),(2,2,8,2,5,5,6,*3,*9,*3,8,*1),(2,2,1,7,7,7,5,8,*4,4,6,8)</t>
    <phoneticPr fontId="1"/>
  </si>
  <si>
    <t>3567,88,2228387,168,74181,761,8562,95998,23,4286691,43,17,259185,27294,582</t>
    <phoneticPr fontId="1"/>
  </si>
  <si>
    <t>(4,3,*2,*2,*1,*9,*1,*6,*2,*8,8,3),(7,*8,2,2,*2,1,8,8,5,*1,4,6),(2,*3,2,1,*7,*7,*4,*8,7,7,8,*7),(*7,*7,8,6,7,7,8,6,3,5,*7,*5),(*3,*6,9,4,3,3,8,8,6,3,*7,*8),(*5,*4,*4,1,1,1,8,*1,*1,4,*6,9),(5,*1,*7,*9,*8,*2,*3,*3,*4,9,*1,3),(*5,9,*1,7,1,6,7,*8,*8,7,*3,8),(5,5,*7,4,2,4,4,5,9,7,6,4),(2,4,*7,*2,*3,*7,*8,*7,1,6,4,2),(6,7,2,6,*7,*1,*5,*6,*1,*3,*1,3),(8,5,3,1,8,3,6,7,9,3,2,9)</t>
    <phoneticPr fontId="1"/>
  </si>
  <si>
    <t>81,31677,2619122,1316517,514,11,433289,23787,88,7717,758,72,83764,537,7748</t>
    <phoneticPr fontId="1"/>
  </si>
  <si>
    <t>(9,4,2,3,5,8,4,6,7,*8,9,*8),(4,9,2,*1,9,8,*8,8,*5,2,*2,*4),(2,6,4,4,*7,*1,7,*5,1,1,*6,*1),(3,2,2,*3,*9,*7,*3,9,8,7,*7,2),(7,1,*9,*5,2,*5,*7,7,9,7,*3,7),(1,*3,4,1,1,7,*8,*6,*8,3,*5,*4),(8,*9,*7,*8,*9,*9,*6,*2,*2,3,*5,*5),(6,6,2,*2,*5,*4,2,7,7,*4,*5,*5),(8,6,7,4,5,5,5,9,*9,9,6,*6),(*5,*3,*8,*3,*4,*5,1,*6,3,6,3,*2),(6,*6,9,6,8,1,*9,1,1,5,8,1),(3,9,*7,6,3,8,5,8,7,7,2,8)</t>
  </si>
  <si>
    <t>393,2673555,86,9789962,46,52,53558,267771,5918,26554,82,54383,9694,765,148</t>
  </si>
  <si>
    <t>(9,9,6,*2,*2,4,*2,3,2,2,6,9),(3,7,9,8,3,*9,4,2,8,6,4,3),(3,2,9,*8,*4,1,8,5,1,5,7,8),(6,3,2,*8,5,8,3,*1,5,6,7,9),(5,7,*5,3,*4,*4,*9,*9,9,8,9,5),(5,2,*7,*1,*7,*6,*2,*7,*2,*4,9,3),(2,2,*3,8,*4,2,*1,*6,*4,*3,5,7),(*7,5,*3,*8,9,*8,7,*7,*3,8,3,8),(3,*4,*2,*2,*3,*6,*8,5,8,*4,1,1),(5,*6,*6,*8,*1,*3,5,9,7,6,*9,9),(4,6,*5,*1,*4,*7,1,5,8,9,4,*2),(3,*8,9,*4,*5,9,9,1,4,2,9,7)</t>
  </si>
  <si>
    <t>7123,58492,29436,2726717,19,236,22,4478344,6284,88,183858,74615,944,923,33</t>
  </si>
  <si>
    <t>(2,7,7,*4,*2,1,8,*9,7,5,3,6),(1,8,1,6,1,2,*2,8,*5,1,8,*6),(3,*3,*1,*9,*6,8,1,*1,4,*9,*6,5),(6,3,1,5,9,2,8,1,*9,*8,7,*9),(4,3,7,8,9,8,1,5,7,*6,*3,1),(*8,6,2,5,5,7,3,1,9,*3,*8,7),(*9,*7,9,*7,*1,*5,*4,*4,*7,4,5,2),(*8,*4,*7,*2,*1,*4,9,*4,5,8,2,1),(*4,8,*4,*3,3,5,*5,4,4,4,4,*7),(7,5,2,*6,*1,*8,*8,*9,*1,*3,*6,*4),(1,1,*2,*8,*5,*9,*5,*2,*9,3,2,*1),(3,7,8,2,1,4,1,3,4,7,7,*5)</t>
  </si>
  <si>
    <t>24,78,86912,36,71544,959,9259582,6913,489,7415,6188913,668,41274,43,933745</t>
  </si>
  <si>
    <t>(5,8,1,6,7,8,*2,*6,*4,4,9,1),(9,8,9,6,3,5,*3,*1,*3,*3,*7,*2),(5,*1,4,7,*6,7,5,3,8,1,1,*4),(8,9,*9,7,5,*2,5,2,3,1,1,*1),(6,6,6,*5,*5,6,*7,9,2,*9,6,*3),(6,2,3,*8,*4,4,8,*6,*7,*3,1,*8),(9,2,*4,5,2,*8,8,4,*5,*4,3,*4),(6,*5,4,4,*1,*2,*4,9,8,*1,*1,*2),(*3,2,6,9,7,5,*7,*4,4,5,*1,*2),(1,*1,*7,*6,*3,5,2,*8,*5,3,2,9),(9,1,6,*7,*4,*8,2,3,*6,*6,2,1),(5,2,3,2,6,6,4,7,6,3,*1,8)</t>
  </si>
  <si>
    <t>44561,273313,439,2248314,57,3671,19548,462,1156726,12,66,6872,18,847,35485</t>
  </si>
  <si>
    <t>(*6,6,*5,4,8,3,4,5,2,3,3,*5),(*2,8,2,*3,9,9,2,4,1,3,*3,8),(*7,9,6,3,*4,7,7,3,4,*8,3,4),(*1,5,*5,*1,*4,*1,9,*4,1,3,5,8),(*5,5,*6,*6,9,4,*3,6,*1,2,1,2),(*4,8,*2,*7,*5,*8,*4,*6,*3,*1,9,*7),(*2,*3,*8,*3,*1,*9,*5,9,3,3,*5,*5),(7,*3,*5,*8,*1,*9,*9,6,7,3,6,*6),(7,9,6,2,2,1,*4,*7,*4,*3,2,*8),(7,1,6,3,*4,7,3,5,4,9,5,*8),(9,3,7,8,8,*9,8,7,7,4,7,5),(*2,*4,9,5,2,3,*2,5,4,3,4,7)</t>
  </si>
  <si>
    <t>2383195,835,66,514,294,24,3648572,99,4115,44,88657,4743,91853,53413,627154</t>
  </si>
  <si>
    <t>(*6,1,7,*6,*4,*8,*8,*7,*6,*3,1,2),(*7,9,8,*6,*2,*9,*8,9,*5,8,3,1),(*4,7,8,6,4,9,3,*8,*8,*4,*2,*5),(*2,6,*2,*3,*6,4,*9,8,9,6,1,3),(5,1,6,9,*1,*6,9,9,8,8,8,5),(8,2,4,8,*2,*2,*1,*3,*4,*3,*1,2),(6,6,6,*8,*1,*2,*4,*8,*4,*2,*2,9),(9,*4,*9,2,*7,2,5,6,3,4,2,3),(1,*5,6,3,*3,5,*1,*4,2,*2,2,6),(4,*7,2,8,*6,6,8,*7,1,9,*6,4),(4,*3,4,8,5,6,3,5,*9,3,2,*6),(9,*5,6,2,7,2,9,2,2,6,4,4)</t>
  </si>
  <si>
    <t>6742,6488763,56,213431,14,61,1248422,662,8926,637,236,97,45735,98269,88425</t>
  </si>
  <si>
    <t>(7,7,9,5,3,*9,*7,*3,*5,5,4,4),(6,1,3,5,9,4,2,3,8,4,9,8),(8,2,4,6,2,5,4,1,8,7,6,3),(*5,1,6,5,9,5,5,2,6,2,*1,6),(*4,*9,6,9,*5,*6,*1,*1,*4,*3,8,9),(*4,*8,7,*8,7,*9,9,9,*3,2,1,*5),(3,*5,4,*7,5,*2,3,*8,8,*6,*1,*8),(3,*3,*8,6,3,7,4,7,7,*1,7,8),(5,*5,*2,*9,8,7,1,*4,1,5,5,9),(3,7,*8,2,*9,*7,*2,*7,*6,*3,4,6),(6,3,*5,8,5,*9,*3,*8,*6,*3,*1,*3),(7,4,*8,4,1,*3,*3,*5,*7,*9,*5,*3)</t>
  </si>
  <si>
    <t>8331,3136839,3597533,78,544,82858,618,56114,99,367279,511,29,47,9735,98535</t>
  </si>
  <si>
    <t>(9,6,6,2,9,*4,8,4,2,4,7,*7),(8,9,7,2,7,7,*8,8,2,6,7,*8),(7,2,7,8,1,*7,*2,*7,6,2,7,*7),(4,*7,2,5,*6,*7,*2,4,*9,2,9,2),(3,6,*3,*9,*7,*5,*7,9,6,*7,9,6),(2,9,3,3,9,7,*5,7,2,*9,*5,1),(7,8,8,6,2,1,*4,*7,*2,*8,*4,*4),(5,3,8,6,7,7,4,9,3,9,7,4),(3,2,9,*4,*5,*9,*8,*2,*3,3,*9,4),(9,1,3,8,*5,*5,*6,*3,*1,*6,8,9),(6,7,8,2,*4,*5,*3,*1,*1,3,4,9),(*9,*2,*5,*9,*9,*8,*1,8,4,7,1,3)</t>
  </si>
  <si>
    <t>11354,897,727,22754,73,9259981,7284,76,4879754,5793,787,28954,23,613655,96</t>
  </si>
  <si>
    <t>(4,9,2,2,2,2,7,4,7,*3,3,3),(5,5,7,*7,*2,*6,*7,*1,*4,*1,7,1),(5,8,5,*5,3,9,6,*8,7,*3,*8,8),(*4,*3,*3,3,*1,4,7,9,7,*1,*5,5),(*9,4,4,3,6,*9,9,5,*2,4,*3,1),(*3,6,*2,*9,2,4,9,*2,2,2,*6,9),(*1,*1,*7,*8,8,8,*9,9,9,3,*7,2),(*8,*7,*5,*6,*9,*2,8,*7,*4,4,9,*1),(*5,*5,*8,*8,*4,8,6,5,5,3,*2,8),(1,*5,*1,*9,6,3,9,5,1,*7,1,8),(4,*3,*4,7,8,6,4,2,*3,1,1,4),(8,6,3,7,9,3,7,9,2,5,1,3)</t>
  </si>
  <si>
    <t>519,334,49,83,98689,74,8122924,93185,7267141,348,35571,7635,3721,11,275814</t>
  </si>
  <si>
    <t>(3,6,9,5,7,5,4,9,1,3,2,8),(*6,*8,*1,6,8,8,*2,5,8,4,1,*1),(8,*4,1,7,4,*4,1,*6,9,5,2,*6),(5,*8,2,7,*7,3,*8,6,2,6,5,*9),(2,*8,*9,*5,*2,*5,2,6,2,2,3,*8),(7,*4,3,5,*5,9,5,2,5,5,*3,*7),(5,*7,4,*8,4,8,8,8,*8,3,*2,2),(1,8,*6,*2,*8,*1,*7,*8,*5,6,*7,8),(1,*1,*9,*2,2,1,*6,*3,8,5,*4,8),(9,1,3,4,9,2,5,5,5,3,*9,2),(4,2,*9,*3,*7,*8,*3,*2,*1,*4,*8,1),(5,3,7,7,9,*8,*1,*2,*3,*8,*1,5)</t>
  </si>
  <si>
    <t>74884,42,7182,5259,29,812381,886,1685586,7832148,739,681,78961,75,94723,53</t>
  </si>
  <si>
    <t>(4,1,1,1,9,*3,4,7,8,4,6,4),(2,1,5,1,*2,*2,*3,*9,*9,*5,9,6),(3,8,*2,*9,8,5,*5,*3,*6,2,9,*7),(9,7,*9,*2,2,4,6,1,7,1,*1,6),(5,5,4,*3,*4,4,2,2,3,*6,3,6),(3,8,5,*3,4,*8,1,9,*2,9,1,1),(4,1,*6,*6,6,*4,*7,*1,4,8,6,*7),(4,5,*5,*6,*9,2,*3,8,3,*9,*8,*8),(4,5,1,*8,7,*4,3,9,8,9,3,*7),(4,6,*3,*3,*8,*4,*1,*3,*4,*6,*6,9),(6,*7,4,3,5,1,8,*1,*8,*4,*7,*8),(*1,9,*1,*8,*8,*7,6,9,7,7,2,1)</t>
  </si>
  <si>
    <t>22487,7162134,23995,9923,87481,635,386633,89,44,49,173,8413466,7881,65,787</t>
  </si>
  <si>
    <t>(4,5,*6,*6,*4,*2,*4,*2,*1,5,2,2),(3,4,*1,*4,*9,*3,1,*1,*4,*3,*9,5),(6,9,3,3,9,*7,3,7,4,*9,4,*5),(3,1,7,6,*6,*9,*8,*2,*4,*7,*7,*3),(*3,*1,*3,*7,*4,*1,1,*8,*2,*4,6,*9),(7,1,6,1,5,*9,3,*6,*2,3,7,*8),(5,6,7,8,8,*4,*4,*9,4,*5,3,8),(7,1,2,4,1,*7,*7,7,7,*6,8,4),(5,8,9,6,2,*3,6,9,4,7,5,6),(2,9,5,4,7,9,8,3,5,*7,*1,*5),(2,7,7,7,4,1,5,4,8,4,1,2),(2,8,1,*1,*6,*4,*1,*9,*4,*2,8,8)</t>
  </si>
  <si>
    <t>2491461,893,82,57,65,517,849,69,72647,1493,6642421,742973,79194,31374,1439</t>
  </si>
  <si>
    <t>(4,5,9,4,5,1,5,6,2,1,1,*3),(4,*1,3,6,2,8,5,3,*4,7,7,*5),(7,8,*1,*6,*4,*4,*2,*9,4,4,9,*7),(2,8,4,6,3,*5,*4,3,8,4,5,*3),(4,1,8,7,*6,*5,*9,*9,*2,*3,2,*4),(3,6,4,9,*8,5,6,4,9,5,*1,5),(7,7,6,*8,9,8,1,*4,8,*8,8,*5),(4,8,*4,*9,1,5,1,*7,*3,2,*6,4),(3,8,*5,7,4,8,8,*6,9,*1,7,5),(5,*6,*4,*3,*4,*3,*1,*9,*6,8,*1,7),(*6,*6,*3,*6,*1,*8,8,*6,3,1,*5,4),(5,3,1,2,*2,*9,*6,*8,*1,9,*8,9)</t>
  </si>
  <si>
    <t>256,9134346,11,47,41836,3753,4885494,9923,59,816366,56166,644,851,29681,89</t>
  </si>
  <si>
    <t>(2,1,*9,2,2,*2,2,1,2,6,1,8),(8,5,2,*6,*5,9,7,3,6,*2,2,6),(5,8,6,*3,*3,7,6,7,3,*1,5,4),(1,2,*2,9,4,*4,3,3,9,*4,*8,*9),(9,*9,2,4,2,*6,*2,7,1,*9,*3,7),(*7,4,5,1,7,*2,8,6,8,*6,9,3),(9,5,3,8,5,3,4,5,*7,*1,*7,6),(9,5,*5,*3,*3,*1,5,*2,*8,*7,*8,5),(2,6,7,*1,5,8,*8,6,3,*6,*4,8),(7,5,2,6,*9,*7,*7,2,4,*4,*4,2),(3,*6,*8,*7,1,*6,2,9,4,*7,*9,4),(*1,*6,*3,*4,*6,*6,*3,4,6,6,4,9)</t>
  </si>
  <si>
    <t>1335,7827639,687,253297,38,24369,78449,17647,81,73,1634663,196,2149,26,667</t>
  </si>
  <si>
    <t>(*5,9,8,1,*4,*1,*2,*6,*8,*2,3,4),(1,*6,6,8,*2,2,5,7,3,8,6,2),(5,5,*6,5,*6,*7,*8,*8,*2,*3,*9,7),(4,8,9,*1,*7,*4,*7,*2,*1,*5,4,4),(9,3,5,*6,*4,*4,4,*1,1,3,6,4),(3,3,3,*1,*4,*6,3,*5,*5,4,7,8),(9,9,2,*4,*5,*7,4,1,*6,4,5,7),(9,4,7,*3,1,7,*2,7,4,*9,6,5),(3,7,3,*7,7,1,5,*5,8,3,*6,9),(5,3,2,*3,3,3,1,*9,6,9,6,*8),(6,5,1,*4,7,2,*4,*1,*7,*4,*7,4),(1,*2,*2,*7,1,6,9,8,7,3,6,2)</t>
  </si>
  <si>
    <t>97,517,59,227,7644,12682,932887,41747,56968,5447624,35,52,4373416,512,1665</t>
  </si>
  <si>
    <t>(4,1,5,9,8,8,8,6,*5,*2,*3,8),(3,5,2,8,3,*9,1,6,9,4,4,3),(5,6,6,8,*1,9,7,3,9,4,8,3),(8,2,1,*4,*8,*2,*2,*5,*5,*5,*5,7),(3,3,*3,4,1,5,3,*7,*8,*9,5,5),(*3,*5,*5,*2,*6,*2,*4,*2,*8,*2,*1,*3),(3,9,8,*8,5,*3,*6,*2,3,*1,9,2),(*9,*9,*3,*5,*5,*3,*6,*6,*6,7,7,1),(3,6,8,7,4,*3,*3,*9,7,3,5,8),(*6,1,2,4,7,*6,*1,3,8,3,2,7),(*6,8,9,6,5,*7,*4,7,1,1,5,4),(*2,7,9,5,8,9,*5,*1,*5,*2,8,6)</t>
  </si>
  <si>
    <t>251,89,99355,29,9143,16,8213,76333,5555228,72269,68,355262,662,4663145,325</t>
  </si>
  <si>
    <t>１日目標ポイント（２と2025/11/30以降は１と2025/12/11以降は１）</t>
    <rPh sb="1" eb="2">
      <t>ニチ</t>
    </rPh>
    <rPh sb="21" eb="23">
      <t>イコウ</t>
    </rPh>
    <phoneticPr fontId="1"/>
  </si>
  <si>
    <t>(6,*9,*6,*3,*7,*9,*1,8,6,1,2,9),(7,4,3,1,7,6,5,2,9,*5,*5,8),(3,*4,4,7,4,3,5,7,8,*7,*1,9),(3,*8,8,6,*9,*2,*3,*1,*2,*3,*6,5),(4,*6,1,8,8,5,5,6,3,*9,*4,8),(2,*7,*6,*2,3,7,4,*1,6,*6,*2,6),(*7,*7,*3,*4,*9,3,*2,3,5,*5,*9,8),(1,8,*8,2,8,*7,*8,*5,4,*3,*4,7),(*2,7,*3,2,*7,*7,*7,*6,2,6,9,5),(8,*8,5,*3,8,1,6,1,8,6,*1,*9),(4,5,*4,2,9,9,5,6,4,4,*7,*8),(3,7,7,5,*3,*3,*6,*8,3,4,3,3)</t>
  </si>
  <si>
    <t>92312,5164294,62,94377,12773,776,785,8633,83,5739653,71,89,284,197369,7684</t>
  </si>
  <si>
    <t>(9,2,3,7,5,2,3,*8,7,2,7,6),(*1,*1,*7,*2,*3,8,9,*7,*6,9,*9,*2),(6,2,8,*6,*4,8,5,*7,7,7,3,8),(4,*2,*7,*3,*7,*3,*4,*3,6,8,4,4),(2,9,1,8,2,*5,6,*3,6,*2,*6,5),(6,4,2,3,*1,*1,*9,3,*5,*8,*3,8),(6,*7,*5,*7,9,5,*3,1,1,5,6,2),(9,5,7,2,8,*2,*8,*1,*8,*3,*1,9),(4,2,8,*1,*1,*6,*5,*8,*6,*6,4,8),(8,5,6,6,1,3,4,*4,5,6,2,7),(5,7,2,7,1,3,2,*7,7,*5,*5,4),(3,*6,*8,*8,*5,2,1,*9,4,5,8,2)</t>
  </si>
  <si>
    <t>3853911,55,6885,138182,757,131,37372,479,6685611,92,32711,33778,26,64,6745</t>
  </si>
  <si>
    <t>(5,2,5,*3,*9,*3,*7,*9,*8,*9,2,5),(*4,4,*4,*3,*1,*6,*3,*7,*9,8,2,4),(*2,9,*1,5,1,2,*6,2,8,7,5,3),(*1,1,9,*4,7,9,*7,*7,*2,5,8,*1),(6,1,8,*3,9,6,*5,*6,*9,3,*5,4),(1,3,3,*3,7,*8,7,*3,*9,*2,7,*5),(6,6,1,*2,*9,*9,8,*3,*9,5,9,*1),(6,7,4,*1,*6,*9,9,*4,9,6,*2,*5),(7,4,*6,*3,4,*3,6,8,8,*3,*8,*3),(2,6,*5,*1,4,*2,9,2,*1,7,2,*5),(8,1,4,6,2,6,7,*7,2,7,8,5),(1,1,4,6,9,8,*4,7,7,7,3,7)</t>
  </si>
  <si>
    <t>9992,9897393,3515,14,675,4332131,56,96,43367,58,973613,89932,124,47132,152</t>
  </si>
  <si>
    <t>(2,5,1,5,2,2,4,*1,*9,9,2,*7),(2,*9,4,8,*8,5,3,*6,4,7,8,*9),(8,*2,*8,*3,*6,*6,*9,*2,*3,*7,*3,*5),(3,*4,*4,7,3,5,*4,8,6,5,6,*7),(7,*6,9,*9,7,1,3,*9,4,3,*5,*7),(2,*8,2,1,5,7,9,7,*4,*6,*6,*1),(*5,*5,4,2,2,9,6,8,*9,*4,*4,*9),(*6,*7,8,5,6,2,*3,*7,3,9,*8,5),(*6,1,3,3,9,2,*6,*1,*2,3,*7,1),(*7,8,6,2,9,*9,1,7,9,*5,5,8),(*1,7,8,7,7,3,7,5,9,3,3,6),(7,2,1,7,1,*7,*9,*6,*3,5,2,4)</t>
  </si>
  <si>
    <t>6382,16,537,23,17665,864944,69769,7586429,249,969,9177597,31,3697,25,56487</t>
  </si>
  <si>
    <t>(5,9,4,9,4,7,7,5,6,*1,4,6),(5,3,*5,6,8,5,5,4,*3,6,6,7),(5,6,*3,9,5,*8,*2,*5,*8,6,4,2),(*5,*2,*2,*3,5,2,*1,6,*8,3,6,*5),(*8,8,4,3,3,*9,9,6,*7,7,4,*1),(*5,8,2,5,*1,2,*3,4,*5,7,7,*9),(*4,*4,7,1,4,*8,*4,*6,*8,6,1,*4),(*5,*1,3,3,*5,7,*1,9,*3,7,3,*5),(8,*4,*1,*6,8,4,7,*8,*7,3,7,*5),(1,8,*9,*7,1,7,6,8,*7,1,9,*9),(*6,*7,*5,7,*1,8,6,5,6,*9,5,4),(4,5,6,5,1,*3,8,*2,*3,*1,*2,8)</t>
  </si>
  <si>
    <t>44,14,46,18792,82,38569,5194559,231,11713,576,191531,235,8875837,3225,8545</t>
  </si>
  <si>
    <t>(5,6,5,6,7,7,6,9,7,3,8,1),(*8,4,*5,8,9,4,8,6,8,1,1,*7),(*9,8,3,*7,*6,*6,*3,*3,*9,*7,*3,*7),(*7,4,3,3,*3,*8,*6,*7,*1,*7,*4,*7),(*1,2,1,4,8,*6,2,6,6,*2,2,*6),(*1,1,7,1,6,*5,*5,6,*4,9,7,*5),(*4,5,3,*7,5,*6,*3,*4,1,9,8,*3),(1,6,3,*3,1,*7,*8,8,*6,*8,5,*8),(9,3,4,*5,*4,*6,*8,8,2,*1,2,6),(2,*1,7,5,*5,*1,7,*4,*3,5,*1,8),(4,*9,3,3,7,7,7,1,7,5,3,*6),(*2,*1,*3,2,6,8,2,1,4,9,3,7)</t>
  </si>
  <si>
    <t>5388,56761,537,61164,54,897114,3793366,86717,18,43,424,213,19,5736,7776538</t>
  </si>
  <si>
    <t>(1,9,8,9,4,1,*3,7,4,5,1,2),(2,2,2,5,7,*6,6,7,5,3,*1,9),(4,2,9,2,*9,3,8,9,4,4,*4,7),(1,4,7,*1,5,4,5,*8,2,2,8,8),(7,*1,*3,1,3,*7,9,*4,3,4,5,2),(5,4,*9,7,5,*7,*3,8,6,8,7,8),(*4,4,3,*1,8,*7,*7,*2,3,*3,8,9),(*2,1,2,1,*6,6,*6,*9,*5,9,*6,7),(*2,*3,*6,*5,*5,*1,1,*4,*3,*4,8,*7),(*6,2,8,8,6,*7,1,3,2,*3,*9,3),(*8,3,2,8,9,6,8,1,8,*8,*2,3),(*5,*1,*6,*2,*2,*1,*3,*2,*9,*7,*5,*7)</t>
  </si>
  <si>
    <t>14,467,3655,36913,19161,2975,897,732549,34,48,5162213,7233977,42268,763,71</t>
  </si>
  <si>
    <t>(1,*7,9,*8,5,9,9,*9,9,9,4,2),(*8,*8,*5,*6,*4,*4,7,*1,*3,*9,6,2),(9,*3,*9,*8,*3,*4,4,*3,6,9,*1,*6),(1,*1,*6,*7,*7,*7,2,6,4,*1,6,*5),(6,*1,*2,*8,*1,*5,8,7,*1,4,3,*5),(4,3,*9,*1,*1,*5,7,*8,5,2,7,8),(4,2,*6,*3,*1,*9,*5,8,8,4,8,8),(8,8,1,3,*6,*7,6,7,2,*2,2,8),(2,1,2,6,5,*2,8,*7,3,*1,6,2),(5,4,1,3,8,*2,*5,1,9,8,4,1),(4,1,*1,*9,*4,*8,9,5,1,8,4,7),(1,4,3,2,*6,1,5,9,4,9,8,9)</t>
  </si>
  <si>
    <t>655,22795,78311,88,21,4371116,7586,58111,3187868,93,5744,596296,491,913,15</t>
  </si>
  <si>
    <t>(*7,8,3,7,*3,*4,*3,*7,*2,*2,*1,6),(*7,4,9,4,7,4,9,5,1,7,8,8),(*2,3,9,7,*9,8,9,7,5,1,4,2),(*5,7,6,*1,2,3,*3,*3,1,7,2,9),(*3,1,*2,6,5,4,9,2,4,3,2,4),(*8,*8,1,4,*7,*1,*7,*8,*8,7,6,4),(*8,8,9,3,*9,3,*5,3,9,*9,9,*9),(*9,2,5,*6,4,*8,*7,*9,*9,*3,*9,2),(*9,8,*3,9,*2,*5,*7,*2,*1,*1,3,4),(*6,*9,5,*7,3,1,9,1,*5,3,3,1),(*1,3,*6,6,3,2,9,*5,1,9,1,7),(1,*6,1,*1,*1,9,8,2,4,9,7,2)</t>
  </si>
  <si>
    <t>96391,1275,33,91288,3437221,99155,8582766,89,799,717,1788,13,11,699,835277</t>
  </si>
  <si>
    <t>(1,8,6,*4,7,*8,*1,*4,*9,*1,*9,*7),(3,9,1,*8,1,4,*1,*3,1,2,5,3),(8,3,7,*7,4,*4,*2,9,5,9,6,4),(2,1,9,*1,*3,*4,*5,9,3,9,*9,*8),(5,2,3,6,*1,4,4,*3,*2,6,*3,*6),(1,6,1,*6,1,4,3,*1,*9,*6,*7,*1),(9,*7,7,6,4,1,*6,1,4,1,1,*1),(*5,1,*4,1,6,*6,3,*4,3,8,3,*8),(*5,9,1,*2,*5,8,*8,8,4,5,8,*1),(*5,9,9,*9,*2,*6,4,3,1,8,3,6),(*5,3,*6,4,*6,9,1,*1,*5,*7,*7,*4),(8,9,1,*4,4,3,7,7,1,1,1,8)</t>
  </si>
  <si>
    <t>48664,45,32416,31,93,52,769,47751,2166596,143,5555,861181,247,4871,7919418</t>
  </si>
  <si>
    <t>(8,*7,*1,*3,7,8,2,5,*2,8,2,*7),(5,3,*4,8,2,5,4,*6,1,4,4,*5),(8,3,2,*8,9,9,*3,1,2,9,8,*5),(2,9,6,2,*8,*4,6,*8,*5,4,4,*6),(8,2,1,1,1,*3,6,*1,3,7,3,*3),(7,3,1,3,*7,*5,*5,*4,*4,*3,*4,*7),(*9,9,1,8,*4,*3,2,*3,1,4,5,*5),(*3,6,6,4,*3,*5,1,*2,*5,*2,8,9),(*3,7,2,*5,*3,*4,3,*6,9,*2,*4,6),(9,4,5,*6,*6,*5,2,4,5,2,1,4),(6,2,8,*9,4,*1,*1,*7,*6,*2,*1,7),(5,1,*1,*4,8,*6,4,6,3,9,5,8)</t>
  </si>
  <si>
    <t>317,48835,7556375,2634,814326,6154535,12671,25,24,5694,339,63347,91,85,434</t>
  </si>
  <si>
    <t>(*3,1,9,7,2,*8,1,7,3,7,2,3),(*3,8,1,*1,*5,3,*8,7,7,6,2,3),(*2,8,*7,*1,*2,5,3,9,7,9,1,*2),(*1,*3,4,7,7,2,*7,8,2,7,9,*6),(*1,*4,*5,*9,2,2,3,*9,*3,5,8,*9),(*8,9,*4,*7,*9,*6,5,6,*7,4,1,*9),(*1,8,8,*2,*1,*1,*4,*5,7,*8,7,*1),(1,5,7,7,*9,*7,*6,*4,7,1,*4,3),(3,1,3,*6,*3,*6,4,7,1,2,4,9),(1,8,*7,*6,*9,*9,*7,*6,*1,9,3,7),(5,2,8,7,1,4,2,6,3,6,5,4),(*3,*4,*2,*2,*3,*6,2,7,5,4,2,7)</t>
  </si>
  <si>
    <t>954,51,48797,4796,636,7699761,21145,88,217,93,342236,3321181,35,4679,19962</t>
  </si>
  <si>
    <t>(3,1,8,1,3,4,1,6,9,*2,9,6),(7,7,4,4,2,3,8,3,*1,8,4,5),(2,*8,*6,*7,8,6,6,*7,2,4,2,9),(1,*5,2,5,*3,5,*7,*4,9,3,4,4),(4,*3,7,7,*2,7,*8,*5,*6,*6,*9,4),(1,5,5,*3,*9,7,2,8,8,*2,*2,4),(*9,8,5,5,*7,9,6,8,*4,4,4,6),(*1,6,*8,*5,*5,*2,*7,*9,*4,1,2,9),(*8,3,8,8,7,5,*4,*8,7,9,6,3),(*1,1,*6,*3,*5,*7,*1,*6,*6,9,9,2),(*4,2,*3,*1,*8,*8,*1,*4,*6,1,6,5),(9,7,7,4,7,6,*3,*3,*7,*1,*5,*4)</t>
  </si>
  <si>
    <t>768,92494,358,26,47,6418813,2177,39,7923,72558,41819,856,451733,84,6357166</t>
  </si>
  <si>
    <t>(6,8,*8,7,*2,7,*5,*9,*7,*2,4,2),(1,9,1,*7,*7,*5,6,6,8,1,9,5),(*1,*3,8,1,*4,7,*6,6,*4,*5,7,6),(5,*4,5,5,6,*2,6,*2,*4,*6,3,9),(*8,*4,4,7,1,2,*7,*9,*2,4,*4,*7),(6,*2,9,7,4,4,*1,*2,3,5,*5,5),(*2,7,*3,3,7,*9,5,8,9,*2,5,9),(*3,1,3,*9,*6,9,3,2,*9,7,3,4),(*3,8,*7,*4,*5,1,9,*9,*6,4,9,4),(*3,*8,8,4,3,*6,4,5,*7,5,2,8),(*6,4,*6,3,7,6,*7,8,*9,5,2,8),(1,8,7,3,1,2,6,8,*6,8,7,8)</t>
  </si>
  <si>
    <t>2795,77,4691945,31,874272,344,8239567,75299,86,745,71,6976,25622,23336,464</t>
  </si>
  <si>
    <t>(3,8,7,7,2,8,2,6,3,8,5,6),(4,9,*4,*3,*8,*2,*3,*1,*7,1,*6,7),(9,4,1,7,9,3,1,3,8,8,*6,*6),(2,*9,9,7,9,3,*1,2,9,5,*3,*3),(5,3,*3,7,8,9,*5,*2,*9,9,*8,*5),(5,*5,*5,*8,*3,6,6,*8,4,4,*2,*9),(6,9,6,1,*5,1,*3,*3,4,2,4,*8),(7,4,8,*7,*5,*1,4,9,*3,8,3,*1),(*8,9,5,8,*3,*4,*5,*9,6,3,*7,9),(5,*4,3,*1,*5,*4,*5,*4,*1,*4,8,4),(6,9,*6,8,2,1,5,3,2,1,7,7),(8,*8,1,9,4,*6,*8,*2,*5,*8,*5,9)</t>
  </si>
  <si>
    <t>174,5839,66382,585286,29,7132834,51,63598,5583,33,75,846,54541,8313168,459</t>
  </si>
  <si>
    <t>(*6,*1,*5,*1,*3,*2,*7,9,7,7,3,5),(9,7,2,2,7,5,*3,9,7,3,5,7),(1,7,7,9,7,5,5,*9,*4,*5,*8,*9),(9,2,8,6,2,*9,*5,*9,*7,3,2,7),(5,2,7,*6,*6,*5,4,1,*2,1,5,9),(7,3,3,5,*1,*3,2,*7,4,*4,3,8),(4,*3,*3,*4,*6,*1,*8,5,*5,2,2,*3),(5,*1,4,3,*7,*3,*9,2,*8,*2,*5,9),(6,*2,5,5,*6,*9,*6,1,3,*9,*6,2),(4,8,5,7,*2,*9,*8,8,*5,4,8,*8),(2,4,8,9,5,*4,*1,*3,6,8,2,2),(6,3,1,5,9,9,*8,6,5,5,9,8)</t>
  </si>
  <si>
    <t>7231516,75268,429,66,842,835953,4993135,12,334,37,94589,9597,18698,82,6761</t>
  </si>
  <si>
    <t>(3,*9,7,3,7,2,*6,7,3,4,4,2),(*9,*8,*4,9,8,7,*8,6,8,9,6,6),(7,*8,8,*3,5,5,*9,1,3,6,9,4),(*8,3,*9,8,1,5,*4,5,9,*4,*8,9),(*5,9,9,*2,9,9,*4,8,5,*6,*4,8),(*9,5,2,*4,*2,4,*1,3,8,*2,*2,7),(*6,4,5,*8,3,1,4,*5,2,*6,*9,6),(*9,3,4,*4,7,2,3,8,*2,*6,*3,*7),(*2,8,*2,2,3,8,3,4,9,*2,*6,4),(*2,9,7,*5,4,*4,*7,*2,*3,*1,*9,*4),(7,1,*7,3,*6,9,*3,1,8,5,1,8),(1,8,3,*6,6,1,3,3,9,4,6,2)</t>
  </si>
  <si>
    <t>2484,2296958,639248,1522,349,46266,988,14,97,98922,76,68944,73,4723194,256</t>
  </si>
  <si>
    <t>(1,*9,9,1,7,*5,3,*8,8,3,7,1),(5,6,*9,8,8,6,*4,8,*1,5,5,5),(5,5,5,*5,5,6,2,*7,2,*9,3,6),(4,*8,*9,5,7,7,4,4,*3,*7,*6,2),(6,*2,*8,7,7,8,7,1,1,*8,8,*6),(2,*9,*3,7,3,2,8,1,7,*8,*6,*1),(7,*1,*9,8,8,4,9,3,*5,9,*4,*3),(1,*6,*5,*9,*7,*4,*4,*4,6,*9,7,*3),(8,6,9,8,7,1,6,*2,6,9,*6,*8),(*8,*2,*5,*1,8,5,5,*1,8,8,7,*5),(*1,*9,*2,*9,*7,*9,*9,8,1,1,*6,*2),(7,1,5,6,2,8,9,3,1,*4,7,*5)</t>
  </si>
  <si>
    <t>12,67,1338525,683745,4479,66918,995,596,24,1528,465,1929799,84,82916,98395</t>
  </si>
  <si>
    <t>(1,7,2,9,9,3,*8,5,2,5,*9,9),(7,4,2,7,2,4,*6,5,7,*4,*8,9),(*3,8,9,4,1,2,*1,*2,*5,*7,*9,*5),(5,*7,2,5,1,5,*4,1,2,9,2,4),(2,4,*3,*9,*7,*1,*4,*4,*7,*1,2,3),(2,9,6,9,*5,*3,7,4,9,3,3,2),(2,4,5,8,3,9,*5,*1,*8,*8,*7,9),(*3,*1,*2,*7,*2,*6,*7,1,*4,5,1,5),(*3,*7,*9,*3,*1,*3,*8,*6,*2,*7,*2,9),(9,3,3,1,2,6,*6,9,5,6,9,8),(3,4,9,1,1,9,*1,1,9,6,7,6),(8,6,5,8,4,8,*8,*5,*1,*1,*3,*8)</t>
  </si>
  <si>
    <t>1887,7627213,53,379313,816,42,8614,59752,49,373,84,27268,51138,1744179,815</t>
  </si>
  <si>
    <t>(8,9,7,1,1,6,7,*8,1,9,*3,*1),(7,5,2,*6,*5,7,*4,1,7,*3,9,*3),(6,*2,7,3,6,*2,5,1,*8,1,7,*3),(2,1,*4,*9,*3,5,3,*5,4,4,5,*3),(7,4,*5,*7,3,5,*3,7,*8,5,3,*2),(8,4,*9,9,*3,5,8,*1,7,*7,5,*3),(8,1,*7,6,1,*5,*9,2,8,*1,*4,*8),(9,4,*4,*5,5,*1,2,2,*4,2,8,8),(*1,2,*2,8,*7,6,*9,*6,4,8,1,1),(3,*9,*2,6,*3,*7,*2,*2,*2,*6,*1,5),(9,3,*6,2,9,7,8,3,*2,*7,*6,9),(2,7,1,*6,1,5,5,1,9,9,4,9)</t>
  </si>
  <si>
    <t>53742,56,39,874,6691,8323331,1622273,45,224795,92,33853,146,672,81917,3248</t>
  </si>
  <si>
    <t>(7,3,*3,8,5,7,*5,6,*6,8,4,2),(6,*2,*1,3,5,8,3,*9,1,*4,3,8),(*5,*5,*9,*4,8,4,6,8,*1,3,2,5),(*8,*2,*2,9,*7,*1,*1,9,7,*6,6,9),(*4,*8,*3,7,2,*1,1,4,2,6,*2,*5),(*1,*9,*8,8,6,6,*4,5,8,8,*3,*7),(5,2,5,5,4,4,6,*9,*8,*4,8,7),(8,5,3,2,*5,*8,*4,*8,*8,6,1,9),(4,6,7,1,8,9,*2,6,1,*5,8,4),(9,7,3,*7,*8,*1,1,1,7,5,3,4),(*8,*6,9,1,*2,*1,*9,*8,*3,*1,*3,6),(8,*4,*2,*7,*4,*1,7,8,8,8,5,2)</t>
  </si>
  <si>
    <t>14724,64,26195,11,25289,5848,5894174,781,37,86,5841,832913,882,534,3138912</t>
  </si>
  <si>
    <t>(6,*3,4,2,8,8,6,1,5,2,8,9),(7,*7,*3,4,6,3,*4,3,6,5,7,1),(2,*1,8,*9,5,6,*3,8,1,6,8,*9),(*3,*5,2,4,*1,2,*7,4,4,5,*4,*7),(*5,*1,4,7,7,*1,*9,*3,7,4,3,*8),(*5,*1,*5,*1,*8,*9,*5,*5,*9,*5,*6,*9),(*5,*3,9,1,3,3,5,*7,*4,6,3,*7),(7,*2,*7,2,7,*4,7,*8,5,2,7,*9),(9,5,5,*8,*6,9,5,*7,7,3,7,*1),(4,6,1,*7,*1,*4,2,*5,1,*2,*4,5),(1,4,*1,9,1,*1,9,1,3,*2,*4,2),(7,*4,6,7,1,*6,9,7,8,4,3,7)</t>
  </si>
  <si>
    <t>357875,1979879,5189,3555,11933,22,44,416,7151132,41764,43795,84,956,47,781</t>
  </si>
  <si>
    <t>(4,9,8,7,*2,9,2,6,2,9,9,*2),(4,4,*3,8,*3,6,2,5,2,5,*7,6),(1,*5,*4,1,*2,9,4,5,9,*8,4,4),(2,*8,*5,1,*8,8,9,7,*4,6,8,6),(3,*6,*2,7,*4,7,7,*4,4,2,*4,5),(7,*6,2,7,*4,*1,*7,4,2,9,*3,3),(7,*4,*2,7,*6,*3,*3,*9,*1,3,*9,5),(4,2,*1,2,5,7,*6,*2,*6,*8,*3,*8),(2,7,*5,*1,4,*8,*5,*2,*2,*7,*5,9),(3,3,*1,8,*8,9,7,1,3,7,*7,5),(8,6,*5,5,2,*5,*9,6,6,9,*2,*9),(3,7,8,3,7,3,4,9,9,3,*3,*2)</t>
  </si>
  <si>
    <t>42,2328446,391,41,2784473,21515,46685,72258,185,3275,626838,439,59,29,2543</t>
  </si>
  <si>
    <t>(*3,*6,*3,*9,*7,*7,*4,4,*3,3,8,6),(3,*2,8,3,5,4,2,2,*6,5,7,5),(4,*4,1,*3,8,9,3,2,*7,9,*7,4),(6,*4,1,5,*9,2,4,5,*7,3,*4,7),(5,*9,7,4,1,*6,7,6,*4,*8,*7,4),(7,*7,3,*4,4,*2,*8,5,*1,8,*8,8),(4,*5,*7,*3,6,*9,8,*2,6,8,*3,5),(7,*2,*6,6,8,4,*6,*7,1,9,9,8),(*2,*8,*4,*7,4,5,1,*2,8,8,7,5),(4,*9,*1,*8,2,1,2,6,*4,5,7,8),(4,5,6,7,6,5,*1,*1,3,*8,9,7),(5,2,3,8,8,2,*4,*7,*8,*9,*8,4)</t>
  </si>
  <si>
    <t>11,27,88426,2579442,29,4789,43,367741,4779363,764,7482,74783,39682,819,887</t>
  </si>
  <si>
    <t>(3,*8,6,*7,*3,*4,7,5,2,2,9,7),(3,*9,1,5,2,2,3,1,1,9,5,2),(9,*1,7,5,2,3,4,2,2,1,5,1),(1,*5,*6,1,1,*8,4,*2,5,*8,*6,3),(6,*5,5,*1,*2,9,*1,2,2,9,8,*7),(8,*6,8,*6,*5,*1,7,1,7,2,8,*6),(6,*9,*2,*4,*5,*7,7,2,8,5,2,*9),(8,*3,6,*2,*9,6,*5,*9,*2,*5,3,*7),(*8,4,*5,1,6,*7,*2,*2,*4,*3,*4,*3),(7,9,5,2,2,*4,*3,*1,*2,7,*1,7),(1,2,1,8,2,8,9,4,2,5,*8,8),(5,*8,*9,*9,*2,7,6,7,3,4,5,9)</t>
  </si>
  <si>
    <t>7522,81,61575,2211525,431,9655198,49,72,925,832628,37967,2998,437,22434,68</t>
  </si>
  <si>
    <t>(3,5,1,2,3,4,9,2,2,1,7,8),(*8,*5,*5,*2,6,6,4,*8,*5,*6,*4,*5),(2,*4,5,3,3,5,9,*5,*7,*7,*9,*8),(*5,*4,3,6,2,4,9,3,*5,3,*5,3),(*4,*2,1,4,8,2,8,9,*4,1,*2,1),(*5,1,2,5,4,8,*8,2,*4,8,*6,5),(*3,9,4,9,7,*6,8,*5,*6,5,4,3),(*3,7,6,6,*8,9,*6,2,*1,*9,*6,1),(9,8,*7,*9,8,*2,6,2,*4,8,9,1),(9,*2,*5,9,9,9,8,4,6,9,1,2),(6,*6,3,6,*9,*5,*4,*8,*8,4,5,5),(*5,3,9,9,*7,*8,*6,*5,*2,*5,*2,2)</t>
  </si>
  <si>
    <t>89775,85645,442,562,8552,96,94,88,9548,544614,5659868,72,526,7865252,54533</t>
  </si>
  <si>
    <t>(*6,1,4,4,5,5,*1,1,6,8,2,9),(*5,8,8,3,2,*5,2,5,3,5,*2,3),(1,4,3,4,*7,*3,*4,1,*4,*6,*2,9),(4,8,8,*9,*5,*9,*6,3,5,8,*7,9),(2,5,7,*7,*8,*1,*3,2,8,5,*9,5),(9,8,*8,4,*9,*9,*2,6,7,6,*6,1),(2,*9,6,5,*4,*3,*9,4,2,3,4,8),(9,9,4,*2,8,*1,9,7,7,6,5,6),(6,8,5,*7,*8,*7,*9,*9,7,*1,*3,*5),(7,4,8,*4,*3,*3,*1,*5,*4,*7,*2,9),(9,4,6,*5,5,4,4,5,6,2,5,8),(7,8,3,*7,*1,*8,*8,*9,*5,*9,9,5)</t>
  </si>
  <si>
    <t>65,894,462,16,92364,3315472,69722,1579,3919317,83,9875,99,959881,75472,531</t>
  </si>
  <si>
    <t>(2,*9,*3,*7,*6,*1,*6,*1,*3,*7,*9,*2),(2,4,8,7,9,4,4,1,4,1,7,*2),(8,7,9,*2,*8,*7,*5,4,4,8,8,*7),(7,1,8,3,6,*7,*9,*9,4,*9,*8,*8),(7,9,3,7,6,2,5,3,9,5,9,*6),(8,*7,*1,*6,*6,*4,*6,8,4,3,3,*3),(*4,*4,*5,*7,*6,*3,*3,3,7,*3,9,*4),(3,*2,9,*5,1,*5,1,*7,9,*5,2,3),(*4,*1,7,2,5,*6,*9,6,5,4,5,9),(*4,*4,3,5,7,*6,2,9,1,9,6,8),(*6,*9,3,4,8,2,3,2,5,*6,*2,9),(*8,*5,1,6,3,9,2,5,3,8,1,3)</t>
  </si>
  <si>
    <t>55,646617,799,697,5782,4457633,65,53,8644,59412,62,4368722,97316,988,16739</t>
  </si>
  <si>
    <t>(6,1,9,8,5,3,4,2,8,5,*8,9),(*7,7,9,1,7,*9,*4,*3,2,*4,9,4),(*3,1,2,2,9,7,3,6,*8,8,1,3),(9,8,*6,*4,*2,*7,*7,*6,7,8,4,4),(2,7,1,*4,*1,*6,*8,7,6,6,6,9),(6,*6,*2,8,7,*1,4,9,8,2,4,*9),(9,*6,*2,*6,8,*5,*7,*2,*7,*2,*4,*7),(1,*5,*7,*5,1,3,9,7,*6,9,*1,*9),(3,*9,*5,*6,5,*3,4,*8,3,*5,5,3),(1,*5,*3,*9,*2,1,*6,8,9,*9,2,5),(1,4,*5,*4,2,*3,7,5,6,*4,9,6),(9,1,*8,4,3,2,7,7,8,4,1,5)</t>
  </si>
  <si>
    <t>6863,65694,7427275,77246,79,12,3248,848681,19,8535722,614,66595,594,349,73</t>
  </si>
  <si>
    <t>(8,8,1,8,3,1,3,5,8,2,7,7),(3,3,3,6,*2,8,6,2,*6,*4,*7,4),(*8,9,7,*3,1,1,8,7,4,*9,*6,6),(*7,*7,*9,4,1,2,*6,*7,2,*6,*4,2),(*3,*7,*4,9,3,*4,1,*8,6,*1,*6,1),(*4,*5,4,2,*9,8,9,*5,5,*5,*9,7),(1,*7,*8,*4,5,1,2,*9,8,*9,*1,7),(6,*8,*3,3,*8,*7,*2,*2,*4,*4,*5,1),(4,*2,6,5,9,*5,9,2,4,1,*2,6),(*1,2,5,8,4,*4,*4,*2,*3,*6,*6,7),(9,9,3,6,7,2,8,2,2,2,1,4),(5,6,7,6,7,4,8,5,1,9,5,3)</t>
  </si>
  <si>
    <t>79,87224,4691526,83,961594,932,8734,1234946,44236,7859,77578,874,45,746,76</t>
  </si>
  <si>
    <t>(*7,7,*4,*7,*8,*7,*5,*3,*6,8,4,8),(2,*9,*6,*6,*7,*7,*7,*7,*4,*2,6,8),(*3,8,*2,*8,*3,*1,*6,*6,*9,2,8,7),(6,2,5,*2,9,4,2,2,3,1,2,*5),(6,6,2,*8,*5,2,*6,9,1,2,2,*7),(6,4,6,1,7,*5,5,*7,3,4,4,*7),(1,4,5,*7,*3,*2,*6,*8,*6,1,3,*1),(6,3,4,6,7,4,2,9,2,7,4,*7),(5,9,2,6,5,5,5,1,5,4,5,2),(4,*7,*6,*7,*9,1,*5,*3,*3,*1,*8,4),(7,6,4,5,6,5,8,7,*4,*1,7,2),(3,2,2,6,2,4,1,2,3,3,6,3)</t>
  </si>
  <si>
    <t>46,71775,552297,85,81335,8623,96613,7679,732,283,676,93,2477776,6357874,14</t>
  </si>
  <si>
    <t>(6,3,2,*6,5,5,7,6,8,8,9,5),(5,9,9,5,*1,2,4,4,*9,4,3,2),(5,5,2,3,4,*6,*3,2,*7,1,*1,9),(7,*9,*1,*3,*4,*1,*4,*8,2,4,*2,5),(5,9,*8,*5,2,*4,7,*5,*1,6,*5,2),(*1,*7,*2,*6,*1,6,*8,6,*6,*5,*1,*8),(5,*4,3,4,7,*1,5,*8,*8,*9,*9,*2),(8,8,*6,9,9,*3,6,7,7,6,*6,*8),(5,4,5,*2,9,*5,7,7,8,3,*4,*4),(6,5,2,6,*6,5,*7,1,8,6,9,*6),(5,1,7,9,4,6,6,*2,*7,*8,5,2),(8,*1,*1,*6,*1,*1,*6,*9,*8,7,8,2)</t>
  </si>
  <si>
    <t>135,488,14319,4626,79,9611611,64828,5183,827,98,17261,85,78,654616,4691521</t>
  </si>
  <si>
    <t>(9,3,4,6,9,3,5,6,2,3,4,4),(1,4,3,6,7,5,2,7,4,4,8,9),(7,8,*6,*3,*3,*8,*4,*2,*9,*3,*6,*7),(7,7,*7,9,7,9,*8,*6,*5,*3,4,*6),(8,7,4,*9,1,8,*3,*6,*4,*2,*2,*7),(9,7,*4,4,*5,*2,*2,3,*9,*2,*2,*1),(7,5,9,*4,*5,*2,1,*4,1,5,7,*8),(9,1,5,*1,*4,*2,*5,4,*4,2,4,*6),(6,3,*7,2,*7,*9,*3,3,*1,8,6,*4),(8,*5,1,*8,*4,6,*5,*8,*9,7,1,*4),(9,8,2,2,*3,4,7,2,*9,3,4,3),(5,9,5,4,4,9,*6,*2,5,*7,6,7)</t>
  </si>
  <si>
    <t>571523,52597,19,8653,922,79832,87,244,7639248,6718644,62,336,44495,2246,43</t>
  </si>
  <si>
    <t>(4,6,9,1,6,*3,*2,*1,*5,*3,1,8),(9,8,*1,*4,*9,*3,*1,*2,*8,*2,2,*2),(2,3,1,*1,6,7,9,6,*1,2,*3,*2),(*4,5,*3,7,7,3,8,*2,4,*5,8,*6),(*7,*1,*8,*2,*1,*7,*9,*5,*1,2,3,8),(*4,*4,*5,*9,*3,*4,*9,*1,2,9,2,7),(*3,7,9,6,*4,*8,*2,1,8,8,3,1),(*1,6,6,*2,4,*9,*8,4,*4,8,5,8),(*1,2,*7,2,*3,8,9,9,*2,2,9,9),(7,*7,4,9,3,4,6,5,*1,6,9,6),(*6,2,8,4,8,5,4,2,*5,7,6,6),(3,7,9,5,8,9,6,8,*5,5,7,5)</t>
  </si>
  <si>
    <t>113474,4593,48,212,35123,91,131,3511293,226,42155,1493128,59712,44,2776,88</t>
  </si>
  <si>
    <t>(*9,*3,*4,*2,*1,*1,*6,1,7,1,3,4),(*5,7,*8,*6,*1,*4,*6,1,1,*1,1,3),(6,*1,7,6,6,4,9,4,*2,*4,6,4),(9,4,*5,4,9,*2,7,*1,1,*7,7,4),(4,6,6,3,3,6,*6,*2,9,*4,*3,3),(5,8,8,8,5,*1,*8,8,4,*9,*6,5),(9,5,5,9,*9,*4,*6,1,*5,*5,*7,2),(2,8,9,*7,*6,*8,3,*5,4,*3,*7,3),(8,6,*7,9,6,6,*6,1,*1,8,*6,3),(6,5,2,3,5,4,6,*9,4,8,*6,3),(5,1,8,3,9,5,*1,2,9,9,*3,1),(4,6,2,8,2,*4,*5,*7,*7,*4,7,7)</t>
  </si>
  <si>
    <t>3191,26,686,4741,96,515,98,284,35,6112439,64168,65593,45774,2161977,366776</t>
  </si>
  <si>
    <t>(8,*4,*8,*9,*5,6,4,9,4,1,2,5),(8,*5,1,1,2,8,*5,*6,*5,6,2,7),(1,5,*4,*4,2,4,7,*3,5,1,4,6),(2,1,8,*3,*7,7,5,*8,*2,9,4,3),(2,1,7,*8,*5,*8,8,2,*1,*3,9,7),(8,7,*2,7,2,*7,*4,6,3,5,*1,2),(9,*9,5,*6,1,*1,*6,*7,6,1,9,5),(9,1,*4,1,*9,2,*4,*4,*4,9,9,2),(*6,4,6,*7,2,*6,7,*7,4,*7,6,2),(*7,*8,2,6,*7,5,*4,8,*9,9,8,7),(3,*2,5,1,9,*7,3,*7,1,*7,8,9),(8,1,*9,8,*4,*5,*9,3,5,8,9,1)</t>
    <phoneticPr fontId="1"/>
  </si>
  <si>
    <t>28,68,4784747,5435764,3231,79741,26913,77749,746962,565,18,12,729,954,5984</t>
    <phoneticPr fontId="1"/>
  </si>
  <si>
    <t>(5,9,4,*6,*6,*5,*9,*7,*1,*6,1,8),(*6,8,2,6,2,4,5,2,6,1,2,3),(*7,2,3,3,*3,3,*5,*5,*8,*1,*5,*4),(*3,2,7,*8,1,2,4,7,6,3,1,*4),(*6,8,*7,7,8,7,7,1,8,5,*4,*7),(*4,*6,4,*4,7,*4,*6,*2,*1,6,*9,*3),(*2,7,2,9,*5,1,9,*4,*9,5,*8,*7),(*6,2,9,*1,*1,*7,*3,5,2,5,*9,8),(7,4,*3,9,2,*6,*3,4,7,*3,*8,7),(4,5,6,*2,*7,*8,8,8,*5,7,4,9),(6,3,8,*5,*4,6,*6,*5,3,3,6,9),(5,8,*7,7,7,6,7,*4,7,6,5,1)</t>
  </si>
  <si>
    <t>553,73744,264,4573,19,468,11,51855,6179566,6736426,757634,3876,48,89894,32</t>
  </si>
  <si>
    <t>(*6,*7,*5,*2,*4,*8,*8,*9,4,3,6,*2),(9,5,2,*5,*6,*7,*5,*6,4,*5,7,*7),(3,7,3,2,8,9,7,*2,4,*4,1,*7),(*5,*9,*2,*9,*6,7,2,*4,2,*3,8,7),(2,*9,5,*9,*1,*8,4,*1,3,*3,7,9),(*7,5,5,2,5,3,*3,7,2,*3,7,3),(4,6,5,1,7,3,6,*4,6,*6,4,1),(2,4,*2,5,*3,6,3,*6,*5,8,1,1),(3,9,3,*8,3,*5,*7,*4,*6,*7,4,1),(7,6,7,*6,*2,*2,*7,2,9,8,*3,6),(6,4,8,2,*3,*2,9,*2,*9,*9,4,*4),(9,1,2,3,9,*8,8,4,*4,5,1,3)</t>
  </si>
  <si>
    <t>42753,91,277,2822,64,69295,79,5765,543336,14269,836,6752488,672,8345734,99</t>
  </si>
  <si>
    <t>(2,6,1,8,4,5,9,3,6,*9,6,7),(2,5,4,3,9,9,3,9,*5,*3,5,4),(*2,*5,*1,*1,*9,7,1,*9,*1,*4,4,4),(*9,*9,*4,*5,9,1,*8,*3,7,*7,7,8),(3,5,3,2,7,2,*7,3,6,*5,4,9),(9,*7,5,3,2,*6,1,8,1,*2,7,8),(2,*3,3,5,*5,5,*6,5,1,*1,5,4),(9,*2,7,*4,3,*3,*9,6,*4,2,8,*2),(1,*3,1,8,7,8,*1,*7,1,*5,*3,*4),(7,*9,4,8,6,8,*7,*5,8,7,9,*7),(9,3,3,9,*6,*1,*9,9,*7,4,1,*5),(*7,*7,*7,*2,*7,*2,*9,6,1,*2,*2,*9)</t>
  </si>
  <si>
    <t>456731,196,22,9945,3157,35,73239,16,895,24759,25119,7772729,79,774,1257439</t>
  </si>
  <si>
    <t>(2,3,2,4,2,*8,5,*8,*4,*6,8,1),(1,3,*9,*6,*9,*2,1,*6,6,8,6,2),(*5,*9,*9,*4,*7,*1,*2,*4,3,7,4,2),(*6,*6,*2,6,4,*5,8,*6,2,8,3,6),(*1,*1,2,9,5,*4,*9,*2,*4,6,2,2),(2,5,8,1,*5,*3,1,*3,6,7,7,2),(7,7,8,*1,4,7,9,*7,9,6,6,3),(8,2,*6,4,5,2,7,*2,5,4,3,9),(9,*5,5,5,6,*6,*1,*7,*6,*7,*7,4),(9,5,7,2,7,2,7,7,1,7,9,3),(1,7,*6,*4,*3,*1,*9,*6,*5,6,4,8),(*2,*3,*7,*1,*3,*3,*1,5,9,2,4,3)</t>
  </si>
  <si>
    <t>2264,646237,969,5165,5691346,76716,82154,266,74995,27,77,2371331,11,93,846</t>
  </si>
  <si>
    <t>(1,7,5,1,1,*4,4,2,8,7,7,7),(6,8,9,6,9,1,*7,6,8,7,*6,2),(8,*3,*5,*8,9,8,7,*3,8,2,*2,3),(*6,*7,*2,*9,*8,*8,*5,6,*3,6,*3,3),(*6,*6,*4,*7,*1,*8,5,7,4,*7,*2,2),(4,7,3,7,3,6,1,*8,2,9,*8,*3),(9,3,4,8,2,3,*3,*1,2,6,*1,4),(2,3,*6,*8,1,*9,6,*9,3,*4,9,1),(1,*4,*2,*7,*3,*7,*5,*4,*1,1,6,4),(6,*5,2,*5,7,6,7,*4,1,*5,*7,*1),(3,5,1,*9,4,3,9,2,7,3,8,1),(6,5,4,3,9,*4,*2,*9,*9,*1,*9,*8)</t>
  </si>
  <si>
    <t>5889276,1413,175,938,82326,54,57372,47337,4299198,59,358,36,1944,817466,86</t>
  </si>
  <si>
    <t>(3,*5,9,6,4,6,7,3,1,3,2,3),(1,*4,*2,5,*8,*9,*5,*5,*9,*1,8,5),(9,*2,*9,6,2,*7,*3,*2,*3,*3,*4,*2),(1,3,*3,4,2,8,3,4,2,7,*5,2),(6,3,*6,7,9,2,4,4,*3,*3,6,*7),(*6,5,6,*5,9,6,6,*2,*8,6,9,*5),(*1,9,2,*1,1,9,*8,*3,4,3,8,*2),(*6,7,*4,*6,2,*1,*7,6,7,2,3,1),(*9,8,1,*9,5,*2,6,*6,4,4,1,4),(*3,3,1,*5,*2,7,*9,*2,8,3,7,6),(1,7,9,*5,3,7,5,*7,*7,*9,*9,*9),(4,3,*1,5,8,5,4,9,6,3,9,5)</t>
    <phoneticPr fontId="1"/>
  </si>
  <si>
    <t>1823,46,99977,59615,792,8372251,245,257,39616,195598,7323342,2936,62,35,78</t>
    <phoneticPr fontId="1"/>
  </si>
  <si>
    <t>(6,4,4,9,7,2,*9,*8,*7,*8,5,*4),(9,8,5,*3,2,*7,2,6,5,7,3,*6),(4,8,3,7,*1,5,*8,*8,2,*5,9,*6),(3,*2,*9,*8,3,*4,3,*7,*9,1,*8,*9),(*7,*7,*5,*7,*3,5,*8,*3,*3,9,5,*4),(2,*1,1,3,7,7,*1,*7,8,*9,*2,*2),(1,5,*4,4,1,*5,1,9,7,5,*6,4),(3,4,4,*6,*4,8,6,5,9,6,8,*3),(1,4,6,*9,*6,3,2,2,4,1,8,7),(8,*9,9,5,8,4,9,1,9,7,*8,7),(1,5,*2,8,3,*9,*6,*6,*5,*6,*7,*4),(1,2,1,*9,5,5,7,7,1,9,3,6)</t>
    <phoneticPr fontId="1"/>
  </si>
  <si>
    <t>9878,4765669,71466,88,584,22,81,298,929,31487,945139,3693787,68,7573,49664</t>
    <phoneticPr fontId="1"/>
  </si>
  <si>
    <t>(4,7,9,7,*3,*8,*6,*9,*2,*7,*9,5),(3,9,*6,*3,6,*8,*6,*3,*1,*9,*1,8),(6,*5,7,*3,*6,3,5,8,4,4,2,2),(*4,2,9,1,*5,*1,3,3,3,*4,1,4),(2,4,3,3,*1,*7,*5,5,6,*8,3,7),(2,8,3,8,3,*4,9,*1,6,*6,7,2),(5,*4,*2,*1,*9,3,*6,1,6,*5,7,4),(8,3,1,7,9,*7,3,*8,1,*6,5,8),(3,1,6,4,*5,*2,2,5,*5,*3,4,9),(6,7,7,7,5,2,*2,*6,*6,*5,*5,3),(7,5,5,2,2,9,9,4,*9,*3,6,*8),(7,9,6,8,9,*4,*7,*9,*5,*3,6,7)</t>
    <phoneticPr fontId="1"/>
  </si>
  <si>
    <t>7536,47953,25,36151,662,456,67,863191,58641,39,9729683,84,3536568,9124,358</t>
    <phoneticPr fontId="1"/>
  </si>
  <si>
    <t>再開時間</t>
    <rPh sb="0" eb="4">
      <t>サイカイジカン</t>
    </rPh>
    <phoneticPr fontId="1"/>
  </si>
  <si>
    <t>(6,5,8,1,2,6,4,6,5,*1,1,9),(*3,*4,*3,*7,*6,*4,*7,7,1,*2,3,4),(9,8,*6,*1,*8,*6,*6,*2,6,*6,*8,6),(*3,*2,*7,*3,*1,2,9,7,9,*7,*4,3),(*7,8,3,5,8,*8,*7,*1,1,*5,*2,7),(8,2,8,7,8,7,1,8,8,2,2,*5),(9,3,2,3,*9,*3,5,9,8,5,6,*4),(*3,9,6,4,2,*7,4,5,3,*6,9,*2),(*7,3,7,6,2,7,*7,5,1,*7,8,*2),(*9,4,3,*8,*8,8,1,*6,1,*6,6,*7),(3,2,4,3,1,2,4,1,*5,*9,1,*8),(3,*8,*3,3,8,5,*5,*2,5,*3,6,*4)</t>
  </si>
  <si>
    <t>12675,88,178,35677,93,4872245,32731,52,7467343,973,248,618662,6769,7627,83</t>
  </si>
  <si>
    <t>(2,*5,5,9,2,*3,5,6,8,7,4,9),(4,*4,7,7,6,*4,8,1,6,3,1,7),(8,*4,8,3,7,*6,3,5,6,*6,*2,*9),(2,*1,2,1,4,*2,8,8,6,6,*9,4),(8,*7,1,3,*9,8,2,*9,*9,4,*4,*8),(4,*7,3,3,4,*6,*7,2,*7,*9,*8,*5),(6,4,5,6,1,*7,*1,*1,*3,*1,*7,*4),(5,5,2,1,8,*3,1,5,*6,*2,*9,*9),(6,1,9,*6,2,*3,8,4,*6,*2,*5,*9),(9,6,6,*3,9,*2,1,5,3,*3,*7,*7),(7,*8,4,*6,6,*6,1,1,1,*8,*3,2),(9,7,*8,*7,5,*3,3,3,9,*1,4,1)</t>
  </si>
  <si>
    <t>896,35,6367,4879573,66379,2643,9122381,36233,88,92,11,169,79945,977,544177</t>
  </si>
  <si>
    <t>(*8,*6,*9,*1,*2,*6,*9,7,6,1,2,8),(1,3,4,6,3,4,*9,4,2,3,1,2),(4,1,2,*4,*7,8,*9,4,6,8,5,4),(3,6,4,*6,*5,*5,*5,*7,*6,*6,2,9),(5,*2,*6,9,*7,4,7,9,5,*7,2,*7),(*9,*8,*9,9,*1,6,7,*1,*3,*3,3,*5),(*3,*4,7,*2,*4,1,2,2,4,*3,2,*7),(5,1,*9,4,*5,9,3,1,8,*4,5,*8),(8,9,6,*3,5,7,4,*8,3,*8,8,*6),(8,8,*7,4,*3,4,*9,9,1,6,1,7),(3,*7,3,5,6,*4,5,5,9,*5,*1,*1),(4,1,*6,*6,*7,*9,*7,8,3,6,8,1)</t>
  </si>
  <si>
    <t>77,45,99,714,13,38667,67555,843376,75786,511,9621968,7433949,9766,894,5292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</si>
</sst>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3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19" fontId="0" fillId="0" borderId="0" xfId="0" applyNumberFormat="1">
      <alignment vertical="center"/>
    </xf>
    <xf numFmtId="0" fontId="3" fillId="0" borderId="0" xfId="0" applyFont="1" applyFill="1">
      <alignment vertical="center"/>
    </xf>
    <xf numFmtId="0" fontId="6" fillId="2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データ!$P$2:$P$144</c:f>
              <c:strCache>
                <c:ptCount val="143"/>
                <c:pt idx="0">
                  <c:v>目標達成／目標未達</c:v>
                </c:pt>
                <c:pt idx="16">
                  <c:v>未達成（1）</c:v>
                </c:pt>
                <c:pt idx="17">
                  <c:v>達成</c:v>
                </c:pt>
                <c:pt idx="18">
                  <c:v>未達成（1）</c:v>
                </c:pt>
                <c:pt idx="19">
                  <c:v>達成</c:v>
                </c:pt>
                <c:pt idx="20">
                  <c:v>未達成（1）</c:v>
                </c:pt>
                <c:pt idx="21">
                  <c:v>達成</c:v>
                </c:pt>
                <c:pt idx="22">
                  <c:v>未達成（1）</c:v>
                </c:pt>
                <c:pt idx="23">
                  <c:v>達成</c:v>
                </c:pt>
                <c:pt idx="24">
                  <c:v>未達成（1）</c:v>
                </c:pt>
                <c:pt idx="25">
                  <c:v>達成</c:v>
                </c:pt>
                <c:pt idx="26">
                  <c:v>未達成（2）</c:v>
                </c:pt>
                <c:pt idx="27">
                  <c:v>未達成（1）</c:v>
                </c:pt>
                <c:pt idx="28">
                  <c:v>達成</c:v>
                </c:pt>
                <c:pt idx="29">
                  <c:v>未達成（1）</c:v>
                </c:pt>
                <c:pt idx="30">
                  <c:v>達成</c:v>
                </c:pt>
                <c:pt idx="31">
                  <c:v>未達成（1）</c:v>
                </c:pt>
                <c:pt idx="32">
                  <c:v>達成</c:v>
                </c:pt>
                <c:pt idx="33">
                  <c:v>未達成（1）</c:v>
                </c:pt>
                <c:pt idx="34">
                  <c:v>達成</c:v>
                </c:pt>
                <c:pt idx="35">
                  <c:v>未達成（1）</c:v>
                </c:pt>
                <c:pt idx="36">
                  <c:v>達成</c:v>
                </c:pt>
                <c:pt idx="37">
                  <c:v>未達成（3）</c:v>
                </c:pt>
                <c:pt idx="38">
                  <c:v>未達成（2）</c:v>
                </c:pt>
                <c:pt idx="39">
                  <c:v>未達成（3）</c:v>
                </c:pt>
                <c:pt idx="40">
                  <c:v>未達成（2）</c:v>
                </c:pt>
                <c:pt idx="41">
                  <c:v>未達成（3）</c:v>
                </c:pt>
                <c:pt idx="42">
                  <c:v>未達成（2）</c:v>
                </c:pt>
                <c:pt idx="43">
                  <c:v>未達成（1）</c:v>
                </c:pt>
                <c:pt idx="44">
                  <c:v>達成</c:v>
                </c:pt>
                <c:pt idx="45">
                  <c:v>前倒し（1）</c:v>
                </c:pt>
                <c:pt idx="46">
                  <c:v>前倒し（2）</c:v>
                </c:pt>
                <c:pt idx="47">
                  <c:v>前倒し（1）</c:v>
                </c:pt>
                <c:pt idx="48">
                  <c:v>前倒し（2）</c:v>
                </c:pt>
                <c:pt idx="49">
                  <c:v>前倒し（3）</c:v>
                </c:pt>
                <c:pt idx="50">
                  <c:v>前倒し（4）</c:v>
                </c:pt>
                <c:pt idx="51">
                  <c:v>前倒し（1）</c:v>
                </c:pt>
                <c:pt idx="52">
                  <c:v>前倒し（2）</c:v>
                </c:pt>
                <c:pt idx="53">
                  <c:v>前倒し（1）</c:v>
                </c:pt>
                <c:pt idx="54">
                  <c:v>前倒し（1）</c:v>
                </c:pt>
                <c:pt idx="55">
                  <c:v>達成</c:v>
                </c:pt>
                <c:pt idx="56">
                  <c:v>未達成（1）</c:v>
                </c:pt>
                <c:pt idx="57">
                  <c:v>達成</c:v>
                </c:pt>
                <c:pt idx="58">
                  <c:v>未達成（3）</c:v>
                </c:pt>
                <c:pt idx="59">
                  <c:v>未達成（3）</c:v>
                </c:pt>
                <c:pt idx="60">
                  <c:v>未達成（3）</c:v>
                </c:pt>
                <c:pt idx="61">
                  <c:v>未達成（2）</c:v>
                </c:pt>
                <c:pt idx="62">
                  <c:v>達成</c:v>
                </c:pt>
                <c:pt idx="63">
                  <c:v>達成</c:v>
                </c:pt>
                <c:pt idx="64">
                  <c:v>未達成（2）</c:v>
                </c:pt>
                <c:pt idx="65">
                  <c:v>達成</c:v>
                </c:pt>
                <c:pt idx="66">
                  <c:v>未達成（1）</c:v>
                </c:pt>
                <c:pt idx="67">
                  <c:v>未達成（1）</c:v>
                </c:pt>
                <c:pt idx="68">
                  <c:v>達成</c:v>
                </c:pt>
                <c:pt idx="69">
                  <c:v>未達成（2）</c:v>
                </c:pt>
                <c:pt idx="70">
                  <c:v>未達成（1）</c:v>
                </c:pt>
                <c:pt idx="71">
                  <c:v>達成</c:v>
                </c:pt>
                <c:pt idx="72">
                  <c:v>未達成（1）</c:v>
                </c:pt>
                <c:pt idx="73">
                  <c:v>達成</c:v>
                </c:pt>
                <c:pt idx="74">
                  <c:v>未達成（1）</c:v>
                </c:pt>
                <c:pt idx="75">
                  <c:v>前倒し（1）</c:v>
                </c:pt>
                <c:pt idx="76">
                  <c:v>未達成（1）</c:v>
                </c:pt>
                <c:pt idx="77">
                  <c:v>前倒し（1）</c:v>
                </c:pt>
                <c:pt idx="78">
                  <c:v>未達成（2）</c:v>
                </c:pt>
                <c:pt idx="79">
                  <c:v>達成</c:v>
                </c:pt>
                <c:pt idx="80">
                  <c:v>未達成（2）</c:v>
                </c:pt>
                <c:pt idx="81">
                  <c:v>未達成（1）</c:v>
                </c:pt>
                <c:pt idx="82">
                  <c:v>達成</c:v>
                </c:pt>
                <c:pt idx="83">
                  <c:v>未達成（2）</c:v>
                </c:pt>
                <c:pt idx="84">
                  <c:v>未達成（1）</c:v>
                </c:pt>
                <c:pt idx="85">
                  <c:v>前倒し（1）</c:v>
                </c:pt>
                <c:pt idx="86">
                  <c:v>未達成（1）</c:v>
                </c:pt>
                <c:pt idx="87">
                  <c:v>達成</c:v>
                </c:pt>
                <c:pt idx="88">
                  <c:v>未達成（1）</c:v>
                </c:pt>
                <c:pt idx="89">
                  <c:v>前倒し（1）</c:v>
                </c:pt>
                <c:pt idx="90">
                  <c:v>達成</c:v>
                </c:pt>
                <c:pt idx="91">
                  <c:v>未達成（2）</c:v>
                </c:pt>
                <c:pt idx="92">
                  <c:v>未達成（1）</c:v>
                </c:pt>
                <c:pt idx="93">
                  <c:v>前倒し（1）</c:v>
                </c:pt>
                <c:pt idx="94">
                  <c:v>未達成（1）</c:v>
                </c:pt>
                <c:pt idx="95">
                  <c:v>前倒し（1）</c:v>
                </c:pt>
                <c:pt idx="96">
                  <c:v>達成</c:v>
                </c:pt>
                <c:pt idx="97">
                  <c:v>未達成（3）</c:v>
                </c:pt>
                <c:pt idx="98">
                  <c:v>未達成（3）</c:v>
                </c:pt>
                <c:pt idx="99">
                  <c:v>未達成（2）</c:v>
                </c:pt>
                <c:pt idx="100">
                  <c:v>未達成（1）</c:v>
                </c:pt>
                <c:pt idx="101">
                  <c:v>達成</c:v>
                </c:pt>
                <c:pt idx="102">
                  <c:v>未達成（2）</c:v>
                </c:pt>
                <c:pt idx="103">
                  <c:v>未達成（1）</c:v>
                </c:pt>
                <c:pt idx="104">
                  <c:v>前倒し（1）</c:v>
                </c:pt>
                <c:pt idx="105">
                  <c:v>未達成（2）</c:v>
                </c:pt>
                <c:pt idx="106">
                  <c:v>達成</c:v>
                </c:pt>
                <c:pt idx="107">
                  <c:v>未達成（3）</c:v>
                </c:pt>
                <c:pt idx="108">
                  <c:v>未達成（1）</c:v>
                </c:pt>
                <c:pt idx="109">
                  <c:v>前倒し（1）</c:v>
                </c:pt>
                <c:pt idx="110">
                  <c:v>未達成（1）</c:v>
                </c:pt>
                <c:pt idx="111">
                  <c:v>達成</c:v>
                </c:pt>
                <c:pt idx="112">
                  <c:v>未達成（2）</c:v>
                </c:pt>
                <c:pt idx="113">
                  <c:v>未達成（1）</c:v>
                </c:pt>
                <c:pt idx="114">
                  <c:v>達成</c:v>
                </c:pt>
                <c:pt idx="115">
                  <c:v>未達成（3）</c:v>
                </c:pt>
                <c:pt idx="116">
                  <c:v>未達成（3）</c:v>
                </c:pt>
                <c:pt idx="117">
                  <c:v>未達成（2）</c:v>
                </c:pt>
                <c:pt idx="118">
                  <c:v>達成</c:v>
                </c:pt>
                <c:pt idx="119">
                  <c:v>未達成（3）</c:v>
                </c:pt>
                <c:pt idx="120">
                  <c:v>未達成（2）</c:v>
                </c:pt>
                <c:pt idx="121">
                  <c:v>未達成（2）</c:v>
                </c:pt>
                <c:pt idx="122">
                  <c:v>達成</c:v>
                </c:pt>
                <c:pt idx="123">
                  <c:v>未達成（3）</c:v>
                </c:pt>
                <c:pt idx="124">
                  <c:v>未達成（1）</c:v>
                </c:pt>
                <c:pt idx="125">
                  <c:v>達成</c:v>
                </c:pt>
                <c:pt idx="126">
                  <c:v>未達成（3）</c:v>
                </c:pt>
                <c:pt idx="127">
                  <c:v>未達成（1）</c:v>
                </c:pt>
                <c:pt idx="128">
                  <c:v>達成</c:v>
                </c:pt>
                <c:pt idx="129">
                  <c:v>未達成（2）</c:v>
                </c:pt>
                <c:pt idx="130">
                  <c:v>達成</c:v>
                </c:pt>
                <c:pt idx="131">
                  <c:v>未達成（3）</c:v>
                </c:pt>
                <c:pt idx="132">
                  <c:v>未達成（3）</c:v>
                </c:pt>
                <c:pt idx="133">
                  <c:v>未達成（2）</c:v>
                </c:pt>
                <c:pt idx="134">
                  <c:v>達成</c:v>
                </c:pt>
                <c:pt idx="135">
                  <c:v>未達成（2）</c:v>
                </c:pt>
                <c:pt idx="136">
                  <c:v>未達成（2）</c:v>
                </c:pt>
                <c:pt idx="137">
                  <c:v>達成</c:v>
                </c:pt>
                <c:pt idx="138">
                  <c:v>未達成（3）</c:v>
                </c:pt>
                <c:pt idx="139">
                  <c:v>未達成（1）</c:v>
                </c:pt>
                <c:pt idx="140">
                  <c:v>達成</c:v>
                </c:pt>
                <c:pt idx="141">
                  <c:v>未達成（3）</c:v>
                </c:pt>
                <c:pt idx="142">
                  <c:v>未達成（2）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データ!$A$3:$A$145</c:f>
              <c:numCache>
                <c:formatCode>m/d/yyyy\ h:mm</c:formatCode>
                <c:ptCount val="143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</c:numCache>
            </c:numRef>
          </c:xVal>
          <c:yVal>
            <c:numRef>
              <c:f>データ!$B$3:$B$145</c:f>
              <c:numCache>
                <c:formatCode>General</c:formatCode>
                <c:ptCount val="143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54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57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53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48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53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53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55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74-4DC3-9E1F-E482F752B6CA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3874-4DC3-9E1F-E482F752B6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359567"/>
        <c:axId val="55350927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データ!$A$3:$A$145</c:f>
              <c:numCache>
                <c:formatCode>m/d/yyyy\ h:mm</c:formatCode>
                <c:ptCount val="143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</c:numCache>
            </c:numRef>
          </c:xVal>
          <c:yVal>
            <c:numRef>
              <c:f>データ!$G$3:$G$145</c:f>
              <c:numCache>
                <c:formatCode>[h]:mm</c:formatCode>
                <c:ptCount val="143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  <c:pt idx="48">
                  <c:v>8.4027777775190771E-3</c:v>
                </c:pt>
                <c:pt idx="49">
                  <c:v>1.1284722218988463E-2</c:v>
                </c:pt>
                <c:pt idx="50">
                  <c:v>6.4004629675764591E-3</c:v>
                </c:pt>
                <c:pt idx="51">
                  <c:v>1.0150462956517003E-2</c:v>
                </c:pt>
                <c:pt idx="52">
                  <c:v>7.8125E-3</c:v>
                </c:pt>
                <c:pt idx="53">
                  <c:v>1.8877314818382729E-2</c:v>
                </c:pt>
                <c:pt idx="54">
                  <c:v>9.29398147854954E-3</c:v>
                </c:pt>
                <c:pt idx="55">
                  <c:v>9.7453703638166189E-3</c:v>
                </c:pt>
                <c:pt idx="56">
                  <c:v>1.0347222218115348E-2</c:v>
                </c:pt>
                <c:pt idx="57">
                  <c:v>7.2453703760402277E-3</c:v>
                </c:pt>
                <c:pt idx="58">
                  <c:v>8.3101851851097308E-3</c:v>
                </c:pt>
                <c:pt idx="59">
                  <c:v>8.5069444467080757E-3</c:v>
                </c:pt>
                <c:pt idx="60">
                  <c:v>1.0196759263635613E-2</c:v>
                </c:pt>
                <c:pt idx="61">
                  <c:v>5.7175925976480357E-3</c:v>
                </c:pt>
                <c:pt idx="62">
                  <c:v>6.701388891087845E-3</c:v>
                </c:pt>
                <c:pt idx="63">
                  <c:v>7.696759254031349E-3</c:v>
                </c:pt>
                <c:pt idx="64">
                  <c:v>6.6782407375285402E-3</c:v>
                </c:pt>
                <c:pt idx="65">
                  <c:v>1.0150462963792961E-2</c:v>
                </c:pt>
                <c:pt idx="66">
                  <c:v>1.7013888886140194E-2</c:v>
                </c:pt>
                <c:pt idx="67">
                  <c:v>1.0983796295477077E-2</c:v>
                </c:pt>
                <c:pt idx="68">
                  <c:v>7.9861111080390401E-3</c:v>
                </c:pt>
                <c:pt idx="69">
                  <c:v>7.6967592613073066E-3</c:v>
                </c:pt>
                <c:pt idx="70">
                  <c:v>7.7662037074333057E-3</c:v>
                </c:pt>
                <c:pt idx="71">
                  <c:v>9.814814809942618E-3</c:v>
                </c:pt>
                <c:pt idx="72">
                  <c:v>1.1226851849642117E-2</c:v>
                </c:pt>
                <c:pt idx="73">
                  <c:v>5.694444444088731E-3</c:v>
                </c:pt>
                <c:pt idx="74">
                  <c:v>5.5324074055533856E-3</c:v>
                </c:pt>
                <c:pt idx="75">
                  <c:v>1.0162037040572613E-2</c:v>
                </c:pt>
                <c:pt idx="76">
                  <c:v>6.168981475639157E-3</c:v>
                </c:pt>
                <c:pt idx="77">
                  <c:v>7.8703703693463467E-3</c:v>
                </c:pt>
                <c:pt idx="78">
                  <c:v>6.7476851836545393E-3</c:v>
                </c:pt>
                <c:pt idx="79">
                  <c:v>8.8773148163454607E-3</c:v>
                </c:pt>
                <c:pt idx="80">
                  <c:v>8.9930555550381541E-3</c:v>
                </c:pt>
                <c:pt idx="81">
                  <c:v>7.3263888916699216E-3</c:v>
                </c:pt>
                <c:pt idx="82">
                  <c:v>8.8888888931251131E-3</c:v>
                </c:pt>
                <c:pt idx="83">
                  <c:v>7.7777777842129581E-3</c:v>
                </c:pt>
                <c:pt idx="84">
                  <c:v>6.1226851830724627E-3</c:v>
                </c:pt>
                <c:pt idx="85">
                  <c:v>7.3842592537403107E-3</c:v>
                </c:pt>
                <c:pt idx="86">
                  <c:v>1.17013888884685E-2</c:v>
                </c:pt>
                <c:pt idx="87">
                  <c:v>5.7291666671517305E-3</c:v>
                </c:pt>
                <c:pt idx="88">
                  <c:v>6.4699074064265005E-3</c:v>
                </c:pt>
                <c:pt idx="89">
                  <c:v>6.805555553000886E-3</c:v>
                </c:pt>
                <c:pt idx="90">
                  <c:v>7.8935185229056515E-3</c:v>
                </c:pt>
                <c:pt idx="91">
                  <c:v>8.2407407389837317E-3</c:v>
                </c:pt>
                <c:pt idx="92">
                  <c:v>5.6134259284590371E-3</c:v>
                </c:pt>
                <c:pt idx="93">
                  <c:v>1.1423611111240461E-2</c:v>
                </c:pt>
                <c:pt idx="94">
                  <c:v>5.8101851827814244E-3</c:v>
                </c:pt>
                <c:pt idx="95">
                  <c:v>5.1157407433493063E-3</c:v>
                </c:pt>
                <c:pt idx="96">
                  <c:v>1.0185185186855961E-2</c:v>
                </c:pt>
                <c:pt idx="97">
                  <c:v>8.078703707724344E-3</c:v>
                </c:pt>
                <c:pt idx="98">
                  <c:v>9.6412037019035779E-3</c:v>
                </c:pt>
                <c:pt idx="99">
                  <c:v>7.0833333302289248E-3</c:v>
                </c:pt>
                <c:pt idx="100">
                  <c:v>1.2152777773735579E-2</c:v>
                </c:pt>
                <c:pt idx="101">
                  <c:v>6.655092591245193E-3</c:v>
                </c:pt>
                <c:pt idx="102">
                  <c:v>9.9074074096279219E-3</c:v>
                </c:pt>
                <c:pt idx="103">
                  <c:v>6.8981481526861899E-3</c:v>
                </c:pt>
                <c:pt idx="104">
                  <c:v>7.4884259302052669E-3</c:v>
                </c:pt>
                <c:pt idx="105">
                  <c:v>5.9953703676001169E-3</c:v>
                </c:pt>
                <c:pt idx="106">
                  <c:v>9.4097222172422335E-3</c:v>
                </c:pt>
                <c:pt idx="107">
                  <c:v>4.8379629661212675E-3</c:v>
                </c:pt>
                <c:pt idx="108">
                  <c:v>5.9259259214741178E-3</c:v>
                </c:pt>
                <c:pt idx="109">
                  <c:v>6.2962962983874604E-3</c:v>
                </c:pt>
                <c:pt idx="110">
                  <c:v>1.077546295709908E-2</c:v>
                </c:pt>
                <c:pt idx="111">
                  <c:v>6.3425925909541547E-3</c:v>
                </c:pt>
                <c:pt idx="112">
                  <c:v>8.819444446999114E-3</c:v>
                </c:pt>
                <c:pt idx="113">
                  <c:v>7.6504629614646547E-3</c:v>
                </c:pt>
                <c:pt idx="114">
                  <c:v>7.8472222230629995E-3</c:v>
                </c:pt>
                <c:pt idx="115">
                  <c:v>1.3935185183072463E-2</c:v>
                </c:pt>
                <c:pt idx="116">
                  <c:v>8.8425925932824612E-3</c:v>
                </c:pt>
                <c:pt idx="117">
                  <c:v>6.435185183363501E-3</c:v>
                </c:pt>
                <c:pt idx="118">
                  <c:v>7.8009259232203476E-3</c:v>
                </c:pt>
                <c:pt idx="119">
                  <c:v>8.3796296312357299E-3</c:v>
                </c:pt>
                <c:pt idx="120">
                  <c:v>9.5717592557775788E-3</c:v>
                </c:pt>
                <c:pt idx="121">
                  <c:v>6.5277777757728472E-3</c:v>
                </c:pt>
                <c:pt idx="122">
                  <c:v>1.0011574071540963E-2</c:v>
                </c:pt>
                <c:pt idx="123">
                  <c:v>6.7361111141508445E-3</c:v>
                </c:pt>
                <c:pt idx="124">
                  <c:v>8.4606481468654238E-3</c:v>
                </c:pt>
                <c:pt idx="125">
                  <c:v>8.0208333383779973E-3</c:v>
                </c:pt>
                <c:pt idx="126">
                  <c:v>5.9722222213167697E-3</c:v>
                </c:pt>
                <c:pt idx="127">
                  <c:v>9.0625000011641532E-3</c:v>
                </c:pt>
                <c:pt idx="128">
                  <c:v>6.5162036989931948E-3</c:v>
                </c:pt>
                <c:pt idx="129">
                  <c:v>6.8634259223472327E-3</c:v>
                </c:pt>
                <c:pt idx="130">
                  <c:v>7.6967592613073066E-3</c:v>
                </c:pt>
                <c:pt idx="131">
                  <c:v>8.599537039117422E-3</c:v>
                </c:pt>
                <c:pt idx="132">
                  <c:v>1.0312500002328306E-2</c:v>
                </c:pt>
                <c:pt idx="133">
                  <c:v>6.2731481448281556E-3</c:v>
                </c:pt>
                <c:pt idx="134">
                  <c:v>6.5624999988358468E-3</c:v>
                </c:pt>
                <c:pt idx="135">
                  <c:v>1.8229166664241347E-2</c:v>
                </c:pt>
                <c:pt idx="136">
                  <c:v>6.0532407369464636E-3</c:v>
                </c:pt>
                <c:pt idx="137">
                  <c:v>9.6527777786832303E-3</c:v>
                </c:pt>
                <c:pt idx="138">
                  <c:v>6.0069444443797693E-3</c:v>
                </c:pt>
                <c:pt idx="139">
                  <c:v>7.3379629611736163E-3</c:v>
                </c:pt>
                <c:pt idx="140">
                  <c:v>7.2337962919846177E-3</c:v>
                </c:pt>
                <c:pt idx="141">
                  <c:v>7.0601851839455776E-3</c:v>
                </c:pt>
                <c:pt idx="142">
                  <c:v>4.8379629661212675E-3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874-4DC3-9E1F-E482F752B6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348047"/>
        <c:axId val="55374927"/>
      </c:scatterChart>
      <c:valAx>
        <c:axId val="553595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350927"/>
        <c:crosses val="autoZero"/>
        <c:crossBetween val="midCat"/>
      </c:valAx>
      <c:valAx>
        <c:axId val="55350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359567"/>
        <c:crosses val="autoZero"/>
        <c:crossBetween val="midCat"/>
      </c:valAx>
      <c:valAx>
        <c:axId val="55374927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348047"/>
        <c:crosses val="max"/>
        <c:crossBetween val="midCat"/>
      </c:valAx>
      <c:valAx>
        <c:axId val="55348047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374927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CheckBox" checked="Checked" fmlaLink="セルを黄色" lockText="1" noThreeD="1"/>
</file>

<file path=xl/ctrlProps/ctrlProp16.xml><?xml version="1.0" encoding="utf-8"?>
<formControlPr xmlns="http://schemas.microsoft.com/office/spreadsheetml/2009/9/main" objectType="CheckBox" checked="Checked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4763</xdr:rowOff>
        </xdr:from>
        <xdr:to>
          <xdr:col>17</xdr:col>
          <xdr:colOff>676275</xdr:colOff>
          <xdr:row>1</xdr:row>
          <xdr:rowOff>0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</xdr:row>
          <xdr:rowOff>4763</xdr:rowOff>
        </xdr:from>
        <xdr:to>
          <xdr:col>17</xdr:col>
          <xdr:colOff>676275</xdr:colOff>
          <xdr:row>3</xdr:row>
          <xdr:rowOff>0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</xdr:row>
          <xdr:rowOff>4763</xdr:rowOff>
        </xdr:from>
        <xdr:to>
          <xdr:col>20</xdr:col>
          <xdr:colOff>676275</xdr:colOff>
          <xdr:row>3</xdr:row>
          <xdr:rowOff>0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</xdr:row>
          <xdr:rowOff>4763</xdr:rowOff>
        </xdr:from>
        <xdr:to>
          <xdr:col>17</xdr:col>
          <xdr:colOff>676275</xdr:colOff>
          <xdr:row>4</xdr:row>
          <xdr:rowOff>0</xdr:rowOff>
        </xdr:to>
        <xdr:sp macro="" textlink="">
          <xdr:nvSpPr>
            <xdr:cNvPr id="1063" name="PauseQues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中断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211931</xdr:colOff>
      <xdr:row>3</xdr:row>
      <xdr:rowOff>178593</xdr:rowOff>
    </xdr:from>
    <xdr:to>
      <xdr:col>7</xdr:col>
      <xdr:colOff>211931</xdr:colOff>
      <xdr:row>4</xdr:row>
      <xdr:rowOff>178594</xdr:rowOff>
    </xdr:to>
    <xdr:cxnSp macro="">
      <xdr:nvCxnSpPr>
        <xdr:cNvPr id="1190" name="Match0">
          <a:extLst>
            <a:ext uri="{FF2B5EF4-FFF2-40B4-BE49-F238E27FC236}">
              <a16:creationId xmlns:a16="http://schemas.microsoft.com/office/drawing/2014/main" id="{A90282F5-31EE-9C3D-0319-71CD264BDE2C}"/>
            </a:ext>
          </a:extLst>
        </xdr:cNvPr>
        <xdr:cNvCxnSpPr/>
      </xdr:nvCxnSpPr>
      <xdr:spPr>
        <a:xfrm flipH="1">
          <a:off x="2755106" y="125015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4</xdr:row>
      <xdr:rowOff>178594</xdr:rowOff>
    </xdr:from>
    <xdr:to>
      <xdr:col>6</xdr:col>
      <xdr:colOff>211931</xdr:colOff>
      <xdr:row>5</xdr:row>
      <xdr:rowOff>178593</xdr:rowOff>
    </xdr:to>
    <xdr:cxnSp macro="">
      <xdr:nvCxnSpPr>
        <xdr:cNvPr id="1191" name="Match1">
          <a:extLst>
            <a:ext uri="{FF2B5EF4-FFF2-40B4-BE49-F238E27FC236}">
              <a16:creationId xmlns:a16="http://schemas.microsoft.com/office/drawing/2014/main" id="{3FA0E0D4-C8FA-2051-6731-07E379A0C282}"/>
            </a:ext>
          </a:extLst>
        </xdr:cNvPr>
        <xdr:cNvCxnSpPr/>
      </xdr:nvCxnSpPr>
      <xdr:spPr>
        <a:xfrm>
          <a:off x="2755106" y="160734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3</xdr:row>
      <xdr:rowOff>203993</xdr:rowOff>
    </xdr:from>
    <xdr:to>
      <xdr:col>7</xdr:col>
      <xdr:colOff>237331</xdr:colOff>
      <xdr:row>4</xdr:row>
      <xdr:rowOff>203994</xdr:rowOff>
    </xdr:to>
    <xdr:cxnSp macro="">
      <xdr:nvCxnSpPr>
        <xdr:cNvPr id="1192" name="Match2">
          <a:extLst>
            <a:ext uri="{FF2B5EF4-FFF2-40B4-BE49-F238E27FC236}">
              <a16:creationId xmlns:a16="http://schemas.microsoft.com/office/drawing/2014/main" id="{F7AE9A53-56C1-343C-6F3D-B74B540CFCA8}"/>
            </a:ext>
          </a:extLst>
        </xdr:cNvPr>
        <xdr:cNvCxnSpPr/>
      </xdr:nvCxnSpPr>
      <xdr:spPr>
        <a:xfrm flipV="1">
          <a:off x="2780506" y="1275556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4</xdr:row>
      <xdr:rowOff>178594</xdr:rowOff>
    </xdr:from>
    <xdr:to>
      <xdr:col>6</xdr:col>
      <xdr:colOff>211931</xdr:colOff>
      <xdr:row>5</xdr:row>
      <xdr:rowOff>178593</xdr:rowOff>
    </xdr:to>
    <xdr:cxnSp macro="">
      <xdr:nvCxnSpPr>
        <xdr:cNvPr id="1193" name="Match3">
          <a:extLst>
            <a:ext uri="{FF2B5EF4-FFF2-40B4-BE49-F238E27FC236}">
              <a16:creationId xmlns:a16="http://schemas.microsoft.com/office/drawing/2014/main" id="{17F04701-A04E-3C81-BA13-F3FCEB2510B1}"/>
            </a:ext>
          </a:extLst>
        </xdr:cNvPr>
        <xdr:cNvCxnSpPr/>
      </xdr:nvCxnSpPr>
      <xdr:spPr>
        <a:xfrm flipV="1">
          <a:off x="2755106" y="160734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9</xdr:row>
      <xdr:rowOff>178593</xdr:rowOff>
    </xdr:from>
    <xdr:to>
      <xdr:col>2</xdr:col>
      <xdr:colOff>211931</xdr:colOff>
      <xdr:row>10</xdr:row>
      <xdr:rowOff>178594</xdr:rowOff>
    </xdr:to>
    <xdr:cxnSp macro="">
      <xdr:nvCxnSpPr>
        <xdr:cNvPr id="1194" name="Match4">
          <a:extLst>
            <a:ext uri="{FF2B5EF4-FFF2-40B4-BE49-F238E27FC236}">
              <a16:creationId xmlns:a16="http://schemas.microsoft.com/office/drawing/2014/main" id="{C05BF4A5-F35A-D186-7BC7-36F468EFDF60}"/>
            </a:ext>
          </a:extLst>
        </xdr:cNvPr>
        <xdr:cNvCxnSpPr/>
      </xdr:nvCxnSpPr>
      <xdr:spPr>
        <a:xfrm flipH="1">
          <a:off x="635794" y="339328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9</xdr:row>
      <xdr:rowOff>178593</xdr:rowOff>
    </xdr:from>
    <xdr:to>
      <xdr:col>2</xdr:col>
      <xdr:colOff>211931</xdr:colOff>
      <xdr:row>10</xdr:row>
      <xdr:rowOff>178594</xdr:rowOff>
    </xdr:to>
    <xdr:cxnSp macro="">
      <xdr:nvCxnSpPr>
        <xdr:cNvPr id="1195" name="Match5">
          <a:extLst>
            <a:ext uri="{FF2B5EF4-FFF2-40B4-BE49-F238E27FC236}">
              <a16:creationId xmlns:a16="http://schemas.microsoft.com/office/drawing/2014/main" id="{05E2F4D7-426D-6CB8-8F7C-E9F5FBFEAC48}"/>
            </a:ext>
          </a:extLst>
        </xdr:cNvPr>
        <xdr:cNvCxnSpPr/>
      </xdr:nvCxnSpPr>
      <xdr:spPr>
        <a:xfrm flipV="1">
          <a:off x="635794" y="339328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2</xdr:row>
      <xdr:rowOff>178594</xdr:rowOff>
    </xdr:from>
    <xdr:to>
      <xdr:col>4</xdr:col>
      <xdr:colOff>211931</xdr:colOff>
      <xdr:row>3</xdr:row>
      <xdr:rowOff>178593</xdr:rowOff>
    </xdr:to>
    <xdr:cxnSp macro="">
      <xdr:nvCxnSpPr>
        <xdr:cNvPr id="1196" name="Match6">
          <a:extLst>
            <a:ext uri="{FF2B5EF4-FFF2-40B4-BE49-F238E27FC236}">
              <a16:creationId xmlns:a16="http://schemas.microsoft.com/office/drawing/2014/main" id="{D7733AD6-6278-9DCB-56E0-C224C16DACE4}"/>
            </a:ext>
          </a:extLst>
        </xdr:cNvPr>
        <xdr:cNvCxnSpPr/>
      </xdr:nvCxnSpPr>
      <xdr:spPr>
        <a:xfrm>
          <a:off x="1483519" y="8929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2</xdr:row>
      <xdr:rowOff>178594</xdr:rowOff>
    </xdr:from>
    <xdr:to>
      <xdr:col>7</xdr:col>
      <xdr:colOff>211931</xdr:colOff>
      <xdr:row>3</xdr:row>
      <xdr:rowOff>178593</xdr:rowOff>
    </xdr:to>
    <xdr:cxnSp macro="">
      <xdr:nvCxnSpPr>
        <xdr:cNvPr id="1197" name="Match7">
          <a:extLst>
            <a:ext uri="{FF2B5EF4-FFF2-40B4-BE49-F238E27FC236}">
              <a16:creationId xmlns:a16="http://schemas.microsoft.com/office/drawing/2014/main" id="{2EC37361-6D76-4558-F825-94E4F89301E0}"/>
            </a:ext>
          </a:extLst>
        </xdr:cNvPr>
        <xdr:cNvCxnSpPr/>
      </xdr:nvCxnSpPr>
      <xdr:spPr>
        <a:xfrm flipH="1">
          <a:off x="2755106" y="8929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2</xdr:row>
      <xdr:rowOff>178594</xdr:rowOff>
    </xdr:from>
    <xdr:to>
      <xdr:col>11</xdr:col>
      <xdr:colOff>211931</xdr:colOff>
      <xdr:row>2</xdr:row>
      <xdr:rowOff>178594</xdr:rowOff>
    </xdr:to>
    <xdr:cxnSp macro="">
      <xdr:nvCxnSpPr>
        <xdr:cNvPr id="1198" name="Match8">
          <a:extLst>
            <a:ext uri="{FF2B5EF4-FFF2-40B4-BE49-F238E27FC236}">
              <a16:creationId xmlns:a16="http://schemas.microsoft.com/office/drawing/2014/main" id="{8C85E0AC-683F-6473-22BC-58C03B96F06D}"/>
            </a:ext>
          </a:extLst>
        </xdr:cNvPr>
        <xdr:cNvCxnSpPr/>
      </xdr:nvCxnSpPr>
      <xdr:spPr>
        <a:xfrm flipH="1">
          <a:off x="4450556" y="89296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3</xdr:row>
      <xdr:rowOff>178593</xdr:rowOff>
    </xdr:from>
    <xdr:to>
      <xdr:col>5</xdr:col>
      <xdr:colOff>211931</xdr:colOff>
      <xdr:row>4</xdr:row>
      <xdr:rowOff>178594</xdr:rowOff>
    </xdr:to>
    <xdr:cxnSp macro="">
      <xdr:nvCxnSpPr>
        <xdr:cNvPr id="1199" name="Match9">
          <a:extLst>
            <a:ext uri="{FF2B5EF4-FFF2-40B4-BE49-F238E27FC236}">
              <a16:creationId xmlns:a16="http://schemas.microsoft.com/office/drawing/2014/main" id="{DF2E07A6-03AF-4799-EC0E-FD09FE15C008}"/>
            </a:ext>
          </a:extLst>
        </xdr:cNvPr>
        <xdr:cNvCxnSpPr/>
      </xdr:nvCxnSpPr>
      <xdr:spPr>
        <a:xfrm flipH="1" flipV="1">
          <a:off x="1907381" y="125015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3</xdr:row>
      <xdr:rowOff>203993</xdr:rowOff>
    </xdr:from>
    <xdr:to>
      <xdr:col>5</xdr:col>
      <xdr:colOff>237331</xdr:colOff>
      <xdr:row>4</xdr:row>
      <xdr:rowOff>203994</xdr:rowOff>
    </xdr:to>
    <xdr:cxnSp macro="">
      <xdr:nvCxnSpPr>
        <xdr:cNvPr id="1200" name="Match10">
          <a:extLst>
            <a:ext uri="{FF2B5EF4-FFF2-40B4-BE49-F238E27FC236}">
              <a16:creationId xmlns:a16="http://schemas.microsoft.com/office/drawing/2014/main" id="{C66D49A2-07A5-AE98-C315-6B7BA951A809}"/>
            </a:ext>
          </a:extLst>
        </xdr:cNvPr>
        <xdr:cNvCxnSpPr/>
      </xdr:nvCxnSpPr>
      <xdr:spPr>
        <a:xfrm flipV="1">
          <a:off x="2356644" y="1275556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262731</xdr:colOff>
      <xdr:row>3</xdr:row>
      <xdr:rowOff>229393</xdr:rowOff>
    </xdr:from>
    <xdr:to>
      <xdr:col>6</xdr:col>
      <xdr:colOff>262731</xdr:colOff>
      <xdr:row>4</xdr:row>
      <xdr:rowOff>229394</xdr:rowOff>
    </xdr:to>
    <xdr:cxnSp macro="">
      <xdr:nvCxnSpPr>
        <xdr:cNvPr id="1201" name="Match11">
          <a:extLst>
            <a:ext uri="{FF2B5EF4-FFF2-40B4-BE49-F238E27FC236}">
              <a16:creationId xmlns:a16="http://schemas.microsoft.com/office/drawing/2014/main" id="{DF756A09-444C-80A0-F3E7-1C87C3C129B0}"/>
            </a:ext>
          </a:extLst>
        </xdr:cNvPr>
        <xdr:cNvCxnSpPr/>
      </xdr:nvCxnSpPr>
      <xdr:spPr>
        <a:xfrm flipV="1">
          <a:off x="2382044" y="1300956"/>
          <a:ext cx="423862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6</xdr:row>
      <xdr:rowOff>178594</xdr:rowOff>
    </xdr:from>
    <xdr:to>
      <xdr:col>1</xdr:col>
      <xdr:colOff>211931</xdr:colOff>
      <xdr:row>7</xdr:row>
      <xdr:rowOff>178593</xdr:rowOff>
    </xdr:to>
    <xdr:cxnSp macro="">
      <xdr:nvCxnSpPr>
        <xdr:cNvPr id="1202" name="Match12">
          <a:extLst>
            <a:ext uri="{FF2B5EF4-FFF2-40B4-BE49-F238E27FC236}">
              <a16:creationId xmlns:a16="http://schemas.microsoft.com/office/drawing/2014/main" id="{6AFE9B9E-F442-2BB0-35C0-CF0704BBCE61}"/>
            </a:ext>
          </a:extLst>
        </xdr:cNvPr>
        <xdr:cNvCxnSpPr/>
      </xdr:nvCxnSpPr>
      <xdr:spPr>
        <a:xfrm flipH="1">
          <a:off x="211931" y="232171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6</xdr:row>
      <xdr:rowOff>178594</xdr:rowOff>
    </xdr:from>
    <xdr:to>
      <xdr:col>4</xdr:col>
      <xdr:colOff>211931</xdr:colOff>
      <xdr:row>7</xdr:row>
      <xdr:rowOff>178593</xdr:rowOff>
    </xdr:to>
    <xdr:cxnSp macro="">
      <xdr:nvCxnSpPr>
        <xdr:cNvPr id="1203" name="Match13">
          <a:extLst>
            <a:ext uri="{FF2B5EF4-FFF2-40B4-BE49-F238E27FC236}">
              <a16:creationId xmlns:a16="http://schemas.microsoft.com/office/drawing/2014/main" id="{36EFAAF0-0DF6-91B2-DD53-A651DF776E70}"/>
            </a:ext>
          </a:extLst>
        </xdr:cNvPr>
        <xdr:cNvCxnSpPr/>
      </xdr:nvCxnSpPr>
      <xdr:spPr>
        <a:xfrm>
          <a:off x="1907381" y="232171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7</xdr:row>
      <xdr:rowOff>178593</xdr:rowOff>
    </xdr:from>
    <xdr:to>
      <xdr:col>4</xdr:col>
      <xdr:colOff>211931</xdr:colOff>
      <xdr:row>7</xdr:row>
      <xdr:rowOff>178593</xdr:rowOff>
    </xdr:to>
    <xdr:cxnSp macro="">
      <xdr:nvCxnSpPr>
        <xdr:cNvPr id="1204" name="Match14">
          <a:extLst>
            <a:ext uri="{FF2B5EF4-FFF2-40B4-BE49-F238E27FC236}">
              <a16:creationId xmlns:a16="http://schemas.microsoft.com/office/drawing/2014/main" id="{A7D6751D-E09B-55DA-36E6-F87158B36373}"/>
            </a:ext>
          </a:extLst>
        </xdr:cNvPr>
        <xdr:cNvCxnSpPr/>
      </xdr:nvCxnSpPr>
      <xdr:spPr>
        <a:xfrm>
          <a:off x="1483519" y="2678906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7</xdr:row>
      <xdr:rowOff>203993</xdr:rowOff>
    </xdr:from>
    <xdr:to>
      <xdr:col>4</xdr:col>
      <xdr:colOff>237331</xdr:colOff>
      <xdr:row>8</xdr:row>
      <xdr:rowOff>203994</xdr:rowOff>
    </xdr:to>
    <xdr:cxnSp macro="">
      <xdr:nvCxnSpPr>
        <xdr:cNvPr id="1205" name="Match15">
          <a:extLst>
            <a:ext uri="{FF2B5EF4-FFF2-40B4-BE49-F238E27FC236}">
              <a16:creationId xmlns:a16="http://schemas.microsoft.com/office/drawing/2014/main" id="{8D7A8A7B-E6FB-5E44-3795-4AC8107CC880}"/>
            </a:ext>
          </a:extLst>
        </xdr:cNvPr>
        <xdr:cNvCxnSpPr/>
      </xdr:nvCxnSpPr>
      <xdr:spPr>
        <a:xfrm>
          <a:off x="1508919" y="2704306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7</xdr:row>
      <xdr:rowOff>178593</xdr:rowOff>
    </xdr:from>
    <xdr:to>
      <xdr:col>10</xdr:col>
      <xdr:colOff>211931</xdr:colOff>
      <xdr:row>7</xdr:row>
      <xdr:rowOff>178593</xdr:rowOff>
    </xdr:to>
    <xdr:cxnSp macro="">
      <xdr:nvCxnSpPr>
        <xdr:cNvPr id="1206" name="Match16">
          <a:extLst>
            <a:ext uri="{FF2B5EF4-FFF2-40B4-BE49-F238E27FC236}">
              <a16:creationId xmlns:a16="http://schemas.microsoft.com/office/drawing/2014/main" id="{74EC6F27-9923-56DC-9A18-D95698D48B88}"/>
            </a:ext>
          </a:extLst>
        </xdr:cNvPr>
        <xdr:cNvCxnSpPr/>
      </xdr:nvCxnSpPr>
      <xdr:spPr>
        <a:xfrm>
          <a:off x="4026694" y="2678906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9</xdr:row>
      <xdr:rowOff>178593</xdr:rowOff>
    </xdr:from>
    <xdr:to>
      <xdr:col>3</xdr:col>
      <xdr:colOff>211931</xdr:colOff>
      <xdr:row>10</xdr:row>
      <xdr:rowOff>178594</xdr:rowOff>
    </xdr:to>
    <xdr:cxnSp macro="">
      <xdr:nvCxnSpPr>
        <xdr:cNvPr id="1207" name="Match17">
          <a:extLst>
            <a:ext uri="{FF2B5EF4-FFF2-40B4-BE49-F238E27FC236}">
              <a16:creationId xmlns:a16="http://schemas.microsoft.com/office/drawing/2014/main" id="{64DA0405-18CC-32B5-8821-A749BA82734B}"/>
            </a:ext>
          </a:extLst>
        </xdr:cNvPr>
        <xdr:cNvCxnSpPr/>
      </xdr:nvCxnSpPr>
      <xdr:spPr>
        <a:xfrm>
          <a:off x="1483519" y="33932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8</xdr:row>
      <xdr:rowOff>203994</xdr:rowOff>
    </xdr:from>
    <xdr:to>
      <xdr:col>4</xdr:col>
      <xdr:colOff>237331</xdr:colOff>
      <xdr:row>9</xdr:row>
      <xdr:rowOff>203993</xdr:rowOff>
    </xdr:to>
    <xdr:cxnSp macro="">
      <xdr:nvCxnSpPr>
        <xdr:cNvPr id="1208" name="Match18">
          <a:extLst>
            <a:ext uri="{FF2B5EF4-FFF2-40B4-BE49-F238E27FC236}">
              <a16:creationId xmlns:a16="http://schemas.microsoft.com/office/drawing/2014/main" id="{D2AB083E-E699-9070-8739-41AE9EF70D54}"/>
            </a:ext>
          </a:extLst>
        </xdr:cNvPr>
        <xdr:cNvCxnSpPr/>
      </xdr:nvCxnSpPr>
      <xdr:spPr>
        <a:xfrm flipV="1">
          <a:off x="1508919" y="3061494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9</xdr:row>
      <xdr:rowOff>178593</xdr:rowOff>
    </xdr:from>
    <xdr:to>
      <xdr:col>6</xdr:col>
      <xdr:colOff>211931</xdr:colOff>
      <xdr:row>10</xdr:row>
      <xdr:rowOff>178594</xdr:rowOff>
    </xdr:to>
    <xdr:cxnSp macro="">
      <xdr:nvCxnSpPr>
        <xdr:cNvPr id="1209" name="Match19">
          <a:extLst>
            <a:ext uri="{FF2B5EF4-FFF2-40B4-BE49-F238E27FC236}">
              <a16:creationId xmlns:a16="http://schemas.microsoft.com/office/drawing/2014/main" id="{0E4B7B87-558B-882B-3925-DB3CF9CE009B}"/>
            </a:ext>
          </a:extLst>
        </xdr:cNvPr>
        <xdr:cNvCxnSpPr/>
      </xdr:nvCxnSpPr>
      <xdr:spPr>
        <a:xfrm>
          <a:off x="2331244" y="339328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8</xdr:row>
      <xdr:rowOff>203994</xdr:rowOff>
    </xdr:from>
    <xdr:to>
      <xdr:col>5</xdr:col>
      <xdr:colOff>237331</xdr:colOff>
      <xdr:row>9</xdr:row>
      <xdr:rowOff>203993</xdr:rowOff>
    </xdr:to>
    <xdr:cxnSp macro="">
      <xdr:nvCxnSpPr>
        <xdr:cNvPr id="1210" name="Match20">
          <a:extLst>
            <a:ext uri="{FF2B5EF4-FFF2-40B4-BE49-F238E27FC236}">
              <a16:creationId xmlns:a16="http://schemas.microsoft.com/office/drawing/2014/main" id="{E2FC2A12-63D6-B1CC-7036-ECE92C6DF145}"/>
            </a:ext>
          </a:extLst>
        </xdr:cNvPr>
        <xdr:cNvCxnSpPr/>
      </xdr:nvCxnSpPr>
      <xdr:spPr>
        <a:xfrm flipH="1" flipV="1">
          <a:off x="1932781" y="3061494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10</xdr:row>
      <xdr:rowOff>178594</xdr:rowOff>
    </xdr:from>
    <xdr:to>
      <xdr:col>6</xdr:col>
      <xdr:colOff>211931</xdr:colOff>
      <xdr:row>10</xdr:row>
      <xdr:rowOff>178594</xdr:rowOff>
    </xdr:to>
    <xdr:cxnSp macro="">
      <xdr:nvCxnSpPr>
        <xdr:cNvPr id="1211" name="Match21">
          <a:extLst>
            <a:ext uri="{FF2B5EF4-FFF2-40B4-BE49-F238E27FC236}">
              <a16:creationId xmlns:a16="http://schemas.microsoft.com/office/drawing/2014/main" id="{4CAD40C3-E9B5-3C83-ED00-DC8F9944A7C2}"/>
            </a:ext>
          </a:extLst>
        </xdr:cNvPr>
        <xdr:cNvCxnSpPr/>
      </xdr:nvCxnSpPr>
      <xdr:spPr>
        <a:xfrm>
          <a:off x="2331244" y="3750469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0</xdr:row>
      <xdr:rowOff>178594</xdr:rowOff>
    </xdr:from>
    <xdr:to>
      <xdr:col>6</xdr:col>
      <xdr:colOff>211931</xdr:colOff>
      <xdr:row>1</xdr:row>
      <xdr:rowOff>178593</xdr:rowOff>
    </xdr:to>
    <xdr:cxnSp macro="">
      <xdr:nvCxnSpPr>
        <xdr:cNvPr id="1212" name="Match22">
          <a:extLst>
            <a:ext uri="{FF2B5EF4-FFF2-40B4-BE49-F238E27FC236}">
              <a16:creationId xmlns:a16="http://schemas.microsoft.com/office/drawing/2014/main" id="{7DB30950-F399-07C1-0CD5-B7B736C5C4D2}"/>
            </a:ext>
          </a:extLst>
        </xdr:cNvPr>
        <xdr:cNvCxnSpPr/>
      </xdr:nvCxnSpPr>
      <xdr:spPr>
        <a:xfrm>
          <a:off x="2755106" y="1785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1</xdr:row>
      <xdr:rowOff>178593</xdr:rowOff>
    </xdr:from>
    <xdr:to>
      <xdr:col>6</xdr:col>
      <xdr:colOff>211931</xdr:colOff>
      <xdr:row>2</xdr:row>
      <xdr:rowOff>178594</xdr:rowOff>
    </xdr:to>
    <xdr:cxnSp macro="">
      <xdr:nvCxnSpPr>
        <xdr:cNvPr id="1213" name="Match23">
          <a:extLst>
            <a:ext uri="{FF2B5EF4-FFF2-40B4-BE49-F238E27FC236}">
              <a16:creationId xmlns:a16="http://schemas.microsoft.com/office/drawing/2014/main" id="{5ED3F8C7-6D8A-6B09-8349-4206C5EDC809}"/>
            </a:ext>
          </a:extLst>
        </xdr:cNvPr>
        <xdr:cNvCxnSpPr/>
      </xdr:nvCxnSpPr>
      <xdr:spPr>
        <a:xfrm>
          <a:off x="2755106" y="5357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0</xdr:row>
      <xdr:rowOff>203994</xdr:rowOff>
    </xdr:from>
    <xdr:to>
      <xdr:col>6</xdr:col>
      <xdr:colOff>237331</xdr:colOff>
      <xdr:row>1</xdr:row>
      <xdr:rowOff>203993</xdr:rowOff>
    </xdr:to>
    <xdr:cxnSp macro="">
      <xdr:nvCxnSpPr>
        <xdr:cNvPr id="1214" name="Match24">
          <a:extLst>
            <a:ext uri="{FF2B5EF4-FFF2-40B4-BE49-F238E27FC236}">
              <a16:creationId xmlns:a16="http://schemas.microsoft.com/office/drawing/2014/main" id="{797BBE35-8455-8B87-B490-C35F7A0F359E}"/>
            </a:ext>
          </a:extLst>
        </xdr:cNvPr>
        <xdr:cNvCxnSpPr/>
      </xdr:nvCxnSpPr>
      <xdr:spPr>
        <a:xfrm flipV="1">
          <a:off x="2780506" y="20399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1</xdr:row>
      <xdr:rowOff>178593</xdr:rowOff>
    </xdr:from>
    <xdr:to>
      <xdr:col>6</xdr:col>
      <xdr:colOff>211931</xdr:colOff>
      <xdr:row>2</xdr:row>
      <xdr:rowOff>178594</xdr:rowOff>
    </xdr:to>
    <xdr:cxnSp macro="">
      <xdr:nvCxnSpPr>
        <xdr:cNvPr id="1215" name="Match25">
          <a:extLst>
            <a:ext uri="{FF2B5EF4-FFF2-40B4-BE49-F238E27FC236}">
              <a16:creationId xmlns:a16="http://schemas.microsoft.com/office/drawing/2014/main" id="{11C0109D-DE99-7DFA-ABB0-4703C08AEA26}"/>
            </a:ext>
          </a:extLst>
        </xdr:cNvPr>
        <xdr:cNvCxnSpPr/>
      </xdr:nvCxnSpPr>
      <xdr:spPr>
        <a:xfrm flipV="1">
          <a:off x="2755106" y="5357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4</xdr:row>
      <xdr:rowOff>178594</xdr:rowOff>
    </xdr:from>
    <xdr:to>
      <xdr:col>3</xdr:col>
      <xdr:colOff>211931</xdr:colOff>
      <xdr:row>5</xdr:row>
      <xdr:rowOff>178593</xdr:rowOff>
    </xdr:to>
    <xdr:cxnSp macro="">
      <xdr:nvCxnSpPr>
        <xdr:cNvPr id="1216" name="Match26">
          <a:extLst>
            <a:ext uri="{FF2B5EF4-FFF2-40B4-BE49-F238E27FC236}">
              <a16:creationId xmlns:a16="http://schemas.microsoft.com/office/drawing/2014/main" id="{0C1BB8A5-A2D4-828A-8C31-4DD81B664AF0}"/>
            </a:ext>
          </a:extLst>
        </xdr:cNvPr>
        <xdr:cNvCxnSpPr/>
      </xdr:nvCxnSpPr>
      <xdr:spPr>
        <a:xfrm>
          <a:off x="1483519" y="160734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4</xdr:row>
      <xdr:rowOff>203994</xdr:rowOff>
    </xdr:from>
    <xdr:to>
      <xdr:col>3</xdr:col>
      <xdr:colOff>237331</xdr:colOff>
      <xdr:row>5</xdr:row>
      <xdr:rowOff>203993</xdr:rowOff>
    </xdr:to>
    <xdr:cxnSp macro="">
      <xdr:nvCxnSpPr>
        <xdr:cNvPr id="1217" name="Match27">
          <a:extLst>
            <a:ext uri="{FF2B5EF4-FFF2-40B4-BE49-F238E27FC236}">
              <a16:creationId xmlns:a16="http://schemas.microsoft.com/office/drawing/2014/main" id="{30BF8CDB-F354-43C5-F934-62840F11B368}"/>
            </a:ext>
          </a:extLst>
        </xdr:cNvPr>
        <xdr:cNvCxnSpPr/>
      </xdr:nvCxnSpPr>
      <xdr:spPr>
        <a:xfrm flipH="1">
          <a:off x="1085056" y="1632744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5</xdr:row>
      <xdr:rowOff>178593</xdr:rowOff>
    </xdr:from>
    <xdr:to>
      <xdr:col>3</xdr:col>
      <xdr:colOff>211931</xdr:colOff>
      <xdr:row>5</xdr:row>
      <xdr:rowOff>178593</xdr:rowOff>
    </xdr:to>
    <xdr:cxnSp macro="">
      <xdr:nvCxnSpPr>
        <xdr:cNvPr id="1218" name="Match28">
          <a:extLst>
            <a:ext uri="{FF2B5EF4-FFF2-40B4-BE49-F238E27FC236}">
              <a16:creationId xmlns:a16="http://schemas.microsoft.com/office/drawing/2014/main" id="{53098408-E12F-2C10-60F6-03AE725B635E}"/>
            </a:ext>
          </a:extLst>
        </xdr:cNvPr>
        <xdr:cNvCxnSpPr/>
      </xdr:nvCxnSpPr>
      <xdr:spPr>
        <a:xfrm>
          <a:off x="1059656" y="196453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4</xdr:row>
      <xdr:rowOff>203994</xdr:rowOff>
    </xdr:from>
    <xdr:to>
      <xdr:col>3</xdr:col>
      <xdr:colOff>237331</xdr:colOff>
      <xdr:row>5</xdr:row>
      <xdr:rowOff>203993</xdr:rowOff>
    </xdr:to>
    <xdr:cxnSp macro="">
      <xdr:nvCxnSpPr>
        <xdr:cNvPr id="1219" name="Match29">
          <a:extLst>
            <a:ext uri="{FF2B5EF4-FFF2-40B4-BE49-F238E27FC236}">
              <a16:creationId xmlns:a16="http://schemas.microsoft.com/office/drawing/2014/main" id="{843E23E0-D950-45B3-5DC7-7510B70F0A87}"/>
            </a:ext>
          </a:extLst>
        </xdr:cNvPr>
        <xdr:cNvCxnSpPr/>
      </xdr:nvCxnSpPr>
      <xdr:spPr>
        <a:xfrm flipV="1">
          <a:off x="1085056" y="1632744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5</xdr:row>
      <xdr:rowOff>178593</xdr:rowOff>
    </xdr:from>
    <xdr:to>
      <xdr:col>3</xdr:col>
      <xdr:colOff>211931</xdr:colOff>
      <xdr:row>5</xdr:row>
      <xdr:rowOff>178593</xdr:rowOff>
    </xdr:to>
    <xdr:cxnSp macro="">
      <xdr:nvCxnSpPr>
        <xdr:cNvPr id="1220" name="Match30">
          <a:extLst>
            <a:ext uri="{FF2B5EF4-FFF2-40B4-BE49-F238E27FC236}">
              <a16:creationId xmlns:a16="http://schemas.microsoft.com/office/drawing/2014/main" id="{02339DD1-BDEA-0CF7-0C7A-587752054D90}"/>
            </a:ext>
          </a:extLst>
        </xdr:cNvPr>
        <xdr:cNvCxnSpPr/>
      </xdr:nvCxnSpPr>
      <xdr:spPr>
        <a:xfrm flipH="1">
          <a:off x="1059656" y="196453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4</xdr:row>
      <xdr:rowOff>203994</xdr:rowOff>
    </xdr:from>
    <xdr:to>
      <xdr:col>3</xdr:col>
      <xdr:colOff>237331</xdr:colOff>
      <xdr:row>5</xdr:row>
      <xdr:rowOff>203993</xdr:rowOff>
    </xdr:to>
    <xdr:cxnSp macro="">
      <xdr:nvCxnSpPr>
        <xdr:cNvPr id="1221" name="Match31">
          <a:extLst>
            <a:ext uri="{FF2B5EF4-FFF2-40B4-BE49-F238E27FC236}">
              <a16:creationId xmlns:a16="http://schemas.microsoft.com/office/drawing/2014/main" id="{2C5BE3D7-47B1-D715-F51B-022AAA923CD4}"/>
            </a:ext>
          </a:extLst>
        </xdr:cNvPr>
        <xdr:cNvCxnSpPr/>
      </xdr:nvCxnSpPr>
      <xdr:spPr>
        <a:xfrm flipV="1">
          <a:off x="1508919" y="163274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7</xdr:row>
      <xdr:rowOff>178593</xdr:rowOff>
    </xdr:from>
    <xdr:to>
      <xdr:col>2</xdr:col>
      <xdr:colOff>211931</xdr:colOff>
      <xdr:row>8</xdr:row>
      <xdr:rowOff>178594</xdr:rowOff>
    </xdr:to>
    <xdr:cxnSp macro="">
      <xdr:nvCxnSpPr>
        <xdr:cNvPr id="1222" name="Match32">
          <a:extLst>
            <a:ext uri="{FF2B5EF4-FFF2-40B4-BE49-F238E27FC236}">
              <a16:creationId xmlns:a16="http://schemas.microsoft.com/office/drawing/2014/main" id="{1F35E07B-6116-8F4E-3DC7-2AEFCF767652}"/>
            </a:ext>
          </a:extLst>
        </xdr:cNvPr>
        <xdr:cNvCxnSpPr/>
      </xdr:nvCxnSpPr>
      <xdr:spPr>
        <a:xfrm flipH="1">
          <a:off x="635794" y="267890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7</xdr:row>
      <xdr:rowOff>178593</xdr:rowOff>
    </xdr:from>
    <xdr:to>
      <xdr:col>2</xdr:col>
      <xdr:colOff>211931</xdr:colOff>
      <xdr:row>8</xdr:row>
      <xdr:rowOff>178594</xdr:rowOff>
    </xdr:to>
    <xdr:cxnSp macro="">
      <xdr:nvCxnSpPr>
        <xdr:cNvPr id="1223" name="Match33">
          <a:extLst>
            <a:ext uri="{FF2B5EF4-FFF2-40B4-BE49-F238E27FC236}">
              <a16:creationId xmlns:a16="http://schemas.microsoft.com/office/drawing/2014/main" id="{7FCBC44F-222E-4582-F0AD-7848305EFE0B}"/>
            </a:ext>
          </a:extLst>
        </xdr:cNvPr>
        <xdr:cNvCxnSpPr/>
      </xdr:nvCxnSpPr>
      <xdr:spPr>
        <a:xfrm flipV="1">
          <a:off x="635794" y="267890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9</xdr:row>
      <xdr:rowOff>178593</xdr:rowOff>
    </xdr:from>
    <xdr:to>
      <xdr:col>7</xdr:col>
      <xdr:colOff>211931</xdr:colOff>
      <xdr:row>9</xdr:row>
      <xdr:rowOff>178593</xdr:rowOff>
    </xdr:to>
    <xdr:cxnSp macro="">
      <xdr:nvCxnSpPr>
        <xdr:cNvPr id="1224" name="Match34">
          <a:extLst>
            <a:ext uri="{FF2B5EF4-FFF2-40B4-BE49-F238E27FC236}">
              <a16:creationId xmlns:a16="http://schemas.microsoft.com/office/drawing/2014/main" id="{5F65E6B9-268F-BED6-FFE7-13066301610A}"/>
            </a:ext>
          </a:extLst>
        </xdr:cNvPr>
        <xdr:cNvCxnSpPr/>
      </xdr:nvCxnSpPr>
      <xdr:spPr>
        <a:xfrm>
          <a:off x="2755106" y="339328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9</xdr:row>
      <xdr:rowOff>178593</xdr:rowOff>
    </xdr:from>
    <xdr:to>
      <xdr:col>8</xdr:col>
      <xdr:colOff>211931</xdr:colOff>
      <xdr:row>10</xdr:row>
      <xdr:rowOff>178594</xdr:rowOff>
    </xdr:to>
    <xdr:cxnSp macro="">
      <xdr:nvCxnSpPr>
        <xdr:cNvPr id="1225" name="Match35">
          <a:extLst>
            <a:ext uri="{FF2B5EF4-FFF2-40B4-BE49-F238E27FC236}">
              <a16:creationId xmlns:a16="http://schemas.microsoft.com/office/drawing/2014/main" id="{72F73D20-3612-CEA2-2DBC-D8DD0FB53824}"/>
            </a:ext>
          </a:extLst>
        </xdr:cNvPr>
        <xdr:cNvCxnSpPr/>
      </xdr:nvCxnSpPr>
      <xdr:spPr>
        <a:xfrm>
          <a:off x="3178969" y="339328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9</xdr:row>
      <xdr:rowOff>203993</xdr:rowOff>
    </xdr:from>
    <xdr:to>
      <xdr:col>7</xdr:col>
      <xdr:colOff>237331</xdr:colOff>
      <xdr:row>9</xdr:row>
      <xdr:rowOff>203993</xdr:rowOff>
    </xdr:to>
    <xdr:cxnSp macro="">
      <xdr:nvCxnSpPr>
        <xdr:cNvPr id="1226" name="Match36">
          <a:extLst>
            <a:ext uri="{FF2B5EF4-FFF2-40B4-BE49-F238E27FC236}">
              <a16:creationId xmlns:a16="http://schemas.microsoft.com/office/drawing/2014/main" id="{C80A024C-98CF-4F54-1CD6-C1980B57B0AF}"/>
            </a:ext>
          </a:extLst>
        </xdr:cNvPr>
        <xdr:cNvCxnSpPr/>
      </xdr:nvCxnSpPr>
      <xdr:spPr>
        <a:xfrm flipH="1">
          <a:off x="2780506" y="3418681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9</xdr:row>
      <xdr:rowOff>178593</xdr:rowOff>
    </xdr:from>
    <xdr:to>
      <xdr:col>8</xdr:col>
      <xdr:colOff>211931</xdr:colOff>
      <xdr:row>10</xdr:row>
      <xdr:rowOff>178594</xdr:rowOff>
    </xdr:to>
    <xdr:cxnSp macro="">
      <xdr:nvCxnSpPr>
        <xdr:cNvPr id="1227" name="Match37">
          <a:extLst>
            <a:ext uri="{FF2B5EF4-FFF2-40B4-BE49-F238E27FC236}">
              <a16:creationId xmlns:a16="http://schemas.microsoft.com/office/drawing/2014/main" id="{C8EA291D-7852-5E80-7D16-ECEEAA039CB3}"/>
            </a:ext>
          </a:extLst>
        </xdr:cNvPr>
        <xdr:cNvCxnSpPr/>
      </xdr:nvCxnSpPr>
      <xdr:spPr>
        <a:xfrm flipH="1" flipV="1">
          <a:off x="3178969" y="339328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4</xdr:row>
      <xdr:rowOff>178594</xdr:rowOff>
    </xdr:from>
    <xdr:to>
      <xdr:col>4</xdr:col>
      <xdr:colOff>211931</xdr:colOff>
      <xdr:row>6</xdr:row>
      <xdr:rowOff>178594</xdr:rowOff>
    </xdr:to>
    <xdr:cxnSp macro="">
      <xdr:nvCxnSpPr>
        <xdr:cNvPr id="1228" name="Match38">
          <a:extLst>
            <a:ext uri="{FF2B5EF4-FFF2-40B4-BE49-F238E27FC236}">
              <a16:creationId xmlns:a16="http://schemas.microsoft.com/office/drawing/2014/main" id="{AF0B91EE-DBDC-4F13-9031-B28B958A08C1}"/>
            </a:ext>
          </a:extLst>
        </xdr:cNvPr>
        <xdr:cNvCxnSpPr/>
      </xdr:nvCxnSpPr>
      <xdr:spPr>
        <a:xfrm>
          <a:off x="1907381" y="1607344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262731</xdr:colOff>
      <xdr:row>4</xdr:row>
      <xdr:rowOff>229394</xdr:rowOff>
    </xdr:from>
    <xdr:to>
      <xdr:col>8</xdr:col>
      <xdr:colOff>262731</xdr:colOff>
      <xdr:row>6</xdr:row>
      <xdr:rowOff>229394</xdr:rowOff>
    </xdr:to>
    <xdr:cxnSp macro="">
      <xdr:nvCxnSpPr>
        <xdr:cNvPr id="1229" name="Match39">
          <a:extLst>
            <a:ext uri="{FF2B5EF4-FFF2-40B4-BE49-F238E27FC236}">
              <a16:creationId xmlns:a16="http://schemas.microsoft.com/office/drawing/2014/main" id="{2F9CF713-9BFD-0D57-5E9A-08A1C2FFAC9C}"/>
            </a:ext>
          </a:extLst>
        </xdr:cNvPr>
        <xdr:cNvCxnSpPr/>
      </xdr:nvCxnSpPr>
      <xdr:spPr>
        <a:xfrm>
          <a:off x="2805906" y="1658144"/>
          <a:ext cx="847725" cy="714375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0</xdr:row>
      <xdr:rowOff>178594</xdr:rowOff>
    </xdr:from>
    <xdr:to>
      <xdr:col>4</xdr:col>
      <xdr:colOff>211931</xdr:colOff>
      <xdr:row>1</xdr:row>
      <xdr:rowOff>178593</xdr:rowOff>
    </xdr:to>
    <xdr:cxnSp macro="">
      <xdr:nvCxnSpPr>
        <xdr:cNvPr id="1230" name="Match40">
          <a:extLst>
            <a:ext uri="{FF2B5EF4-FFF2-40B4-BE49-F238E27FC236}">
              <a16:creationId xmlns:a16="http://schemas.microsoft.com/office/drawing/2014/main" id="{E07D5995-993D-7DDD-10D7-D4CAEAC5A59A}"/>
            </a:ext>
          </a:extLst>
        </xdr:cNvPr>
        <xdr:cNvCxnSpPr/>
      </xdr:nvCxnSpPr>
      <xdr:spPr>
        <a:xfrm>
          <a:off x="1483519" y="1785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0</xdr:row>
      <xdr:rowOff>178594</xdr:rowOff>
    </xdr:from>
    <xdr:to>
      <xdr:col>9</xdr:col>
      <xdr:colOff>211931</xdr:colOff>
      <xdr:row>1</xdr:row>
      <xdr:rowOff>178593</xdr:rowOff>
    </xdr:to>
    <xdr:cxnSp macro="">
      <xdr:nvCxnSpPr>
        <xdr:cNvPr id="1231" name="Match41">
          <a:extLst>
            <a:ext uri="{FF2B5EF4-FFF2-40B4-BE49-F238E27FC236}">
              <a16:creationId xmlns:a16="http://schemas.microsoft.com/office/drawing/2014/main" id="{86B4BE8A-A200-C76B-C976-E4DB1B696BB4}"/>
            </a:ext>
          </a:extLst>
        </xdr:cNvPr>
        <xdr:cNvCxnSpPr/>
      </xdr:nvCxnSpPr>
      <xdr:spPr>
        <a:xfrm>
          <a:off x="4026694" y="1785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1</xdr:row>
      <xdr:rowOff>178593</xdr:rowOff>
    </xdr:from>
    <xdr:to>
      <xdr:col>1</xdr:col>
      <xdr:colOff>211931</xdr:colOff>
      <xdr:row>1</xdr:row>
      <xdr:rowOff>178593</xdr:rowOff>
    </xdr:to>
    <xdr:cxnSp macro="">
      <xdr:nvCxnSpPr>
        <xdr:cNvPr id="1232" name="Match42">
          <a:extLst>
            <a:ext uri="{FF2B5EF4-FFF2-40B4-BE49-F238E27FC236}">
              <a16:creationId xmlns:a16="http://schemas.microsoft.com/office/drawing/2014/main" id="{CE47CBA5-9DFC-DA1C-6702-F7AA3427D759}"/>
            </a:ext>
          </a:extLst>
        </xdr:cNvPr>
        <xdr:cNvCxnSpPr/>
      </xdr:nvCxnSpPr>
      <xdr:spPr>
        <a:xfrm>
          <a:off x="211931" y="53578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1</xdr:row>
      <xdr:rowOff>178593</xdr:rowOff>
    </xdr:from>
    <xdr:to>
      <xdr:col>10</xdr:col>
      <xdr:colOff>211931</xdr:colOff>
      <xdr:row>1</xdr:row>
      <xdr:rowOff>178593</xdr:rowOff>
    </xdr:to>
    <xdr:cxnSp macro="">
      <xdr:nvCxnSpPr>
        <xdr:cNvPr id="1233" name="Match43">
          <a:extLst>
            <a:ext uri="{FF2B5EF4-FFF2-40B4-BE49-F238E27FC236}">
              <a16:creationId xmlns:a16="http://schemas.microsoft.com/office/drawing/2014/main" id="{67F1D117-49AB-D284-D552-32EC62C27B6D}"/>
            </a:ext>
          </a:extLst>
        </xdr:cNvPr>
        <xdr:cNvCxnSpPr/>
      </xdr:nvCxnSpPr>
      <xdr:spPr>
        <a:xfrm flipH="1">
          <a:off x="4026694" y="535781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2</xdr:row>
      <xdr:rowOff>178594</xdr:rowOff>
    </xdr:from>
    <xdr:to>
      <xdr:col>1</xdr:col>
      <xdr:colOff>211931</xdr:colOff>
      <xdr:row>3</xdr:row>
      <xdr:rowOff>178593</xdr:rowOff>
    </xdr:to>
    <xdr:cxnSp macro="">
      <xdr:nvCxnSpPr>
        <xdr:cNvPr id="1234" name="Match44">
          <a:extLst>
            <a:ext uri="{FF2B5EF4-FFF2-40B4-BE49-F238E27FC236}">
              <a16:creationId xmlns:a16="http://schemas.microsoft.com/office/drawing/2014/main" id="{F3CD39FC-7B37-5362-0220-A4FDFDB0AF2F}"/>
            </a:ext>
          </a:extLst>
        </xdr:cNvPr>
        <xdr:cNvCxnSpPr/>
      </xdr:nvCxnSpPr>
      <xdr:spPr>
        <a:xfrm flipH="1">
          <a:off x="211931" y="8929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1</xdr:row>
      <xdr:rowOff>203993</xdr:rowOff>
    </xdr:from>
    <xdr:to>
      <xdr:col>1</xdr:col>
      <xdr:colOff>237331</xdr:colOff>
      <xdr:row>2</xdr:row>
      <xdr:rowOff>203994</xdr:rowOff>
    </xdr:to>
    <xdr:cxnSp macro="">
      <xdr:nvCxnSpPr>
        <xdr:cNvPr id="1235" name="Match45">
          <a:extLst>
            <a:ext uri="{FF2B5EF4-FFF2-40B4-BE49-F238E27FC236}">
              <a16:creationId xmlns:a16="http://schemas.microsoft.com/office/drawing/2014/main" id="{773B5DA5-829A-D999-C8D4-8C8D8C85BB87}"/>
            </a:ext>
          </a:extLst>
        </xdr:cNvPr>
        <xdr:cNvCxnSpPr/>
      </xdr:nvCxnSpPr>
      <xdr:spPr>
        <a:xfrm flipV="1">
          <a:off x="661194" y="56118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5</xdr:row>
      <xdr:rowOff>178593</xdr:rowOff>
    </xdr:from>
    <xdr:to>
      <xdr:col>8</xdr:col>
      <xdr:colOff>211931</xdr:colOff>
      <xdr:row>5</xdr:row>
      <xdr:rowOff>178593</xdr:rowOff>
    </xdr:to>
    <xdr:cxnSp macro="">
      <xdr:nvCxnSpPr>
        <xdr:cNvPr id="1236" name="Match46">
          <a:extLst>
            <a:ext uri="{FF2B5EF4-FFF2-40B4-BE49-F238E27FC236}">
              <a16:creationId xmlns:a16="http://schemas.microsoft.com/office/drawing/2014/main" id="{F735D2CB-465F-17DD-2F81-8E8B67AF9E46}"/>
            </a:ext>
          </a:extLst>
        </xdr:cNvPr>
        <xdr:cNvCxnSpPr/>
      </xdr:nvCxnSpPr>
      <xdr:spPr>
        <a:xfrm>
          <a:off x="3178969" y="1964531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6</xdr:row>
      <xdr:rowOff>178594</xdr:rowOff>
    </xdr:from>
    <xdr:to>
      <xdr:col>6</xdr:col>
      <xdr:colOff>211931</xdr:colOff>
      <xdr:row>7</xdr:row>
      <xdr:rowOff>178593</xdr:rowOff>
    </xdr:to>
    <xdr:cxnSp macro="">
      <xdr:nvCxnSpPr>
        <xdr:cNvPr id="1237" name="Match47">
          <a:extLst>
            <a:ext uri="{FF2B5EF4-FFF2-40B4-BE49-F238E27FC236}">
              <a16:creationId xmlns:a16="http://schemas.microsoft.com/office/drawing/2014/main" id="{65DA5A61-C7EE-355D-F4C1-B22FE1242256}"/>
            </a:ext>
          </a:extLst>
        </xdr:cNvPr>
        <xdr:cNvCxnSpPr/>
      </xdr:nvCxnSpPr>
      <xdr:spPr>
        <a:xfrm>
          <a:off x="2331244" y="232171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6</xdr:row>
      <xdr:rowOff>178594</xdr:rowOff>
    </xdr:from>
    <xdr:to>
      <xdr:col>1</xdr:col>
      <xdr:colOff>211931</xdr:colOff>
      <xdr:row>7</xdr:row>
      <xdr:rowOff>178593</xdr:rowOff>
    </xdr:to>
    <xdr:cxnSp macro="">
      <xdr:nvCxnSpPr>
        <xdr:cNvPr id="1238" name="Match48">
          <a:extLst>
            <a:ext uri="{FF2B5EF4-FFF2-40B4-BE49-F238E27FC236}">
              <a16:creationId xmlns:a16="http://schemas.microsoft.com/office/drawing/2014/main" id="{27837EE1-C5C9-7D57-9AA2-0724B91AA321}"/>
            </a:ext>
          </a:extLst>
        </xdr:cNvPr>
        <xdr:cNvCxnSpPr/>
      </xdr:nvCxnSpPr>
      <xdr:spPr>
        <a:xfrm flipH="1" flipV="1">
          <a:off x="211931" y="232171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7</xdr:row>
      <xdr:rowOff>178593</xdr:rowOff>
    </xdr:from>
    <xdr:to>
      <xdr:col>8</xdr:col>
      <xdr:colOff>211931</xdr:colOff>
      <xdr:row>8</xdr:row>
      <xdr:rowOff>178594</xdr:rowOff>
    </xdr:to>
    <xdr:cxnSp macro="">
      <xdr:nvCxnSpPr>
        <xdr:cNvPr id="1239" name="Match49">
          <a:extLst>
            <a:ext uri="{FF2B5EF4-FFF2-40B4-BE49-F238E27FC236}">
              <a16:creationId xmlns:a16="http://schemas.microsoft.com/office/drawing/2014/main" id="{36675FA0-B497-8B8C-8C4D-4B6DB505816A}"/>
            </a:ext>
          </a:extLst>
        </xdr:cNvPr>
        <xdr:cNvCxnSpPr/>
      </xdr:nvCxnSpPr>
      <xdr:spPr>
        <a:xfrm>
          <a:off x="3178969" y="267890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7</xdr:row>
      <xdr:rowOff>203993</xdr:rowOff>
    </xdr:from>
    <xdr:to>
      <xdr:col>7</xdr:col>
      <xdr:colOff>237331</xdr:colOff>
      <xdr:row>7</xdr:row>
      <xdr:rowOff>203993</xdr:rowOff>
    </xdr:to>
    <xdr:cxnSp macro="">
      <xdr:nvCxnSpPr>
        <xdr:cNvPr id="1240" name="Match50">
          <a:extLst>
            <a:ext uri="{FF2B5EF4-FFF2-40B4-BE49-F238E27FC236}">
              <a16:creationId xmlns:a16="http://schemas.microsoft.com/office/drawing/2014/main" id="{B909FA01-624D-B207-ED92-341B75EA2450}"/>
            </a:ext>
          </a:extLst>
        </xdr:cNvPr>
        <xdr:cNvCxnSpPr/>
      </xdr:nvCxnSpPr>
      <xdr:spPr>
        <a:xfrm flipH="1">
          <a:off x="2780506" y="2704306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8</xdr:row>
      <xdr:rowOff>178594</xdr:rowOff>
    </xdr:from>
    <xdr:to>
      <xdr:col>8</xdr:col>
      <xdr:colOff>211931</xdr:colOff>
      <xdr:row>9</xdr:row>
      <xdr:rowOff>178593</xdr:rowOff>
    </xdr:to>
    <xdr:cxnSp macro="">
      <xdr:nvCxnSpPr>
        <xdr:cNvPr id="1241" name="Match51">
          <a:extLst>
            <a:ext uri="{FF2B5EF4-FFF2-40B4-BE49-F238E27FC236}">
              <a16:creationId xmlns:a16="http://schemas.microsoft.com/office/drawing/2014/main" id="{8F3D9D20-1CC5-5B42-0776-41143563ECE3}"/>
            </a:ext>
          </a:extLst>
        </xdr:cNvPr>
        <xdr:cNvCxnSpPr/>
      </xdr:nvCxnSpPr>
      <xdr:spPr>
        <a:xfrm flipV="1">
          <a:off x="3602831" y="30360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10</xdr:row>
      <xdr:rowOff>178594</xdr:rowOff>
    </xdr:from>
    <xdr:to>
      <xdr:col>1</xdr:col>
      <xdr:colOff>211931</xdr:colOff>
      <xdr:row>11</xdr:row>
      <xdr:rowOff>178593</xdr:rowOff>
    </xdr:to>
    <xdr:cxnSp macro="">
      <xdr:nvCxnSpPr>
        <xdr:cNvPr id="1242" name="Match52">
          <a:extLst>
            <a:ext uri="{FF2B5EF4-FFF2-40B4-BE49-F238E27FC236}">
              <a16:creationId xmlns:a16="http://schemas.microsoft.com/office/drawing/2014/main" id="{3AED79D8-73E5-734D-A35D-30BC789E987D}"/>
            </a:ext>
          </a:extLst>
        </xdr:cNvPr>
        <xdr:cNvCxnSpPr/>
      </xdr:nvCxnSpPr>
      <xdr:spPr>
        <a:xfrm flipH="1" flipV="1">
          <a:off x="211931" y="37504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10</xdr:row>
      <xdr:rowOff>203994</xdr:rowOff>
    </xdr:from>
    <xdr:to>
      <xdr:col>2</xdr:col>
      <xdr:colOff>237331</xdr:colOff>
      <xdr:row>11</xdr:row>
      <xdr:rowOff>203993</xdr:rowOff>
    </xdr:to>
    <xdr:cxnSp macro="">
      <xdr:nvCxnSpPr>
        <xdr:cNvPr id="1243" name="Match53">
          <a:extLst>
            <a:ext uri="{FF2B5EF4-FFF2-40B4-BE49-F238E27FC236}">
              <a16:creationId xmlns:a16="http://schemas.microsoft.com/office/drawing/2014/main" id="{2E0741D7-6DC5-D9F1-0DEB-4320D3737055}"/>
            </a:ext>
          </a:extLst>
        </xdr:cNvPr>
        <xdr:cNvCxnSpPr/>
      </xdr:nvCxnSpPr>
      <xdr:spPr>
        <a:xfrm flipV="1">
          <a:off x="661194" y="3775869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2</xdr:row>
      <xdr:rowOff>178594</xdr:rowOff>
    </xdr:from>
    <xdr:to>
      <xdr:col>4</xdr:col>
      <xdr:colOff>211931</xdr:colOff>
      <xdr:row>6</xdr:row>
      <xdr:rowOff>178594</xdr:rowOff>
    </xdr:to>
    <xdr:cxnSp macro="">
      <xdr:nvCxnSpPr>
        <xdr:cNvPr id="1244" name="Match54">
          <a:extLst>
            <a:ext uri="{FF2B5EF4-FFF2-40B4-BE49-F238E27FC236}">
              <a16:creationId xmlns:a16="http://schemas.microsoft.com/office/drawing/2014/main" id="{1EF7BB5F-C17E-9A66-E479-733281C0436D}"/>
            </a:ext>
          </a:extLst>
        </xdr:cNvPr>
        <xdr:cNvCxnSpPr/>
      </xdr:nvCxnSpPr>
      <xdr:spPr>
        <a:xfrm flipV="1">
          <a:off x="211931" y="892969"/>
          <a:ext cx="169545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3</xdr:row>
      <xdr:rowOff>178593</xdr:rowOff>
    </xdr:from>
    <xdr:to>
      <xdr:col>8</xdr:col>
      <xdr:colOff>211931</xdr:colOff>
      <xdr:row>3</xdr:row>
      <xdr:rowOff>178593</xdr:rowOff>
    </xdr:to>
    <xdr:cxnSp macro="">
      <xdr:nvCxnSpPr>
        <xdr:cNvPr id="1245" name="Match55">
          <a:extLst>
            <a:ext uri="{FF2B5EF4-FFF2-40B4-BE49-F238E27FC236}">
              <a16:creationId xmlns:a16="http://schemas.microsoft.com/office/drawing/2014/main" id="{A64A9989-3152-2E4E-1C17-34B40FE109AA}"/>
            </a:ext>
          </a:extLst>
        </xdr:cNvPr>
        <xdr:cNvCxnSpPr/>
      </xdr:nvCxnSpPr>
      <xdr:spPr>
        <a:xfrm flipH="1">
          <a:off x="1907381" y="1250156"/>
          <a:ext cx="1695450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3</xdr:row>
      <xdr:rowOff>178593</xdr:rowOff>
    </xdr:from>
    <xdr:to>
      <xdr:col>9</xdr:col>
      <xdr:colOff>211931</xdr:colOff>
      <xdr:row>8</xdr:row>
      <xdr:rowOff>178594</xdr:rowOff>
    </xdr:to>
    <xdr:cxnSp macro="">
      <xdr:nvCxnSpPr>
        <xdr:cNvPr id="1246" name="Match56">
          <a:extLst>
            <a:ext uri="{FF2B5EF4-FFF2-40B4-BE49-F238E27FC236}">
              <a16:creationId xmlns:a16="http://schemas.microsoft.com/office/drawing/2014/main" id="{0362DBF1-514F-757C-D6A4-DD26C9668DDD}"/>
            </a:ext>
          </a:extLst>
        </xdr:cNvPr>
        <xdr:cNvCxnSpPr/>
      </xdr:nvCxnSpPr>
      <xdr:spPr>
        <a:xfrm flipV="1">
          <a:off x="4026694" y="1250156"/>
          <a:ext cx="0" cy="178593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4</xdr:row>
      <xdr:rowOff>178594</xdr:rowOff>
    </xdr:from>
    <xdr:to>
      <xdr:col>11</xdr:col>
      <xdr:colOff>211931</xdr:colOff>
      <xdr:row>8</xdr:row>
      <xdr:rowOff>178594</xdr:rowOff>
    </xdr:to>
    <xdr:cxnSp macro="">
      <xdr:nvCxnSpPr>
        <xdr:cNvPr id="1247" name="Match57">
          <a:extLst>
            <a:ext uri="{FF2B5EF4-FFF2-40B4-BE49-F238E27FC236}">
              <a16:creationId xmlns:a16="http://schemas.microsoft.com/office/drawing/2014/main" id="{58B81722-E00E-D688-4B8E-15789CA07D23}"/>
            </a:ext>
          </a:extLst>
        </xdr:cNvPr>
        <xdr:cNvCxnSpPr/>
      </xdr:nvCxnSpPr>
      <xdr:spPr>
        <a:xfrm>
          <a:off x="4874419" y="1607344"/>
          <a:ext cx="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10</xdr:row>
      <xdr:rowOff>178594</xdr:rowOff>
    </xdr:from>
    <xdr:to>
      <xdr:col>11</xdr:col>
      <xdr:colOff>211931</xdr:colOff>
      <xdr:row>10</xdr:row>
      <xdr:rowOff>178594</xdr:rowOff>
    </xdr:to>
    <xdr:cxnSp macro="">
      <xdr:nvCxnSpPr>
        <xdr:cNvPr id="1248" name="Match58">
          <a:extLst>
            <a:ext uri="{FF2B5EF4-FFF2-40B4-BE49-F238E27FC236}">
              <a16:creationId xmlns:a16="http://schemas.microsoft.com/office/drawing/2014/main" id="{AB8B7115-07BE-A425-DBFB-394335F465F6}"/>
            </a:ext>
          </a:extLst>
        </xdr:cNvPr>
        <xdr:cNvCxnSpPr/>
      </xdr:nvCxnSpPr>
      <xdr:spPr>
        <a:xfrm>
          <a:off x="4026694" y="3750469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0</xdr:row>
      <xdr:rowOff>203994</xdr:rowOff>
    </xdr:from>
    <xdr:to>
      <xdr:col>6</xdr:col>
      <xdr:colOff>237331</xdr:colOff>
      <xdr:row>0</xdr:row>
      <xdr:rowOff>203994</xdr:rowOff>
    </xdr:to>
    <xdr:cxnSp macro="">
      <xdr:nvCxnSpPr>
        <xdr:cNvPr id="1249" name="Match59">
          <a:extLst>
            <a:ext uri="{FF2B5EF4-FFF2-40B4-BE49-F238E27FC236}">
              <a16:creationId xmlns:a16="http://schemas.microsoft.com/office/drawing/2014/main" id="{4627D189-F037-DA57-0026-B71E65FE1324}"/>
            </a:ext>
          </a:extLst>
        </xdr:cNvPr>
        <xdr:cNvCxnSpPr/>
      </xdr:nvCxnSpPr>
      <xdr:spPr>
        <a:xfrm flipH="1">
          <a:off x="237331" y="203994"/>
          <a:ext cx="2543175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5</xdr:row>
      <xdr:rowOff>178593</xdr:rowOff>
    </xdr:from>
    <xdr:to>
      <xdr:col>6</xdr:col>
      <xdr:colOff>211931</xdr:colOff>
      <xdr:row>11</xdr:row>
      <xdr:rowOff>178593</xdr:rowOff>
    </xdr:to>
    <xdr:cxnSp macro="">
      <xdr:nvCxnSpPr>
        <xdr:cNvPr id="1250" name="Match60">
          <a:extLst>
            <a:ext uri="{FF2B5EF4-FFF2-40B4-BE49-F238E27FC236}">
              <a16:creationId xmlns:a16="http://schemas.microsoft.com/office/drawing/2014/main" id="{5DDF7437-9317-A774-FE9C-7B55320EA0CA}"/>
            </a:ext>
          </a:extLst>
        </xdr:cNvPr>
        <xdr:cNvCxnSpPr/>
      </xdr:nvCxnSpPr>
      <xdr:spPr>
        <a:xfrm flipH="1" flipV="1">
          <a:off x="211931" y="1964531"/>
          <a:ext cx="2543175" cy="214312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11</xdr:row>
      <xdr:rowOff>178593</xdr:rowOff>
    </xdr:from>
    <xdr:to>
      <xdr:col>5</xdr:col>
      <xdr:colOff>211931</xdr:colOff>
      <xdr:row>11</xdr:row>
      <xdr:rowOff>178593</xdr:rowOff>
    </xdr:to>
    <xdr:cxnSp macro="">
      <xdr:nvCxnSpPr>
        <xdr:cNvPr id="1251" name="Match61">
          <a:extLst>
            <a:ext uri="{FF2B5EF4-FFF2-40B4-BE49-F238E27FC236}">
              <a16:creationId xmlns:a16="http://schemas.microsoft.com/office/drawing/2014/main" id="{769F1D77-82B1-9D7F-715C-7E29463E0C19}"/>
            </a:ext>
          </a:extLst>
        </xdr:cNvPr>
        <xdr:cNvCxnSpPr/>
      </xdr:nvCxnSpPr>
      <xdr:spPr>
        <a:xfrm flipH="1">
          <a:off x="1059656" y="4107656"/>
          <a:ext cx="1271588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2</xdr:row>
      <xdr:rowOff>178594</xdr:rowOff>
    </xdr:from>
    <xdr:to>
      <xdr:col>7</xdr:col>
      <xdr:colOff>211931</xdr:colOff>
      <xdr:row>2</xdr:row>
      <xdr:rowOff>178594</xdr:rowOff>
    </xdr:to>
    <xdr:cxnSp macro="">
      <xdr:nvCxnSpPr>
        <xdr:cNvPr id="1252" name="Match62">
          <a:extLst>
            <a:ext uri="{FF2B5EF4-FFF2-40B4-BE49-F238E27FC236}">
              <a16:creationId xmlns:a16="http://schemas.microsoft.com/office/drawing/2014/main" id="{26BB93E3-0038-788D-5755-F04FC2C03DD8}"/>
            </a:ext>
          </a:extLst>
        </xdr:cNvPr>
        <xdr:cNvCxnSpPr/>
      </xdr:nvCxnSpPr>
      <xdr:spPr>
        <a:xfrm>
          <a:off x="2331244" y="892969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8</xdr:row>
      <xdr:rowOff>178594</xdr:rowOff>
    </xdr:from>
    <xdr:to>
      <xdr:col>7</xdr:col>
      <xdr:colOff>211931</xdr:colOff>
      <xdr:row>10</xdr:row>
      <xdr:rowOff>178594</xdr:rowOff>
    </xdr:to>
    <xdr:cxnSp macro="">
      <xdr:nvCxnSpPr>
        <xdr:cNvPr id="1253" name="Match63">
          <a:extLst>
            <a:ext uri="{FF2B5EF4-FFF2-40B4-BE49-F238E27FC236}">
              <a16:creationId xmlns:a16="http://schemas.microsoft.com/office/drawing/2014/main" id="{C53D5851-8A0B-79CB-2CCC-65520FB74CF7}"/>
            </a:ext>
          </a:extLst>
        </xdr:cNvPr>
        <xdr:cNvCxnSpPr/>
      </xdr:nvCxnSpPr>
      <xdr:spPr>
        <a:xfrm flipH="1">
          <a:off x="2331244" y="3036094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4</xdr:row>
      <xdr:rowOff>178594</xdr:rowOff>
    </xdr:from>
    <xdr:to>
      <xdr:col>4</xdr:col>
      <xdr:colOff>211931</xdr:colOff>
      <xdr:row>7</xdr:row>
      <xdr:rowOff>178593</xdr:rowOff>
    </xdr:to>
    <xdr:cxnSp macro="">
      <xdr:nvCxnSpPr>
        <xdr:cNvPr id="1254" name="Match64">
          <a:extLst>
            <a:ext uri="{FF2B5EF4-FFF2-40B4-BE49-F238E27FC236}">
              <a16:creationId xmlns:a16="http://schemas.microsoft.com/office/drawing/2014/main" id="{04000EA9-8E09-11FF-9D3E-D66F4084210D}"/>
            </a:ext>
          </a:extLst>
        </xdr:cNvPr>
        <xdr:cNvCxnSpPr/>
      </xdr:nvCxnSpPr>
      <xdr:spPr>
        <a:xfrm flipH="1" flipV="1">
          <a:off x="635794" y="1607344"/>
          <a:ext cx="1271587" cy="1071562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1223963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0</xdr:row>
      <xdr:rowOff>0</xdr:rowOff>
    </xdr:from>
    <xdr:to>
      <xdr:col>9</xdr:col>
      <xdr:colOff>338138</xdr:colOff>
      <xdr:row>1</xdr:row>
      <xdr:rowOff>2519362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7A1F344-5A2E-5406-381B-CBF5E4CC6DB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47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44</v>
      </c>
    </row>
    <row r="15" spans="1:9" ht="28.35" customHeight="1">
      <c r="D15" s="1" t="s">
        <v>46</v>
      </c>
    </row>
    <row r="16" spans="1:9" ht="28.35" customHeight="1">
      <c r="D16" s="1" t="s"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B5" sqref="B5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7">
        <v>8</v>
      </c>
      <c r="B1" s="27">
        <v>6</v>
      </c>
      <c r="C1" s="27">
        <v>9</v>
      </c>
      <c r="D1" s="27">
        <v>1</v>
      </c>
      <c r="E1" s="27">
        <v>2</v>
      </c>
      <c r="F1" s="27">
        <v>6</v>
      </c>
      <c r="G1" s="27">
        <v>9</v>
      </c>
      <c r="H1" s="26">
        <v>7</v>
      </c>
      <c r="I1" s="26">
        <v>6</v>
      </c>
      <c r="J1" s="22">
        <v>1</v>
      </c>
      <c r="K1" s="26">
        <v>2</v>
      </c>
      <c r="L1" s="26">
        <v>8</v>
      </c>
      <c r="N1" s="2">
        <v>77</v>
      </c>
      <c r="O1" s="1">
        <v>6</v>
      </c>
    </row>
    <row r="2" spans="1:15" ht="28.25" customHeight="1">
      <c r="A2" s="22">
        <v>1</v>
      </c>
      <c r="B2" s="22">
        <v>3</v>
      </c>
      <c r="C2" s="26">
        <v>4</v>
      </c>
      <c r="D2" s="26">
        <v>6</v>
      </c>
      <c r="E2" s="22">
        <v>3</v>
      </c>
      <c r="F2" s="26">
        <v>4</v>
      </c>
      <c r="G2" s="27">
        <v>9</v>
      </c>
      <c r="H2" s="26">
        <v>4</v>
      </c>
      <c r="I2" s="26">
        <v>2</v>
      </c>
      <c r="J2" s="22">
        <v>3</v>
      </c>
      <c r="K2" s="22">
        <v>1</v>
      </c>
      <c r="L2" s="26">
        <v>2</v>
      </c>
      <c r="N2" s="2">
        <v>45</v>
      </c>
      <c r="O2" s="1">
        <v>16</v>
      </c>
    </row>
    <row r="3" spans="1:15" ht="28.25" customHeight="1">
      <c r="A3" s="26">
        <v>4</v>
      </c>
      <c r="B3" s="22">
        <v>1</v>
      </c>
      <c r="C3" s="26">
        <v>2</v>
      </c>
      <c r="D3" s="27">
        <v>4</v>
      </c>
      <c r="E3" s="27">
        <v>7</v>
      </c>
      <c r="F3" s="22">
        <v>8</v>
      </c>
      <c r="G3" s="27">
        <v>9</v>
      </c>
      <c r="H3" s="22">
        <v>4</v>
      </c>
      <c r="I3" s="26">
        <v>6</v>
      </c>
      <c r="J3" s="26">
        <v>8</v>
      </c>
      <c r="K3" s="22">
        <v>5</v>
      </c>
      <c r="L3" s="22">
        <v>4</v>
      </c>
      <c r="N3" s="2">
        <v>99</v>
      </c>
      <c r="O3" s="1">
        <v>16</v>
      </c>
    </row>
    <row r="4" spans="1:15" ht="28.25" customHeight="1">
      <c r="A4" s="22">
        <v>3</v>
      </c>
      <c r="B4" s="26">
        <v>6</v>
      </c>
      <c r="C4" s="26">
        <v>4</v>
      </c>
      <c r="D4" s="27">
        <v>6</v>
      </c>
      <c r="E4" s="27">
        <v>5</v>
      </c>
      <c r="F4" s="27">
        <v>5</v>
      </c>
      <c r="G4" s="27">
        <v>5</v>
      </c>
      <c r="H4" s="27">
        <v>7</v>
      </c>
      <c r="I4" s="27">
        <v>6</v>
      </c>
      <c r="J4" s="27">
        <v>6</v>
      </c>
      <c r="K4" s="26">
        <v>2</v>
      </c>
      <c r="L4" s="26">
        <v>9</v>
      </c>
      <c r="N4" s="2">
        <v>714</v>
      </c>
      <c r="O4" s="1">
        <v>2</v>
      </c>
    </row>
    <row r="5" spans="1:15" ht="28.25" customHeight="1">
      <c r="A5" s="26">
        <v>5</v>
      </c>
      <c r="B5" s="27">
        <v>2</v>
      </c>
      <c r="C5" s="27">
        <v>6</v>
      </c>
      <c r="D5" s="22">
        <v>9</v>
      </c>
      <c r="E5" s="27">
        <v>7</v>
      </c>
      <c r="F5" s="22">
        <v>4</v>
      </c>
      <c r="G5" s="22">
        <v>7</v>
      </c>
      <c r="H5" s="26">
        <v>9</v>
      </c>
      <c r="I5" s="26">
        <v>5</v>
      </c>
      <c r="J5" s="27">
        <v>7</v>
      </c>
      <c r="K5" s="26">
        <v>2</v>
      </c>
      <c r="L5" s="27">
        <v>7</v>
      </c>
      <c r="N5" s="2">
        <v>13</v>
      </c>
      <c r="O5" s="1">
        <v>14</v>
      </c>
    </row>
    <row r="6" spans="1:15" ht="28.25" customHeight="1">
      <c r="A6" s="27">
        <v>9</v>
      </c>
      <c r="B6" s="27">
        <v>8</v>
      </c>
      <c r="C6" s="27">
        <v>9</v>
      </c>
      <c r="D6" s="22">
        <v>9</v>
      </c>
      <c r="E6" s="27">
        <v>1</v>
      </c>
      <c r="F6" s="26">
        <v>6</v>
      </c>
      <c r="G6" s="22">
        <v>7</v>
      </c>
      <c r="H6" s="27">
        <v>1</v>
      </c>
      <c r="I6" s="27">
        <v>3</v>
      </c>
      <c r="J6" s="27">
        <v>3</v>
      </c>
      <c r="K6" s="26">
        <v>3</v>
      </c>
      <c r="L6" s="27">
        <v>5</v>
      </c>
      <c r="N6" s="2">
        <v>38667</v>
      </c>
      <c r="O6" s="1">
        <v>1</v>
      </c>
    </row>
    <row r="7" spans="1:15" ht="28.25" customHeight="1">
      <c r="A7" s="27">
        <v>3</v>
      </c>
      <c r="B7" s="27">
        <v>4</v>
      </c>
      <c r="C7" s="26">
        <v>7</v>
      </c>
      <c r="D7" s="27">
        <v>2</v>
      </c>
      <c r="E7" s="27">
        <v>4</v>
      </c>
      <c r="F7" s="22">
        <v>1</v>
      </c>
      <c r="G7" s="26">
        <v>2</v>
      </c>
      <c r="H7" s="26">
        <v>2</v>
      </c>
      <c r="I7" s="22">
        <v>4</v>
      </c>
      <c r="J7" s="27">
        <v>3</v>
      </c>
      <c r="K7" s="26">
        <v>2</v>
      </c>
      <c r="L7" s="27">
        <v>7</v>
      </c>
      <c r="N7" s="2">
        <v>67555</v>
      </c>
      <c r="O7" s="1">
        <v>1</v>
      </c>
    </row>
    <row r="8" spans="1:15" ht="28.25" customHeight="1">
      <c r="A8" s="22">
        <v>5</v>
      </c>
      <c r="B8" s="22">
        <v>1</v>
      </c>
      <c r="C8" s="27">
        <v>9</v>
      </c>
      <c r="D8" s="22">
        <v>4</v>
      </c>
      <c r="E8" s="27">
        <v>5</v>
      </c>
      <c r="F8" s="26">
        <v>9</v>
      </c>
      <c r="G8" s="22">
        <v>3</v>
      </c>
      <c r="H8" s="22">
        <v>1</v>
      </c>
      <c r="I8" s="26">
        <v>8</v>
      </c>
      <c r="J8" s="27">
        <v>4</v>
      </c>
      <c r="K8" s="22">
        <v>5</v>
      </c>
      <c r="L8" s="27">
        <v>8</v>
      </c>
      <c r="N8" s="2">
        <v>843376</v>
      </c>
      <c r="O8" s="1">
        <v>1</v>
      </c>
    </row>
    <row r="9" spans="1:15" ht="28.25" customHeight="1">
      <c r="A9" s="26">
        <v>8</v>
      </c>
      <c r="B9" s="22">
        <v>9</v>
      </c>
      <c r="C9" s="26">
        <v>6</v>
      </c>
      <c r="D9" s="27">
        <v>3</v>
      </c>
      <c r="E9" s="22">
        <v>5</v>
      </c>
      <c r="F9" s="26">
        <v>7</v>
      </c>
      <c r="G9" s="26">
        <v>4</v>
      </c>
      <c r="H9" s="27">
        <v>8</v>
      </c>
      <c r="I9" s="22">
        <v>3</v>
      </c>
      <c r="J9" s="27">
        <v>8</v>
      </c>
      <c r="K9" s="26">
        <v>8</v>
      </c>
      <c r="L9" s="27">
        <v>6</v>
      </c>
      <c r="N9" s="2">
        <v>75786</v>
      </c>
      <c r="O9" s="1">
        <v>1</v>
      </c>
    </row>
    <row r="10" spans="1:15" ht="28.25" customHeight="1">
      <c r="A10" s="26">
        <v>8</v>
      </c>
      <c r="B10" s="26">
        <v>8</v>
      </c>
      <c r="C10" s="27">
        <v>7</v>
      </c>
      <c r="D10" s="22">
        <v>4</v>
      </c>
      <c r="E10" s="27">
        <v>3</v>
      </c>
      <c r="F10" s="22">
        <v>4</v>
      </c>
      <c r="G10" s="27">
        <v>9</v>
      </c>
      <c r="H10" s="22">
        <v>9</v>
      </c>
      <c r="I10" s="22">
        <v>1</v>
      </c>
      <c r="J10" s="26">
        <v>6</v>
      </c>
      <c r="K10" s="26">
        <v>1</v>
      </c>
      <c r="L10" s="26">
        <v>7</v>
      </c>
      <c r="N10" s="2">
        <v>511</v>
      </c>
      <c r="O10" s="1">
        <v>1</v>
      </c>
    </row>
    <row r="11" spans="1:15" ht="28.25" customHeight="1">
      <c r="A11" s="22">
        <v>3</v>
      </c>
      <c r="B11" s="27">
        <v>7</v>
      </c>
      <c r="C11" s="22">
        <v>3</v>
      </c>
      <c r="D11" s="22">
        <v>5</v>
      </c>
      <c r="E11" s="26">
        <v>6</v>
      </c>
      <c r="F11" s="27">
        <v>4</v>
      </c>
      <c r="G11" s="22">
        <v>5</v>
      </c>
      <c r="H11" s="26">
        <v>5</v>
      </c>
      <c r="I11" s="22">
        <v>9</v>
      </c>
      <c r="J11" s="27">
        <v>5</v>
      </c>
      <c r="K11" s="27">
        <v>1</v>
      </c>
      <c r="L11" s="27">
        <v>1</v>
      </c>
      <c r="N11" s="2">
        <v>9621968</v>
      </c>
      <c r="O11" s="1">
        <v>1</v>
      </c>
    </row>
    <row r="12" spans="1:15" ht="28.25" customHeight="1">
      <c r="A12" s="26">
        <v>4</v>
      </c>
      <c r="B12" s="22">
        <v>1</v>
      </c>
      <c r="C12" s="27">
        <v>6</v>
      </c>
      <c r="D12" s="27">
        <v>6</v>
      </c>
      <c r="E12" s="27">
        <v>7</v>
      </c>
      <c r="F12" s="27">
        <v>9</v>
      </c>
      <c r="G12" s="27">
        <v>7</v>
      </c>
      <c r="H12" s="26">
        <v>8</v>
      </c>
      <c r="I12" s="26">
        <v>3</v>
      </c>
      <c r="J12" s="26">
        <v>6</v>
      </c>
      <c r="K12" s="26">
        <v>8</v>
      </c>
      <c r="L12" s="26">
        <v>1</v>
      </c>
      <c r="N12" s="2">
        <v>7433949</v>
      </c>
      <c r="O12" s="1">
        <v>1</v>
      </c>
    </row>
    <row r="13" spans="1:15" ht="28.25" customHeight="1">
      <c r="N13" s="2">
        <v>9766</v>
      </c>
      <c r="O13" s="1">
        <v>1</v>
      </c>
    </row>
    <row r="14" spans="1:15" ht="28.25" customHeight="1">
      <c r="N14" s="2">
        <v>894</v>
      </c>
      <c r="O14" s="1">
        <v>2</v>
      </c>
    </row>
    <row r="15" spans="1:15" ht="28.25" customHeight="1">
      <c r="N15" s="2">
        <v>5292</v>
      </c>
      <c r="O15" s="1">
        <v>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0</xdr:colOff>
                    <xdr:row>0</xdr:row>
                    <xdr:rowOff>4763</xdr:rowOff>
                  </from>
                  <to>
                    <xdr:col>17</xdr:col>
                    <xdr:colOff>676275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0</xdr:colOff>
                    <xdr:row>2</xdr:row>
                    <xdr:rowOff>4763</xdr:rowOff>
                  </from>
                  <to>
                    <xdr:col>17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0</xdr:colOff>
                    <xdr:row>2</xdr:row>
                    <xdr:rowOff>4763</xdr:rowOff>
                  </from>
                  <to>
                    <xdr:col>20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3" name="PauseQuestion">
              <controlPr defaultSize="0" print="0" autoFill="0" autoPict="0" macro="[0]!PauseQuestion">
                <anchor moveWithCells="1">
                  <from>
                    <xdr:col>16</xdr:col>
                    <xdr:colOff>0</xdr:colOff>
                    <xdr:row>3</xdr:row>
                    <xdr:rowOff>4763</xdr:rowOff>
                  </from>
                  <to>
                    <xdr:col>17</xdr:col>
                    <xdr:colOff>676275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2:AI145"/>
  <sheetViews>
    <sheetView tabSelected="1" zoomScaleNormal="100" workbookViewId="0">
      <pane ySplit="2" topLeftCell="A139" activePane="bottomLeft" state="frozen"/>
      <selection pane="bottomLeft" activeCell="A145" sqref="A145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27" max="27" width="16.0625" bestFit="1" customWidth="1"/>
  </cols>
  <sheetData>
    <row r="2" spans="1:35" ht="246.75">
      <c r="A2" t="s">
        <v>0</v>
      </c>
      <c r="B2" s="4" t="s">
        <v>171</v>
      </c>
      <c r="C2" s="4" t="s">
        <v>172</v>
      </c>
      <c r="D2" s="4" t="s">
        <v>173</v>
      </c>
      <c r="E2" s="4" t="s">
        <v>174</v>
      </c>
      <c r="F2" s="4" t="s">
        <v>175</v>
      </c>
      <c r="G2" s="4" t="s">
        <v>10</v>
      </c>
      <c r="H2" s="4" t="s">
        <v>16</v>
      </c>
      <c r="I2" s="4" t="s">
        <v>15</v>
      </c>
      <c r="J2" s="4" t="s">
        <v>11</v>
      </c>
      <c r="K2" s="4" t="s">
        <v>179</v>
      </c>
      <c r="L2" s="4" t="s">
        <v>163</v>
      </c>
      <c r="M2" s="4" t="s">
        <v>251</v>
      </c>
      <c r="N2" s="4" t="s">
        <v>178</v>
      </c>
      <c r="O2" s="4" t="s">
        <v>180</v>
      </c>
      <c r="P2" s="4" t="s">
        <v>170</v>
      </c>
      <c r="AA2" t="s">
        <v>0</v>
      </c>
      <c r="AB2" s="4" t="s">
        <v>49</v>
      </c>
      <c r="AC2" s="4" t="s">
        <v>1</v>
      </c>
      <c r="AD2" s="4" t="s">
        <v>2</v>
      </c>
      <c r="AE2" s="4" t="s">
        <v>3</v>
      </c>
      <c r="AF2" s="4" t="s">
        <v>10</v>
      </c>
      <c r="AG2" s="4" t="s">
        <v>16</v>
      </c>
      <c r="AH2" s="4" t="s">
        <v>15</v>
      </c>
      <c r="AI2" s="4" t="s">
        <v>11</v>
      </c>
    </row>
    <row r="3" spans="1:35">
      <c r="A3" s="3">
        <v>45951.701574074075</v>
      </c>
      <c r="B3">
        <v>61</v>
      </c>
      <c r="C3">
        <v>16</v>
      </c>
      <c r="D3">
        <v>0</v>
      </c>
      <c r="E3">
        <v>17</v>
      </c>
      <c r="F3">
        <v>0</v>
      </c>
      <c r="G3" s="5">
        <v>1.4050925929041114E-2</v>
      </c>
      <c r="H3" t="s">
        <v>66</v>
      </c>
      <c r="I3" t="s">
        <v>48</v>
      </c>
      <c r="J3">
        <v>0</v>
      </c>
      <c r="AA3" s="3">
        <v>45951.701574074075</v>
      </c>
      <c r="AB3">
        <v>20</v>
      </c>
      <c r="AC3">
        <v>0</v>
      </c>
      <c r="AD3">
        <v>3</v>
      </c>
      <c r="AE3">
        <v>0</v>
      </c>
      <c r="AF3" s="5">
        <v>1.4050925929041114E-2</v>
      </c>
      <c r="AG3" t="s">
        <v>17</v>
      </c>
      <c r="AH3" t="s">
        <v>48</v>
      </c>
      <c r="AI3">
        <v>0</v>
      </c>
    </row>
    <row r="4" spans="1:35">
      <c r="A4" s="3">
        <v>45951.867650462962</v>
      </c>
      <c r="B4">
        <v>74</v>
      </c>
      <c r="C4">
        <v>10</v>
      </c>
      <c r="D4">
        <v>0</v>
      </c>
      <c r="E4">
        <v>0</v>
      </c>
      <c r="F4">
        <v>0</v>
      </c>
      <c r="G4" s="5">
        <v>1.0868055556784384E-2</v>
      </c>
      <c r="H4" t="s">
        <v>64</v>
      </c>
      <c r="I4" t="s">
        <v>65</v>
      </c>
      <c r="J4">
        <v>0</v>
      </c>
      <c r="AA4" s="3">
        <v>45951.867650462962</v>
      </c>
      <c r="AB4">
        <v>19</v>
      </c>
      <c r="AC4">
        <v>0</v>
      </c>
      <c r="AD4">
        <v>0</v>
      </c>
      <c r="AE4">
        <v>0</v>
      </c>
      <c r="AF4" s="5">
        <v>1.0868055556784384E-2</v>
      </c>
      <c r="AG4" t="s">
        <v>18</v>
      </c>
      <c r="AH4" t="s">
        <v>19</v>
      </c>
      <c r="AI4">
        <v>0</v>
      </c>
    </row>
    <row r="5" spans="1:35">
      <c r="A5" s="3">
        <v>45952.483495370368</v>
      </c>
      <c r="B5">
        <v>42</v>
      </c>
      <c r="C5">
        <v>10</v>
      </c>
      <c r="D5">
        <v>0</v>
      </c>
      <c r="E5">
        <v>27</v>
      </c>
      <c r="F5">
        <v>0</v>
      </c>
      <c r="G5" s="5">
        <v>1.7534722217533272E-2</v>
      </c>
      <c r="H5" t="s">
        <v>62</v>
      </c>
      <c r="I5" t="s">
        <v>63</v>
      </c>
      <c r="J5">
        <v>0</v>
      </c>
      <c r="AA5" s="3">
        <v>45952.483495370368</v>
      </c>
      <c r="AB5">
        <v>15</v>
      </c>
      <c r="AC5">
        <v>0</v>
      </c>
      <c r="AD5">
        <v>5</v>
      </c>
      <c r="AE5">
        <v>0</v>
      </c>
      <c r="AF5" s="5">
        <v>1.7534722217533272E-2</v>
      </c>
      <c r="AG5" t="s">
        <v>20</v>
      </c>
      <c r="AH5" t="s">
        <v>21</v>
      </c>
      <c r="AI5">
        <v>0</v>
      </c>
    </row>
    <row r="6" spans="1:35">
      <c r="A6" s="3">
        <v>45952.864699074074</v>
      </c>
      <c r="B6">
        <v>70</v>
      </c>
      <c r="C6">
        <v>32</v>
      </c>
      <c r="D6">
        <v>0</v>
      </c>
      <c r="E6">
        <v>4</v>
      </c>
      <c r="F6">
        <v>0</v>
      </c>
      <c r="G6" s="5">
        <v>1.9606481480877846E-2</v>
      </c>
      <c r="H6" t="s">
        <v>60</v>
      </c>
      <c r="I6" t="s">
        <v>61</v>
      </c>
      <c r="J6">
        <v>0</v>
      </c>
      <c r="AA6" s="3">
        <v>45952.864699074074</v>
      </c>
      <c r="AB6">
        <v>29</v>
      </c>
      <c r="AC6">
        <v>0</v>
      </c>
      <c r="AD6">
        <v>1</v>
      </c>
      <c r="AE6">
        <v>0</v>
      </c>
      <c r="AF6" s="5">
        <v>1.9606481480877846E-2</v>
      </c>
      <c r="AG6" t="s">
        <v>22</v>
      </c>
      <c r="AH6" t="s">
        <v>23</v>
      </c>
      <c r="AI6">
        <v>0</v>
      </c>
    </row>
    <row r="7" spans="1:35">
      <c r="A7" s="3">
        <v>45953.849791666667</v>
      </c>
      <c r="B7">
        <v>53</v>
      </c>
      <c r="C7">
        <v>105</v>
      </c>
      <c r="D7">
        <v>0</v>
      </c>
      <c r="E7">
        <v>4</v>
      </c>
      <c r="F7">
        <v>0</v>
      </c>
      <c r="G7" s="5">
        <v>1.4953703706851229E-2</v>
      </c>
      <c r="H7" t="s">
        <v>58</v>
      </c>
      <c r="I7" t="s">
        <v>59</v>
      </c>
      <c r="J7">
        <v>0</v>
      </c>
      <c r="AA7" s="3">
        <v>45953.849791666667</v>
      </c>
      <c r="AB7">
        <v>65</v>
      </c>
      <c r="AC7">
        <v>0</v>
      </c>
      <c r="AD7">
        <v>1</v>
      </c>
      <c r="AE7">
        <v>0</v>
      </c>
      <c r="AF7" s="5">
        <v>1.4953703706851229E-2</v>
      </c>
      <c r="AG7" t="s">
        <v>32</v>
      </c>
      <c r="AH7" t="s">
        <v>33</v>
      </c>
      <c r="AI7">
        <v>0</v>
      </c>
    </row>
    <row r="8" spans="1:35">
      <c r="A8" s="3">
        <v>45953.869490740741</v>
      </c>
      <c r="B8">
        <v>58</v>
      </c>
      <c r="C8">
        <v>82</v>
      </c>
      <c r="D8">
        <v>0</v>
      </c>
      <c r="E8">
        <v>3</v>
      </c>
      <c r="F8">
        <v>0</v>
      </c>
      <c r="G8" s="5">
        <v>1.8831018518540077E-2</v>
      </c>
      <c r="H8" t="s">
        <v>56</v>
      </c>
      <c r="I8" t="s">
        <v>57</v>
      </c>
      <c r="J8">
        <v>0</v>
      </c>
      <c r="AA8" s="3">
        <v>45953.869490740741</v>
      </c>
      <c r="AB8">
        <v>54</v>
      </c>
      <c r="AC8">
        <v>0</v>
      </c>
      <c r="AD8">
        <v>1</v>
      </c>
      <c r="AE8">
        <v>0</v>
      </c>
      <c r="AF8" s="5">
        <v>1.8831018518540077E-2</v>
      </c>
      <c r="AG8" t="s">
        <v>34</v>
      </c>
      <c r="AH8" t="s">
        <v>35</v>
      </c>
      <c r="AI8">
        <v>0</v>
      </c>
    </row>
    <row r="9" spans="1:35">
      <c r="A9" s="3">
        <v>45954.406076388892</v>
      </c>
      <c r="B9">
        <v>50</v>
      </c>
      <c r="C9">
        <v>67</v>
      </c>
      <c r="D9">
        <v>0</v>
      </c>
      <c r="E9">
        <v>13</v>
      </c>
      <c r="F9">
        <v>0</v>
      </c>
      <c r="G9" s="5">
        <v>1.0740740741312038E-2</v>
      </c>
      <c r="H9" t="s">
        <v>54</v>
      </c>
      <c r="I9" t="s">
        <v>55</v>
      </c>
      <c r="J9">
        <v>0</v>
      </c>
      <c r="AA9" s="3">
        <v>45954.406076388892</v>
      </c>
      <c r="AB9">
        <v>45</v>
      </c>
      <c r="AC9">
        <v>0</v>
      </c>
      <c r="AD9">
        <v>3</v>
      </c>
      <c r="AE9">
        <v>0</v>
      </c>
      <c r="AF9" s="5">
        <v>1.0740740741312038E-2</v>
      </c>
      <c r="AG9" t="s">
        <v>36</v>
      </c>
      <c r="AH9" t="s">
        <v>37</v>
      </c>
      <c r="AI9">
        <v>0</v>
      </c>
    </row>
    <row r="10" spans="1:35">
      <c r="A10" s="3">
        <v>45954.875092592592</v>
      </c>
      <c r="B10">
        <v>57</v>
      </c>
      <c r="C10">
        <v>66</v>
      </c>
      <c r="D10">
        <v>0</v>
      </c>
      <c r="E10">
        <v>7</v>
      </c>
      <c r="F10">
        <v>0</v>
      </c>
      <c r="G10" s="5">
        <v>2.0335648150648922E-2</v>
      </c>
      <c r="H10" t="s">
        <v>52</v>
      </c>
      <c r="I10" t="s">
        <v>53</v>
      </c>
      <c r="J10">
        <v>0</v>
      </c>
      <c r="AA10" s="3">
        <v>45954.875092592592</v>
      </c>
      <c r="AB10">
        <v>43</v>
      </c>
      <c r="AC10">
        <v>0</v>
      </c>
      <c r="AD10">
        <v>2</v>
      </c>
      <c r="AE10">
        <v>0</v>
      </c>
      <c r="AF10" s="5">
        <v>2.0335648150648922E-2</v>
      </c>
      <c r="AG10" t="s">
        <v>38</v>
      </c>
      <c r="AH10" t="s">
        <v>39</v>
      </c>
      <c r="AI10">
        <v>0</v>
      </c>
    </row>
    <row r="11" spans="1:35">
      <c r="A11" s="3">
        <v>45956.6015625</v>
      </c>
      <c r="B11">
        <v>31</v>
      </c>
      <c r="C11">
        <v>14</v>
      </c>
      <c r="D11">
        <v>0</v>
      </c>
      <c r="E11">
        <v>29</v>
      </c>
      <c r="F11">
        <v>0</v>
      </c>
      <c r="G11" s="5">
        <v>1.4293981483206153E-2</v>
      </c>
      <c r="H11" t="s">
        <v>50</v>
      </c>
      <c r="I11" t="s">
        <v>51</v>
      </c>
      <c r="J11">
        <v>0</v>
      </c>
    </row>
    <row r="12" spans="1:35">
      <c r="A12" s="3">
        <v>45958.470810185187</v>
      </c>
      <c r="B12">
        <v>60</v>
      </c>
      <c r="C12">
        <v>16</v>
      </c>
      <c r="D12">
        <v>0</v>
      </c>
      <c r="E12">
        <v>0</v>
      </c>
      <c r="F12">
        <v>0</v>
      </c>
      <c r="G12" s="5">
        <v>6.7708333372138441E-3</v>
      </c>
      <c r="H12" t="s">
        <v>67</v>
      </c>
      <c r="I12" t="s">
        <v>68</v>
      </c>
      <c r="J12">
        <v>0</v>
      </c>
    </row>
    <row r="13" spans="1:35">
      <c r="A13" s="3">
        <v>45958.877384259256</v>
      </c>
      <c r="B13">
        <v>60</v>
      </c>
      <c r="C13">
        <v>10</v>
      </c>
      <c r="D13">
        <v>0</v>
      </c>
      <c r="E13">
        <v>0</v>
      </c>
      <c r="F13">
        <v>0</v>
      </c>
      <c r="G13" s="5">
        <v>1.0983796295477077E-2</v>
      </c>
      <c r="H13" t="s">
        <v>69</v>
      </c>
      <c r="I13" t="s">
        <v>70</v>
      </c>
      <c r="J13">
        <v>0</v>
      </c>
    </row>
    <row r="14" spans="1:35">
      <c r="A14" s="3">
        <v>45960.297789351855</v>
      </c>
      <c r="B14">
        <v>60</v>
      </c>
      <c r="C14">
        <v>22</v>
      </c>
      <c r="D14">
        <v>0</v>
      </c>
      <c r="E14">
        <v>0</v>
      </c>
      <c r="F14">
        <v>0</v>
      </c>
      <c r="G14" s="5">
        <v>6.7592592604341917E-3</v>
      </c>
      <c r="H14" t="s">
        <v>71</v>
      </c>
      <c r="I14" t="s">
        <v>72</v>
      </c>
      <c r="J14">
        <v>0</v>
      </c>
    </row>
    <row r="15" spans="1:35">
      <c r="A15" s="3">
        <v>45960.313784722224</v>
      </c>
      <c r="B15">
        <v>53</v>
      </c>
      <c r="C15">
        <v>26</v>
      </c>
      <c r="D15">
        <v>0</v>
      </c>
      <c r="E15">
        <v>7</v>
      </c>
      <c r="F15">
        <v>0</v>
      </c>
      <c r="G15" s="5">
        <v>1.5023148152977228E-2</v>
      </c>
      <c r="H15" t="s">
        <v>73</v>
      </c>
      <c r="I15" t="s">
        <v>74</v>
      </c>
      <c r="J15">
        <v>0</v>
      </c>
    </row>
    <row r="16" spans="1:35">
      <c r="A16" s="3">
        <v>45963.852662037039</v>
      </c>
      <c r="B16">
        <v>60</v>
      </c>
      <c r="C16">
        <v>14</v>
      </c>
      <c r="D16">
        <v>0</v>
      </c>
      <c r="E16">
        <v>0</v>
      </c>
      <c r="F16">
        <v>0</v>
      </c>
      <c r="G16" s="5">
        <v>1.2187500004074536E-2</v>
      </c>
      <c r="H16" t="s">
        <v>75</v>
      </c>
      <c r="I16" t="s">
        <v>76</v>
      </c>
      <c r="J16">
        <v>0</v>
      </c>
    </row>
    <row r="17" spans="1:16">
      <c r="A17" s="3">
        <v>45963.866400462961</v>
      </c>
      <c r="B17">
        <v>60</v>
      </c>
      <c r="C17">
        <v>34</v>
      </c>
      <c r="D17">
        <v>1</v>
      </c>
      <c r="E17">
        <v>0</v>
      </c>
      <c r="F17">
        <v>0</v>
      </c>
      <c r="G17" s="5">
        <v>1.2881944443506654E-2</v>
      </c>
      <c r="H17" t="s">
        <v>77</v>
      </c>
      <c r="I17" t="s">
        <v>78</v>
      </c>
      <c r="J17">
        <v>0</v>
      </c>
    </row>
    <row r="18" spans="1:16">
      <c r="A18" s="3">
        <v>45964.374537037038</v>
      </c>
      <c r="B18">
        <v>55</v>
      </c>
      <c r="C18">
        <v>22</v>
      </c>
      <c r="D18">
        <v>1</v>
      </c>
      <c r="E18">
        <v>5</v>
      </c>
      <c r="F18">
        <v>0</v>
      </c>
      <c r="G18" s="5">
        <v>1.7210648147738539E-2</v>
      </c>
      <c r="H18" t="s">
        <v>79</v>
      </c>
      <c r="I18" t="s">
        <v>80</v>
      </c>
      <c r="J18">
        <v>0</v>
      </c>
      <c r="K18">
        <f>IF(A18&lt;DATEVALUE("2025/11/20")+TIMEVALUE("6:00"),1,IF(B18-SUM(D18:F18)&lt;&gt;60,0,MAX(2-INT(G18*24*60/10),0)))</f>
        <v>1</v>
      </c>
      <c r="L18">
        <f>L17+K18</f>
        <v>1</v>
      </c>
      <c r="M18">
        <f t="shared" ref="M18" si="0">2+IF(A18&gt;=DATEVALUE("2025/11/30")+TIMEVALUE("6:00"),1,0)+IF(A18&gt;=DATEVALUE("2025/12/11")+TIMEVALUE("6:00"),1,0)</f>
        <v>2</v>
      </c>
      <c r="N18">
        <f t="shared" ref="N18" si="1">N17+M18*(INT(A18-6/24)-INT(A17-6/24))+O18</f>
        <v>2</v>
      </c>
      <c r="O18">
        <f>IF(A18&gt;=DATEVALUE("2025/11/8")+TIMEVALUE("6:00"),1,0)-IF(A17&gt;=DATEVALUE("2025/11/8")+TIMEVALUE("6:00"),1,0)</f>
        <v>0</v>
      </c>
      <c r="P18" t="str">
        <f>IF(L18&lt;N18,"未達成（"&amp;N18-L18&amp;"）",IF(L18=N18,"達成","前倒し（"&amp;L18-N18&amp;"）"))</f>
        <v>未達成（1）</v>
      </c>
    </row>
    <row r="19" spans="1:16">
      <c r="A19" s="3">
        <v>45964.485486111109</v>
      </c>
      <c r="B19">
        <v>53</v>
      </c>
      <c r="C19">
        <v>20</v>
      </c>
      <c r="D19">
        <v>0</v>
      </c>
      <c r="E19">
        <v>7</v>
      </c>
      <c r="F19">
        <v>0</v>
      </c>
      <c r="G19" s="5">
        <v>1.5312499999708962E-2</v>
      </c>
      <c r="H19" t="s">
        <v>81</v>
      </c>
      <c r="I19" t="s">
        <v>82</v>
      </c>
      <c r="J19">
        <v>0</v>
      </c>
      <c r="K19">
        <f t="shared" ref="K19:K82" si="2">IF(A19&lt;DATEVALUE("2025/11/20")+TIMEVALUE("6:00"),1,IF(B19-SUM(D19:F19)&lt;&gt;60,0,MAX(2-INT(G19*24*60/10),0)))</f>
        <v>1</v>
      </c>
      <c r="L19">
        <f t="shared" ref="L19:L82" si="3">L18+K19</f>
        <v>2</v>
      </c>
      <c r="M19">
        <f t="shared" ref="M19:M82" si="4">2+IF(A19&gt;=DATEVALUE("2025/11/30")+TIMEVALUE("6:00"),1,0)+IF(A19&gt;=DATEVALUE("2025/12/11")+TIMEVALUE("6:00"),1,0)</f>
        <v>2</v>
      </c>
      <c r="N19">
        <f t="shared" ref="N19:N82" si="5">N18+M19*(INT(A19-6/24)-INT(A18-6/24))+O19</f>
        <v>2</v>
      </c>
      <c r="O19">
        <f t="shared" ref="O19:O82" si="6">IF(A19&gt;=DATEVALUE("2025/11/8")+TIMEVALUE("6:00"),1,0)-IF(A18&gt;=DATEVALUE("2025/11/8")+TIMEVALUE("6:00"),1,0)</f>
        <v>0</v>
      </c>
      <c r="P19" t="str">
        <f t="shared" ref="P19:P82" si="7">IF(L19&lt;N19,"未達成（"&amp;N19-L19&amp;"）",IF(L19=N19,"達成","前倒し（"&amp;L19-N19&amp;"）"))</f>
        <v>達成</v>
      </c>
    </row>
    <row r="20" spans="1:16">
      <c r="A20" s="3">
        <v>45965.688217592593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1.5277777776645962E-2</v>
      </c>
      <c r="H20" t="s">
        <v>83</v>
      </c>
      <c r="I20" t="s">
        <v>84</v>
      </c>
      <c r="J20">
        <v>0</v>
      </c>
      <c r="K20">
        <f t="shared" si="2"/>
        <v>1</v>
      </c>
      <c r="L20">
        <f t="shared" si="3"/>
        <v>3</v>
      </c>
      <c r="M20">
        <f t="shared" si="4"/>
        <v>2</v>
      </c>
      <c r="N20">
        <f t="shared" si="5"/>
        <v>4</v>
      </c>
      <c r="O20">
        <f t="shared" si="6"/>
        <v>0</v>
      </c>
      <c r="P20" t="str">
        <f t="shared" si="7"/>
        <v>未達成（1）</v>
      </c>
    </row>
    <row r="21" spans="1:16">
      <c r="A21" s="3">
        <v>45965.84888888889</v>
      </c>
      <c r="B21">
        <v>60</v>
      </c>
      <c r="C21">
        <v>23</v>
      </c>
      <c r="D21">
        <v>0</v>
      </c>
      <c r="E21">
        <v>0</v>
      </c>
      <c r="F21">
        <v>0</v>
      </c>
      <c r="G21" s="5">
        <v>1.4004629629198462E-2</v>
      </c>
      <c r="H21" t="s">
        <v>85</v>
      </c>
      <c r="I21" t="s">
        <v>86</v>
      </c>
      <c r="J21">
        <v>0</v>
      </c>
      <c r="K21">
        <f t="shared" si="2"/>
        <v>1</v>
      </c>
      <c r="L21">
        <f t="shared" si="3"/>
        <v>4</v>
      </c>
      <c r="M21">
        <f t="shared" si="4"/>
        <v>2</v>
      </c>
      <c r="N21">
        <f t="shared" si="5"/>
        <v>4</v>
      </c>
      <c r="O21">
        <f t="shared" si="6"/>
        <v>0</v>
      </c>
      <c r="P21" t="str">
        <f t="shared" si="7"/>
        <v>達成</v>
      </c>
    </row>
    <row r="22" spans="1:16">
      <c r="A22" s="3">
        <v>45966.436736111114</v>
      </c>
      <c r="B22">
        <v>56</v>
      </c>
      <c r="C22">
        <v>61</v>
      </c>
      <c r="D22">
        <v>0</v>
      </c>
      <c r="E22">
        <v>4</v>
      </c>
      <c r="F22">
        <v>0</v>
      </c>
      <c r="G22" s="5">
        <v>7.9398148154723458E-3</v>
      </c>
      <c r="H22" t="s">
        <v>87</v>
      </c>
      <c r="I22" t="s">
        <v>88</v>
      </c>
      <c r="J22">
        <v>0</v>
      </c>
      <c r="K22">
        <f t="shared" si="2"/>
        <v>1</v>
      </c>
      <c r="L22">
        <f t="shared" si="3"/>
        <v>5</v>
      </c>
      <c r="M22">
        <f t="shared" si="4"/>
        <v>2</v>
      </c>
      <c r="N22">
        <f t="shared" si="5"/>
        <v>6</v>
      </c>
      <c r="O22">
        <f t="shared" si="6"/>
        <v>0</v>
      </c>
      <c r="P22" t="str">
        <f t="shared" si="7"/>
        <v>未達成（1）</v>
      </c>
    </row>
    <row r="23" spans="1:16">
      <c r="A23" s="3">
        <v>45966.85869212963</v>
      </c>
      <c r="B23">
        <v>60</v>
      </c>
      <c r="C23">
        <v>80</v>
      </c>
      <c r="D23">
        <v>0</v>
      </c>
      <c r="E23">
        <v>0</v>
      </c>
      <c r="F23">
        <v>0</v>
      </c>
      <c r="G23" s="5">
        <v>1.4085648152104113E-2</v>
      </c>
      <c r="H23" t="s">
        <v>89</v>
      </c>
      <c r="I23" t="s">
        <v>90</v>
      </c>
      <c r="J23">
        <v>0</v>
      </c>
      <c r="K23">
        <f t="shared" si="2"/>
        <v>1</v>
      </c>
      <c r="L23">
        <f t="shared" si="3"/>
        <v>6</v>
      </c>
      <c r="M23">
        <f t="shared" si="4"/>
        <v>2</v>
      </c>
      <c r="N23">
        <f t="shared" si="5"/>
        <v>6</v>
      </c>
      <c r="O23">
        <f t="shared" si="6"/>
        <v>0</v>
      </c>
      <c r="P23" t="str">
        <f t="shared" si="7"/>
        <v>達成</v>
      </c>
    </row>
    <row r="24" spans="1:16">
      <c r="A24" s="3">
        <v>45967.811736111114</v>
      </c>
      <c r="B24">
        <v>60</v>
      </c>
      <c r="C24">
        <v>104</v>
      </c>
      <c r="D24">
        <v>0</v>
      </c>
      <c r="E24">
        <v>0</v>
      </c>
      <c r="F24">
        <v>0</v>
      </c>
      <c r="G24" s="5">
        <v>1.5046296299260575E-2</v>
      </c>
      <c r="H24" t="s">
        <v>91</v>
      </c>
      <c r="I24" t="s">
        <v>92</v>
      </c>
      <c r="J24">
        <v>0</v>
      </c>
      <c r="K24">
        <f t="shared" si="2"/>
        <v>1</v>
      </c>
      <c r="L24">
        <f t="shared" si="3"/>
        <v>7</v>
      </c>
      <c r="M24">
        <f t="shared" si="4"/>
        <v>2</v>
      </c>
      <c r="N24">
        <f t="shared" si="5"/>
        <v>8</v>
      </c>
      <c r="O24">
        <f t="shared" si="6"/>
        <v>0</v>
      </c>
      <c r="P24" t="str">
        <f t="shared" si="7"/>
        <v>未達成（1）</v>
      </c>
    </row>
    <row r="25" spans="1:16">
      <c r="A25" s="3">
        <v>45967.82545138889</v>
      </c>
      <c r="B25">
        <v>60</v>
      </c>
      <c r="C25">
        <v>92</v>
      </c>
      <c r="D25">
        <v>0</v>
      </c>
      <c r="E25">
        <v>0</v>
      </c>
      <c r="F25">
        <v>0</v>
      </c>
      <c r="G25" s="5">
        <v>1.226851851970423E-2</v>
      </c>
      <c r="H25" t="s">
        <v>93</v>
      </c>
      <c r="I25" t="s">
        <v>94</v>
      </c>
      <c r="J25">
        <v>0</v>
      </c>
      <c r="K25">
        <f t="shared" si="2"/>
        <v>1</v>
      </c>
      <c r="L25">
        <f t="shared" si="3"/>
        <v>8</v>
      </c>
      <c r="M25">
        <f t="shared" si="4"/>
        <v>2</v>
      </c>
      <c r="N25">
        <f t="shared" si="5"/>
        <v>8</v>
      </c>
      <c r="O25">
        <f t="shared" si="6"/>
        <v>0</v>
      </c>
      <c r="P25" t="str">
        <f t="shared" si="7"/>
        <v>達成</v>
      </c>
    </row>
    <row r="26" spans="1:16">
      <c r="A26" s="3">
        <v>45968.850543981483</v>
      </c>
      <c r="B26">
        <v>60</v>
      </c>
      <c r="C26">
        <v>102</v>
      </c>
      <c r="D26">
        <v>0</v>
      </c>
      <c r="E26">
        <v>0</v>
      </c>
      <c r="F26">
        <v>0</v>
      </c>
      <c r="G26" s="5">
        <v>2.5509259263344575E-2</v>
      </c>
      <c r="H26" t="s">
        <v>95</v>
      </c>
      <c r="I26" t="s">
        <v>96</v>
      </c>
      <c r="J26">
        <v>0</v>
      </c>
      <c r="K26">
        <f t="shared" si="2"/>
        <v>1</v>
      </c>
      <c r="L26">
        <f t="shared" si="3"/>
        <v>9</v>
      </c>
      <c r="M26">
        <f t="shared" si="4"/>
        <v>2</v>
      </c>
      <c r="N26">
        <f t="shared" si="5"/>
        <v>10</v>
      </c>
      <c r="O26">
        <f t="shared" si="6"/>
        <v>0</v>
      </c>
      <c r="P26" t="str">
        <f t="shared" si="7"/>
        <v>未達成（1）</v>
      </c>
    </row>
    <row r="27" spans="1:16">
      <c r="A27" s="3">
        <v>45968.864317129628</v>
      </c>
      <c r="B27">
        <v>60</v>
      </c>
      <c r="C27">
        <v>115</v>
      </c>
      <c r="D27">
        <v>0</v>
      </c>
      <c r="E27">
        <v>0</v>
      </c>
      <c r="F27">
        <v>0</v>
      </c>
      <c r="G27" s="5">
        <v>1.2974537035916001E-2</v>
      </c>
      <c r="H27" t="s">
        <v>97</v>
      </c>
      <c r="I27" t="s">
        <v>98</v>
      </c>
      <c r="J27">
        <v>0</v>
      </c>
      <c r="K27">
        <f t="shared" si="2"/>
        <v>1</v>
      </c>
      <c r="L27">
        <f t="shared" si="3"/>
        <v>10</v>
      </c>
      <c r="M27">
        <f t="shared" si="4"/>
        <v>2</v>
      </c>
      <c r="N27">
        <f t="shared" si="5"/>
        <v>10</v>
      </c>
      <c r="O27">
        <f t="shared" si="6"/>
        <v>0</v>
      </c>
      <c r="P27" t="str">
        <f t="shared" si="7"/>
        <v>達成</v>
      </c>
    </row>
    <row r="28" spans="1:16">
      <c r="A28" s="3">
        <v>45969.555104166669</v>
      </c>
      <c r="B28">
        <v>55</v>
      </c>
      <c r="C28">
        <v>72</v>
      </c>
      <c r="D28">
        <v>0</v>
      </c>
      <c r="E28">
        <v>5</v>
      </c>
      <c r="F28">
        <v>0</v>
      </c>
      <c r="G28" s="5">
        <v>1.0231481486698613E-2</v>
      </c>
      <c r="H28" t="s">
        <v>99</v>
      </c>
      <c r="I28" t="s">
        <v>100</v>
      </c>
      <c r="J28">
        <v>0</v>
      </c>
      <c r="K28">
        <f t="shared" si="2"/>
        <v>1</v>
      </c>
      <c r="L28">
        <f t="shared" si="3"/>
        <v>11</v>
      </c>
      <c r="M28">
        <f t="shared" si="4"/>
        <v>2</v>
      </c>
      <c r="N28">
        <f t="shared" si="5"/>
        <v>13</v>
      </c>
      <c r="O28">
        <f t="shared" si="6"/>
        <v>1</v>
      </c>
      <c r="P28" t="str">
        <f t="shared" si="7"/>
        <v>未達成（2）</v>
      </c>
    </row>
    <row r="29" spans="1:16">
      <c r="A29" s="3">
        <v>45969.845405092594</v>
      </c>
      <c r="B29">
        <v>60</v>
      </c>
      <c r="C29">
        <v>25</v>
      </c>
      <c r="D29">
        <v>0</v>
      </c>
      <c r="E29">
        <v>0</v>
      </c>
      <c r="F29">
        <v>0</v>
      </c>
      <c r="G29" s="5">
        <v>1.1145833334012423E-2</v>
      </c>
      <c r="H29" t="s">
        <v>101</v>
      </c>
      <c r="I29" t="s">
        <v>102</v>
      </c>
      <c r="J29">
        <v>0</v>
      </c>
      <c r="K29">
        <f t="shared" si="2"/>
        <v>1</v>
      </c>
      <c r="L29">
        <f t="shared" si="3"/>
        <v>12</v>
      </c>
      <c r="M29">
        <f t="shared" si="4"/>
        <v>2</v>
      </c>
      <c r="N29">
        <f t="shared" si="5"/>
        <v>13</v>
      </c>
      <c r="O29">
        <f t="shared" si="6"/>
        <v>0</v>
      </c>
      <c r="P29" t="str">
        <f t="shared" si="7"/>
        <v>未達成（1）</v>
      </c>
    </row>
    <row r="30" spans="1:16">
      <c r="A30" s="3">
        <v>45969.862083333333</v>
      </c>
      <c r="B30">
        <v>60</v>
      </c>
      <c r="C30">
        <v>32</v>
      </c>
      <c r="D30">
        <v>0</v>
      </c>
      <c r="E30">
        <v>0</v>
      </c>
      <c r="F30">
        <v>0</v>
      </c>
      <c r="G30" s="5">
        <v>1.6215277777519077E-2</v>
      </c>
      <c r="H30" t="s">
        <v>103</v>
      </c>
      <c r="I30" t="s">
        <v>104</v>
      </c>
      <c r="J30">
        <v>0</v>
      </c>
      <c r="K30">
        <f t="shared" si="2"/>
        <v>1</v>
      </c>
      <c r="L30">
        <f t="shared" si="3"/>
        <v>13</v>
      </c>
      <c r="M30">
        <f t="shared" si="4"/>
        <v>2</v>
      </c>
      <c r="N30">
        <f t="shared" si="5"/>
        <v>13</v>
      </c>
      <c r="O30">
        <f t="shared" si="6"/>
        <v>0</v>
      </c>
      <c r="P30" t="str">
        <f t="shared" si="7"/>
        <v>達成</v>
      </c>
    </row>
    <row r="31" spans="1:16">
      <c r="A31" s="3">
        <v>45970.704884259256</v>
      </c>
      <c r="B31">
        <v>60</v>
      </c>
      <c r="C31">
        <v>30</v>
      </c>
      <c r="D31">
        <v>0</v>
      </c>
      <c r="E31">
        <v>0</v>
      </c>
      <c r="F31">
        <v>0</v>
      </c>
      <c r="G31" s="5">
        <v>8.5648148087784648E-3</v>
      </c>
      <c r="H31" t="s">
        <v>105</v>
      </c>
      <c r="I31" t="s">
        <v>106</v>
      </c>
      <c r="J31">
        <v>0</v>
      </c>
      <c r="K31">
        <f t="shared" si="2"/>
        <v>1</v>
      </c>
      <c r="L31">
        <f t="shared" si="3"/>
        <v>14</v>
      </c>
      <c r="M31">
        <f t="shared" si="4"/>
        <v>2</v>
      </c>
      <c r="N31">
        <f t="shared" si="5"/>
        <v>15</v>
      </c>
      <c r="O31">
        <f t="shared" si="6"/>
        <v>0</v>
      </c>
      <c r="P31" t="str">
        <f t="shared" si="7"/>
        <v>未達成（1）</v>
      </c>
    </row>
    <row r="32" spans="1:16">
      <c r="A32" s="3">
        <v>45970.721099537041</v>
      </c>
      <c r="B32">
        <v>60</v>
      </c>
      <c r="C32">
        <v>33</v>
      </c>
      <c r="D32">
        <v>0</v>
      </c>
      <c r="E32">
        <v>0</v>
      </c>
      <c r="F32">
        <v>0</v>
      </c>
      <c r="G32" s="5">
        <v>1.4189814821293112E-2</v>
      </c>
      <c r="H32" t="s">
        <v>107</v>
      </c>
      <c r="I32" t="s">
        <v>108</v>
      </c>
      <c r="J32">
        <v>0</v>
      </c>
      <c r="K32">
        <f t="shared" si="2"/>
        <v>1</v>
      </c>
      <c r="L32">
        <f t="shared" si="3"/>
        <v>15</v>
      </c>
      <c r="M32">
        <f t="shared" si="4"/>
        <v>2</v>
      </c>
      <c r="N32">
        <f t="shared" si="5"/>
        <v>15</v>
      </c>
      <c r="O32">
        <f t="shared" si="6"/>
        <v>0</v>
      </c>
      <c r="P32" t="str">
        <f t="shared" si="7"/>
        <v>達成</v>
      </c>
    </row>
    <row r="33" spans="1:16">
      <c r="A33" s="3">
        <v>45971.832638888889</v>
      </c>
      <c r="B33">
        <v>56</v>
      </c>
      <c r="C33">
        <v>26</v>
      </c>
      <c r="D33">
        <v>0</v>
      </c>
      <c r="E33">
        <v>4</v>
      </c>
      <c r="F33">
        <v>0</v>
      </c>
      <c r="G33" s="5">
        <v>1.2141203704231884E-2</v>
      </c>
      <c r="H33" t="s">
        <v>109</v>
      </c>
      <c r="I33" t="s">
        <v>110</v>
      </c>
      <c r="J33">
        <v>0</v>
      </c>
      <c r="K33">
        <f t="shared" si="2"/>
        <v>1</v>
      </c>
      <c r="L33">
        <f t="shared" si="3"/>
        <v>16</v>
      </c>
      <c r="M33">
        <f t="shared" si="4"/>
        <v>2</v>
      </c>
      <c r="N33">
        <f t="shared" si="5"/>
        <v>17</v>
      </c>
      <c r="O33">
        <f t="shared" si="6"/>
        <v>0</v>
      </c>
      <c r="P33" t="str">
        <f t="shared" si="7"/>
        <v>未達成（1）</v>
      </c>
    </row>
    <row r="34" spans="1:16">
      <c r="A34" s="3">
        <v>45971.844918981478</v>
      </c>
      <c r="B34">
        <v>60</v>
      </c>
      <c r="C34">
        <v>16</v>
      </c>
      <c r="D34">
        <v>0</v>
      </c>
      <c r="E34">
        <v>0</v>
      </c>
      <c r="F34">
        <v>0</v>
      </c>
      <c r="G34" s="5">
        <v>1.1770833327318542E-2</v>
      </c>
      <c r="H34" t="s">
        <v>111</v>
      </c>
      <c r="I34" t="s">
        <v>112</v>
      </c>
      <c r="J34">
        <v>0</v>
      </c>
      <c r="K34">
        <f t="shared" si="2"/>
        <v>1</v>
      </c>
      <c r="L34">
        <f t="shared" si="3"/>
        <v>17</v>
      </c>
      <c r="M34">
        <f t="shared" si="4"/>
        <v>2</v>
      </c>
      <c r="N34">
        <f t="shared" si="5"/>
        <v>17</v>
      </c>
      <c r="O34">
        <f t="shared" si="6"/>
        <v>0</v>
      </c>
      <c r="P34" t="str">
        <f t="shared" si="7"/>
        <v>達成</v>
      </c>
    </row>
    <row r="35" spans="1:16">
      <c r="A35" s="3">
        <v>45972.780532407407</v>
      </c>
      <c r="B35">
        <v>60</v>
      </c>
      <c r="C35">
        <v>29</v>
      </c>
      <c r="D35">
        <v>0</v>
      </c>
      <c r="E35">
        <v>0</v>
      </c>
      <c r="F35">
        <v>0</v>
      </c>
      <c r="G35" s="5">
        <v>9.3750000014551915E-3</v>
      </c>
      <c r="H35" t="s">
        <v>113</v>
      </c>
      <c r="I35" t="s">
        <v>114</v>
      </c>
      <c r="J35">
        <v>0</v>
      </c>
      <c r="K35">
        <f t="shared" si="2"/>
        <v>1</v>
      </c>
      <c r="L35">
        <f t="shared" si="3"/>
        <v>18</v>
      </c>
      <c r="M35">
        <f t="shared" si="4"/>
        <v>2</v>
      </c>
      <c r="N35">
        <f t="shared" si="5"/>
        <v>19</v>
      </c>
      <c r="O35">
        <f t="shared" si="6"/>
        <v>0</v>
      </c>
      <c r="P35" t="str">
        <f t="shared" si="7"/>
        <v>未達成（1）</v>
      </c>
    </row>
    <row r="36" spans="1:16">
      <c r="A36" s="3">
        <v>45972.793865740743</v>
      </c>
      <c r="B36">
        <v>60</v>
      </c>
      <c r="C36">
        <v>25</v>
      </c>
      <c r="D36">
        <v>0</v>
      </c>
      <c r="E36">
        <v>0</v>
      </c>
      <c r="F36">
        <v>0</v>
      </c>
      <c r="G36" s="5">
        <v>1.2557870373711921E-2</v>
      </c>
      <c r="H36" t="s">
        <v>115</v>
      </c>
      <c r="I36" t="s">
        <v>116</v>
      </c>
      <c r="J36">
        <v>0</v>
      </c>
      <c r="K36">
        <f t="shared" si="2"/>
        <v>1</v>
      </c>
      <c r="L36">
        <f t="shared" si="3"/>
        <v>19</v>
      </c>
      <c r="M36">
        <f t="shared" si="4"/>
        <v>2</v>
      </c>
      <c r="N36">
        <f t="shared" si="5"/>
        <v>19</v>
      </c>
      <c r="O36">
        <f t="shared" si="6"/>
        <v>0</v>
      </c>
      <c r="P36" t="str">
        <f t="shared" si="7"/>
        <v>達成</v>
      </c>
    </row>
    <row r="37" spans="1:16">
      <c r="A37" s="3">
        <v>45973.843310185184</v>
      </c>
      <c r="B37">
        <v>55</v>
      </c>
      <c r="C37">
        <v>21</v>
      </c>
      <c r="D37">
        <v>0</v>
      </c>
      <c r="E37">
        <v>5</v>
      </c>
      <c r="F37">
        <v>3</v>
      </c>
      <c r="G37" s="5">
        <v>1.0891203703067731E-2</v>
      </c>
      <c r="H37" t="s">
        <v>119</v>
      </c>
      <c r="I37" t="s">
        <v>120</v>
      </c>
      <c r="J37">
        <v>0</v>
      </c>
      <c r="K37">
        <f t="shared" si="2"/>
        <v>1</v>
      </c>
      <c r="L37">
        <f t="shared" si="3"/>
        <v>20</v>
      </c>
      <c r="M37">
        <f t="shared" si="4"/>
        <v>2</v>
      </c>
      <c r="N37">
        <f t="shared" si="5"/>
        <v>21</v>
      </c>
      <c r="O37">
        <f t="shared" si="6"/>
        <v>0</v>
      </c>
      <c r="P37" t="str">
        <f t="shared" si="7"/>
        <v>未達成（1）</v>
      </c>
    </row>
    <row r="38" spans="1:16">
      <c r="A38" s="3">
        <v>45973.856666666667</v>
      </c>
      <c r="B38">
        <v>60</v>
      </c>
      <c r="C38">
        <v>27</v>
      </c>
      <c r="D38">
        <v>0</v>
      </c>
      <c r="E38">
        <v>0</v>
      </c>
      <c r="F38">
        <v>0</v>
      </c>
      <c r="G38" s="5">
        <v>1.0324074071832001E-2</v>
      </c>
      <c r="H38" t="s">
        <v>117</v>
      </c>
      <c r="I38" t="s">
        <v>118</v>
      </c>
      <c r="J38">
        <v>0</v>
      </c>
      <c r="K38">
        <f t="shared" si="2"/>
        <v>1</v>
      </c>
      <c r="L38">
        <f t="shared" si="3"/>
        <v>21</v>
      </c>
      <c r="M38">
        <f t="shared" si="4"/>
        <v>2</v>
      </c>
      <c r="N38">
        <f t="shared" si="5"/>
        <v>21</v>
      </c>
      <c r="O38">
        <f t="shared" si="6"/>
        <v>0</v>
      </c>
      <c r="P38" t="str">
        <f t="shared" si="7"/>
        <v>達成</v>
      </c>
    </row>
    <row r="39" spans="1:16">
      <c r="A39" s="3">
        <v>45975.317916666667</v>
      </c>
      <c r="B39">
        <v>60</v>
      </c>
      <c r="C39">
        <v>14</v>
      </c>
      <c r="D39">
        <v>0</v>
      </c>
      <c r="E39">
        <v>0</v>
      </c>
      <c r="F39">
        <v>0</v>
      </c>
      <c r="G39" s="5">
        <v>1.0081018517666962E-2</v>
      </c>
      <c r="H39" t="s">
        <v>121</v>
      </c>
      <c r="I39" t="s">
        <v>122</v>
      </c>
      <c r="J39">
        <v>0</v>
      </c>
      <c r="K39">
        <f t="shared" si="2"/>
        <v>1</v>
      </c>
      <c r="L39">
        <f t="shared" si="3"/>
        <v>22</v>
      </c>
      <c r="M39">
        <f t="shared" si="4"/>
        <v>2</v>
      </c>
      <c r="N39">
        <f t="shared" si="5"/>
        <v>25</v>
      </c>
      <c r="O39">
        <f t="shared" si="6"/>
        <v>0</v>
      </c>
      <c r="P39" t="str">
        <f t="shared" si="7"/>
        <v>未達成（3）</v>
      </c>
    </row>
    <row r="40" spans="1:16">
      <c r="A40" s="3">
        <v>45975.32885416667</v>
      </c>
      <c r="B40">
        <v>60</v>
      </c>
      <c r="C40">
        <v>21</v>
      </c>
      <c r="D40">
        <v>0</v>
      </c>
      <c r="E40">
        <v>0</v>
      </c>
      <c r="F40">
        <v>0</v>
      </c>
      <c r="G40" s="5">
        <v>1.0335648148611654E-2</v>
      </c>
      <c r="H40" t="s">
        <v>123</v>
      </c>
      <c r="I40" t="s">
        <v>124</v>
      </c>
      <c r="J40">
        <v>0</v>
      </c>
      <c r="K40">
        <f t="shared" si="2"/>
        <v>1</v>
      </c>
      <c r="L40">
        <f t="shared" si="3"/>
        <v>23</v>
      </c>
      <c r="M40">
        <f t="shared" si="4"/>
        <v>2</v>
      </c>
      <c r="N40">
        <f t="shared" si="5"/>
        <v>25</v>
      </c>
      <c r="O40">
        <f t="shared" si="6"/>
        <v>0</v>
      </c>
      <c r="P40" t="str">
        <f t="shared" si="7"/>
        <v>未達成（2）</v>
      </c>
    </row>
    <row r="41" spans="1:16">
      <c r="A41" s="3">
        <v>45976.853715277779</v>
      </c>
      <c r="B41">
        <v>60</v>
      </c>
      <c r="C41">
        <v>33</v>
      </c>
      <c r="D41">
        <v>0</v>
      </c>
      <c r="E41">
        <v>0</v>
      </c>
      <c r="F41">
        <v>0</v>
      </c>
      <c r="G41" s="5">
        <v>8.3912037080153823E-3</v>
      </c>
      <c r="H41" t="s">
        <v>125</v>
      </c>
      <c r="I41" t="s">
        <v>126</v>
      </c>
      <c r="J41">
        <v>0</v>
      </c>
      <c r="K41">
        <f t="shared" si="2"/>
        <v>1</v>
      </c>
      <c r="L41">
        <f t="shared" si="3"/>
        <v>24</v>
      </c>
      <c r="M41">
        <f t="shared" si="4"/>
        <v>2</v>
      </c>
      <c r="N41">
        <f t="shared" si="5"/>
        <v>27</v>
      </c>
      <c r="O41">
        <f t="shared" si="6"/>
        <v>0</v>
      </c>
      <c r="P41" t="str">
        <f t="shared" si="7"/>
        <v>未達成（3）</v>
      </c>
    </row>
    <row r="42" spans="1:16">
      <c r="A42" s="3">
        <v>45976.862627314818</v>
      </c>
      <c r="B42">
        <v>60</v>
      </c>
      <c r="C42">
        <v>11</v>
      </c>
      <c r="D42">
        <v>0</v>
      </c>
      <c r="E42">
        <v>0</v>
      </c>
      <c r="F42">
        <v>0</v>
      </c>
      <c r="G42" s="5">
        <v>8.4722222236450762E-3</v>
      </c>
      <c r="H42" t="s">
        <v>127</v>
      </c>
      <c r="I42" t="s">
        <v>128</v>
      </c>
      <c r="J42">
        <v>0</v>
      </c>
      <c r="K42">
        <f t="shared" si="2"/>
        <v>1</v>
      </c>
      <c r="L42">
        <f t="shared" si="3"/>
        <v>25</v>
      </c>
      <c r="M42">
        <f t="shared" si="4"/>
        <v>2</v>
      </c>
      <c r="N42">
        <f t="shared" si="5"/>
        <v>27</v>
      </c>
      <c r="O42">
        <f t="shared" si="6"/>
        <v>0</v>
      </c>
      <c r="P42" t="str">
        <f t="shared" si="7"/>
        <v>未達成（2）</v>
      </c>
    </row>
    <row r="43" spans="1:16">
      <c r="A43" s="3">
        <v>45977.309733796297</v>
      </c>
      <c r="B43">
        <v>60</v>
      </c>
      <c r="C43">
        <v>19</v>
      </c>
      <c r="D43">
        <v>0</v>
      </c>
      <c r="E43">
        <v>0</v>
      </c>
      <c r="F43">
        <v>0</v>
      </c>
      <c r="G43" s="5">
        <v>7.7546296306536533E-3</v>
      </c>
      <c r="H43" t="s">
        <v>129</v>
      </c>
      <c r="I43" t="s">
        <v>130</v>
      </c>
      <c r="J43">
        <v>0</v>
      </c>
      <c r="K43">
        <f t="shared" si="2"/>
        <v>1</v>
      </c>
      <c r="L43">
        <f t="shared" si="3"/>
        <v>26</v>
      </c>
      <c r="M43">
        <f t="shared" si="4"/>
        <v>2</v>
      </c>
      <c r="N43">
        <f t="shared" si="5"/>
        <v>29</v>
      </c>
      <c r="O43">
        <f t="shared" si="6"/>
        <v>0</v>
      </c>
      <c r="P43" t="str">
        <f t="shared" si="7"/>
        <v>未達成（3）</v>
      </c>
    </row>
    <row r="44" spans="1:16">
      <c r="A44" s="3">
        <v>45977.319560185184</v>
      </c>
      <c r="B44">
        <v>60</v>
      </c>
      <c r="C44">
        <v>24</v>
      </c>
      <c r="D44">
        <v>0</v>
      </c>
      <c r="E44">
        <v>0</v>
      </c>
      <c r="F44">
        <v>0</v>
      </c>
      <c r="G44" s="5">
        <v>8.5300925929914229E-3</v>
      </c>
      <c r="H44" t="s">
        <v>131</v>
      </c>
      <c r="I44" t="s">
        <v>132</v>
      </c>
      <c r="J44">
        <v>0</v>
      </c>
      <c r="K44">
        <f t="shared" si="2"/>
        <v>1</v>
      </c>
      <c r="L44">
        <f t="shared" si="3"/>
        <v>27</v>
      </c>
      <c r="M44">
        <f t="shared" si="4"/>
        <v>2</v>
      </c>
      <c r="N44">
        <f t="shared" si="5"/>
        <v>29</v>
      </c>
      <c r="O44">
        <f t="shared" si="6"/>
        <v>0</v>
      </c>
      <c r="P44" t="str">
        <f t="shared" si="7"/>
        <v>未達成（2）</v>
      </c>
    </row>
    <row r="45" spans="1:16">
      <c r="A45" s="3">
        <v>45977.560624999998</v>
      </c>
      <c r="B45">
        <v>60</v>
      </c>
      <c r="C45">
        <v>32</v>
      </c>
      <c r="D45">
        <v>0</v>
      </c>
      <c r="E45">
        <v>0</v>
      </c>
      <c r="F45">
        <v>0</v>
      </c>
      <c r="G45" s="5">
        <v>8.9004629626288079E-3</v>
      </c>
      <c r="H45" t="s">
        <v>133</v>
      </c>
      <c r="I45" t="s">
        <v>134</v>
      </c>
      <c r="J45">
        <v>0</v>
      </c>
      <c r="K45">
        <f t="shared" si="2"/>
        <v>1</v>
      </c>
      <c r="L45">
        <f t="shared" si="3"/>
        <v>28</v>
      </c>
      <c r="M45">
        <f t="shared" si="4"/>
        <v>2</v>
      </c>
      <c r="N45">
        <f t="shared" si="5"/>
        <v>29</v>
      </c>
      <c r="O45">
        <f t="shared" si="6"/>
        <v>0</v>
      </c>
      <c r="P45" t="str">
        <f t="shared" si="7"/>
        <v>未達成（1）</v>
      </c>
    </row>
    <row r="46" spans="1:16">
      <c r="A46" s="3">
        <v>45977.569733796299</v>
      </c>
      <c r="B46">
        <v>60</v>
      </c>
      <c r="C46">
        <v>12</v>
      </c>
      <c r="D46">
        <v>0</v>
      </c>
      <c r="E46">
        <v>0</v>
      </c>
      <c r="F46">
        <v>0</v>
      </c>
      <c r="G46" s="5">
        <v>7.6967592613073066E-3</v>
      </c>
      <c r="H46" t="s">
        <v>135</v>
      </c>
      <c r="I46" t="s">
        <v>136</v>
      </c>
      <c r="J46">
        <v>0</v>
      </c>
      <c r="K46">
        <f t="shared" si="2"/>
        <v>1</v>
      </c>
      <c r="L46">
        <f t="shared" si="3"/>
        <v>29</v>
      </c>
      <c r="M46">
        <f t="shared" si="4"/>
        <v>2</v>
      </c>
      <c r="N46">
        <f t="shared" si="5"/>
        <v>29</v>
      </c>
      <c r="O46">
        <f t="shared" si="6"/>
        <v>0</v>
      </c>
      <c r="P46" t="str">
        <f t="shared" si="7"/>
        <v>達成</v>
      </c>
    </row>
    <row r="47" spans="1:16">
      <c r="A47" s="3">
        <v>45977.856840277775</v>
      </c>
      <c r="B47">
        <v>60</v>
      </c>
      <c r="C47">
        <v>31</v>
      </c>
      <c r="D47">
        <v>0</v>
      </c>
      <c r="E47">
        <v>0</v>
      </c>
      <c r="F47">
        <v>0</v>
      </c>
      <c r="G47" s="5">
        <v>5.7870370364980772E-3</v>
      </c>
      <c r="H47" t="s">
        <v>137</v>
      </c>
      <c r="I47" t="s">
        <v>138</v>
      </c>
      <c r="J47">
        <v>0</v>
      </c>
      <c r="K47">
        <f t="shared" si="2"/>
        <v>1</v>
      </c>
      <c r="L47">
        <f t="shared" si="3"/>
        <v>30</v>
      </c>
      <c r="M47">
        <f t="shared" si="4"/>
        <v>2</v>
      </c>
      <c r="N47">
        <f t="shared" si="5"/>
        <v>29</v>
      </c>
      <c r="O47">
        <f t="shared" si="6"/>
        <v>0</v>
      </c>
      <c r="P47" t="str">
        <f t="shared" si="7"/>
        <v>前倒し（1）</v>
      </c>
    </row>
    <row r="48" spans="1:16">
      <c r="A48" s="3">
        <v>45977.87672453704</v>
      </c>
      <c r="B48">
        <v>60</v>
      </c>
      <c r="C48">
        <v>28</v>
      </c>
      <c r="D48">
        <v>0</v>
      </c>
      <c r="E48">
        <v>0</v>
      </c>
      <c r="F48">
        <v>0</v>
      </c>
      <c r="G48" s="5">
        <v>7.291666668606922E-3</v>
      </c>
      <c r="H48" t="s">
        <v>139</v>
      </c>
      <c r="I48" t="s">
        <v>140</v>
      </c>
      <c r="J48">
        <v>0</v>
      </c>
      <c r="K48">
        <f t="shared" si="2"/>
        <v>1</v>
      </c>
      <c r="L48">
        <f t="shared" si="3"/>
        <v>31</v>
      </c>
      <c r="M48">
        <f t="shared" si="4"/>
        <v>2</v>
      </c>
      <c r="N48">
        <f t="shared" si="5"/>
        <v>29</v>
      </c>
      <c r="O48">
        <f t="shared" si="6"/>
        <v>0</v>
      </c>
      <c r="P48" t="str">
        <f t="shared" si="7"/>
        <v>前倒し（2）</v>
      </c>
    </row>
    <row r="49" spans="1:16">
      <c r="A49" s="3">
        <v>45978.468275462961</v>
      </c>
      <c r="B49">
        <v>60</v>
      </c>
      <c r="C49">
        <v>23</v>
      </c>
      <c r="D49">
        <v>0</v>
      </c>
      <c r="E49">
        <v>0</v>
      </c>
      <c r="F49">
        <v>0</v>
      </c>
      <c r="G49" s="5">
        <v>5.277777774608694E-3</v>
      </c>
      <c r="H49" t="s">
        <v>141</v>
      </c>
      <c r="I49" t="s">
        <v>142</v>
      </c>
      <c r="J49">
        <v>0</v>
      </c>
      <c r="K49">
        <f t="shared" si="2"/>
        <v>1</v>
      </c>
      <c r="L49">
        <f t="shared" si="3"/>
        <v>32</v>
      </c>
      <c r="M49">
        <f t="shared" si="4"/>
        <v>2</v>
      </c>
      <c r="N49">
        <f t="shared" si="5"/>
        <v>31</v>
      </c>
      <c r="O49">
        <f t="shared" si="6"/>
        <v>0</v>
      </c>
      <c r="P49" t="str">
        <f t="shared" si="7"/>
        <v>前倒し（1）</v>
      </c>
    </row>
    <row r="50" spans="1:16">
      <c r="A50" s="3">
        <v>45978.476666666669</v>
      </c>
      <c r="B50">
        <v>60</v>
      </c>
      <c r="C50">
        <v>18</v>
      </c>
      <c r="D50">
        <v>0</v>
      </c>
      <c r="E50">
        <v>0</v>
      </c>
      <c r="F50">
        <v>0</v>
      </c>
      <c r="G50" s="5">
        <v>6.8518518528435379E-3</v>
      </c>
      <c r="H50" t="s">
        <v>143</v>
      </c>
      <c r="I50" t="s">
        <v>144</v>
      </c>
      <c r="J50">
        <v>0</v>
      </c>
      <c r="K50">
        <f t="shared" si="2"/>
        <v>1</v>
      </c>
      <c r="L50">
        <f t="shared" si="3"/>
        <v>33</v>
      </c>
      <c r="M50">
        <f t="shared" si="4"/>
        <v>2</v>
      </c>
      <c r="N50">
        <f t="shared" si="5"/>
        <v>31</v>
      </c>
      <c r="O50">
        <f t="shared" si="6"/>
        <v>0</v>
      </c>
      <c r="P50" t="str">
        <f t="shared" si="7"/>
        <v>前倒し（2）</v>
      </c>
    </row>
    <row r="51" spans="1:16">
      <c r="A51" s="3">
        <v>45978.71597222222</v>
      </c>
      <c r="B51">
        <v>60</v>
      </c>
      <c r="C51">
        <v>25</v>
      </c>
      <c r="D51">
        <v>0</v>
      </c>
      <c r="E51">
        <v>0</v>
      </c>
      <c r="F51">
        <v>0</v>
      </c>
      <c r="G51" s="5">
        <v>8.4027777775190771E-3</v>
      </c>
      <c r="H51" t="s">
        <v>145</v>
      </c>
      <c r="I51" t="s">
        <v>146</v>
      </c>
      <c r="J51">
        <v>0</v>
      </c>
      <c r="K51">
        <f t="shared" si="2"/>
        <v>1</v>
      </c>
      <c r="L51">
        <f t="shared" si="3"/>
        <v>34</v>
      </c>
      <c r="M51">
        <f t="shared" si="4"/>
        <v>2</v>
      </c>
      <c r="N51">
        <f t="shared" si="5"/>
        <v>31</v>
      </c>
      <c r="O51">
        <f t="shared" si="6"/>
        <v>0</v>
      </c>
      <c r="P51" t="str">
        <f t="shared" si="7"/>
        <v>前倒し（3）</v>
      </c>
    </row>
    <row r="52" spans="1:16">
      <c r="A52" s="3">
        <v>45978.727893518517</v>
      </c>
      <c r="B52">
        <v>60</v>
      </c>
      <c r="C52">
        <v>28</v>
      </c>
      <c r="D52">
        <v>0</v>
      </c>
      <c r="E52">
        <v>0</v>
      </c>
      <c r="F52">
        <v>0</v>
      </c>
      <c r="G52" s="5">
        <v>1.1284722218988463E-2</v>
      </c>
      <c r="H52" t="s">
        <v>147</v>
      </c>
      <c r="I52" t="s">
        <v>148</v>
      </c>
      <c r="J52">
        <v>0</v>
      </c>
      <c r="K52">
        <f t="shared" si="2"/>
        <v>1</v>
      </c>
      <c r="L52">
        <f t="shared" si="3"/>
        <v>35</v>
      </c>
      <c r="M52">
        <f t="shared" si="4"/>
        <v>2</v>
      </c>
      <c r="N52">
        <f t="shared" si="5"/>
        <v>31</v>
      </c>
      <c r="O52">
        <f t="shared" si="6"/>
        <v>0</v>
      </c>
      <c r="P52" t="str">
        <f t="shared" si="7"/>
        <v>前倒し（4）</v>
      </c>
    </row>
    <row r="53" spans="1:16">
      <c r="A53" s="3">
        <v>45980.706655092596</v>
      </c>
      <c r="B53">
        <v>60</v>
      </c>
      <c r="C53">
        <v>17</v>
      </c>
      <c r="D53">
        <v>0</v>
      </c>
      <c r="E53">
        <v>0</v>
      </c>
      <c r="F53">
        <v>0</v>
      </c>
      <c r="G53" s="5">
        <v>6.4004629675764591E-3</v>
      </c>
      <c r="H53" t="s">
        <v>149</v>
      </c>
      <c r="I53" t="s">
        <v>150</v>
      </c>
      <c r="J53">
        <v>0</v>
      </c>
      <c r="K53">
        <f t="shared" si="2"/>
        <v>1</v>
      </c>
      <c r="L53">
        <f t="shared" si="3"/>
        <v>36</v>
      </c>
      <c r="M53">
        <f t="shared" si="4"/>
        <v>2</v>
      </c>
      <c r="N53">
        <f t="shared" si="5"/>
        <v>35</v>
      </c>
      <c r="O53">
        <f t="shared" si="6"/>
        <v>0</v>
      </c>
      <c r="P53" t="str">
        <f t="shared" si="7"/>
        <v>前倒し（1）</v>
      </c>
    </row>
    <row r="54" spans="1:16">
      <c r="A54" s="3">
        <v>45980.717303240737</v>
      </c>
      <c r="B54">
        <v>60</v>
      </c>
      <c r="C54">
        <v>18</v>
      </c>
      <c r="D54">
        <v>0</v>
      </c>
      <c r="E54">
        <v>0</v>
      </c>
      <c r="F54">
        <v>0</v>
      </c>
      <c r="G54" s="5">
        <v>1.0150462956517003E-2</v>
      </c>
      <c r="H54" t="s">
        <v>151</v>
      </c>
      <c r="I54" t="s">
        <v>152</v>
      </c>
      <c r="J54">
        <v>0</v>
      </c>
      <c r="K54">
        <f t="shared" si="2"/>
        <v>1</v>
      </c>
      <c r="L54">
        <f t="shared" si="3"/>
        <v>37</v>
      </c>
      <c r="M54">
        <f t="shared" si="4"/>
        <v>2</v>
      </c>
      <c r="N54">
        <f t="shared" si="5"/>
        <v>35</v>
      </c>
      <c r="O54">
        <f t="shared" si="6"/>
        <v>0</v>
      </c>
      <c r="P54" t="str">
        <f t="shared" si="7"/>
        <v>前倒し（2）</v>
      </c>
    </row>
    <row r="55" spans="1:16">
      <c r="A55" s="3">
        <v>45981.721944444442</v>
      </c>
      <c r="B55">
        <v>60</v>
      </c>
      <c r="C55">
        <v>10</v>
      </c>
      <c r="D55">
        <v>0</v>
      </c>
      <c r="E55">
        <v>0</v>
      </c>
      <c r="F55">
        <v>0</v>
      </c>
      <c r="G55" s="5">
        <v>7.8125E-3</v>
      </c>
      <c r="H55" t="s">
        <v>153</v>
      </c>
      <c r="I55" t="s">
        <v>154</v>
      </c>
      <c r="J55">
        <v>0</v>
      </c>
      <c r="K55">
        <f t="shared" si="2"/>
        <v>1</v>
      </c>
      <c r="L55">
        <f t="shared" si="3"/>
        <v>38</v>
      </c>
      <c r="M55">
        <f t="shared" si="4"/>
        <v>2</v>
      </c>
      <c r="N55">
        <f t="shared" si="5"/>
        <v>37</v>
      </c>
      <c r="O55">
        <f t="shared" si="6"/>
        <v>0</v>
      </c>
      <c r="P55" t="str">
        <f t="shared" si="7"/>
        <v>前倒し（1）</v>
      </c>
    </row>
    <row r="56" spans="1:16">
      <c r="A56" s="3">
        <v>45981.741168981483</v>
      </c>
      <c r="B56">
        <v>60</v>
      </c>
      <c r="C56">
        <v>16</v>
      </c>
      <c r="D56">
        <v>0</v>
      </c>
      <c r="E56">
        <v>0</v>
      </c>
      <c r="F56">
        <v>0</v>
      </c>
      <c r="G56" s="5">
        <v>1.8877314818382729E-2</v>
      </c>
      <c r="H56" t="s">
        <v>155</v>
      </c>
      <c r="I56" t="s">
        <v>156</v>
      </c>
      <c r="J56">
        <v>0</v>
      </c>
      <c r="K56">
        <f t="shared" si="2"/>
        <v>0</v>
      </c>
      <c r="L56">
        <f t="shared" si="3"/>
        <v>38</v>
      </c>
      <c r="M56">
        <f t="shared" si="4"/>
        <v>2</v>
      </c>
      <c r="N56">
        <f t="shared" si="5"/>
        <v>37</v>
      </c>
      <c r="O56">
        <f t="shared" si="6"/>
        <v>0</v>
      </c>
      <c r="P56" t="str">
        <f t="shared" si="7"/>
        <v>前倒し（1）</v>
      </c>
    </row>
    <row r="57" spans="1:16">
      <c r="A57" s="3">
        <v>45982.730763888889</v>
      </c>
      <c r="B57">
        <v>60</v>
      </c>
      <c r="C57">
        <v>20</v>
      </c>
      <c r="D57">
        <v>0</v>
      </c>
      <c r="E57">
        <v>0</v>
      </c>
      <c r="F57">
        <v>0</v>
      </c>
      <c r="G57" s="5">
        <v>9.29398147854954E-3</v>
      </c>
      <c r="H57" t="s">
        <v>157</v>
      </c>
      <c r="I57" t="s">
        <v>158</v>
      </c>
      <c r="J57">
        <v>0</v>
      </c>
      <c r="K57">
        <f t="shared" si="2"/>
        <v>1</v>
      </c>
      <c r="L57">
        <f t="shared" si="3"/>
        <v>39</v>
      </c>
      <c r="M57">
        <f t="shared" si="4"/>
        <v>2</v>
      </c>
      <c r="N57">
        <f t="shared" si="5"/>
        <v>39</v>
      </c>
      <c r="O57">
        <f t="shared" si="6"/>
        <v>0</v>
      </c>
      <c r="P57" t="str">
        <f t="shared" si="7"/>
        <v>達成</v>
      </c>
    </row>
    <row r="58" spans="1:16">
      <c r="A58" s="3">
        <v>45983.588194444441</v>
      </c>
      <c r="B58">
        <v>60</v>
      </c>
      <c r="C58">
        <v>15</v>
      </c>
      <c r="D58">
        <v>0</v>
      </c>
      <c r="E58">
        <v>0</v>
      </c>
      <c r="F58">
        <v>0</v>
      </c>
      <c r="G58" s="5">
        <v>9.7453703638166189E-3</v>
      </c>
      <c r="H58" t="s">
        <v>159</v>
      </c>
      <c r="I58" t="s">
        <v>160</v>
      </c>
      <c r="J58">
        <v>0</v>
      </c>
      <c r="K58">
        <f t="shared" si="2"/>
        <v>1</v>
      </c>
      <c r="L58">
        <f t="shared" si="3"/>
        <v>40</v>
      </c>
      <c r="M58">
        <f t="shared" si="4"/>
        <v>2</v>
      </c>
      <c r="N58">
        <f t="shared" si="5"/>
        <v>41</v>
      </c>
      <c r="O58">
        <f t="shared" si="6"/>
        <v>0</v>
      </c>
      <c r="P58" t="str">
        <f t="shared" si="7"/>
        <v>未達成（1）</v>
      </c>
    </row>
    <row r="59" spans="1:16">
      <c r="A59" s="3">
        <v>45983.599224537036</v>
      </c>
      <c r="B59">
        <v>60</v>
      </c>
      <c r="C59">
        <v>20</v>
      </c>
      <c r="D59">
        <v>0</v>
      </c>
      <c r="E59">
        <v>0</v>
      </c>
      <c r="F59">
        <v>0</v>
      </c>
      <c r="G59" s="5">
        <v>1.0347222218115348E-2</v>
      </c>
      <c r="H59" t="s">
        <v>161</v>
      </c>
      <c r="I59" t="s">
        <v>162</v>
      </c>
      <c r="J59">
        <v>0</v>
      </c>
      <c r="K59">
        <f t="shared" si="2"/>
        <v>1</v>
      </c>
      <c r="L59">
        <f t="shared" si="3"/>
        <v>41</v>
      </c>
      <c r="M59">
        <f t="shared" si="4"/>
        <v>2</v>
      </c>
      <c r="N59">
        <f t="shared" si="5"/>
        <v>41</v>
      </c>
      <c r="O59">
        <f t="shared" si="6"/>
        <v>0</v>
      </c>
      <c r="P59" t="str">
        <f t="shared" si="7"/>
        <v>達成</v>
      </c>
    </row>
    <row r="60" spans="1:16">
      <c r="A60" s="3">
        <v>45985.354814814818</v>
      </c>
      <c r="B60">
        <v>60</v>
      </c>
      <c r="C60">
        <v>7</v>
      </c>
      <c r="D60">
        <v>0</v>
      </c>
      <c r="E60">
        <v>0</v>
      </c>
      <c r="F60">
        <v>0</v>
      </c>
      <c r="G60" s="5">
        <v>7.2453703760402277E-3</v>
      </c>
      <c r="H60" t="s">
        <v>164</v>
      </c>
      <c r="I60" t="s">
        <v>165</v>
      </c>
      <c r="J60">
        <v>0</v>
      </c>
      <c r="K60">
        <f t="shared" si="2"/>
        <v>1</v>
      </c>
      <c r="L60">
        <f t="shared" si="3"/>
        <v>42</v>
      </c>
      <c r="M60">
        <f t="shared" si="4"/>
        <v>2</v>
      </c>
      <c r="N60">
        <f t="shared" si="5"/>
        <v>45</v>
      </c>
      <c r="O60">
        <f t="shared" si="6"/>
        <v>0</v>
      </c>
      <c r="P60" t="str">
        <f t="shared" si="7"/>
        <v>未達成（3）</v>
      </c>
    </row>
    <row r="61" spans="1:16">
      <c r="A61" s="3">
        <v>45985.363796296297</v>
      </c>
      <c r="B61">
        <v>54</v>
      </c>
      <c r="C61">
        <v>20</v>
      </c>
      <c r="D61">
        <v>0</v>
      </c>
      <c r="E61">
        <v>6</v>
      </c>
      <c r="F61">
        <v>0</v>
      </c>
      <c r="G61" s="5">
        <v>8.3101851851097308E-3</v>
      </c>
      <c r="H61" t="s">
        <v>166</v>
      </c>
      <c r="I61" t="s">
        <v>167</v>
      </c>
      <c r="J61">
        <v>0</v>
      </c>
      <c r="K61">
        <f t="shared" si="2"/>
        <v>0</v>
      </c>
      <c r="L61">
        <f t="shared" si="3"/>
        <v>42</v>
      </c>
      <c r="M61">
        <f t="shared" si="4"/>
        <v>2</v>
      </c>
      <c r="N61">
        <f t="shared" si="5"/>
        <v>45</v>
      </c>
      <c r="O61">
        <f t="shared" si="6"/>
        <v>0</v>
      </c>
      <c r="P61" t="str">
        <f t="shared" si="7"/>
        <v>未達成（3）</v>
      </c>
    </row>
    <row r="62" spans="1:16">
      <c r="A62" s="3">
        <v>45985.538761574076</v>
      </c>
      <c r="B62">
        <v>60</v>
      </c>
      <c r="C62">
        <v>36</v>
      </c>
      <c r="D62">
        <v>1</v>
      </c>
      <c r="E62">
        <v>0</v>
      </c>
      <c r="F62">
        <v>0</v>
      </c>
      <c r="G62" s="5">
        <v>8.5069444467080757E-3</v>
      </c>
      <c r="H62" t="s">
        <v>168</v>
      </c>
      <c r="I62" t="s">
        <v>169</v>
      </c>
      <c r="J62">
        <v>0</v>
      </c>
      <c r="K62">
        <f t="shared" si="2"/>
        <v>0</v>
      </c>
      <c r="L62">
        <f t="shared" si="3"/>
        <v>42</v>
      </c>
      <c r="M62">
        <f t="shared" si="4"/>
        <v>2</v>
      </c>
      <c r="N62">
        <f t="shared" si="5"/>
        <v>45</v>
      </c>
      <c r="O62">
        <f t="shared" si="6"/>
        <v>0</v>
      </c>
      <c r="P62" t="str">
        <f t="shared" si="7"/>
        <v>未達成（3）</v>
      </c>
    </row>
    <row r="63" spans="1:16">
      <c r="A63" s="3">
        <v>45985.598680555559</v>
      </c>
      <c r="B63">
        <v>60</v>
      </c>
      <c r="C63">
        <v>6</v>
      </c>
      <c r="D63">
        <v>0</v>
      </c>
      <c r="E63">
        <v>0</v>
      </c>
      <c r="F63">
        <v>0</v>
      </c>
      <c r="G63" s="5">
        <v>1.0196759263635613E-2</v>
      </c>
      <c r="H63" t="s">
        <v>176</v>
      </c>
      <c r="I63" t="s">
        <v>177</v>
      </c>
      <c r="J63">
        <v>0</v>
      </c>
      <c r="K63">
        <f t="shared" si="2"/>
        <v>1</v>
      </c>
      <c r="L63">
        <f t="shared" si="3"/>
        <v>43</v>
      </c>
      <c r="M63">
        <f t="shared" si="4"/>
        <v>2</v>
      </c>
      <c r="N63">
        <f t="shared" si="5"/>
        <v>45</v>
      </c>
      <c r="O63">
        <f t="shared" si="6"/>
        <v>0</v>
      </c>
      <c r="P63" t="str">
        <f t="shared" si="7"/>
        <v>未達成（2）</v>
      </c>
    </row>
    <row r="64" spans="1:16">
      <c r="A64" s="3">
        <v>45985.709016203706</v>
      </c>
      <c r="B64">
        <v>60</v>
      </c>
      <c r="C64">
        <v>21</v>
      </c>
      <c r="D64">
        <v>0</v>
      </c>
      <c r="E64">
        <v>0</v>
      </c>
      <c r="F64">
        <v>0</v>
      </c>
      <c r="G64" s="5">
        <v>5.7175925976480357E-3</v>
      </c>
      <c r="H64" t="s">
        <v>181</v>
      </c>
      <c r="I64" t="s">
        <v>182</v>
      </c>
      <c r="J64">
        <v>0</v>
      </c>
      <c r="K64">
        <f t="shared" si="2"/>
        <v>2</v>
      </c>
      <c r="L64">
        <f t="shared" si="3"/>
        <v>45</v>
      </c>
      <c r="M64">
        <f t="shared" si="4"/>
        <v>2</v>
      </c>
      <c r="N64">
        <f t="shared" si="5"/>
        <v>45</v>
      </c>
      <c r="O64">
        <f t="shared" si="6"/>
        <v>0</v>
      </c>
      <c r="P64" t="str">
        <f t="shared" si="7"/>
        <v>達成</v>
      </c>
    </row>
    <row r="65" spans="1:16">
      <c r="A65" s="3">
        <v>45986.535011574073</v>
      </c>
      <c r="B65">
        <v>60</v>
      </c>
      <c r="C65">
        <v>41</v>
      </c>
      <c r="D65">
        <v>0</v>
      </c>
      <c r="E65">
        <v>0</v>
      </c>
      <c r="F65">
        <v>0</v>
      </c>
      <c r="G65" s="5">
        <v>6.701388891087845E-3</v>
      </c>
      <c r="H65" t="s">
        <v>183</v>
      </c>
      <c r="I65" t="s">
        <v>184</v>
      </c>
      <c r="J65">
        <v>0</v>
      </c>
      <c r="K65">
        <f t="shared" si="2"/>
        <v>2</v>
      </c>
      <c r="L65">
        <f t="shared" si="3"/>
        <v>47</v>
      </c>
      <c r="M65">
        <f t="shared" si="4"/>
        <v>2</v>
      </c>
      <c r="N65">
        <f t="shared" si="5"/>
        <v>47</v>
      </c>
      <c r="O65">
        <f t="shared" si="6"/>
        <v>0</v>
      </c>
      <c r="P65" t="str">
        <f t="shared" si="7"/>
        <v>達成</v>
      </c>
    </row>
    <row r="66" spans="1:16">
      <c r="A66" s="3">
        <v>45987.58321759259</v>
      </c>
      <c r="B66">
        <v>57</v>
      </c>
      <c r="C66">
        <v>20</v>
      </c>
      <c r="D66">
        <v>0</v>
      </c>
      <c r="E66">
        <v>3</v>
      </c>
      <c r="F66">
        <v>2</v>
      </c>
      <c r="G66" s="5">
        <v>7.696759254031349E-3</v>
      </c>
      <c r="H66" t="s">
        <v>185</v>
      </c>
      <c r="I66" t="s">
        <v>186</v>
      </c>
      <c r="J66">
        <v>0</v>
      </c>
      <c r="K66">
        <f t="shared" si="2"/>
        <v>0</v>
      </c>
      <c r="L66">
        <f t="shared" si="3"/>
        <v>47</v>
      </c>
      <c r="M66">
        <f t="shared" si="4"/>
        <v>2</v>
      </c>
      <c r="N66">
        <f t="shared" si="5"/>
        <v>49</v>
      </c>
      <c r="O66">
        <f t="shared" si="6"/>
        <v>0</v>
      </c>
      <c r="P66" t="str">
        <f t="shared" si="7"/>
        <v>未達成（2）</v>
      </c>
    </row>
    <row r="67" spans="1:16">
      <c r="A67" s="3">
        <v>45987.616712962961</v>
      </c>
      <c r="B67">
        <v>60</v>
      </c>
      <c r="C67">
        <v>28</v>
      </c>
      <c r="D67">
        <v>0</v>
      </c>
      <c r="E67">
        <v>0</v>
      </c>
      <c r="F67">
        <v>0</v>
      </c>
      <c r="G67" s="5">
        <v>6.6782407375285402E-3</v>
      </c>
      <c r="H67" t="s">
        <v>187</v>
      </c>
      <c r="I67" t="s">
        <v>188</v>
      </c>
      <c r="J67">
        <v>0</v>
      </c>
      <c r="K67">
        <f t="shared" si="2"/>
        <v>2</v>
      </c>
      <c r="L67">
        <f t="shared" si="3"/>
        <v>49</v>
      </c>
      <c r="M67">
        <f t="shared" si="4"/>
        <v>2</v>
      </c>
      <c r="N67">
        <f t="shared" si="5"/>
        <v>49</v>
      </c>
      <c r="O67">
        <f t="shared" si="6"/>
        <v>0</v>
      </c>
      <c r="P67" t="str">
        <f t="shared" si="7"/>
        <v>達成</v>
      </c>
    </row>
    <row r="68" spans="1:16">
      <c r="A68" s="3">
        <v>45988.290625000001</v>
      </c>
      <c r="B68">
        <v>60</v>
      </c>
      <c r="C68">
        <v>25</v>
      </c>
      <c r="D68">
        <v>0</v>
      </c>
      <c r="E68">
        <v>0</v>
      </c>
      <c r="F68">
        <v>0</v>
      </c>
      <c r="G68" s="5">
        <v>1.0150462963792961E-2</v>
      </c>
      <c r="H68" t="s">
        <v>189</v>
      </c>
      <c r="I68" t="s">
        <v>190</v>
      </c>
      <c r="J68">
        <v>0</v>
      </c>
      <c r="K68">
        <f t="shared" si="2"/>
        <v>1</v>
      </c>
      <c r="L68">
        <f t="shared" si="3"/>
        <v>50</v>
      </c>
      <c r="M68">
        <f t="shared" si="4"/>
        <v>2</v>
      </c>
      <c r="N68">
        <f t="shared" si="5"/>
        <v>51</v>
      </c>
      <c r="O68">
        <f t="shared" si="6"/>
        <v>0</v>
      </c>
      <c r="P68" t="str">
        <f t="shared" si="7"/>
        <v>未達成（1）</v>
      </c>
    </row>
    <row r="69" spans="1:16">
      <c r="A69" s="3">
        <v>45988.529618055552</v>
      </c>
      <c r="B69">
        <v>60</v>
      </c>
      <c r="C69">
        <v>21</v>
      </c>
      <c r="D69">
        <v>0</v>
      </c>
      <c r="E69">
        <v>0</v>
      </c>
      <c r="F69">
        <v>0</v>
      </c>
      <c r="G69" s="5">
        <v>1.7013888886140194E-2</v>
      </c>
      <c r="H69" t="s">
        <v>191</v>
      </c>
      <c r="I69" t="s">
        <v>192</v>
      </c>
      <c r="J69">
        <v>0</v>
      </c>
      <c r="K69">
        <f t="shared" si="2"/>
        <v>0</v>
      </c>
      <c r="L69">
        <f t="shared" si="3"/>
        <v>50</v>
      </c>
      <c r="M69">
        <f t="shared" si="4"/>
        <v>2</v>
      </c>
      <c r="N69">
        <f t="shared" si="5"/>
        <v>51</v>
      </c>
      <c r="O69">
        <f t="shared" si="6"/>
        <v>0</v>
      </c>
      <c r="P69" t="str">
        <f t="shared" si="7"/>
        <v>未達成（1）</v>
      </c>
    </row>
    <row r="70" spans="1:16">
      <c r="A70" s="3">
        <v>45988.852812500001</v>
      </c>
      <c r="B70">
        <v>60</v>
      </c>
      <c r="C70">
        <v>31</v>
      </c>
      <c r="D70">
        <v>0</v>
      </c>
      <c r="E70">
        <v>0</v>
      </c>
      <c r="F70">
        <v>0</v>
      </c>
      <c r="G70" s="5">
        <v>1.0983796295477077E-2</v>
      </c>
      <c r="H70" t="s">
        <v>193</v>
      </c>
      <c r="I70" t="s">
        <v>194</v>
      </c>
      <c r="J70">
        <v>0</v>
      </c>
      <c r="K70">
        <f t="shared" si="2"/>
        <v>1</v>
      </c>
      <c r="L70">
        <f t="shared" si="3"/>
        <v>51</v>
      </c>
      <c r="M70">
        <f t="shared" si="4"/>
        <v>2</v>
      </c>
      <c r="N70">
        <f t="shared" si="5"/>
        <v>51</v>
      </c>
      <c r="O70">
        <f t="shared" si="6"/>
        <v>0</v>
      </c>
      <c r="P70" t="str">
        <f t="shared" si="7"/>
        <v>達成</v>
      </c>
    </row>
    <row r="71" spans="1:16">
      <c r="A71" s="3">
        <v>45989.291273148148</v>
      </c>
      <c r="B71">
        <v>53</v>
      </c>
      <c r="C71">
        <v>13</v>
      </c>
      <c r="D71">
        <v>0</v>
      </c>
      <c r="E71">
        <v>7</v>
      </c>
      <c r="F71">
        <v>0</v>
      </c>
      <c r="G71" s="5">
        <v>7.9861111080390401E-3</v>
      </c>
      <c r="H71" t="s">
        <v>195</v>
      </c>
      <c r="I71" t="s">
        <v>196</v>
      </c>
      <c r="J71">
        <v>0</v>
      </c>
      <c r="K71">
        <f t="shared" si="2"/>
        <v>0</v>
      </c>
      <c r="L71">
        <f t="shared" si="3"/>
        <v>51</v>
      </c>
      <c r="M71">
        <f t="shared" si="4"/>
        <v>2</v>
      </c>
      <c r="N71">
        <f t="shared" si="5"/>
        <v>53</v>
      </c>
      <c r="O71">
        <f t="shared" si="6"/>
        <v>0</v>
      </c>
      <c r="P71" t="str">
        <f t="shared" si="7"/>
        <v>未達成（2）</v>
      </c>
    </row>
    <row r="72" spans="1:16">
      <c r="A72" s="3">
        <v>45989.299722222226</v>
      </c>
      <c r="B72">
        <v>60</v>
      </c>
      <c r="C72">
        <v>42</v>
      </c>
      <c r="D72">
        <v>0</v>
      </c>
      <c r="E72">
        <v>0</v>
      </c>
      <c r="F72">
        <v>0</v>
      </c>
      <c r="G72" s="5">
        <v>7.6967592613073066E-3</v>
      </c>
      <c r="H72" t="s">
        <v>197</v>
      </c>
      <c r="I72" t="s">
        <v>198</v>
      </c>
      <c r="J72">
        <v>0</v>
      </c>
      <c r="K72">
        <f t="shared" si="2"/>
        <v>1</v>
      </c>
      <c r="L72">
        <f t="shared" si="3"/>
        <v>52</v>
      </c>
      <c r="M72">
        <f t="shared" si="4"/>
        <v>2</v>
      </c>
      <c r="N72">
        <f t="shared" si="5"/>
        <v>53</v>
      </c>
      <c r="O72">
        <f t="shared" si="6"/>
        <v>0</v>
      </c>
      <c r="P72" t="str">
        <f t="shared" si="7"/>
        <v>未達成（1）</v>
      </c>
    </row>
    <row r="73" spans="1:16">
      <c r="A73" s="3">
        <v>45989.308298611111</v>
      </c>
      <c r="B73">
        <v>60</v>
      </c>
      <c r="C73">
        <v>19</v>
      </c>
      <c r="D73">
        <v>0</v>
      </c>
      <c r="E73">
        <v>0</v>
      </c>
      <c r="F73">
        <v>0</v>
      </c>
      <c r="G73" s="5">
        <v>7.7662037074333057E-3</v>
      </c>
      <c r="H73" t="s">
        <v>199</v>
      </c>
      <c r="I73" t="s">
        <v>200</v>
      </c>
      <c r="J73">
        <v>0</v>
      </c>
      <c r="K73">
        <f t="shared" si="2"/>
        <v>1</v>
      </c>
      <c r="L73">
        <f t="shared" si="3"/>
        <v>53</v>
      </c>
      <c r="M73">
        <f t="shared" si="4"/>
        <v>2</v>
      </c>
      <c r="N73">
        <f t="shared" si="5"/>
        <v>53</v>
      </c>
      <c r="O73">
        <f t="shared" si="6"/>
        <v>0</v>
      </c>
      <c r="P73" t="str">
        <f t="shared" si="7"/>
        <v>達成</v>
      </c>
    </row>
    <row r="74" spans="1:16">
      <c r="A74" s="3">
        <v>45990.459027777775</v>
      </c>
      <c r="B74">
        <v>60</v>
      </c>
      <c r="C74">
        <v>13</v>
      </c>
      <c r="D74">
        <v>0</v>
      </c>
      <c r="E74">
        <v>0</v>
      </c>
      <c r="F74">
        <v>0</v>
      </c>
      <c r="G74" s="5">
        <v>9.814814809942618E-3</v>
      </c>
      <c r="H74" t="s">
        <v>201</v>
      </c>
      <c r="I74" t="s">
        <v>202</v>
      </c>
      <c r="J74">
        <v>0</v>
      </c>
      <c r="K74">
        <f t="shared" si="2"/>
        <v>1</v>
      </c>
      <c r="L74">
        <f t="shared" si="3"/>
        <v>54</v>
      </c>
      <c r="M74">
        <f t="shared" si="4"/>
        <v>2</v>
      </c>
      <c r="N74">
        <f t="shared" si="5"/>
        <v>55</v>
      </c>
      <c r="O74">
        <f t="shared" si="6"/>
        <v>0</v>
      </c>
      <c r="P74" t="str">
        <f t="shared" si="7"/>
        <v>未達成（1）</v>
      </c>
    </row>
    <row r="75" spans="1:16">
      <c r="A75" s="3">
        <v>45990.539907407408</v>
      </c>
      <c r="B75">
        <v>60</v>
      </c>
      <c r="C75">
        <v>10</v>
      </c>
      <c r="D75">
        <v>0</v>
      </c>
      <c r="E75">
        <v>0</v>
      </c>
      <c r="F75">
        <v>0</v>
      </c>
      <c r="G75" s="5">
        <v>1.1226851849642117E-2</v>
      </c>
      <c r="H75" t="s">
        <v>203</v>
      </c>
      <c r="I75" t="s">
        <v>204</v>
      </c>
      <c r="J75">
        <v>0</v>
      </c>
      <c r="K75">
        <f t="shared" si="2"/>
        <v>1</v>
      </c>
      <c r="L75">
        <f t="shared" si="3"/>
        <v>55</v>
      </c>
      <c r="M75">
        <f t="shared" si="4"/>
        <v>2</v>
      </c>
      <c r="N75">
        <f t="shared" si="5"/>
        <v>55</v>
      </c>
      <c r="O75">
        <f t="shared" si="6"/>
        <v>0</v>
      </c>
      <c r="P75" t="str">
        <f t="shared" si="7"/>
        <v>達成</v>
      </c>
    </row>
    <row r="76" spans="1:16">
      <c r="A76" s="3">
        <v>45991.563125000001</v>
      </c>
      <c r="B76">
        <v>60</v>
      </c>
      <c r="C76">
        <v>14</v>
      </c>
      <c r="D76">
        <v>0</v>
      </c>
      <c r="E76">
        <v>0</v>
      </c>
      <c r="F76">
        <v>0</v>
      </c>
      <c r="G76" s="5">
        <v>5.694444444088731E-3</v>
      </c>
      <c r="H76" t="s">
        <v>205</v>
      </c>
      <c r="I76" t="s">
        <v>206</v>
      </c>
      <c r="J76">
        <v>0</v>
      </c>
      <c r="K76">
        <f t="shared" si="2"/>
        <v>2</v>
      </c>
      <c r="L76">
        <f t="shared" si="3"/>
        <v>57</v>
      </c>
      <c r="M76">
        <f t="shared" si="4"/>
        <v>3</v>
      </c>
      <c r="N76">
        <f t="shared" si="5"/>
        <v>58</v>
      </c>
      <c r="O76">
        <f t="shared" si="6"/>
        <v>0</v>
      </c>
      <c r="P76" t="str">
        <f t="shared" si="7"/>
        <v>未達成（1）</v>
      </c>
    </row>
    <row r="77" spans="1:16">
      <c r="A77" s="3">
        <v>45991.575856481482</v>
      </c>
      <c r="B77">
        <v>60</v>
      </c>
      <c r="C77">
        <v>14</v>
      </c>
      <c r="D77">
        <v>0</v>
      </c>
      <c r="E77">
        <v>0</v>
      </c>
      <c r="F77">
        <v>0</v>
      </c>
      <c r="G77" s="5">
        <v>5.5324074055533856E-3</v>
      </c>
      <c r="H77" t="s">
        <v>207</v>
      </c>
      <c r="I77" t="s">
        <v>208</v>
      </c>
      <c r="J77">
        <v>0</v>
      </c>
      <c r="K77">
        <f t="shared" si="2"/>
        <v>2</v>
      </c>
      <c r="L77">
        <f t="shared" si="3"/>
        <v>59</v>
      </c>
      <c r="M77">
        <f t="shared" si="4"/>
        <v>3</v>
      </c>
      <c r="N77">
        <f t="shared" si="5"/>
        <v>58</v>
      </c>
      <c r="O77">
        <f t="shared" si="6"/>
        <v>0</v>
      </c>
      <c r="P77" t="str">
        <f t="shared" si="7"/>
        <v>前倒し（1）</v>
      </c>
    </row>
    <row r="78" spans="1:16">
      <c r="A78" s="3">
        <v>45992.289467592593</v>
      </c>
      <c r="B78">
        <v>60</v>
      </c>
      <c r="C78">
        <v>14</v>
      </c>
      <c r="D78">
        <v>0</v>
      </c>
      <c r="E78">
        <v>0</v>
      </c>
      <c r="F78">
        <v>0</v>
      </c>
      <c r="G78" s="5">
        <v>1.0162037040572613E-2</v>
      </c>
      <c r="H78" t="s">
        <v>209</v>
      </c>
      <c r="I78" t="s">
        <v>210</v>
      </c>
      <c r="J78">
        <v>0</v>
      </c>
      <c r="K78">
        <f t="shared" si="2"/>
        <v>1</v>
      </c>
      <c r="L78">
        <f t="shared" si="3"/>
        <v>60</v>
      </c>
      <c r="M78">
        <f t="shared" si="4"/>
        <v>3</v>
      </c>
      <c r="N78">
        <f t="shared" si="5"/>
        <v>61</v>
      </c>
      <c r="O78">
        <f t="shared" si="6"/>
        <v>0</v>
      </c>
      <c r="P78" t="str">
        <f t="shared" si="7"/>
        <v>未達成（1）</v>
      </c>
    </row>
    <row r="79" spans="1:16">
      <c r="A79" s="3">
        <v>45992.298761574071</v>
      </c>
      <c r="B79">
        <v>60</v>
      </c>
      <c r="C79">
        <v>8</v>
      </c>
      <c r="D79">
        <v>0</v>
      </c>
      <c r="E79">
        <v>0</v>
      </c>
      <c r="F79">
        <v>0</v>
      </c>
      <c r="G79" s="5">
        <v>6.168981475639157E-3</v>
      </c>
      <c r="H79" t="s">
        <v>211</v>
      </c>
      <c r="I79" t="s">
        <v>212</v>
      </c>
      <c r="J79">
        <v>0</v>
      </c>
      <c r="K79">
        <f t="shared" si="2"/>
        <v>2</v>
      </c>
      <c r="L79">
        <f t="shared" si="3"/>
        <v>62</v>
      </c>
      <c r="M79">
        <f t="shared" si="4"/>
        <v>3</v>
      </c>
      <c r="N79">
        <f t="shared" si="5"/>
        <v>61</v>
      </c>
      <c r="O79">
        <f t="shared" si="6"/>
        <v>0</v>
      </c>
      <c r="P79" t="str">
        <f t="shared" si="7"/>
        <v>前倒し（1）</v>
      </c>
    </row>
    <row r="80" spans="1:16">
      <c r="A80" s="3">
        <v>45993.285081018519</v>
      </c>
      <c r="B80">
        <v>48</v>
      </c>
      <c r="C80">
        <v>7</v>
      </c>
      <c r="D80">
        <v>0</v>
      </c>
      <c r="E80">
        <v>12</v>
      </c>
      <c r="F80">
        <v>0</v>
      </c>
      <c r="G80" s="5">
        <v>7.8703703693463467E-3</v>
      </c>
      <c r="H80" t="s">
        <v>213</v>
      </c>
      <c r="I80" t="s">
        <v>214</v>
      </c>
      <c r="J80">
        <v>0</v>
      </c>
      <c r="K80">
        <f t="shared" si="2"/>
        <v>0</v>
      </c>
      <c r="L80">
        <f t="shared" si="3"/>
        <v>62</v>
      </c>
      <c r="M80">
        <f t="shared" si="4"/>
        <v>3</v>
      </c>
      <c r="N80">
        <f t="shared" si="5"/>
        <v>64</v>
      </c>
      <c r="O80">
        <f t="shared" si="6"/>
        <v>0</v>
      </c>
      <c r="P80" t="str">
        <f t="shared" si="7"/>
        <v>未達成（2）</v>
      </c>
    </row>
    <row r="81" spans="1:16">
      <c r="A81" s="3">
        <v>45993.29241898148</v>
      </c>
      <c r="B81">
        <v>60</v>
      </c>
      <c r="C81">
        <v>18</v>
      </c>
      <c r="D81">
        <v>0</v>
      </c>
      <c r="E81">
        <v>0</v>
      </c>
      <c r="F81">
        <v>0</v>
      </c>
      <c r="G81" s="5">
        <v>6.7476851836545393E-3</v>
      </c>
      <c r="H81" t="s">
        <v>217</v>
      </c>
      <c r="I81" t="s">
        <v>218</v>
      </c>
      <c r="J81">
        <v>0</v>
      </c>
      <c r="K81">
        <f t="shared" si="2"/>
        <v>2</v>
      </c>
      <c r="L81">
        <f t="shared" si="3"/>
        <v>64</v>
      </c>
      <c r="M81">
        <f t="shared" si="4"/>
        <v>3</v>
      </c>
      <c r="N81">
        <f t="shared" si="5"/>
        <v>64</v>
      </c>
      <c r="O81">
        <f t="shared" si="6"/>
        <v>0</v>
      </c>
      <c r="P81" t="str">
        <f t="shared" si="7"/>
        <v>達成</v>
      </c>
    </row>
    <row r="82" spans="1:16">
      <c r="A82" s="3">
        <v>45994.309050925927</v>
      </c>
      <c r="B82">
        <v>60</v>
      </c>
      <c r="C82">
        <v>10</v>
      </c>
      <c r="D82">
        <v>0</v>
      </c>
      <c r="E82">
        <v>0</v>
      </c>
      <c r="F82">
        <v>0</v>
      </c>
      <c r="G82" s="5">
        <v>8.8773148163454607E-3</v>
      </c>
      <c r="H82" t="s">
        <v>215</v>
      </c>
      <c r="I82" t="s">
        <v>216</v>
      </c>
      <c r="J82">
        <v>0</v>
      </c>
      <c r="K82">
        <f t="shared" si="2"/>
        <v>1</v>
      </c>
      <c r="L82">
        <f t="shared" si="3"/>
        <v>65</v>
      </c>
      <c r="M82">
        <f t="shared" si="4"/>
        <v>3</v>
      </c>
      <c r="N82">
        <f t="shared" si="5"/>
        <v>67</v>
      </c>
      <c r="O82">
        <f t="shared" si="6"/>
        <v>0</v>
      </c>
      <c r="P82" t="str">
        <f t="shared" si="7"/>
        <v>未達成（2）</v>
      </c>
    </row>
    <row r="83" spans="1:16">
      <c r="A83" s="3">
        <v>45994.372615740744</v>
      </c>
      <c r="B83">
        <v>60</v>
      </c>
      <c r="C83">
        <v>21</v>
      </c>
      <c r="D83">
        <v>0</v>
      </c>
      <c r="E83">
        <v>0</v>
      </c>
      <c r="F83">
        <v>0</v>
      </c>
      <c r="G83" s="5">
        <v>8.9930555550381541E-3</v>
      </c>
      <c r="H83" t="s">
        <v>219</v>
      </c>
      <c r="I83" t="s">
        <v>220</v>
      </c>
      <c r="J83">
        <v>0</v>
      </c>
      <c r="K83">
        <f t="shared" ref="K83:K98" si="8">IF(A83&lt;DATEVALUE("2025/11/20")+TIMEVALUE("6:00"),1,IF(B83-SUM(D83:F83)&lt;&gt;60,0,MAX(2-INT(G83*24*60/10),0)))</f>
        <v>1</v>
      </c>
      <c r="L83">
        <f t="shared" ref="L83:L98" si="9">L82+K83</f>
        <v>66</v>
      </c>
      <c r="M83">
        <f t="shared" ref="M83:M98" si="10">2+IF(A83&gt;=DATEVALUE("2025/11/30")+TIMEVALUE("6:00"),1,0)+IF(A83&gt;=DATEVALUE("2025/12/11")+TIMEVALUE("6:00"),1,0)</f>
        <v>3</v>
      </c>
      <c r="N83">
        <f t="shared" ref="N83:N98" si="11">N82+M83*(INT(A83-6/24)-INT(A82-6/24))+O83</f>
        <v>67</v>
      </c>
      <c r="O83">
        <f t="shared" ref="O83:O98" si="12">IF(A83&gt;=DATEVALUE("2025/11/8")+TIMEVALUE("6:00"),1,0)-IF(A82&gt;=DATEVALUE("2025/11/8")+TIMEVALUE("6:00"),1,0)</f>
        <v>0</v>
      </c>
      <c r="P83" t="str">
        <f t="shared" ref="P83:P98" si="13">IF(L83&lt;N83,"未達成（"&amp;N83-L83&amp;"）",IF(L83=N83,"達成","前倒し（"&amp;L83-N83&amp;"）"))</f>
        <v>未達成（1）</v>
      </c>
    </row>
    <row r="84" spans="1:16">
      <c r="A84" s="3">
        <v>45994.573900462965</v>
      </c>
      <c r="B84">
        <v>60</v>
      </c>
      <c r="C84">
        <v>24</v>
      </c>
      <c r="D84">
        <v>0</v>
      </c>
      <c r="E84">
        <v>0</v>
      </c>
      <c r="F84">
        <v>0</v>
      </c>
      <c r="G84" s="5">
        <v>7.3263888916699216E-3</v>
      </c>
      <c r="H84" t="s">
        <v>221</v>
      </c>
      <c r="I84" t="s">
        <v>222</v>
      </c>
      <c r="J84">
        <v>0</v>
      </c>
      <c r="K84">
        <f t="shared" si="8"/>
        <v>1</v>
      </c>
      <c r="L84">
        <f t="shared" si="9"/>
        <v>67</v>
      </c>
      <c r="M84">
        <f t="shared" si="10"/>
        <v>3</v>
      </c>
      <c r="N84">
        <f t="shared" si="11"/>
        <v>67</v>
      </c>
      <c r="O84">
        <f t="shared" si="12"/>
        <v>0</v>
      </c>
      <c r="P84" t="str">
        <f t="shared" si="13"/>
        <v>達成</v>
      </c>
    </row>
    <row r="85" spans="1:16">
      <c r="A85" s="3">
        <v>45995.297349537039</v>
      </c>
      <c r="B85">
        <v>60</v>
      </c>
      <c r="C85">
        <v>13</v>
      </c>
      <c r="D85">
        <v>0</v>
      </c>
      <c r="E85">
        <v>0</v>
      </c>
      <c r="F85">
        <v>0</v>
      </c>
      <c r="G85" s="5">
        <v>8.8888888931251131E-3</v>
      </c>
      <c r="H85" t="s">
        <v>223</v>
      </c>
      <c r="I85" t="s">
        <v>224</v>
      </c>
      <c r="J85">
        <v>0</v>
      </c>
      <c r="K85">
        <f t="shared" si="8"/>
        <v>1</v>
      </c>
      <c r="L85">
        <f t="shared" si="9"/>
        <v>68</v>
      </c>
      <c r="M85">
        <f t="shared" si="10"/>
        <v>3</v>
      </c>
      <c r="N85">
        <f t="shared" si="11"/>
        <v>70</v>
      </c>
      <c r="O85">
        <f t="shared" si="12"/>
        <v>0</v>
      </c>
      <c r="P85" t="str">
        <f t="shared" si="13"/>
        <v>未達成（2）</v>
      </c>
    </row>
    <row r="86" spans="1:16">
      <c r="A86" s="3">
        <v>45995.308217592596</v>
      </c>
      <c r="B86">
        <v>60</v>
      </c>
      <c r="C86">
        <v>12</v>
      </c>
      <c r="D86">
        <v>0</v>
      </c>
      <c r="E86">
        <v>0</v>
      </c>
      <c r="F86">
        <v>0</v>
      </c>
      <c r="G86" s="5">
        <v>7.7777777842129581E-3</v>
      </c>
      <c r="H86" t="s">
        <v>225</v>
      </c>
      <c r="I86" t="s">
        <v>226</v>
      </c>
      <c r="J86">
        <v>0</v>
      </c>
      <c r="K86">
        <f t="shared" si="8"/>
        <v>1</v>
      </c>
      <c r="L86">
        <f t="shared" si="9"/>
        <v>69</v>
      </c>
      <c r="M86">
        <f t="shared" si="10"/>
        <v>3</v>
      </c>
      <c r="N86">
        <f t="shared" si="11"/>
        <v>70</v>
      </c>
      <c r="O86">
        <f t="shared" si="12"/>
        <v>0</v>
      </c>
      <c r="P86" t="str">
        <f t="shared" si="13"/>
        <v>未達成（1）</v>
      </c>
    </row>
    <row r="87" spans="1:16">
      <c r="A87" s="3">
        <v>45995.571805555555</v>
      </c>
      <c r="B87">
        <v>60</v>
      </c>
      <c r="C87">
        <v>16</v>
      </c>
      <c r="D87">
        <v>0</v>
      </c>
      <c r="E87">
        <v>0</v>
      </c>
      <c r="F87">
        <v>0</v>
      </c>
      <c r="G87" s="5">
        <v>6.1226851830724627E-3</v>
      </c>
      <c r="H87" t="s">
        <v>227</v>
      </c>
      <c r="I87" t="s">
        <v>228</v>
      </c>
      <c r="J87">
        <v>0</v>
      </c>
      <c r="K87">
        <f t="shared" si="8"/>
        <v>2</v>
      </c>
      <c r="L87">
        <f t="shared" si="9"/>
        <v>71</v>
      </c>
      <c r="M87">
        <f t="shared" si="10"/>
        <v>3</v>
      </c>
      <c r="N87">
        <f t="shared" si="11"/>
        <v>70</v>
      </c>
      <c r="O87">
        <f t="shared" si="12"/>
        <v>0</v>
      </c>
      <c r="P87" t="str">
        <f t="shared" si="13"/>
        <v>前倒し（1）</v>
      </c>
    </row>
    <row r="88" spans="1:16">
      <c r="A88" s="3">
        <v>45996.284409722219</v>
      </c>
      <c r="B88">
        <v>60</v>
      </c>
      <c r="C88">
        <v>6</v>
      </c>
      <c r="D88">
        <v>0</v>
      </c>
      <c r="E88">
        <v>0</v>
      </c>
      <c r="F88">
        <v>0</v>
      </c>
      <c r="G88" s="5">
        <v>7.3842592537403107E-3</v>
      </c>
      <c r="H88" t="s">
        <v>229</v>
      </c>
      <c r="I88" t="s">
        <v>230</v>
      </c>
      <c r="J88">
        <v>0</v>
      </c>
      <c r="K88">
        <f t="shared" si="8"/>
        <v>1</v>
      </c>
      <c r="L88">
        <f t="shared" si="9"/>
        <v>72</v>
      </c>
      <c r="M88">
        <f t="shared" si="10"/>
        <v>3</v>
      </c>
      <c r="N88">
        <f t="shared" si="11"/>
        <v>73</v>
      </c>
      <c r="O88">
        <f t="shared" si="12"/>
        <v>0</v>
      </c>
      <c r="P88" t="str">
        <f t="shared" si="13"/>
        <v>未達成（1）</v>
      </c>
    </row>
    <row r="89" spans="1:16">
      <c r="A89" s="3">
        <v>45996.311747685184</v>
      </c>
      <c r="B89">
        <v>60</v>
      </c>
      <c r="C89">
        <v>16</v>
      </c>
      <c r="D89">
        <v>0</v>
      </c>
      <c r="E89">
        <v>0</v>
      </c>
      <c r="F89">
        <v>0</v>
      </c>
      <c r="G89" s="5">
        <v>1.17013888884685E-2</v>
      </c>
      <c r="H89" t="s">
        <v>231</v>
      </c>
      <c r="I89" t="s">
        <v>232</v>
      </c>
      <c r="J89">
        <v>0</v>
      </c>
      <c r="K89">
        <f t="shared" si="8"/>
        <v>1</v>
      </c>
      <c r="L89">
        <f t="shared" si="9"/>
        <v>73</v>
      </c>
      <c r="M89">
        <f t="shared" si="10"/>
        <v>3</v>
      </c>
      <c r="N89">
        <f t="shared" si="11"/>
        <v>73</v>
      </c>
      <c r="O89">
        <f t="shared" si="12"/>
        <v>0</v>
      </c>
      <c r="P89" t="str">
        <f t="shared" si="13"/>
        <v>達成</v>
      </c>
    </row>
    <row r="90" spans="1:16">
      <c r="A90" s="3">
        <v>45997.303113425929</v>
      </c>
      <c r="B90">
        <v>60</v>
      </c>
      <c r="C90">
        <v>16</v>
      </c>
      <c r="D90">
        <v>0</v>
      </c>
      <c r="E90">
        <v>0</v>
      </c>
      <c r="F90">
        <v>0</v>
      </c>
      <c r="G90" s="5">
        <v>5.7291666671517305E-3</v>
      </c>
      <c r="H90" t="s">
        <v>233</v>
      </c>
      <c r="I90" t="s">
        <v>234</v>
      </c>
      <c r="J90">
        <v>0</v>
      </c>
      <c r="K90">
        <f t="shared" si="8"/>
        <v>2</v>
      </c>
      <c r="L90">
        <f t="shared" si="9"/>
        <v>75</v>
      </c>
      <c r="M90">
        <f t="shared" si="10"/>
        <v>3</v>
      </c>
      <c r="N90">
        <f t="shared" si="11"/>
        <v>76</v>
      </c>
      <c r="O90">
        <f t="shared" si="12"/>
        <v>0</v>
      </c>
      <c r="P90" t="str">
        <f t="shared" si="13"/>
        <v>未達成（1）</v>
      </c>
    </row>
    <row r="91" spans="1:16">
      <c r="A91" s="3">
        <v>45997.312106481484</v>
      </c>
      <c r="B91">
        <v>60</v>
      </c>
      <c r="C91">
        <v>16</v>
      </c>
      <c r="D91">
        <v>0</v>
      </c>
      <c r="E91">
        <v>0</v>
      </c>
      <c r="F91">
        <v>0</v>
      </c>
      <c r="G91" s="5">
        <v>6.4699074064265005E-3</v>
      </c>
      <c r="H91" t="s">
        <v>235</v>
      </c>
      <c r="I91" t="s">
        <v>236</v>
      </c>
      <c r="J91">
        <v>0</v>
      </c>
      <c r="K91">
        <f t="shared" si="8"/>
        <v>2</v>
      </c>
      <c r="L91">
        <f t="shared" si="9"/>
        <v>77</v>
      </c>
      <c r="M91">
        <f t="shared" si="10"/>
        <v>3</v>
      </c>
      <c r="N91">
        <f t="shared" si="11"/>
        <v>76</v>
      </c>
      <c r="O91">
        <f t="shared" si="12"/>
        <v>0</v>
      </c>
      <c r="P91" t="str">
        <f t="shared" si="13"/>
        <v>前倒し（1）</v>
      </c>
    </row>
    <row r="92" spans="1:16">
      <c r="A92" s="3">
        <v>45998.290590277778</v>
      </c>
      <c r="B92">
        <v>60</v>
      </c>
      <c r="C92">
        <v>4</v>
      </c>
      <c r="D92">
        <v>0</v>
      </c>
      <c r="E92">
        <v>0</v>
      </c>
      <c r="F92">
        <v>0</v>
      </c>
      <c r="G92" s="5">
        <v>6.805555553000886E-3</v>
      </c>
      <c r="H92" t="s">
        <v>237</v>
      </c>
      <c r="I92" t="s">
        <v>238</v>
      </c>
      <c r="J92">
        <v>0</v>
      </c>
      <c r="K92">
        <f t="shared" si="8"/>
        <v>2</v>
      </c>
      <c r="L92">
        <f t="shared" si="9"/>
        <v>79</v>
      </c>
      <c r="M92">
        <f t="shared" si="10"/>
        <v>3</v>
      </c>
      <c r="N92">
        <f t="shared" si="11"/>
        <v>79</v>
      </c>
      <c r="O92">
        <f t="shared" si="12"/>
        <v>0</v>
      </c>
      <c r="P92" t="str">
        <f t="shared" si="13"/>
        <v>達成</v>
      </c>
    </row>
    <row r="93" spans="1:16">
      <c r="A93" s="3">
        <v>45999.308831018519</v>
      </c>
      <c r="B93">
        <v>60</v>
      </c>
      <c r="C93">
        <v>19</v>
      </c>
      <c r="D93">
        <v>0</v>
      </c>
      <c r="E93">
        <v>0</v>
      </c>
      <c r="F93">
        <v>0</v>
      </c>
      <c r="G93" s="5">
        <v>7.8935185229056515E-3</v>
      </c>
      <c r="H93" t="s">
        <v>239</v>
      </c>
      <c r="I93" t="s">
        <v>240</v>
      </c>
      <c r="J93">
        <v>0</v>
      </c>
      <c r="K93">
        <f t="shared" si="8"/>
        <v>1</v>
      </c>
      <c r="L93">
        <f t="shared" si="9"/>
        <v>80</v>
      </c>
      <c r="M93">
        <f t="shared" si="10"/>
        <v>3</v>
      </c>
      <c r="N93">
        <f t="shared" si="11"/>
        <v>82</v>
      </c>
      <c r="O93">
        <f t="shared" si="12"/>
        <v>0</v>
      </c>
      <c r="P93" t="str">
        <f t="shared" si="13"/>
        <v>未達成（2）</v>
      </c>
    </row>
    <row r="94" spans="1:16">
      <c r="A94" s="3">
        <v>45999.538287037038</v>
      </c>
      <c r="B94">
        <v>60</v>
      </c>
      <c r="C94">
        <v>10</v>
      </c>
      <c r="D94">
        <v>0</v>
      </c>
      <c r="E94">
        <v>0</v>
      </c>
      <c r="F94">
        <v>0</v>
      </c>
      <c r="G94" s="5">
        <v>8.2407407389837317E-3</v>
      </c>
      <c r="H94" t="s">
        <v>241</v>
      </c>
      <c r="I94" t="s">
        <v>242</v>
      </c>
      <c r="J94">
        <v>0</v>
      </c>
      <c r="K94">
        <f t="shared" si="8"/>
        <v>1</v>
      </c>
      <c r="L94">
        <f t="shared" si="9"/>
        <v>81</v>
      </c>
      <c r="M94">
        <f t="shared" si="10"/>
        <v>3</v>
      </c>
      <c r="N94">
        <f t="shared" si="11"/>
        <v>82</v>
      </c>
      <c r="O94">
        <f t="shared" si="12"/>
        <v>0</v>
      </c>
      <c r="P94" t="str">
        <f t="shared" si="13"/>
        <v>未達成（1）</v>
      </c>
    </row>
    <row r="95" spans="1:16">
      <c r="A95" s="3">
        <v>45999.866469907407</v>
      </c>
      <c r="B95">
        <v>60</v>
      </c>
      <c r="C95">
        <v>12</v>
      </c>
      <c r="D95">
        <v>0</v>
      </c>
      <c r="E95">
        <v>0</v>
      </c>
      <c r="F95">
        <v>0</v>
      </c>
      <c r="G95" s="5">
        <v>5.6134259284590371E-3</v>
      </c>
      <c r="H95" t="s">
        <v>243</v>
      </c>
      <c r="I95" t="s">
        <v>244</v>
      </c>
      <c r="J95">
        <v>0</v>
      </c>
      <c r="K95">
        <f t="shared" si="8"/>
        <v>2</v>
      </c>
      <c r="L95">
        <f t="shared" si="9"/>
        <v>83</v>
      </c>
      <c r="M95">
        <f t="shared" si="10"/>
        <v>3</v>
      </c>
      <c r="N95">
        <f t="shared" si="11"/>
        <v>82</v>
      </c>
      <c r="O95">
        <f t="shared" si="12"/>
        <v>0</v>
      </c>
      <c r="P95" t="str">
        <f t="shared" si="13"/>
        <v>前倒し（1）</v>
      </c>
    </row>
    <row r="96" spans="1:16">
      <c r="A96" s="3">
        <v>46000.300081018519</v>
      </c>
      <c r="B96">
        <v>60</v>
      </c>
      <c r="C96">
        <v>13</v>
      </c>
      <c r="D96">
        <v>0</v>
      </c>
      <c r="E96">
        <v>0</v>
      </c>
      <c r="F96">
        <v>0</v>
      </c>
      <c r="G96" s="5">
        <v>1.1423611111240461E-2</v>
      </c>
      <c r="H96" t="s">
        <v>245</v>
      </c>
      <c r="I96" t="s">
        <v>246</v>
      </c>
      <c r="J96">
        <v>0</v>
      </c>
      <c r="K96">
        <f t="shared" si="8"/>
        <v>1</v>
      </c>
      <c r="L96">
        <f t="shared" si="9"/>
        <v>84</v>
      </c>
      <c r="M96">
        <f t="shared" si="10"/>
        <v>3</v>
      </c>
      <c r="N96">
        <f t="shared" si="11"/>
        <v>85</v>
      </c>
      <c r="O96">
        <f t="shared" si="12"/>
        <v>0</v>
      </c>
      <c r="P96" t="str">
        <f t="shared" si="13"/>
        <v>未達成（1）</v>
      </c>
    </row>
    <row r="97" spans="1:16">
      <c r="A97" s="3">
        <v>46000.312152777777</v>
      </c>
      <c r="B97">
        <v>60</v>
      </c>
      <c r="C97">
        <v>9</v>
      </c>
      <c r="D97">
        <v>0</v>
      </c>
      <c r="E97">
        <v>0</v>
      </c>
      <c r="F97">
        <v>0</v>
      </c>
      <c r="G97" s="5">
        <v>5.8101851827814244E-3</v>
      </c>
      <c r="H97" t="s">
        <v>247</v>
      </c>
      <c r="I97" t="s">
        <v>248</v>
      </c>
      <c r="J97">
        <v>0</v>
      </c>
      <c r="K97">
        <f t="shared" si="8"/>
        <v>2</v>
      </c>
      <c r="L97">
        <f t="shared" si="9"/>
        <v>86</v>
      </c>
      <c r="M97">
        <f t="shared" si="10"/>
        <v>3</v>
      </c>
      <c r="N97">
        <f t="shared" si="11"/>
        <v>85</v>
      </c>
      <c r="O97">
        <f t="shared" si="12"/>
        <v>0</v>
      </c>
      <c r="P97" t="str">
        <f t="shared" si="13"/>
        <v>前倒し（1）</v>
      </c>
    </row>
    <row r="98" spans="1:16">
      <c r="A98" s="3">
        <v>46001.313842592594</v>
      </c>
      <c r="B98">
        <v>60</v>
      </c>
      <c r="C98">
        <v>7</v>
      </c>
      <c r="D98">
        <v>0</v>
      </c>
      <c r="E98">
        <v>0</v>
      </c>
      <c r="F98">
        <v>0</v>
      </c>
      <c r="G98" s="5">
        <v>5.1157407433493063E-3</v>
      </c>
      <c r="H98" t="s">
        <v>249</v>
      </c>
      <c r="I98" t="s">
        <v>250</v>
      </c>
      <c r="J98">
        <v>0</v>
      </c>
      <c r="K98">
        <f t="shared" si="8"/>
        <v>2</v>
      </c>
      <c r="L98">
        <f t="shared" si="9"/>
        <v>88</v>
      </c>
      <c r="M98">
        <f t="shared" si="10"/>
        <v>3</v>
      </c>
      <c r="N98">
        <f t="shared" si="11"/>
        <v>88</v>
      </c>
      <c r="O98">
        <f t="shared" si="12"/>
        <v>0</v>
      </c>
      <c r="P98" t="str">
        <f t="shared" si="13"/>
        <v>達成</v>
      </c>
    </row>
    <row r="99" spans="1:16">
      <c r="A99" s="3">
        <v>46002.297708333332</v>
      </c>
      <c r="B99">
        <v>60</v>
      </c>
      <c r="C99">
        <v>11</v>
      </c>
      <c r="D99">
        <v>0</v>
      </c>
      <c r="E99">
        <v>0</v>
      </c>
      <c r="F99">
        <v>0</v>
      </c>
      <c r="G99" s="5">
        <v>1.0185185186855961E-2</v>
      </c>
      <c r="H99" t="s">
        <v>252</v>
      </c>
      <c r="I99" t="s">
        <v>253</v>
      </c>
      <c r="J99">
        <v>0</v>
      </c>
      <c r="K99">
        <f t="shared" ref="K99" si="14">IF(A99&lt;DATEVALUE("2025/11/20")+TIMEVALUE("6:00"),1,IF(B99-SUM(D99:F99)&lt;&gt;60,0,MAX(2-INT(G99*24*60/10),0)))</f>
        <v>1</v>
      </c>
      <c r="L99">
        <f t="shared" ref="L99" si="15">L98+K99</f>
        <v>89</v>
      </c>
      <c r="M99">
        <f t="shared" ref="M99" si="16">2+IF(A99&gt;=DATEVALUE("2025/11/30")+TIMEVALUE("6:00"),1,0)+IF(A99&gt;=DATEVALUE("2025/12/11")+TIMEVALUE("6:00"),1,0)</f>
        <v>4</v>
      </c>
      <c r="N99">
        <f t="shared" ref="N99" si="17">N98+M99*(INT(A99-6/24)-INT(A98-6/24))+O99</f>
        <v>92</v>
      </c>
      <c r="O99">
        <f t="shared" ref="O99" si="18">IF(A99&gt;=DATEVALUE("2025/11/8")+TIMEVALUE("6:00"),1,0)-IF(A98&gt;=DATEVALUE("2025/11/8")+TIMEVALUE("6:00"),1,0)</f>
        <v>0</v>
      </c>
      <c r="P99" t="str">
        <f t="shared" ref="P99" si="19">IF(L99&lt;N99,"未達成（"&amp;N99-L99&amp;"）",IF(L99=N99,"達成","前倒し（"&amp;L99-N99&amp;"）"))</f>
        <v>未達成（3）</v>
      </c>
    </row>
    <row r="100" spans="1:16">
      <c r="A100" s="3">
        <v>46002.315185185187</v>
      </c>
      <c r="B100">
        <v>53</v>
      </c>
      <c r="C100">
        <v>14</v>
      </c>
      <c r="D100">
        <v>0</v>
      </c>
      <c r="E100">
        <v>7</v>
      </c>
      <c r="F100">
        <v>5</v>
      </c>
      <c r="G100" s="5">
        <v>8.078703707724344E-3</v>
      </c>
      <c r="H100" t="s">
        <v>254</v>
      </c>
      <c r="I100" t="s">
        <v>255</v>
      </c>
      <c r="J100">
        <v>0</v>
      </c>
      <c r="K100">
        <f t="shared" ref="K100" si="20">IF(A100&lt;DATEVALUE("2025/11/20")+TIMEVALUE("6:00"),1,IF(B100-SUM(D100:F100)&lt;&gt;60,0,MAX(2-INT(G100*24*60/10),0)))</f>
        <v>0</v>
      </c>
      <c r="L100">
        <f t="shared" ref="L100" si="21">L99+K100</f>
        <v>89</v>
      </c>
      <c r="M100">
        <f t="shared" ref="M100" si="22">2+IF(A100&gt;=DATEVALUE("2025/11/30")+TIMEVALUE("6:00"),1,0)+IF(A100&gt;=DATEVALUE("2025/12/11")+TIMEVALUE("6:00"),1,0)</f>
        <v>4</v>
      </c>
      <c r="N100">
        <f t="shared" ref="N100" si="23">N99+M100*(INT(A100-6/24)-INT(A99-6/24))+O100</f>
        <v>92</v>
      </c>
      <c r="O100">
        <f t="shared" ref="O100" si="24">IF(A100&gt;=DATEVALUE("2025/11/8")+TIMEVALUE("6:00"),1,0)-IF(A99&gt;=DATEVALUE("2025/11/8")+TIMEVALUE("6:00"),1,0)</f>
        <v>0</v>
      </c>
      <c r="P100" t="str">
        <f t="shared" ref="P100" si="25">IF(L100&lt;N100,"未達成（"&amp;N100-L100&amp;"）",IF(L100=N100,"達成","前倒し（"&amp;L100-N100&amp;"）"))</f>
        <v>未達成（3）</v>
      </c>
    </row>
    <row r="101" spans="1:16">
      <c r="A101" s="3">
        <v>46002.372048611112</v>
      </c>
      <c r="B101">
        <v>60</v>
      </c>
      <c r="C101">
        <v>18</v>
      </c>
      <c r="D101">
        <v>0</v>
      </c>
      <c r="E101">
        <v>0</v>
      </c>
      <c r="F101">
        <v>0</v>
      </c>
      <c r="G101" s="5">
        <v>9.6412037019035779E-3</v>
      </c>
      <c r="H101" t="s">
        <v>256</v>
      </c>
      <c r="I101" t="s">
        <v>257</v>
      </c>
      <c r="J101">
        <v>0</v>
      </c>
      <c r="K101">
        <f t="shared" ref="K101" si="26">IF(A101&lt;DATEVALUE("2025/11/20")+TIMEVALUE("6:00"),1,IF(B101-SUM(D101:F101)&lt;&gt;60,0,MAX(2-INT(G101*24*60/10),0)))</f>
        <v>1</v>
      </c>
      <c r="L101">
        <f t="shared" ref="L101" si="27">L100+K101</f>
        <v>90</v>
      </c>
      <c r="M101">
        <f t="shared" ref="M101" si="28">2+IF(A101&gt;=DATEVALUE("2025/11/30")+TIMEVALUE("6:00"),1,0)+IF(A101&gt;=DATEVALUE("2025/12/11")+TIMEVALUE("6:00"),1,0)</f>
        <v>4</v>
      </c>
      <c r="N101">
        <f t="shared" ref="N101" si="29">N100+M101*(INT(A101-6/24)-INT(A100-6/24))+O101</f>
        <v>92</v>
      </c>
      <c r="O101">
        <f t="shared" ref="O101" si="30">IF(A101&gt;=DATEVALUE("2025/11/8")+TIMEVALUE("6:00"),1,0)-IF(A100&gt;=DATEVALUE("2025/11/8")+TIMEVALUE("6:00"),1,0)</f>
        <v>0</v>
      </c>
      <c r="P101" t="str">
        <f t="shared" ref="P101" si="31">IF(L101&lt;N101,"未達成（"&amp;N101-L101&amp;"）",IF(L101=N101,"達成","前倒し（"&amp;L101-N101&amp;"）"))</f>
        <v>未達成（2）</v>
      </c>
    </row>
    <row r="102" spans="1:16">
      <c r="A102" s="3">
        <v>46002.381273148145</v>
      </c>
      <c r="B102">
        <v>60</v>
      </c>
      <c r="C102">
        <v>7</v>
      </c>
      <c r="D102">
        <v>0</v>
      </c>
      <c r="E102">
        <v>0</v>
      </c>
      <c r="F102">
        <v>0</v>
      </c>
      <c r="G102" s="5">
        <v>7.0833333302289248E-3</v>
      </c>
      <c r="H102" t="s">
        <v>258</v>
      </c>
      <c r="I102" t="s">
        <v>259</v>
      </c>
      <c r="J102">
        <v>0</v>
      </c>
      <c r="K102">
        <f t="shared" ref="K102" si="32">IF(A102&lt;DATEVALUE("2025/11/20")+TIMEVALUE("6:00"),1,IF(B102-SUM(D102:F102)&lt;&gt;60,0,MAX(2-INT(G102*24*60/10),0)))</f>
        <v>1</v>
      </c>
      <c r="L102">
        <f t="shared" ref="L102" si="33">L101+K102</f>
        <v>91</v>
      </c>
      <c r="M102">
        <f t="shared" ref="M102" si="34">2+IF(A102&gt;=DATEVALUE("2025/11/30")+TIMEVALUE("6:00"),1,0)+IF(A102&gt;=DATEVALUE("2025/12/11")+TIMEVALUE("6:00"),1,0)</f>
        <v>4</v>
      </c>
      <c r="N102">
        <f t="shared" ref="N102" si="35">N101+M102*(INT(A102-6/24)-INT(A101-6/24))+O102</f>
        <v>92</v>
      </c>
      <c r="O102">
        <f t="shared" ref="O102" si="36">IF(A102&gt;=DATEVALUE("2025/11/8")+TIMEVALUE("6:00"),1,0)-IF(A101&gt;=DATEVALUE("2025/11/8")+TIMEVALUE("6:00"),1,0)</f>
        <v>0</v>
      </c>
      <c r="P102" t="str">
        <f t="shared" ref="P102" si="37">IF(L102&lt;N102,"未達成（"&amp;N102-L102&amp;"）",IF(L102=N102,"達成","前倒し（"&amp;L102-N102&amp;"）"))</f>
        <v>未達成（1）</v>
      </c>
    </row>
    <row r="103" spans="1:16">
      <c r="A103" s="3">
        <v>46002.400023148148</v>
      </c>
      <c r="B103">
        <v>60</v>
      </c>
      <c r="C103">
        <v>12</v>
      </c>
      <c r="D103">
        <v>0</v>
      </c>
      <c r="E103">
        <v>0</v>
      </c>
      <c r="F103">
        <v>0</v>
      </c>
      <c r="G103" s="5">
        <v>1.2152777773735579E-2</v>
      </c>
      <c r="H103" t="s">
        <v>260</v>
      </c>
      <c r="I103" t="s">
        <v>261</v>
      </c>
      <c r="J103">
        <v>0</v>
      </c>
      <c r="K103">
        <f t="shared" ref="K103" si="38">IF(A103&lt;DATEVALUE("2025/11/20")+TIMEVALUE("6:00"),1,IF(B103-SUM(D103:F103)&lt;&gt;60,0,MAX(2-INT(G103*24*60/10),0)))</f>
        <v>1</v>
      </c>
      <c r="L103">
        <f t="shared" ref="L103" si="39">L102+K103</f>
        <v>92</v>
      </c>
      <c r="M103">
        <f t="shared" ref="M103" si="40">2+IF(A103&gt;=DATEVALUE("2025/11/30")+TIMEVALUE("6:00"),1,0)+IF(A103&gt;=DATEVALUE("2025/12/11")+TIMEVALUE("6:00"),1,0)</f>
        <v>4</v>
      </c>
      <c r="N103">
        <f t="shared" ref="N103" si="41">N102+M103*(INT(A103-6/24)-INT(A102-6/24))+O103</f>
        <v>92</v>
      </c>
      <c r="O103">
        <f t="shared" ref="O103" si="42">IF(A103&gt;=DATEVALUE("2025/11/8")+TIMEVALUE("6:00"),1,0)-IF(A102&gt;=DATEVALUE("2025/11/8")+TIMEVALUE("6:00"),1,0)</f>
        <v>0</v>
      </c>
      <c r="P103" t="str">
        <f t="shared" ref="P103" si="43">IF(L103&lt;N103,"未達成（"&amp;N103-L103&amp;"）",IF(L103=N103,"達成","前倒し（"&amp;L103-N103&amp;"）"))</f>
        <v>達成</v>
      </c>
    </row>
    <row r="104" spans="1:16">
      <c r="A104" s="3">
        <v>46003.272280092591</v>
      </c>
      <c r="B104">
        <v>60</v>
      </c>
      <c r="C104">
        <v>22</v>
      </c>
      <c r="D104">
        <v>0</v>
      </c>
      <c r="E104">
        <v>0</v>
      </c>
      <c r="F104">
        <v>0</v>
      </c>
      <c r="G104" s="5">
        <v>6.655092591245193E-3</v>
      </c>
      <c r="H104" t="s">
        <v>262</v>
      </c>
      <c r="I104" t="s">
        <v>263</v>
      </c>
      <c r="J104">
        <v>0</v>
      </c>
      <c r="K104">
        <f t="shared" ref="K104" si="44">IF(A104&lt;DATEVALUE("2025/11/20")+TIMEVALUE("6:00"),1,IF(B104-SUM(D104:F104)&lt;&gt;60,0,MAX(2-INT(G104*24*60/10),0)))</f>
        <v>2</v>
      </c>
      <c r="L104">
        <f t="shared" ref="L104" si="45">L103+K104</f>
        <v>94</v>
      </c>
      <c r="M104">
        <f t="shared" ref="M104" si="46">2+IF(A104&gt;=DATEVALUE("2025/11/30")+TIMEVALUE("6:00"),1,0)+IF(A104&gt;=DATEVALUE("2025/12/11")+TIMEVALUE("6:00"),1,0)</f>
        <v>4</v>
      </c>
      <c r="N104">
        <f t="shared" ref="N104" si="47">N103+M104*(INT(A104-6/24)-INT(A103-6/24))+O104</f>
        <v>96</v>
      </c>
      <c r="O104">
        <f t="shared" ref="O104" si="48">IF(A104&gt;=DATEVALUE("2025/11/8")+TIMEVALUE("6:00"),1,0)-IF(A103&gt;=DATEVALUE("2025/11/8")+TIMEVALUE("6:00"),1,0)</f>
        <v>0</v>
      </c>
      <c r="P104" t="str">
        <f t="shared" ref="P104" si="49">IF(L104&lt;N104,"未達成（"&amp;N104-L104&amp;"）",IF(L104=N104,"達成","前倒し（"&amp;L104-N104&amp;"）"))</f>
        <v>未達成（2）</v>
      </c>
    </row>
    <row r="105" spans="1:16">
      <c r="A105" s="3">
        <v>46003.28633101852</v>
      </c>
      <c r="B105">
        <v>60</v>
      </c>
      <c r="C105">
        <v>6</v>
      </c>
      <c r="D105">
        <v>0</v>
      </c>
      <c r="E105">
        <v>0</v>
      </c>
      <c r="F105">
        <v>0</v>
      </c>
      <c r="G105" s="5">
        <v>9.9074074096279219E-3</v>
      </c>
      <c r="H105" t="s">
        <v>264</v>
      </c>
      <c r="I105" t="s">
        <v>265</v>
      </c>
      <c r="J105">
        <v>0</v>
      </c>
      <c r="K105">
        <f t="shared" ref="K105" si="50">IF(A105&lt;DATEVALUE("2025/11/20")+TIMEVALUE("6:00"),1,IF(B105-SUM(D105:F105)&lt;&gt;60,0,MAX(2-INT(G105*24*60/10),0)))</f>
        <v>1</v>
      </c>
      <c r="L105">
        <f t="shared" ref="L105" si="51">L104+K105</f>
        <v>95</v>
      </c>
      <c r="M105">
        <f t="shared" ref="M105" si="52">2+IF(A105&gt;=DATEVALUE("2025/11/30")+TIMEVALUE("6:00"),1,0)+IF(A105&gt;=DATEVALUE("2025/12/11")+TIMEVALUE("6:00"),1,0)</f>
        <v>4</v>
      </c>
      <c r="N105">
        <f t="shared" ref="N105" si="53">N104+M105*(INT(A105-6/24)-INT(A104-6/24))+O105</f>
        <v>96</v>
      </c>
      <c r="O105">
        <f t="shared" ref="O105" si="54">IF(A105&gt;=DATEVALUE("2025/11/8")+TIMEVALUE("6:00"),1,0)-IF(A104&gt;=DATEVALUE("2025/11/8")+TIMEVALUE("6:00"),1,0)</f>
        <v>0</v>
      </c>
      <c r="P105" t="str">
        <f t="shared" ref="P105" si="55">IF(L105&lt;N105,"未達成（"&amp;N105-L105&amp;"）",IF(L105=N105,"達成","前倒し（"&amp;L105-N105&amp;"）"))</f>
        <v>未達成（1）</v>
      </c>
    </row>
    <row r="106" spans="1:16">
      <c r="A106" s="3">
        <v>46003.295949074076</v>
      </c>
      <c r="B106">
        <v>60</v>
      </c>
      <c r="C106">
        <v>27</v>
      </c>
      <c r="D106">
        <v>0</v>
      </c>
      <c r="E106">
        <v>0</v>
      </c>
      <c r="F106">
        <v>0</v>
      </c>
      <c r="G106" s="5">
        <v>6.8981481526861899E-3</v>
      </c>
      <c r="H106" t="s">
        <v>266</v>
      </c>
      <c r="I106" t="s">
        <v>267</v>
      </c>
      <c r="J106">
        <v>0</v>
      </c>
      <c r="K106">
        <f t="shared" ref="K106" si="56">IF(A106&lt;DATEVALUE("2025/11/20")+TIMEVALUE("6:00"),1,IF(B106-SUM(D106:F106)&lt;&gt;60,0,MAX(2-INT(G106*24*60/10),0)))</f>
        <v>2</v>
      </c>
      <c r="L106">
        <f t="shared" ref="L106" si="57">L105+K106</f>
        <v>97</v>
      </c>
      <c r="M106">
        <f t="shared" ref="M106" si="58">2+IF(A106&gt;=DATEVALUE("2025/11/30")+TIMEVALUE("6:00"),1,0)+IF(A106&gt;=DATEVALUE("2025/12/11")+TIMEVALUE("6:00"),1,0)</f>
        <v>4</v>
      </c>
      <c r="N106">
        <f t="shared" ref="N106" si="59">N105+M106*(INT(A106-6/24)-INT(A105-6/24))+O106</f>
        <v>96</v>
      </c>
      <c r="O106">
        <f t="shared" ref="O106" si="60">IF(A106&gt;=DATEVALUE("2025/11/8")+TIMEVALUE("6:00"),1,0)-IF(A105&gt;=DATEVALUE("2025/11/8")+TIMEVALUE("6:00"),1,0)</f>
        <v>0</v>
      </c>
      <c r="P106" t="str">
        <f t="shared" ref="P106" si="61">IF(L106&lt;N106,"未達成（"&amp;N106-L106&amp;"）",IF(L106=N106,"達成","前倒し（"&amp;L106-N106&amp;"）"))</f>
        <v>前倒し（1）</v>
      </c>
    </row>
    <row r="107" spans="1:16">
      <c r="A107" s="3">
        <v>46004.307025462964</v>
      </c>
      <c r="B107">
        <v>60</v>
      </c>
      <c r="C107">
        <v>20</v>
      </c>
      <c r="D107">
        <v>0</v>
      </c>
      <c r="E107">
        <v>0</v>
      </c>
      <c r="F107">
        <v>0</v>
      </c>
      <c r="G107" s="5">
        <v>7.4884259302052669E-3</v>
      </c>
      <c r="H107" t="s">
        <v>268</v>
      </c>
      <c r="I107" t="s">
        <v>269</v>
      </c>
      <c r="J107">
        <v>0</v>
      </c>
      <c r="K107">
        <f t="shared" ref="K107" si="62">IF(A107&lt;DATEVALUE("2025/11/20")+TIMEVALUE("6:00"),1,IF(B107-SUM(D107:F107)&lt;&gt;60,0,MAX(2-INT(G107*24*60/10),0)))</f>
        <v>1</v>
      </c>
      <c r="L107">
        <f t="shared" ref="L107" si="63">L106+K107</f>
        <v>98</v>
      </c>
      <c r="M107">
        <f t="shared" ref="M107" si="64">2+IF(A107&gt;=DATEVALUE("2025/11/30")+TIMEVALUE("6:00"),1,0)+IF(A107&gt;=DATEVALUE("2025/12/11")+TIMEVALUE("6:00"),1,0)</f>
        <v>4</v>
      </c>
      <c r="N107">
        <f t="shared" ref="N107" si="65">N106+M107*(INT(A107-6/24)-INT(A106-6/24))+O107</f>
        <v>100</v>
      </c>
      <c r="O107">
        <f t="shared" ref="O107" si="66">IF(A107&gt;=DATEVALUE("2025/11/8")+TIMEVALUE("6:00"),1,0)-IF(A106&gt;=DATEVALUE("2025/11/8")+TIMEVALUE("6:00"),1,0)</f>
        <v>0</v>
      </c>
      <c r="P107" t="str">
        <f t="shared" ref="P107" si="67">IF(L107&lt;N107,"未達成（"&amp;N107-L107&amp;"）",IF(L107=N107,"達成","前倒し（"&amp;L107-N107&amp;"）"))</f>
        <v>未達成（2）</v>
      </c>
    </row>
    <row r="108" spans="1:16">
      <c r="A108" s="3">
        <v>46004.371006944442</v>
      </c>
      <c r="B108">
        <v>60</v>
      </c>
      <c r="C108">
        <v>24</v>
      </c>
      <c r="D108">
        <v>0</v>
      </c>
      <c r="E108">
        <v>0</v>
      </c>
      <c r="F108">
        <v>0</v>
      </c>
      <c r="G108" s="5">
        <v>5.9953703676001169E-3</v>
      </c>
      <c r="H108" t="s">
        <v>270</v>
      </c>
      <c r="I108" t="s">
        <v>271</v>
      </c>
      <c r="J108">
        <v>0</v>
      </c>
      <c r="K108">
        <f t="shared" ref="K108" si="68">IF(A108&lt;DATEVALUE("2025/11/20")+TIMEVALUE("6:00"),1,IF(B108-SUM(D108:F108)&lt;&gt;60,0,MAX(2-INT(G108*24*60/10),0)))</f>
        <v>2</v>
      </c>
      <c r="L108">
        <f t="shared" ref="L108" si="69">L107+K108</f>
        <v>100</v>
      </c>
      <c r="M108">
        <f t="shared" ref="M108" si="70">2+IF(A108&gt;=DATEVALUE("2025/11/30")+TIMEVALUE("6:00"),1,0)+IF(A108&gt;=DATEVALUE("2025/12/11")+TIMEVALUE("6:00"),1,0)</f>
        <v>4</v>
      </c>
      <c r="N108">
        <f t="shared" ref="N108" si="71">N107+M108*(INT(A108-6/24)-INT(A107-6/24))+O108</f>
        <v>100</v>
      </c>
      <c r="O108">
        <f t="shared" ref="O108" si="72">IF(A108&gt;=DATEVALUE("2025/11/8")+TIMEVALUE("6:00"),1,0)-IF(A107&gt;=DATEVALUE("2025/11/8")+TIMEVALUE("6:00"),1,0)</f>
        <v>0</v>
      </c>
      <c r="P108" t="str">
        <f t="shared" ref="P108" si="73">IF(L108&lt;N108,"未達成（"&amp;N108-L108&amp;"）",IF(L108=N108,"達成","前倒し（"&amp;L108-N108&amp;"）"))</f>
        <v>達成</v>
      </c>
    </row>
    <row r="109" spans="1:16">
      <c r="A109" s="3">
        <v>46005.293657407405</v>
      </c>
      <c r="B109">
        <v>60</v>
      </c>
      <c r="C109">
        <v>9</v>
      </c>
      <c r="D109">
        <v>0</v>
      </c>
      <c r="E109">
        <v>0</v>
      </c>
      <c r="F109">
        <v>0</v>
      </c>
      <c r="G109" s="5">
        <v>9.4097222172422335E-3</v>
      </c>
      <c r="H109" t="s">
        <v>272</v>
      </c>
      <c r="I109" t="s">
        <v>273</v>
      </c>
      <c r="J109">
        <v>0</v>
      </c>
      <c r="K109">
        <f t="shared" ref="K109" si="74">IF(A109&lt;DATEVALUE("2025/11/20")+TIMEVALUE("6:00"),1,IF(B109-SUM(D109:F109)&lt;&gt;60,0,MAX(2-INT(G109*24*60/10),0)))</f>
        <v>1</v>
      </c>
      <c r="L109">
        <f t="shared" ref="L109" si="75">L108+K109</f>
        <v>101</v>
      </c>
      <c r="M109">
        <f t="shared" ref="M109" si="76">2+IF(A109&gt;=DATEVALUE("2025/11/30")+TIMEVALUE("6:00"),1,0)+IF(A109&gt;=DATEVALUE("2025/12/11")+TIMEVALUE("6:00"),1,0)</f>
        <v>4</v>
      </c>
      <c r="N109">
        <f t="shared" ref="N109" si="77">N108+M109*(INT(A109-6/24)-INT(A108-6/24))+O109</f>
        <v>104</v>
      </c>
      <c r="O109">
        <f t="shared" ref="O109" si="78">IF(A109&gt;=DATEVALUE("2025/11/8")+TIMEVALUE("6:00"),1,0)-IF(A108&gt;=DATEVALUE("2025/11/8")+TIMEVALUE("6:00"),1,0)</f>
        <v>0</v>
      </c>
      <c r="P109" t="str">
        <f t="shared" ref="P109" si="79">IF(L109&lt;N109,"未達成（"&amp;N109-L109&amp;"）",IF(L109=N109,"達成","前倒し（"&amp;L109-N109&amp;"）"))</f>
        <v>未達成（3）</v>
      </c>
    </row>
    <row r="110" spans="1:16">
      <c r="A110" s="3">
        <v>46005.300185185188</v>
      </c>
      <c r="B110">
        <v>60</v>
      </c>
      <c r="C110">
        <v>13</v>
      </c>
      <c r="D110">
        <v>0</v>
      </c>
      <c r="E110">
        <v>0</v>
      </c>
      <c r="F110">
        <v>0</v>
      </c>
      <c r="G110" s="5">
        <v>4.8379629661212675E-3</v>
      </c>
      <c r="H110" t="s">
        <v>274</v>
      </c>
      <c r="I110" t="s">
        <v>275</v>
      </c>
      <c r="J110">
        <v>0</v>
      </c>
      <c r="K110">
        <f t="shared" ref="K110" si="80">IF(A110&lt;DATEVALUE("2025/11/20")+TIMEVALUE("6:00"),1,IF(B110-SUM(D110:F110)&lt;&gt;60,0,MAX(2-INT(G110*24*60/10),0)))</f>
        <v>2</v>
      </c>
      <c r="L110">
        <f t="shared" ref="L110" si="81">L109+K110</f>
        <v>103</v>
      </c>
      <c r="M110">
        <f t="shared" ref="M110" si="82">2+IF(A110&gt;=DATEVALUE("2025/11/30")+TIMEVALUE("6:00"),1,0)+IF(A110&gt;=DATEVALUE("2025/12/11")+TIMEVALUE("6:00"),1,0)</f>
        <v>4</v>
      </c>
      <c r="N110">
        <f t="shared" ref="N110" si="83">N109+M110*(INT(A110-6/24)-INT(A109-6/24))+O110</f>
        <v>104</v>
      </c>
      <c r="O110">
        <f t="shared" ref="O110" si="84">IF(A110&gt;=DATEVALUE("2025/11/8")+TIMEVALUE("6:00"),1,0)-IF(A109&gt;=DATEVALUE("2025/11/8")+TIMEVALUE("6:00"),1,0)</f>
        <v>0</v>
      </c>
      <c r="P110" t="str">
        <f t="shared" ref="P110" si="85">IF(L110&lt;N110,"未達成（"&amp;N110-L110&amp;"）",IF(L110=N110,"達成","前倒し（"&amp;L110-N110&amp;"）"))</f>
        <v>未達成（1）</v>
      </c>
    </row>
    <row r="111" spans="1:16">
      <c r="A111" s="3">
        <v>46005.307916666665</v>
      </c>
      <c r="B111">
        <v>60</v>
      </c>
      <c r="C111">
        <v>16</v>
      </c>
      <c r="D111">
        <v>0</v>
      </c>
      <c r="E111">
        <v>0</v>
      </c>
      <c r="F111">
        <v>0</v>
      </c>
      <c r="G111" s="5">
        <v>5.9259259214741178E-3</v>
      </c>
      <c r="H111" t="s">
        <v>276</v>
      </c>
      <c r="I111" t="s">
        <v>277</v>
      </c>
      <c r="J111">
        <v>0</v>
      </c>
      <c r="K111">
        <f t="shared" ref="K111" si="86">IF(A111&lt;DATEVALUE("2025/11/20")+TIMEVALUE("6:00"),1,IF(B111-SUM(D111:F111)&lt;&gt;60,0,MAX(2-INT(G111*24*60/10),0)))</f>
        <v>2</v>
      </c>
      <c r="L111">
        <f t="shared" ref="L111" si="87">L110+K111</f>
        <v>105</v>
      </c>
      <c r="M111">
        <f t="shared" ref="M111" si="88">2+IF(A111&gt;=DATEVALUE("2025/11/30")+TIMEVALUE("6:00"),1,0)+IF(A111&gt;=DATEVALUE("2025/12/11")+TIMEVALUE("6:00"),1,0)</f>
        <v>4</v>
      </c>
      <c r="N111">
        <f t="shared" ref="N111" si="89">N110+M111*(INT(A111-6/24)-INT(A110-6/24))+O111</f>
        <v>104</v>
      </c>
      <c r="O111">
        <f t="shared" ref="O111" si="90">IF(A111&gt;=DATEVALUE("2025/11/8")+TIMEVALUE("6:00"),1,0)-IF(A110&gt;=DATEVALUE("2025/11/8")+TIMEVALUE("6:00"),1,0)</f>
        <v>0</v>
      </c>
      <c r="P111" t="str">
        <f t="shared" ref="P111" si="91">IF(L111&lt;N111,"未達成（"&amp;N111-L111&amp;"）",IF(L111=N111,"達成","前倒し（"&amp;L111-N111&amp;"）"))</f>
        <v>前倒し（1）</v>
      </c>
    </row>
    <row r="112" spans="1:16">
      <c r="A112" s="3">
        <v>46006.28056712963</v>
      </c>
      <c r="B112">
        <v>60</v>
      </c>
      <c r="C112">
        <v>7</v>
      </c>
      <c r="D112">
        <v>0</v>
      </c>
      <c r="E112">
        <v>0</v>
      </c>
      <c r="F112">
        <v>0</v>
      </c>
      <c r="G112" s="5">
        <v>6.2962962983874604E-3</v>
      </c>
      <c r="H112" t="s">
        <v>278</v>
      </c>
      <c r="I112" t="s">
        <v>279</v>
      </c>
      <c r="J112">
        <v>0</v>
      </c>
      <c r="K112">
        <f t="shared" ref="K112" si="92">IF(A112&lt;DATEVALUE("2025/11/20")+TIMEVALUE("6:00"),1,IF(B112-SUM(D112:F112)&lt;&gt;60,0,MAX(2-INT(G112*24*60/10),0)))</f>
        <v>2</v>
      </c>
      <c r="L112">
        <f t="shared" ref="L112" si="93">L111+K112</f>
        <v>107</v>
      </c>
      <c r="M112">
        <f t="shared" ref="M112" si="94">2+IF(A112&gt;=DATEVALUE("2025/11/30")+TIMEVALUE("6:00"),1,0)+IF(A112&gt;=DATEVALUE("2025/12/11")+TIMEVALUE("6:00"),1,0)</f>
        <v>4</v>
      </c>
      <c r="N112">
        <f t="shared" ref="N112" si="95">N111+M112*(INT(A112-6/24)-INT(A111-6/24))+O112</f>
        <v>108</v>
      </c>
      <c r="O112">
        <f t="shared" ref="O112" si="96">IF(A112&gt;=DATEVALUE("2025/11/8")+TIMEVALUE("6:00"),1,0)-IF(A111&gt;=DATEVALUE("2025/11/8")+TIMEVALUE("6:00"),1,0)</f>
        <v>0</v>
      </c>
      <c r="P112" t="str">
        <f t="shared" ref="P112" si="97">IF(L112&lt;N112,"未達成（"&amp;N112-L112&amp;"）",IF(L112=N112,"達成","前倒し（"&amp;L112-N112&amp;"）"))</f>
        <v>未達成（1）</v>
      </c>
    </row>
    <row r="113" spans="1:16">
      <c r="A113" s="3">
        <v>46006.299976851849</v>
      </c>
      <c r="B113">
        <v>60</v>
      </c>
      <c r="C113">
        <v>22</v>
      </c>
      <c r="D113">
        <v>0</v>
      </c>
      <c r="E113">
        <v>0</v>
      </c>
      <c r="F113">
        <v>0</v>
      </c>
      <c r="G113" s="5">
        <v>1.077546295709908E-2</v>
      </c>
      <c r="H113" t="s">
        <v>280</v>
      </c>
      <c r="I113" t="s">
        <v>281</v>
      </c>
      <c r="J113">
        <v>0</v>
      </c>
      <c r="K113">
        <f t="shared" ref="K113" si="98">IF(A113&lt;DATEVALUE("2025/11/20")+TIMEVALUE("6:00"),1,IF(B113-SUM(D113:F113)&lt;&gt;60,0,MAX(2-INT(G113*24*60/10),0)))</f>
        <v>1</v>
      </c>
      <c r="L113">
        <f t="shared" ref="L113" si="99">L112+K113</f>
        <v>108</v>
      </c>
      <c r="M113">
        <f t="shared" ref="M113" si="100">2+IF(A113&gt;=DATEVALUE("2025/11/30")+TIMEVALUE("6:00"),1,0)+IF(A113&gt;=DATEVALUE("2025/12/11")+TIMEVALUE("6:00"),1,0)</f>
        <v>4</v>
      </c>
      <c r="N113">
        <f t="shared" ref="N113" si="101">N112+M113*(INT(A113-6/24)-INT(A112-6/24))+O113</f>
        <v>108</v>
      </c>
      <c r="O113">
        <f t="shared" ref="O113" si="102">IF(A113&gt;=DATEVALUE("2025/11/8")+TIMEVALUE("6:00"),1,0)-IF(A112&gt;=DATEVALUE("2025/11/8")+TIMEVALUE("6:00"),1,0)</f>
        <v>0</v>
      </c>
      <c r="P113" t="str">
        <f t="shared" ref="P113" si="103">IF(L113&lt;N113,"未達成（"&amp;N113-L113&amp;"）",IF(L113=N113,"達成","前倒し（"&amp;L113-N113&amp;"）"))</f>
        <v>達成</v>
      </c>
    </row>
    <row r="114" spans="1:16">
      <c r="A114" s="3">
        <v>46007.284803240742</v>
      </c>
      <c r="B114">
        <v>60</v>
      </c>
      <c r="C114">
        <v>4</v>
      </c>
      <c r="D114">
        <v>0</v>
      </c>
      <c r="E114">
        <v>0</v>
      </c>
      <c r="F114">
        <v>0</v>
      </c>
      <c r="G114" s="5">
        <v>6.3425925909541547E-3</v>
      </c>
      <c r="H114" t="s">
        <v>282</v>
      </c>
      <c r="I114" t="s">
        <v>283</v>
      </c>
      <c r="J114">
        <v>0</v>
      </c>
      <c r="K114">
        <f t="shared" ref="K114" si="104">IF(A114&lt;DATEVALUE("2025/11/20")+TIMEVALUE("6:00"),1,IF(B114-SUM(D114:F114)&lt;&gt;60,0,MAX(2-INT(G114*24*60/10),0)))</f>
        <v>2</v>
      </c>
      <c r="L114">
        <f t="shared" ref="L114" si="105">L113+K114</f>
        <v>110</v>
      </c>
      <c r="M114">
        <f t="shared" ref="M114" si="106">2+IF(A114&gt;=DATEVALUE("2025/11/30")+TIMEVALUE("6:00"),1,0)+IF(A114&gt;=DATEVALUE("2025/12/11")+TIMEVALUE("6:00"),1,0)</f>
        <v>4</v>
      </c>
      <c r="N114">
        <f t="shared" ref="N114" si="107">N113+M114*(INT(A114-6/24)-INT(A113-6/24))+O114</f>
        <v>112</v>
      </c>
      <c r="O114">
        <f t="shared" ref="O114" si="108">IF(A114&gt;=DATEVALUE("2025/11/8")+TIMEVALUE("6:00"),1,0)-IF(A113&gt;=DATEVALUE("2025/11/8")+TIMEVALUE("6:00"),1,0)</f>
        <v>0</v>
      </c>
      <c r="P114" t="str">
        <f t="shared" ref="P114" si="109">IF(L114&lt;N114,"未達成（"&amp;N114-L114&amp;"）",IF(L114=N114,"達成","前倒し（"&amp;L114-N114&amp;"）"))</f>
        <v>未達成（2）</v>
      </c>
    </row>
    <row r="115" spans="1:16">
      <c r="A115" s="3">
        <v>46007.309988425928</v>
      </c>
      <c r="B115">
        <v>60</v>
      </c>
      <c r="C115">
        <v>4</v>
      </c>
      <c r="D115">
        <v>0</v>
      </c>
      <c r="E115">
        <v>0</v>
      </c>
      <c r="F115">
        <v>0</v>
      </c>
      <c r="G115" s="5">
        <v>8.819444446999114E-3</v>
      </c>
      <c r="H115" t="s">
        <v>284</v>
      </c>
      <c r="I115" t="s">
        <v>285</v>
      </c>
      <c r="J115">
        <v>0</v>
      </c>
      <c r="K115">
        <f t="shared" ref="K115" si="110">IF(A115&lt;DATEVALUE("2025/11/20")+TIMEVALUE("6:00"),1,IF(B115-SUM(D115:F115)&lt;&gt;60,0,MAX(2-INT(G115*24*60/10),0)))</f>
        <v>1</v>
      </c>
      <c r="L115">
        <f t="shared" ref="L115" si="111">L114+K115</f>
        <v>111</v>
      </c>
      <c r="M115">
        <f t="shared" ref="M115" si="112">2+IF(A115&gt;=DATEVALUE("2025/11/30")+TIMEVALUE("6:00"),1,0)+IF(A115&gt;=DATEVALUE("2025/12/11")+TIMEVALUE("6:00"),1,0)</f>
        <v>4</v>
      </c>
      <c r="N115">
        <f t="shared" ref="N115" si="113">N114+M115*(INT(A115-6/24)-INT(A114-6/24))+O115</f>
        <v>112</v>
      </c>
      <c r="O115">
        <f t="shared" ref="O115" si="114">IF(A115&gt;=DATEVALUE("2025/11/8")+TIMEVALUE("6:00"),1,0)-IF(A114&gt;=DATEVALUE("2025/11/8")+TIMEVALUE("6:00"),1,0)</f>
        <v>0</v>
      </c>
      <c r="P115" t="str">
        <f t="shared" ref="P115" si="115">IF(L115&lt;N115,"未達成（"&amp;N115-L115&amp;"）",IF(L115=N115,"達成","前倒し（"&amp;L115-N115&amp;"）"))</f>
        <v>未達成（1）</v>
      </c>
    </row>
    <row r="116" spans="1:16">
      <c r="A116" s="3">
        <v>46007.322476851848</v>
      </c>
      <c r="B116">
        <v>60</v>
      </c>
      <c r="C116">
        <v>8</v>
      </c>
      <c r="D116">
        <v>0</v>
      </c>
      <c r="E116">
        <v>0</v>
      </c>
      <c r="F116">
        <v>0</v>
      </c>
      <c r="G116" s="5">
        <v>7.6504629614646547E-3</v>
      </c>
      <c r="H116" t="s">
        <v>286</v>
      </c>
      <c r="I116" t="s">
        <v>287</v>
      </c>
      <c r="J116">
        <v>0</v>
      </c>
      <c r="K116">
        <f t="shared" ref="K116" si="116">IF(A116&lt;DATEVALUE("2025/11/20")+TIMEVALUE("6:00"),1,IF(B116-SUM(D116:F116)&lt;&gt;60,0,MAX(2-INT(G116*24*60/10),0)))</f>
        <v>1</v>
      </c>
      <c r="L116">
        <f t="shared" ref="L116" si="117">L115+K116</f>
        <v>112</v>
      </c>
      <c r="M116">
        <f t="shared" ref="M116" si="118">2+IF(A116&gt;=DATEVALUE("2025/11/30")+TIMEVALUE("6:00"),1,0)+IF(A116&gt;=DATEVALUE("2025/12/11")+TIMEVALUE("6:00"),1,0)</f>
        <v>4</v>
      </c>
      <c r="N116">
        <f t="shared" ref="N116" si="119">N115+M116*(INT(A116-6/24)-INT(A115-6/24))+O116</f>
        <v>112</v>
      </c>
      <c r="O116">
        <f t="shared" ref="O116" si="120">IF(A116&gt;=DATEVALUE("2025/11/8")+TIMEVALUE("6:00"),1,0)-IF(A115&gt;=DATEVALUE("2025/11/8")+TIMEVALUE("6:00"),1,0)</f>
        <v>0</v>
      </c>
      <c r="P116" t="str">
        <f t="shared" ref="P116" si="121">IF(L116&lt;N116,"未達成（"&amp;N116-L116&amp;"）",IF(L116=N116,"達成","前倒し（"&amp;L116-N116&amp;"）"))</f>
        <v>達成</v>
      </c>
    </row>
    <row r="117" spans="1:16">
      <c r="A117" s="3">
        <v>46008.31181712963</v>
      </c>
      <c r="B117">
        <v>60</v>
      </c>
      <c r="C117">
        <v>13</v>
      </c>
      <c r="D117">
        <v>0</v>
      </c>
      <c r="E117">
        <v>0</v>
      </c>
      <c r="F117">
        <v>0</v>
      </c>
      <c r="G117" s="5">
        <v>7.8472222230629995E-3</v>
      </c>
      <c r="H117" t="s">
        <v>288</v>
      </c>
      <c r="I117" t="s">
        <v>289</v>
      </c>
      <c r="J117">
        <v>0</v>
      </c>
      <c r="K117">
        <f t="shared" ref="K117" si="122">IF(A117&lt;DATEVALUE("2025/11/20")+TIMEVALUE("6:00"),1,IF(B117-SUM(D117:F117)&lt;&gt;60,0,MAX(2-INT(G117*24*60/10),0)))</f>
        <v>1</v>
      </c>
      <c r="L117">
        <f t="shared" ref="L117" si="123">L116+K117</f>
        <v>113</v>
      </c>
      <c r="M117">
        <f t="shared" ref="M117" si="124">2+IF(A117&gt;=DATEVALUE("2025/11/30")+TIMEVALUE("6:00"),1,0)+IF(A117&gt;=DATEVALUE("2025/12/11")+TIMEVALUE("6:00"),1,0)</f>
        <v>4</v>
      </c>
      <c r="N117">
        <f t="shared" ref="N117" si="125">N116+M117*(INT(A117-6/24)-INT(A116-6/24))+O117</f>
        <v>116</v>
      </c>
      <c r="O117">
        <f t="shared" ref="O117" si="126">IF(A117&gt;=DATEVALUE("2025/11/8")+TIMEVALUE("6:00"),1,0)-IF(A116&gt;=DATEVALUE("2025/11/8")+TIMEVALUE("6:00"),1,0)</f>
        <v>0</v>
      </c>
      <c r="P117" t="str">
        <f t="shared" ref="P117" si="127">IF(L117&lt;N117,"未達成（"&amp;N117-L117&amp;"）",IF(L117=N117,"達成","前倒し（"&amp;L117-N117&amp;"）"))</f>
        <v>未達成（3）</v>
      </c>
    </row>
    <row r="118" spans="1:16">
      <c r="A118" s="3">
        <v>46008.480613425927</v>
      </c>
      <c r="B118">
        <v>60</v>
      </c>
      <c r="C118">
        <v>8</v>
      </c>
      <c r="D118">
        <v>0</v>
      </c>
      <c r="E118">
        <v>0</v>
      </c>
      <c r="F118">
        <v>0</v>
      </c>
      <c r="G118" s="5">
        <v>1.3935185183072463E-2</v>
      </c>
      <c r="H118" t="s">
        <v>290</v>
      </c>
      <c r="I118" t="s">
        <v>291</v>
      </c>
      <c r="J118">
        <v>0</v>
      </c>
      <c r="K118">
        <f t="shared" ref="K118" si="128">IF(A118&lt;DATEVALUE("2025/11/20")+TIMEVALUE("6:00"),1,IF(B118-SUM(D118:F118)&lt;&gt;60,0,MAX(2-INT(G118*24*60/10),0)))</f>
        <v>0</v>
      </c>
      <c r="L118">
        <f t="shared" ref="L118" si="129">L117+K118</f>
        <v>113</v>
      </c>
      <c r="M118">
        <f t="shared" ref="M118" si="130">2+IF(A118&gt;=DATEVALUE("2025/11/30")+TIMEVALUE("6:00"),1,0)+IF(A118&gt;=DATEVALUE("2025/12/11")+TIMEVALUE("6:00"),1,0)</f>
        <v>4</v>
      </c>
      <c r="N118">
        <f t="shared" ref="N118" si="131">N117+M118*(INT(A118-6/24)-INT(A117-6/24))+O118</f>
        <v>116</v>
      </c>
      <c r="O118">
        <f t="shared" ref="O118" si="132">IF(A118&gt;=DATEVALUE("2025/11/8")+TIMEVALUE("6:00"),1,0)-IF(A117&gt;=DATEVALUE("2025/11/8")+TIMEVALUE("6:00"),1,0)</f>
        <v>0</v>
      </c>
      <c r="P118" t="str">
        <f t="shared" ref="P118" si="133">IF(L118&lt;N118,"未達成（"&amp;N118-L118&amp;"）",IF(L118=N118,"達成","前倒し（"&amp;L118-N118&amp;"）"))</f>
        <v>未達成（3）</v>
      </c>
    </row>
    <row r="119" spans="1:16">
      <c r="A119" s="3">
        <v>46008.556168981479</v>
      </c>
      <c r="B119">
        <v>60</v>
      </c>
      <c r="C119">
        <v>20</v>
      </c>
      <c r="D119">
        <v>0</v>
      </c>
      <c r="E119">
        <v>0</v>
      </c>
      <c r="F119">
        <v>0</v>
      </c>
      <c r="G119" s="5">
        <v>8.8425925932824612E-3</v>
      </c>
      <c r="H119" t="s">
        <v>292</v>
      </c>
      <c r="I119" t="s">
        <v>293</v>
      </c>
      <c r="J119">
        <v>0</v>
      </c>
      <c r="K119">
        <f t="shared" ref="K119" si="134">IF(A119&lt;DATEVALUE("2025/11/20")+TIMEVALUE("6:00"),1,IF(B119-SUM(D119:F119)&lt;&gt;60,0,MAX(2-INT(G119*24*60/10),0)))</f>
        <v>1</v>
      </c>
      <c r="L119">
        <f t="shared" ref="L119" si="135">L118+K119</f>
        <v>114</v>
      </c>
      <c r="M119">
        <f t="shared" ref="M119" si="136">2+IF(A119&gt;=DATEVALUE("2025/11/30")+TIMEVALUE("6:00"),1,0)+IF(A119&gt;=DATEVALUE("2025/12/11")+TIMEVALUE("6:00"),1,0)</f>
        <v>4</v>
      </c>
      <c r="N119">
        <f t="shared" ref="N119" si="137">N118+M119*(INT(A119-6/24)-INT(A118-6/24))+O119</f>
        <v>116</v>
      </c>
      <c r="O119">
        <f t="shared" ref="O119" si="138">IF(A119&gt;=DATEVALUE("2025/11/8")+TIMEVALUE("6:00"),1,0)-IF(A118&gt;=DATEVALUE("2025/11/8")+TIMEVALUE("6:00"),1,0)</f>
        <v>0</v>
      </c>
      <c r="P119" t="str">
        <f t="shared" ref="P119" si="139">IF(L119&lt;N119,"未達成（"&amp;N119-L119&amp;"）",IF(L119=N119,"達成","前倒し（"&amp;L119-N119&amp;"）"))</f>
        <v>未達成（2）</v>
      </c>
    </row>
    <row r="120" spans="1:16">
      <c r="A120" s="3">
        <v>46008.573888888888</v>
      </c>
      <c r="B120">
        <v>60</v>
      </c>
      <c r="C120">
        <v>8</v>
      </c>
      <c r="D120">
        <v>0</v>
      </c>
      <c r="E120">
        <v>0</v>
      </c>
      <c r="F120">
        <v>0</v>
      </c>
      <c r="G120" s="5">
        <v>6.435185183363501E-3</v>
      </c>
      <c r="H120" t="s">
        <v>294</v>
      </c>
      <c r="I120" t="s">
        <v>295</v>
      </c>
      <c r="J120">
        <v>0</v>
      </c>
      <c r="K120">
        <f t="shared" ref="K120" si="140">IF(A120&lt;DATEVALUE("2025/11/20")+TIMEVALUE("6:00"),1,IF(B120-SUM(D120:F120)&lt;&gt;60,0,MAX(2-INT(G120*24*60/10),0)))</f>
        <v>2</v>
      </c>
      <c r="L120">
        <f t="shared" ref="L120" si="141">L119+K120</f>
        <v>116</v>
      </c>
      <c r="M120">
        <f t="shared" ref="M120" si="142">2+IF(A120&gt;=DATEVALUE("2025/11/30")+TIMEVALUE("6:00"),1,0)+IF(A120&gt;=DATEVALUE("2025/12/11")+TIMEVALUE("6:00"),1,0)</f>
        <v>4</v>
      </c>
      <c r="N120">
        <f t="shared" ref="N120" si="143">N119+M120*(INT(A120-6/24)-INT(A119-6/24))+O120</f>
        <v>116</v>
      </c>
      <c r="O120">
        <f t="shared" ref="O120" si="144">IF(A120&gt;=DATEVALUE("2025/11/8")+TIMEVALUE("6:00"),1,0)-IF(A119&gt;=DATEVALUE("2025/11/8")+TIMEVALUE("6:00"),1,0)</f>
        <v>0</v>
      </c>
      <c r="P120" t="str">
        <f t="shared" ref="P120" si="145">IF(L120&lt;N120,"未達成（"&amp;N120-L120&amp;"）",IF(L120=N120,"達成","前倒し（"&amp;L120-N120&amp;"）"))</f>
        <v>達成</v>
      </c>
    </row>
    <row r="121" spans="1:16">
      <c r="A121" s="3">
        <v>46009.282060185185</v>
      </c>
      <c r="B121">
        <v>60</v>
      </c>
      <c r="C121">
        <v>11</v>
      </c>
      <c r="D121">
        <v>0</v>
      </c>
      <c r="E121">
        <v>0</v>
      </c>
      <c r="F121">
        <v>0</v>
      </c>
      <c r="G121" s="5">
        <v>7.8009259232203476E-3</v>
      </c>
      <c r="H121" t="s">
        <v>296</v>
      </c>
      <c r="I121" t="s">
        <v>297</v>
      </c>
      <c r="J121">
        <v>0</v>
      </c>
      <c r="K121">
        <f t="shared" ref="K121" si="146">IF(A121&lt;DATEVALUE("2025/11/20")+TIMEVALUE("6:00"),1,IF(B121-SUM(D121:F121)&lt;&gt;60,0,MAX(2-INT(G121*24*60/10),0)))</f>
        <v>1</v>
      </c>
      <c r="L121">
        <f t="shared" ref="L121" si="147">L120+K121</f>
        <v>117</v>
      </c>
      <c r="M121">
        <f t="shared" ref="M121" si="148">2+IF(A121&gt;=DATEVALUE("2025/11/30")+TIMEVALUE("6:00"),1,0)+IF(A121&gt;=DATEVALUE("2025/12/11")+TIMEVALUE("6:00"),1,0)</f>
        <v>4</v>
      </c>
      <c r="N121">
        <f t="shared" ref="N121" si="149">N120+M121*(INT(A121-6/24)-INT(A120-6/24))+O121</f>
        <v>120</v>
      </c>
      <c r="O121">
        <f t="shared" ref="O121" si="150">IF(A121&gt;=DATEVALUE("2025/11/8")+TIMEVALUE("6:00"),1,0)-IF(A120&gt;=DATEVALUE("2025/11/8")+TIMEVALUE("6:00"),1,0)</f>
        <v>0</v>
      </c>
      <c r="P121" t="str">
        <f t="shared" ref="P121" si="151">IF(L121&lt;N121,"未達成（"&amp;N121-L121&amp;"）",IF(L121=N121,"達成","前倒し（"&amp;L121-N121&amp;"）"))</f>
        <v>未達成（3）</v>
      </c>
    </row>
    <row r="122" spans="1:16">
      <c r="A122" s="3">
        <v>46009.293854166666</v>
      </c>
      <c r="B122">
        <v>60</v>
      </c>
      <c r="C122">
        <v>8</v>
      </c>
      <c r="D122">
        <v>0</v>
      </c>
      <c r="E122">
        <v>0</v>
      </c>
      <c r="F122">
        <v>0</v>
      </c>
      <c r="G122" s="5">
        <v>8.3796296312357299E-3</v>
      </c>
      <c r="H122" t="s">
        <v>298</v>
      </c>
      <c r="I122" t="s">
        <v>299</v>
      </c>
      <c r="J122">
        <v>0</v>
      </c>
      <c r="K122">
        <f t="shared" ref="K122" si="152">IF(A122&lt;DATEVALUE("2025/11/20")+TIMEVALUE("6:00"),1,IF(B122-SUM(D122:F122)&lt;&gt;60,0,MAX(2-INT(G122*24*60/10),0)))</f>
        <v>1</v>
      </c>
      <c r="L122">
        <f t="shared" ref="L122" si="153">L121+K122</f>
        <v>118</v>
      </c>
      <c r="M122">
        <f t="shared" ref="M122" si="154">2+IF(A122&gt;=DATEVALUE("2025/11/30")+TIMEVALUE("6:00"),1,0)+IF(A122&gt;=DATEVALUE("2025/12/11")+TIMEVALUE("6:00"),1,0)</f>
        <v>4</v>
      </c>
      <c r="N122">
        <f t="shared" ref="N122" si="155">N121+M122*(INT(A122-6/24)-INT(A121-6/24))+O122</f>
        <v>120</v>
      </c>
      <c r="O122">
        <f t="shared" ref="O122" si="156">IF(A122&gt;=DATEVALUE("2025/11/8")+TIMEVALUE("6:00"),1,0)-IF(A121&gt;=DATEVALUE("2025/11/8")+TIMEVALUE("6:00"),1,0)</f>
        <v>0</v>
      </c>
      <c r="P122" t="str">
        <f t="shared" ref="P122" si="157">IF(L122&lt;N122,"未達成（"&amp;N122-L122&amp;"）",IF(L122=N122,"達成","前倒し（"&amp;L122-N122&amp;"）"))</f>
        <v>未達成（2）</v>
      </c>
    </row>
    <row r="123" spans="1:16">
      <c r="A123" s="3">
        <v>46009.372372685182</v>
      </c>
      <c r="B123">
        <v>53</v>
      </c>
      <c r="C123">
        <v>4</v>
      </c>
      <c r="D123">
        <v>0</v>
      </c>
      <c r="E123">
        <v>7</v>
      </c>
      <c r="F123">
        <v>5</v>
      </c>
      <c r="G123" s="5">
        <v>9.5717592557775788E-3</v>
      </c>
      <c r="H123" t="s">
        <v>300</v>
      </c>
      <c r="I123" t="s">
        <v>301</v>
      </c>
      <c r="J123">
        <v>0</v>
      </c>
      <c r="K123">
        <f t="shared" ref="K123" si="158">IF(A123&lt;DATEVALUE("2025/11/20")+TIMEVALUE("6:00"),1,IF(B123-SUM(D123:F123)&lt;&gt;60,0,MAX(2-INT(G123*24*60/10),0)))</f>
        <v>0</v>
      </c>
      <c r="L123">
        <f t="shared" ref="L123" si="159">L122+K123</f>
        <v>118</v>
      </c>
      <c r="M123">
        <f t="shared" ref="M123" si="160">2+IF(A123&gt;=DATEVALUE("2025/11/30")+TIMEVALUE("6:00"),1,0)+IF(A123&gt;=DATEVALUE("2025/12/11")+TIMEVALUE("6:00"),1,0)</f>
        <v>4</v>
      </c>
      <c r="N123">
        <f t="shared" ref="N123" si="161">N122+M123*(INT(A123-6/24)-INT(A122-6/24))+O123</f>
        <v>120</v>
      </c>
      <c r="O123">
        <f t="shared" ref="O123" si="162">IF(A123&gt;=DATEVALUE("2025/11/8")+TIMEVALUE("6:00"),1,0)-IF(A122&gt;=DATEVALUE("2025/11/8")+TIMEVALUE("6:00"),1,0)</f>
        <v>0</v>
      </c>
      <c r="P123" t="str">
        <f t="shared" ref="P123" si="163">IF(L123&lt;N123,"未達成（"&amp;N123-L123&amp;"）",IF(L123=N123,"達成","前倒し（"&amp;L123-N123&amp;"）"))</f>
        <v>未達成（2）</v>
      </c>
    </row>
    <row r="124" spans="1:16">
      <c r="A124" s="3">
        <v>46009.600648148145</v>
      </c>
      <c r="B124">
        <v>60</v>
      </c>
      <c r="C124">
        <v>8</v>
      </c>
      <c r="D124">
        <v>0</v>
      </c>
      <c r="E124">
        <v>0</v>
      </c>
      <c r="F124">
        <v>0</v>
      </c>
      <c r="G124" s="5">
        <v>6.5277777757728472E-3</v>
      </c>
      <c r="H124" t="s">
        <v>302</v>
      </c>
      <c r="I124" t="s">
        <v>303</v>
      </c>
      <c r="J124">
        <v>0</v>
      </c>
      <c r="K124">
        <f t="shared" ref="K124" si="164">IF(A124&lt;DATEVALUE("2025/11/20")+TIMEVALUE("6:00"),1,IF(B124-SUM(D124:F124)&lt;&gt;60,0,MAX(2-INT(G124*24*60/10),0)))</f>
        <v>2</v>
      </c>
      <c r="L124">
        <f t="shared" ref="L124" si="165">L123+K124</f>
        <v>120</v>
      </c>
      <c r="M124">
        <f t="shared" ref="M124" si="166">2+IF(A124&gt;=DATEVALUE("2025/11/30")+TIMEVALUE("6:00"),1,0)+IF(A124&gt;=DATEVALUE("2025/12/11")+TIMEVALUE("6:00"),1,0)</f>
        <v>4</v>
      </c>
      <c r="N124">
        <f t="shared" ref="N124" si="167">N123+M124*(INT(A124-6/24)-INT(A123-6/24))+O124</f>
        <v>120</v>
      </c>
      <c r="O124">
        <f t="shared" ref="O124" si="168">IF(A124&gt;=DATEVALUE("2025/11/8")+TIMEVALUE("6:00"),1,0)-IF(A123&gt;=DATEVALUE("2025/11/8")+TIMEVALUE("6:00"),1,0)</f>
        <v>0</v>
      </c>
      <c r="P124" t="str">
        <f t="shared" ref="P124" si="169">IF(L124&lt;N124,"未達成（"&amp;N124-L124&amp;"）",IF(L124=N124,"達成","前倒し（"&amp;L124-N124&amp;"）"))</f>
        <v>達成</v>
      </c>
    </row>
    <row r="125" spans="1:16">
      <c r="A125" s="3">
        <v>46010.489201388889</v>
      </c>
      <c r="B125">
        <v>60</v>
      </c>
      <c r="C125">
        <v>15</v>
      </c>
      <c r="D125">
        <v>0</v>
      </c>
      <c r="E125">
        <v>0</v>
      </c>
      <c r="F125">
        <v>0</v>
      </c>
      <c r="G125" s="5">
        <v>1.0011574071540963E-2</v>
      </c>
      <c r="H125" t="s">
        <v>304</v>
      </c>
      <c r="I125" t="s">
        <v>305</v>
      </c>
      <c r="J125">
        <v>0</v>
      </c>
      <c r="K125">
        <f t="shared" ref="K125" si="170">IF(A125&lt;DATEVALUE("2025/11/20")+TIMEVALUE("6:00"),1,IF(B125-SUM(D125:F125)&lt;&gt;60,0,MAX(2-INT(G125*24*60/10),0)))</f>
        <v>1</v>
      </c>
      <c r="L125">
        <f t="shared" ref="L125" si="171">L124+K125</f>
        <v>121</v>
      </c>
      <c r="M125">
        <f t="shared" ref="M125" si="172">2+IF(A125&gt;=DATEVALUE("2025/11/30")+TIMEVALUE("6:00"),1,0)+IF(A125&gt;=DATEVALUE("2025/12/11")+TIMEVALUE("6:00"),1,0)</f>
        <v>4</v>
      </c>
      <c r="N125">
        <f t="shared" ref="N125" si="173">N124+M125*(INT(A125-6/24)-INT(A124-6/24))+O125</f>
        <v>124</v>
      </c>
      <c r="O125">
        <f t="shared" ref="O125" si="174">IF(A125&gt;=DATEVALUE("2025/11/8")+TIMEVALUE("6:00"),1,0)-IF(A124&gt;=DATEVALUE("2025/11/8")+TIMEVALUE("6:00"),1,0)</f>
        <v>0</v>
      </c>
      <c r="P125" t="str">
        <f t="shared" ref="P125" si="175">IF(L125&lt;N125,"未達成（"&amp;N125-L125&amp;"）",IF(L125=N125,"達成","前倒し（"&amp;L125-N125&amp;"）"))</f>
        <v>未達成（3）</v>
      </c>
    </row>
    <row r="126" spans="1:16">
      <c r="A126" s="3">
        <v>46010.549768518518</v>
      </c>
      <c r="B126">
        <v>60</v>
      </c>
      <c r="C126">
        <v>14</v>
      </c>
      <c r="D126">
        <v>0</v>
      </c>
      <c r="E126">
        <v>0</v>
      </c>
      <c r="F126">
        <v>0</v>
      </c>
      <c r="G126" s="5">
        <v>6.7361111141508445E-3</v>
      </c>
      <c r="H126" t="s">
        <v>306</v>
      </c>
      <c r="I126" t="s">
        <v>307</v>
      </c>
      <c r="J126">
        <v>0</v>
      </c>
      <c r="K126">
        <f t="shared" ref="K126" si="176">IF(A126&lt;DATEVALUE("2025/11/20")+TIMEVALUE("6:00"),1,IF(B126-SUM(D126:F126)&lt;&gt;60,0,MAX(2-INT(G126*24*60/10),0)))</f>
        <v>2</v>
      </c>
      <c r="L126">
        <f t="shared" ref="L126" si="177">L125+K126</f>
        <v>123</v>
      </c>
      <c r="M126">
        <f t="shared" ref="M126" si="178">2+IF(A126&gt;=DATEVALUE("2025/11/30")+TIMEVALUE("6:00"),1,0)+IF(A126&gt;=DATEVALUE("2025/12/11")+TIMEVALUE("6:00"),1,0)</f>
        <v>4</v>
      </c>
      <c r="N126">
        <f t="shared" ref="N126" si="179">N125+M126*(INT(A126-6/24)-INT(A125-6/24))+O126</f>
        <v>124</v>
      </c>
      <c r="O126">
        <f t="shared" ref="O126" si="180">IF(A126&gt;=DATEVALUE("2025/11/8")+TIMEVALUE("6:00"),1,0)-IF(A125&gt;=DATEVALUE("2025/11/8")+TIMEVALUE("6:00"),1,0)</f>
        <v>0</v>
      </c>
      <c r="P126" t="str">
        <f t="shared" ref="P126" si="181">IF(L126&lt;N126,"未達成（"&amp;N126-L126&amp;"）",IF(L126=N126,"達成","前倒し（"&amp;L126-N126&amp;"）"))</f>
        <v>未達成（1）</v>
      </c>
    </row>
    <row r="127" spans="1:16">
      <c r="A127" s="3">
        <v>46010.559502314813</v>
      </c>
      <c r="B127">
        <v>60</v>
      </c>
      <c r="C127">
        <v>6</v>
      </c>
      <c r="D127">
        <v>0</v>
      </c>
      <c r="E127">
        <v>0</v>
      </c>
      <c r="F127">
        <v>0</v>
      </c>
      <c r="G127" s="5">
        <v>8.4606481468654238E-3</v>
      </c>
      <c r="H127" t="s">
        <v>308</v>
      </c>
      <c r="I127" t="s">
        <v>309</v>
      </c>
      <c r="J127">
        <v>0</v>
      </c>
      <c r="K127">
        <f t="shared" ref="K127" si="182">IF(A127&lt;DATEVALUE("2025/11/20")+TIMEVALUE("6:00"),1,IF(B127-SUM(D127:F127)&lt;&gt;60,0,MAX(2-INT(G127*24*60/10),0)))</f>
        <v>1</v>
      </c>
      <c r="L127">
        <f t="shared" ref="L127" si="183">L126+K127</f>
        <v>124</v>
      </c>
      <c r="M127">
        <f t="shared" ref="M127" si="184">2+IF(A127&gt;=DATEVALUE("2025/11/30")+TIMEVALUE("6:00"),1,0)+IF(A127&gt;=DATEVALUE("2025/12/11")+TIMEVALUE("6:00"),1,0)</f>
        <v>4</v>
      </c>
      <c r="N127">
        <f t="shared" ref="N127" si="185">N126+M127*(INT(A127-6/24)-INT(A126-6/24))+O127</f>
        <v>124</v>
      </c>
      <c r="O127">
        <f t="shared" ref="O127" si="186">IF(A127&gt;=DATEVALUE("2025/11/8")+TIMEVALUE("6:00"),1,0)-IF(A126&gt;=DATEVALUE("2025/11/8")+TIMEVALUE("6:00"),1,0)</f>
        <v>0</v>
      </c>
      <c r="P127" t="str">
        <f t="shared" ref="P127" si="187">IF(L127&lt;N127,"未達成（"&amp;N127-L127&amp;"）",IF(L127=N127,"達成","前倒し（"&amp;L127-N127&amp;"）"))</f>
        <v>達成</v>
      </c>
    </row>
    <row r="128" spans="1:16">
      <c r="A128" s="3">
        <v>46011.279826388891</v>
      </c>
      <c r="B128">
        <v>60</v>
      </c>
      <c r="C128">
        <v>16</v>
      </c>
      <c r="D128">
        <v>0</v>
      </c>
      <c r="E128">
        <v>0</v>
      </c>
      <c r="F128">
        <v>0</v>
      </c>
      <c r="G128" s="5">
        <v>8.0208333383779973E-3</v>
      </c>
      <c r="H128" t="s">
        <v>310</v>
      </c>
      <c r="I128" t="s">
        <v>311</v>
      </c>
      <c r="J128">
        <v>0</v>
      </c>
      <c r="K128">
        <f t="shared" ref="K128" si="188">IF(A128&lt;DATEVALUE("2025/11/20")+TIMEVALUE("6:00"),1,IF(B128-SUM(D128:F128)&lt;&gt;60,0,MAX(2-INT(G128*24*60/10),0)))</f>
        <v>1</v>
      </c>
      <c r="L128">
        <f t="shared" ref="L128" si="189">L127+K128</f>
        <v>125</v>
      </c>
      <c r="M128">
        <f t="shared" ref="M128" si="190">2+IF(A128&gt;=DATEVALUE("2025/11/30")+TIMEVALUE("6:00"),1,0)+IF(A128&gt;=DATEVALUE("2025/12/11")+TIMEVALUE("6:00"),1,0)</f>
        <v>4</v>
      </c>
      <c r="N128">
        <f t="shared" ref="N128" si="191">N127+M128*(INT(A128-6/24)-INT(A127-6/24))+O128</f>
        <v>128</v>
      </c>
      <c r="O128">
        <f t="shared" ref="O128" si="192">IF(A128&gt;=DATEVALUE("2025/11/8")+TIMEVALUE("6:00"),1,0)-IF(A127&gt;=DATEVALUE("2025/11/8")+TIMEVALUE("6:00"),1,0)</f>
        <v>0</v>
      </c>
      <c r="P128" t="str">
        <f t="shared" ref="P128" si="193">IF(L128&lt;N128,"未達成（"&amp;N128-L128&amp;"）",IF(L128=N128,"達成","前倒し（"&amp;L128-N128&amp;"）"))</f>
        <v>未達成（3）</v>
      </c>
    </row>
    <row r="129" spans="1:16">
      <c r="A129" s="3">
        <v>46011.312511574077</v>
      </c>
      <c r="B129">
        <v>60</v>
      </c>
      <c r="C129">
        <v>20</v>
      </c>
      <c r="D129">
        <v>0</v>
      </c>
      <c r="E129">
        <v>0</v>
      </c>
      <c r="F129">
        <v>0</v>
      </c>
      <c r="G129" s="5">
        <v>5.9722222213167697E-3</v>
      </c>
      <c r="H129" t="s">
        <v>312</v>
      </c>
      <c r="I129" t="s">
        <v>313</v>
      </c>
      <c r="J129">
        <v>0</v>
      </c>
      <c r="K129">
        <f t="shared" ref="K129" si="194">IF(A129&lt;DATEVALUE("2025/11/20")+TIMEVALUE("6:00"),1,IF(B129-SUM(D129:F129)&lt;&gt;60,0,MAX(2-INT(G129*24*60/10),0)))</f>
        <v>2</v>
      </c>
      <c r="L129">
        <f t="shared" ref="L129" si="195">L128+K129</f>
        <v>127</v>
      </c>
      <c r="M129">
        <f t="shared" ref="M129" si="196">2+IF(A129&gt;=DATEVALUE("2025/11/30")+TIMEVALUE("6:00"),1,0)+IF(A129&gt;=DATEVALUE("2025/12/11")+TIMEVALUE("6:00"),1,0)</f>
        <v>4</v>
      </c>
      <c r="N129">
        <f t="shared" ref="N129" si="197">N128+M129*(INT(A129-6/24)-INT(A128-6/24))+O129</f>
        <v>128</v>
      </c>
      <c r="O129">
        <f t="shared" ref="O129" si="198">IF(A129&gt;=DATEVALUE("2025/11/8")+TIMEVALUE("6:00"),1,0)-IF(A128&gt;=DATEVALUE("2025/11/8")+TIMEVALUE("6:00"),1,0)</f>
        <v>0</v>
      </c>
      <c r="P129" t="str">
        <f t="shared" ref="P129" si="199">IF(L129&lt;N129,"未達成（"&amp;N129-L129&amp;"）",IF(L129=N129,"達成","前倒し（"&amp;L129-N129&amp;"）"))</f>
        <v>未達成（1）</v>
      </c>
    </row>
    <row r="130" spans="1:16">
      <c r="A130" s="3">
        <v>46011.325300925928</v>
      </c>
      <c r="B130">
        <v>60</v>
      </c>
      <c r="C130">
        <v>24</v>
      </c>
      <c r="D130">
        <v>0</v>
      </c>
      <c r="E130">
        <v>0</v>
      </c>
      <c r="F130">
        <v>0</v>
      </c>
      <c r="G130" s="5">
        <v>9.0625000011641532E-3</v>
      </c>
      <c r="H130" t="s">
        <v>314</v>
      </c>
      <c r="I130" t="s">
        <v>315</v>
      </c>
      <c r="J130">
        <v>0</v>
      </c>
      <c r="K130">
        <f t="shared" ref="K130" si="200">IF(A130&lt;DATEVALUE("2025/11/20")+TIMEVALUE("6:00"),1,IF(B130-SUM(D130:F130)&lt;&gt;60,0,MAX(2-INT(G130*24*60/10),0)))</f>
        <v>1</v>
      </c>
      <c r="L130">
        <f t="shared" ref="L130" si="201">L129+K130</f>
        <v>128</v>
      </c>
      <c r="M130">
        <f t="shared" ref="M130" si="202">2+IF(A130&gt;=DATEVALUE("2025/11/30")+TIMEVALUE("6:00"),1,0)+IF(A130&gt;=DATEVALUE("2025/12/11")+TIMEVALUE("6:00"),1,0)</f>
        <v>4</v>
      </c>
      <c r="N130">
        <f t="shared" ref="N130" si="203">N129+M130*(INT(A130-6/24)-INT(A129-6/24))+O130</f>
        <v>128</v>
      </c>
      <c r="O130">
        <f t="shared" ref="O130" si="204">IF(A130&gt;=DATEVALUE("2025/11/8")+TIMEVALUE("6:00"),1,0)-IF(A129&gt;=DATEVALUE("2025/11/8")+TIMEVALUE("6:00"),1,0)</f>
        <v>0</v>
      </c>
      <c r="P130" t="str">
        <f t="shared" ref="P130" si="205">IF(L130&lt;N130,"未達成（"&amp;N130-L130&amp;"）",IF(L130=N130,"達成","前倒し（"&amp;L130-N130&amp;"）"))</f>
        <v>達成</v>
      </c>
    </row>
    <row r="131" spans="1:16">
      <c r="A131" s="3">
        <v>46012.306608796294</v>
      </c>
      <c r="B131">
        <v>60</v>
      </c>
      <c r="C131">
        <v>13</v>
      </c>
      <c r="D131">
        <v>0</v>
      </c>
      <c r="E131">
        <v>0</v>
      </c>
      <c r="F131">
        <v>0</v>
      </c>
      <c r="G131" s="5">
        <v>6.5162036989931948E-3</v>
      </c>
      <c r="H131" t="s">
        <v>316</v>
      </c>
      <c r="I131" t="s">
        <v>317</v>
      </c>
      <c r="J131">
        <v>0</v>
      </c>
      <c r="K131">
        <f t="shared" ref="K131" si="206">IF(A131&lt;DATEVALUE("2025/11/20")+TIMEVALUE("6:00"),1,IF(B131-SUM(D131:F131)&lt;&gt;60,0,MAX(2-INT(G131*24*60/10),0)))</f>
        <v>2</v>
      </c>
      <c r="L131">
        <f t="shared" ref="L131" si="207">L130+K131</f>
        <v>130</v>
      </c>
      <c r="M131">
        <f t="shared" ref="M131" si="208">2+IF(A131&gt;=DATEVALUE("2025/11/30")+TIMEVALUE("6:00"),1,0)+IF(A131&gt;=DATEVALUE("2025/12/11")+TIMEVALUE("6:00"),1,0)</f>
        <v>4</v>
      </c>
      <c r="N131">
        <f t="shared" ref="N131" si="209">N130+M131*(INT(A131-6/24)-INT(A130-6/24))+O131</f>
        <v>132</v>
      </c>
      <c r="O131">
        <f t="shared" ref="O131" si="210">IF(A131&gt;=DATEVALUE("2025/11/8")+TIMEVALUE("6:00"),1,0)-IF(A130&gt;=DATEVALUE("2025/11/8")+TIMEVALUE("6:00"),1,0)</f>
        <v>0</v>
      </c>
      <c r="P131" t="str">
        <f t="shared" ref="P131" si="211">IF(L131&lt;N131,"未達成（"&amp;N131-L131&amp;"）",IF(L131=N131,"達成","前倒し（"&amp;L131-N131&amp;"）"))</f>
        <v>未達成（2）</v>
      </c>
    </row>
    <row r="132" spans="1:16">
      <c r="A132" s="3">
        <v>46012.318067129629</v>
      </c>
      <c r="B132">
        <v>60</v>
      </c>
      <c r="C132">
        <v>24</v>
      </c>
      <c r="D132">
        <v>0</v>
      </c>
      <c r="E132">
        <v>0</v>
      </c>
      <c r="F132">
        <v>0</v>
      </c>
      <c r="G132" s="5">
        <v>6.8634259223472327E-3</v>
      </c>
      <c r="H132" t="s">
        <v>318</v>
      </c>
      <c r="I132" t="s">
        <v>319</v>
      </c>
      <c r="J132">
        <v>0</v>
      </c>
      <c r="K132">
        <f t="shared" ref="K132" si="212">IF(A132&lt;DATEVALUE("2025/11/20")+TIMEVALUE("6:00"),1,IF(B132-SUM(D132:F132)&lt;&gt;60,0,MAX(2-INT(G132*24*60/10),0)))</f>
        <v>2</v>
      </c>
      <c r="L132">
        <f t="shared" ref="L132" si="213">L131+K132</f>
        <v>132</v>
      </c>
      <c r="M132">
        <f t="shared" ref="M132" si="214">2+IF(A132&gt;=DATEVALUE("2025/11/30")+TIMEVALUE("6:00"),1,0)+IF(A132&gt;=DATEVALUE("2025/12/11")+TIMEVALUE("6:00"),1,0)</f>
        <v>4</v>
      </c>
      <c r="N132">
        <f t="shared" ref="N132" si="215">N131+M132*(INT(A132-6/24)-INT(A131-6/24))+O132</f>
        <v>132</v>
      </c>
      <c r="O132">
        <f t="shared" ref="O132" si="216">IF(A132&gt;=DATEVALUE("2025/11/8")+TIMEVALUE("6:00"),1,0)-IF(A131&gt;=DATEVALUE("2025/11/8")+TIMEVALUE("6:00"),1,0)</f>
        <v>0</v>
      </c>
      <c r="P132" t="str">
        <f t="shared" ref="P132" si="217">IF(L132&lt;N132,"未達成（"&amp;N132-L132&amp;"）",IF(L132=N132,"達成","前倒し（"&amp;L132-N132&amp;"）"))</f>
        <v>達成</v>
      </c>
    </row>
    <row r="133" spans="1:16">
      <c r="A133" s="3">
        <v>46013.314039351855</v>
      </c>
      <c r="B133">
        <v>60</v>
      </c>
      <c r="C133">
        <v>18</v>
      </c>
      <c r="D133">
        <v>0</v>
      </c>
      <c r="E133">
        <v>0</v>
      </c>
      <c r="F133">
        <v>0</v>
      </c>
      <c r="G133" s="5">
        <v>7.6967592613073066E-3</v>
      </c>
      <c r="H133" t="s">
        <v>320</v>
      </c>
      <c r="I133" t="s">
        <v>321</v>
      </c>
      <c r="J133">
        <v>0</v>
      </c>
      <c r="K133">
        <f t="shared" ref="K133" si="218">IF(A133&lt;DATEVALUE("2025/11/20")+TIMEVALUE("6:00"),1,IF(B133-SUM(D133:F133)&lt;&gt;60,0,MAX(2-INT(G133*24*60/10),0)))</f>
        <v>1</v>
      </c>
      <c r="L133">
        <f t="shared" ref="L133" si="219">L132+K133</f>
        <v>133</v>
      </c>
      <c r="M133">
        <f t="shared" ref="M133" si="220">2+IF(A133&gt;=DATEVALUE("2025/11/30")+TIMEVALUE("6:00"),1,0)+IF(A133&gt;=DATEVALUE("2025/12/11")+TIMEVALUE("6:00"),1,0)</f>
        <v>4</v>
      </c>
      <c r="N133">
        <f t="shared" ref="N133" si="221">N132+M133*(INT(A133-6/24)-INT(A132-6/24))+O133</f>
        <v>136</v>
      </c>
      <c r="O133">
        <f t="shared" ref="O133" si="222">IF(A133&gt;=DATEVALUE("2025/11/8")+TIMEVALUE("6:00"),1,0)-IF(A132&gt;=DATEVALUE("2025/11/8")+TIMEVALUE("6:00"),1,0)</f>
        <v>0</v>
      </c>
      <c r="P133" t="str">
        <f t="shared" ref="P133" si="223">IF(L133&lt;N133,"未達成（"&amp;N133-L133&amp;"）",IF(L133=N133,"達成","前倒し（"&amp;L133-N133&amp;"）"))</f>
        <v>未達成（3）</v>
      </c>
    </row>
    <row r="134" spans="1:16">
      <c r="A134" s="3">
        <v>46013.368958333333</v>
      </c>
      <c r="B134">
        <v>55</v>
      </c>
      <c r="C134">
        <v>7</v>
      </c>
      <c r="D134">
        <v>0</v>
      </c>
      <c r="E134">
        <v>5</v>
      </c>
      <c r="F134">
        <v>0</v>
      </c>
      <c r="G134" s="5">
        <v>8.599537039117422E-3</v>
      </c>
      <c r="H134" t="s">
        <v>322</v>
      </c>
      <c r="I134" t="s">
        <v>323</v>
      </c>
      <c r="J134">
        <v>0</v>
      </c>
      <c r="K134">
        <f t="shared" ref="K134" si="224">IF(A134&lt;DATEVALUE("2025/11/20")+TIMEVALUE("6:00"),1,IF(B134-SUM(D134:F134)&lt;&gt;60,0,MAX(2-INT(G134*24*60/10),0)))</f>
        <v>0</v>
      </c>
      <c r="L134">
        <f t="shared" ref="L134" si="225">L133+K134</f>
        <v>133</v>
      </c>
      <c r="M134">
        <f t="shared" ref="M134" si="226">2+IF(A134&gt;=DATEVALUE("2025/11/30")+TIMEVALUE("6:00"),1,0)+IF(A134&gt;=DATEVALUE("2025/12/11")+TIMEVALUE("6:00"),1,0)</f>
        <v>4</v>
      </c>
      <c r="N134">
        <f t="shared" ref="N134" si="227">N133+M134*(INT(A134-6/24)-INT(A133-6/24))+O134</f>
        <v>136</v>
      </c>
      <c r="O134">
        <f t="shared" ref="O134" si="228">IF(A134&gt;=DATEVALUE("2025/11/8")+TIMEVALUE("6:00"),1,0)-IF(A133&gt;=DATEVALUE("2025/11/8")+TIMEVALUE("6:00"),1,0)</f>
        <v>0</v>
      </c>
      <c r="P134" t="str">
        <f t="shared" ref="P134" si="229">IF(L134&lt;N134,"未達成（"&amp;N134-L134&amp;"）",IF(L134=N134,"達成","前倒し（"&amp;L134-N134&amp;"）"))</f>
        <v>未達成（3）</v>
      </c>
    </row>
    <row r="135" spans="1:16">
      <c r="A135" s="3">
        <v>46013.860532407409</v>
      </c>
      <c r="B135">
        <v>60</v>
      </c>
      <c r="C135">
        <v>2</v>
      </c>
      <c r="D135">
        <v>0</v>
      </c>
      <c r="E135">
        <v>0</v>
      </c>
      <c r="F135">
        <v>0</v>
      </c>
      <c r="G135" s="5">
        <v>1.0312500002328306E-2</v>
      </c>
      <c r="H135" t="s">
        <v>324</v>
      </c>
      <c r="I135" t="s">
        <v>325</v>
      </c>
      <c r="J135">
        <v>0</v>
      </c>
      <c r="K135">
        <f t="shared" ref="K135" si="230">IF(A135&lt;DATEVALUE("2025/11/20")+TIMEVALUE("6:00"),1,IF(B135-SUM(D135:F135)&lt;&gt;60,0,MAX(2-INT(G135*24*60/10),0)))</f>
        <v>1</v>
      </c>
      <c r="L135">
        <f t="shared" ref="L135" si="231">L134+K135</f>
        <v>134</v>
      </c>
      <c r="M135">
        <f t="shared" ref="M135" si="232">2+IF(A135&gt;=DATEVALUE("2025/11/30")+TIMEVALUE("6:00"),1,0)+IF(A135&gt;=DATEVALUE("2025/12/11")+TIMEVALUE("6:00"),1,0)</f>
        <v>4</v>
      </c>
      <c r="N135">
        <f t="shared" ref="N135" si="233">N134+M135*(INT(A135-6/24)-INT(A134-6/24))+O135</f>
        <v>136</v>
      </c>
      <c r="O135">
        <f t="shared" ref="O135" si="234">IF(A135&gt;=DATEVALUE("2025/11/8")+TIMEVALUE("6:00"),1,0)-IF(A134&gt;=DATEVALUE("2025/11/8")+TIMEVALUE("6:00"),1,0)</f>
        <v>0</v>
      </c>
      <c r="P135" t="str">
        <f t="shared" ref="P135" si="235">IF(L135&lt;N135,"未達成（"&amp;N135-L135&amp;"）",IF(L135=N135,"達成","前倒し（"&amp;L135-N135&amp;"）"))</f>
        <v>未達成（2）</v>
      </c>
    </row>
    <row r="136" spans="1:16">
      <c r="A136" s="3">
        <v>46013.8671412037</v>
      </c>
      <c r="B136">
        <v>60</v>
      </c>
      <c r="C136">
        <v>18</v>
      </c>
      <c r="D136">
        <v>0</v>
      </c>
      <c r="E136">
        <v>0</v>
      </c>
      <c r="F136">
        <v>0</v>
      </c>
      <c r="G136" s="5">
        <v>6.2731481448281556E-3</v>
      </c>
      <c r="H136" t="s">
        <v>326</v>
      </c>
      <c r="I136" t="s">
        <v>327</v>
      </c>
      <c r="J136">
        <v>0</v>
      </c>
      <c r="K136">
        <f t="shared" ref="K136" si="236">IF(A136&lt;DATEVALUE("2025/11/20")+TIMEVALUE("6:00"),1,IF(B136-SUM(D136:F136)&lt;&gt;60,0,MAX(2-INT(G136*24*60/10),0)))</f>
        <v>2</v>
      </c>
      <c r="L136">
        <f t="shared" ref="L136" si="237">L135+K136</f>
        <v>136</v>
      </c>
      <c r="M136">
        <f t="shared" ref="M136" si="238">2+IF(A136&gt;=DATEVALUE("2025/11/30")+TIMEVALUE("6:00"),1,0)+IF(A136&gt;=DATEVALUE("2025/12/11")+TIMEVALUE("6:00"),1,0)</f>
        <v>4</v>
      </c>
      <c r="N136">
        <f t="shared" ref="N136" si="239">N135+M136*(INT(A136-6/24)-INT(A135-6/24))+O136</f>
        <v>136</v>
      </c>
      <c r="O136">
        <f t="shared" ref="O136" si="240">IF(A136&gt;=DATEVALUE("2025/11/8")+TIMEVALUE("6:00"),1,0)-IF(A135&gt;=DATEVALUE("2025/11/8")+TIMEVALUE("6:00"),1,0)</f>
        <v>0</v>
      </c>
      <c r="P136" t="str">
        <f t="shared" ref="P136" si="241">IF(L136&lt;N136,"未達成（"&amp;N136-L136&amp;"）",IF(L136=N136,"達成","前倒し（"&amp;L136-N136&amp;"）"))</f>
        <v>達成</v>
      </c>
    </row>
    <row r="137" spans="1:16">
      <c r="A137" s="3">
        <v>46014.288958333331</v>
      </c>
      <c r="B137">
        <v>60</v>
      </c>
      <c r="C137">
        <v>8</v>
      </c>
      <c r="D137">
        <v>0</v>
      </c>
      <c r="E137">
        <v>0</v>
      </c>
      <c r="F137">
        <v>0</v>
      </c>
      <c r="G137" s="5">
        <v>6.5624999988358468E-3</v>
      </c>
      <c r="H137" t="s">
        <v>328</v>
      </c>
      <c r="I137" t="s">
        <v>329</v>
      </c>
      <c r="J137">
        <v>0</v>
      </c>
      <c r="K137">
        <f t="shared" ref="K137" si="242">IF(A137&lt;DATEVALUE("2025/11/20")+TIMEVALUE("6:00"),1,IF(B137-SUM(D137:F137)&lt;&gt;60,0,MAX(2-INT(G137*24*60/10),0)))</f>
        <v>2</v>
      </c>
      <c r="L137">
        <f t="shared" ref="L137" si="243">L136+K137</f>
        <v>138</v>
      </c>
      <c r="M137">
        <f t="shared" ref="M137" si="244">2+IF(A137&gt;=DATEVALUE("2025/11/30")+TIMEVALUE("6:00"),1,0)+IF(A137&gt;=DATEVALUE("2025/12/11")+TIMEVALUE("6:00"),1,0)</f>
        <v>4</v>
      </c>
      <c r="N137">
        <f t="shared" ref="N137" si="245">N136+M137*(INT(A137-6/24)-INT(A136-6/24))+O137</f>
        <v>140</v>
      </c>
      <c r="O137">
        <f t="shared" ref="O137" si="246">IF(A137&gt;=DATEVALUE("2025/11/8")+TIMEVALUE("6:00"),1,0)-IF(A136&gt;=DATEVALUE("2025/11/8")+TIMEVALUE("6:00"),1,0)</f>
        <v>0</v>
      </c>
      <c r="P137" t="str">
        <f t="shared" ref="P137" si="247">IF(L137&lt;N137,"未達成（"&amp;N137-L137&amp;"）",IF(L137=N137,"達成","前倒し（"&amp;L137-N137&amp;"）"))</f>
        <v>未達成（2）</v>
      </c>
    </row>
    <row r="138" spans="1:16">
      <c r="A138" s="3">
        <v>46014.308854166666</v>
      </c>
      <c r="B138">
        <v>60</v>
      </c>
      <c r="C138">
        <v>19</v>
      </c>
      <c r="D138">
        <v>0</v>
      </c>
      <c r="E138">
        <v>0</v>
      </c>
      <c r="F138">
        <v>0</v>
      </c>
      <c r="G138" s="5">
        <v>1.8229166664241347E-2</v>
      </c>
      <c r="H138" t="s">
        <v>330</v>
      </c>
      <c r="I138" t="s">
        <v>331</v>
      </c>
      <c r="J138">
        <v>0</v>
      </c>
      <c r="K138">
        <f t="shared" ref="K138" si="248">IF(A138&lt;DATEVALUE("2025/11/20")+TIMEVALUE("6:00"),1,IF(B138-SUM(D138:F138)&lt;&gt;60,0,MAX(2-INT(G138*24*60/10),0)))</f>
        <v>0</v>
      </c>
      <c r="L138">
        <f t="shared" ref="L138" si="249">L137+K138</f>
        <v>138</v>
      </c>
      <c r="M138">
        <f t="shared" ref="M138" si="250">2+IF(A138&gt;=DATEVALUE("2025/11/30")+TIMEVALUE("6:00"),1,0)+IF(A138&gt;=DATEVALUE("2025/12/11")+TIMEVALUE("6:00"),1,0)</f>
        <v>4</v>
      </c>
      <c r="N138">
        <f t="shared" ref="N138" si="251">N137+M138*(INT(A138-6/24)-INT(A137-6/24))+O138</f>
        <v>140</v>
      </c>
      <c r="O138">
        <f t="shared" ref="O138" si="252">IF(A138&gt;=DATEVALUE("2025/11/8")+TIMEVALUE("6:00"),1,0)-IF(A137&gt;=DATEVALUE("2025/11/8")+TIMEVALUE("6:00"),1,0)</f>
        <v>0</v>
      </c>
      <c r="P138" t="str">
        <f t="shared" ref="P138" si="253">IF(L138&lt;N138,"未達成（"&amp;N138-L138&amp;"）",IF(L138=N138,"達成","前倒し（"&amp;L138-N138&amp;"）"))</f>
        <v>未達成（2）</v>
      </c>
    </row>
    <row r="139" spans="1:16">
      <c r="A139" s="3">
        <v>46014.316064814811</v>
      </c>
      <c r="B139">
        <v>60</v>
      </c>
      <c r="C139">
        <v>13</v>
      </c>
      <c r="D139">
        <v>0</v>
      </c>
      <c r="E139">
        <v>0</v>
      </c>
      <c r="F139">
        <v>0</v>
      </c>
      <c r="G139" s="5">
        <v>6.0532407369464636E-3</v>
      </c>
      <c r="H139" t="s">
        <v>332</v>
      </c>
      <c r="I139" t="s">
        <v>333</v>
      </c>
      <c r="J139">
        <v>0</v>
      </c>
      <c r="K139">
        <f t="shared" ref="K139" si="254">IF(A139&lt;DATEVALUE("2025/11/20")+TIMEVALUE("6:00"),1,IF(B139-SUM(D139:F139)&lt;&gt;60,0,MAX(2-INT(G139*24*60/10),0)))</f>
        <v>2</v>
      </c>
      <c r="L139">
        <f t="shared" ref="L139" si="255">L138+K139</f>
        <v>140</v>
      </c>
      <c r="M139">
        <f t="shared" ref="M139" si="256">2+IF(A139&gt;=DATEVALUE("2025/11/30")+TIMEVALUE("6:00"),1,0)+IF(A139&gt;=DATEVALUE("2025/12/11")+TIMEVALUE("6:00"),1,0)</f>
        <v>4</v>
      </c>
      <c r="N139">
        <f t="shared" ref="N139" si="257">N138+M139*(INT(A139-6/24)-INT(A138-6/24))+O139</f>
        <v>140</v>
      </c>
      <c r="O139">
        <f t="shared" ref="O139" si="258">IF(A139&gt;=DATEVALUE("2025/11/8")+TIMEVALUE("6:00"),1,0)-IF(A138&gt;=DATEVALUE("2025/11/8")+TIMEVALUE("6:00"),1,0)</f>
        <v>0</v>
      </c>
      <c r="P139" t="str">
        <f t="shared" ref="P139" si="259">IF(L139&lt;N139,"未達成（"&amp;N139-L139&amp;"）",IF(L139=N139,"達成","前倒し（"&amp;L139-N139&amp;"）"))</f>
        <v>達成</v>
      </c>
    </row>
    <row r="140" spans="1:16">
      <c r="A140" s="3">
        <v>46015.292881944442</v>
      </c>
      <c r="B140">
        <v>60</v>
      </c>
      <c r="C140">
        <v>10</v>
      </c>
      <c r="D140">
        <v>0</v>
      </c>
      <c r="E140">
        <v>0</v>
      </c>
      <c r="F140">
        <v>0</v>
      </c>
      <c r="G140" s="5">
        <v>9.6527777786832303E-3</v>
      </c>
      <c r="H140" t="s">
        <v>334</v>
      </c>
      <c r="I140" t="s">
        <v>335</v>
      </c>
      <c r="J140">
        <v>0</v>
      </c>
      <c r="K140">
        <f t="shared" ref="K140" si="260">IF(A140&lt;DATEVALUE("2025/11/20")+TIMEVALUE("6:00"),1,IF(B140-SUM(D140:F140)&lt;&gt;60,0,MAX(2-INT(G140*24*60/10),0)))</f>
        <v>1</v>
      </c>
      <c r="L140">
        <f t="shared" ref="L140" si="261">L139+K140</f>
        <v>141</v>
      </c>
      <c r="M140">
        <f t="shared" ref="M140" si="262">2+IF(A140&gt;=DATEVALUE("2025/11/30")+TIMEVALUE("6:00"),1,0)+IF(A140&gt;=DATEVALUE("2025/12/11")+TIMEVALUE("6:00"),1,0)</f>
        <v>4</v>
      </c>
      <c r="N140">
        <f t="shared" ref="N140" si="263">N139+M140*(INT(A140-6/24)-INT(A139-6/24))+O140</f>
        <v>144</v>
      </c>
      <c r="O140">
        <f t="shared" ref="O140" si="264">IF(A140&gt;=DATEVALUE("2025/11/8")+TIMEVALUE("6:00"),1,0)-IF(A139&gt;=DATEVALUE("2025/11/8")+TIMEVALUE("6:00"),1,0)</f>
        <v>0</v>
      </c>
      <c r="P140" t="str">
        <f t="shared" ref="P140" si="265">IF(L140&lt;N140,"未達成（"&amp;N140-L140&amp;"）",IF(L140=N140,"達成","前倒し（"&amp;L140-N140&amp;"）"))</f>
        <v>未達成（3）</v>
      </c>
    </row>
    <row r="141" spans="1:16">
      <c r="A141" s="3">
        <v>46015.727083333331</v>
      </c>
      <c r="B141">
        <v>60</v>
      </c>
      <c r="C141">
        <v>11</v>
      </c>
      <c r="D141">
        <v>0</v>
      </c>
      <c r="E141">
        <v>0</v>
      </c>
      <c r="F141">
        <v>0</v>
      </c>
      <c r="G141" s="5">
        <v>6.0069444443797693E-3</v>
      </c>
      <c r="H141" t="s">
        <v>336</v>
      </c>
      <c r="I141" t="s">
        <v>337</v>
      </c>
      <c r="J141">
        <v>0</v>
      </c>
      <c r="K141">
        <f t="shared" ref="K141" si="266">IF(A141&lt;DATEVALUE("2025/11/20")+TIMEVALUE("6:00"),1,IF(B141-SUM(D141:F141)&lt;&gt;60,0,MAX(2-INT(G141*24*60/10),0)))</f>
        <v>2</v>
      </c>
      <c r="L141">
        <f t="shared" ref="L141" si="267">L140+K141</f>
        <v>143</v>
      </c>
      <c r="M141">
        <f t="shared" ref="M141" si="268">2+IF(A141&gt;=DATEVALUE("2025/11/30")+TIMEVALUE("6:00"),1,0)+IF(A141&gt;=DATEVALUE("2025/12/11")+TIMEVALUE("6:00"),1,0)</f>
        <v>4</v>
      </c>
      <c r="N141">
        <f t="shared" ref="N141" si="269">N140+M141*(INT(A141-6/24)-INT(A140-6/24))+O141</f>
        <v>144</v>
      </c>
      <c r="O141">
        <f t="shared" ref="O141" si="270">IF(A141&gt;=DATEVALUE("2025/11/8")+TIMEVALUE("6:00"),1,0)-IF(A140&gt;=DATEVALUE("2025/11/8")+TIMEVALUE("6:00"),1,0)</f>
        <v>0</v>
      </c>
      <c r="P141" t="str">
        <f t="shared" ref="P141" si="271">IF(L141&lt;N141,"未達成（"&amp;N141-L141&amp;"）",IF(L141=N141,"達成","前倒し（"&amp;L141-N141&amp;"）"))</f>
        <v>未達成（1）</v>
      </c>
    </row>
    <row r="142" spans="1:16">
      <c r="A142" s="3">
        <v>46015.735798611109</v>
      </c>
      <c r="B142">
        <v>60</v>
      </c>
      <c r="C142">
        <v>4</v>
      </c>
      <c r="D142">
        <v>0</v>
      </c>
      <c r="E142">
        <v>0</v>
      </c>
      <c r="F142">
        <v>0</v>
      </c>
      <c r="G142" s="5">
        <v>7.3379629611736163E-3</v>
      </c>
      <c r="H142" t="s">
        <v>338</v>
      </c>
      <c r="I142" t="s">
        <v>339</v>
      </c>
      <c r="J142">
        <v>0</v>
      </c>
      <c r="K142">
        <f t="shared" ref="K142" si="272">IF(A142&lt;DATEVALUE("2025/11/20")+TIMEVALUE("6:00"),1,IF(B142-SUM(D142:F142)&lt;&gt;60,0,MAX(2-INT(G142*24*60/10),0)))</f>
        <v>1</v>
      </c>
      <c r="L142">
        <f t="shared" ref="L142" si="273">L141+K142</f>
        <v>144</v>
      </c>
      <c r="M142">
        <f t="shared" ref="M142" si="274">2+IF(A142&gt;=DATEVALUE("2025/11/30")+TIMEVALUE("6:00"),1,0)+IF(A142&gt;=DATEVALUE("2025/12/11")+TIMEVALUE("6:00"),1,0)</f>
        <v>4</v>
      </c>
      <c r="N142">
        <f t="shared" ref="N142" si="275">N141+M142*(INT(A142-6/24)-INT(A141-6/24))+O142</f>
        <v>144</v>
      </c>
      <c r="O142">
        <f t="shared" ref="O142" si="276">IF(A142&gt;=DATEVALUE("2025/11/8")+TIMEVALUE("6:00"),1,0)-IF(A141&gt;=DATEVALUE("2025/11/8")+TIMEVALUE("6:00"),1,0)</f>
        <v>0</v>
      </c>
      <c r="P142" t="str">
        <f t="shared" ref="P142" si="277">IF(L142&lt;N142,"未達成（"&amp;N142-L142&amp;"）",IF(L142=N142,"達成","前倒し（"&amp;L142-N142&amp;"）"))</f>
        <v>達成</v>
      </c>
    </row>
    <row r="143" spans="1:16">
      <c r="A143" s="3">
        <v>46016.868796296294</v>
      </c>
      <c r="B143">
        <v>60</v>
      </c>
      <c r="C143">
        <v>12</v>
      </c>
      <c r="D143">
        <v>0</v>
      </c>
      <c r="E143">
        <v>0</v>
      </c>
      <c r="F143">
        <v>0</v>
      </c>
      <c r="G143" s="5">
        <v>7.2337962919846177E-3</v>
      </c>
      <c r="H143" t="s">
        <v>341</v>
      </c>
      <c r="I143" t="s">
        <v>342</v>
      </c>
      <c r="J143">
        <v>0</v>
      </c>
      <c r="K143">
        <f t="shared" ref="K143" si="278">IF(A143&lt;DATEVALUE("2025/11/20")+TIMEVALUE("6:00"),1,IF(B143-SUM(D143:F143)&lt;&gt;60,0,MAX(2-INT(G143*24*60/10),0)))</f>
        <v>1</v>
      </c>
      <c r="L143">
        <f t="shared" ref="L143" si="279">L142+K143</f>
        <v>145</v>
      </c>
      <c r="M143">
        <f t="shared" ref="M143" si="280">2+IF(A143&gt;=DATEVALUE("2025/11/30")+TIMEVALUE("6:00"),1,0)+IF(A143&gt;=DATEVALUE("2025/12/11")+TIMEVALUE("6:00"),1,0)</f>
        <v>4</v>
      </c>
      <c r="N143">
        <f t="shared" ref="N143" si="281">N142+M143*(INT(A143-6/24)-INT(A142-6/24))+O143</f>
        <v>148</v>
      </c>
      <c r="O143">
        <f t="shared" ref="O143" si="282">IF(A143&gt;=DATEVALUE("2025/11/8")+TIMEVALUE("6:00"),1,0)-IF(A142&gt;=DATEVALUE("2025/11/8")+TIMEVALUE("6:00"),1,0)</f>
        <v>0</v>
      </c>
      <c r="P143" t="str">
        <f t="shared" ref="P143" si="283">IF(L143&lt;N143,"未達成（"&amp;N143-L143&amp;"）",IF(L143=N143,"達成","前倒し（"&amp;L143-N143&amp;"）"))</f>
        <v>未達成（3）</v>
      </c>
    </row>
    <row r="144" spans="1:16">
      <c r="A144" s="3">
        <v>46016.876342592594</v>
      </c>
      <c r="B144">
        <v>60</v>
      </c>
      <c r="C144">
        <v>16</v>
      </c>
      <c r="D144">
        <v>0</v>
      </c>
      <c r="E144">
        <v>0</v>
      </c>
      <c r="F144">
        <v>0</v>
      </c>
      <c r="G144" s="5">
        <v>7.0601851839455776E-3</v>
      </c>
      <c r="H144" t="s">
        <v>343</v>
      </c>
      <c r="I144" t="s">
        <v>344</v>
      </c>
      <c r="J144">
        <v>0</v>
      </c>
      <c r="K144">
        <f t="shared" ref="K144" si="284">IF(A144&lt;DATEVALUE("2025/11/20")+TIMEVALUE("6:00"),1,IF(B144-SUM(D144:F144)&lt;&gt;60,0,MAX(2-INT(G144*24*60/10),0)))</f>
        <v>1</v>
      </c>
      <c r="L144">
        <f t="shared" ref="L144" si="285">L143+K144</f>
        <v>146</v>
      </c>
      <c r="M144">
        <f t="shared" ref="M144" si="286">2+IF(A144&gt;=DATEVALUE("2025/11/30")+TIMEVALUE("6:00"),1,0)+IF(A144&gt;=DATEVALUE("2025/12/11")+TIMEVALUE("6:00"),1,0)</f>
        <v>4</v>
      </c>
      <c r="N144">
        <f t="shared" ref="N144" si="287">N143+M144*(INT(A144-6/24)-INT(A143-6/24))+O144</f>
        <v>148</v>
      </c>
      <c r="O144">
        <f t="shared" ref="O144" si="288">IF(A144&gt;=DATEVALUE("2025/11/8")+TIMEVALUE("6:00"),1,0)-IF(A143&gt;=DATEVALUE("2025/11/8")+TIMEVALUE("6:00"),1,0)</f>
        <v>0</v>
      </c>
      <c r="P144" t="str">
        <f t="shared" ref="P144" si="289">IF(L144&lt;N144,"未達成（"&amp;N144-L144&amp;"）",IF(L144=N144,"達成","前倒し（"&amp;L144-N144&amp;"）"))</f>
        <v>未達成（2）</v>
      </c>
    </row>
    <row r="145" spans="1:16">
      <c r="A145" s="3">
        <v>46016.882222222222</v>
      </c>
      <c r="B145">
        <v>60</v>
      </c>
      <c r="C145">
        <v>10</v>
      </c>
      <c r="D145">
        <v>0</v>
      </c>
      <c r="E145">
        <v>0</v>
      </c>
      <c r="F145">
        <v>0</v>
      </c>
      <c r="G145" s="5">
        <v>4.8379629661212675E-3</v>
      </c>
      <c r="H145" t="s">
        <v>345</v>
      </c>
      <c r="I145" t="s">
        <v>346</v>
      </c>
      <c r="J145">
        <v>0</v>
      </c>
      <c r="K145">
        <f t="shared" ref="K145" si="290">IF(A145&lt;DATEVALUE("2025/11/20")+TIMEVALUE("6:00"),1,IF(B145-SUM(D145:F145)&lt;&gt;60,0,MAX(2-INT(G145*24*60/10),0)))</f>
        <v>2</v>
      </c>
      <c r="L145">
        <f t="shared" ref="L145" si="291">L144+K145</f>
        <v>148</v>
      </c>
      <c r="M145">
        <f t="shared" ref="M145" si="292">2+IF(A145&gt;=DATEVALUE("2025/11/30")+TIMEVALUE("6:00"),1,0)+IF(A145&gt;=DATEVALUE("2025/12/11")+TIMEVALUE("6:00"),1,0)</f>
        <v>4</v>
      </c>
      <c r="N145">
        <f t="shared" ref="N145" si="293">N144+M145*(INT(A145-6/24)-INT(A144-6/24))+O145</f>
        <v>148</v>
      </c>
      <c r="O145">
        <f t="shared" ref="O145" si="294">IF(A145&gt;=DATEVALUE("2025/11/8")+TIMEVALUE("6:00"),1,0)-IF(A144&gt;=DATEVALUE("2025/11/8")+TIMEVALUE("6:00"),1,0)</f>
        <v>0</v>
      </c>
      <c r="P145" t="str">
        <f t="shared" ref="P145" si="295">IF(L145&lt;N145,"未達成（"&amp;N145-L145&amp;"）",IF(L145=N145,"達成","前倒し（"&amp;L145-N145&amp;"）"))</f>
        <v>達成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1223963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6"/>
  <sheetViews>
    <sheetView zoomScaleNormal="100" workbookViewId="0">
      <selection activeCell="A3" sqref="A3"/>
    </sheetView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1</v>
      </c>
    </row>
    <row r="3" spans="1:4">
      <c r="A3" t="s">
        <v>12</v>
      </c>
      <c r="C3" s="23">
        <v>46016.877384259256</v>
      </c>
      <c r="D3" s="24"/>
    </row>
    <row r="4" spans="1:4">
      <c r="A4" t="s">
        <v>340</v>
      </c>
      <c r="C4" s="25">
        <v>0</v>
      </c>
      <c r="D4" s="24"/>
    </row>
    <row r="5" spans="1:4">
      <c r="A5" t="s">
        <v>42</v>
      </c>
      <c r="C5" s="6">
        <v>2</v>
      </c>
    </row>
    <row r="6" spans="1:4">
      <c r="C6" s="6">
        <v>3</v>
      </c>
    </row>
    <row r="7" spans="1:4">
      <c r="C7" s="6">
        <v>7</v>
      </c>
    </row>
    <row r="8" spans="1:4">
      <c r="C8" s="6">
        <v>5</v>
      </c>
    </row>
    <row r="9" spans="1:4">
      <c r="C9" s="6">
        <v>2</v>
      </c>
    </row>
    <row r="10" spans="1:4">
      <c r="C10" s="6">
        <v>5</v>
      </c>
    </row>
    <row r="11" spans="1:4">
      <c r="C11" s="6">
        <v>3</v>
      </c>
    </row>
    <row r="12" spans="1:4">
      <c r="C12" s="6">
        <v>4</v>
      </c>
    </row>
    <row r="13" spans="1:4">
      <c r="C13" s="6">
        <v>2</v>
      </c>
    </row>
    <row r="14" spans="1:4">
      <c r="C14" s="6">
        <v>6</v>
      </c>
    </row>
    <row r="15" spans="1:4">
      <c r="C15" s="6">
        <v>2</v>
      </c>
    </row>
    <row r="16" spans="1:4">
      <c r="C16" s="6">
        <v>4</v>
      </c>
    </row>
    <row r="17" spans="1:3">
      <c r="C17" s="6">
        <v>7</v>
      </c>
    </row>
    <row r="18" spans="1:3">
      <c r="C18" s="6">
        <v>3</v>
      </c>
    </row>
    <row r="19" spans="1:3">
      <c r="C19" s="6">
        <v>5</v>
      </c>
    </row>
    <row r="20" spans="1:3">
      <c r="A20" t="s">
        <v>43</v>
      </c>
    </row>
    <row r="21" spans="1:3">
      <c r="B21">
        <v>2</v>
      </c>
      <c r="C21" s="6">
        <v>2</v>
      </c>
    </row>
    <row r="22" spans="1:3">
      <c r="B22">
        <v>3</v>
      </c>
      <c r="C22" s="6">
        <v>3</v>
      </c>
    </row>
    <row r="23" spans="1:3">
      <c r="B23">
        <v>4</v>
      </c>
      <c r="C23" s="6">
        <v>4</v>
      </c>
    </row>
    <row r="24" spans="1:3">
      <c r="B24">
        <v>5</v>
      </c>
      <c r="C24" s="6">
        <v>5</v>
      </c>
    </row>
    <row r="25" spans="1:3">
      <c r="B25">
        <v>6</v>
      </c>
      <c r="C25" s="6">
        <v>6</v>
      </c>
    </row>
    <row r="26" spans="1:3">
      <c r="B26">
        <v>7</v>
      </c>
      <c r="C26" s="6">
        <v>7</v>
      </c>
    </row>
  </sheetData>
  <mergeCells count="2">
    <mergeCell ref="C3:D3"/>
    <mergeCell ref="C4:D4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6</vt:i4>
      </vt:variant>
    </vt:vector>
  </HeadingPairs>
  <TitlesOfParts>
    <vt:vector size="12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再開時間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2025-12-25T12:10:47Z</dcterms:modified>
</cp:coreProperties>
</file>
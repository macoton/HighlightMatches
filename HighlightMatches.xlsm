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D12CFEB3-42F8-4AA0-9DFA-CC2BED749CC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8" i="4" l="1"/>
  <c r="O308" i="4"/>
  <c r="M308" i="4"/>
  <c r="N308" i="4" s="1"/>
  <c r="K308" i="4"/>
  <c r="L308" i="4" s="1"/>
  <c r="P308" i="4" s="1"/>
  <c r="Q307" i="4"/>
  <c r="O307" i="4"/>
  <c r="M307" i="4"/>
  <c r="N307" i="4" s="1"/>
  <c r="K307" i="4"/>
  <c r="L307" i="4" s="1"/>
  <c r="Q306" i="4"/>
  <c r="O306" i="4"/>
  <c r="M306" i="4"/>
  <c r="N306" i="4" s="1"/>
  <c r="K306" i="4"/>
  <c r="L306" i="4" s="1"/>
  <c r="Q305" i="4"/>
  <c r="O305" i="4"/>
  <c r="M305" i="4"/>
  <c r="N305" i="4" s="1"/>
  <c r="K305" i="4"/>
  <c r="L305" i="4" s="1"/>
  <c r="P305" i="4" s="1"/>
  <c r="Q304" i="4"/>
  <c r="O304" i="4"/>
  <c r="M304" i="4"/>
  <c r="N304" i="4" s="1"/>
  <c r="K304" i="4"/>
  <c r="L304" i="4" s="1"/>
  <c r="P304" i="4" s="1"/>
  <c r="Q303" i="4"/>
  <c r="O303" i="4"/>
  <c r="M303" i="4"/>
  <c r="N303" i="4" s="1"/>
  <c r="K303" i="4"/>
  <c r="L303" i="4" s="1"/>
  <c r="Q302" i="4"/>
  <c r="O302" i="4"/>
  <c r="M302" i="4"/>
  <c r="N302" i="4" s="1"/>
  <c r="K302" i="4"/>
  <c r="L302" i="4" s="1"/>
  <c r="Q301" i="4"/>
  <c r="O301" i="4"/>
  <c r="M301" i="4"/>
  <c r="N301" i="4" s="1"/>
  <c r="K301" i="4"/>
  <c r="L301" i="4" s="1"/>
  <c r="P301" i="4" s="1"/>
  <c r="Q300" i="4"/>
  <c r="O300" i="4"/>
  <c r="M300" i="4"/>
  <c r="N300" i="4" s="1"/>
  <c r="K300" i="4"/>
  <c r="L300" i="4" s="1"/>
  <c r="Q299" i="4"/>
  <c r="O299" i="4"/>
  <c r="M299" i="4"/>
  <c r="N299" i="4" s="1"/>
  <c r="K299" i="4"/>
  <c r="L299" i="4" s="1"/>
  <c r="P299" i="4" s="1"/>
  <c r="Q298" i="4"/>
  <c r="O298" i="4"/>
  <c r="M298" i="4"/>
  <c r="N298" i="4" s="1"/>
  <c r="K298" i="4"/>
  <c r="L298" i="4" s="1"/>
  <c r="Q297" i="4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07" i="4" l="1"/>
  <c r="P306" i="4"/>
  <c r="P303" i="4"/>
  <c r="P302" i="4"/>
  <c r="P300" i="4"/>
  <c r="P298" i="4"/>
  <c r="P296" i="4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<sst xmlns="http://schemas.openxmlformats.org/spreadsheetml/2006/main" count="693" uniqueCount="672">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</sst>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データ!$A$3:$A$308</c:f>
              <c:numCache>
                <c:formatCode>m/d/yyyy\ h:mm</c:formatCode>
                <c:ptCount val="30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</c:numCache>
            </c:numRef>
          </c:xVal>
          <c:yVal>
            <c:numRef>
              <c:f>データ!$B$3:$B$308</c:f>
              <c:numCache>
                <c:formatCode>General</c:formatCode>
                <c:ptCount val="30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B-4AB6-B5F3-D31B113AC8B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04B-4AB6-B5F3-D31B113A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8624"/>
        <c:axId val="14907678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データ!$A$3:$A$308</c:f>
              <c:numCache>
                <c:formatCode>m/d/yyyy\ h:mm</c:formatCode>
                <c:ptCount val="30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</c:numCache>
            </c:numRef>
          </c:xVal>
          <c:yVal>
            <c:numRef>
              <c:f>データ!$Q$3:$Q$308</c:f>
              <c:numCache>
                <c:formatCode>[h]:mm</c:formatCode>
                <c:ptCount val="30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4B-4AB6-B5F3-D31B113A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0624"/>
        <c:axId val="149077264"/>
      </c:scatterChart>
      <c:valAx>
        <c:axId val="14906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76784"/>
        <c:crosses val="autoZero"/>
        <c:crossBetween val="midCat"/>
      </c:valAx>
      <c:valAx>
        <c:axId val="1490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68624"/>
        <c:crosses val="autoZero"/>
        <c:crossBetween val="midCat"/>
      </c:valAx>
      <c:valAx>
        <c:axId val="14907726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80624"/>
        <c:crosses val="max"/>
        <c:crossBetween val="midCat"/>
      </c:valAx>
      <c:valAx>
        <c:axId val="14908062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07726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689" name="Match0">
          <a:extLst>
            <a:ext uri="{FF2B5EF4-FFF2-40B4-BE49-F238E27FC236}">
              <a16:creationId xmlns:a16="http://schemas.microsoft.com/office/drawing/2014/main" id="{E551ABAC-94BF-CAAF-1260-BB97D67DD2F1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690" name="Match1">
          <a:extLst>
            <a:ext uri="{FF2B5EF4-FFF2-40B4-BE49-F238E27FC236}">
              <a16:creationId xmlns:a16="http://schemas.microsoft.com/office/drawing/2014/main" id="{230D15F2-41B6-813C-A61C-2F8FFDD51980}"/>
            </a:ext>
          </a:extLst>
        </xdr:cNvPr>
        <xdr:cNvCxnSpPr/>
      </xdr:nvCxnSpPr>
      <xdr:spPr>
        <a:xfrm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691" name="Match2">
          <a:extLst>
            <a:ext uri="{FF2B5EF4-FFF2-40B4-BE49-F238E27FC236}">
              <a16:creationId xmlns:a16="http://schemas.microsoft.com/office/drawing/2014/main" id="{C5FD2A64-D5E2-A763-C244-82488DE8B213}"/>
            </a:ext>
          </a:extLst>
        </xdr:cNvPr>
        <xdr:cNvCxnSpPr/>
      </xdr:nvCxnSpPr>
      <xdr:spPr>
        <a:xfrm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692" name="Match3">
          <a:extLst>
            <a:ext uri="{FF2B5EF4-FFF2-40B4-BE49-F238E27FC236}">
              <a16:creationId xmlns:a16="http://schemas.microsoft.com/office/drawing/2014/main" id="{1C70B3FB-49E1-9BD7-E74B-E7B2CA461D84}"/>
            </a:ext>
          </a:extLst>
        </xdr:cNvPr>
        <xdr:cNvCxnSpPr/>
      </xdr:nvCxnSpPr>
      <xdr:spPr>
        <a:xfrm flipV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693" name="Match4">
          <a:extLst>
            <a:ext uri="{FF2B5EF4-FFF2-40B4-BE49-F238E27FC236}">
              <a16:creationId xmlns:a16="http://schemas.microsoft.com/office/drawing/2014/main" id="{C2AAB722-E7B6-8A3D-7C03-08277EF1A87E}"/>
            </a:ext>
          </a:extLst>
        </xdr:cNvPr>
        <xdr:cNvCxnSpPr/>
      </xdr:nvCxnSpPr>
      <xdr:spPr>
        <a:xfrm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694" name="Match5">
          <a:extLst>
            <a:ext uri="{FF2B5EF4-FFF2-40B4-BE49-F238E27FC236}">
              <a16:creationId xmlns:a16="http://schemas.microsoft.com/office/drawing/2014/main" id="{DF39DE3F-6A95-EC97-1C27-2BB25589A6C5}"/>
            </a:ext>
          </a:extLst>
        </xdr:cNvPr>
        <xdr:cNvCxnSpPr/>
      </xdr:nvCxnSpPr>
      <xdr:spPr>
        <a:xfrm>
          <a:off x="15089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8</xdr:row>
      <xdr:rowOff>229394</xdr:rowOff>
    </xdr:from>
    <xdr:to>
      <xdr:col>3</xdr:col>
      <xdr:colOff>262731</xdr:colOff>
      <xdr:row>8</xdr:row>
      <xdr:rowOff>229394</xdr:rowOff>
    </xdr:to>
    <xdr:cxnSp macro="">
      <xdr:nvCxnSpPr>
        <xdr:cNvPr id="1695" name="Match6">
          <a:extLst>
            <a:ext uri="{FF2B5EF4-FFF2-40B4-BE49-F238E27FC236}">
              <a16:creationId xmlns:a16="http://schemas.microsoft.com/office/drawing/2014/main" id="{E62F2B1C-4B9D-AF4C-0A0C-28CD67FF87B9}"/>
            </a:ext>
          </a:extLst>
        </xdr:cNvPr>
        <xdr:cNvCxnSpPr/>
      </xdr:nvCxnSpPr>
      <xdr:spPr>
        <a:xfrm flipH="1">
          <a:off x="1110456" y="308689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696" name="Match7">
          <a:extLst>
            <a:ext uri="{FF2B5EF4-FFF2-40B4-BE49-F238E27FC236}">
              <a16:creationId xmlns:a16="http://schemas.microsoft.com/office/drawing/2014/main" id="{5C973EC8-4300-B7B0-C607-B19AFE82F90F}"/>
            </a:ext>
          </a:extLst>
        </xdr:cNvPr>
        <xdr:cNvCxnSpPr/>
      </xdr:nvCxnSpPr>
      <xdr:spPr>
        <a:xfrm flipH="1">
          <a:off x="190738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697" name="Match8">
          <a:extLst>
            <a:ext uri="{FF2B5EF4-FFF2-40B4-BE49-F238E27FC236}">
              <a16:creationId xmlns:a16="http://schemas.microsoft.com/office/drawing/2014/main" id="{FC46C1D9-3871-669E-6296-081D50A938E7}"/>
            </a:ext>
          </a:extLst>
        </xdr:cNvPr>
        <xdr:cNvCxnSpPr/>
      </xdr:nvCxnSpPr>
      <xdr:spPr>
        <a:xfrm flipV="1">
          <a:off x="235664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698" name="Match9">
          <a:extLst>
            <a:ext uri="{FF2B5EF4-FFF2-40B4-BE49-F238E27FC236}">
              <a16:creationId xmlns:a16="http://schemas.microsoft.com/office/drawing/2014/main" id="{40AA70E8-4EA0-AD29-6CFA-6208B4DCCC7F}"/>
            </a:ext>
          </a:extLst>
        </xdr:cNvPr>
        <xdr:cNvCxnSpPr/>
      </xdr:nvCxnSpPr>
      <xdr:spPr>
        <a:xfrm flipH="1">
          <a:off x="148351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699" name="Match10">
          <a:extLst>
            <a:ext uri="{FF2B5EF4-FFF2-40B4-BE49-F238E27FC236}">
              <a16:creationId xmlns:a16="http://schemas.microsoft.com/office/drawing/2014/main" id="{EBD1DAE4-7AE2-53E7-5AC2-9781BE08B90B}"/>
            </a:ext>
          </a:extLst>
        </xdr:cNvPr>
        <xdr:cNvCxnSpPr/>
      </xdr:nvCxnSpPr>
      <xdr:spPr>
        <a:xfrm flipV="1">
          <a:off x="193278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700" name="Match11">
          <a:extLst>
            <a:ext uri="{FF2B5EF4-FFF2-40B4-BE49-F238E27FC236}">
              <a16:creationId xmlns:a16="http://schemas.microsoft.com/office/drawing/2014/main" id="{892D47E8-5510-BCBB-6AEA-BD7BCF38FDF4}"/>
            </a:ext>
          </a:extLst>
        </xdr:cNvPr>
        <xdr:cNvCxnSpPr/>
      </xdr:nvCxnSpPr>
      <xdr:spPr>
        <a:xfrm flipH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701" name="Match12">
          <a:extLst>
            <a:ext uri="{FF2B5EF4-FFF2-40B4-BE49-F238E27FC236}">
              <a16:creationId xmlns:a16="http://schemas.microsoft.com/office/drawing/2014/main" id="{313456E6-9F02-95A0-E64B-9D4252925102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702" name="Match13">
          <a:extLst>
            <a:ext uri="{FF2B5EF4-FFF2-40B4-BE49-F238E27FC236}">
              <a16:creationId xmlns:a16="http://schemas.microsoft.com/office/drawing/2014/main" id="{C3E8C847-872A-29C2-BA19-74E8C9288C08}"/>
            </a:ext>
          </a:extLst>
        </xdr:cNvPr>
        <xdr:cNvCxnSpPr/>
      </xdr:nvCxnSpPr>
      <xdr:spPr>
        <a:xfrm flipV="1"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703" name="Match14">
          <a:extLst>
            <a:ext uri="{FF2B5EF4-FFF2-40B4-BE49-F238E27FC236}">
              <a16:creationId xmlns:a16="http://schemas.microsoft.com/office/drawing/2014/main" id="{684EA319-191A-9AF6-7759-40CC46ED9521}"/>
            </a:ext>
          </a:extLst>
        </xdr:cNvPr>
        <xdr:cNvCxnSpPr/>
      </xdr:nvCxnSpPr>
      <xdr:spPr>
        <a:xfrm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704" name="Match15">
          <a:extLst>
            <a:ext uri="{FF2B5EF4-FFF2-40B4-BE49-F238E27FC236}">
              <a16:creationId xmlns:a16="http://schemas.microsoft.com/office/drawing/2014/main" id="{77FDE5F5-72ED-CFE4-4306-B2EA03BDFC84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705" name="Match16">
          <a:extLst>
            <a:ext uri="{FF2B5EF4-FFF2-40B4-BE49-F238E27FC236}">
              <a16:creationId xmlns:a16="http://schemas.microsoft.com/office/drawing/2014/main" id="{909C61E6-0A28-0ACE-C0BF-018C5CE0B16D}"/>
            </a:ext>
          </a:extLst>
        </xdr:cNvPr>
        <xdr:cNvCxnSpPr/>
      </xdr:nvCxnSpPr>
      <xdr:spPr>
        <a:xfrm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706" name="Match17">
          <a:extLst>
            <a:ext uri="{FF2B5EF4-FFF2-40B4-BE49-F238E27FC236}">
              <a16:creationId xmlns:a16="http://schemas.microsoft.com/office/drawing/2014/main" id="{9D1E4F9D-D031-029E-4495-3B8C61F0A9D6}"/>
            </a:ext>
          </a:extLst>
        </xdr:cNvPr>
        <xdr:cNvCxnSpPr/>
      </xdr:nvCxnSpPr>
      <xdr:spPr>
        <a:xfrm flipV="1"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707" name="Match18">
          <a:extLst>
            <a:ext uri="{FF2B5EF4-FFF2-40B4-BE49-F238E27FC236}">
              <a16:creationId xmlns:a16="http://schemas.microsoft.com/office/drawing/2014/main" id="{18BF9A18-227B-93C6-F377-28AE99D4EA6E}"/>
            </a:ext>
          </a:extLst>
        </xdr:cNvPr>
        <xdr:cNvCxnSpPr/>
      </xdr:nvCxnSpPr>
      <xdr:spPr>
        <a:xfrm flipH="1">
          <a:off x="211931" y="4107656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708" name="Match19">
          <a:extLst>
            <a:ext uri="{FF2B5EF4-FFF2-40B4-BE49-F238E27FC236}">
              <a16:creationId xmlns:a16="http://schemas.microsoft.com/office/drawing/2014/main" id="{03EE6297-C66E-D5F0-2C7E-296B22E03FE3}"/>
            </a:ext>
          </a:extLst>
        </xdr:cNvPr>
        <xdr:cNvCxnSpPr/>
      </xdr:nvCxnSpPr>
      <xdr:spPr>
        <a:xfrm>
          <a:off x="2331244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709" name="Match20">
          <a:extLst>
            <a:ext uri="{FF2B5EF4-FFF2-40B4-BE49-F238E27FC236}">
              <a16:creationId xmlns:a16="http://schemas.microsoft.com/office/drawing/2014/main" id="{E801DB2C-8C0A-8C40-DC2F-9A4779AB91FE}"/>
            </a:ext>
          </a:extLst>
        </xdr:cNvPr>
        <xdr:cNvCxnSpPr/>
      </xdr:nvCxnSpPr>
      <xdr:spPr>
        <a:xfrm>
          <a:off x="1059656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710" name="Match21">
          <a:extLst>
            <a:ext uri="{FF2B5EF4-FFF2-40B4-BE49-F238E27FC236}">
              <a16:creationId xmlns:a16="http://schemas.microsoft.com/office/drawing/2014/main" id="{D171BBED-4E36-5E71-CFC8-A558B4346053}"/>
            </a:ext>
          </a:extLst>
        </xdr:cNvPr>
        <xdr:cNvCxnSpPr/>
      </xdr:nvCxnSpPr>
      <xdr:spPr>
        <a:xfrm flipH="1">
          <a:off x="635794" y="232171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711" name="Match22">
          <a:extLst>
            <a:ext uri="{FF2B5EF4-FFF2-40B4-BE49-F238E27FC236}">
              <a16:creationId xmlns:a16="http://schemas.microsoft.com/office/drawing/2014/main" id="{E00BAB3B-602C-47A9-DAE9-D05B9323DB2E}"/>
            </a:ext>
          </a:extLst>
        </xdr:cNvPr>
        <xdr:cNvCxnSpPr/>
      </xdr:nvCxnSpPr>
      <xdr:spPr>
        <a:xfrm>
          <a:off x="635794" y="89296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712" name="Match23">
          <a:extLst>
            <a:ext uri="{FF2B5EF4-FFF2-40B4-BE49-F238E27FC236}">
              <a16:creationId xmlns:a16="http://schemas.microsoft.com/office/drawing/2014/main" id="{F5A2C84E-13BF-7576-F220-A9C870B461BF}"/>
            </a:ext>
          </a:extLst>
        </xdr:cNvPr>
        <xdr:cNvCxnSpPr/>
      </xdr:nvCxnSpPr>
      <xdr:spPr>
        <a:xfrm flipH="1" flipV="1">
          <a:off x="317896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2</xdr:row>
      <xdr:rowOff>178594</xdr:rowOff>
    </xdr:to>
    <xdr:cxnSp macro="">
      <xdr:nvCxnSpPr>
        <xdr:cNvPr id="1713" name="Match24">
          <a:extLst>
            <a:ext uri="{FF2B5EF4-FFF2-40B4-BE49-F238E27FC236}">
              <a16:creationId xmlns:a16="http://schemas.microsoft.com/office/drawing/2014/main" id="{E6993122-188F-9A21-DF1C-384B89D402F5}"/>
            </a:ext>
          </a:extLst>
        </xdr:cNvPr>
        <xdr:cNvCxnSpPr/>
      </xdr:nvCxnSpPr>
      <xdr:spPr>
        <a:xfrm>
          <a:off x="211931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714" name="Match25">
          <a:extLst>
            <a:ext uri="{FF2B5EF4-FFF2-40B4-BE49-F238E27FC236}">
              <a16:creationId xmlns:a16="http://schemas.microsoft.com/office/drawing/2014/main" id="{5824356C-961E-420F-95B8-A143D4386881}"/>
            </a:ext>
          </a:extLst>
        </xdr:cNvPr>
        <xdr:cNvCxnSpPr/>
      </xdr:nvCxnSpPr>
      <xdr:spPr>
        <a:xfrm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715" name="Match26">
          <a:extLst>
            <a:ext uri="{FF2B5EF4-FFF2-40B4-BE49-F238E27FC236}">
              <a16:creationId xmlns:a16="http://schemas.microsoft.com/office/drawing/2014/main" id="{2869B3A7-8D4F-CB1D-1832-ACBCBC680B11}"/>
            </a:ext>
          </a:extLst>
        </xdr:cNvPr>
        <xdr:cNvCxnSpPr/>
      </xdr:nvCxnSpPr>
      <xdr:spPr>
        <a:xfrm>
          <a:off x="36282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716" name="Match27">
          <a:extLst>
            <a:ext uri="{FF2B5EF4-FFF2-40B4-BE49-F238E27FC236}">
              <a16:creationId xmlns:a16="http://schemas.microsoft.com/office/drawing/2014/main" id="{E0C2A430-1F84-C744-B8CA-11C0EC88BF5D}"/>
            </a:ext>
          </a:extLst>
        </xdr:cNvPr>
        <xdr:cNvCxnSpPr/>
      </xdr:nvCxnSpPr>
      <xdr:spPr>
        <a:xfrm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1</xdr:row>
      <xdr:rowOff>203993</xdr:rowOff>
    </xdr:to>
    <xdr:cxnSp macro="">
      <xdr:nvCxnSpPr>
        <xdr:cNvPr id="1717" name="Match28">
          <a:extLst>
            <a:ext uri="{FF2B5EF4-FFF2-40B4-BE49-F238E27FC236}">
              <a16:creationId xmlns:a16="http://schemas.microsoft.com/office/drawing/2014/main" id="{C48D9F2E-42A1-1890-34CA-D20EF4039079}"/>
            </a:ext>
          </a:extLst>
        </xdr:cNvPr>
        <xdr:cNvCxnSpPr/>
      </xdr:nvCxnSpPr>
      <xdr:spPr>
        <a:xfrm flipH="1">
          <a:off x="362823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0</xdr:row>
      <xdr:rowOff>229394</xdr:rowOff>
    </xdr:from>
    <xdr:to>
      <xdr:col>9</xdr:col>
      <xdr:colOff>262731</xdr:colOff>
      <xdr:row>1</xdr:row>
      <xdr:rowOff>229393</xdr:rowOff>
    </xdr:to>
    <xdr:cxnSp macro="">
      <xdr:nvCxnSpPr>
        <xdr:cNvPr id="1718" name="Match29">
          <a:extLst>
            <a:ext uri="{FF2B5EF4-FFF2-40B4-BE49-F238E27FC236}">
              <a16:creationId xmlns:a16="http://schemas.microsoft.com/office/drawing/2014/main" id="{E11B42FB-4331-BC93-D148-FADFA5E8C944}"/>
            </a:ext>
          </a:extLst>
        </xdr:cNvPr>
        <xdr:cNvCxnSpPr/>
      </xdr:nvCxnSpPr>
      <xdr:spPr>
        <a:xfrm flipV="1">
          <a:off x="4077494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719" name="Match30">
          <a:extLst>
            <a:ext uri="{FF2B5EF4-FFF2-40B4-BE49-F238E27FC236}">
              <a16:creationId xmlns:a16="http://schemas.microsoft.com/office/drawing/2014/main" id="{75D60403-C431-00D6-D807-8A67084B5811}"/>
            </a:ext>
          </a:extLst>
        </xdr:cNvPr>
        <xdr:cNvCxnSpPr/>
      </xdr:nvCxnSpPr>
      <xdr:spPr>
        <a:xfrm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720" name="Match31">
          <a:extLst>
            <a:ext uri="{FF2B5EF4-FFF2-40B4-BE49-F238E27FC236}">
              <a16:creationId xmlns:a16="http://schemas.microsoft.com/office/drawing/2014/main" id="{2A4FA830-AD69-7264-4323-1417EA664A1A}"/>
            </a:ext>
          </a:extLst>
        </xdr:cNvPr>
        <xdr:cNvCxnSpPr/>
      </xdr:nvCxnSpPr>
      <xdr:spPr>
        <a:xfrm flipH="1" flipV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721" name="Match32">
          <a:extLst>
            <a:ext uri="{FF2B5EF4-FFF2-40B4-BE49-F238E27FC236}">
              <a16:creationId xmlns:a16="http://schemas.microsoft.com/office/drawing/2014/main" id="{88D3D32C-71FC-EFC6-34C6-8E227A716EC6}"/>
            </a:ext>
          </a:extLst>
        </xdr:cNvPr>
        <xdr:cNvCxnSpPr/>
      </xdr:nvCxnSpPr>
      <xdr:spPr>
        <a:xfrm flipH="1"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722" name="Match33">
          <a:extLst>
            <a:ext uri="{FF2B5EF4-FFF2-40B4-BE49-F238E27FC236}">
              <a16:creationId xmlns:a16="http://schemas.microsoft.com/office/drawing/2014/main" id="{B786231E-8946-CEB8-77D0-8C9D620D3F19}"/>
            </a:ext>
          </a:extLst>
        </xdr:cNvPr>
        <xdr:cNvCxnSpPr/>
      </xdr:nvCxnSpPr>
      <xdr:spPr>
        <a:xfrm flipV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723" name="Match34">
          <a:extLst>
            <a:ext uri="{FF2B5EF4-FFF2-40B4-BE49-F238E27FC236}">
              <a16:creationId xmlns:a16="http://schemas.microsoft.com/office/drawing/2014/main" id="{A0DF8366-FB92-C745-E7E6-060995191ECA}"/>
            </a:ext>
          </a:extLst>
        </xdr:cNvPr>
        <xdr:cNvCxnSpPr/>
      </xdr:nvCxnSpPr>
      <xdr:spPr>
        <a:xfrm flipH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724" name="Match35">
          <a:extLst>
            <a:ext uri="{FF2B5EF4-FFF2-40B4-BE49-F238E27FC236}">
              <a16:creationId xmlns:a16="http://schemas.microsoft.com/office/drawing/2014/main" id="{3190F158-595A-4378-C943-03F41A74877F}"/>
            </a:ext>
          </a:extLst>
        </xdr:cNvPr>
        <xdr:cNvCxnSpPr/>
      </xdr:nvCxnSpPr>
      <xdr:spPr>
        <a:xfrm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725" name="Match36">
          <a:extLst>
            <a:ext uri="{FF2B5EF4-FFF2-40B4-BE49-F238E27FC236}">
              <a16:creationId xmlns:a16="http://schemas.microsoft.com/office/drawing/2014/main" id="{9E83283D-2DFC-4E9B-3E58-6AB3282532F1}"/>
            </a:ext>
          </a:extLst>
        </xdr:cNvPr>
        <xdr:cNvCxnSpPr/>
      </xdr:nvCxnSpPr>
      <xdr:spPr>
        <a:xfrm flipV="1">
          <a:off x="44759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726" name="Match37">
          <a:extLst>
            <a:ext uri="{FF2B5EF4-FFF2-40B4-BE49-F238E27FC236}">
              <a16:creationId xmlns:a16="http://schemas.microsoft.com/office/drawing/2014/main" id="{6CFFD354-91AE-F5D5-0E35-4C0CBDFDBE3E}"/>
            </a:ext>
          </a:extLst>
        </xdr:cNvPr>
        <xdr:cNvCxnSpPr/>
      </xdr:nvCxnSpPr>
      <xdr:spPr>
        <a:xfrm>
          <a:off x="14835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4</xdr:row>
      <xdr:rowOff>203994</xdr:rowOff>
    </xdr:to>
    <xdr:cxnSp macro="">
      <xdr:nvCxnSpPr>
        <xdr:cNvPr id="1727" name="Match38">
          <a:extLst>
            <a:ext uri="{FF2B5EF4-FFF2-40B4-BE49-F238E27FC236}">
              <a16:creationId xmlns:a16="http://schemas.microsoft.com/office/drawing/2014/main" id="{4BBCDCB5-8B1A-AEBD-22EF-DCCC0EF149B1}"/>
            </a:ext>
          </a:extLst>
        </xdr:cNvPr>
        <xdr:cNvCxnSpPr/>
      </xdr:nvCxnSpPr>
      <xdr:spPr>
        <a:xfrm flipH="1">
          <a:off x="108505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728" name="Match39">
          <a:extLst>
            <a:ext uri="{FF2B5EF4-FFF2-40B4-BE49-F238E27FC236}">
              <a16:creationId xmlns:a16="http://schemas.microsoft.com/office/drawing/2014/main" id="{5D76C4E6-4582-1CEC-B1BD-5040A6CAE793}"/>
            </a:ext>
          </a:extLst>
        </xdr:cNvPr>
        <xdr:cNvCxnSpPr/>
      </xdr:nvCxnSpPr>
      <xdr:spPr>
        <a:xfrm>
          <a:off x="360283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4</xdr:row>
      <xdr:rowOff>203994</xdr:rowOff>
    </xdr:to>
    <xdr:cxnSp macro="">
      <xdr:nvCxnSpPr>
        <xdr:cNvPr id="1729" name="Match40">
          <a:extLst>
            <a:ext uri="{FF2B5EF4-FFF2-40B4-BE49-F238E27FC236}">
              <a16:creationId xmlns:a16="http://schemas.microsoft.com/office/drawing/2014/main" id="{955CF28B-06D0-214C-F8F1-1E3BCB7EFA21}"/>
            </a:ext>
          </a:extLst>
        </xdr:cNvPr>
        <xdr:cNvCxnSpPr/>
      </xdr:nvCxnSpPr>
      <xdr:spPr>
        <a:xfrm flipH="1">
          <a:off x="3204369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730" name="Match41">
          <a:extLst>
            <a:ext uri="{FF2B5EF4-FFF2-40B4-BE49-F238E27FC236}">
              <a16:creationId xmlns:a16="http://schemas.microsoft.com/office/drawing/2014/main" id="{6B41E4DC-9C25-1D60-9F83-D49DB2D96F67}"/>
            </a:ext>
          </a:extLst>
        </xdr:cNvPr>
        <xdr:cNvCxnSpPr/>
      </xdr:nvCxnSpPr>
      <xdr:spPr>
        <a:xfrm flipH="1"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731" name="Match42">
          <a:extLst>
            <a:ext uri="{FF2B5EF4-FFF2-40B4-BE49-F238E27FC236}">
              <a16:creationId xmlns:a16="http://schemas.microsoft.com/office/drawing/2014/main" id="{1D6540E5-8075-E3D0-536B-4BCDC1426200}"/>
            </a:ext>
          </a:extLst>
        </xdr:cNvPr>
        <xdr:cNvCxnSpPr/>
      </xdr:nvCxnSpPr>
      <xdr:spPr>
        <a:xfrm flipH="1">
          <a:off x="275510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732" name="Match43">
          <a:extLst>
            <a:ext uri="{FF2B5EF4-FFF2-40B4-BE49-F238E27FC236}">
              <a16:creationId xmlns:a16="http://schemas.microsoft.com/office/drawing/2014/main" id="{4F949F8B-2C9E-962C-5C25-C149FD4957BB}"/>
            </a:ext>
          </a:extLst>
        </xdr:cNvPr>
        <xdr:cNvCxnSpPr/>
      </xdr:nvCxnSpPr>
      <xdr:spPr>
        <a:xfrm flipV="1">
          <a:off x="317896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733" name="Match44">
          <a:extLst>
            <a:ext uri="{FF2B5EF4-FFF2-40B4-BE49-F238E27FC236}">
              <a16:creationId xmlns:a16="http://schemas.microsoft.com/office/drawing/2014/main" id="{3D5A4DDE-737D-B30E-BF10-E5C3A32BD157}"/>
            </a:ext>
          </a:extLst>
        </xdr:cNvPr>
        <xdr:cNvCxnSpPr/>
      </xdr:nvCxnSpPr>
      <xdr:spPr>
        <a:xfrm flipH="1">
          <a:off x="1059656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734" name="Match45">
          <a:extLst>
            <a:ext uri="{FF2B5EF4-FFF2-40B4-BE49-F238E27FC236}">
              <a16:creationId xmlns:a16="http://schemas.microsoft.com/office/drawing/2014/main" id="{FF889EB6-F771-3DA9-AFCC-65421DE3FD5B}"/>
            </a:ext>
          </a:extLst>
        </xdr:cNvPr>
        <xdr:cNvCxnSpPr/>
      </xdr:nvCxnSpPr>
      <xdr:spPr>
        <a:xfrm>
          <a:off x="2331244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1735" name="Match46">
          <a:extLst>
            <a:ext uri="{FF2B5EF4-FFF2-40B4-BE49-F238E27FC236}">
              <a16:creationId xmlns:a16="http://schemas.microsoft.com/office/drawing/2014/main" id="{A76E54F6-BD8A-C067-566D-14529A0992DE}"/>
            </a:ext>
          </a:extLst>
        </xdr:cNvPr>
        <xdr:cNvCxnSpPr/>
      </xdr:nvCxnSpPr>
      <xdr:spPr>
        <a:xfrm flipV="1">
          <a:off x="211931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736" name="Match47">
          <a:extLst>
            <a:ext uri="{FF2B5EF4-FFF2-40B4-BE49-F238E27FC236}">
              <a16:creationId xmlns:a16="http://schemas.microsoft.com/office/drawing/2014/main" id="{EDDAE671-B76D-4CF3-D765-EE6ACB640B7A}"/>
            </a:ext>
          </a:extLst>
        </xdr:cNvPr>
        <xdr:cNvCxnSpPr/>
      </xdr:nvCxnSpPr>
      <xdr:spPr>
        <a:xfrm flipH="1" flipV="1">
          <a:off x="1059656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737" name="Match48">
          <a:extLst>
            <a:ext uri="{FF2B5EF4-FFF2-40B4-BE49-F238E27FC236}">
              <a16:creationId xmlns:a16="http://schemas.microsoft.com/office/drawing/2014/main" id="{C8F82DFA-1145-A7A7-526B-8A897B63C912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738" name="Match49">
          <a:extLst>
            <a:ext uri="{FF2B5EF4-FFF2-40B4-BE49-F238E27FC236}">
              <a16:creationId xmlns:a16="http://schemas.microsoft.com/office/drawing/2014/main" id="{A5DF0A94-088E-5361-7614-667496584474}"/>
            </a:ext>
          </a:extLst>
        </xdr:cNvPr>
        <xdr:cNvCxnSpPr/>
      </xdr:nvCxnSpPr>
      <xdr:spPr>
        <a:xfrm flipH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2</xdr:row>
      <xdr:rowOff>203994</xdr:rowOff>
    </xdr:to>
    <xdr:cxnSp macro="">
      <xdr:nvCxnSpPr>
        <xdr:cNvPr id="1739" name="Match50">
          <a:extLst>
            <a:ext uri="{FF2B5EF4-FFF2-40B4-BE49-F238E27FC236}">
              <a16:creationId xmlns:a16="http://schemas.microsoft.com/office/drawing/2014/main" id="{FCE6BB8B-4DE1-B973-6B85-BE5A2C7AFE75}"/>
            </a:ext>
          </a:extLst>
        </xdr:cNvPr>
        <xdr:cNvCxnSpPr/>
      </xdr:nvCxnSpPr>
      <xdr:spPr>
        <a:xfrm flipH="1">
          <a:off x="661194" y="9183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740" name="Match51">
          <a:extLst>
            <a:ext uri="{FF2B5EF4-FFF2-40B4-BE49-F238E27FC236}">
              <a16:creationId xmlns:a16="http://schemas.microsoft.com/office/drawing/2014/main" id="{1D27ED55-C0B4-3BEB-3138-2B1B67FFE59D}"/>
            </a:ext>
          </a:extLst>
        </xdr:cNvPr>
        <xdr:cNvCxnSpPr/>
      </xdr:nvCxnSpPr>
      <xdr:spPr>
        <a:xfrm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741" name="Match52">
          <a:extLst>
            <a:ext uri="{FF2B5EF4-FFF2-40B4-BE49-F238E27FC236}">
              <a16:creationId xmlns:a16="http://schemas.microsoft.com/office/drawing/2014/main" id="{53847236-D758-8529-81D1-EE5211C87DBB}"/>
            </a:ext>
          </a:extLst>
        </xdr:cNvPr>
        <xdr:cNvCxnSpPr/>
      </xdr:nvCxnSpPr>
      <xdr:spPr>
        <a:xfrm flipV="1">
          <a:off x="6611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742" name="Match53">
          <a:extLst>
            <a:ext uri="{FF2B5EF4-FFF2-40B4-BE49-F238E27FC236}">
              <a16:creationId xmlns:a16="http://schemas.microsoft.com/office/drawing/2014/main" id="{96AF4816-7572-5C05-5FFB-C55C9BCF180A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743" name="Match54">
          <a:extLst>
            <a:ext uri="{FF2B5EF4-FFF2-40B4-BE49-F238E27FC236}">
              <a16:creationId xmlns:a16="http://schemas.microsoft.com/office/drawing/2014/main" id="{AF1114A2-5854-1F41-D98B-D7E14A00AD45}"/>
            </a:ext>
          </a:extLst>
        </xdr:cNvPr>
        <xdr:cNvCxnSpPr/>
      </xdr:nvCxnSpPr>
      <xdr:spPr>
        <a:xfrm flipV="1"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744" name="Match55">
          <a:extLst>
            <a:ext uri="{FF2B5EF4-FFF2-40B4-BE49-F238E27FC236}">
              <a16:creationId xmlns:a16="http://schemas.microsoft.com/office/drawing/2014/main" id="{7AA66095-B8DA-9785-04AD-904D7CA94A8E}"/>
            </a:ext>
          </a:extLst>
        </xdr:cNvPr>
        <xdr:cNvCxnSpPr/>
      </xdr:nvCxnSpPr>
      <xdr:spPr>
        <a:xfrm flipV="1">
          <a:off x="10596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745" name="Match56">
          <a:extLst>
            <a:ext uri="{FF2B5EF4-FFF2-40B4-BE49-F238E27FC236}">
              <a16:creationId xmlns:a16="http://schemas.microsoft.com/office/drawing/2014/main" id="{2909A621-F1B0-C924-74C0-1D41E102E9DC}"/>
            </a:ext>
          </a:extLst>
        </xdr:cNvPr>
        <xdr:cNvCxnSpPr/>
      </xdr:nvCxnSpPr>
      <xdr:spPr>
        <a:xfrm flipH="1"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746" name="Match57">
          <a:extLst>
            <a:ext uri="{FF2B5EF4-FFF2-40B4-BE49-F238E27FC236}">
              <a16:creationId xmlns:a16="http://schemas.microsoft.com/office/drawing/2014/main" id="{BE12F70D-8FF0-2AD9-70B1-48127F389F70}"/>
            </a:ext>
          </a:extLst>
        </xdr:cNvPr>
        <xdr:cNvCxnSpPr/>
      </xdr:nvCxnSpPr>
      <xdr:spPr>
        <a:xfrm flipH="1"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747" name="Match58">
          <a:extLst>
            <a:ext uri="{FF2B5EF4-FFF2-40B4-BE49-F238E27FC236}">
              <a16:creationId xmlns:a16="http://schemas.microsoft.com/office/drawing/2014/main" id="{03DBC971-0B56-6335-BD3E-74CB2227B014}"/>
            </a:ext>
          </a:extLst>
        </xdr:cNvPr>
        <xdr:cNvCxnSpPr/>
      </xdr:nvCxnSpPr>
      <xdr:spPr>
        <a:xfrm flipV="1"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748" name="Match59">
          <a:extLst>
            <a:ext uri="{FF2B5EF4-FFF2-40B4-BE49-F238E27FC236}">
              <a16:creationId xmlns:a16="http://schemas.microsoft.com/office/drawing/2014/main" id="{18F919A3-0BBB-035F-96FC-288365D4F62D}"/>
            </a:ext>
          </a:extLst>
        </xdr:cNvPr>
        <xdr:cNvCxnSpPr/>
      </xdr:nvCxnSpPr>
      <xdr:spPr>
        <a:xfrm>
          <a:off x="44505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749" name="Match60">
          <a:extLst>
            <a:ext uri="{FF2B5EF4-FFF2-40B4-BE49-F238E27FC236}">
              <a16:creationId xmlns:a16="http://schemas.microsoft.com/office/drawing/2014/main" id="{3331CFA1-7C63-7433-AEE4-E975F56D03AA}"/>
            </a:ext>
          </a:extLst>
        </xdr:cNvPr>
        <xdr:cNvCxnSpPr/>
      </xdr:nvCxnSpPr>
      <xdr:spPr>
        <a:xfrm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750" name="Match61">
          <a:extLst>
            <a:ext uri="{FF2B5EF4-FFF2-40B4-BE49-F238E27FC236}">
              <a16:creationId xmlns:a16="http://schemas.microsoft.com/office/drawing/2014/main" id="{A637E0AF-77B9-EA79-3FAB-277FD6F96554}"/>
            </a:ext>
          </a:extLst>
        </xdr:cNvPr>
        <xdr:cNvCxnSpPr/>
      </xdr:nvCxnSpPr>
      <xdr:spPr>
        <a:xfrm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1751" name="Match62">
          <a:extLst>
            <a:ext uri="{FF2B5EF4-FFF2-40B4-BE49-F238E27FC236}">
              <a16:creationId xmlns:a16="http://schemas.microsoft.com/office/drawing/2014/main" id="{16D9AC7A-27F6-AC50-C073-163AF43B1F3D}"/>
            </a:ext>
          </a:extLst>
        </xdr:cNvPr>
        <xdr:cNvCxnSpPr/>
      </xdr:nvCxnSpPr>
      <xdr:spPr>
        <a:xfrm flipH="1" flipV="1">
          <a:off x="2627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39D69E6-CA01-036D-C64D-6BDFAFBAF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3" sqref="C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2</v>
      </c>
      <c r="B1" s="27">
        <v>1</v>
      </c>
      <c r="C1" s="27">
        <v>8</v>
      </c>
      <c r="D1" s="27">
        <v>5</v>
      </c>
      <c r="E1" s="23">
        <v>7</v>
      </c>
      <c r="F1" s="23">
        <v>6</v>
      </c>
      <c r="G1" s="22">
        <v>2</v>
      </c>
      <c r="H1" s="27">
        <v>1</v>
      </c>
      <c r="I1" s="23">
        <v>9</v>
      </c>
      <c r="J1" s="23">
        <v>5</v>
      </c>
      <c r="K1" s="27">
        <v>1</v>
      </c>
      <c r="L1" s="27">
        <v>9</v>
      </c>
      <c r="N1" s="2">
        <v>28</v>
      </c>
      <c r="O1" s="1">
        <v>12</v>
      </c>
    </row>
    <row r="2" spans="1:15" s="2" customFormat="1" ht="28.25" customHeight="1">
      <c r="A2" s="22">
        <v>3</v>
      </c>
      <c r="B2" s="27">
        <v>5</v>
      </c>
      <c r="C2" s="22">
        <v>8</v>
      </c>
      <c r="D2" s="22">
        <v>4</v>
      </c>
      <c r="E2" s="22">
        <v>1</v>
      </c>
      <c r="F2" s="22">
        <v>1</v>
      </c>
      <c r="G2" s="22">
        <v>6</v>
      </c>
      <c r="H2" s="22">
        <v>8</v>
      </c>
      <c r="I2" s="23">
        <v>5</v>
      </c>
      <c r="J2" s="23">
        <v>9</v>
      </c>
      <c r="K2" s="27">
        <v>7</v>
      </c>
      <c r="L2" s="27">
        <v>4</v>
      </c>
      <c r="N2" s="2">
        <v>44</v>
      </c>
      <c r="O2" s="2">
        <v>6</v>
      </c>
    </row>
    <row r="3" spans="1:15" ht="28.25" customHeight="1">
      <c r="A3" s="22">
        <v>1</v>
      </c>
      <c r="B3" s="22">
        <v>6</v>
      </c>
      <c r="C3" s="22">
        <v>7</v>
      </c>
      <c r="D3" s="23">
        <v>4</v>
      </c>
      <c r="E3" s="23">
        <v>5</v>
      </c>
      <c r="F3" s="22">
        <v>6</v>
      </c>
      <c r="G3" s="23">
        <v>5</v>
      </c>
      <c r="H3" s="27">
        <v>1</v>
      </c>
      <c r="I3" s="22">
        <v>6</v>
      </c>
      <c r="J3" s="23">
        <v>9</v>
      </c>
      <c r="K3" s="23">
        <v>5</v>
      </c>
      <c r="L3" s="23">
        <v>2</v>
      </c>
      <c r="N3" s="2">
        <v>192126</v>
      </c>
      <c r="O3" s="1">
        <v>1</v>
      </c>
    </row>
    <row r="4" spans="1:15" ht="28.25" customHeight="1">
      <c r="A4" s="22">
        <v>8</v>
      </c>
      <c r="B4" s="23">
        <v>6</v>
      </c>
      <c r="C4" s="22">
        <v>3</v>
      </c>
      <c r="D4" s="22">
        <v>2</v>
      </c>
      <c r="E4" s="27">
        <v>3</v>
      </c>
      <c r="F4" s="23">
        <v>9</v>
      </c>
      <c r="G4" s="22">
        <v>4</v>
      </c>
      <c r="H4" s="27">
        <v>3</v>
      </c>
      <c r="I4" s="23">
        <v>9</v>
      </c>
      <c r="J4" s="22">
        <v>8</v>
      </c>
      <c r="K4" s="23">
        <v>9</v>
      </c>
      <c r="L4" s="23">
        <v>8</v>
      </c>
      <c r="N4" s="2">
        <v>864</v>
      </c>
      <c r="O4" s="1">
        <v>2</v>
      </c>
    </row>
    <row r="5" spans="1:15" ht="28.25" customHeight="1">
      <c r="A5" s="22">
        <v>9</v>
      </c>
      <c r="B5" s="23">
        <v>7</v>
      </c>
      <c r="C5" s="23">
        <v>5</v>
      </c>
      <c r="D5" s="22">
        <v>9</v>
      </c>
      <c r="E5" s="22">
        <v>3</v>
      </c>
      <c r="F5" s="23">
        <v>6</v>
      </c>
      <c r="G5" s="27">
        <v>1</v>
      </c>
      <c r="H5" s="22">
        <v>5</v>
      </c>
      <c r="I5" s="23">
        <v>9</v>
      </c>
      <c r="J5" s="23">
        <v>7</v>
      </c>
      <c r="K5" s="22">
        <v>6</v>
      </c>
      <c r="L5" s="23">
        <v>5</v>
      </c>
      <c r="N5" s="2">
        <v>7386</v>
      </c>
      <c r="O5" s="1">
        <v>1</v>
      </c>
    </row>
    <row r="6" spans="1:15" ht="28.25" customHeight="1">
      <c r="A6" s="22">
        <v>4</v>
      </c>
      <c r="B6" s="27">
        <v>3</v>
      </c>
      <c r="C6" s="23">
        <v>6</v>
      </c>
      <c r="D6" s="22">
        <v>5</v>
      </c>
      <c r="E6" s="22">
        <v>2</v>
      </c>
      <c r="F6" s="22">
        <v>7</v>
      </c>
      <c r="G6" s="27">
        <v>3</v>
      </c>
      <c r="H6" s="23">
        <v>6</v>
      </c>
      <c r="I6" s="22">
        <v>5</v>
      </c>
      <c r="J6" s="23">
        <v>8</v>
      </c>
      <c r="K6" s="27">
        <v>8</v>
      </c>
      <c r="L6" s="22">
        <v>5</v>
      </c>
      <c r="N6" s="2">
        <v>6392</v>
      </c>
      <c r="O6" s="1">
        <v>1</v>
      </c>
    </row>
    <row r="7" spans="1:15" ht="28.25" customHeight="1">
      <c r="A7" s="22">
        <v>1</v>
      </c>
      <c r="B7" s="27">
        <v>3</v>
      </c>
      <c r="C7" s="23">
        <v>7</v>
      </c>
      <c r="D7" s="23">
        <v>7</v>
      </c>
      <c r="E7" s="22">
        <v>7</v>
      </c>
      <c r="F7" s="23">
        <v>8</v>
      </c>
      <c r="G7" s="22">
        <v>9</v>
      </c>
      <c r="H7" s="23">
        <v>7</v>
      </c>
      <c r="I7" s="23">
        <v>2</v>
      </c>
      <c r="J7" s="22">
        <v>3</v>
      </c>
      <c r="K7" s="23">
        <v>7</v>
      </c>
      <c r="L7" s="27">
        <v>3</v>
      </c>
      <c r="N7" s="2">
        <v>56868</v>
      </c>
      <c r="O7" s="1">
        <v>1</v>
      </c>
    </row>
    <row r="8" spans="1:15" ht="28.25" customHeight="1">
      <c r="A8" s="22">
        <v>6</v>
      </c>
      <c r="B8" s="27">
        <v>4</v>
      </c>
      <c r="C8" s="27">
        <v>1</v>
      </c>
      <c r="D8" s="22">
        <v>3</v>
      </c>
      <c r="E8" s="27">
        <v>9</v>
      </c>
      <c r="F8" s="22">
        <v>8</v>
      </c>
      <c r="G8" s="22">
        <v>6</v>
      </c>
      <c r="H8" s="22">
        <v>4</v>
      </c>
      <c r="I8" s="27">
        <v>5</v>
      </c>
      <c r="J8" s="22">
        <v>1</v>
      </c>
      <c r="K8" s="22">
        <v>6</v>
      </c>
      <c r="L8" s="27">
        <v>2</v>
      </c>
      <c r="N8" s="2">
        <v>231</v>
      </c>
      <c r="O8" s="1">
        <v>1</v>
      </c>
    </row>
    <row r="9" spans="1:15" ht="28.25" customHeight="1">
      <c r="A9" s="22">
        <v>9</v>
      </c>
      <c r="B9" s="22">
        <v>7</v>
      </c>
      <c r="C9" s="22">
        <v>8</v>
      </c>
      <c r="D9" s="23">
        <v>2</v>
      </c>
      <c r="E9" s="23">
        <v>8</v>
      </c>
      <c r="F9" s="23">
        <v>2</v>
      </c>
      <c r="G9" s="27">
        <v>1</v>
      </c>
      <c r="H9" s="27">
        <v>2</v>
      </c>
      <c r="I9" s="22">
        <v>3</v>
      </c>
      <c r="J9" s="27">
        <v>6</v>
      </c>
      <c r="K9" s="27">
        <v>6</v>
      </c>
      <c r="L9" s="22">
        <v>2</v>
      </c>
      <c r="N9" s="2">
        <v>95</v>
      </c>
      <c r="O9" s="1">
        <v>17</v>
      </c>
    </row>
    <row r="10" spans="1:15" ht="28.25" customHeight="1">
      <c r="A10" s="22">
        <v>3</v>
      </c>
      <c r="B10" s="22">
        <v>6</v>
      </c>
      <c r="C10" s="23">
        <v>6</v>
      </c>
      <c r="D10" s="23">
        <v>8</v>
      </c>
      <c r="E10" s="23">
        <v>2</v>
      </c>
      <c r="F10" s="27">
        <v>9</v>
      </c>
      <c r="G10" s="27">
        <v>6</v>
      </c>
      <c r="H10" s="22">
        <v>3</v>
      </c>
      <c r="I10" s="23">
        <v>2</v>
      </c>
      <c r="J10" s="27">
        <v>1</v>
      </c>
      <c r="K10" s="27">
        <v>4</v>
      </c>
      <c r="L10" s="27">
        <v>6</v>
      </c>
      <c r="N10" s="2">
        <v>331</v>
      </c>
      <c r="O10" s="1">
        <v>2</v>
      </c>
    </row>
    <row r="11" spans="1:15" ht="28.25" customHeight="1">
      <c r="A11" s="27">
        <v>1</v>
      </c>
      <c r="B11" s="27">
        <v>9</v>
      </c>
      <c r="C11" s="22">
        <v>4</v>
      </c>
      <c r="D11" s="22">
        <v>4</v>
      </c>
      <c r="E11" s="27">
        <v>7</v>
      </c>
      <c r="F11" s="27">
        <v>1</v>
      </c>
      <c r="G11" s="23">
        <v>1</v>
      </c>
      <c r="H11" s="23">
        <v>8</v>
      </c>
      <c r="I11" s="23">
        <v>4</v>
      </c>
      <c r="J11" s="23">
        <v>5</v>
      </c>
      <c r="K11" s="23">
        <v>9</v>
      </c>
      <c r="L11" s="27">
        <v>9</v>
      </c>
      <c r="N11" s="2">
        <v>61148</v>
      </c>
      <c r="O11" s="1">
        <v>1</v>
      </c>
    </row>
    <row r="12" spans="1:15" ht="28.25" customHeight="1">
      <c r="A12" s="22">
        <v>6</v>
      </c>
      <c r="B12" s="22">
        <v>2</v>
      </c>
      <c r="C12" s="22">
        <v>1</v>
      </c>
      <c r="D12" s="22">
        <v>2</v>
      </c>
      <c r="E12" s="22">
        <v>9</v>
      </c>
      <c r="F12" s="22">
        <v>1</v>
      </c>
      <c r="G12" s="27">
        <v>1</v>
      </c>
      <c r="H12" s="27">
        <v>6</v>
      </c>
      <c r="I12" s="23">
        <v>4</v>
      </c>
      <c r="J12" s="27">
        <v>8</v>
      </c>
      <c r="K12" s="27">
        <v>7</v>
      </c>
      <c r="L12" s="27">
        <v>2</v>
      </c>
      <c r="N12" s="2">
        <v>6455362</v>
      </c>
      <c r="O12" s="1">
        <v>1</v>
      </c>
    </row>
    <row r="13" spans="1:15" ht="28.25" customHeight="1">
      <c r="N13" s="2">
        <v>3961498</v>
      </c>
      <c r="O13" s="1">
        <v>1</v>
      </c>
    </row>
    <row r="14" spans="1:15" ht="28.25" customHeight="1">
      <c r="N14" s="2">
        <v>97327</v>
      </c>
      <c r="O14" s="1">
        <v>1</v>
      </c>
    </row>
    <row r="15" spans="1:15" ht="28.25" customHeight="1">
      <c r="N15" s="2">
        <v>76</v>
      </c>
      <c r="O15" s="1">
        <v>15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08"/>
  <sheetViews>
    <sheetView tabSelected="1" zoomScaleNormal="100" workbookViewId="0">
      <pane ySplit="2" topLeftCell="A300" activePane="bottomLeft" state="frozen"/>
      <selection pane="bottomLeft" activeCell="A308" sqref="A30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650</v>
      </c>
      <c r="I298" t="s">
        <v>651</v>
      </c>
      <c r="J298">
        <v>0</v>
      </c>
      <c r="K298">
        <f t="shared" ref="K298" si="791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92">L297+K298</f>
        <v>365</v>
      </c>
      <c r="M298">
        <f t="shared" ref="M298" si="793">2+IF(A298&gt;=DATEVALUE("2025/11/30")+TIMEVALUE("6:00"),1,0)+IF(A298&gt;=DATEVALUE("2025/12/11")+TIMEVALUE("6:00"),1,0)</f>
        <v>4</v>
      </c>
      <c r="N298">
        <f t="shared" ref="N298" si="794">N297+M298*(INT(A298-6/24)-INT(A297-6/24))+O298</f>
        <v>367</v>
      </c>
      <c r="O298">
        <f t="shared" ref="O298" si="795">IF(A298&gt;=DATEVALUE("2025/11/8")+TIMEVALUE("6:00"),1,0)-IF(A297&gt;=DATEVALUE("2025/11/8")+TIMEVALUE("6:00"),1,0)
+IF(A298&gt;=DATEVALUE("2026/1/22")+TIMEVALUE("6:00"),3,0)-IF(A297&gt;=DATEVALUE("2026/1/22")+TIMEVALUE("6:00"),3,0)</f>
        <v>0</v>
      </c>
      <c r="P298" t="str">
        <f t="shared" ref="P298" si="796">IF(L298&lt;N298,"未達成（"&amp;N298-L298&amp;"）",IF(L298=N298,"達成","前倒し（"&amp;L298-N298&amp;"）"))</f>
        <v>未達成（2）</v>
      </c>
      <c r="Q298">
        <f t="shared" ref="Q298" si="79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652</v>
      </c>
      <c r="I299" t="s">
        <v>653</v>
      </c>
      <c r="J299">
        <v>0</v>
      </c>
      <c r="K299">
        <f t="shared" ref="K299" si="79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99">L298+K299</f>
        <v>367</v>
      </c>
      <c r="M299">
        <f t="shared" ref="M299" si="800">2+IF(A299&gt;=DATEVALUE("2025/11/30")+TIMEVALUE("6:00"),1,0)+IF(A299&gt;=DATEVALUE("2025/12/11")+TIMEVALUE("6:00"),1,0)</f>
        <v>4</v>
      </c>
      <c r="N299">
        <f t="shared" ref="N299" si="801">N298+M299*(INT(A299-6/24)-INT(A298-6/24))+O299</f>
        <v>367</v>
      </c>
      <c r="O299">
        <f t="shared" ref="O299" si="802">IF(A299&gt;=DATEVALUE("2025/11/8")+TIMEVALUE("6:00"),1,0)-IF(A298&gt;=DATEVALUE("2025/11/8")+TIMEVALUE("6:00"),1,0)
+IF(A299&gt;=DATEVALUE("2026/1/22")+TIMEVALUE("6:00"),3,0)-IF(A298&gt;=DATEVALUE("2026/1/22")+TIMEVALUE("6:00"),3,0)</f>
        <v>0</v>
      </c>
      <c r="P299" t="str">
        <f t="shared" ref="P299" si="803">IF(L299&lt;N299,"未達成（"&amp;N299-L299&amp;"）",IF(L299=N299,"達成","前倒し（"&amp;L299-N299&amp;"）"))</f>
        <v>達成</v>
      </c>
      <c r="Q299">
        <f t="shared" ref="Q299" si="804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654</v>
      </c>
      <c r="I300" t="s">
        <v>655</v>
      </c>
      <c r="J300">
        <v>0</v>
      </c>
      <c r="K300">
        <f t="shared" ref="K300" si="805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806">L299+K300</f>
        <v>368</v>
      </c>
      <c r="M300">
        <f t="shared" ref="M300" si="807">2+IF(A300&gt;=DATEVALUE("2025/11/30")+TIMEVALUE("6:00"),1,0)+IF(A300&gt;=DATEVALUE("2025/12/11")+TIMEVALUE("6:00"),1,0)</f>
        <v>4</v>
      </c>
      <c r="N300">
        <f t="shared" ref="N300" si="808">N299+M300*(INT(A300-6/24)-INT(A299-6/24))+O300</f>
        <v>371</v>
      </c>
      <c r="O300">
        <f t="shared" ref="O300" si="809">IF(A300&gt;=DATEVALUE("2025/11/8")+TIMEVALUE("6:00"),1,0)-IF(A299&gt;=DATEVALUE("2025/11/8")+TIMEVALUE("6:00"),1,0)
+IF(A300&gt;=DATEVALUE("2026/1/22")+TIMEVALUE("6:00"),3,0)-IF(A299&gt;=DATEVALUE("2026/1/22")+TIMEVALUE("6:00"),3,0)</f>
        <v>0</v>
      </c>
      <c r="P300" t="str">
        <f t="shared" ref="P300" si="810">IF(L300&lt;N300,"未達成（"&amp;N300-L300&amp;"）",IF(L300=N300,"達成","前倒し（"&amp;L300-N300&amp;"）"))</f>
        <v>未達成（3）</v>
      </c>
      <c r="Q300">
        <f t="shared" ref="Q300" si="811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656</v>
      </c>
      <c r="I301" t="s">
        <v>657</v>
      </c>
      <c r="J301">
        <v>0</v>
      </c>
      <c r="K301">
        <f t="shared" ref="K301" si="812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813">L300+K301</f>
        <v>370</v>
      </c>
      <c r="M301">
        <f t="shared" ref="M301" si="814">2+IF(A301&gt;=DATEVALUE("2025/11/30")+TIMEVALUE("6:00"),1,0)+IF(A301&gt;=DATEVALUE("2025/12/11")+TIMEVALUE("6:00"),1,0)</f>
        <v>4</v>
      </c>
      <c r="N301">
        <f t="shared" ref="N301" si="815">N300+M301*(INT(A301-6/24)-INT(A300-6/24))+O301</f>
        <v>371</v>
      </c>
      <c r="O301">
        <f t="shared" ref="O301" si="816">IF(A301&gt;=DATEVALUE("2025/11/8")+TIMEVALUE("6:00"),1,0)-IF(A300&gt;=DATEVALUE("2025/11/8")+TIMEVALUE("6:00"),1,0)
+IF(A301&gt;=DATEVALUE("2026/1/22")+TIMEVALUE("6:00"),3,0)-IF(A300&gt;=DATEVALUE("2026/1/22")+TIMEVALUE("6:00"),3,0)</f>
        <v>0</v>
      </c>
      <c r="P301" t="str">
        <f t="shared" ref="P301" si="817">IF(L301&lt;N301,"未達成（"&amp;N301-L301&amp;"）",IF(L301=N301,"達成","前倒し（"&amp;L301-N301&amp;"）"))</f>
        <v>未達成（1）</v>
      </c>
      <c r="Q301">
        <f t="shared" ref="Q301" si="818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658</v>
      </c>
      <c r="I302" t="s">
        <v>659</v>
      </c>
      <c r="J302">
        <v>0</v>
      </c>
      <c r="K302">
        <f t="shared" ref="K302" si="819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820">L301+K302</f>
        <v>370</v>
      </c>
      <c r="M302">
        <f t="shared" ref="M302" si="821">2+IF(A302&gt;=DATEVALUE("2025/11/30")+TIMEVALUE("6:00"),1,0)+IF(A302&gt;=DATEVALUE("2025/12/11")+TIMEVALUE("6:00"),1,0)</f>
        <v>4</v>
      </c>
      <c r="N302">
        <f t="shared" ref="N302" si="822">N301+M302*(INT(A302-6/24)-INT(A301-6/24))+O302</f>
        <v>371</v>
      </c>
      <c r="O302">
        <f t="shared" ref="O302" si="823">IF(A302&gt;=DATEVALUE("2025/11/8")+TIMEVALUE("6:00"),1,0)-IF(A301&gt;=DATEVALUE("2025/11/8")+TIMEVALUE("6:00"),1,0)
+IF(A302&gt;=DATEVALUE("2026/1/22")+TIMEVALUE("6:00"),3,0)-IF(A301&gt;=DATEVALUE("2026/1/22")+TIMEVALUE("6:00"),3,0)</f>
        <v>0</v>
      </c>
      <c r="P302" t="str">
        <f t="shared" ref="P302" si="824">IF(L302&lt;N302,"未達成（"&amp;N302-L302&amp;"）",IF(L302=N302,"達成","前倒し（"&amp;L302-N302&amp;"）"))</f>
        <v>未達成（1）</v>
      </c>
      <c r="Q302">
        <f t="shared" ref="Q302" si="825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660</v>
      </c>
      <c r="I303" t="s">
        <v>661</v>
      </c>
      <c r="J303">
        <v>0</v>
      </c>
      <c r="K303">
        <f t="shared" ref="K303" si="826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827">L302+K303</f>
        <v>372</v>
      </c>
      <c r="M303">
        <f t="shared" ref="M303" si="828">2+IF(A303&gt;=DATEVALUE("2025/11/30")+TIMEVALUE("6:00"),1,0)+IF(A303&gt;=DATEVALUE("2025/12/11")+TIMEVALUE("6:00"),1,0)</f>
        <v>4</v>
      </c>
      <c r="N303">
        <f t="shared" ref="N303" si="829">N302+M303*(INT(A303-6/24)-INT(A302-6/24))+O303</f>
        <v>371</v>
      </c>
      <c r="O303">
        <f t="shared" ref="O303" si="830">IF(A303&gt;=DATEVALUE("2025/11/8")+TIMEVALUE("6:00"),1,0)-IF(A302&gt;=DATEVALUE("2025/11/8")+TIMEVALUE("6:00"),1,0)
+IF(A303&gt;=DATEVALUE("2026/1/22")+TIMEVALUE("6:00"),3,0)-IF(A302&gt;=DATEVALUE("2026/1/22")+TIMEVALUE("6:00"),3,0)</f>
        <v>0</v>
      </c>
      <c r="P303" t="str">
        <f t="shared" ref="P303" si="831">IF(L303&lt;N303,"未達成（"&amp;N303-L303&amp;"）",IF(L303=N303,"達成","前倒し（"&amp;L303-N303&amp;"）"))</f>
        <v>前倒し（1）</v>
      </c>
      <c r="Q303">
        <f t="shared" ref="Q303" si="832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662</v>
      </c>
      <c r="I304" t="s">
        <v>663</v>
      </c>
      <c r="J304">
        <v>0</v>
      </c>
      <c r="K304">
        <f t="shared" ref="K304" si="833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834">L303+K304</f>
        <v>373</v>
      </c>
      <c r="M304">
        <f t="shared" ref="M304" si="835">2+IF(A304&gt;=DATEVALUE("2025/11/30")+TIMEVALUE("6:00"),1,0)+IF(A304&gt;=DATEVALUE("2025/12/11")+TIMEVALUE("6:00"),1,0)</f>
        <v>4</v>
      </c>
      <c r="N304">
        <f t="shared" ref="N304" si="836">N303+M304*(INT(A304-6/24)-INT(A303-6/24))+O304</f>
        <v>375</v>
      </c>
      <c r="O304">
        <f t="shared" ref="O304" si="837">IF(A304&gt;=DATEVALUE("2025/11/8")+TIMEVALUE("6:00"),1,0)-IF(A303&gt;=DATEVALUE("2025/11/8")+TIMEVALUE("6:00"),1,0)
+IF(A304&gt;=DATEVALUE("2026/1/22")+TIMEVALUE("6:00"),3,0)-IF(A303&gt;=DATEVALUE("2026/1/22")+TIMEVALUE("6:00"),3,0)</f>
        <v>0</v>
      </c>
      <c r="P304" t="str">
        <f t="shared" ref="P304" si="838">IF(L304&lt;N304,"未達成（"&amp;N304-L304&amp;"）",IF(L304=N304,"達成","前倒し（"&amp;L304-N304&amp;"）"))</f>
        <v>未達成（2）</v>
      </c>
      <c r="Q304">
        <f t="shared" ref="Q304" si="839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664</v>
      </c>
      <c r="I305" t="s">
        <v>665</v>
      </c>
      <c r="J305">
        <v>0</v>
      </c>
      <c r="K305">
        <f t="shared" ref="K305" si="840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841">L304+K305</f>
        <v>375</v>
      </c>
      <c r="M305">
        <f t="shared" ref="M305" si="842">2+IF(A305&gt;=DATEVALUE("2025/11/30")+TIMEVALUE("6:00"),1,0)+IF(A305&gt;=DATEVALUE("2025/12/11")+TIMEVALUE("6:00"),1,0)</f>
        <v>4</v>
      </c>
      <c r="N305">
        <f t="shared" ref="N305" si="843">N304+M305*(INT(A305-6/24)-INT(A304-6/24))+O305</f>
        <v>375</v>
      </c>
      <c r="O305">
        <f t="shared" ref="O305" si="844">IF(A305&gt;=DATEVALUE("2025/11/8")+TIMEVALUE("6:00"),1,0)-IF(A304&gt;=DATEVALUE("2025/11/8")+TIMEVALUE("6:00"),1,0)
+IF(A305&gt;=DATEVALUE("2026/1/22")+TIMEVALUE("6:00"),3,0)-IF(A304&gt;=DATEVALUE("2026/1/22")+TIMEVALUE("6:00"),3,0)</f>
        <v>0</v>
      </c>
      <c r="P305" t="str">
        <f t="shared" ref="P305" si="845">IF(L305&lt;N305,"未達成（"&amp;N305-L305&amp;"）",IF(L305=N305,"達成","前倒し（"&amp;L305-N305&amp;"）"))</f>
        <v>達成</v>
      </c>
      <c r="Q305">
        <f t="shared" ref="Q305" si="846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666</v>
      </c>
      <c r="I306" t="s">
        <v>667</v>
      </c>
      <c r="J306">
        <v>0</v>
      </c>
      <c r="K306">
        <f t="shared" ref="K306" si="847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848">L305+K306</f>
        <v>377</v>
      </c>
      <c r="M306">
        <f t="shared" ref="M306" si="849">2+IF(A306&gt;=DATEVALUE("2025/11/30")+TIMEVALUE("6:00"),1,0)+IF(A306&gt;=DATEVALUE("2025/12/11")+TIMEVALUE("6:00"),1,0)</f>
        <v>4</v>
      </c>
      <c r="N306">
        <f t="shared" ref="N306" si="850">N305+M306*(INT(A306-6/24)-INT(A305-6/24))+O306</f>
        <v>379</v>
      </c>
      <c r="O306">
        <f t="shared" ref="O306" si="851">IF(A306&gt;=DATEVALUE("2025/11/8")+TIMEVALUE("6:00"),1,0)-IF(A305&gt;=DATEVALUE("2025/11/8")+TIMEVALUE("6:00"),1,0)
+IF(A306&gt;=DATEVALUE("2026/1/22")+TIMEVALUE("6:00"),3,0)-IF(A305&gt;=DATEVALUE("2026/1/22")+TIMEVALUE("6:00"),3,0)</f>
        <v>0</v>
      </c>
      <c r="P306" t="str">
        <f t="shared" ref="P306" si="852">IF(L306&lt;N306,"未達成（"&amp;N306-L306&amp;"）",IF(L306=N306,"達成","前倒し（"&amp;L306-N306&amp;"）"))</f>
        <v>未達成（2）</v>
      </c>
      <c r="Q306">
        <f t="shared" ref="Q306" si="853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668</v>
      </c>
      <c r="I307" t="s">
        <v>669</v>
      </c>
      <c r="J307">
        <v>0</v>
      </c>
      <c r="K307">
        <f t="shared" ref="K307" si="854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855">L306+K307</f>
        <v>378</v>
      </c>
      <c r="M307">
        <f t="shared" ref="M307" si="856">2+IF(A307&gt;=DATEVALUE("2025/11/30")+TIMEVALUE("6:00"),1,0)+IF(A307&gt;=DATEVALUE("2025/12/11")+TIMEVALUE("6:00"),1,0)</f>
        <v>4</v>
      </c>
      <c r="N307">
        <f t="shared" ref="N307" si="857">N306+M307*(INT(A307-6/24)-INT(A306-6/24))+O307</f>
        <v>379</v>
      </c>
      <c r="O307">
        <f t="shared" ref="O307" si="858">IF(A307&gt;=DATEVALUE("2025/11/8")+TIMEVALUE("6:00"),1,0)-IF(A306&gt;=DATEVALUE("2025/11/8")+TIMEVALUE("6:00"),1,0)
+IF(A307&gt;=DATEVALUE("2026/1/22")+TIMEVALUE("6:00"),3,0)-IF(A306&gt;=DATEVALUE("2026/1/22")+TIMEVALUE("6:00"),3,0)</f>
        <v>0</v>
      </c>
      <c r="P307" t="str">
        <f t="shared" ref="P307" si="859">IF(L307&lt;N307,"未達成（"&amp;N307-L307&amp;"）",IF(L307=N307,"達成","前倒し（"&amp;L307-N307&amp;"）"))</f>
        <v>未達成（1）</v>
      </c>
      <c r="Q307">
        <f t="shared" ref="Q307" si="860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670</v>
      </c>
      <c r="I308" t="s">
        <v>671</v>
      </c>
      <c r="J308">
        <v>0</v>
      </c>
      <c r="K308">
        <f t="shared" ref="K308" si="861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862">L307+K308</f>
        <v>380</v>
      </c>
      <c r="M308">
        <f t="shared" ref="M308" si="863">2+IF(A308&gt;=DATEVALUE("2025/11/30")+TIMEVALUE("6:00"),1,0)+IF(A308&gt;=DATEVALUE("2025/12/11")+TIMEVALUE("6:00"),1,0)</f>
        <v>4</v>
      </c>
      <c r="N308">
        <f t="shared" ref="N308" si="864">N307+M308*(INT(A308-6/24)-INT(A307-6/24))+O308</f>
        <v>379</v>
      </c>
      <c r="O308">
        <f t="shared" ref="O308" si="865">IF(A308&gt;=DATEVALUE("2025/11/8")+TIMEVALUE("6:00"),1,0)-IF(A307&gt;=DATEVALUE("2025/11/8")+TIMEVALUE("6:00"),1,0)
+IF(A308&gt;=DATEVALUE("2026/1/22")+TIMEVALUE("6:00"),3,0)-IF(A307&gt;=DATEVALUE("2026/1/22")+TIMEVALUE("6:00"),3,0)</f>
        <v>0</v>
      </c>
      <c r="P308" t="str">
        <f t="shared" ref="P308" si="866">IF(L308&lt;N308,"未達成（"&amp;N308-L308&amp;"）",IF(L308=N308,"達成","前倒し（"&amp;L308-N308&amp;"）"))</f>
        <v>前倒し（1）</v>
      </c>
      <c r="Q308">
        <f t="shared" ref="Q308" si="867">IF(B308="",NA(),G308)</f>
        <v>5.2546296356013045E-3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46073.304050925923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2026-02-19T22:25:34Z</dcterms:modified>
</cp:coreProperties>
</file>
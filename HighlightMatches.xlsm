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DC8816C3-1FA7-4EDB-87A5-FEDC9712BFAE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9" i="4" l="1"/>
  <c r="M169" i="4"/>
  <c r="N169" i="4" s="1"/>
  <c r="K169" i="4"/>
  <c r="L169" i="4" s="1"/>
  <c r="O168" i="4"/>
  <c r="M168" i="4"/>
  <c r="N168" i="4" s="1"/>
  <c r="K168" i="4"/>
  <c r="L168" i="4" s="1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69" i="4" l="1"/>
  <c r="P16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L143" i="4" s="1"/>
  <c r="P139" i="4"/>
  <c r="P143" i="4" l="1"/>
  <c r="L144" i="4"/>
  <c r="P142" i="4"/>
  <c r="P141" i="4"/>
  <c r="L145" i="4" l="1"/>
  <c r="P144" i="4"/>
  <c r="L146" i="4" l="1"/>
  <c r="P145" i="4"/>
  <c r="P146" i="4" l="1"/>
  <c r="L147" i="4"/>
  <c r="P147" i="4" l="1"/>
  <c r="L148" i="4"/>
  <c r="P148" i="4" l="1"/>
  <c r="L149" i="4"/>
  <c r="P149" i="4" l="1"/>
  <c r="L150" i="4"/>
  <c r="P150" i="4" l="1"/>
  <c r="L151" i="4"/>
  <c r="L152" i="4" l="1"/>
  <c r="P151" i="4"/>
  <c r="P152" i="4" l="1"/>
  <c r="L153" i="4"/>
  <c r="L154" i="4" l="1"/>
  <c r="P153" i="4"/>
  <c r="L155" i="4" l="1"/>
  <c r="P154" i="4"/>
  <c r="L156" i="4" l="1"/>
  <c r="P155" i="4"/>
  <c r="P156" i="4" l="1"/>
  <c r="L157" i="4"/>
  <c r="P157" i="4" l="1"/>
  <c r="L158" i="4"/>
  <c r="P158" i="4" l="1"/>
  <c r="L159" i="4"/>
  <c r="P159" i="4" l="1"/>
  <c r="L160" i="4"/>
  <c r="L161" i="4" s="1"/>
  <c r="P161" i="4" l="1"/>
  <c r="L162" i="4"/>
  <c r="P160" i="4"/>
  <c r="P162" i="4" l="1"/>
  <c r="L163" i="4"/>
  <c r="L164" i="4" l="1"/>
  <c r="L165" i="4" s="1"/>
  <c r="P163" i="4"/>
  <c r="P165" i="4" l="1"/>
  <c r="L166" i="4"/>
  <c r="P164" i="4"/>
  <c r="L167" i="4" l="1"/>
  <c r="P167" i="4" s="1"/>
  <c r="P166" i="4"/>
</calcChain>
</file>

<file path=xl/sharedStrings.xml><?xml version="1.0" encoding="utf-8"?>
<sst xmlns="http://schemas.openxmlformats.org/spreadsheetml/2006/main" count="414" uniqueCount="395">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</sst>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データ!$P$2:$P$168</c:f>
              <c:strCache>
                <c:ptCount val="167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  <c:pt idx="159">
                  <c:v>達成</c:v>
                </c:pt>
                <c:pt idx="160">
                  <c:v>未達成（2）</c:v>
                </c:pt>
                <c:pt idx="161">
                  <c:v>未達成（1）</c:v>
                </c:pt>
                <c:pt idx="162">
                  <c:v>前倒し（1）</c:v>
                </c:pt>
                <c:pt idx="163">
                  <c:v>未達成（2）</c:v>
                </c:pt>
                <c:pt idx="164">
                  <c:v>未達成（1）</c:v>
                </c:pt>
                <c:pt idx="165">
                  <c:v>前倒し（1）</c:v>
                </c:pt>
                <c:pt idx="166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データ!$A$3:$A$169</c:f>
              <c:numCache>
                <c:formatCode>m/d/yyyy\ h:mm</c:formatCode>
                <c:ptCount val="16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</c:numCache>
            </c:numRef>
          </c:xVal>
          <c:yVal>
            <c:numRef>
              <c:f>データ!$B$3:$B$169</c:f>
              <c:numCache>
                <c:formatCode>General</c:formatCode>
                <c:ptCount val="16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87-425D-B2E2-874872EF66E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787-425D-B2E2-874872EF6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149104"/>
        <c:axId val="149014622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データ!$A$3:$A$169</c:f>
              <c:numCache>
                <c:formatCode>m/d/yyyy\ h:mm</c:formatCode>
                <c:ptCount val="16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</c:numCache>
            </c:numRef>
          </c:xVal>
          <c:yVal>
            <c:numRef>
              <c:f>データ!$G$3:$G$169</c:f>
              <c:numCache>
                <c:formatCode>[h]:mm</c:formatCode>
                <c:ptCount val="16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87-425D-B2E2-874872EF6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527520"/>
        <c:axId val="1490148624"/>
      </c:scatterChart>
      <c:valAx>
        <c:axId val="149014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0146224"/>
        <c:crosses val="autoZero"/>
        <c:crossBetween val="midCat"/>
      </c:valAx>
      <c:valAx>
        <c:axId val="14901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0149104"/>
        <c:crosses val="autoZero"/>
        <c:crossBetween val="midCat"/>
      </c:valAx>
      <c:valAx>
        <c:axId val="149014862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8527520"/>
        <c:crosses val="max"/>
        <c:crossBetween val="midCat"/>
      </c:valAx>
      <c:valAx>
        <c:axId val="8485275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014862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7</xdr:row>
      <xdr:rowOff>178593</xdr:rowOff>
    </xdr:from>
    <xdr:to>
      <xdr:col>0</xdr:col>
      <xdr:colOff>211931</xdr:colOff>
      <xdr:row>11</xdr:row>
      <xdr:rowOff>178593</xdr:rowOff>
    </xdr:to>
    <xdr:cxnSp macro="">
      <xdr:nvCxnSpPr>
        <xdr:cNvPr id="1047" name="Match0">
          <a:extLst>
            <a:ext uri="{FF2B5EF4-FFF2-40B4-BE49-F238E27FC236}">
              <a16:creationId xmlns:a16="http://schemas.microsoft.com/office/drawing/2014/main" id="{92BD9EA1-1C7C-BD5C-2556-5EECF90BE259}"/>
            </a:ext>
          </a:extLst>
        </xdr:cNvPr>
        <xdr:cNvCxnSpPr/>
      </xdr:nvCxnSpPr>
      <xdr:spPr>
        <a:xfrm flipV="1">
          <a:off x="211931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048" name="Match1">
          <a:extLst>
            <a:ext uri="{FF2B5EF4-FFF2-40B4-BE49-F238E27FC236}">
              <a16:creationId xmlns:a16="http://schemas.microsoft.com/office/drawing/2014/main" id="{B46F2405-6E44-1115-F3AA-05074F8CBFA7}"/>
            </a:ext>
          </a:extLst>
        </xdr:cNvPr>
        <xdr:cNvCxnSpPr/>
      </xdr:nvCxnSpPr>
      <xdr:spPr>
        <a:xfrm flipV="1">
          <a:off x="3178969" y="160734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49" name="Match2">
          <a:extLst>
            <a:ext uri="{FF2B5EF4-FFF2-40B4-BE49-F238E27FC236}">
              <a16:creationId xmlns:a16="http://schemas.microsoft.com/office/drawing/2014/main" id="{25E25CBD-E034-859A-14C8-A948C5E7D376}"/>
            </a:ext>
          </a:extLst>
        </xdr:cNvPr>
        <xdr:cNvCxnSpPr/>
      </xdr:nvCxnSpPr>
      <xdr:spPr>
        <a:xfrm flipV="1">
          <a:off x="3602831" y="2321719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055" name="Match3">
          <a:extLst>
            <a:ext uri="{FF2B5EF4-FFF2-40B4-BE49-F238E27FC236}">
              <a16:creationId xmlns:a16="http://schemas.microsoft.com/office/drawing/2014/main" id="{80619330-7C7F-4A59-15AD-036B8723191C}"/>
            </a:ext>
          </a:extLst>
        </xdr:cNvPr>
        <xdr:cNvCxnSpPr/>
      </xdr:nvCxnSpPr>
      <xdr:spPr>
        <a:xfrm flipH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6</xdr:col>
      <xdr:colOff>237331</xdr:colOff>
      <xdr:row>0</xdr:row>
      <xdr:rowOff>203994</xdr:rowOff>
    </xdr:to>
    <xdr:cxnSp macro="">
      <xdr:nvCxnSpPr>
        <xdr:cNvPr id="1056" name="Match4">
          <a:extLst>
            <a:ext uri="{FF2B5EF4-FFF2-40B4-BE49-F238E27FC236}">
              <a16:creationId xmlns:a16="http://schemas.microsoft.com/office/drawing/2014/main" id="{AD9D2D33-1BB1-1346-555A-77BDB78B9F6B}"/>
            </a:ext>
          </a:extLst>
        </xdr:cNvPr>
        <xdr:cNvCxnSpPr/>
      </xdr:nvCxnSpPr>
      <xdr:spPr>
        <a:xfrm flipH="1">
          <a:off x="2356644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057" name="Match5">
          <a:extLst>
            <a:ext uri="{FF2B5EF4-FFF2-40B4-BE49-F238E27FC236}">
              <a16:creationId xmlns:a16="http://schemas.microsoft.com/office/drawing/2014/main" id="{CDE32852-8AEA-39FE-8F5C-EF8B66498579}"/>
            </a:ext>
          </a:extLst>
        </xdr:cNvPr>
        <xdr:cNvCxnSpPr/>
      </xdr:nvCxnSpPr>
      <xdr:spPr>
        <a:xfrm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061" name="Match6">
          <a:extLst>
            <a:ext uri="{FF2B5EF4-FFF2-40B4-BE49-F238E27FC236}">
              <a16:creationId xmlns:a16="http://schemas.microsoft.com/office/drawing/2014/main" id="{2BD61F8C-6F4A-8D65-1A93-03F97BAB9347}"/>
            </a:ext>
          </a:extLst>
        </xdr:cNvPr>
        <xdr:cNvCxnSpPr/>
      </xdr:nvCxnSpPr>
      <xdr:spPr>
        <a:xfrm flipV="1">
          <a:off x="233124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064" name="Match7">
          <a:extLst>
            <a:ext uri="{FF2B5EF4-FFF2-40B4-BE49-F238E27FC236}">
              <a16:creationId xmlns:a16="http://schemas.microsoft.com/office/drawing/2014/main" id="{3C7548C5-FB2F-0B4A-674F-7850C4C384D2}"/>
            </a:ext>
          </a:extLst>
        </xdr:cNvPr>
        <xdr:cNvCxnSpPr/>
      </xdr:nvCxnSpPr>
      <xdr:spPr>
        <a:xfrm flipH="1"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065" name="Match8">
          <a:extLst>
            <a:ext uri="{FF2B5EF4-FFF2-40B4-BE49-F238E27FC236}">
              <a16:creationId xmlns:a16="http://schemas.microsoft.com/office/drawing/2014/main" id="{62326214-27CB-8A52-0E71-DE2C639A1ECC}"/>
            </a:ext>
          </a:extLst>
        </xdr:cNvPr>
        <xdr:cNvCxnSpPr/>
      </xdr:nvCxnSpPr>
      <xdr:spPr>
        <a:xfrm flipV="1">
          <a:off x="1508919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066" name="Match9">
          <a:extLst>
            <a:ext uri="{FF2B5EF4-FFF2-40B4-BE49-F238E27FC236}">
              <a16:creationId xmlns:a16="http://schemas.microsoft.com/office/drawing/2014/main" id="{D8AC7E8F-9997-B823-8995-578B15C710C2}"/>
            </a:ext>
          </a:extLst>
        </xdr:cNvPr>
        <xdr:cNvCxnSpPr/>
      </xdr:nvCxnSpPr>
      <xdr:spPr>
        <a:xfrm flipH="1" flipV="1"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1067" name="Match10">
          <a:extLst>
            <a:ext uri="{FF2B5EF4-FFF2-40B4-BE49-F238E27FC236}">
              <a16:creationId xmlns:a16="http://schemas.microsoft.com/office/drawing/2014/main" id="{9F6B7087-61B0-676A-6590-EBCCD64B12F3}"/>
            </a:ext>
          </a:extLst>
        </xdr:cNvPr>
        <xdr:cNvCxnSpPr/>
      </xdr:nvCxnSpPr>
      <xdr:spPr>
        <a:xfrm flipH="1">
          <a:off x="6357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5</xdr:row>
      <xdr:rowOff>203993</xdr:rowOff>
    </xdr:from>
    <xdr:to>
      <xdr:col>2</xdr:col>
      <xdr:colOff>237331</xdr:colOff>
      <xdr:row>6</xdr:row>
      <xdr:rowOff>203994</xdr:rowOff>
    </xdr:to>
    <xdr:cxnSp macro="">
      <xdr:nvCxnSpPr>
        <xdr:cNvPr id="1068" name="Match11">
          <a:extLst>
            <a:ext uri="{FF2B5EF4-FFF2-40B4-BE49-F238E27FC236}">
              <a16:creationId xmlns:a16="http://schemas.microsoft.com/office/drawing/2014/main" id="{2A3AC7FA-0A76-78D5-EF5E-F5BBAC50786D}"/>
            </a:ext>
          </a:extLst>
        </xdr:cNvPr>
        <xdr:cNvCxnSpPr/>
      </xdr:nvCxnSpPr>
      <xdr:spPr>
        <a:xfrm flipV="1">
          <a:off x="1085056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069" name="Match12">
          <a:extLst>
            <a:ext uri="{FF2B5EF4-FFF2-40B4-BE49-F238E27FC236}">
              <a16:creationId xmlns:a16="http://schemas.microsoft.com/office/drawing/2014/main" id="{01DFA497-4B2F-EDDA-BF0C-97CF0471FA54}"/>
            </a:ext>
          </a:extLst>
        </xdr:cNvPr>
        <xdr:cNvCxnSpPr/>
      </xdr:nvCxnSpPr>
      <xdr:spPr>
        <a:xfrm flipV="1">
          <a:off x="6357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8</xdr:row>
      <xdr:rowOff>178594</xdr:rowOff>
    </xdr:to>
    <xdr:cxnSp macro="">
      <xdr:nvCxnSpPr>
        <xdr:cNvPr id="1070" name="Match13">
          <a:extLst>
            <a:ext uri="{FF2B5EF4-FFF2-40B4-BE49-F238E27FC236}">
              <a16:creationId xmlns:a16="http://schemas.microsoft.com/office/drawing/2014/main" id="{4B580979-3EF4-D68A-734B-1EA3406EAFB3}"/>
            </a:ext>
          </a:extLst>
        </xdr:cNvPr>
        <xdr:cNvCxnSpPr/>
      </xdr:nvCxnSpPr>
      <xdr:spPr>
        <a:xfrm>
          <a:off x="275510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1071" name="Match14">
          <a:extLst>
            <a:ext uri="{FF2B5EF4-FFF2-40B4-BE49-F238E27FC236}">
              <a16:creationId xmlns:a16="http://schemas.microsoft.com/office/drawing/2014/main" id="{10B851DA-EA48-A0A2-1BA9-89129CA0DBF2}"/>
            </a:ext>
          </a:extLst>
        </xdr:cNvPr>
        <xdr:cNvCxnSpPr/>
      </xdr:nvCxnSpPr>
      <xdr:spPr>
        <a:xfrm flipV="1">
          <a:off x="2780506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072" name="Match15">
          <a:extLst>
            <a:ext uri="{FF2B5EF4-FFF2-40B4-BE49-F238E27FC236}">
              <a16:creationId xmlns:a16="http://schemas.microsoft.com/office/drawing/2014/main" id="{7FAE8619-36DD-BD16-0F87-4A633A642AF8}"/>
            </a:ext>
          </a:extLst>
        </xdr:cNvPr>
        <xdr:cNvCxnSpPr/>
      </xdr:nvCxnSpPr>
      <xdr:spPr>
        <a:xfrm>
          <a:off x="190738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073" name="Match16">
          <a:extLst>
            <a:ext uri="{FF2B5EF4-FFF2-40B4-BE49-F238E27FC236}">
              <a16:creationId xmlns:a16="http://schemas.microsoft.com/office/drawing/2014/main" id="{002678F1-C8B2-A3EC-D4DA-010BBFC51BA5}"/>
            </a:ext>
          </a:extLst>
        </xdr:cNvPr>
        <xdr:cNvCxnSpPr/>
      </xdr:nvCxnSpPr>
      <xdr:spPr>
        <a:xfrm>
          <a:off x="1483519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9</xdr:row>
      <xdr:rowOff>203993</xdr:rowOff>
    </xdr:from>
    <xdr:to>
      <xdr:col>3</xdr:col>
      <xdr:colOff>237331</xdr:colOff>
      <xdr:row>10</xdr:row>
      <xdr:rowOff>203994</xdr:rowOff>
    </xdr:to>
    <xdr:cxnSp macro="">
      <xdr:nvCxnSpPr>
        <xdr:cNvPr id="1074" name="Match17">
          <a:extLst>
            <a:ext uri="{FF2B5EF4-FFF2-40B4-BE49-F238E27FC236}">
              <a16:creationId xmlns:a16="http://schemas.microsoft.com/office/drawing/2014/main" id="{283EFDFB-5C35-5938-C237-5F7888F6BE71}"/>
            </a:ext>
          </a:extLst>
        </xdr:cNvPr>
        <xdr:cNvCxnSpPr/>
      </xdr:nvCxnSpPr>
      <xdr:spPr>
        <a:xfrm flipH="1">
          <a:off x="108505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4</xdr:row>
      <xdr:rowOff>178594</xdr:rowOff>
    </xdr:to>
    <xdr:cxnSp macro="">
      <xdr:nvCxnSpPr>
        <xdr:cNvPr id="1075" name="Match18">
          <a:extLst>
            <a:ext uri="{FF2B5EF4-FFF2-40B4-BE49-F238E27FC236}">
              <a16:creationId xmlns:a16="http://schemas.microsoft.com/office/drawing/2014/main" id="{30727F59-CEDF-C4F2-8FE4-D4931BCFC2C5}"/>
            </a:ext>
          </a:extLst>
        </xdr:cNvPr>
        <xdr:cNvCxnSpPr/>
      </xdr:nvCxnSpPr>
      <xdr:spPr>
        <a:xfrm flipV="1">
          <a:off x="2119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076" name="Match19">
          <a:extLst>
            <a:ext uri="{FF2B5EF4-FFF2-40B4-BE49-F238E27FC236}">
              <a16:creationId xmlns:a16="http://schemas.microsoft.com/office/drawing/2014/main" id="{F4AF8E50-8D0E-7C70-E2F1-D8DA1C92E84F}"/>
            </a:ext>
          </a:extLst>
        </xdr:cNvPr>
        <xdr:cNvCxnSpPr/>
      </xdr:nvCxnSpPr>
      <xdr:spPr>
        <a:xfrm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077" name="Match20">
          <a:extLst>
            <a:ext uri="{FF2B5EF4-FFF2-40B4-BE49-F238E27FC236}">
              <a16:creationId xmlns:a16="http://schemas.microsoft.com/office/drawing/2014/main" id="{2BF3FEE9-7B10-8AC6-6B3C-172DCFC3715B}"/>
            </a:ext>
          </a:extLst>
        </xdr:cNvPr>
        <xdr:cNvCxnSpPr/>
      </xdr:nvCxnSpPr>
      <xdr:spPr>
        <a:xfrm flipH="1">
          <a:off x="190738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078" name="Match21">
          <a:extLst>
            <a:ext uri="{FF2B5EF4-FFF2-40B4-BE49-F238E27FC236}">
              <a16:creationId xmlns:a16="http://schemas.microsoft.com/office/drawing/2014/main" id="{4C002ED1-5E82-7DE0-40A0-A0C7497F3C97}"/>
            </a:ext>
          </a:extLst>
        </xdr:cNvPr>
        <xdr:cNvCxnSpPr/>
      </xdr:nvCxnSpPr>
      <xdr:spPr>
        <a:xfrm flipV="1">
          <a:off x="235664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079" name="Match22">
          <a:extLst>
            <a:ext uri="{FF2B5EF4-FFF2-40B4-BE49-F238E27FC236}">
              <a16:creationId xmlns:a16="http://schemas.microsoft.com/office/drawing/2014/main" id="{D54B3FD0-4591-468A-3F1A-91547723663E}"/>
            </a:ext>
          </a:extLst>
        </xdr:cNvPr>
        <xdr:cNvCxnSpPr/>
      </xdr:nvCxnSpPr>
      <xdr:spPr>
        <a:xfrm flipH="1">
          <a:off x="10596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3</xdr:col>
      <xdr:colOff>237331</xdr:colOff>
      <xdr:row>6</xdr:row>
      <xdr:rowOff>203994</xdr:rowOff>
    </xdr:to>
    <xdr:cxnSp macro="">
      <xdr:nvCxnSpPr>
        <xdr:cNvPr id="1080" name="Match23">
          <a:extLst>
            <a:ext uri="{FF2B5EF4-FFF2-40B4-BE49-F238E27FC236}">
              <a16:creationId xmlns:a16="http://schemas.microsoft.com/office/drawing/2014/main" id="{BF8D662E-D533-9318-F2C2-20413B5CD7F0}"/>
            </a:ext>
          </a:extLst>
        </xdr:cNvPr>
        <xdr:cNvCxnSpPr/>
      </xdr:nvCxnSpPr>
      <xdr:spPr>
        <a:xfrm flipV="1">
          <a:off x="150891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5</xdr:row>
      <xdr:rowOff>229393</xdr:rowOff>
    </xdr:from>
    <xdr:to>
      <xdr:col>4</xdr:col>
      <xdr:colOff>262731</xdr:colOff>
      <xdr:row>6</xdr:row>
      <xdr:rowOff>229394</xdr:rowOff>
    </xdr:to>
    <xdr:cxnSp macro="">
      <xdr:nvCxnSpPr>
        <xdr:cNvPr id="1081" name="Match24">
          <a:extLst>
            <a:ext uri="{FF2B5EF4-FFF2-40B4-BE49-F238E27FC236}">
              <a16:creationId xmlns:a16="http://schemas.microsoft.com/office/drawing/2014/main" id="{E454E7BD-60F8-C0C7-42F7-77C5BEA6ACB8}"/>
            </a:ext>
          </a:extLst>
        </xdr:cNvPr>
        <xdr:cNvCxnSpPr/>
      </xdr:nvCxnSpPr>
      <xdr:spPr>
        <a:xfrm flipV="1">
          <a:off x="1534319" y="201533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082" name="Match25">
          <a:extLst>
            <a:ext uri="{FF2B5EF4-FFF2-40B4-BE49-F238E27FC236}">
              <a16:creationId xmlns:a16="http://schemas.microsoft.com/office/drawing/2014/main" id="{E9A50470-9A1F-508E-B70E-361F88652BD8}"/>
            </a:ext>
          </a:extLst>
        </xdr:cNvPr>
        <xdr:cNvCxnSpPr/>
      </xdr:nvCxnSpPr>
      <xdr:spPr>
        <a:xfrm flipH="1"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1083" name="Match26">
          <a:extLst>
            <a:ext uri="{FF2B5EF4-FFF2-40B4-BE49-F238E27FC236}">
              <a16:creationId xmlns:a16="http://schemas.microsoft.com/office/drawing/2014/main" id="{31A86CCE-8112-6F92-030B-8898E451F997}"/>
            </a:ext>
          </a:extLst>
        </xdr:cNvPr>
        <xdr:cNvCxnSpPr/>
      </xdr:nvCxnSpPr>
      <xdr:spPr>
        <a:xfrm flipV="1">
          <a:off x="1085056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084" name="Match27">
          <a:extLst>
            <a:ext uri="{FF2B5EF4-FFF2-40B4-BE49-F238E27FC236}">
              <a16:creationId xmlns:a16="http://schemas.microsoft.com/office/drawing/2014/main" id="{E6849B7E-6119-260E-A966-D8C3E523B099}"/>
            </a:ext>
          </a:extLst>
        </xdr:cNvPr>
        <xdr:cNvCxnSpPr/>
      </xdr:nvCxnSpPr>
      <xdr:spPr>
        <a:xfrm flipV="1"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85" name="Match28">
          <a:extLst>
            <a:ext uri="{FF2B5EF4-FFF2-40B4-BE49-F238E27FC236}">
              <a16:creationId xmlns:a16="http://schemas.microsoft.com/office/drawing/2014/main" id="{6A606E23-089A-BC9F-99C0-7816876E5BBE}"/>
            </a:ext>
          </a:extLst>
        </xdr:cNvPr>
        <xdr:cNvCxnSpPr/>
      </xdr:nvCxnSpPr>
      <xdr:spPr>
        <a:xfrm flipH="1"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86" name="Match29">
          <a:extLst>
            <a:ext uri="{FF2B5EF4-FFF2-40B4-BE49-F238E27FC236}">
              <a16:creationId xmlns:a16="http://schemas.microsoft.com/office/drawing/2014/main" id="{ADEC4F5E-846E-BBCE-CDDB-7B3B2FC6FFE5}"/>
            </a:ext>
          </a:extLst>
        </xdr:cNvPr>
        <xdr:cNvCxnSpPr/>
      </xdr:nvCxnSpPr>
      <xdr:spPr>
        <a:xfrm flipV="1"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087" name="Match30">
          <a:extLst>
            <a:ext uri="{FF2B5EF4-FFF2-40B4-BE49-F238E27FC236}">
              <a16:creationId xmlns:a16="http://schemas.microsoft.com/office/drawing/2014/main" id="{2823BFBE-EEA2-DFBA-91A5-29425C484D9D}"/>
            </a:ext>
          </a:extLst>
        </xdr:cNvPr>
        <xdr:cNvCxnSpPr/>
      </xdr:nvCxnSpPr>
      <xdr:spPr>
        <a:xfrm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6</xdr:col>
      <xdr:colOff>237331</xdr:colOff>
      <xdr:row>9</xdr:row>
      <xdr:rowOff>203993</xdr:rowOff>
    </xdr:to>
    <xdr:cxnSp macro="">
      <xdr:nvCxnSpPr>
        <xdr:cNvPr id="1664" name="Match31">
          <a:extLst>
            <a:ext uri="{FF2B5EF4-FFF2-40B4-BE49-F238E27FC236}">
              <a16:creationId xmlns:a16="http://schemas.microsoft.com/office/drawing/2014/main" id="{C6649DFE-8D2C-729F-6D88-34B4F9806555}"/>
            </a:ext>
          </a:extLst>
        </xdr:cNvPr>
        <xdr:cNvCxnSpPr/>
      </xdr:nvCxnSpPr>
      <xdr:spPr>
        <a:xfrm flipH="1">
          <a:off x="235664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665" name="Match32">
          <a:extLst>
            <a:ext uri="{FF2B5EF4-FFF2-40B4-BE49-F238E27FC236}">
              <a16:creationId xmlns:a16="http://schemas.microsoft.com/office/drawing/2014/main" id="{2D07657B-D9F3-2D15-7A5A-9F0EF65213CB}"/>
            </a:ext>
          </a:extLst>
        </xdr:cNvPr>
        <xdr:cNvCxnSpPr/>
      </xdr:nvCxnSpPr>
      <xdr:spPr>
        <a:xfrm flipV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738" name="Match33">
          <a:extLst>
            <a:ext uri="{FF2B5EF4-FFF2-40B4-BE49-F238E27FC236}">
              <a16:creationId xmlns:a16="http://schemas.microsoft.com/office/drawing/2014/main" id="{47EB45D1-50FA-C771-1BF6-008015CF12A7}"/>
            </a:ext>
          </a:extLst>
        </xdr:cNvPr>
        <xdr:cNvCxnSpPr/>
      </xdr:nvCxnSpPr>
      <xdr:spPr>
        <a:xfrm flipH="1" flipV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739" name="Match34">
          <a:extLst>
            <a:ext uri="{FF2B5EF4-FFF2-40B4-BE49-F238E27FC236}">
              <a16:creationId xmlns:a16="http://schemas.microsoft.com/office/drawing/2014/main" id="{3F046195-47FC-90F2-49CF-BFE80366FD23}"/>
            </a:ext>
          </a:extLst>
        </xdr:cNvPr>
        <xdr:cNvCxnSpPr/>
      </xdr:nvCxnSpPr>
      <xdr:spPr>
        <a:xfrm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740" name="Match35">
          <a:extLst>
            <a:ext uri="{FF2B5EF4-FFF2-40B4-BE49-F238E27FC236}">
              <a16:creationId xmlns:a16="http://schemas.microsoft.com/office/drawing/2014/main" id="{56E5A84E-A2CC-283D-0D12-8C0073F8F1DA}"/>
            </a:ext>
          </a:extLst>
        </xdr:cNvPr>
        <xdr:cNvCxnSpPr/>
      </xdr:nvCxnSpPr>
      <xdr:spPr>
        <a:xfrm flipV="1"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741" name="Match36">
          <a:extLst>
            <a:ext uri="{FF2B5EF4-FFF2-40B4-BE49-F238E27FC236}">
              <a16:creationId xmlns:a16="http://schemas.microsoft.com/office/drawing/2014/main" id="{AF9B1EB9-0452-B066-A36A-A8D44A6CE5F2}"/>
            </a:ext>
          </a:extLst>
        </xdr:cNvPr>
        <xdr:cNvCxnSpPr/>
      </xdr:nvCxnSpPr>
      <xdr:spPr>
        <a:xfrm>
          <a:off x="211931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742" name="Match37">
          <a:extLst>
            <a:ext uri="{FF2B5EF4-FFF2-40B4-BE49-F238E27FC236}">
              <a16:creationId xmlns:a16="http://schemas.microsoft.com/office/drawing/2014/main" id="{A425F341-010A-A57C-3483-C6BC4882235D}"/>
            </a:ext>
          </a:extLst>
        </xdr:cNvPr>
        <xdr:cNvCxnSpPr/>
      </xdr:nvCxnSpPr>
      <xdr:spPr>
        <a:xfrm>
          <a:off x="1059656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743" name="Match38">
          <a:extLst>
            <a:ext uri="{FF2B5EF4-FFF2-40B4-BE49-F238E27FC236}">
              <a16:creationId xmlns:a16="http://schemas.microsoft.com/office/drawing/2014/main" id="{9BBE6C1C-1A6D-CA52-609F-2BB0F10A6271}"/>
            </a:ext>
          </a:extLst>
        </xdr:cNvPr>
        <xdr:cNvCxnSpPr/>
      </xdr:nvCxnSpPr>
      <xdr:spPr>
        <a:xfrm flipV="1">
          <a:off x="4874419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744" name="Match39">
          <a:extLst>
            <a:ext uri="{FF2B5EF4-FFF2-40B4-BE49-F238E27FC236}">
              <a16:creationId xmlns:a16="http://schemas.microsoft.com/office/drawing/2014/main" id="{7BF45F8D-9762-98D5-3295-1955F09080BB}"/>
            </a:ext>
          </a:extLst>
        </xdr:cNvPr>
        <xdr:cNvCxnSpPr/>
      </xdr:nvCxnSpPr>
      <xdr:spPr>
        <a:xfrm flipV="1">
          <a:off x="635794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745" name="Match40">
          <a:extLst>
            <a:ext uri="{FF2B5EF4-FFF2-40B4-BE49-F238E27FC236}">
              <a16:creationId xmlns:a16="http://schemas.microsoft.com/office/drawing/2014/main" id="{DA4C8FAA-1405-AB3B-72A2-47225C960D44}"/>
            </a:ext>
          </a:extLst>
        </xdr:cNvPr>
        <xdr:cNvCxnSpPr/>
      </xdr:nvCxnSpPr>
      <xdr:spPr>
        <a:xfrm flipH="1"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746" name="Match41">
          <a:extLst>
            <a:ext uri="{FF2B5EF4-FFF2-40B4-BE49-F238E27FC236}">
              <a16:creationId xmlns:a16="http://schemas.microsoft.com/office/drawing/2014/main" id="{BE937FAC-1311-8E93-158B-9AA6F500116C}"/>
            </a:ext>
          </a:extLst>
        </xdr:cNvPr>
        <xdr:cNvCxnSpPr/>
      </xdr:nvCxnSpPr>
      <xdr:spPr>
        <a:xfrm flipH="1" flipV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747" name="Match42">
          <a:extLst>
            <a:ext uri="{FF2B5EF4-FFF2-40B4-BE49-F238E27FC236}">
              <a16:creationId xmlns:a16="http://schemas.microsoft.com/office/drawing/2014/main" id="{6AFAED09-F577-C5D0-C84B-186399267AD0}"/>
            </a:ext>
          </a:extLst>
        </xdr:cNvPr>
        <xdr:cNvCxnSpPr/>
      </xdr:nvCxnSpPr>
      <xdr:spPr>
        <a:xfrm flipH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748" name="Match43">
          <a:extLst>
            <a:ext uri="{FF2B5EF4-FFF2-40B4-BE49-F238E27FC236}">
              <a16:creationId xmlns:a16="http://schemas.microsoft.com/office/drawing/2014/main" id="{DA93D9CD-1DAA-4710-A8C0-84558C74F5D8}"/>
            </a:ext>
          </a:extLst>
        </xdr:cNvPr>
        <xdr:cNvCxnSpPr/>
      </xdr:nvCxnSpPr>
      <xdr:spPr>
        <a:xfrm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749" name="Match44">
          <a:extLst>
            <a:ext uri="{FF2B5EF4-FFF2-40B4-BE49-F238E27FC236}">
              <a16:creationId xmlns:a16="http://schemas.microsoft.com/office/drawing/2014/main" id="{C5BFD131-B597-6928-8937-D6B00293DD90}"/>
            </a:ext>
          </a:extLst>
        </xdr:cNvPr>
        <xdr:cNvCxnSpPr/>
      </xdr:nvCxnSpPr>
      <xdr:spPr>
        <a:xfrm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7</xdr:row>
      <xdr:rowOff>203993</xdr:rowOff>
    </xdr:to>
    <xdr:cxnSp macro="">
      <xdr:nvCxnSpPr>
        <xdr:cNvPr id="1750" name="Match45">
          <a:extLst>
            <a:ext uri="{FF2B5EF4-FFF2-40B4-BE49-F238E27FC236}">
              <a16:creationId xmlns:a16="http://schemas.microsoft.com/office/drawing/2014/main" id="{5EADF4CA-D190-B924-7BC7-8D1C760C2928}"/>
            </a:ext>
          </a:extLst>
        </xdr:cNvPr>
        <xdr:cNvCxnSpPr/>
      </xdr:nvCxnSpPr>
      <xdr:spPr>
        <a:xfrm flipH="1" flipV="1">
          <a:off x="10850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751" name="Match46">
          <a:extLst>
            <a:ext uri="{FF2B5EF4-FFF2-40B4-BE49-F238E27FC236}">
              <a16:creationId xmlns:a16="http://schemas.microsoft.com/office/drawing/2014/main" id="{6D205CE9-1800-96DD-F95F-95BABDE3CCD5}"/>
            </a:ext>
          </a:extLst>
        </xdr:cNvPr>
        <xdr:cNvCxnSpPr/>
      </xdr:nvCxnSpPr>
      <xdr:spPr>
        <a:xfrm>
          <a:off x="190738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1752" name="Match47">
          <a:extLst>
            <a:ext uri="{FF2B5EF4-FFF2-40B4-BE49-F238E27FC236}">
              <a16:creationId xmlns:a16="http://schemas.microsoft.com/office/drawing/2014/main" id="{60180D8B-6B8A-5C02-B0FF-217296B69201}"/>
            </a:ext>
          </a:extLst>
        </xdr:cNvPr>
        <xdr:cNvCxnSpPr/>
      </xdr:nvCxnSpPr>
      <xdr:spPr>
        <a:xfrm>
          <a:off x="148351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753" name="Match48">
          <a:extLst>
            <a:ext uri="{FF2B5EF4-FFF2-40B4-BE49-F238E27FC236}">
              <a16:creationId xmlns:a16="http://schemas.microsoft.com/office/drawing/2014/main" id="{FCBED46D-5A32-BB69-D4FB-BCDE9ECC88B5}"/>
            </a:ext>
          </a:extLst>
        </xdr:cNvPr>
        <xdr:cNvCxnSpPr/>
      </xdr:nvCxnSpPr>
      <xdr:spPr>
        <a:xfrm>
          <a:off x="150891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754" name="Match49">
          <a:extLst>
            <a:ext uri="{FF2B5EF4-FFF2-40B4-BE49-F238E27FC236}">
              <a16:creationId xmlns:a16="http://schemas.microsoft.com/office/drawing/2014/main" id="{35625984-F6D5-2218-17D7-40EC3E1E3EC2}"/>
            </a:ext>
          </a:extLst>
        </xdr:cNvPr>
        <xdr:cNvCxnSpPr/>
      </xdr:nvCxnSpPr>
      <xdr:spPr>
        <a:xfrm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10</xdr:row>
      <xdr:rowOff>203994</xdr:rowOff>
    </xdr:to>
    <xdr:cxnSp macro="">
      <xdr:nvCxnSpPr>
        <xdr:cNvPr id="1755" name="Match50">
          <a:extLst>
            <a:ext uri="{FF2B5EF4-FFF2-40B4-BE49-F238E27FC236}">
              <a16:creationId xmlns:a16="http://schemas.microsoft.com/office/drawing/2014/main" id="{694F287A-B8CD-0422-6DFB-42B1FA6CFD22}"/>
            </a:ext>
          </a:extLst>
        </xdr:cNvPr>
        <xdr:cNvCxnSpPr/>
      </xdr:nvCxnSpPr>
      <xdr:spPr>
        <a:xfrm flipH="1" flipV="1">
          <a:off x="150891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756" name="Match51">
          <a:extLst>
            <a:ext uri="{FF2B5EF4-FFF2-40B4-BE49-F238E27FC236}">
              <a16:creationId xmlns:a16="http://schemas.microsoft.com/office/drawing/2014/main" id="{93C4DBB6-CC52-C166-B6F2-376D241A1BB2}"/>
            </a:ext>
          </a:extLst>
        </xdr:cNvPr>
        <xdr:cNvCxnSpPr/>
      </xdr:nvCxnSpPr>
      <xdr:spPr>
        <a:xfrm>
          <a:off x="190738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3</xdr:col>
      <xdr:colOff>237331</xdr:colOff>
      <xdr:row>3</xdr:row>
      <xdr:rowOff>203993</xdr:rowOff>
    </xdr:to>
    <xdr:cxnSp macro="">
      <xdr:nvCxnSpPr>
        <xdr:cNvPr id="1757" name="Match52">
          <a:extLst>
            <a:ext uri="{FF2B5EF4-FFF2-40B4-BE49-F238E27FC236}">
              <a16:creationId xmlns:a16="http://schemas.microsoft.com/office/drawing/2014/main" id="{5CCC879F-E6EE-3712-42BD-7FC929519D23}"/>
            </a:ext>
          </a:extLst>
        </xdr:cNvPr>
        <xdr:cNvCxnSpPr/>
      </xdr:nvCxnSpPr>
      <xdr:spPr>
        <a:xfrm>
          <a:off x="661194" y="56118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758" name="Match53">
          <a:extLst>
            <a:ext uri="{FF2B5EF4-FFF2-40B4-BE49-F238E27FC236}">
              <a16:creationId xmlns:a16="http://schemas.microsoft.com/office/drawing/2014/main" id="{7F2A76CD-81E0-F472-BE34-DE0BE73808A8}"/>
            </a:ext>
          </a:extLst>
        </xdr:cNvPr>
        <xdr:cNvCxnSpPr/>
      </xdr:nvCxnSpPr>
      <xdr:spPr>
        <a:xfrm flipH="1">
          <a:off x="190738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759" name="Match54">
          <a:extLst>
            <a:ext uri="{FF2B5EF4-FFF2-40B4-BE49-F238E27FC236}">
              <a16:creationId xmlns:a16="http://schemas.microsoft.com/office/drawing/2014/main" id="{9478D156-69D8-8A4B-A59B-E7D0E26A906F}"/>
            </a:ext>
          </a:extLst>
        </xdr:cNvPr>
        <xdr:cNvCxnSpPr/>
      </xdr:nvCxnSpPr>
      <xdr:spPr>
        <a:xfrm>
          <a:off x="36028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760" name="Match55">
          <a:extLst>
            <a:ext uri="{FF2B5EF4-FFF2-40B4-BE49-F238E27FC236}">
              <a16:creationId xmlns:a16="http://schemas.microsoft.com/office/drawing/2014/main" id="{303FBCDD-E411-04CE-9496-4CC4326A5551}"/>
            </a:ext>
          </a:extLst>
        </xdr:cNvPr>
        <xdr:cNvCxnSpPr/>
      </xdr:nvCxnSpPr>
      <xdr:spPr>
        <a:xfrm flipH="1">
          <a:off x="1059656" y="17859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761" name="Match56">
          <a:extLst>
            <a:ext uri="{FF2B5EF4-FFF2-40B4-BE49-F238E27FC236}">
              <a16:creationId xmlns:a16="http://schemas.microsoft.com/office/drawing/2014/main" id="{041DCA8A-DC94-A0A0-08DB-341D0EBC8125}"/>
            </a:ext>
          </a:extLst>
        </xdr:cNvPr>
        <xdr:cNvCxnSpPr/>
      </xdr:nvCxnSpPr>
      <xdr:spPr>
        <a:xfrm>
          <a:off x="4450556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762" name="Match57">
          <a:extLst>
            <a:ext uri="{FF2B5EF4-FFF2-40B4-BE49-F238E27FC236}">
              <a16:creationId xmlns:a16="http://schemas.microsoft.com/office/drawing/2014/main" id="{0E59F161-7026-310A-5FF5-E4D105A882D9}"/>
            </a:ext>
          </a:extLst>
        </xdr:cNvPr>
        <xdr:cNvCxnSpPr/>
      </xdr:nvCxnSpPr>
      <xdr:spPr>
        <a:xfrm>
          <a:off x="635794" y="3750469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763" name="Match58">
          <a:extLst>
            <a:ext uri="{FF2B5EF4-FFF2-40B4-BE49-F238E27FC236}">
              <a16:creationId xmlns:a16="http://schemas.microsoft.com/office/drawing/2014/main" id="{7CECC1ED-860B-AA45-46C7-04122CC6DA36}"/>
            </a:ext>
          </a:extLst>
        </xdr:cNvPr>
        <xdr:cNvCxnSpPr/>
      </xdr:nvCxnSpPr>
      <xdr:spPr>
        <a:xfrm>
          <a:off x="4026694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E99463C8-7B9E-B487-1677-9A3F31B4B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J9" sqref="J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8</v>
      </c>
      <c r="B1" s="27">
        <v>3</v>
      </c>
      <c r="C1" s="27">
        <v>5</v>
      </c>
      <c r="D1" s="27">
        <v>5</v>
      </c>
      <c r="E1" s="27">
        <v>1</v>
      </c>
      <c r="F1" s="22">
        <v>1</v>
      </c>
      <c r="G1" s="22">
        <v>2</v>
      </c>
      <c r="H1" s="27">
        <v>4</v>
      </c>
      <c r="I1" s="23">
        <v>7</v>
      </c>
      <c r="J1" s="27">
        <v>6</v>
      </c>
      <c r="K1" s="22">
        <v>2</v>
      </c>
      <c r="L1" s="22">
        <v>8</v>
      </c>
      <c r="N1" s="2">
        <v>15679</v>
      </c>
      <c r="O1" s="1">
        <v>1</v>
      </c>
    </row>
    <row r="2" spans="1:15" s="2" customFormat="1" ht="28.25" customHeight="1">
      <c r="A2" s="27">
        <v>5</v>
      </c>
      <c r="B2" s="23">
        <v>9</v>
      </c>
      <c r="C2" s="23">
        <v>5</v>
      </c>
      <c r="D2" s="23">
        <v>7</v>
      </c>
      <c r="E2" s="23">
        <v>7</v>
      </c>
      <c r="F2" s="23">
        <v>1</v>
      </c>
      <c r="G2" s="23">
        <v>9</v>
      </c>
      <c r="H2" s="23">
        <v>4</v>
      </c>
      <c r="I2" s="22">
        <v>9</v>
      </c>
      <c r="J2" s="27">
        <v>6</v>
      </c>
      <c r="K2" s="27">
        <v>4</v>
      </c>
      <c r="L2" s="23">
        <v>8</v>
      </c>
      <c r="N2" s="2">
        <v>3513</v>
      </c>
      <c r="O2" s="2">
        <v>1</v>
      </c>
    </row>
    <row r="3" spans="1:15" ht="28.25" customHeight="1">
      <c r="A3" s="22">
        <v>9</v>
      </c>
      <c r="B3" s="22">
        <v>8</v>
      </c>
      <c r="C3" s="23">
        <v>3</v>
      </c>
      <c r="D3" s="27">
        <v>6</v>
      </c>
      <c r="E3" s="27">
        <v>5</v>
      </c>
      <c r="F3" s="22">
        <v>3</v>
      </c>
      <c r="G3" s="23">
        <v>4</v>
      </c>
      <c r="H3" s="27">
        <v>2</v>
      </c>
      <c r="I3" s="22">
        <v>2</v>
      </c>
      <c r="J3" s="22">
        <v>3</v>
      </c>
      <c r="K3" s="27">
        <v>7</v>
      </c>
      <c r="L3" s="23">
        <v>7</v>
      </c>
      <c r="N3" s="2">
        <v>346811</v>
      </c>
      <c r="O3" s="1">
        <v>1</v>
      </c>
    </row>
    <row r="4" spans="1:15" ht="28.25" customHeight="1">
      <c r="A4" s="22">
        <v>2</v>
      </c>
      <c r="B4" s="27">
        <v>6</v>
      </c>
      <c r="C4" s="27">
        <v>3</v>
      </c>
      <c r="D4" s="23">
        <v>8</v>
      </c>
      <c r="E4" s="23">
        <v>8</v>
      </c>
      <c r="F4" s="23">
        <v>1</v>
      </c>
      <c r="G4" s="27">
        <v>6</v>
      </c>
      <c r="H4" s="27">
        <v>6</v>
      </c>
      <c r="I4" s="27">
        <v>5</v>
      </c>
      <c r="J4" s="22">
        <v>1</v>
      </c>
      <c r="K4" s="22">
        <v>8</v>
      </c>
      <c r="L4" s="23">
        <v>3</v>
      </c>
      <c r="N4" s="2">
        <v>21</v>
      </c>
      <c r="O4" s="1">
        <v>15</v>
      </c>
    </row>
    <row r="5" spans="1:15" ht="28.25" customHeight="1">
      <c r="A5" s="22">
        <v>7</v>
      </c>
      <c r="B5" s="27">
        <v>5</v>
      </c>
      <c r="C5" s="22">
        <v>7</v>
      </c>
      <c r="D5" s="22">
        <v>1</v>
      </c>
      <c r="E5" s="23">
        <v>9</v>
      </c>
      <c r="F5" s="23">
        <v>2</v>
      </c>
      <c r="G5" s="27">
        <v>4</v>
      </c>
      <c r="H5" s="23">
        <v>3</v>
      </c>
      <c r="I5" s="27">
        <v>6</v>
      </c>
      <c r="J5" s="23">
        <v>5</v>
      </c>
      <c r="K5" s="27">
        <v>3</v>
      </c>
      <c r="L5" s="27">
        <v>6</v>
      </c>
      <c r="N5" s="2">
        <v>72</v>
      </c>
      <c r="O5" s="1">
        <v>10</v>
      </c>
    </row>
    <row r="6" spans="1:15" ht="28.25" customHeight="1">
      <c r="A6" s="23">
        <v>9</v>
      </c>
      <c r="B6" s="22">
        <v>3</v>
      </c>
      <c r="C6" s="23">
        <v>1</v>
      </c>
      <c r="D6" s="23">
        <v>2</v>
      </c>
      <c r="E6" s="22">
        <v>2</v>
      </c>
      <c r="F6" s="22">
        <v>7</v>
      </c>
      <c r="G6" s="27">
        <v>4</v>
      </c>
      <c r="H6" s="23">
        <v>1</v>
      </c>
      <c r="I6" s="27">
        <v>5</v>
      </c>
      <c r="J6" s="23">
        <v>9</v>
      </c>
      <c r="K6" s="27">
        <v>6</v>
      </c>
      <c r="L6" s="27">
        <v>2</v>
      </c>
      <c r="N6" s="2">
        <v>99</v>
      </c>
      <c r="O6" s="1">
        <v>8</v>
      </c>
    </row>
    <row r="7" spans="1:15" ht="28.25" customHeight="1">
      <c r="A7" s="27">
        <v>5</v>
      </c>
      <c r="B7" s="23">
        <v>1</v>
      </c>
      <c r="C7" s="23">
        <v>2</v>
      </c>
      <c r="D7" s="23">
        <v>7</v>
      </c>
      <c r="E7" s="27">
        <v>4</v>
      </c>
      <c r="F7" s="27">
        <v>4</v>
      </c>
      <c r="G7" s="22">
        <v>1</v>
      </c>
      <c r="H7" s="23">
        <v>5</v>
      </c>
      <c r="I7" s="23">
        <v>1</v>
      </c>
      <c r="J7" s="23">
        <v>5</v>
      </c>
      <c r="K7" s="27">
        <v>4</v>
      </c>
      <c r="L7" s="27">
        <v>3</v>
      </c>
      <c r="N7" s="2">
        <v>9178133</v>
      </c>
      <c r="O7" s="1">
        <v>1</v>
      </c>
    </row>
    <row r="8" spans="1:15" ht="28.25" customHeight="1">
      <c r="A8" s="23">
        <v>9</v>
      </c>
      <c r="B8" s="22">
        <v>2</v>
      </c>
      <c r="C8" s="23">
        <v>7</v>
      </c>
      <c r="D8" s="22">
        <v>8</v>
      </c>
      <c r="E8" s="22">
        <v>8</v>
      </c>
      <c r="F8" s="27">
        <v>6</v>
      </c>
      <c r="G8" s="22">
        <v>2</v>
      </c>
      <c r="H8" s="23">
        <v>3</v>
      </c>
      <c r="I8" s="23">
        <v>1</v>
      </c>
      <c r="J8" s="23">
        <v>1</v>
      </c>
      <c r="K8" s="23">
        <v>9</v>
      </c>
      <c r="L8" s="27">
        <v>3</v>
      </c>
      <c r="N8" s="2">
        <v>57719</v>
      </c>
      <c r="O8" s="1">
        <v>1</v>
      </c>
    </row>
    <row r="9" spans="1:15" ht="28.25" customHeight="1">
      <c r="A9" s="23">
        <v>7</v>
      </c>
      <c r="B9" s="27">
        <v>4</v>
      </c>
      <c r="C9" s="27">
        <v>5</v>
      </c>
      <c r="D9" s="23">
        <v>8</v>
      </c>
      <c r="E9" s="22">
        <v>2</v>
      </c>
      <c r="F9" s="27">
        <v>5</v>
      </c>
      <c r="G9" s="23">
        <v>9</v>
      </c>
      <c r="H9" s="22">
        <v>1</v>
      </c>
      <c r="I9" s="23">
        <v>8</v>
      </c>
      <c r="J9" s="23">
        <v>6</v>
      </c>
      <c r="K9" s="23">
        <v>1</v>
      </c>
      <c r="L9" s="27">
        <v>8</v>
      </c>
      <c r="N9" s="2">
        <v>378</v>
      </c>
      <c r="O9" s="1">
        <v>2</v>
      </c>
    </row>
    <row r="10" spans="1:15" ht="28.25" customHeight="1">
      <c r="A10" s="23">
        <v>6</v>
      </c>
      <c r="B10" s="27">
        <v>1</v>
      </c>
      <c r="C10" s="27">
        <v>4</v>
      </c>
      <c r="D10" s="22">
        <v>2</v>
      </c>
      <c r="E10" s="23">
        <v>1</v>
      </c>
      <c r="F10" s="23">
        <v>9</v>
      </c>
      <c r="G10" s="27">
        <v>8</v>
      </c>
      <c r="H10" s="22">
        <v>9</v>
      </c>
      <c r="I10" s="23">
        <v>6</v>
      </c>
      <c r="J10" s="27">
        <v>7</v>
      </c>
      <c r="K10" s="23">
        <v>6</v>
      </c>
      <c r="L10" s="27">
        <v>7</v>
      </c>
      <c r="N10" s="2">
        <v>82</v>
      </c>
      <c r="O10" s="1">
        <v>12</v>
      </c>
    </row>
    <row r="11" spans="1:15" ht="28.25" customHeight="1">
      <c r="A11" s="23">
        <v>5</v>
      </c>
      <c r="B11" s="23">
        <v>5</v>
      </c>
      <c r="C11" s="23">
        <v>1</v>
      </c>
      <c r="D11" s="23">
        <v>9</v>
      </c>
      <c r="E11" s="23">
        <v>8</v>
      </c>
      <c r="F11" s="23">
        <v>3</v>
      </c>
      <c r="G11" s="27">
        <v>5</v>
      </c>
      <c r="H11" s="27">
        <v>3</v>
      </c>
      <c r="I11" s="23">
        <v>4</v>
      </c>
      <c r="J11" s="27">
        <v>1</v>
      </c>
      <c r="K11" s="27">
        <v>8</v>
      </c>
      <c r="L11" s="27">
        <v>7</v>
      </c>
      <c r="N11" s="2">
        <v>938</v>
      </c>
      <c r="O11" s="1">
        <v>3</v>
      </c>
    </row>
    <row r="12" spans="1:15" ht="28.25" customHeight="1">
      <c r="A12" s="23">
        <v>1</v>
      </c>
      <c r="B12" s="27">
        <v>6</v>
      </c>
      <c r="C12" s="27">
        <v>4</v>
      </c>
      <c r="D12" s="22">
        <v>9</v>
      </c>
      <c r="E12" s="22">
        <v>8</v>
      </c>
      <c r="F12" s="22">
        <v>2</v>
      </c>
      <c r="G12" s="23">
        <v>3</v>
      </c>
      <c r="H12" s="27">
        <v>5</v>
      </c>
      <c r="I12" s="23">
        <v>3</v>
      </c>
      <c r="J12" s="27">
        <v>8</v>
      </c>
      <c r="K12" s="27">
        <v>1</v>
      </c>
      <c r="L12" s="27">
        <v>5</v>
      </c>
      <c r="N12" s="2">
        <v>7441922</v>
      </c>
      <c r="O12" s="1">
        <v>1</v>
      </c>
    </row>
    <row r="13" spans="1:15" ht="28.25" customHeight="1">
      <c r="N13" s="2">
        <v>916</v>
      </c>
      <c r="O13" s="1">
        <v>1</v>
      </c>
    </row>
    <row r="14" spans="1:15" ht="28.25" customHeight="1">
      <c r="N14" s="2">
        <v>5198</v>
      </c>
      <c r="O14" s="1">
        <v>1</v>
      </c>
    </row>
    <row r="15" spans="1:15" ht="28.25" customHeight="1">
      <c r="N15" s="2">
        <v>59516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69"/>
  <sheetViews>
    <sheetView tabSelected="1" zoomScaleNormal="100" workbookViewId="0">
      <pane ySplit="2" topLeftCell="A165" activePane="bottomLeft" state="frozen"/>
      <selection pane="bottomLeft" activeCell="A169" sqref="A16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179</v>
      </c>
      <c r="L2" s="29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359</v>
      </c>
      <c r="I152" t="s">
        <v>360</v>
      </c>
      <c r="J152">
        <v>0</v>
      </c>
      <c r="K152">
        <f t="shared" ref="K152" si="332">IF(A152&lt;DATEVALUE("2025/11/20")+TIMEVALUE("6:00"),1,IF(B152-SUM(D152:F152)&lt;&gt;60,0,MAX(2-INT(G152*24*60/10),0)))</f>
        <v>2</v>
      </c>
      <c r="L152">
        <f t="shared" ref="L152" si="333">L151+K152</f>
        <v>158</v>
      </c>
      <c r="M152">
        <f t="shared" ref="M152" si="334">2+IF(A152&gt;=DATEVALUE("2025/11/30")+TIMEVALUE("6:00"),1,0)+IF(A152&gt;=DATEVALUE("2025/12/11")+TIMEVALUE("6:00"),1,0)</f>
        <v>4</v>
      </c>
      <c r="N152">
        <f t="shared" ref="N152" si="335">N151+M152*(INT(A152-6/24)-INT(A151-6/24))+O152</f>
        <v>160</v>
      </c>
      <c r="O152">
        <f t="shared" ref="O152" si="336">IF(A152&gt;=DATEVALUE("2025/11/8")+TIMEVALUE("6:00"),1,0)-IF(A151&gt;=DATEVALUE("2025/11/8")+TIMEVALUE("6:00"),1,0)</f>
        <v>0</v>
      </c>
      <c r="P152" t="str">
        <f t="shared" ref="P152" si="337">IF(L152&lt;N152,"未達成（"&amp;N152-L152&amp;"）",IF(L152=N152,"達成","前倒し（"&amp;L152-N152&amp;"）"))</f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361</v>
      </c>
      <c r="I153" t="s">
        <v>362</v>
      </c>
      <c r="J153">
        <v>0</v>
      </c>
      <c r="K153">
        <f t="shared" ref="K153" si="338">IF(A153&lt;DATEVALUE("2025/11/20")+TIMEVALUE("6:00"),1,IF(B153-SUM(D153:F153)&lt;&gt;60,0,MAX(2-INT(G153*24*60/10),0)))</f>
        <v>2</v>
      </c>
      <c r="L153">
        <f t="shared" ref="L153" si="339">L152+K153</f>
        <v>160</v>
      </c>
      <c r="M153">
        <f t="shared" ref="M153" si="340">2+IF(A153&gt;=DATEVALUE("2025/11/30")+TIMEVALUE("6:00"),1,0)+IF(A153&gt;=DATEVALUE("2025/12/11")+TIMEVALUE("6:00"),1,0)</f>
        <v>4</v>
      </c>
      <c r="N153">
        <f t="shared" ref="N153" si="341">N152+M153*(INT(A153-6/24)-INT(A152-6/24))+O153</f>
        <v>160</v>
      </c>
      <c r="O153">
        <f t="shared" ref="O153" si="342">IF(A153&gt;=DATEVALUE("2025/11/8")+TIMEVALUE("6:00"),1,0)-IF(A152&gt;=DATEVALUE("2025/11/8")+TIMEVALUE("6:00"),1,0)</f>
        <v>0</v>
      </c>
      <c r="P153" t="str">
        <f t="shared" ref="P153" si="343">IF(L153&lt;N153,"未達成（"&amp;N153-L153&amp;"）",IF(L153=N153,"達成","前倒し（"&amp;L153-N153&amp;"）"))</f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363</v>
      </c>
      <c r="I154" t="s">
        <v>364</v>
      </c>
      <c r="J154">
        <v>0</v>
      </c>
      <c r="K154">
        <f t="shared" ref="K154" si="344">IF(A154&lt;DATEVALUE("2025/11/20")+TIMEVALUE("6:00"),1,IF(B154-SUM(D154:F154)&lt;&gt;60,0,MAX(2-INT(G154*24*60/10),0)))</f>
        <v>1</v>
      </c>
      <c r="L154">
        <f t="shared" ref="L154" si="345">L153+K154</f>
        <v>161</v>
      </c>
      <c r="M154">
        <f t="shared" ref="M154" si="346">2+IF(A154&gt;=DATEVALUE("2025/11/30")+TIMEVALUE("6:00"),1,0)+IF(A154&gt;=DATEVALUE("2025/12/11")+TIMEVALUE("6:00"),1,0)</f>
        <v>4</v>
      </c>
      <c r="N154">
        <f t="shared" ref="N154" si="347">N153+M154*(INT(A154-6/24)-INT(A153-6/24))+O154</f>
        <v>164</v>
      </c>
      <c r="O154">
        <f t="shared" ref="O154" si="348">IF(A154&gt;=DATEVALUE("2025/11/8")+TIMEVALUE("6:00"),1,0)-IF(A153&gt;=DATEVALUE("2025/11/8")+TIMEVALUE("6:00"),1,0)</f>
        <v>0</v>
      </c>
      <c r="P154" t="str">
        <f t="shared" ref="P154" si="349">IF(L154&lt;N154,"未達成（"&amp;N154-L154&amp;"）",IF(L154=N154,"達成","前倒し（"&amp;L154-N154&amp;"）"))</f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365</v>
      </c>
      <c r="I155" t="s">
        <v>366</v>
      </c>
      <c r="J155">
        <v>0</v>
      </c>
      <c r="K155">
        <f t="shared" ref="K155" si="350">IF(A155&lt;DATEVALUE("2025/11/20")+TIMEVALUE("6:00"),1,IF(B155-SUM(D155:F155)&lt;&gt;60,0,MAX(2-INT(G155*24*60/10),0)))</f>
        <v>2</v>
      </c>
      <c r="L155">
        <f t="shared" ref="L155" si="351">L154+K155</f>
        <v>163</v>
      </c>
      <c r="M155">
        <f t="shared" ref="M155" si="352">2+IF(A155&gt;=DATEVALUE("2025/11/30")+TIMEVALUE("6:00"),1,0)+IF(A155&gt;=DATEVALUE("2025/12/11")+TIMEVALUE("6:00"),1,0)</f>
        <v>4</v>
      </c>
      <c r="N155">
        <f t="shared" ref="N155" si="353">N154+M155*(INT(A155-6/24)-INT(A154-6/24))+O155</f>
        <v>164</v>
      </c>
      <c r="O155">
        <f t="shared" ref="O155" si="354">IF(A155&gt;=DATEVALUE("2025/11/8")+TIMEVALUE("6:00"),1,0)-IF(A154&gt;=DATEVALUE("2025/11/8")+TIMEVALUE("6:00"),1,0)</f>
        <v>0</v>
      </c>
      <c r="P155" t="str">
        <f t="shared" ref="P155" si="355">IF(L155&lt;N155,"未達成（"&amp;N155-L155&amp;"）",IF(L155=N155,"達成","前倒し（"&amp;L155-N155&amp;"）"))</f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367</v>
      </c>
      <c r="I156" t="s">
        <v>368</v>
      </c>
      <c r="J156">
        <v>0</v>
      </c>
      <c r="K156">
        <f t="shared" ref="K156" si="356">IF(A156&lt;DATEVALUE("2025/11/20")+TIMEVALUE("6:00"),1,IF(B156-SUM(D156:F156)&lt;&gt;60,0,MAX(2-INT(G156*24*60/10),0)))</f>
        <v>2</v>
      </c>
      <c r="L156">
        <f t="shared" ref="L156" si="357">L155+K156</f>
        <v>165</v>
      </c>
      <c r="M156">
        <f t="shared" ref="M156" si="358">2+IF(A156&gt;=DATEVALUE("2025/11/30")+TIMEVALUE("6:00"),1,0)+IF(A156&gt;=DATEVALUE("2025/12/11")+TIMEVALUE("6:00"),1,0)</f>
        <v>4</v>
      </c>
      <c r="N156">
        <f t="shared" ref="N156" si="359">N155+M156*(INT(A156-6/24)-INT(A155-6/24))+O156</f>
        <v>164</v>
      </c>
      <c r="O156">
        <f t="shared" ref="O156" si="360">IF(A156&gt;=DATEVALUE("2025/11/8")+TIMEVALUE("6:00"),1,0)-IF(A155&gt;=DATEVALUE("2025/11/8")+TIMEVALUE("6:00"),1,0)</f>
        <v>0</v>
      </c>
      <c r="P156" t="str">
        <f t="shared" ref="P156" si="361">IF(L156&lt;N156,"未達成（"&amp;N156-L156&amp;"）",IF(L156=N156,"達成","前倒し（"&amp;L156-N156&amp;"）"))</f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369</v>
      </c>
      <c r="I157" t="s">
        <v>370</v>
      </c>
      <c r="J157">
        <v>0</v>
      </c>
      <c r="K157">
        <f t="shared" ref="K157" si="362">IF(A157&lt;DATEVALUE("2025/11/20")+TIMEVALUE("6:00"),1,IF(B157-SUM(D157:F157)&lt;&gt;60,0,MAX(2-INT(G157*24*60/10),0)))</f>
        <v>2</v>
      </c>
      <c r="L157">
        <f t="shared" ref="L157" si="363">L156+K157</f>
        <v>167</v>
      </c>
      <c r="M157">
        <f t="shared" ref="M157" si="364">2+IF(A157&gt;=DATEVALUE("2025/11/30")+TIMEVALUE("6:00"),1,0)+IF(A157&gt;=DATEVALUE("2025/12/11")+TIMEVALUE("6:00"),1,0)</f>
        <v>4</v>
      </c>
      <c r="N157">
        <f t="shared" ref="N157" si="365">N156+M157*(INT(A157-6/24)-INT(A156-6/24))+O157</f>
        <v>168</v>
      </c>
      <c r="O157">
        <f t="shared" ref="O157" si="366">IF(A157&gt;=DATEVALUE("2025/11/8")+TIMEVALUE("6:00"),1,0)-IF(A156&gt;=DATEVALUE("2025/11/8")+TIMEVALUE("6:00"),1,0)</f>
        <v>0</v>
      </c>
      <c r="P157" t="str">
        <f t="shared" ref="P157" si="367">IF(L157&lt;N157,"未達成（"&amp;N157-L157&amp;"）",IF(L157=N157,"達成","前倒し（"&amp;L157-N157&amp;"）"))</f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371</v>
      </c>
      <c r="I158" t="s">
        <v>372</v>
      </c>
      <c r="J158">
        <v>0</v>
      </c>
      <c r="K158">
        <f t="shared" ref="K158" si="368">IF(A158&lt;DATEVALUE("2025/11/20")+TIMEVALUE("6:00"),1,IF(B158-SUM(D158:F158)&lt;&gt;60,0,MAX(2-INT(G158*24*60/10),0)))</f>
        <v>1</v>
      </c>
      <c r="L158">
        <f t="shared" ref="L158" si="369">L157+K158</f>
        <v>168</v>
      </c>
      <c r="M158">
        <f t="shared" ref="M158" si="370">2+IF(A158&gt;=DATEVALUE("2025/11/30")+TIMEVALUE("6:00"),1,0)+IF(A158&gt;=DATEVALUE("2025/12/11")+TIMEVALUE("6:00"),1,0)</f>
        <v>4</v>
      </c>
      <c r="N158">
        <f t="shared" ref="N158" si="371">N157+M158*(INT(A158-6/24)-INT(A157-6/24))+O158</f>
        <v>168</v>
      </c>
      <c r="O158">
        <f t="shared" ref="O158" si="372">IF(A158&gt;=DATEVALUE("2025/11/8")+TIMEVALUE("6:00"),1,0)-IF(A157&gt;=DATEVALUE("2025/11/8")+TIMEVALUE("6:00"),1,0)</f>
        <v>0</v>
      </c>
      <c r="P158" t="str">
        <f t="shared" ref="P158" si="373">IF(L158&lt;N158,"未達成（"&amp;N158-L158&amp;"）",IF(L158=N158,"達成","前倒し（"&amp;L158-N158&amp;"）"))</f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373</v>
      </c>
      <c r="I159" t="s">
        <v>374</v>
      </c>
      <c r="J159">
        <v>0</v>
      </c>
      <c r="K159">
        <f t="shared" ref="K159" si="374">IF(A159&lt;DATEVALUE("2025/11/20")+TIMEVALUE("6:00"),1,IF(B159-SUM(D159:F159)&lt;&gt;60,0,MAX(2-INT(G159*24*60/10),0)))</f>
        <v>1</v>
      </c>
      <c r="L159">
        <f t="shared" ref="L159" si="375">L158+K159</f>
        <v>169</v>
      </c>
      <c r="M159">
        <f t="shared" ref="M159" si="376">2+IF(A159&gt;=DATEVALUE("2025/11/30")+TIMEVALUE("6:00"),1,0)+IF(A159&gt;=DATEVALUE("2025/12/11")+TIMEVALUE("6:00"),1,0)</f>
        <v>4</v>
      </c>
      <c r="N159">
        <f t="shared" ref="N159" si="377">N158+M159*(INT(A159-6/24)-INT(A158-6/24))+O159</f>
        <v>172</v>
      </c>
      <c r="O159">
        <f t="shared" ref="O159" si="378">IF(A159&gt;=DATEVALUE("2025/11/8")+TIMEVALUE("6:00"),1,0)-IF(A158&gt;=DATEVALUE("2025/11/8")+TIMEVALUE("6:00"),1,0)</f>
        <v>0</v>
      </c>
      <c r="P159" t="str">
        <f t="shared" ref="P159" si="379">IF(L159&lt;N159,"未達成（"&amp;N159-L159&amp;"）",IF(L159=N159,"達成","前倒し（"&amp;L159-N159&amp;"）"))</f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375</v>
      </c>
      <c r="I160" t="s">
        <v>376</v>
      </c>
      <c r="J160">
        <v>0</v>
      </c>
      <c r="K160">
        <f t="shared" ref="K160" si="380">IF(A160&lt;DATEVALUE("2025/11/20")+TIMEVALUE("6:00"),1,IF(B160-SUM(D160:F160)&lt;&gt;60,0,MAX(2-INT(G160*24*60/10),0)))</f>
        <v>2</v>
      </c>
      <c r="L160">
        <f t="shared" ref="L160" si="381">L159+K160</f>
        <v>171</v>
      </c>
      <c r="M160">
        <f t="shared" ref="M160" si="382">2+IF(A160&gt;=DATEVALUE("2025/11/30")+TIMEVALUE("6:00"),1,0)+IF(A160&gt;=DATEVALUE("2025/12/11")+TIMEVALUE("6:00"),1,0)</f>
        <v>4</v>
      </c>
      <c r="N160">
        <f t="shared" ref="N160" si="383">N159+M160*(INT(A160-6/24)-INT(A159-6/24))+O160</f>
        <v>172</v>
      </c>
      <c r="O160">
        <f t="shared" ref="O160" si="384">IF(A160&gt;=DATEVALUE("2025/11/8")+TIMEVALUE("6:00"),1,0)-IF(A159&gt;=DATEVALUE("2025/11/8")+TIMEVALUE("6:00"),1,0)</f>
        <v>0</v>
      </c>
      <c r="P160" t="str">
        <f t="shared" ref="P160" si="385">IF(L160&lt;N160,"未達成（"&amp;N160-L160&amp;"）",IF(L160=N160,"達成","前倒し（"&amp;L160-N160&amp;"）"))</f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377</v>
      </c>
      <c r="I161" t="s">
        <v>378</v>
      </c>
      <c r="J161">
        <v>0</v>
      </c>
      <c r="K161">
        <f t="shared" ref="K161" si="386">IF(A161&lt;DATEVALUE("2025/11/20")+TIMEVALUE("6:00"),1,IF(B161-SUM(D161:F161)&lt;&gt;60,0,MAX(2-INT(G161*24*60/10),0)))</f>
        <v>1</v>
      </c>
      <c r="L161">
        <f t="shared" ref="L161" si="387">L160+K161</f>
        <v>172</v>
      </c>
      <c r="M161">
        <f t="shared" ref="M161" si="388">2+IF(A161&gt;=DATEVALUE("2025/11/30")+TIMEVALUE("6:00"),1,0)+IF(A161&gt;=DATEVALUE("2025/12/11")+TIMEVALUE("6:00"),1,0)</f>
        <v>4</v>
      </c>
      <c r="N161">
        <f t="shared" ref="N161" si="389">N160+M161*(INT(A161-6/24)-INT(A160-6/24))+O161</f>
        <v>172</v>
      </c>
      <c r="O161">
        <f t="shared" ref="O161" si="390">IF(A161&gt;=DATEVALUE("2025/11/8")+TIMEVALUE("6:00"),1,0)-IF(A160&gt;=DATEVALUE("2025/11/8")+TIMEVALUE("6:00"),1,0)</f>
        <v>0</v>
      </c>
      <c r="P161" t="str">
        <f t="shared" ref="P161" si="391">IF(L161&lt;N161,"未達成（"&amp;N161-L161&amp;"）",IF(L161=N161,"達成","前倒し（"&amp;L161-N161&amp;"）"))</f>
        <v>達成</v>
      </c>
    </row>
    <row r="162" spans="1:16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379</v>
      </c>
      <c r="I162" t="s">
        <v>380</v>
      </c>
      <c r="J162">
        <v>0</v>
      </c>
      <c r="K162">
        <f t="shared" ref="K162" si="392">IF(A162&lt;DATEVALUE("2025/11/20")+TIMEVALUE("6:00"),1,IF(B162-SUM(D162:F162)&lt;&gt;60,0,MAX(2-INT(G162*24*60/10),0)))</f>
        <v>2</v>
      </c>
      <c r="L162">
        <f t="shared" ref="L162" si="393">L161+K162</f>
        <v>174</v>
      </c>
      <c r="M162">
        <f t="shared" ref="M162" si="394">2+IF(A162&gt;=DATEVALUE("2025/11/30")+TIMEVALUE("6:00"),1,0)+IF(A162&gt;=DATEVALUE("2025/12/11")+TIMEVALUE("6:00"),1,0)</f>
        <v>4</v>
      </c>
      <c r="N162">
        <f t="shared" ref="N162" si="395">N161+M162*(INT(A162-6/24)-INT(A161-6/24))+O162</f>
        <v>176</v>
      </c>
      <c r="O162">
        <f t="shared" ref="O162" si="396">IF(A162&gt;=DATEVALUE("2025/11/8")+TIMEVALUE("6:00"),1,0)-IF(A161&gt;=DATEVALUE("2025/11/8")+TIMEVALUE("6:00"),1,0)</f>
        <v>0</v>
      </c>
      <c r="P162" t="str">
        <f t="shared" ref="P162" si="397">IF(L162&lt;N162,"未達成（"&amp;N162-L162&amp;"）",IF(L162=N162,"達成","前倒し（"&amp;L162-N162&amp;"）"))</f>
        <v>未達成（2）</v>
      </c>
    </row>
    <row r="163" spans="1:16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381</v>
      </c>
      <c r="I163" t="s">
        <v>382</v>
      </c>
      <c r="J163">
        <v>0</v>
      </c>
      <c r="K163">
        <f t="shared" ref="K163" si="398">IF(A163&lt;DATEVALUE("2025/11/20")+TIMEVALUE("6:00"),1,IF(B163-SUM(D163:F163)&lt;&gt;60,0,MAX(2-INT(G163*24*60/10),0)))</f>
        <v>1</v>
      </c>
      <c r="L163">
        <f t="shared" ref="L163" si="399">L162+K163</f>
        <v>175</v>
      </c>
      <c r="M163">
        <f t="shared" ref="M163" si="400">2+IF(A163&gt;=DATEVALUE("2025/11/30")+TIMEVALUE("6:00"),1,0)+IF(A163&gt;=DATEVALUE("2025/12/11")+TIMEVALUE("6:00"),1,0)</f>
        <v>4</v>
      </c>
      <c r="N163">
        <f t="shared" ref="N163" si="401">N162+M163*(INT(A163-6/24)-INT(A162-6/24))+O163</f>
        <v>176</v>
      </c>
      <c r="O163">
        <f t="shared" ref="O163" si="402">IF(A163&gt;=DATEVALUE("2025/11/8")+TIMEVALUE("6:00"),1,0)-IF(A162&gt;=DATEVALUE("2025/11/8")+TIMEVALUE("6:00"),1,0)</f>
        <v>0</v>
      </c>
      <c r="P163" t="str">
        <f t="shared" ref="P163" si="403">IF(L163&lt;N163,"未達成（"&amp;N163-L163&amp;"）",IF(L163=N163,"達成","前倒し（"&amp;L163-N163&amp;"）"))</f>
        <v>未達成（1）</v>
      </c>
    </row>
    <row r="164" spans="1:16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383</v>
      </c>
      <c r="I164" t="s">
        <v>384</v>
      </c>
      <c r="J164">
        <v>0</v>
      </c>
      <c r="K164">
        <f t="shared" ref="K164" si="404">IF(A164&lt;DATEVALUE("2025/11/20")+TIMEVALUE("6:00"),1,IF(B164-SUM(D164:F164)&lt;&gt;60,0,MAX(2-INT(G164*24*60/10),0)))</f>
        <v>2</v>
      </c>
      <c r="L164">
        <f t="shared" ref="L164" si="405">L163+K164</f>
        <v>177</v>
      </c>
      <c r="M164">
        <f t="shared" ref="M164" si="406">2+IF(A164&gt;=DATEVALUE("2025/11/30")+TIMEVALUE("6:00"),1,0)+IF(A164&gt;=DATEVALUE("2025/12/11")+TIMEVALUE("6:00"),1,0)</f>
        <v>4</v>
      </c>
      <c r="N164">
        <f t="shared" ref="N164" si="407">N163+M164*(INT(A164-6/24)-INT(A163-6/24))+O164</f>
        <v>176</v>
      </c>
      <c r="O164">
        <f t="shared" ref="O164" si="408">IF(A164&gt;=DATEVALUE("2025/11/8")+TIMEVALUE("6:00"),1,0)-IF(A163&gt;=DATEVALUE("2025/11/8")+TIMEVALUE("6:00"),1,0)</f>
        <v>0</v>
      </c>
      <c r="P164" t="str">
        <f t="shared" ref="P164" si="409">IF(L164&lt;N164,"未達成（"&amp;N164-L164&amp;"）",IF(L164=N164,"達成","前倒し（"&amp;L164-N164&amp;"）"))</f>
        <v>前倒し（1）</v>
      </c>
    </row>
    <row r="165" spans="1:16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385</v>
      </c>
      <c r="I165" t="s">
        <v>386</v>
      </c>
      <c r="J165">
        <v>0</v>
      </c>
      <c r="K165">
        <f t="shared" ref="K165" si="410">IF(A165&lt;DATEVALUE("2025/11/20")+TIMEVALUE("6:00"),1,IF(B165-SUM(D165:F165)&lt;&gt;60,0,MAX(2-INT(G165*24*60/10),0)))</f>
        <v>1</v>
      </c>
      <c r="L165">
        <f t="shared" ref="L165" si="411">L164+K165</f>
        <v>178</v>
      </c>
      <c r="M165">
        <f t="shared" ref="M165" si="412">2+IF(A165&gt;=DATEVALUE("2025/11/30")+TIMEVALUE("6:00"),1,0)+IF(A165&gt;=DATEVALUE("2025/12/11")+TIMEVALUE("6:00"),1,0)</f>
        <v>4</v>
      </c>
      <c r="N165">
        <f t="shared" ref="N165" si="413">N164+M165*(INT(A165-6/24)-INT(A164-6/24))+O165</f>
        <v>180</v>
      </c>
      <c r="O165">
        <f t="shared" ref="O165" si="414">IF(A165&gt;=DATEVALUE("2025/11/8")+TIMEVALUE("6:00"),1,0)-IF(A164&gt;=DATEVALUE("2025/11/8")+TIMEVALUE("6:00"),1,0)</f>
        <v>0</v>
      </c>
      <c r="P165" t="str">
        <f t="shared" ref="P165" si="415">IF(L165&lt;N165,"未達成（"&amp;N165-L165&amp;"）",IF(L165=N165,"達成","前倒し（"&amp;L165-N165&amp;"）"))</f>
        <v>未達成（2）</v>
      </c>
    </row>
    <row r="166" spans="1:16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387</v>
      </c>
      <c r="I166" t="s">
        <v>388</v>
      </c>
      <c r="J166">
        <v>0</v>
      </c>
      <c r="K166">
        <f t="shared" ref="K166" si="416">IF(A166&lt;DATEVALUE("2025/11/20")+TIMEVALUE("6:00"),1,IF(B166-SUM(D166:F166)&lt;&gt;60,0,MAX(2-INT(G166*24*60/10),0)))</f>
        <v>1</v>
      </c>
      <c r="L166">
        <f t="shared" ref="L166" si="417">L165+K166</f>
        <v>179</v>
      </c>
      <c r="M166">
        <f t="shared" ref="M166" si="418">2+IF(A166&gt;=DATEVALUE("2025/11/30")+TIMEVALUE("6:00"),1,0)+IF(A166&gt;=DATEVALUE("2025/12/11")+TIMEVALUE("6:00"),1,0)</f>
        <v>4</v>
      </c>
      <c r="N166">
        <f t="shared" ref="N166" si="419">N165+M166*(INT(A166-6/24)-INT(A165-6/24))+O166</f>
        <v>180</v>
      </c>
      <c r="O166">
        <f t="shared" ref="O166" si="420">IF(A166&gt;=DATEVALUE("2025/11/8")+TIMEVALUE("6:00"),1,0)-IF(A165&gt;=DATEVALUE("2025/11/8")+TIMEVALUE("6:00"),1,0)</f>
        <v>0</v>
      </c>
      <c r="P166" t="str">
        <f t="shared" ref="P166" si="421">IF(L166&lt;N166,"未達成（"&amp;N166-L166&amp;"）",IF(L166=N166,"達成","前倒し（"&amp;L166-N166&amp;"）"))</f>
        <v>未達成（1）</v>
      </c>
    </row>
    <row r="167" spans="1:16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389</v>
      </c>
      <c r="I167" t="s">
        <v>390</v>
      </c>
      <c r="J167">
        <v>0</v>
      </c>
      <c r="K167">
        <f t="shared" ref="K167" si="422">IF(A167&lt;DATEVALUE("2025/11/20")+TIMEVALUE("6:00"),1,IF(B167-SUM(D167:F167)&lt;&gt;60,0,MAX(2-INT(G167*24*60/10),0)))</f>
        <v>2</v>
      </c>
      <c r="L167">
        <f t="shared" ref="L167" si="423">L166+K167</f>
        <v>181</v>
      </c>
      <c r="M167">
        <f t="shared" ref="M167" si="424">2+IF(A167&gt;=DATEVALUE("2025/11/30")+TIMEVALUE("6:00"),1,0)+IF(A167&gt;=DATEVALUE("2025/12/11")+TIMEVALUE("6:00"),1,0)</f>
        <v>4</v>
      </c>
      <c r="N167">
        <f t="shared" ref="N167" si="425">N166+M167*(INT(A167-6/24)-INT(A166-6/24))+O167</f>
        <v>180</v>
      </c>
      <c r="O167">
        <f t="shared" ref="O167" si="426">IF(A167&gt;=DATEVALUE("2025/11/8")+TIMEVALUE("6:00"),1,0)-IF(A166&gt;=DATEVALUE("2025/11/8")+TIMEVALUE("6:00"),1,0)</f>
        <v>0</v>
      </c>
      <c r="P167" t="str">
        <f t="shared" ref="P167" si="427">IF(L167&lt;N167,"未達成（"&amp;N167-L167&amp;"）",IF(L167=N167,"達成","前倒し（"&amp;L167-N167&amp;"）"))</f>
        <v>前倒し（1）</v>
      </c>
    </row>
    <row r="168" spans="1:16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392</v>
      </c>
      <c r="I168" t="s">
        <v>391</v>
      </c>
      <c r="J168">
        <v>0</v>
      </c>
      <c r="K168">
        <f t="shared" ref="K168" si="428">IF(A168&lt;DATEVALUE("2025/11/20")+TIMEVALUE("6:00"),1,IF(B168-SUM(D168:F168)&lt;&gt;60,0,MAX(2-INT(G168*24*60/10),0)))</f>
        <v>1</v>
      </c>
      <c r="L168">
        <f t="shared" ref="L168" si="429">L167+K168</f>
        <v>182</v>
      </c>
      <c r="M168">
        <f t="shared" ref="M168" si="430">2+IF(A168&gt;=DATEVALUE("2025/11/30")+TIMEVALUE("6:00"),1,0)+IF(A168&gt;=DATEVALUE("2025/12/11")+TIMEVALUE("6:00"),1,0)</f>
        <v>4</v>
      </c>
      <c r="N168">
        <f t="shared" ref="N168" si="431">N167+M168*(INT(A168-6/24)-INT(A167-6/24))+O168</f>
        <v>184</v>
      </c>
      <c r="O168">
        <f t="shared" ref="O168" si="432">IF(A168&gt;=DATEVALUE("2025/11/8")+TIMEVALUE("6:00"),1,0)-IF(A167&gt;=DATEVALUE("2025/11/8")+TIMEVALUE("6:00"),1,0)</f>
        <v>0</v>
      </c>
      <c r="P168" t="str">
        <f t="shared" ref="P168" si="433">IF(L168&lt;N168,"未達成（"&amp;N168-L168&amp;"）",IF(L168=N168,"達成","前倒し（"&amp;L168-N168&amp;"）"))</f>
        <v>未達成（2）</v>
      </c>
    </row>
    <row r="169" spans="1:16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393</v>
      </c>
      <c r="I169" t="s">
        <v>394</v>
      </c>
      <c r="J169">
        <v>0</v>
      </c>
      <c r="K169">
        <f t="shared" ref="K169" si="434">IF(A169&lt;DATEVALUE("2025/11/20")+TIMEVALUE("6:00"),1,IF(B169-SUM(D169:F169)&lt;&gt;60,0,MAX(2-INT(G169*24*60/10),0)))</f>
        <v>2</v>
      </c>
      <c r="L169">
        <f t="shared" ref="L169" si="435">L168+K169</f>
        <v>184</v>
      </c>
      <c r="M169">
        <f t="shared" ref="M169" si="436">2+IF(A169&gt;=DATEVALUE("2025/11/30")+TIMEVALUE("6:00"),1,0)+IF(A169&gt;=DATEVALUE("2025/12/11")+TIMEVALUE("6:00"),1,0)</f>
        <v>4</v>
      </c>
      <c r="N169">
        <f t="shared" ref="N169" si="437">N168+M169*(INT(A169-6/24)-INT(A168-6/24))+O169</f>
        <v>184</v>
      </c>
      <c r="O169">
        <f t="shared" ref="O169" si="438">IF(A169&gt;=DATEVALUE("2025/11/8")+TIMEVALUE("6:00"),1,0)-IF(A168&gt;=DATEVALUE("2025/11/8")+TIMEVALUE("6:00"),1,0)</f>
        <v>0</v>
      </c>
      <c r="P169" t="str">
        <f t="shared" ref="P169" si="439">IF(L169&lt;N169,"未達成（"&amp;N169-L169&amp;"）",IF(L169=N169,"達成","前倒し（"&amp;L169-N169&amp;"）"))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46025.612280092595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2026-01-03T05:51:51Z</dcterms:modified>
</cp:coreProperties>
</file>
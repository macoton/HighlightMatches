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BD910BA5-5483-48EB-90FC-6BF2EDA2C6A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8" i="4" l="1"/>
  <c r="M158" i="4"/>
  <c r="N158" i="4" s="1"/>
  <c r="K158" i="4"/>
  <c r="L158" i="4" s="1"/>
  <c r="O157" i="4"/>
  <c r="M157" i="4"/>
  <c r="N157" i="4" s="1"/>
  <c r="K157" i="4"/>
  <c r="L157" i="4" s="1"/>
  <c r="P157" i="4" s="1"/>
  <c r="O156" i="4"/>
  <c r="M156" i="4"/>
  <c r="N156" i="4" s="1"/>
  <c r="K156" i="4"/>
  <c r="L156" i="4" s="1"/>
  <c r="O155" i="4"/>
  <c r="M155" i="4"/>
  <c r="N155" i="4" s="1"/>
  <c r="K155" i="4"/>
  <c r="L155" i="4" s="1"/>
  <c r="O154" i="4"/>
  <c r="M154" i="4"/>
  <c r="N154" i="4" s="1"/>
  <c r="K154" i="4"/>
  <c r="L154" i="4" s="1"/>
  <c r="O153" i="4"/>
  <c r="M153" i="4"/>
  <c r="N153" i="4" s="1"/>
  <c r="K153" i="4"/>
  <c r="L153" i="4" s="1"/>
  <c r="O152" i="4"/>
  <c r="M152" i="4"/>
  <c r="N152" i="4" s="1"/>
  <c r="K152" i="4"/>
  <c r="L152" i="4" s="1"/>
  <c r="P152" i="4" s="1"/>
  <c r="O151" i="4"/>
  <c r="M151" i="4"/>
  <c r="N151" i="4" s="1"/>
  <c r="K151" i="4"/>
  <c r="L151" i="4" s="1"/>
  <c r="O150" i="4"/>
  <c r="M150" i="4"/>
  <c r="N150" i="4" s="1"/>
  <c r="K150" i="4"/>
  <c r="L150" i="4" s="1"/>
  <c r="O149" i="4"/>
  <c r="M149" i="4"/>
  <c r="N149" i="4" s="1"/>
  <c r="K149" i="4"/>
  <c r="L149" i="4" s="1"/>
  <c r="O148" i="4"/>
  <c r="M148" i="4"/>
  <c r="N148" i="4" s="1"/>
  <c r="K148" i="4"/>
  <c r="L148" i="4" s="1"/>
  <c r="P148" i="4" s="1"/>
  <c r="O147" i="4"/>
  <c r="M147" i="4"/>
  <c r="N147" i="4" s="1"/>
  <c r="K147" i="4"/>
  <c r="L147" i="4" s="1"/>
  <c r="O146" i="4"/>
  <c r="M146" i="4"/>
  <c r="N146" i="4" s="1"/>
  <c r="K146" i="4"/>
  <c r="L146" i="4" s="1"/>
  <c r="P146" i="4" s="1"/>
  <c r="O145" i="4"/>
  <c r="M145" i="4"/>
  <c r="N145" i="4" s="1"/>
  <c r="K145" i="4"/>
  <c r="L145" i="4" s="1"/>
  <c r="O144" i="4"/>
  <c r="M144" i="4"/>
  <c r="N144" i="4" s="1"/>
  <c r="K144" i="4"/>
  <c r="L144" i="4" s="1"/>
  <c r="O143" i="4"/>
  <c r="M143" i="4"/>
  <c r="N143" i="4" s="1"/>
  <c r="K143" i="4"/>
  <c r="L143" i="4" s="1"/>
  <c r="P143" i="4" s="1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58" i="4" l="1"/>
  <c r="P156" i="4"/>
  <c r="P155" i="4"/>
  <c r="P154" i="4"/>
  <c r="P153" i="4"/>
  <c r="P151" i="4"/>
  <c r="P150" i="4"/>
  <c r="P149" i="4"/>
  <c r="P147" i="4"/>
  <c r="P145" i="4"/>
  <c r="P144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<sst xmlns="http://schemas.openxmlformats.org/spreadsheetml/2006/main" count="392" uniqueCount="373">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</sst>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データ!$P$2:$P$157</c:f>
              <c:strCache>
                <c:ptCount val="156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データ!$A$3:$A$158</c:f>
              <c:numCache>
                <c:formatCode>m/d/yyyy\ h:mm</c:formatCode>
                <c:ptCount val="15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</c:numCache>
            </c:numRef>
          </c:xVal>
          <c:yVal>
            <c:numRef>
              <c:f>データ!$B$3:$B$158</c:f>
              <c:numCache>
                <c:formatCode>General</c:formatCode>
                <c:ptCount val="15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A-4CD2-B207-DC7BB23BEB8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D8A-4CD2-B207-DC7BB23BE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475216"/>
        <c:axId val="76647377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データ!$A$3:$A$158</c:f>
              <c:numCache>
                <c:formatCode>m/d/yyyy\ h:mm</c:formatCode>
                <c:ptCount val="15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</c:numCache>
            </c:numRef>
          </c:xVal>
          <c:yVal>
            <c:numRef>
              <c:f>データ!$G$3:$G$158</c:f>
              <c:numCache>
                <c:formatCode>[h]:mm</c:formatCode>
                <c:ptCount val="15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8A-4CD2-B207-DC7BB23BE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516496"/>
        <c:axId val="766517936"/>
      </c:scatterChart>
      <c:valAx>
        <c:axId val="76647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473776"/>
        <c:crosses val="autoZero"/>
        <c:crossBetween val="midCat"/>
      </c:valAx>
      <c:valAx>
        <c:axId val="7664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475216"/>
        <c:crosses val="autoZero"/>
        <c:crossBetween val="midCat"/>
      </c:valAx>
      <c:valAx>
        <c:axId val="76651793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516496"/>
        <c:crosses val="max"/>
        <c:crossBetween val="midCat"/>
      </c:valAx>
      <c:valAx>
        <c:axId val="76651649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51793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57" name="Match0">
          <a:extLst>
            <a:ext uri="{FF2B5EF4-FFF2-40B4-BE49-F238E27FC236}">
              <a16:creationId xmlns:a16="http://schemas.microsoft.com/office/drawing/2014/main" id="{BC654380-22CF-2675-CAAF-912127DD271B}"/>
            </a:ext>
          </a:extLst>
        </xdr:cNvPr>
        <xdr:cNvCxnSpPr/>
      </xdr:nvCxnSpPr>
      <xdr:spPr>
        <a:xfrm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61" name="Match1">
          <a:extLst>
            <a:ext uri="{FF2B5EF4-FFF2-40B4-BE49-F238E27FC236}">
              <a16:creationId xmlns:a16="http://schemas.microsoft.com/office/drawing/2014/main" id="{3C49D581-7D12-F80F-10DF-812F11662AF5}"/>
            </a:ext>
          </a:extLst>
        </xdr:cNvPr>
        <xdr:cNvCxnSpPr/>
      </xdr:nvCxnSpPr>
      <xdr:spPr>
        <a:xfrm flipH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1064" name="Match2">
          <a:extLst>
            <a:ext uri="{FF2B5EF4-FFF2-40B4-BE49-F238E27FC236}">
              <a16:creationId xmlns:a16="http://schemas.microsoft.com/office/drawing/2014/main" id="{8FE91B54-0AC7-0A01-5EE3-93BFB1B5D3CC}"/>
            </a:ext>
          </a:extLst>
        </xdr:cNvPr>
        <xdr:cNvCxnSpPr/>
      </xdr:nvCxnSpPr>
      <xdr:spPr>
        <a:xfrm flipV="1">
          <a:off x="15089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065" name="Match3">
          <a:extLst>
            <a:ext uri="{FF2B5EF4-FFF2-40B4-BE49-F238E27FC236}">
              <a16:creationId xmlns:a16="http://schemas.microsoft.com/office/drawing/2014/main" id="{065B930B-510B-7494-9804-9EA2515AB8FE}"/>
            </a:ext>
          </a:extLst>
        </xdr:cNvPr>
        <xdr:cNvCxnSpPr/>
      </xdr:nvCxnSpPr>
      <xdr:spPr>
        <a:xfrm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66" name="Match4">
          <a:extLst>
            <a:ext uri="{FF2B5EF4-FFF2-40B4-BE49-F238E27FC236}">
              <a16:creationId xmlns:a16="http://schemas.microsoft.com/office/drawing/2014/main" id="{E99DEC03-6CD6-C033-9C3F-22841E98856F}"/>
            </a:ext>
          </a:extLst>
        </xdr:cNvPr>
        <xdr:cNvCxnSpPr/>
      </xdr:nvCxnSpPr>
      <xdr:spPr>
        <a:xfrm flipV="1">
          <a:off x="10850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067" name="Match5">
          <a:extLst>
            <a:ext uri="{FF2B5EF4-FFF2-40B4-BE49-F238E27FC236}">
              <a16:creationId xmlns:a16="http://schemas.microsoft.com/office/drawing/2014/main" id="{BC8E0750-1B33-1CCA-FF16-E7650E5C213B}"/>
            </a:ext>
          </a:extLst>
        </xdr:cNvPr>
        <xdr:cNvCxnSpPr/>
      </xdr:nvCxnSpPr>
      <xdr:spPr>
        <a:xfrm flipV="1"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068" name="Match6">
          <a:extLst>
            <a:ext uri="{FF2B5EF4-FFF2-40B4-BE49-F238E27FC236}">
              <a16:creationId xmlns:a16="http://schemas.microsoft.com/office/drawing/2014/main" id="{20504A5E-7943-D419-E559-1E25E1DA8FEF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069" name="Match7">
          <a:extLst>
            <a:ext uri="{FF2B5EF4-FFF2-40B4-BE49-F238E27FC236}">
              <a16:creationId xmlns:a16="http://schemas.microsoft.com/office/drawing/2014/main" id="{76C0C2E0-9278-1136-BE76-CB0B6FBF1AAF}"/>
            </a:ext>
          </a:extLst>
        </xdr:cNvPr>
        <xdr:cNvCxnSpPr/>
      </xdr:nvCxnSpPr>
      <xdr:spPr>
        <a:xfrm flipH="1"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70" name="Match8">
          <a:extLst>
            <a:ext uri="{FF2B5EF4-FFF2-40B4-BE49-F238E27FC236}">
              <a16:creationId xmlns:a16="http://schemas.microsoft.com/office/drawing/2014/main" id="{F1C0B62F-EF7C-F7A9-16AB-F32BFCFC288C}"/>
            </a:ext>
          </a:extLst>
        </xdr:cNvPr>
        <xdr:cNvCxnSpPr/>
      </xdr:nvCxnSpPr>
      <xdr:spPr>
        <a:xfrm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71" name="Match9">
          <a:extLst>
            <a:ext uri="{FF2B5EF4-FFF2-40B4-BE49-F238E27FC236}">
              <a16:creationId xmlns:a16="http://schemas.microsoft.com/office/drawing/2014/main" id="{279B0734-EF7F-ED3F-4D3A-07A06F79FE62}"/>
            </a:ext>
          </a:extLst>
        </xdr:cNvPr>
        <xdr:cNvCxnSpPr/>
      </xdr:nvCxnSpPr>
      <xdr:spPr>
        <a:xfrm flipV="1"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072" name="Match10">
          <a:extLst>
            <a:ext uri="{FF2B5EF4-FFF2-40B4-BE49-F238E27FC236}">
              <a16:creationId xmlns:a16="http://schemas.microsoft.com/office/drawing/2014/main" id="{1706C59F-98FF-B874-B1B0-6673B6B37FFE}"/>
            </a:ext>
          </a:extLst>
        </xdr:cNvPr>
        <xdr:cNvCxnSpPr/>
      </xdr:nvCxnSpPr>
      <xdr:spPr>
        <a:xfrm flipH="1">
          <a:off x="1483519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073" name="Match11">
          <a:extLst>
            <a:ext uri="{FF2B5EF4-FFF2-40B4-BE49-F238E27FC236}">
              <a16:creationId xmlns:a16="http://schemas.microsoft.com/office/drawing/2014/main" id="{E9DD6E3A-E744-36CA-A403-32D9372739ED}"/>
            </a:ext>
          </a:extLst>
        </xdr:cNvPr>
        <xdr:cNvCxnSpPr/>
      </xdr:nvCxnSpPr>
      <xdr:spPr>
        <a:xfrm flipH="1">
          <a:off x="1059656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074" name="Match12">
          <a:extLst>
            <a:ext uri="{FF2B5EF4-FFF2-40B4-BE49-F238E27FC236}">
              <a16:creationId xmlns:a16="http://schemas.microsoft.com/office/drawing/2014/main" id="{3041AAE2-0560-5874-032D-2B4028E25610}"/>
            </a:ext>
          </a:extLst>
        </xdr:cNvPr>
        <xdr:cNvCxnSpPr/>
      </xdr:nvCxnSpPr>
      <xdr:spPr>
        <a:xfrm flipH="1"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075" name="Match13">
          <a:extLst>
            <a:ext uri="{FF2B5EF4-FFF2-40B4-BE49-F238E27FC236}">
              <a16:creationId xmlns:a16="http://schemas.microsoft.com/office/drawing/2014/main" id="{0523F780-D348-B419-B379-95C57755ED18}"/>
            </a:ext>
          </a:extLst>
        </xdr:cNvPr>
        <xdr:cNvCxnSpPr/>
      </xdr:nvCxnSpPr>
      <xdr:spPr>
        <a:xfrm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076" name="Match14">
          <a:extLst>
            <a:ext uri="{FF2B5EF4-FFF2-40B4-BE49-F238E27FC236}">
              <a16:creationId xmlns:a16="http://schemas.microsoft.com/office/drawing/2014/main" id="{46A21160-FAD7-C43B-A4F5-B1986F5DBB75}"/>
            </a:ext>
          </a:extLst>
        </xdr:cNvPr>
        <xdr:cNvCxnSpPr/>
      </xdr:nvCxnSpPr>
      <xdr:spPr>
        <a:xfrm>
          <a:off x="278050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2</xdr:row>
      <xdr:rowOff>229394</xdr:rowOff>
    </xdr:from>
    <xdr:to>
      <xdr:col>6</xdr:col>
      <xdr:colOff>262731</xdr:colOff>
      <xdr:row>2</xdr:row>
      <xdr:rowOff>229394</xdr:rowOff>
    </xdr:to>
    <xdr:cxnSp macro="">
      <xdr:nvCxnSpPr>
        <xdr:cNvPr id="1077" name="Match15">
          <a:extLst>
            <a:ext uri="{FF2B5EF4-FFF2-40B4-BE49-F238E27FC236}">
              <a16:creationId xmlns:a16="http://schemas.microsoft.com/office/drawing/2014/main" id="{C836E5CA-4451-F727-8BAE-A018D93E5187}"/>
            </a:ext>
          </a:extLst>
        </xdr:cNvPr>
        <xdr:cNvCxnSpPr/>
      </xdr:nvCxnSpPr>
      <xdr:spPr>
        <a:xfrm flipH="1">
          <a:off x="2382044" y="943769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78" name="Match16">
          <a:extLst>
            <a:ext uri="{FF2B5EF4-FFF2-40B4-BE49-F238E27FC236}">
              <a16:creationId xmlns:a16="http://schemas.microsoft.com/office/drawing/2014/main" id="{FC4B4A65-E0A0-A9E5-CA89-81988CD380F4}"/>
            </a:ext>
          </a:extLst>
        </xdr:cNvPr>
        <xdr:cNvCxnSpPr/>
      </xdr:nvCxnSpPr>
      <xdr:spPr>
        <a:xfrm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079" name="Match17">
          <a:extLst>
            <a:ext uri="{FF2B5EF4-FFF2-40B4-BE49-F238E27FC236}">
              <a16:creationId xmlns:a16="http://schemas.microsoft.com/office/drawing/2014/main" id="{BEA42428-3361-1E03-CC8C-FB0922781541}"/>
            </a:ext>
          </a:extLst>
        </xdr:cNvPr>
        <xdr:cNvCxnSpPr/>
      </xdr:nvCxnSpPr>
      <xdr:spPr>
        <a:xfrm flipH="1" flipV="1">
          <a:off x="36282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080" name="Match18">
          <a:extLst>
            <a:ext uri="{FF2B5EF4-FFF2-40B4-BE49-F238E27FC236}">
              <a16:creationId xmlns:a16="http://schemas.microsoft.com/office/drawing/2014/main" id="{77228886-61F7-1D77-0A23-0EC5A2BA70C6}"/>
            </a:ext>
          </a:extLst>
        </xdr:cNvPr>
        <xdr:cNvCxnSpPr/>
      </xdr:nvCxnSpPr>
      <xdr:spPr>
        <a:xfrm flipH="1">
          <a:off x="317896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81" name="Match19">
          <a:extLst>
            <a:ext uri="{FF2B5EF4-FFF2-40B4-BE49-F238E27FC236}">
              <a16:creationId xmlns:a16="http://schemas.microsoft.com/office/drawing/2014/main" id="{5108367D-E9D5-F3EF-D6C1-794EEB522966}"/>
            </a:ext>
          </a:extLst>
        </xdr:cNvPr>
        <xdr:cNvCxnSpPr/>
      </xdr:nvCxnSpPr>
      <xdr:spPr>
        <a:xfrm flipH="1"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082" name="Match20">
          <a:extLst>
            <a:ext uri="{FF2B5EF4-FFF2-40B4-BE49-F238E27FC236}">
              <a16:creationId xmlns:a16="http://schemas.microsoft.com/office/drawing/2014/main" id="{A7D9DA8E-56FE-FFF1-E22F-B6866F06567C}"/>
            </a:ext>
          </a:extLst>
        </xdr:cNvPr>
        <xdr:cNvCxnSpPr/>
      </xdr:nvCxnSpPr>
      <xdr:spPr>
        <a:xfrm flipH="1"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083" name="Match21">
          <a:extLst>
            <a:ext uri="{FF2B5EF4-FFF2-40B4-BE49-F238E27FC236}">
              <a16:creationId xmlns:a16="http://schemas.microsoft.com/office/drawing/2014/main" id="{ED7EE9E0-008F-3289-BDCA-20C9FEAD29E3}"/>
            </a:ext>
          </a:extLst>
        </xdr:cNvPr>
        <xdr:cNvCxnSpPr/>
      </xdr:nvCxnSpPr>
      <xdr:spPr>
        <a:xfrm flipV="1">
          <a:off x="278050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3</xdr:row>
      <xdr:rowOff>229393</xdr:rowOff>
    </xdr:from>
    <xdr:to>
      <xdr:col>7</xdr:col>
      <xdr:colOff>262731</xdr:colOff>
      <xdr:row>4</xdr:row>
      <xdr:rowOff>229394</xdr:rowOff>
    </xdr:to>
    <xdr:cxnSp macro="">
      <xdr:nvCxnSpPr>
        <xdr:cNvPr id="1084" name="Match22">
          <a:extLst>
            <a:ext uri="{FF2B5EF4-FFF2-40B4-BE49-F238E27FC236}">
              <a16:creationId xmlns:a16="http://schemas.microsoft.com/office/drawing/2014/main" id="{9AEE3A42-5E72-9123-5FBF-0CE18FA408C6}"/>
            </a:ext>
          </a:extLst>
        </xdr:cNvPr>
        <xdr:cNvCxnSpPr/>
      </xdr:nvCxnSpPr>
      <xdr:spPr>
        <a:xfrm flipV="1">
          <a:off x="2805906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085" name="Match23">
          <a:extLst>
            <a:ext uri="{FF2B5EF4-FFF2-40B4-BE49-F238E27FC236}">
              <a16:creationId xmlns:a16="http://schemas.microsoft.com/office/drawing/2014/main" id="{7FCB2526-C4F6-1563-D66B-7A29B475EB27}"/>
            </a:ext>
          </a:extLst>
        </xdr:cNvPr>
        <xdr:cNvCxnSpPr/>
      </xdr:nvCxnSpPr>
      <xdr:spPr>
        <a:xfrm flipH="1" flipV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086" name="Match24">
          <a:extLst>
            <a:ext uri="{FF2B5EF4-FFF2-40B4-BE49-F238E27FC236}">
              <a16:creationId xmlns:a16="http://schemas.microsoft.com/office/drawing/2014/main" id="{27397E0D-016B-A4A1-ADC9-2B9BBAE6013C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087" name="Match25">
          <a:extLst>
            <a:ext uri="{FF2B5EF4-FFF2-40B4-BE49-F238E27FC236}">
              <a16:creationId xmlns:a16="http://schemas.microsoft.com/office/drawing/2014/main" id="{C34B4DF3-C9DC-0243-2096-343561296FBE}"/>
            </a:ext>
          </a:extLst>
        </xdr:cNvPr>
        <xdr:cNvCxnSpPr/>
      </xdr:nvCxnSpPr>
      <xdr:spPr>
        <a:xfrm flipH="1"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216" name="Match26">
          <a:extLst>
            <a:ext uri="{FF2B5EF4-FFF2-40B4-BE49-F238E27FC236}">
              <a16:creationId xmlns:a16="http://schemas.microsoft.com/office/drawing/2014/main" id="{782B5502-0D8E-BA0C-3AFF-1EAB41D051F3}"/>
            </a:ext>
          </a:extLst>
        </xdr:cNvPr>
        <xdr:cNvCxnSpPr/>
      </xdr:nvCxnSpPr>
      <xdr:spPr>
        <a:xfrm flipV="1">
          <a:off x="36282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217" name="Match27">
          <a:extLst>
            <a:ext uri="{FF2B5EF4-FFF2-40B4-BE49-F238E27FC236}">
              <a16:creationId xmlns:a16="http://schemas.microsoft.com/office/drawing/2014/main" id="{029C7552-A652-A34E-A960-E9250110846E}"/>
            </a:ext>
          </a:extLst>
        </xdr:cNvPr>
        <xdr:cNvCxnSpPr/>
      </xdr:nvCxnSpPr>
      <xdr:spPr>
        <a:xfrm flipV="1">
          <a:off x="14835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218" name="Match28">
          <a:extLst>
            <a:ext uri="{FF2B5EF4-FFF2-40B4-BE49-F238E27FC236}">
              <a16:creationId xmlns:a16="http://schemas.microsoft.com/office/drawing/2014/main" id="{F0477D19-8D82-1CBC-BFCF-A4B6D17C1405}"/>
            </a:ext>
          </a:extLst>
        </xdr:cNvPr>
        <xdr:cNvCxnSpPr/>
      </xdr:nvCxnSpPr>
      <xdr:spPr>
        <a:xfrm flipH="1"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219" name="Match29">
          <a:extLst>
            <a:ext uri="{FF2B5EF4-FFF2-40B4-BE49-F238E27FC236}">
              <a16:creationId xmlns:a16="http://schemas.microsoft.com/office/drawing/2014/main" id="{6E754ABE-6C53-DE73-B027-BB78B60517E5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220" name="Match30">
          <a:extLst>
            <a:ext uri="{FF2B5EF4-FFF2-40B4-BE49-F238E27FC236}">
              <a16:creationId xmlns:a16="http://schemas.microsoft.com/office/drawing/2014/main" id="{1FBBE4F3-F179-B429-E8EF-916F3EF60F0C}"/>
            </a:ext>
          </a:extLst>
        </xdr:cNvPr>
        <xdr:cNvCxnSpPr/>
      </xdr:nvCxnSpPr>
      <xdr:spPr>
        <a:xfrm flipH="1"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221" name="Match31">
          <a:extLst>
            <a:ext uri="{FF2B5EF4-FFF2-40B4-BE49-F238E27FC236}">
              <a16:creationId xmlns:a16="http://schemas.microsoft.com/office/drawing/2014/main" id="{7C617AD7-2895-72EA-8EEB-066CA6B4912C}"/>
            </a:ext>
          </a:extLst>
        </xdr:cNvPr>
        <xdr:cNvCxnSpPr/>
      </xdr:nvCxnSpPr>
      <xdr:spPr>
        <a:xfrm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1222" name="Match32">
          <a:extLst>
            <a:ext uri="{FF2B5EF4-FFF2-40B4-BE49-F238E27FC236}">
              <a16:creationId xmlns:a16="http://schemas.microsoft.com/office/drawing/2014/main" id="{597B1023-FEC7-E090-CE0E-EC2933953EEF}"/>
            </a:ext>
          </a:extLst>
        </xdr:cNvPr>
        <xdr:cNvCxnSpPr/>
      </xdr:nvCxnSpPr>
      <xdr:spPr>
        <a:xfrm>
          <a:off x="10850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223" name="Match33">
          <a:extLst>
            <a:ext uri="{FF2B5EF4-FFF2-40B4-BE49-F238E27FC236}">
              <a16:creationId xmlns:a16="http://schemas.microsoft.com/office/drawing/2014/main" id="{4BE09C26-4CC6-03AB-EBBA-DFFC68403C93}"/>
            </a:ext>
          </a:extLst>
        </xdr:cNvPr>
        <xdr:cNvCxnSpPr/>
      </xdr:nvCxnSpPr>
      <xdr:spPr>
        <a:xfrm flipV="1">
          <a:off x="105965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224" name="Match34">
          <a:extLst>
            <a:ext uri="{FF2B5EF4-FFF2-40B4-BE49-F238E27FC236}">
              <a16:creationId xmlns:a16="http://schemas.microsoft.com/office/drawing/2014/main" id="{A9FED20E-0890-7CCB-A607-0F36873BBC22}"/>
            </a:ext>
          </a:extLst>
        </xdr:cNvPr>
        <xdr:cNvCxnSpPr/>
      </xdr:nvCxnSpPr>
      <xdr:spPr>
        <a:xfrm>
          <a:off x="233124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225" name="Match35">
          <a:extLst>
            <a:ext uri="{FF2B5EF4-FFF2-40B4-BE49-F238E27FC236}">
              <a16:creationId xmlns:a16="http://schemas.microsoft.com/office/drawing/2014/main" id="{16D8641E-C482-D20A-0B0B-3B5453082B8F}"/>
            </a:ext>
          </a:extLst>
        </xdr:cNvPr>
        <xdr:cNvCxnSpPr/>
      </xdr:nvCxnSpPr>
      <xdr:spPr>
        <a:xfrm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226" name="Match36">
          <a:extLst>
            <a:ext uri="{FF2B5EF4-FFF2-40B4-BE49-F238E27FC236}">
              <a16:creationId xmlns:a16="http://schemas.microsoft.com/office/drawing/2014/main" id="{67D7A606-F211-2BBA-B8C5-92FA4D0F2039}"/>
            </a:ext>
          </a:extLst>
        </xdr:cNvPr>
        <xdr:cNvCxnSpPr/>
      </xdr:nvCxnSpPr>
      <xdr:spPr>
        <a:xfrm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227" name="Match37">
          <a:extLst>
            <a:ext uri="{FF2B5EF4-FFF2-40B4-BE49-F238E27FC236}">
              <a16:creationId xmlns:a16="http://schemas.microsoft.com/office/drawing/2014/main" id="{096221A2-28E2-45B3-2D30-FB58BC4A717B}"/>
            </a:ext>
          </a:extLst>
        </xdr:cNvPr>
        <xdr:cNvCxnSpPr/>
      </xdr:nvCxnSpPr>
      <xdr:spPr>
        <a:xfrm flipH="1">
          <a:off x="233124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228" name="Match38">
          <a:extLst>
            <a:ext uri="{FF2B5EF4-FFF2-40B4-BE49-F238E27FC236}">
              <a16:creationId xmlns:a16="http://schemas.microsoft.com/office/drawing/2014/main" id="{5E7AF5AF-4126-EF0D-5026-1321B2B7EB3F}"/>
            </a:ext>
          </a:extLst>
        </xdr:cNvPr>
        <xdr:cNvCxnSpPr/>
      </xdr:nvCxnSpPr>
      <xdr:spPr>
        <a:xfrm>
          <a:off x="2755106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229" name="Match39">
          <a:extLst>
            <a:ext uri="{FF2B5EF4-FFF2-40B4-BE49-F238E27FC236}">
              <a16:creationId xmlns:a16="http://schemas.microsoft.com/office/drawing/2014/main" id="{B3144699-F11B-ED5F-FA9A-3FA507A059BB}"/>
            </a:ext>
          </a:extLst>
        </xdr:cNvPr>
        <xdr:cNvCxnSpPr/>
      </xdr:nvCxnSpPr>
      <xdr:spPr>
        <a:xfrm flipH="1" flipV="1">
          <a:off x="1059656" y="1964531"/>
          <a:ext cx="2119313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6</xdr:col>
      <xdr:colOff>237331</xdr:colOff>
      <xdr:row>6</xdr:row>
      <xdr:rowOff>203994</xdr:rowOff>
    </xdr:to>
    <xdr:cxnSp macro="">
      <xdr:nvCxnSpPr>
        <xdr:cNvPr id="1230" name="Match40">
          <a:extLst>
            <a:ext uri="{FF2B5EF4-FFF2-40B4-BE49-F238E27FC236}">
              <a16:creationId xmlns:a16="http://schemas.microsoft.com/office/drawing/2014/main" id="{D0B11206-E97F-170F-5E8C-1C08B2F4DF97}"/>
            </a:ext>
          </a:extLst>
        </xdr:cNvPr>
        <xdr:cNvCxnSpPr/>
      </xdr:nvCxnSpPr>
      <xdr:spPr>
        <a:xfrm flipH="1" flipV="1">
          <a:off x="1932781" y="163274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231" name="Match41">
          <a:extLst>
            <a:ext uri="{FF2B5EF4-FFF2-40B4-BE49-F238E27FC236}">
              <a16:creationId xmlns:a16="http://schemas.microsoft.com/office/drawing/2014/main" id="{D0123378-E22D-51C2-E99A-60F626CCABAA}"/>
            </a:ext>
          </a:extLst>
        </xdr:cNvPr>
        <xdr:cNvCxnSpPr/>
      </xdr:nvCxnSpPr>
      <xdr:spPr>
        <a:xfrm flipH="1">
          <a:off x="148351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11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1232" name="Match42">
          <a:extLst>
            <a:ext uri="{FF2B5EF4-FFF2-40B4-BE49-F238E27FC236}">
              <a16:creationId xmlns:a16="http://schemas.microsoft.com/office/drawing/2014/main" id="{ACAE8D6E-C075-74C6-6F7F-B9F3A794988B}"/>
            </a:ext>
          </a:extLst>
        </xdr:cNvPr>
        <xdr:cNvCxnSpPr/>
      </xdr:nvCxnSpPr>
      <xdr:spPr>
        <a:xfrm>
          <a:off x="3628231" y="413305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3</xdr:row>
      <xdr:rowOff>178593</xdr:rowOff>
    </xdr:to>
    <xdr:cxnSp macro="">
      <xdr:nvCxnSpPr>
        <xdr:cNvPr id="1233" name="Match43">
          <a:extLst>
            <a:ext uri="{FF2B5EF4-FFF2-40B4-BE49-F238E27FC236}">
              <a16:creationId xmlns:a16="http://schemas.microsoft.com/office/drawing/2014/main" id="{F66B2080-C587-06BF-1008-B9CC9E5E126E}"/>
            </a:ext>
          </a:extLst>
        </xdr:cNvPr>
        <xdr:cNvCxnSpPr/>
      </xdr:nvCxnSpPr>
      <xdr:spPr>
        <a:xfrm>
          <a:off x="211931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5</xdr:row>
      <xdr:rowOff>178593</xdr:rowOff>
    </xdr:to>
    <xdr:cxnSp macro="">
      <xdr:nvCxnSpPr>
        <xdr:cNvPr id="1234" name="Match44">
          <a:extLst>
            <a:ext uri="{FF2B5EF4-FFF2-40B4-BE49-F238E27FC236}">
              <a16:creationId xmlns:a16="http://schemas.microsoft.com/office/drawing/2014/main" id="{38F2D690-A371-4B5C-042E-909571D0E646}"/>
            </a:ext>
          </a:extLst>
        </xdr:cNvPr>
        <xdr:cNvCxnSpPr/>
      </xdr:nvCxnSpPr>
      <xdr:spPr>
        <a:xfrm flipV="1">
          <a:off x="211931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235" name="Match45">
          <a:extLst>
            <a:ext uri="{FF2B5EF4-FFF2-40B4-BE49-F238E27FC236}">
              <a16:creationId xmlns:a16="http://schemas.microsoft.com/office/drawing/2014/main" id="{FFD65E63-9210-C17B-47D0-5C0016DA0776}"/>
            </a:ext>
          </a:extLst>
        </xdr:cNvPr>
        <xdr:cNvCxnSpPr/>
      </xdr:nvCxnSpPr>
      <xdr:spPr>
        <a:xfrm flipH="1">
          <a:off x="2331244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236" name="Match46">
          <a:extLst>
            <a:ext uri="{FF2B5EF4-FFF2-40B4-BE49-F238E27FC236}">
              <a16:creationId xmlns:a16="http://schemas.microsoft.com/office/drawing/2014/main" id="{3606CCA0-79C1-2130-C3D7-13C9D5663947}"/>
            </a:ext>
          </a:extLst>
        </xdr:cNvPr>
        <xdr:cNvCxnSpPr/>
      </xdr:nvCxnSpPr>
      <xdr:spPr>
        <a:xfrm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237" name="Match47">
          <a:extLst>
            <a:ext uri="{FF2B5EF4-FFF2-40B4-BE49-F238E27FC236}">
              <a16:creationId xmlns:a16="http://schemas.microsoft.com/office/drawing/2014/main" id="{AFA0BF17-7204-3BB9-F137-22AC292B96E9}"/>
            </a:ext>
          </a:extLst>
        </xdr:cNvPr>
        <xdr:cNvCxnSpPr/>
      </xdr:nvCxnSpPr>
      <xdr:spPr>
        <a:xfrm>
          <a:off x="10596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238" name="Match48">
          <a:extLst>
            <a:ext uri="{FF2B5EF4-FFF2-40B4-BE49-F238E27FC236}">
              <a16:creationId xmlns:a16="http://schemas.microsoft.com/office/drawing/2014/main" id="{9F0A74F0-3F77-81B3-CB79-270374F7965D}"/>
            </a:ext>
          </a:extLst>
        </xdr:cNvPr>
        <xdr:cNvCxnSpPr/>
      </xdr:nvCxnSpPr>
      <xdr:spPr>
        <a:xfrm flipH="1" flipV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1239" name="Match49">
          <a:extLst>
            <a:ext uri="{FF2B5EF4-FFF2-40B4-BE49-F238E27FC236}">
              <a16:creationId xmlns:a16="http://schemas.microsoft.com/office/drawing/2014/main" id="{2381EA40-B7A0-D190-4175-F2614DBE0194}"/>
            </a:ext>
          </a:extLst>
        </xdr:cNvPr>
        <xdr:cNvCxnSpPr/>
      </xdr:nvCxnSpPr>
      <xdr:spPr>
        <a:xfrm flipH="1"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240" name="Match50">
          <a:extLst>
            <a:ext uri="{FF2B5EF4-FFF2-40B4-BE49-F238E27FC236}">
              <a16:creationId xmlns:a16="http://schemas.microsoft.com/office/drawing/2014/main" id="{B3DD832A-1C0A-3016-9A38-5E984611694C}"/>
            </a:ext>
          </a:extLst>
        </xdr:cNvPr>
        <xdr:cNvCxnSpPr/>
      </xdr:nvCxnSpPr>
      <xdr:spPr>
        <a:xfrm>
          <a:off x="190738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241" name="Match51">
          <a:extLst>
            <a:ext uri="{FF2B5EF4-FFF2-40B4-BE49-F238E27FC236}">
              <a16:creationId xmlns:a16="http://schemas.microsoft.com/office/drawing/2014/main" id="{21A57FAF-751F-B00C-9C8F-990989B18AF4}"/>
            </a:ext>
          </a:extLst>
        </xdr:cNvPr>
        <xdr:cNvCxnSpPr/>
      </xdr:nvCxnSpPr>
      <xdr:spPr>
        <a:xfrm flipV="1"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242" name="Match52">
          <a:extLst>
            <a:ext uri="{FF2B5EF4-FFF2-40B4-BE49-F238E27FC236}">
              <a16:creationId xmlns:a16="http://schemas.microsoft.com/office/drawing/2014/main" id="{FF511D79-C8A3-E136-A6BD-469F50F1AB86}"/>
            </a:ext>
          </a:extLst>
        </xdr:cNvPr>
        <xdr:cNvCxnSpPr/>
      </xdr:nvCxnSpPr>
      <xdr:spPr>
        <a:xfrm>
          <a:off x="190738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243" name="Match53">
          <a:extLst>
            <a:ext uri="{FF2B5EF4-FFF2-40B4-BE49-F238E27FC236}">
              <a16:creationId xmlns:a16="http://schemas.microsoft.com/office/drawing/2014/main" id="{540D4D15-234F-D2BE-D60E-159C21BAE844}"/>
            </a:ext>
          </a:extLst>
        </xdr:cNvPr>
        <xdr:cNvCxnSpPr/>
      </xdr:nvCxnSpPr>
      <xdr:spPr>
        <a:xfrm flipV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244" name="Match54">
          <a:extLst>
            <a:ext uri="{FF2B5EF4-FFF2-40B4-BE49-F238E27FC236}">
              <a16:creationId xmlns:a16="http://schemas.microsoft.com/office/drawing/2014/main" id="{514329A3-FB4E-917C-8096-9EDC102F7807}"/>
            </a:ext>
          </a:extLst>
        </xdr:cNvPr>
        <xdr:cNvCxnSpPr/>
      </xdr:nvCxnSpPr>
      <xdr:spPr>
        <a:xfrm flipH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1245" name="Match55">
          <a:extLst>
            <a:ext uri="{FF2B5EF4-FFF2-40B4-BE49-F238E27FC236}">
              <a16:creationId xmlns:a16="http://schemas.microsoft.com/office/drawing/2014/main" id="{14E2F923-46D3-4408-77AD-0AED74260306}"/>
            </a:ext>
          </a:extLst>
        </xdr:cNvPr>
        <xdr:cNvCxnSpPr/>
      </xdr:nvCxnSpPr>
      <xdr:spPr>
        <a:xfrm flipH="1">
          <a:off x="6611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246" name="Match56">
          <a:extLst>
            <a:ext uri="{FF2B5EF4-FFF2-40B4-BE49-F238E27FC236}">
              <a16:creationId xmlns:a16="http://schemas.microsoft.com/office/drawing/2014/main" id="{9FC9AB53-89F7-DC54-B058-AC9F43931667}"/>
            </a:ext>
          </a:extLst>
        </xdr:cNvPr>
        <xdr:cNvCxnSpPr/>
      </xdr:nvCxnSpPr>
      <xdr:spPr>
        <a:xfrm flipV="1">
          <a:off x="275510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247" name="Match57">
          <a:extLst>
            <a:ext uri="{FF2B5EF4-FFF2-40B4-BE49-F238E27FC236}">
              <a16:creationId xmlns:a16="http://schemas.microsoft.com/office/drawing/2014/main" id="{A5F029AB-8FAA-E6EA-2F8C-BB54244B1B5B}"/>
            </a:ext>
          </a:extLst>
        </xdr:cNvPr>
        <xdr:cNvCxnSpPr/>
      </xdr:nvCxnSpPr>
      <xdr:spPr>
        <a:xfrm flipH="1" flipV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248" name="Match58">
          <a:extLst>
            <a:ext uri="{FF2B5EF4-FFF2-40B4-BE49-F238E27FC236}">
              <a16:creationId xmlns:a16="http://schemas.microsoft.com/office/drawing/2014/main" id="{742DC8CE-8843-B630-4818-DF0CADAA0F2D}"/>
            </a:ext>
          </a:extLst>
        </xdr:cNvPr>
        <xdr:cNvCxnSpPr/>
      </xdr:nvCxnSpPr>
      <xdr:spPr>
        <a:xfrm flipH="1"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324" name="Match59">
          <a:extLst>
            <a:ext uri="{FF2B5EF4-FFF2-40B4-BE49-F238E27FC236}">
              <a16:creationId xmlns:a16="http://schemas.microsoft.com/office/drawing/2014/main" id="{0357107A-37A0-642B-5469-FF5FBAC54E8A}"/>
            </a:ext>
          </a:extLst>
        </xdr:cNvPr>
        <xdr:cNvCxnSpPr/>
      </xdr:nvCxnSpPr>
      <xdr:spPr>
        <a:xfrm flipV="1">
          <a:off x="14835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325" name="Match60">
          <a:extLst>
            <a:ext uri="{FF2B5EF4-FFF2-40B4-BE49-F238E27FC236}">
              <a16:creationId xmlns:a16="http://schemas.microsoft.com/office/drawing/2014/main" id="{15B4F6AA-78F0-FF12-C602-F293AF14232E}"/>
            </a:ext>
          </a:extLst>
        </xdr:cNvPr>
        <xdr:cNvCxnSpPr/>
      </xdr:nvCxnSpPr>
      <xdr:spPr>
        <a:xfrm flipV="1">
          <a:off x="3602831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326" name="Match61">
          <a:extLst>
            <a:ext uri="{FF2B5EF4-FFF2-40B4-BE49-F238E27FC236}">
              <a16:creationId xmlns:a16="http://schemas.microsoft.com/office/drawing/2014/main" id="{EAB52DB6-AA3A-8EA3-3C4C-8E8A26419583}"/>
            </a:ext>
          </a:extLst>
        </xdr:cNvPr>
        <xdr:cNvCxnSpPr/>
      </xdr:nvCxnSpPr>
      <xdr:spPr>
        <a:xfrm>
          <a:off x="1059656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327" name="Match62">
          <a:extLst>
            <a:ext uri="{FF2B5EF4-FFF2-40B4-BE49-F238E27FC236}">
              <a16:creationId xmlns:a16="http://schemas.microsoft.com/office/drawing/2014/main" id="{D176FD8B-A1B7-6F20-4870-EEF6DF18D110}"/>
            </a:ext>
          </a:extLst>
        </xdr:cNvPr>
        <xdr:cNvCxnSpPr/>
      </xdr:nvCxnSpPr>
      <xdr:spPr>
        <a:xfrm>
          <a:off x="635794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328" name="Match63">
          <a:extLst>
            <a:ext uri="{FF2B5EF4-FFF2-40B4-BE49-F238E27FC236}">
              <a16:creationId xmlns:a16="http://schemas.microsoft.com/office/drawing/2014/main" id="{FDAF2FB1-2C1F-2FAE-ED5D-2C1D867A813E}"/>
            </a:ext>
          </a:extLst>
        </xdr:cNvPr>
        <xdr:cNvCxnSpPr/>
      </xdr:nvCxnSpPr>
      <xdr:spPr>
        <a:xfrm>
          <a:off x="4450556" y="160734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329" name="Match64">
          <a:extLst>
            <a:ext uri="{FF2B5EF4-FFF2-40B4-BE49-F238E27FC236}">
              <a16:creationId xmlns:a16="http://schemas.microsoft.com/office/drawing/2014/main" id="{959B62AA-9917-0652-1599-B22C0DCE2458}"/>
            </a:ext>
          </a:extLst>
        </xdr:cNvPr>
        <xdr:cNvCxnSpPr/>
      </xdr:nvCxnSpPr>
      <xdr:spPr>
        <a:xfrm>
          <a:off x="4874419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24115C1-26AC-EE6A-E860-84B7EC6E5F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7" sqref="L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2">
        <v>8</v>
      </c>
      <c r="C1" s="23">
        <v>2</v>
      </c>
      <c r="D1" s="23">
        <v>5</v>
      </c>
      <c r="E1" s="23">
        <v>9</v>
      </c>
      <c r="F1" s="23">
        <v>9</v>
      </c>
      <c r="G1" s="23">
        <v>6</v>
      </c>
      <c r="H1" s="27">
        <v>9</v>
      </c>
      <c r="I1" s="27">
        <v>1</v>
      </c>
      <c r="J1" s="27">
        <v>2</v>
      </c>
      <c r="K1" s="22">
        <v>1</v>
      </c>
      <c r="L1" s="22">
        <v>5</v>
      </c>
      <c r="N1" s="2">
        <v>77</v>
      </c>
      <c r="O1" s="1">
        <v>10</v>
      </c>
    </row>
    <row r="2" spans="1:15" s="2" customFormat="1" ht="28.25" customHeight="1">
      <c r="A2" s="23">
        <v>8</v>
      </c>
      <c r="B2" s="27">
        <v>3</v>
      </c>
      <c r="C2" s="22">
        <v>1</v>
      </c>
      <c r="D2" s="27">
        <v>9</v>
      </c>
      <c r="E2" s="23">
        <v>8</v>
      </c>
      <c r="F2" s="22">
        <v>1</v>
      </c>
      <c r="G2" s="27">
        <v>1</v>
      </c>
      <c r="H2" s="27">
        <v>1</v>
      </c>
      <c r="I2" s="23">
        <v>5</v>
      </c>
      <c r="J2" s="22">
        <v>3</v>
      </c>
      <c r="K2" s="22">
        <v>4</v>
      </c>
      <c r="L2" s="22">
        <v>8</v>
      </c>
      <c r="N2" s="2">
        <v>64684</v>
      </c>
      <c r="O2" s="2">
        <v>1</v>
      </c>
    </row>
    <row r="3" spans="1:15" ht="28.25" customHeight="1">
      <c r="A3" s="23">
        <v>6</v>
      </c>
      <c r="B3" s="23">
        <v>2</v>
      </c>
      <c r="C3" s="22">
        <v>8</v>
      </c>
      <c r="D3" s="23">
        <v>7</v>
      </c>
      <c r="E3" s="27">
        <v>9</v>
      </c>
      <c r="F3" s="22">
        <v>5</v>
      </c>
      <c r="G3" s="22">
        <v>3</v>
      </c>
      <c r="H3" s="23">
        <v>2</v>
      </c>
      <c r="I3" s="27">
        <v>9</v>
      </c>
      <c r="J3" s="22">
        <v>3</v>
      </c>
      <c r="K3" s="27">
        <v>2</v>
      </c>
      <c r="L3" s="23">
        <v>6</v>
      </c>
      <c r="N3" s="2">
        <v>69952</v>
      </c>
      <c r="O3" s="1">
        <v>1</v>
      </c>
    </row>
    <row r="4" spans="1:15" ht="28.25" customHeight="1">
      <c r="A4" s="23">
        <v>7</v>
      </c>
      <c r="B4" s="23">
        <v>6</v>
      </c>
      <c r="C4" s="22">
        <v>5</v>
      </c>
      <c r="D4" s="22">
        <v>7</v>
      </c>
      <c r="E4" s="27">
        <v>9</v>
      </c>
      <c r="F4" s="22">
        <v>8</v>
      </c>
      <c r="G4" s="23">
        <v>5</v>
      </c>
      <c r="H4" s="23">
        <v>5</v>
      </c>
      <c r="I4" s="23">
        <v>3</v>
      </c>
      <c r="J4" s="27">
        <v>1</v>
      </c>
      <c r="K4" s="22">
        <v>5</v>
      </c>
      <c r="L4" s="23">
        <v>5</v>
      </c>
      <c r="N4" s="2">
        <v>35</v>
      </c>
      <c r="O4" s="1">
        <v>18</v>
      </c>
    </row>
    <row r="5" spans="1:15" ht="28.25" customHeight="1">
      <c r="A5" s="22">
        <v>6</v>
      </c>
      <c r="B5" s="23">
        <v>4</v>
      </c>
      <c r="C5" s="22">
        <v>7</v>
      </c>
      <c r="D5" s="22">
        <v>3</v>
      </c>
      <c r="E5" s="23">
        <v>1</v>
      </c>
      <c r="F5" s="23">
        <v>5</v>
      </c>
      <c r="G5" s="22">
        <v>3</v>
      </c>
      <c r="H5" s="27">
        <v>9</v>
      </c>
      <c r="I5" s="22">
        <v>3</v>
      </c>
      <c r="J5" s="27">
        <v>6</v>
      </c>
      <c r="K5" s="23">
        <v>9</v>
      </c>
      <c r="L5" s="23">
        <v>2</v>
      </c>
      <c r="N5" s="2">
        <v>87</v>
      </c>
      <c r="O5" s="1">
        <v>8</v>
      </c>
    </row>
    <row r="6" spans="1:15" ht="28.25" customHeight="1">
      <c r="A6" s="22">
        <v>8</v>
      </c>
      <c r="B6" s="23">
        <v>2</v>
      </c>
      <c r="C6" s="23">
        <v>7</v>
      </c>
      <c r="D6" s="23">
        <v>4</v>
      </c>
      <c r="E6" s="23">
        <v>8</v>
      </c>
      <c r="F6" s="23">
        <v>6</v>
      </c>
      <c r="G6" s="23">
        <v>4</v>
      </c>
      <c r="H6" s="23">
        <v>6</v>
      </c>
      <c r="I6" s="22">
        <v>4</v>
      </c>
      <c r="J6" s="27">
        <v>9</v>
      </c>
      <c r="K6" s="23">
        <v>4</v>
      </c>
      <c r="L6" s="23">
        <v>3</v>
      </c>
      <c r="N6" s="2">
        <v>4624</v>
      </c>
      <c r="O6" s="1">
        <v>1</v>
      </c>
    </row>
    <row r="7" spans="1:15" ht="28.25" customHeight="1">
      <c r="A7" s="27">
        <v>2</v>
      </c>
      <c r="B7" s="23">
        <v>5</v>
      </c>
      <c r="C7" s="22">
        <v>8</v>
      </c>
      <c r="D7" s="23">
        <v>5</v>
      </c>
      <c r="E7" s="27">
        <v>6</v>
      </c>
      <c r="F7" s="22">
        <v>8</v>
      </c>
      <c r="G7" s="23">
        <v>7</v>
      </c>
      <c r="H7" s="22">
        <v>7</v>
      </c>
      <c r="I7" s="22">
        <v>5</v>
      </c>
      <c r="J7" s="27">
        <v>2</v>
      </c>
      <c r="K7" s="23">
        <v>1</v>
      </c>
      <c r="L7" s="23">
        <v>3</v>
      </c>
      <c r="N7" s="2">
        <v>217157</v>
      </c>
      <c r="O7" s="1">
        <v>1</v>
      </c>
    </row>
    <row r="8" spans="1:15" ht="28.25" customHeight="1">
      <c r="A8" s="22">
        <v>3</v>
      </c>
      <c r="B8" s="23">
        <v>9</v>
      </c>
      <c r="C8" s="27">
        <v>2</v>
      </c>
      <c r="D8" s="22">
        <v>5</v>
      </c>
      <c r="E8" s="23">
        <v>1</v>
      </c>
      <c r="F8" s="22">
        <v>8</v>
      </c>
      <c r="G8" s="23">
        <v>4</v>
      </c>
      <c r="H8" s="22">
        <v>5</v>
      </c>
      <c r="I8" s="22">
        <v>3</v>
      </c>
      <c r="J8" s="27">
        <v>9</v>
      </c>
      <c r="K8" s="23">
        <v>6</v>
      </c>
      <c r="L8" s="27">
        <v>7</v>
      </c>
      <c r="N8" s="2">
        <v>761</v>
      </c>
      <c r="O8" s="1">
        <v>3</v>
      </c>
    </row>
    <row r="9" spans="1:15" ht="28.25" customHeight="1">
      <c r="A9" s="27">
        <v>2</v>
      </c>
      <c r="B9" s="23">
        <v>8</v>
      </c>
      <c r="C9" s="23">
        <v>1</v>
      </c>
      <c r="D9" s="22">
        <v>3</v>
      </c>
      <c r="E9" s="27">
        <v>4</v>
      </c>
      <c r="F9" s="23">
        <v>7</v>
      </c>
      <c r="G9" s="22">
        <v>8</v>
      </c>
      <c r="H9" s="23">
        <v>6</v>
      </c>
      <c r="I9" s="27">
        <v>4</v>
      </c>
      <c r="J9" s="27">
        <v>2</v>
      </c>
      <c r="K9" s="23">
        <v>4</v>
      </c>
      <c r="L9" s="27">
        <v>1</v>
      </c>
      <c r="N9" s="2">
        <v>867</v>
      </c>
      <c r="O9" s="1">
        <v>2</v>
      </c>
    </row>
    <row r="10" spans="1:15" ht="28.25" customHeight="1">
      <c r="A10" s="27">
        <v>2</v>
      </c>
      <c r="B10" s="22">
        <v>8</v>
      </c>
      <c r="C10" s="27">
        <v>2</v>
      </c>
      <c r="D10" s="27">
        <v>6</v>
      </c>
      <c r="E10" s="22">
        <v>6</v>
      </c>
      <c r="F10" s="27">
        <v>6</v>
      </c>
      <c r="G10" s="23">
        <v>1</v>
      </c>
      <c r="H10" s="27">
        <v>9</v>
      </c>
      <c r="I10" s="23">
        <v>2</v>
      </c>
      <c r="J10" s="27">
        <v>9</v>
      </c>
      <c r="K10" s="23">
        <v>2</v>
      </c>
      <c r="L10" s="27">
        <v>3</v>
      </c>
      <c r="N10" s="2">
        <v>5255</v>
      </c>
      <c r="O10" s="1">
        <v>1</v>
      </c>
    </row>
    <row r="11" spans="1:15" ht="28.25" customHeight="1">
      <c r="A11" s="27">
        <v>2</v>
      </c>
      <c r="B11" s="27">
        <v>5</v>
      </c>
      <c r="C11" s="22">
        <v>1</v>
      </c>
      <c r="D11" s="22">
        <v>1</v>
      </c>
      <c r="E11" s="27">
        <v>4</v>
      </c>
      <c r="F11" s="22">
        <v>5</v>
      </c>
      <c r="G11" s="22">
        <v>3</v>
      </c>
      <c r="H11" s="23">
        <v>2</v>
      </c>
      <c r="I11" s="23">
        <v>7</v>
      </c>
      <c r="J11" s="23">
        <v>4</v>
      </c>
      <c r="K11" s="23">
        <v>6</v>
      </c>
      <c r="L11" s="27">
        <v>7</v>
      </c>
      <c r="N11" s="2">
        <v>18</v>
      </c>
      <c r="O11" s="1">
        <v>12</v>
      </c>
    </row>
    <row r="12" spans="1:15" ht="28.25" customHeight="1">
      <c r="A12" s="27">
        <v>6</v>
      </c>
      <c r="B12" s="27">
        <v>5</v>
      </c>
      <c r="C12" s="23">
        <v>5</v>
      </c>
      <c r="D12" s="23">
        <v>4</v>
      </c>
      <c r="E12" s="23">
        <v>3</v>
      </c>
      <c r="F12" s="27">
        <v>1</v>
      </c>
      <c r="G12" s="27">
        <v>7</v>
      </c>
      <c r="H12" s="27">
        <v>9</v>
      </c>
      <c r="I12" s="23">
        <v>7</v>
      </c>
      <c r="J12" s="22">
        <v>6</v>
      </c>
      <c r="K12" s="22">
        <v>1</v>
      </c>
      <c r="L12" s="27">
        <v>2</v>
      </c>
      <c r="N12" s="2">
        <v>543</v>
      </c>
      <c r="O12" s="1">
        <v>4</v>
      </c>
    </row>
    <row r="13" spans="1:15" ht="28.25" customHeight="1">
      <c r="N13" s="2">
        <v>2642598</v>
      </c>
      <c r="O13" s="1">
        <v>1</v>
      </c>
    </row>
    <row r="14" spans="1:15" ht="28.25" customHeight="1">
      <c r="N14" s="2">
        <v>9416426</v>
      </c>
      <c r="O14" s="1">
        <v>1</v>
      </c>
    </row>
    <row r="15" spans="1:15" ht="28.25" customHeight="1">
      <c r="N15" s="2">
        <v>65233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58"/>
  <sheetViews>
    <sheetView tabSelected="1" zoomScaleNormal="100" workbookViewId="0">
      <pane ySplit="2" topLeftCell="A150" activePane="bottomLeft" state="frozen"/>
      <selection pane="bottomLeft" activeCell="A158" sqref="A15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369</v>
      </c>
      <c r="I157" t="s">
        <v>370</v>
      </c>
      <c r="J157">
        <v>0</v>
      </c>
      <c r="K157">
        <f t="shared" ref="K157" si="362">IF(A157&lt;DATEVALUE("2025/11/20")+TIMEVALUE("6:00"),1,IF(B157-SUM(D157:F157)&lt;&gt;60,0,MAX(2-INT(G157*24*60/10),0)))</f>
        <v>2</v>
      </c>
      <c r="L157">
        <f t="shared" ref="L157" si="363">L156+K157</f>
        <v>167</v>
      </c>
      <c r="M157">
        <f t="shared" ref="M157" si="364">2+IF(A157&gt;=DATEVALUE("2025/11/30")+TIMEVALUE("6:00"),1,0)+IF(A157&gt;=DATEVALUE("2025/12/11")+TIMEVALUE("6:00"),1,0)</f>
        <v>4</v>
      </c>
      <c r="N157">
        <f t="shared" ref="N157" si="365">N156+M157*(INT(A157-6/24)-INT(A156-6/24))+O157</f>
        <v>168</v>
      </c>
      <c r="O157">
        <f t="shared" ref="O157" si="366">IF(A157&gt;=DATEVALUE("2025/11/8")+TIMEVALUE("6:00"),1,0)-IF(A156&gt;=DATEVALUE("2025/11/8")+TIMEVALUE("6:00"),1,0)</f>
        <v>0</v>
      </c>
      <c r="P157" t="str">
        <f t="shared" ref="P157" si="367">IF(L157&lt;N157,"未達成（"&amp;N157-L157&amp;"）",IF(L157=N157,"達成","前倒し（"&amp;L157-N157&amp;"）"))</f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371</v>
      </c>
      <c r="I158" t="s">
        <v>372</v>
      </c>
      <c r="J158">
        <v>0</v>
      </c>
      <c r="K158">
        <f t="shared" ref="K158" si="368">IF(A158&lt;DATEVALUE("2025/11/20")+TIMEVALUE("6:00"),1,IF(B158-SUM(D158:F158)&lt;&gt;60,0,MAX(2-INT(G158*24*60/10),0)))</f>
        <v>1</v>
      </c>
      <c r="L158">
        <f t="shared" ref="L158" si="369">L157+K158</f>
        <v>168</v>
      </c>
      <c r="M158">
        <f t="shared" ref="M158" si="370">2+IF(A158&gt;=DATEVALUE("2025/11/30")+TIMEVALUE("6:00"),1,0)+IF(A158&gt;=DATEVALUE("2025/12/11")+TIMEVALUE("6:00"),1,0)</f>
        <v>4</v>
      </c>
      <c r="N158">
        <f t="shared" ref="N158" si="371">N157+M158*(INT(A158-6/24)-INT(A157-6/24))+O158</f>
        <v>168</v>
      </c>
      <c r="O158">
        <f t="shared" ref="O158" si="372">IF(A158&gt;=DATEVALUE("2025/11/8")+TIMEVALUE("6:00"),1,0)-IF(A157&gt;=DATEVALUE("2025/11/8")+TIMEVALUE("6:00"),1,0)</f>
        <v>0</v>
      </c>
      <c r="P158" t="str">
        <f t="shared" ref="P158" si="373">IF(L158&lt;N158,"未達成（"&amp;N158-L158&amp;"）",IF(L158=N158,"達成","前倒し（"&amp;L158-N158&amp;"）"))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46021.285428240742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2025-12-29T22:01:39Z</dcterms:modified>
</cp:coreProperties>
</file>
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E63C7B7F-4187-49CD-A49D-D3A905CFC0AF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97" i="4" l="1"/>
  <c r="O197" i="4"/>
  <c r="M197" i="4"/>
  <c r="N197" i="4" s="1"/>
  <c r="K197" i="4"/>
  <c r="L197" i="4" s="1"/>
  <c r="P197" i="4" s="1"/>
  <c r="Q196" i="4"/>
  <c r="O196" i="4"/>
  <c r="M196" i="4"/>
  <c r="N196" i="4" s="1"/>
  <c r="K196" i="4"/>
  <c r="L196" i="4" s="1"/>
  <c r="P196" i="4" s="1"/>
  <c r="Q195" i="4"/>
  <c r="O195" i="4"/>
  <c r="M195" i="4"/>
  <c r="N195" i="4" s="1"/>
  <c r="K195" i="4"/>
  <c r="L195" i="4" s="1"/>
  <c r="P195" i="4" s="1"/>
  <c r="Q194" i="4"/>
  <c r="O194" i="4"/>
  <c r="M194" i="4"/>
  <c r="N194" i="4" s="1"/>
  <c r="K194" i="4"/>
  <c r="L194" i="4" s="1"/>
  <c r="P194" i="4" s="1"/>
  <c r="Q193" i="4"/>
  <c r="O193" i="4"/>
  <c r="M193" i="4"/>
  <c r="N193" i="4" s="1"/>
  <c r="K193" i="4"/>
  <c r="L193" i="4" s="1"/>
  <c r="P193" i="4" s="1"/>
  <c r="Q192" i="4"/>
  <c r="O192" i="4"/>
  <c r="M192" i="4"/>
  <c r="N192" i="4" s="1"/>
  <c r="K192" i="4"/>
  <c r="L192" i="4" s="1"/>
  <c r="Q191" i="4"/>
  <c r="O191" i="4"/>
  <c r="M191" i="4"/>
  <c r="N191" i="4" s="1"/>
  <c r="K191" i="4"/>
  <c r="L191" i="4" s="1"/>
  <c r="P191" i="4" s="1"/>
  <c r="Q190" i="4"/>
  <c r="O190" i="4"/>
  <c r="M190" i="4"/>
  <c r="N190" i="4" s="1"/>
  <c r="K190" i="4"/>
  <c r="L190" i="4" s="1"/>
  <c r="P190" i="4" s="1"/>
  <c r="Q189" i="4"/>
  <c r="O189" i="4"/>
  <c r="M189" i="4"/>
  <c r="N189" i="4" s="1"/>
  <c r="K189" i="4"/>
  <c r="L189" i="4" s="1"/>
  <c r="Q188" i="4"/>
  <c r="O188" i="4"/>
  <c r="M188" i="4"/>
  <c r="N188" i="4" s="1"/>
  <c r="K188" i="4"/>
  <c r="L188" i="4" s="1"/>
  <c r="P188" i="4" s="1"/>
  <c r="Q187" i="4"/>
  <c r="O187" i="4"/>
  <c r="M187" i="4"/>
  <c r="N187" i="4" s="1"/>
  <c r="K187" i="4"/>
  <c r="L187" i="4" s="1"/>
  <c r="Q186" i="4"/>
  <c r="O186" i="4"/>
  <c r="M186" i="4"/>
  <c r="N186" i="4" s="1"/>
  <c r="K186" i="4"/>
  <c r="L186" i="4" s="1"/>
  <c r="P186" i="4" s="1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O185" i="4"/>
  <c r="M185" i="4"/>
  <c r="N185" i="4" s="1"/>
  <c r="K185" i="4"/>
  <c r="L185" i="4" s="1"/>
  <c r="O184" i="4"/>
  <c r="M184" i="4"/>
  <c r="N184" i="4" s="1"/>
  <c r="K184" i="4"/>
  <c r="L184" i="4" s="1"/>
  <c r="P184" i="4" s="1"/>
  <c r="O183" i="4"/>
  <c r="M183" i="4"/>
  <c r="N183" i="4" s="1"/>
  <c r="K183" i="4"/>
  <c r="L183" i="4" s="1"/>
  <c r="O182" i="4"/>
  <c r="M182" i="4"/>
  <c r="K182" i="4"/>
  <c r="O181" i="4"/>
  <c r="M181" i="4"/>
  <c r="K181" i="4"/>
  <c r="O180" i="4"/>
  <c r="M180" i="4"/>
  <c r="K180" i="4"/>
  <c r="O179" i="4"/>
  <c r="M179" i="4"/>
  <c r="K179" i="4"/>
  <c r="O178" i="4"/>
  <c r="M178" i="4"/>
  <c r="K178" i="4"/>
  <c r="O177" i="4"/>
  <c r="M177" i="4"/>
  <c r="K177" i="4"/>
  <c r="O176" i="4"/>
  <c r="M176" i="4"/>
  <c r="K176" i="4"/>
  <c r="O175" i="4"/>
  <c r="M175" i="4"/>
  <c r="K175" i="4"/>
  <c r="O174" i="4"/>
  <c r="M174" i="4"/>
  <c r="K174" i="4"/>
  <c r="O173" i="4"/>
  <c r="M173" i="4"/>
  <c r="K173" i="4"/>
  <c r="O172" i="4"/>
  <c r="M172" i="4"/>
  <c r="K172" i="4"/>
  <c r="O171" i="4"/>
  <c r="M171" i="4"/>
  <c r="K171" i="4"/>
  <c r="O170" i="4"/>
  <c r="M170" i="4"/>
  <c r="K170" i="4"/>
  <c r="O169" i="4"/>
  <c r="M169" i="4"/>
  <c r="K169" i="4"/>
  <c r="O168" i="4"/>
  <c r="M168" i="4"/>
  <c r="K168" i="4"/>
  <c r="O167" i="4"/>
  <c r="M167" i="4"/>
  <c r="K167" i="4"/>
  <c r="O166" i="4"/>
  <c r="M166" i="4"/>
  <c r="K166" i="4"/>
  <c r="O165" i="4"/>
  <c r="M165" i="4"/>
  <c r="K165" i="4"/>
  <c r="O164" i="4"/>
  <c r="M164" i="4"/>
  <c r="K164" i="4"/>
  <c r="O163" i="4"/>
  <c r="M163" i="4"/>
  <c r="K163" i="4"/>
  <c r="O162" i="4"/>
  <c r="M162" i="4"/>
  <c r="K162" i="4"/>
  <c r="O161" i="4"/>
  <c r="M161" i="4"/>
  <c r="K161" i="4"/>
  <c r="O160" i="4"/>
  <c r="M160" i="4"/>
  <c r="K160" i="4"/>
  <c r="O159" i="4"/>
  <c r="M159" i="4"/>
  <c r="K159" i="4"/>
  <c r="O158" i="4"/>
  <c r="M158" i="4"/>
  <c r="K158" i="4"/>
  <c r="O157" i="4"/>
  <c r="M157" i="4"/>
  <c r="K157" i="4"/>
  <c r="O156" i="4"/>
  <c r="M156" i="4"/>
  <c r="K156" i="4"/>
  <c r="O155" i="4"/>
  <c r="M155" i="4"/>
  <c r="K155" i="4"/>
  <c r="O154" i="4"/>
  <c r="M154" i="4"/>
  <c r="K154" i="4"/>
  <c r="O153" i="4"/>
  <c r="M153" i="4"/>
  <c r="K153" i="4"/>
  <c r="O152" i="4"/>
  <c r="M152" i="4"/>
  <c r="K152" i="4"/>
  <c r="O151" i="4"/>
  <c r="M151" i="4"/>
  <c r="K151" i="4"/>
  <c r="O150" i="4"/>
  <c r="M150" i="4"/>
  <c r="K150" i="4"/>
  <c r="O149" i="4"/>
  <c r="M149" i="4"/>
  <c r="K149" i="4"/>
  <c r="O148" i="4"/>
  <c r="M148" i="4"/>
  <c r="K148" i="4"/>
  <c r="O147" i="4"/>
  <c r="M147" i="4"/>
  <c r="K147" i="4"/>
  <c r="O146" i="4"/>
  <c r="M146" i="4"/>
  <c r="K146" i="4"/>
  <c r="O145" i="4"/>
  <c r="M145" i="4"/>
  <c r="K145" i="4"/>
  <c r="O144" i="4"/>
  <c r="M144" i="4"/>
  <c r="K144" i="4"/>
  <c r="O143" i="4"/>
  <c r="M143" i="4"/>
  <c r="K143" i="4"/>
  <c r="O142" i="4"/>
  <c r="M142" i="4"/>
  <c r="K142" i="4"/>
  <c r="O141" i="4"/>
  <c r="M141" i="4"/>
  <c r="K141" i="4"/>
  <c r="O140" i="4"/>
  <c r="M140" i="4"/>
  <c r="K140" i="4"/>
  <c r="O139" i="4"/>
  <c r="M139" i="4"/>
  <c r="K139" i="4"/>
  <c r="O138" i="4"/>
  <c r="M138" i="4"/>
  <c r="K138" i="4"/>
  <c r="O137" i="4"/>
  <c r="M137" i="4"/>
  <c r="K137" i="4"/>
  <c r="O136" i="4"/>
  <c r="M136" i="4"/>
  <c r="K136" i="4"/>
  <c r="O135" i="4"/>
  <c r="M135" i="4"/>
  <c r="K135" i="4"/>
  <c r="O134" i="4"/>
  <c r="M134" i="4"/>
  <c r="K134" i="4"/>
  <c r="O133" i="4"/>
  <c r="M133" i="4"/>
  <c r="K133" i="4"/>
  <c r="O132" i="4"/>
  <c r="M132" i="4"/>
  <c r="K132" i="4"/>
  <c r="O131" i="4"/>
  <c r="M131" i="4"/>
  <c r="K131" i="4"/>
  <c r="O130" i="4"/>
  <c r="M130" i="4"/>
  <c r="K130" i="4"/>
  <c r="O129" i="4"/>
  <c r="M129" i="4"/>
  <c r="K129" i="4"/>
  <c r="O128" i="4"/>
  <c r="M128" i="4"/>
  <c r="K128" i="4"/>
  <c r="O127" i="4"/>
  <c r="M127" i="4"/>
  <c r="K127" i="4"/>
  <c r="O126" i="4"/>
  <c r="M126" i="4"/>
  <c r="K126" i="4"/>
  <c r="O125" i="4"/>
  <c r="M125" i="4"/>
  <c r="K125" i="4"/>
  <c r="O124" i="4"/>
  <c r="M124" i="4"/>
  <c r="K124" i="4"/>
  <c r="O123" i="4"/>
  <c r="M123" i="4"/>
  <c r="K123" i="4"/>
  <c r="O122" i="4"/>
  <c r="M122" i="4"/>
  <c r="K122" i="4"/>
  <c r="O121" i="4"/>
  <c r="M121" i="4"/>
  <c r="K121" i="4"/>
  <c r="O120" i="4"/>
  <c r="M120" i="4"/>
  <c r="K120" i="4"/>
  <c r="O119" i="4"/>
  <c r="M119" i="4"/>
  <c r="K119" i="4"/>
  <c r="O118" i="4"/>
  <c r="M118" i="4"/>
  <c r="K118" i="4"/>
  <c r="O117" i="4"/>
  <c r="M117" i="4"/>
  <c r="K117" i="4"/>
  <c r="O116" i="4"/>
  <c r="M116" i="4"/>
  <c r="K116" i="4"/>
  <c r="O115" i="4"/>
  <c r="M115" i="4"/>
  <c r="K115" i="4"/>
  <c r="O114" i="4"/>
  <c r="M114" i="4"/>
  <c r="K114" i="4"/>
  <c r="O113" i="4"/>
  <c r="M113" i="4"/>
  <c r="K113" i="4"/>
  <c r="O112" i="4"/>
  <c r="M112" i="4"/>
  <c r="K112" i="4"/>
  <c r="O111" i="4"/>
  <c r="M111" i="4"/>
  <c r="K111" i="4"/>
  <c r="O110" i="4"/>
  <c r="M110" i="4"/>
  <c r="K110" i="4"/>
  <c r="O109" i="4"/>
  <c r="M109" i="4"/>
  <c r="K109" i="4"/>
  <c r="O108" i="4"/>
  <c r="M108" i="4"/>
  <c r="K108" i="4"/>
  <c r="O107" i="4"/>
  <c r="M107" i="4"/>
  <c r="K107" i="4"/>
  <c r="O106" i="4"/>
  <c r="M106" i="4"/>
  <c r="K106" i="4"/>
  <c r="O105" i="4"/>
  <c r="M105" i="4"/>
  <c r="K105" i="4"/>
  <c r="O104" i="4"/>
  <c r="M104" i="4"/>
  <c r="K104" i="4"/>
  <c r="O103" i="4"/>
  <c r="M103" i="4"/>
  <c r="K103" i="4"/>
  <c r="O102" i="4"/>
  <c r="M102" i="4"/>
  <c r="K102" i="4"/>
  <c r="O101" i="4"/>
  <c r="M101" i="4"/>
  <c r="K101" i="4"/>
  <c r="O100" i="4"/>
  <c r="M100" i="4"/>
  <c r="K100" i="4"/>
  <c r="O99" i="4"/>
  <c r="M99" i="4"/>
  <c r="K99" i="4"/>
  <c r="O98" i="4"/>
  <c r="M98" i="4"/>
  <c r="K98" i="4"/>
  <c r="O97" i="4"/>
  <c r="M97" i="4"/>
  <c r="K97" i="4"/>
  <c r="O96" i="4"/>
  <c r="M96" i="4"/>
  <c r="K96" i="4"/>
  <c r="O95" i="4"/>
  <c r="M95" i="4"/>
  <c r="K95" i="4"/>
  <c r="O94" i="4"/>
  <c r="M94" i="4"/>
  <c r="K94" i="4"/>
  <c r="O93" i="4"/>
  <c r="M93" i="4"/>
  <c r="K93" i="4"/>
  <c r="O92" i="4"/>
  <c r="M92" i="4"/>
  <c r="K92" i="4"/>
  <c r="O91" i="4"/>
  <c r="M91" i="4"/>
  <c r="K91" i="4"/>
  <c r="O90" i="4"/>
  <c r="M90" i="4"/>
  <c r="K90" i="4"/>
  <c r="O89" i="4"/>
  <c r="M89" i="4"/>
  <c r="K89" i="4"/>
  <c r="O88" i="4"/>
  <c r="M88" i="4"/>
  <c r="K88" i="4"/>
  <c r="O87" i="4"/>
  <c r="M87" i="4"/>
  <c r="K87" i="4"/>
  <c r="O86" i="4"/>
  <c r="M86" i="4"/>
  <c r="K86" i="4"/>
  <c r="O85" i="4"/>
  <c r="M85" i="4"/>
  <c r="K85" i="4"/>
  <c r="O84" i="4"/>
  <c r="M84" i="4"/>
  <c r="K84" i="4"/>
  <c r="O83" i="4"/>
  <c r="M83" i="4"/>
  <c r="K83" i="4"/>
  <c r="O82" i="4"/>
  <c r="M82" i="4"/>
  <c r="K82" i="4"/>
  <c r="O81" i="4"/>
  <c r="M81" i="4"/>
  <c r="K81" i="4"/>
  <c r="O80" i="4"/>
  <c r="M80" i="4"/>
  <c r="K80" i="4"/>
  <c r="O79" i="4"/>
  <c r="M79" i="4"/>
  <c r="K79" i="4"/>
  <c r="O78" i="4"/>
  <c r="M78" i="4"/>
  <c r="K78" i="4"/>
  <c r="O77" i="4"/>
  <c r="M77" i="4"/>
  <c r="K77" i="4"/>
  <c r="O76" i="4"/>
  <c r="M76" i="4"/>
  <c r="K76" i="4"/>
  <c r="O75" i="4"/>
  <c r="M75" i="4"/>
  <c r="K75" i="4"/>
  <c r="O74" i="4"/>
  <c r="M74" i="4"/>
  <c r="K74" i="4"/>
  <c r="O73" i="4"/>
  <c r="M73" i="4"/>
  <c r="K73" i="4"/>
  <c r="O72" i="4"/>
  <c r="M72" i="4"/>
  <c r="K72" i="4"/>
  <c r="O71" i="4"/>
  <c r="M71" i="4"/>
  <c r="K71" i="4"/>
  <c r="O70" i="4"/>
  <c r="M70" i="4"/>
  <c r="K70" i="4"/>
  <c r="O69" i="4"/>
  <c r="M69" i="4"/>
  <c r="K69" i="4"/>
  <c r="O68" i="4"/>
  <c r="M68" i="4"/>
  <c r="K68" i="4"/>
  <c r="O67" i="4"/>
  <c r="M67" i="4"/>
  <c r="K67" i="4"/>
  <c r="O66" i="4"/>
  <c r="M66" i="4"/>
  <c r="K66" i="4"/>
  <c r="O65" i="4"/>
  <c r="M65" i="4"/>
  <c r="K65" i="4"/>
  <c r="O64" i="4"/>
  <c r="M64" i="4"/>
  <c r="K64" i="4"/>
  <c r="O63" i="4"/>
  <c r="M63" i="4"/>
  <c r="K63" i="4"/>
  <c r="O62" i="4"/>
  <c r="M62" i="4"/>
  <c r="K62" i="4"/>
  <c r="O61" i="4"/>
  <c r="M61" i="4"/>
  <c r="K61" i="4"/>
  <c r="O60" i="4"/>
  <c r="M60" i="4"/>
  <c r="K60" i="4"/>
  <c r="O59" i="4"/>
  <c r="M59" i="4"/>
  <c r="K59" i="4"/>
  <c r="O58" i="4"/>
  <c r="M58" i="4"/>
  <c r="K58" i="4"/>
  <c r="O57" i="4"/>
  <c r="M57" i="4"/>
  <c r="K57" i="4"/>
  <c r="O56" i="4"/>
  <c r="M56" i="4"/>
  <c r="K56" i="4"/>
  <c r="O55" i="4"/>
  <c r="M55" i="4"/>
  <c r="K55" i="4"/>
  <c r="O54" i="4"/>
  <c r="M54" i="4"/>
  <c r="K54" i="4"/>
  <c r="O53" i="4"/>
  <c r="M53" i="4"/>
  <c r="K53" i="4"/>
  <c r="O52" i="4"/>
  <c r="M52" i="4"/>
  <c r="K52" i="4"/>
  <c r="O51" i="4"/>
  <c r="M51" i="4"/>
  <c r="K51" i="4"/>
  <c r="O50" i="4"/>
  <c r="M50" i="4"/>
  <c r="K50" i="4"/>
  <c r="O49" i="4"/>
  <c r="M49" i="4"/>
  <c r="K49" i="4"/>
  <c r="O48" i="4"/>
  <c r="M48" i="4"/>
  <c r="K48" i="4"/>
  <c r="O47" i="4"/>
  <c r="M47" i="4"/>
  <c r="K47" i="4"/>
  <c r="O46" i="4"/>
  <c r="M46" i="4"/>
  <c r="K46" i="4"/>
  <c r="O45" i="4"/>
  <c r="M45" i="4"/>
  <c r="K45" i="4"/>
  <c r="O44" i="4"/>
  <c r="M44" i="4"/>
  <c r="K44" i="4"/>
  <c r="O43" i="4"/>
  <c r="M43" i="4"/>
  <c r="K43" i="4"/>
  <c r="O42" i="4"/>
  <c r="M42" i="4"/>
  <c r="K42" i="4"/>
  <c r="O41" i="4"/>
  <c r="M41" i="4"/>
  <c r="K41" i="4"/>
  <c r="O40" i="4"/>
  <c r="M40" i="4"/>
  <c r="K40" i="4"/>
  <c r="O39" i="4"/>
  <c r="M39" i="4"/>
  <c r="K39" i="4"/>
  <c r="O38" i="4"/>
  <c r="M38" i="4"/>
  <c r="K38" i="4"/>
  <c r="O37" i="4"/>
  <c r="M37" i="4"/>
  <c r="K37" i="4"/>
  <c r="O36" i="4"/>
  <c r="M36" i="4"/>
  <c r="K36" i="4"/>
  <c r="O35" i="4"/>
  <c r="M35" i="4"/>
  <c r="K35" i="4"/>
  <c r="O34" i="4"/>
  <c r="M34" i="4"/>
  <c r="K34" i="4"/>
  <c r="O33" i="4"/>
  <c r="M33" i="4"/>
  <c r="K33" i="4"/>
  <c r="O32" i="4"/>
  <c r="M32" i="4"/>
  <c r="K32" i="4"/>
  <c r="O31" i="4"/>
  <c r="M31" i="4"/>
  <c r="K31" i="4"/>
  <c r="O30" i="4"/>
  <c r="M30" i="4"/>
  <c r="K30" i="4"/>
  <c r="O29" i="4"/>
  <c r="M29" i="4"/>
  <c r="K29" i="4"/>
  <c r="O28" i="4"/>
  <c r="M28" i="4"/>
  <c r="K28" i="4"/>
  <c r="O27" i="4"/>
  <c r="M27" i="4"/>
  <c r="K27" i="4"/>
  <c r="O26" i="4"/>
  <c r="M26" i="4"/>
  <c r="K26" i="4"/>
  <c r="O25" i="4"/>
  <c r="M25" i="4"/>
  <c r="K25" i="4"/>
  <c r="O24" i="4"/>
  <c r="M24" i="4"/>
  <c r="K24" i="4"/>
  <c r="O23" i="4"/>
  <c r="M23" i="4"/>
  <c r="K23" i="4"/>
  <c r="O22" i="4"/>
  <c r="M22" i="4"/>
  <c r="K22" i="4"/>
  <c r="O21" i="4"/>
  <c r="M21" i="4"/>
  <c r="K21" i="4"/>
  <c r="O20" i="4"/>
  <c r="M20" i="4"/>
  <c r="K20" i="4"/>
  <c r="O19" i="4"/>
  <c r="M19" i="4"/>
  <c r="K19" i="4"/>
  <c r="K18" i="4"/>
  <c r="O18" i="4"/>
  <c r="M18" i="4"/>
  <c r="P192" i="4" l="1"/>
  <c r="P189" i="4"/>
  <c r="P187" i="4"/>
  <c r="P185" i="4"/>
  <c r="P183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L20" i="4" l="1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P20" i="4" l="1"/>
  <c r="L21" i="4"/>
  <c r="T2" i="5"/>
  <c r="T3" i="5"/>
  <c r="T4" i="3"/>
  <c r="S5" i="3"/>
  <c r="L22" i="4" l="1"/>
  <c r="P21" i="4"/>
  <c r="T4" i="5"/>
  <c r="S6" i="3"/>
  <c r="T6" i="3" s="1"/>
  <c r="T5" i="3"/>
  <c r="L23" i="4" l="1"/>
  <c r="P22" i="4"/>
  <c r="T6" i="5"/>
  <c r="T5" i="5"/>
  <c r="L24" i="4" l="1"/>
  <c r="P23" i="4"/>
  <c r="P18" i="4"/>
  <c r="P24" i="4" l="1"/>
  <c r="L25" i="4"/>
  <c r="L26" i="4" l="1"/>
  <c r="P25" i="4"/>
  <c r="L27" i="4" l="1"/>
  <c r="P26" i="4"/>
  <c r="L28" i="4" l="1"/>
  <c r="P27" i="4"/>
  <c r="P28" i="4" l="1"/>
  <c r="L29" i="4"/>
  <c r="L30" i="4" l="1"/>
  <c r="P29" i="4"/>
  <c r="L31" i="4" l="1"/>
  <c r="P30" i="4"/>
  <c r="L32" i="4" l="1"/>
  <c r="P31" i="4"/>
  <c r="P32" i="4" l="1"/>
  <c r="L33" i="4"/>
  <c r="L34" i="4" l="1"/>
  <c r="P33" i="4"/>
  <c r="L35" i="4" l="1"/>
  <c r="P34" i="4"/>
  <c r="L36" i="4" l="1"/>
  <c r="P35" i="4"/>
  <c r="P36" i="4" l="1"/>
  <c r="L37" i="4"/>
  <c r="L38" i="4" l="1"/>
  <c r="P37" i="4"/>
  <c r="L39" i="4" l="1"/>
  <c r="P38" i="4"/>
  <c r="L40" i="4" l="1"/>
  <c r="P39" i="4"/>
  <c r="P40" i="4" l="1"/>
  <c r="L41" i="4"/>
  <c r="L42" i="4" l="1"/>
  <c r="P41" i="4"/>
  <c r="L43" i="4" l="1"/>
  <c r="P42" i="4"/>
  <c r="L44" i="4" l="1"/>
  <c r="P43" i="4"/>
  <c r="P44" i="4" l="1"/>
  <c r="L45" i="4"/>
  <c r="L46" i="4" l="1"/>
  <c r="P45" i="4"/>
  <c r="L47" i="4" l="1"/>
  <c r="P46" i="4"/>
  <c r="L48" i="4" l="1"/>
  <c r="P47" i="4"/>
  <c r="P48" i="4" l="1"/>
  <c r="L49" i="4"/>
  <c r="L50" i="4" l="1"/>
  <c r="P49" i="4"/>
  <c r="L51" i="4" l="1"/>
  <c r="P50" i="4"/>
  <c r="L52" i="4" l="1"/>
  <c r="P51" i="4"/>
  <c r="P52" i="4" l="1"/>
  <c r="L53" i="4"/>
  <c r="L54" i="4" l="1"/>
  <c r="P53" i="4"/>
  <c r="L55" i="4" l="1"/>
  <c r="P54" i="4"/>
  <c r="L56" i="4" l="1"/>
  <c r="P55" i="4"/>
  <c r="P56" i="4" l="1"/>
  <c r="L57" i="4"/>
  <c r="L58" i="4" l="1"/>
  <c r="P57" i="4"/>
  <c r="L59" i="4" l="1"/>
  <c r="P58" i="4"/>
  <c r="L60" i="4" l="1"/>
  <c r="P59" i="4"/>
  <c r="P60" i="4" l="1"/>
  <c r="L61" i="4"/>
  <c r="L62" i="4" l="1"/>
  <c r="P61" i="4"/>
  <c r="L63" i="4" l="1"/>
  <c r="P62" i="4"/>
  <c r="L64" i="4" l="1"/>
  <c r="P63" i="4"/>
  <c r="P64" i="4" l="1"/>
  <c r="L65" i="4"/>
  <c r="L66" i="4" l="1"/>
  <c r="P65" i="4"/>
  <c r="L67" i="4" l="1"/>
  <c r="P66" i="4"/>
  <c r="L68" i="4" l="1"/>
  <c r="P67" i="4"/>
  <c r="P68" i="4" l="1"/>
  <c r="L69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2" i="4" s="1"/>
  <c r="P181" i="4"/>
</calcChain>
</file>

<file path=xl/sharedStrings.xml><?xml version="1.0" encoding="utf-8"?>
<sst xmlns="http://schemas.openxmlformats.org/spreadsheetml/2006/main" count="471" uniqueCount="451">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</sst>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データ!$A$3:$A$197</c:f>
              <c:numCache>
                <c:formatCode>m/d/yyyy\ h:mm</c:formatCode>
                <c:ptCount val="195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</c:numCache>
            </c:numRef>
          </c:xVal>
          <c:yVal>
            <c:numRef>
              <c:f>データ!$B$3:$B$197</c:f>
              <c:numCache>
                <c:formatCode>General</c:formatCode>
                <c:ptCount val="195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12-4DCE-8962-62EB507D99F1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0112-4DCE-8962-62EB507D99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4352816"/>
        <c:axId val="1874345136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データ!$A$3:$A$197</c:f>
              <c:numCache>
                <c:formatCode>m/d/yyyy\ h:mm</c:formatCode>
                <c:ptCount val="195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</c:numCache>
            </c:numRef>
          </c:xVal>
          <c:yVal>
            <c:numRef>
              <c:f>データ!$Q$3:$Q$197</c:f>
              <c:numCache>
                <c:formatCode>[h]:mm</c:formatCode>
                <c:ptCount val="195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12-4DCE-8962-62EB507D99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4356176"/>
        <c:axId val="1874335056"/>
      </c:scatterChart>
      <c:valAx>
        <c:axId val="1874352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74345136"/>
        <c:crosses val="autoZero"/>
        <c:crossBetween val="midCat"/>
      </c:valAx>
      <c:valAx>
        <c:axId val="1874345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74352816"/>
        <c:crosses val="autoZero"/>
        <c:crossBetween val="midCat"/>
      </c:valAx>
      <c:valAx>
        <c:axId val="1874335056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74356176"/>
        <c:crosses val="max"/>
        <c:crossBetween val="midCat"/>
      </c:valAx>
      <c:valAx>
        <c:axId val="1874356176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74335056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211931</xdr:colOff>
      <xdr:row>1</xdr:row>
      <xdr:rowOff>178593</xdr:rowOff>
    </xdr:from>
    <xdr:to>
      <xdr:col>9</xdr:col>
      <xdr:colOff>211931</xdr:colOff>
      <xdr:row>1</xdr:row>
      <xdr:rowOff>178593</xdr:rowOff>
    </xdr:to>
    <xdr:cxnSp macro="">
      <xdr:nvCxnSpPr>
        <xdr:cNvPr id="63" name="Match0">
          <a:extLst>
            <a:ext uri="{FF2B5EF4-FFF2-40B4-BE49-F238E27FC236}">
              <a16:creationId xmlns:a16="http://schemas.microsoft.com/office/drawing/2014/main" id="{46DDD076-5368-E903-71A9-74AAA98A79EC}"/>
            </a:ext>
          </a:extLst>
        </xdr:cNvPr>
        <xdr:cNvCxnSpPr/>
      </xdr:nvCxnSpPr>
      <xdr:spPr>
        <a:xfrm>
          <a:off x="3602831" y="5357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1</xdr:row>
      <xdr:rowOff>203993</xdr:rowOff>
    </xdr:from>
    <xdr:to>
      <xdr:col>8</xdr:col>
      <xdr:colOff>237331</xdr:colOff>
      <xdr:row>2</xdr:row>
      <xdr:rowOff>203994</xdr:rowOff>
    </xdr:to>
    <xdr:cxnSp macro="">
      <xdr:nvCxnSpPr>
        <xdr:cNvPr id="1024" name="Match1">
          <a:extLst>
            <a:ext uri="{FF2B5EF4-FFF2-40B4-BE49-F238E27FC236}">
              <a16:creationId xmlns:a16="http://schemas.microsoft.com/office/drawing/2014/main" id="{8F096014-699E-269C-9CF2-B6CB27ADDEB9}"/>
            </a:ext>
          </a:extLst>
        </xdr:cNvPr>
        <xdr:cNvCxnSpPr/>
      </xdr:nvCxnSpPr>
      <xdr:spPr>
        <a:xfrm>
          <a:off x="3628231" y="5611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262731</xdr:colOff>
      <xdr:row>1</xdr:row>
      <xdr:rowOff>229393</xdr:rowOff>
    </xdr:from>
    <xdr:to>
      <xdr:col>8</xdr:col>
      <xdr:colOff>262731</xdr:colOff>
      <xdr:row>2</xdr:row>
      <xdr:rowOff>229394</xdr:rowOff>
    </xdr:to>
    <xdr:cxnSp macro="">
      <xdr:nvCxnSpPr>
        <xdr:cNvPr id="1025" name="Match2">
          <a:extLst>
            <a:ext uri="{FF2B5EF4-FFF2-40B4-BE49-F238E27FC236}">
              <a16:creationId xmlns:a16="http://schemas.microsoft.com/office/drawing/2014/main" id="{C8FBC577-EDE9-9DB8-AA16-1697B7D45BD6}"/>
            </a:ext>
          </a:extLst>
        </xdr:cNvPr>
        <xdr:cNvCxnSpPr/>
      </xdr:nvCxnSpPr>
      <xdr:spPr>
        <a:xfrm flipH="1">
          <a:off x="3229769" y="586581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2</xdr:row>
      <xdr:rowOff>178594</xdr:rowOff>
    </xdr:from>
    <xdr:to>
      <xdr:col>9</xdr:col>
      <xdr:colOff>211931</xdr:colOff>
      <xdr:row>3</xdr:row>
      <xdr:rowOff>178593</xdr:rowOff>
    </xdr:to>
    <xdr:cxnSp macro="">
      <xdr:nvCxnSpPr>
        <xdr:cNvPr id="1026" name="Match3">
          <a:extLst>
            <a:ext uri="{FF2B5EF4-FFF2-40B4-BE49-F238E27FC236}">
              <a16:creationId xmlns:a16="http://schemas.microsoft.com/office/drawing/2014/main" id="{4BF1AC31-CFD2-8E63-DCBC-0C165DDDD9FB}"/>
            </a:ext>
          </a:extLst>
        </xdr:cNvPr>
        <xdr:cNvCxnSpPr/>
      </xdr:nvCxnSpPr>
      <xdr:spPr>
        <a:xfrm flipH="1" flipV="1">
          <a:off x="3602831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6</xdr:row>
      <xdr:rowOff>178594</xdr:rowOff>
    </xdr:from>
    <xdr:to>
      <xdr:col>2</xdr:col>
      <xdr:colOff>211931</xdr:colOff>
      <xdr:row>7</xdr:row>
      <xdr:rowOff>178593</xdr:rowOff>
    </xdr:to>
    <xdr:cxnSp macro="">
      <xdr:nvCxnSpPr>
        <xdr:cNvPr id="1027" name="Match4">
          <a:extLst>
            <a:ext uri="{FF2B5EF4-FFF2-40B4-BE49-F238E27FC236}">
              <a16:creationId xmlns:a16="http://schemas.microsoft.com/office/drawing/2014/main" id="{2FF3E22A-6D48-EAF9-ED6D-EB8678F98EAE}"/>
            </a:ext>
          </a:extLst>
        </xdr:cNvPr>
        <xdr:cNvCxnSpPr/>
      </xdr:nvCxnSpPr>
      <xdr:spPr>
        <a:xfrm>
          <a:off x="635794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7</xdr:row>
      <xdr:rowOff>178593</xdr:rowOff>
    </xdr:from>
    <xdr:to>
      <xdr:col>4</xdr:col>
      <xdr:colOff>211931</xdr:colOff>
      <xdr:row>8</xdr:row>
      <xdr:rowOff>178594</xdr:rowOff>
    </xdr:to>
    <xdr:cxnSp macro="">
      <xdr:nvCxnSpPr>
        <xdr:cNvPr id="1028" name="Match5">
          <a:extLst>
            <a:ext uri="{FF2B5EF4-FFF2-40B4-BE49-F238E27FC236}">
              <a16:creationId xmlns:a16="http://schemas.microsoft.com/office/drawing/2014/main" id="{CE6DE040-97D5-F5B5-E6EF-433966A696B9}"/>
            </a:ext>
          </a:extLst>
        </xdr:cNvPr>
        <xdr:cNvCxnSpPr/>
      </xdr:nvCxnSpPr>
      <xdr:spPr>
        <a:xfrm>
          <a:off x="1483519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7</xdr:row>
      <xdr:rowOff>203993</xdr:rowOff>
    </xdr:from>
    <xdr:to>
      <xdr:col>3</xdr:col>
      <xdr:colOff>237331</xdr:colOff>
      <xdr:row>7</xdr:row>
      <xdr:rowOff>203993</xdr:rowOff>
    </xdr:to>
    <xdr:cxnSp macro="">
      <xdr:nvCxnSpPr>
        <xdr:cNvPr id="1029" name="Match6">
          <a:extLst>
            <a:ext uri="{FF2B5EF4-FFF2-40B4-BE49-F238E27FC236}">
              <a16:creationId xmlns:a16="http://schemas.microsoft.com/office/drawing/2014/main" id="{AD1191E8-83B7-D58A-5848-FF0BBC03FBE8}"/>
            </a:ext>
          </a:extLst>
        </xdr:cNvPr>
        <xdr:cNvCxnSpPr/>
      </xdr:nvCxnSpPr>
      <xdr:spPr>
        <a:xfrm flipH="1">
          <a:off x="1085056" y="2704306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7</xdr:row>
      <xdr:rowOff>178593</xdr:rowOff>
    </xdr:from>
    <xdr:to>
      <xdr:col>5</xdr:col>
      <xdr:colOff>211931</xdr:colOff>
      <xdr:row>8</xdr:row>
      <xdr:rowOff>178594</xdr:rowOff>
    </xdr:to>
    <xdr:cxnSp macro="">
      <xdr:nvCxnSpPr>
        <xdr:cNvPr id="1030" name="Match7">
          <a:extLst>
            <a:ext uri="{FF2B5EF4-FFF2-40B4-BE49-F238E27FC236}">
              <a16:creationId xmlns:a16="http://schemas.microsoft.com/office/drawing/2014/main" id="{8673F8A9-D656-CE7C-F945-46A08806F583}"/>
            </a:ext>
          </a:extLst>
        </xdr:cNvPr>
        <xdr:cNvCxnSpPr/>
      </xdr:nvCxnSpPr>
      <xdr:spPr>
        <a:xfrm flipH="1">
          <a:off x="1907381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6</xdr:row>
      <xdr:rowOff>178594</xdr:rowOff>
    </xdr:from>
    <xdr:to>
      <xdr:col>9</xdr:col>
      <xdr:colOff>211931</xdr:colOff>
      <xdr:row>7</xdr:row>
      <xdr:rowOff>178593</xdr:rowOff>
    </xdr:to>
    <xdr:cxnSp macro="">
      <xdr:nvCxnSpPr>
        <xdr:cNvPr id="1031" name="Match8">
          <a:extLst>
            <a:ext uri="{FF2B5EF4-FFF2-40B4-BE49-F238E27FC236}">
              <a16:creationId xmlns:a16="http://schemas.microsoft.com/office/drawing/2014/main" id="{238C2275-689A-D236-54E5-1C375A3C2F16}"/>
            </a:ext>
          </a:extLst>
        </xdr:cNvPr>
        <xdr:cNvCxnSpPr/>
      </xdr:nvCxnSpPr>
      <xdr:spPr>
        <a:xfrm flipV="1">
          <a:off x="4026694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8</xdr:row>
      <xdr:rowOff>178594</xdr:rowOff>
    </xdr:from>
    <xdr:to>
      <xdr:col>7</xdr:col>
      <xdr:colOff>211931</xdr:colOff>
      <xdr:row>9</xdr:row>
      <xdr:rowOff>178593</xdr:rowOff>
    </xdr:to>
    <xdr:cxnSp macro="">
      <xdr:nvCxnSpPr>
        <xdr:cNvPr id="1032" name="Match9">
          <a:extLst>
            <a:ext uri="{FF2B5EF4-FFF2-40B4-BE49-F238E27FC236}">
              <a16:creationId xmlns:a16="http://schemas.microsoft.com/office/drawing/2014/main" id="{0F1663F6-7F01-5DBD-0C2C-CFE37E67D49A}"/>
            </a:ext>
          </a:extLst>
        </xdr:cNvPr>
        <xdr:cNvCxnSpPr/>
      </xdr:nvCxnSpPr>
      <xdr:spPr>
        <a:xfrm flipH="1">
          <a:off x="2755106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10</xdr:row>
      <xdr:rowOff>178594</xdr:rowOff>
    </xdr:from>
    <xdr:to>
      <xdr:col>5</xdr:col>
      <xdr:colOff>211931</xdr:colOff>
      <xdr:row>11</xdr:row>
      <xdr:rowOff>178593</xdr:rowOff>
    </xdr:to>
    <xdr:cxnSp macro="">
      <xdr:nvCxnSpPr>
        <xdr:cNvPr id="1033" name="Match10">
          <a:extLst>
            <a:ext uri="{FF2B5EF4-FFF2-40B4-BE49-F238E27FC236}">
              <a16:creationId xmlns:a16="http://schemas.microsoft.com/office/drawing/2014/main" id="{19168F21-EB72-A369-3A0B-1F9CB763F8ED}"/>
            </a:ext>
          </a:extLst>
        </xdr:cNvPr>
        <xdr:cNvCxnSpPr/>
      </xdr:nvCxnSpPr>
      <xdr:spPr>
        <a:xfrm>
          <a:off x="2331244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9</xdr:row>
      <xdr:rowOff>203993</xdr:rowOff>
    </xdr:from>
    <xdr:to>
      <xdr:col>5</xdr:col>
      <xdr:colOff>237331</xdr:colOff>
      <xdr:row>10</xdr:row>
      <xdr:rowOff>203994</xdr:rowOff>
    </xdr:to>
    <xdr:cxnSp macro="">
      <xdr:nvCxnSpPr>
        <xdr:cNvPr id="1034" name="Match11">
          <a:extLst>
            <a:ext uri="{FF2B5EF4-FFF2-40B4-BE49-F238E27FC236}">
              <a16:creationId xmlns:a16="http://schemas.microsoft.com/office/drawing/2014/main" id="{C84CEA9E-9F68-0745-B40D-4A5F1944A7F3}"/>
            </a:ext>
          </a:extLst>
        </xdr:cNvPr>
        <xdr:cNvCxnSpPr/>
      </xdr:nvCxnSpPr>
      <xdr:spPr>
        <a:xfrm flipV="1">
          <a:off x="2356644" y="34186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9</xdr:row>
      <xdr:rowOff>229393</xdr:rowOff>
    </xdr:from>
    <xdr:to>
      <xdr:col>6</xdr:col>
      <xdr:colOff>262731</xdr:colOff>
      <xdr:row>10</xdr:row>
      <xdr:rowOff>229394</xdr:rowOff>
    </xdr:to>
    <xdr:cxnSp macro="">
      <xdr:nvCxnSpPr>
        <xdr:cNvPr id="1035" name="Match12">
          <a:extLst>
            <a:ext uri="{FF2B5EF4-FFF2-40B4-BE49-F238E27FC236}">
              <a16:creationId xmlns:a16="http://schemas.microsoft.com/office/drawing/2014/main" id="{BA5BAD26-0161-4240-F49C-AB7CC1689FB7}"/>
            </a:ext>
          </a:extLst>
        </xdr:cNvPr>
        <xdr:cNvCxnSpPr/>
      </xdr:nvCxnSpPr>
      <xdr:spPr>
        <a:xfrm flipV="1">
          <a:off x="2382044" y="3444081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0</xdr:row>
      <xdr:rowOff>178594</xdr:rowOff>
    </xdr:from>
    <xdr:to>
      <xdr:col>10</xdr:col>
      <xdr:colOff>211931</xdr:colOff>
      <xdr:row>0</xdr:row>
      <xdr:rowOff>178594</xdr:rowOff>
    </xdr:to>
    <xdr:cxnSp macro="">
      <xdr:nvCxnSpPr>
        <xdr:cNvPr id="1036" name="Match13">
          <a:extLst>
            <a:ext uri="{FF2B5EF4-FFF2-40B4-BE49-F238E27FC236}">
              <a16:creationId xmlns:a16="http://schemas.microsoft.com/office/drawing/2014/main" id="{578BDED8-E8C6-A68D-7745-33DE550265DB}"/>
            </a:ext>
          </a:extLst>
        </xdr:cNvPr>
        <xdr:cNvCxnSpPr/>
      </xdr:nvCxnSpPr>
      <xdr:spPr>
        <a:xfrm>
          <a:off x="4026694" y="1785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0</xdr:row>
      <xdr:rowOff>203994</xdr:rowOff>
    </xdr:from>
    <xdr:to>
      <xdr:col>9</xdr:col>
      <xdr:colOff>237331</xdr:colOff>
      <xdr:row>1</xdr:row>
      <xdr:rowOff>203993</xdr:rowOff>
    </xdr:to>
    <xdr:cxnSp macro="">
      <xdr:nvCxnSpPr>
        <xdr:cNvPr id="1037" name="Match14">
          <a:extLst>
            <a:ext uri="{FF2B5EF4-FFF2-40B4-BE49-F238E27FC236}">
              <a16:creationId xmlns:a16="http://schemas.microsoft.com/office/drawing/2014/main" id="{85E15E4D-5460-E811-42CA-A280AFFB6930}"/>
            </a:ext>
          </a:extLst>
        </xdr:cNvPr>
        <xdr:cNvCxnSpPr/>
      </xdr:nvCxnSpPr>
      <xdr:spPr>
        <a:xfrm>
          <a:off x="4052094" y="2039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3</xdr:col>
      <xdr:colOff>211931</xdr:colOff>
      <xdr:row>1</xdr:row>
      <xdr:rowOff>178593</xdr:rowOff>
    </xdr:to>
    <xdr:cxnSp macro="">
      <xdr:nvCxnSpPr>
        <xdr:cNvPr id="1038" name="Match15">
          <a:extLst>
            <a:ext uri="{FF2B5EF4-FFF2-40B4-BE49-F238E27FC236}">
              <a16:creationId xmlns:a16="http://schemas.microsoft.com/office/drawing/2014/main" id="{BFD11130-CE9B-610E-B645-DC23AC1FBF44}"/>
            </a:ext>
          </a:extLst>
        </xdr:cNvPr>
        <xdr:cNvCxnSpPr/>
      </xdr:nvCxnSpPr>
      <xdr:spPr>
        <a:xfrm flipH="1" flipV="1">
          <a:off x="1059656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0</xdr:row>
      <xdr:rowOff>203994</xdr:rowOff>
    </xdr:from>
    <xdr:to>
      <xdr:col>3</xdr:col>
      <xdr:colOff>237331</xdr:colOff>
      <xdr:row>1</xdr:row>
      <xdr:rowOff>203993</xdr:rowOff>
    </xdr:to>
    <xdr:cxnSp macro="">
      <xdr:nvCxnSpPr>
        <xdr:cNvPr id="1039" name="Match16">
          <a:extLst>
            <a:ext uri="{FF2B5EF4-FFF2-40B4-BE49-F238E27FC236}">
              <a16:creationId xmlns:a16="http://schemas.microsoft.com/office/drawing/2014/main" id="{7163E713-83AF-38CE-E906-338240D6EC35}"/>
            </a:ext>
          </a:extLst>
        </xdr:cNvPr>
        <xdr:cNvCxnSpPr/>
      </xdr:nvCxnSpPr>
      <xdr:spPr>
        <a:xfrm flipV="1">
          <a:off x="1508919" y="2039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2</xdr:row>
      <xdr:rowOff>178594</xdr:rowOff>
    </xdr:from>
    <xdr:to>
      <xdr:col>9</xdr:col>
      <xdr:colOff>211931</xdr:colOff>
      <xdr:row>2</xdr:row>
      <xdr:rowOff>178594</xdr:rowOff>
    </xdr:to>
    <xdr:cxnSp macro="">
      <xdr:nvCxnSpPr>
        <xdr:cNvPr id="1040" name="Match17">
          <a:extLst>
            <a:ext uri="{FF2B5EF4-FFF2-40B4-BE49-F238E27FC236}">
              <a16:creationId xmlns:a16="http://schemas.microsoft.com/office/drawing/2014/main" id="{77A13587-DFB2-B2C7-F918-A18990FA3A42}"/>
            </a:ext>
          </a:extLst>
        </xdr:cNvPr>
        <xdr:cNvCxnSpPr/>
      </xdr:nvCxnSpPr>
      <xdr:spPr>
        <a:xfrm flipH="1">
          <a:off x="3602831" y="8929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1</xdr:row>
      <xdr:rowOff>203993</xdr:rowOff>
    </xdr:from>
    <xdr:to>
      <xdr:col>9</xdr:col>
      <xdr:colOff>237331</xdr:colOff>
      <xdr:row>2</xdr:row>
      <xdr:rowOff>203994</xdr:rowOff>
    </xdr:to>
    <xdr:cxnSp macro="">
      <xdr:nvCxnSpPr>
        <xdr:cNvPr id="1041" name="Match18">
          <a:extLst>
            <a:ext uri="{FF2B5EF4-FFF2-40B4-BE49-F238E27FC236}">
              <a16:creationId xmlns:a16="http://schemas.microsoft.com/office/drawing/2014/main" id="{D8CE04A9-AD2E-4E18-41C8-54CEF1248FE0}"/>
            </a:ext>
          </a:extLst>
        </xdr:cNvPr>
        <xdr:cNvCxnSpPr/>
      </xdr:nvCxnSpPr>
      <xdr:spPr>
        <a:xfrm flipV="1">
          <a:off x="4052094" y="5611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3</xdr:row>
      <xdr:rowOff>178593</xdr:rowOff>
    </xdr:from>
    <xdr:to>
      <xdr:col>6</xdr:col>
      <xdr:colOff>211931</xdr:colOff>
      <xdr:row>4</xdr:row>
      <xdr:rowOff>178594</xdr:rowOff>
    </xdr:to>
    <xdr:cxnSp macro="">
      <xdr:nvCxnSpPr>
        <xdr:cNvPr id="1042" name="Match19">
          <a:extLst>
            <a:ext uri="{FF2B5EF4-FFF2-40B4-BE49-F238E27FC236}">
              <a16:creationId xmlns:a16="http://schemas.microsoft.com/office/drawing/2014/main" id="{719D2BBB-9A6D-83E7-5390-F97908BC0DF6}"/>
            </a:ext>
          </a:extLst>
        </xdr:cNvPr>
        <xdr:cNvCxnSpPr/>
      </xdr:nvCxnSpPr>
      <xdr:spPr>
        <a:xfrm>
          <a:off x="2755106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2</xdr:row>
      <xdr:rowOff>203994</xdr:rowOff>
    </xdr:from>
    <xdr:to>
      <xdr:col>7</xdr:col>
      <xdr:colOff>237331</xdr:colOff>
      <xdr:row>3</xdr:row>
      <xdr:rowOff>203993</xdr:rowOff>
    </xdr:to>
    <xdr:cxnSp macro="">
      <xdr:nvCxnSpPr>
        <xdr:cNvPr id="1043" name="Match20">
          <a:extLst>
            <a:ext uri="{FF2B5EF4-FFF2-40B4-BE49-F238E27FC236}">
              <a16:creationId xmlns:a16="http://schemas.microsoft.com/office/drawing/2014/main" id="{B2FDF9E3-7F4E-F525-5431-B715808895F7}"/>
            </a:ext>
          </a:extLst>
        </xdr:cNvPr>
        <xdr:cNvCxnSpPr/>
      </xdr:nvCxnSpPr>
      <xdr:spPr>
        <a:xfrm flipV="1">
          <a:off x="2780506" y="9183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3</xdr:row>
      <xdr:rowOff>178593</xdr:rowOff>
    </xdr:from>
    <xdr:to>
      <xdr:col>7</xdr:col>
      <xdr:colOff>211931</xdr:colOff>
      <xdr:row>4</xdr:row>
      <xdr:rowOff>178594</xdr:rowOff>
    </xdr:to>
    <xdr:cxnSp macro="">
      <xdr:nvCxnSpPr>
        <xdr:cNvPr id="1044" name="Match21">
          <a:extLst>
            <a:ext uri="{FF2B5EF4-FFF2-40B4-BE49-F238E27FC236}">
              <a16:creationId xmlns:a16="http://schemas.microsoft.com/office/drawing/2014/main" id="{F4D0F27C-84E1-75A8-27EB-14F05685DBC4}"/>
            </a:ext>
          </a:extLst>
        </xdr:cNvPr>
        <xdr:cNvCxnSpPr/>
      </xdr:nvCxnSpPr>
      <xdr:spPr>
        <a:xfrm flipH="1">
          <a:off x="2755106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2</xdr:row>
      <xdr:rowOff>203994</xdr:rowOff>
    </xdr:from>
    <xdr:to>
      <xdr:col>7</xdr:col>
      <xdr:colOff>237331</xdr:colOff>
      <xdr:row>3</xdr:row>
      <xdr:rowOff>203993</xdr:rowOff>
    </xdr:to>
    <xdr:cxnSp macro="">
      <xdr:nvCxnSpPr>
        <xdr:cNvPr id="1045" name="Match22">
          <a:extLst>
            <a:ext uri="{FF2B5EF4-FFF2-40B4-BE49-F238E27FC236}">
              <a16:creationId xmlns:a16="http://schemas.microsoft.com/office/drawing/2014/main" id="{00B5F91B-5EB8-173F-5030-9080A59766D4}"/>
            </a:ext>
          </a:extLst>
        </xdr:cNvPr>
        <xdr:cNvCxnSpPr/>
      </xdr:nvCxnSpPr>
      <xdr:spPr>
        <a:xfrm flipV="1">
          <a:off x="3204369" y="9183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262731</xdr:colOff>
      <xdr:row>2</xdr:row>
      <xdr:rowOff>229394</xdr:rowOff>
    </xdr:from>
    <xdr:to>
      <xdr:col>8</xdr:col>
      <xdr:colOff>262731</xdr:colOff>
      <xdr:row>3</xdr:row>
      <xdr:rowOff>229393</xdr:rowOff>
    </xdr:to>
    <xdr:cxnSp macro="">
      <xdr:nvCxnSpPr>
        <xdr:cNvPr id="1046" name="Match23">
          <a:extLst>
            <a:ext uri="{FF2B5EF4-FFF2-40B4-BE49-F238E27FC236}">
              <a16:creationId xmlns:a16="http://schemas.microsoft.com/office/drawing/2014/main" id="{0C700259-1496-13E1-10F5-65FEFE26D126}"/>
            </a:ext>
          </a:extLst>
        </xdr:cNvPr>
        <xdr:cNvCxnSpPr/>
      </xdr:nvCxnSpPr>
      <xdr:spPr>
        <a:xfrm flipV="1">
          <a:off x="3229769" y="943769"/>
          <a:ext cx="423862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5</xdr:row>
      <xdr:rowOff>178593</xdr:rowOff>
    </xdr:from>
    <xdr:to>
      <xdr:col>10</xdr:col>
      <xdr:colOff>211931</xdr:colOff>
      <xdr:row>6</xdr:row>
      <xdr:rowOff>178594</xdr:rowOff>
    </xdr:to>
    <xdr:cxnSp macro="">
      <xdr:nvCxnSpPr>
        <xdr:cNvPr id="1047" name="Match24">
          <a:extLst>
            <a:ext uri="{FF2B5EF4-FFF2-40B4-BE49-F238E27FC236}">
              <a16:creationId xmlns:a16="http://schemas.microsoft.com/office/drawing/2014/main" id="{3E736C2E-66C3-BFD2-1B47-D5F974410579}"/>
            </a:ext>
          </a:extLst>
        </xdr:cNvPr>
        <xdr:cNvCxnSpPr/>
      </xdr:nvCxnSpPr>
      <xdr:spPr>
        <a:xfrm flipH="1">
          <a:off x="4026694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7</xdr:row>
      <xdr:rowOff>178593</xdr:rowOff>
    </xdr:from>
    <xdr:to>
      <xdr:col>2</xdr:col>
      <xdr:colOff>211931</xdr:colOff>
      <xdr:row>7</xdr:row>
      <xdr:rowOff>178593</xdr:rowOff>
    </xdr:to>
    <xdr:cxnSp macro="">
      <xdr:nvCxnSpPr>
        <xdr:cNvPr id="1048" name="Match25">
          <a:extLst>
            <a:ext uri="{FF2B5EF4-FFF2-40B4-BE49-F238E27FC236}">
              <a16:creationId xmlns:a16="http://schemas.microsoft.com/office/drawing/2014/main" id="{57C4A4D7-AB70-E345-AF1A-25C827D1E1BE}"/>
            </a:ext>
          </a:extLst>
        </xdr:cNvPr>
        <xdr:cNvCxnSpPr/>
      </xdr:nvCxnSpPr>
      <xdr:spPr>
        <a:xfrm>
          <a:off x="635794" y="267890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7</xdr:row>
      <xdr:rowOff>203993</xdr:rowOff>
    </xdr:from>
    <xdr:to>
      <xdr:col>1</xdr:col>
      <xdr:colOff>237331</xdr:colOff>
      <xdr:row>8</xdr:row>
      <xdr:rowOff>203994</xdr:rowOff>
    </xdr:to>
    <xdr:cxnSp macro="">
      <xdr:nvCxnSpPr>
        <xdr:cNvPr id="1049" name="Match26">
          <a:extLst>
            <a:ext uri="{FF2B5EF4-FFF2-40B4-BE49-F238E27FC236}">
              <a16:creationId xmlns:a16="http://schemas.microsoft.com/office/drawing/2014/main" id="{8787980F-28A3-AAD7-4F88-2CB4F26A3B71}"/>
            </a:ext>
          </a:extLst>
        </xdr:cNvPr>
        <xdr:cNvCxnSpPr/>
      </xdr:nvCxnSpPr>
      <xdr:spPr>
        <a:xfrm>
          <a:off x="661194" y="270430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262731</xdr:colOff>
      <xdr:row>7</xdr:row>
      <xdr:rowOff>229393</xdr:rowOff>
    </xdr:from>
    <xdr:to>
      <xdr:col>1</xdr:col>
      <xdr:colOff>262731</xdr:colOff>
      <xdr:row>8</xdr:row>
      <xdr:rowOff>229394</xdr:rowOff>
    </xdr:to>
    <xdr:cxnSp macro="">
      <xdr:nvCxnSpPr>
        <xdr:cNvPr id="1055" name="Match27">
          <a:extLst>
            <a:ext uri="{FF2B5EF4-FFF2-40B4-BE49-F238E27FC236}">
              <a16:creationId xmlns:a16="http://schemas.microsoft.com/office/drawing/2014/main" id="{3248B5EF-58AC-3ECC-16C9-3F9CA9A5BDB7}"/>
            </a:ext>
          </a:extLst>
        </xdr:cNvPr>
        <xdr:cNvCxnSpPr/>
      </xdr:nvCxnSpPr>
      <xdr:spPr>
        <a:xfrm flipH="1">
          <a:off x="262731" y="2729706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8</xdr:row>
      <xdr:rowOff>178594</xdr:rowOff>
    </xdr:from>
    <xdr:to>
      <xdr:col>6</xdr:col>
      <xdr:colOff>211931</xdr:colOff>
      <xdr:row>9</xdr:row>
      <xdr:rowOff>178593</xdr:rowOff>
    </xdr:to>
    <xdr:cxnSp macro="">
      <xdr:nvCxnSpPr>
        <xdr:cNvPr id="1056" name="Match28">
          <a:extLst>
            <a:ext uri="{FF2B5EF4-FFF2-40B4-BE49-F238E27FC236}">
              <a16:creationId xmlns:a16="http://schemas.microsoft.com/office/drawing/2014/main" id="{DF4D5F47-A4C3-1991-18A5-C14428993395}"/>
            </a:ext>
          </a:extLst>
        </xdr:cNvPr>
        <xdr:cNvCxnSpPr/>
      </xdr:nvCxnSpPr>
      <xdr:spPr>
        <a:xfrm>
          <a:off x="2755106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8</xdr:row>
      <xdr:rowOff>203994</xdr:rowOff>
    </xdr:from>
    <xdr:to>
      <xdr:col>6</xdr:col>
      <xdr:colOff>237331</xdr:colOff>
      <xdr:row>9</xdr:row>
      <xdr:rowOff>203993</xdr:rowOff>
    </xdr:to>
    <xdr:cxnSp macro="">
      <xdr:nvCxnSpPr>
        <xdr:cNvPr id="1057" name="Match29">
          <a:extLst>
            <a:ext uri="{FF2B5EF4-FFF2-40B4-BE49-F238E27FC236}">
              <a16:creationId xmlns:a16="http://schemas.microsoft.com/office/drawing/2014/main" id="{E4BF5A56-1FD1-2AD5-73F1-B98241992086}"/>
            </a:ext>
          </a:extLst>
        </xdr:cNvPr>
        <xdr:cNvCxnSpPr/>
      </xdr:nvCxnSpPr>
      <xdr:spPr>
        <a:xfrm flipH="1">
          <a:off x="2356644" y="30614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8</xdr:row>
      <xdr:rowOff>178594</xdr:rowOff>
    </xdr:from>
    <xdr:to>
      <xdr:col>1</xdr:col>
      <xdr:colOff>211931</xdr:colOff>
      <xdr:row>9</xdr:row>
      <xdr:rowOff>178593</xdr:rowOff>
    </xdr:to>
    <xdr:cxnSp macro="">
      <xdr:nvCxnSpPr>
        <xdr:cNvPr id="1061" name="Match30">
          <a:extLst>
            <a:ext uri="{FF2B5EF4-FFF2-40B4-BE49-F238E27FC236}">
              <a16:creationId xmlns:a16="http://schemas.microsoft.com/office/drawing/2014/main" id="{07B01C6B-B3CD-5D7F-9089-0EE757FDC530}"/>
            </a:ext>
          </a:extLst>
        </xdr:cNvPr>
        <xdr:cNvCxnSpPr/>
      </xdr:nvCxnSpPr>
      <xdr:spPr>
        <a:xfrm flipH="1" flipV="1">
          <a:off x="211931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8</xdr:row>
      <xdr:rowOff>203994</xdr:rowOff>
    </xdr:from>
    <xdr:to>
      <xdr:col>1</xdr:col>
      <xdr:colOff>237331</xdr:colOff>
      <xdr:row>9</xdr:row>
      <xdr:rowOff>203993</xdr:rowOff>
    </xdr:to>
    <xdr:cxnSp macro="">
      <xdr:nvCxnSpPr>
        <xdr:cNvPr id="1064" name="Match31">
          <a:extLst>
            <a:ext uri="{FF2B5EF4-FFF2-40B4-BE49-F238E27FC236}">
              <a16:creationId xmlns:a16="http://schemas.microsoft.com/office/drawing/2014/main" id="{CC358F50-D423-307E-2668-6BCC64B163B9}"/>
            </a:ext>
          </a:extLst>
        </xdr:cNvPr>
        <xdr:cNvCxnSpPr/>
      </xdr:nvCxnSpPr>
      <xdr:spPr>
        <a:xfrm flipV="1">
          <a:off x="661194" y="30614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9</xdr:row>
      <xdr:rowOff>178593</xdr:rowOff>
    </xdr:from>
    <xdr:to>
      <xdr:col>5</xdr:col>
      <xdr:colOff>211931</xdr:colOff>
      <xdr:row>9</xdr:row>
      <xdr:rowOff>178593</xdr:rowOff>
    </xdr:to>
    <xdr:cxnSp macro="">
      <xdr:nvCxnSpPr>
        <xdr:cNvPr id="1065" name="Match32">
          <a:extLst>
            <a:ext uri="{FF2B5EF4-FFF2-40B4-BE49-F238E27FC236}">
              <a16:creationId xmlns:a16="http://schemas.microsoft.com/office/drawing/2014/main" id="{1EDAE1F9-2F86-0304-CC15-A902AE3A468A}"/>
            </a:ext>
          </a:extLst>
        </xdr:cNvPr>
        <xdr:cNvCxnSpPr/>
      </xdr:nvCxnSpPr>
      <xdr:spPr>
        <a:xfrm>
          <a:off x="1907381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8</xdr:row>
      <xdr:rowOff>203994</xdr:rowOff>
    </xdr:from>
    <xdr:to>
      <xdr:col>4</xdr:col>
      <xdr:colOff>237331</xdr:colOff>
      <xdr:row>9</xdr:row>
      <xdr:rowOff>203993</xdr:rowOff>
    </xdr:to>
    <xdr:cxnSp macro="">
      <xdr:nvCxnSpPr>
        <xdr:cNvPr id="1066" name="Match33">
          <a:extLst>
            <a:ext uri="{FF2B5EF4-FFF2-40B4-BE49-F238E27FC236}">
              <a16:creationId xmlns:a16="http://schemas.microsoft.com/office/drawing/2014/main" id="{E1E980C1-6033-DCC8-46DE-A7E102224059}"/>
            </a:ext>
          </a:extLst>
        </xdr:cNvPr>
        <xdr:cNvCxnSpPr/>
      </xdr:nvCxnSpPr>
      <xdr:spPr>
        <a:xfrm flipV="1">
          <a:off x="1932781" y="30614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10</xdr:row>
      <xdr:rowOff>178594</xdr:rowOff>
    </xdr:from>
    <xdr:to>
      <xdr:col>8</xdr:col>
      <xdr:colOff>211931</xdr:colOff>
      <xdr:row>11</xdr:row>
      <xdr:rowOff>178593</xdr:rowOff>
    </xdr:to>
    <xdr:cxnSp macro="">
      <xdr:nvCxnSpPr>
        <xdr:cNvPr id="1067" name="Match34">
          <a:extLst>
            <a:ext uri="{FF2B5EF4-FFF2-40B4-BE49-F238E27FC236}">
              <a16:creationId xmlns:a16="http://schemas.microsoft.com/office/drawing/2014/main" id="{25D31826-8945-666C-61F7-9C553981B741}"/>
            </a:ext>
          </a:extLst>
        </xdr:cNvPr>
        <xdr:cNvCxnSpPr/>
      </xdr:nvCxnSpPr>
      <xdr:spPr>
        <a:xfrm flipH="1">
          <a:off x="3178969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3</xdr:row>
      <xdr:rowOff>178593</xdr:rowOff>
    </xdr:from>
    <xdr:to>
      <xdr:col>1</xdr:col>
      <xdr:colOff>211931</xdr:colOff>
      <xdr:row>6</xdr:row>
      <xdr:rowOff>178594</xdr:rowOff>
    </xdr:to>
    <xdr:cxnSp macro="">
      <xdr:nvCxnSpPr>
        <xdr:cNvPr id="1068" name="Match35">
          <a:extLst>
            <a:ext uri="{FF2B5EF4-FFF2-40B4-BE49-F238E27FC236}">
              <a16:creationId xmlns:a16="http://schemas.microsoft.com/office/drawing/2014/main" id="{B37B5863-631D-81DC-7D93-4C6E9113335E}"/>
            </a:ext>
          </a:extLst>
        </xdr:cNvPr>
        <xdr:cNvCxnSpPr/>
      </xdr:nvCxnSpPr>
      <xdr:spPr>
        <a:xfrm>
          <a:off x="635794" y="1250156"/>
          <a:ext cx="0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3</xdr:row>
      <xdr:rowOff>178593</xdr:rowOff>
    </xdr:from>
    <xdr:to>
      <xdr:col>5</xdr:col>
      <xdr:colOff>211931</xdr:colOff>
      <xdr:row>9</xdr:row>
      <xdr:rowOff>178593</xdr:rowOff>
    </xdr:to>
    <xdr:cxnSp macro="">
      <xdr:nvCxnSpPr>
        <xdr:cNvPr id="1069" name="Match36">
          <a:extLst>
            <a:ext uri="{FF2B5EF4-FFF2-40B4-BE49-F238E27FC236}">
              <a16:creationId xmlns:a16="http://schemas.microsoft.com/office/drawing/2014/main" id="{CE6A3EF5-FAAC-9BC2-E590-4081B309DFEC}"/>
            </a:ext>
          </a:extLst>
        </xdr:cNvPr>
        <xdr:cNvCxnSpPr/>
      </xdr:nvCxnSpPr>
      <xdr:spPr>
        <a:xfrm flipV="1">
          <a:off x="2331244" y="1250156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5</xdr:row>
      <xdr:rowOff>178593</xdr:rowOff>
    </xdr:from>
    <xdr:to>
      <xdr:col>4</xdr:col>
      <xdr:colOff>211931</xdr:colOff>
      <xdr:row>9</xdr:row>
      <xdr:rowOff>178593</xdr:rowOff>
    </xdr:to>
    <xdr:cxnSp macro="">
      <xdr:nvCxnSpPr>
        <xdr:cNvPr id="1070" name="Match37">
          <a:extLst>
            <a:ext uri="{FF2B5EF4-FFF2-40B4-BE49-F238E27FC236}">
              <a16:creationId xmlns:a16="http://schemas.microsoft.com/office/drawing/2014/main" id="{C3DEACC7-43F5-DA3B-31BD-4CF48EA7E863}"/>
            </a:ext>
          </a:extLst>
        </xdr:cNvPr>
        <xdr:cNvCxnSpPr/>
      </xdr:nvCxnSpPr>
      <xdr:spPr>
        <a:xfrm flipV="1">
          <a:off x="211931" y="1964531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11</xdr:row>
      <xdr:rowOff>178593</xdr:rowOff>
    </xdr:from>
    <xdr:to>
      <xdr:col>10</xdr:col>
      <xdr:colOff>211931</xdr:colOff>
      <xdr:row>11</xdr:row>
      <xdr:rowOff>178593</xdr:rowOff>
    </xdr:to>
    <xdr:cxnSp macro="">
      <xdr:nvCxnSpPr>
        <xdr:cNvPr id="1071" name="Match38">
          <a:extLst>
            <a:ext uri="{FF2B5EF4-FFF2-40B4-BE49-F238E27FC236}">
              <a16:creationId xmlns:a16="http://schemas.microsoft.com/office/drawing/2014/main" id="{EAF594EE-0EA3-C2CA-4AE4-7FE1E9874AE9}"/>
            </a:ext>
          </a:extLst>
        </xdr:cNvPr>
        <xdr:cNvCxnSpPr/>
      </xdr:nvCxnSpPr>
      <xdr:spPr>
        <a:xfrm>
          <a:off x="1907381" y="4107656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10</xdr:row>
      <xdr:rowOff>178594</xdr:rowOff>
    </xdr:from>
    <xdr:to>
      <xdr:col>4</xdr:col>
      <xdr:colOff>211931</xdr:colOff>
      <xdr:row>10</xdr:row>
      <xdr:rowOff>178594</xdr:rowOff>
    </xdr:to>
    <xdr:cxnSp macro="">
      <xdr:nvCxnSpPr>
        <xdr:cNvPr id="1072" name="Match39">
          <a:extLst>
            <a:ext uri="{FF2B5EF4-FFF2-40B4-BE49-F238E27FC236}">
              <a16:creationId xmlns:a16="http://schemas.microsoft.com/office/drawing/2014/main" id="{16FDC681-205B-C055-5EF0-805F23DC9B0F}"/>
            </a:ext>
          </a:extLst>
        </xdr:cNvPr>
        <xdr:cNvCxnSpPr/>
      </xdr:nvCxnSpPr>
      <xdr:spPr>
        <a:xfrm flipH="1">
          <a:off x="211931" y="3750469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0</xdr:row>
      <xdr:rowOff>178594</xdr:rowOff>
    </xdr:from>
    <xdr:to>
      <xdr:col>4</xdr:col>
      <xdr:colOff>211931</xdr:colOff>
      <xdr:row>0</xdr:row>
      <xdr:rowOff>178594</xdr:rowOff>
    </xdr:to>
    <xdr:cxnSp macro="">
      <xdr:nvCxnSpPr>
        <xdr:cNvPr id="1073" name="Match40">
          <a:extLst>
            <a:ext uri="{FF2B5EF4-FFF2-40B4-BE49-F238E27FC236}">
              <a16:creationId xmlns:a16="http://schemas.microsoft.com/office/drawing/2014/main" id="{B4C15856-A880-55DB-3C53-0A49BA37D363}"/>
            </a:ext>
          </a:extLst>
        </xdr:cNvPr>
        <xdr:cNvCxnSpPr/>
      </xdr:nvCxnSpPr>
      <xdr:spPr>
        <a:xfrm flipH="1">
          <a:off x="211931" y="178594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</xdr:row>
      <xdr:rowOff>178593</xdr:rowOff>
    </xdr:from>
    <xdr:to>
      <xdr:col>10</xdr:col>
      <xdr:colOff>211931</xdr:colOff>
      <xdr:row>2</xdr:row>
      <xdr:rowOff>178594</xdr:rowOff>
    </xdr:to>
    <xdr:cxnSp macro="">
      <xdr:nvCxnSpPr>
        <xdr:cNvPr id="1074" name="Match41">
          <a:extLst>
            <a:ext uri="{FF2B5EF4-FFF2-40B4-BE49-F238E27FC236}">
              <a16:creationId xmlns:a16="http://schemas.microsoft.com/office/drawing/2014/main" id="{5AE39AA5-8374-F74D-F01F-0CC72532DA5C}"/>
            </a:ext>
          </a:extLst>
        </xdr:cNvPr>
        <xdr:cNvCxnSpPr/>
      </xdr:nvCxnSpPr>
      <xdr:spPr>
        <a:xfrm>
          <a:off x="4450556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2</xdr:row>
      <xdr:rowOff>178594</xdr:rowOff>
    </xdr:from>
    <xdr:to>
      <xdr:col>3</xdr:col>
      <xdr:colOff>211931</xdr:colOff>
      <xdr:row>3</xdr:row>
      <xdr:rowOff>178593</xdr:rowOff>
    </xdr:to>
    <xdr:cxnSp macro="">
      <xdr:nvCxnSpPr>
        <xdr:cNvPr id="1075" name="Match42">
          <a:extLst>
            <a:ext uri="{FF2B5EF4-FFF2-40B4-BE49-F238E27FC236}">
              <a16:creationId xmlns:a16="http://schemas.microsoft.com/office/drawing/2014/main" id="{FED9851A-4D23-A484-1C8C-BABF3BEC7F3A}"/>
            </a:ext>
          </a:extLst>
        </xdr:cNvPr>
        <xdr:cNvCxnSpPr/>
      </xdr:nvCxnSpPr>
      <xdr:spPr>
        <a:xfrm flipH="1">
          <a:off x="1059656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2</xdr:row>
      <xdr:rowOff>203994</xdr:rowOff>
    </xdr:from>
    <xdr:to>
      <xdr:col>3</xdr:col>
      <xdr:colOff>237331</xdr:colOff>
      <xdr:row>2</xdr:row>
      <xdr:rowOff>203994</xdr:rowOff>
    </xdr:to>
    <xdr:cxnSp macro="">
      <xdr:nvCxnSpPr>
        <xdr:cNvPr id="1076" name="Match43">
          <a:extLst>
            <a:ext uri="{FF2B5EF4-FFF2-40B4-BE49-F238E27FC236}">
              <a16:creationId xmlns:a16="http://schemas.microsoft.com/office/drawing/2014/main" id="{D78616AD-DE28-E69C-4A55-544B8EA69D35}"/>
            </a:ext>
          </a:extLst>
        </xdr:cNvPr>
        <xdr:cNvCxnSpPr/>
      </xdr:nvCxnSpPr>
      <xdr:spPr>
        <a:xfrm flipH="1">
          <a:off x="1085056" y="918369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5</xdr:row>
      <xdr:rowOff>178593</xdr:rowOff>
    </xdr:from>
    <xdr:to>
      <xdr:col>3</xdr:col>
      <xdr:colOff>211931</xdr:colOff>
      <xdr:row>5</xdr:row>
      <xdr:rowOff>178593</xdr:rowOff>
    </xdr:to>
    <xdr:cxnSp macro="">
      <xdr:nvCxnSpPr>
        <xdr:cNvPr id="1077" name="Match44">
          <a:extLst>
            <a:ext uri="{FF2B5EF4-FFF2-40B4-BE49-F238E27FC236}">
              <a16:creationId xmlns:a16="http://schemas.microsoft.com/office/drawing/2014/main" id="{293CCD7E-23E5-EF79-B955-D64BF3B5B66A}"/>
            </a:ext>
          </a:extLst>
        </xdr:cNvPr>
        <xdr:cNvCxnSpPr/>
      </xdr:nvCxnSpPr>
      <xdr:spPr>
        <a:xfrm>
          <a:off x="1059656" y="196453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4</xdr:row>
      <xdr:rowOff>203994</xdr:rowOff>
    </xdr:from>
    <xdr:to>
      <xdr:col>2</xdr:col>
      <xdr:colOff>237331</xdr:colOff>
      <xdr:row>5</xdr:row>
      <xdr:rowOff>203993</xdr:rowOff>
    </xdr:to>
    <xdr:cxnSp macro="">
      <xdr:nvCxnSpPr>
        <xdr:cNvPr id="1078" name="Match45">
          <a:extLst>
            <a:ext uri="{FF2B5EF4-FFF2-40B4-BE49-F238E27FC236}">
              <a16:creationId xmlns:a16="http://schemas.microsoft.com/office/drawing/2014/main" id="{8ED5245F-821B-9228-278D-3598F36E7906}"/>
            </a:ext>
          </a:extLst>
        </xdr:cNvPr>
        <xdr:cNvCxnSpPr/>
      </xdr:nvCxnSpPr>
      <xdr:spPr>
        <a:xfrm flipV="1">
          <a:off x="1085056" y="163274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5</xdr:row>
      <xdr:rowOff>178593</xdr:rowOff>
    </xdr:from>
    <xdr:to>
      <xdr:col>8</xdr:col>
      <xdr:colOff>211931</xdr:colOff>
      <xdr:row>6</xdr:row>
      <xdr:rowOff>178594</xdr:rowOff>
    </xdr:to>
    <xdr:cxnSp macro="">
      <xdr:nvCxnSpPr>
        <xdr:cNvPr id="1079" name="Match46">
          <a:extLst>
            <a:ext uri="{FF2B5EF4-FFF2-40B4-BE49-F238E27FC236}">
              <a16:creationId xmlns:a16="http://schemas.microsoft.com/office/drawing/2014/main" id="{145E45F4-F0F3-234F-E011-7CDEB8D50BF9}"/>
            </a:ext>
          </a:extLst>
        </xdr:cNvPr>
        <xdr:cNvCxnSpPr/>
      </xdr:nvCxnSpPr>
      <xdr:spPr>
        <a:xfrm flipH="1" flipV="1">
          <a:off x="3178969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7</xdr:row>
      <xdr:rowOff>178593</xdr:rowOff>
    </xdr:from>
    <xdr:to>
      <xdr:col>4</xdr:col>
      <xdr:colOff>211931</xdr:colOff>
      <xdr:row>8</xdr:row>
      <xdr:rowOff>178594</xdr:rowOff>
    </xdr:to>
    <xdr:cxnSp macro="">
      <xdr:nvCxnSpPr>
        <xdr:cNvPr id="1080" name="Match47">
          <a:extLst>
            <a:ext uri="{FF2B5EF4-FFF2-40B4-BE49-F238E27FC236}">
              <a16:creationId xmlns:a16="http://schemas.microsoft.com/office/drawing/2014/main" id="{0091B8BB-F86E-A7F4-10C6-1149D11EB643}"/>
            </a:ext>
          </a:extLst>
        </xdr:cNvPr>
        <xdr:cNvCxnSpPr/>
      </xdr:nvCxnSpPr>
      <xdr:spPr>
        <a:xfrm flipV="1">
          <a:off x="1483519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9</xdr:row>
      <xdr:rowOff>178593</xdr:rowOff>
    </xdr:from>
    <xdr:to>
      <xdr:col>9</xdr:col>
      <xdr:colOff>211931</xdr:colOff>
      <xdr:row>10</xdr:row>
      <xdr:rowOff>178594</xdr:rowOff>
    </xdr:to>
    <xdr:cxnSp macro="">
      <xdr:nvCxnSpPr>
        <xdr:cNvPr id="1081" name="Match48">
          <a:extLst>
            <a:ext uri="{FF2B5EF4-FFF2-40B4-BE49-F238E27FC236}">
              <a16:creationId xmlns:a16="http://schemas.microsoft.com/office/drawing/2014/main" id="{38F95ECC-41EA-863E-0E4E-2ACD98B5CCCE}"/>
            </a:ext>
          </a:extLst>
        </xdr:cNvPr>
        <xdr:cNvCxnSpPr/>
      </xdr:nvCxnSpPr>
      <xdr:spPr>
        <a:xfrm>
          <a:off x="3602831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9</xdr:row>
      <xdr:rowOff>203993</xdr:rowOff>
    </xdr:from>
    <xdr:to>
      <xdr:col>8</xdr:col>
      <xdr:colOff>237331</xdr:colOff>
      <xdr:row>9</xdr:row>
      <xdr:rowOff>203993</xdr:rowOff>
    </xdr:to>
    <xdr:cxnSp macro="">
      <xdr:nvCxnSpPr>
        <xdr:cNvPr id="1082" name="Match49">
          <a:extLst>
            <a:ext uri="{FF2B5EF4-FFF2-40B4-BE49-F238E27FC236}">
              <a16:creationId xmlns:a16="http://schemas.microsoft.com/office/drawing/2014/main" id="{77EC6C23-B866-53DD-833B-C2E6AFFC7913}"/>
            </a:ext>
          </a:extLst>
        </xdr:cNvPr>
        <xdr:cNvCxnSpPr/>
      </xdr:nvCxnSpPr>
      <xdr:spPr>
        <a:xfrm flipH="1">
          <a:off x="3204369" y="3418681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262731</xdr:colOff>
      <xdr:row>8</xdr:row>
      <xdr:rowOff>229394</xdr:rowOff>
    </xdr:from>
    <xdr:to>
      <xdr:col>8</xdr:col>
      <xdr:colOff>262731</xdr:colOff>
      <xdr:row>9</xdr:row>
      <xdr:rowOff>229393</xdr:rowOff>
    </xdr:to>
    <xdr:cxnSp macro="">
      <xdr:nvCxnSpPr>
        <xdr:cNvPr id="1083" name="Match50">
          <a:extLst>
            <a:ext uri="{FF2B5EF4-FFF2-40B4-BE49-F238E27FC236}">
              <a16:creationId xmlns:a16="http://schemas.microsoft.com/office/drawing/2014/main" id="{0AEE019F-A657-4D15-629B-2DDCCFC40A23}"/>
            </a:ext>
          </a:extLst>
        </xdr:cNvPr>
        <xdr:cNvCxnSpPr/>
      </xdr:nvCxnSpPr>
      <xdr:spPr>
        <a:xfrm flipV="1">
          <a:off x="3653631" y="3086894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9</xdr:row>
      <xdr:rowOff>178593</xdr:rowOff>
    </xdr:from>
    <xdr:to>
      <xdr:col>7</xdr:col>
      <xdr:colOff>211931</xdr:colOff>
      <xdr:row>10</xdr:row>
      <xdr:rowOff>178594</xdr:rowOff>
    </xdr:to>
    <xdr:cxnSp macro="">
      <xdr:nvCxnSpPr>
        <xdr:cNvPr id="1084" name="Match51">
          <a:extLst>
            <a:ext uri="{FF2B5EF4-FFF2-40B4-BE49-F238E27FC236}">
              <a16:creationId xmlns:a16="http://schemas.microsoft.com/office/drawing/2014/main" id="{5CB39875-1688-C810-C750-2CFBEEB92263}"/>
            </a:ext>
          </a:extLst>
        </xdr:cNvPr>
        <xdr:cNvCxnSpPr/>
      </xdr:nvCxnSpPr>
      <xdr:spPr>
        <a:xfrm flipV="1">
          <a:off x="2755106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6</xdr:row>
      <xdr:rowOff>178594</xdr:rowOff>
    </xdr:from>
    <xdr:to>
      <xdr:col>0</xdr:col>
      <xdr:colOff>211931</xdr:colOff>
      <xdr:row>7</xdr:row>
      <xdr:rowOff>178593</xdr:rowOff>
    </xdr:to>
    <xdr:cxnSp macro="">
      <xdr:nvCxnSpPr>
        <xdr:cNvPr id="1085" name="Match52">
          <a:extLst>
            <a:ext uri="{FF2B5EF4-FFF2-40B4-BE49-F238E27FC236}">
              <a16:creationId xmlns:a16="http://schemas.microsoft.com/office/drawing/2014/main" id="{EB127B30-3194-0EA0-5F3E-4C68E65E52DD}"/>
            </a:ext>
          </a:extLst>
        </xdr:cNvPr>
        <xdr:cNvCxnSpPr/>
      </xdr:nvCxnSpPr>
      <xdr:spPr>
        <a:xfrm>
          <a:off x="211931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288131</xdr:colOff>
      <xdr:row>7</xdr:row>
      <xdr:rowOff>254793</xdr:rowOff>
    </xdr:from>
    <xdr:to>
      <xdr:col>1</xdr:col>
      <xdr:colOff>288131</xdr:colOff>
      <xdr:row>7</xdr:row>
      <xdr:rowOff>254793</xdr:rowOff>
    </xdr:to>
    <xdr:cxnSp macro="">
      <xdr:nvCxnSpPr>
        <xdr:cNvPr id="1086" name="Match53">
          <a:extLst>
            <a:ext uri="{FF2B5EF4-FFF2-40B4-BE49-F238E27FC236}">
              <a16:creationId xmlns:a16="http://schemas.microsoft.com/office/drawing/2014/main" id="{031BD20C-054F-54BD-4293-6429E5003461}"/>
            </a:ext>
          </a:extLst>
        </xdr:cNvPr>
        <xdr:cNvCxnSpPr/>
      </xdr:nvCxnSpPr>
      <xdr:spPr>
        <a:xfrm flipH="1">
          <a:off x="288131" y="2755106"/>
          <a:ext cx="423863" cy="0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313531</xdr:colOff>
      <xdr:row>6</xdr:row>
      <xdr:rowOff>280194</xdr:rowOff>
    </xdr:from>
    <xdr:to>
      <xdr:col>2</xdr:col>
      <xdr:colOff>313531</xdr:colOff>
      <xdr:row>7</xdr:row>
      <xdr:rowOff>280193</xdr:rowOff>
    </xdr:to>
    <xdr:cxnSp macro="">
      <xdr:nvCxnSpPr>
        <xdr:cNvPr id="1087" name="Match54">
          <a:extLst>
            <a:ext uri="{FF2B5EF4-FFF2-40B4-BE49-F238E27FC236}">
              <a16:creationId xmlns:a16="http://schemas.microsoft.com/office/drawing/2014/main" id="{A395CEA2-51BB-670C-1F30-850CB9E85D8C}"/>
            </a:ext>
          </a:extLst>
        </xdr:cNvPr>
        <xdr:cNvCxnSpPr/>
      </xdr:nvCxnSpPr>
      <xdr:spPr>
        <a:xfrm flipV="1">
          <a:off x="737394" y="2423319"/>
          <a:ext cx="423862" cy="357187"/>
        </a:xfrm>
        <a:prstGeom prst="line">
          <a:avLst/>
        </a:prstGeom>
        <a:ln w="25400">
          <a:solidFill>
            <a:srgbClr val="AF8CBE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262731</xdr:colOff>
      <xdr:row>7</xdr:row>
      <xdr:rowOff>229393</xdr:rowOff>
    </xdr:from>
    <xdr:to>
      <xdr:col>7</xdr:col>
      <xdr:colOff>262731</xdr:colOff>
      <xdr:row>8</xdr:row>
      <xdr:rowOff>229394</xdr:rowOff>
    </xdr:to>
    <xdr:cxnSp macro="">
      <xdr:nvCxnSpPr>
        <xdr:cNvPr id="1600" name="Match55">
          <a:extLst>
            <a:ext uri="{FF2B5EF4-FFF2-40B4-BE49-F238E27FC236}">
              <a16:creationId xmlns:a16="http://schemas.microsoft.com/office/drawing/2014/main" id="{898D1960-5898-7ACD-F43B-5F379804BE7A}"/>
            </a:ext>
          </a:extLst>
        </xdr:cNvPr>
        <xdr:cNvCxnSpPr/>
      </xdr:nvCxnSpPr>
      <xdr:spPr>
        <a:xfrm flipV="1">
          <a:off x="2805906" y="2729706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8</xdr:row>
      <xdr:rowOff>178594</xdr:rowOff>
    </xdr:from>
    <xdr:to>
      <xdr:col>11</xdr:col>
      <xdr:colOff>211931</xdr:colOff>
      <xdr:row>9</xdr:row>
      <xdr:rowOff>178593</xdr:rowOff>
    </xdr:to>
    <xdr:cxnSp macro="">
      <xdr:nvCxnSpPr>
        <xdr:cNvPr id="1601" name="Match56">
          <a:extLst>
            <a:ext uri="{FF2B5EF4-FFF2-40B4-BE49-F238E27FC236}">
              <a16:creationId xmlns:a16="http://schemas.microsoft.com/office/drawing/2014/main" id="{333983C5-5CD3-FDD5-2FED-416BB06B610C}"/>
            </a:ext>
          </a:extLst>
        </xdr:cNvPr>
        <xdr:cNvCxnSpPr/>
      </xdr:nvCxnSpPr>
      <xdr:spPr>
        <a:xfrm>
          <a:off x="4874419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10</xdr:row>
      <xdr:rowOff>178594</xdr:rowOff>
    </xdr:from>
    <xdr:to>
      <xdr:col>1</xdr:col>
      <xdr:colOff>211931</xdr:colOff>
      <xdr:row>11</xdr:row>
      <xdr:rowOff>178593</xdr:rowOff>
    </xdr:to>
    <xdr:cxnSp macro="">
      <xdr:nvCxnSpPr>
        <xdr:cNvPr id="1613" name="Match57">
          <a:extLst>
            <a:ext uri="{FF2B5EF4-FFF2-40B4-BE49-F238E27FC236}">
              <a16:creationId xmlns:a16="http://schemas.microsoft.com/office/drawing/2014/main" id="{6AC5B6DA-3A1B-B4E7-CC44-DF0D16B50445}"/>
            </a:ext>
          </a:extLst>
        </xdr:cNvPr>
        <xdr:cNvCxnSpPr/>
      </xdr:nvCxnSpPr>
      <xdr:spPr>
        <a:xfrm>
          <a:off x="21193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10</xdr:row>
      <xdr:rowOff>178594</xdr:rowOff>
    </xdr:from>
    <xdr:to>
      <xdr:col>11</xdr:col>
      <xdr:colOff>211931</xdr:colOff>
      <xdr:row>11</xdr:row>
      <xdr:rowOff>178593</xdr:rowOff>
    </xdr:to>
    <xdr:cxnSp macro="">
      <xdr:nvCxnSpPr>
        <xdr:cNvPr id="1674" name="Match58">
          <a:extLst>
            <a:ext uri="{FF2B5EF4-FFF2-40B4-BE49-F238E27FC236}">
              <a16:creationId xmlns:a16="http://schemas.microsoft.com/office/drawing/2014/main" id="{78E21184-BC9F-E039-2ADE-275D6BFBD1E4}"/>
            </a:ext>
          </a:extLst>
        </xdr:cNvPr>
        <xdr:cNvCxnSpPr/>
      </xdr:nvCxnSpPr>
      <xdr:spPr>
        <a:xfrm flipV="1">
          <a:off x="4450556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10</xdr:row>
      <xdr:rowOff>178594</xdr:rowOff>
    </xdr:from>
    <xdr:to>
      <xdr:col>11</xdr:col>
      <xdr:colOff>211931</xdr:colOff>
      <xdr:row>11</xdr:row>
      <xdr:rowOff>178593</xdr:rowOff>
    </xdr:to>
    <xdr:cxnSp macro="">
      <xdr:nvCxnSpPr>
        <xdr:cNvPr id="1675" name="Match59">
          <a:extLst>
            <a:ext uri="{FF2B5EF4-FFF2-40B4-BE49-F238E27FC236}">
              <a16:creationId xmlns:a16="http://schemas.microsoft.com/office/drawing/2014/main" id="{BF878A70-2368-496E-8E34-277EB46B84B7}"/>
            </a:ext>
          </a:extLst>
        </xdr:cNvPr>
        <xdr:cNvCxnSpPr/>
      </xdr:nvCxnSpPr>
      <xdr:spPr>
        <a:xfrm flipV="1">
          <a:off x="4874419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2</xdr:row>
      <xdr:rowOff>178594</xdr:rowOff>
    </xdr:from>
    <xdr:to>
      <xdr:col>10</xdr:col>
      <xdr:colOff>211931</xdr:colOff>
      <xdr:row>7</xdr:row>
      <xdr:rowOff>178593</xdr:rowOff>
    </xdr:to>
    <xdr:cxnSp macro="">
      <xdr:nvCxnSpPr>
        <xdr:cNvPr id="1676" name="Match60">
          <a:extLst>
            <a:ext uri="{FF2B5EF4-FFF2-40B4-BE49-F238E27FC236}">
              <a16:creationId xmlns:a16="http://schemas.microsoft.com/office/drawing/2014/main" id="{93E3257F-F396-3134-3D30-A84169FB2B10}"/>
            </a:ext>
          </a:extLst>
        </xdr:cNvPr>
        <xdr:cNvCxnSpPr/>
      </xdr:nvCxnSpPr>
      <xdr:spPr>
        <a:xfrm flipH="1" flipV="1">
          <a:off x="2331244" y="892969"/>
          <a:ext cx="2119312" cy="178593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</xdr:row>
      <xdr:rowOff>178593</xdr:rowOff>
    </xdr:from>
    <xdr:to>
      <xdr:col>8</xdr:col>
      <xdr:colOff>211931</xdr:colOff>
      <xdr:row>4</xdr:row>
      <xdr:rowOff>178594</xdr:rowOff>
    </xdr:to>
    <xdr:cxnSp macro="">
      <xdr:nvCxnSpPr>
        <xdr:cNvPr id="1677" name="Match61">
          <a:extLst>
            <a:ext uri="{FF2B5EF4-FFF2-40B4-BE49-F238E27FC236}">
              <a16:creationId xmlns:a16="http://schemas.microsoft.com/office/drawing/2014/main" id="{2DA4A60B-ABF6-0296-5680-3A2950DD77D2}"/>
            </a:ext>
          </a:extLst>
        </xdr:cNvPr>
        <xdr:cNvCxnSpPr/>
      </xdr:nvCxnSpPr>
      <xdr:spPr>
        <a:xfrm>
          <a:off x="2331244" y="535781"/>
          <a:ext cx="1271587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4</xdr:col>
      <xdr:colOff>211931</xdr:colOff>
      <xdr:row>6</xdr:row>
      <xdr:rowOff>178594</xdr:rowOff>
    </xdr:to>
    <xdr:cxnSp macro="">
      <xdr:nvCxnSpPr>
        <xdr:cNvPr id="1678" name="Match62">
          <a:extLst>
            <a:ext uri="{FF2B5EF4-FFF2-40B4-BE49-F238E27FC236}">
              <a16:creationId xmlns:a16="http://schemas.microsoft.com/office/drawing/2014/main" id="{08DCAC39-254F-7C2A-DEED-E1996D633AB4}"/>
            </a:ext>
          </a:extLst>
        </xdr:cNvPr>
        <xdr:cNvCxnSpPr/>
      </xdr:nvCxnSpPr>
      <xdr:spPr>
        <a:xfrm flipV="1">
          <a:off x="1059656" y="160734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7</xdr:row>
      <xdr:rowOff>178593</xdr:rowOff>
    </xdr:from>
    <xdr:to>
      <xdr:col>9</xdr:col>
      <xdr:colOff>211931</xdr:colOff>
      <xdr:row>9</xdr:row>
      <xdr:rowOff>178593</xdr:rowOff>
    </xdr:to>
    <xdr:cxnSp macro="">
      <xdr:nvCxnSpPr>
        <xdr:cNvPr id="1679" name="Match63">
          <a:extLst>
            <a:ext uri="{FF2B5EF4-FFF2-40B4-BE49-F238E27FC236}">
              <a16:creationId xmlns:a16="http://schemas.microsoft.com/office/drawing/2014/main" id="{C6F3510E-BB89-7303-39A9-9AED2065B2C3}"/>
            </a:ext>
          </a:extLst>
        </xdr:cNvPr>
        <xdr:cNvCxnSpPr/>
      </xdr:nvCxnSpPr>
      <xdr:spPr>
        <a:xfrm>
          <a:off x="3178969" y="267890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4</xdr:row>
      <xdr:rowOff>178594</xdr:rowOff>
    </xdr:from>
    <xdr:to>
      <xdr:col>2</xdr:col>
      <xdr:colOff>211931</xdr:colOff>
      <xdr:row>6</xdr:row>
      <xdr:rowOff>178594</xdr:rowOff>
    </xdr:to>
    <xdr:cxnSp macro="">
      <xdr:nvCxnSpPr>
        <xdr:cNvPr id="1680" name="Match64">
          <a:extLst>
            <a:ext uri="{FF2B5EF4-FFF2-40B4-BE49-F238E27FC236}">
              <a16:creationId xmlns:a16="http://schemas.microsoft.com/office/drawing/2014/main" id="{54515124-710A-86A4-CD48-F0726C57B538}"/>
            </a:ext>
          </a:extLst>
        </xdr:cNvPr>
        <xdr:cNvCxnSpPr/>
      </xdr:nvCxnSpPr>
      <xdr:spPr>
        <a:xfrm flipH="1">
          <a:off x="211931" y="160734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6</xdr:row>
      <xdr:rowOff>178594</xdr:rowOff>
    </xdr:from>
    <xdr:to>
      <xdr:col>6</xdr:col>
      <xdr:colOff>211931</xdr:colOff>
      <xdr:row>8</xdr:row>
      <xdr:rowOff>178594</xdr:rowOff>
    </xdr:to>
    <xdr:cxnSp macro="">
      <xdr:nvCxnSpPr>
        <xdr:cNvPr id="1681" name="Match65">
          <a:extLst>
            <a:ext uri="{FF2B5EF4-FFF2-40B4-BE49-F238E27FC236}">
              <a16:creationId xmlns:a16="http://schemas.microsoft.com/office/drawing/2014/main" id="{C8F5DB6A-891A-337E-FAD6-78B2C32495DE}"/>
            </a:ext>
          </a:extLst>
        </xdr:cNvPr>
        <xdr:cNvCxnSpPr/>
      </xdr:nvCxnSpPr>
      <xdr:spPr>
        <a:xfrm>
          <a:off x="2755106" y="2321719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8</xdr:row>
      <xdr:rowOff>178594</xdr:rowOff>
    </xdr:from>
    <xdr:to>
      <xdr:col>8</xdr:col>
      <xdr:colOff>211931</xdr:colOff>
      <xdr:row>8</xdr:row>
      <xdr:rowOff>178594</xdr:rowOff>
    </xdr:to>
    <xdr:cxnSp macro="">
      <xdr:nvCxnSpPr>
        <xdr:cNvPr id="1682" name="Match66">
          <a:extLst>
            <a:ext uri="{FF2B5EF4-FFF2-40B4-BE49-F238E27FC236}">
              <a16:creationId xmlns:a16="http://schemas.microsoft.com/office/drawing/2014/main" id="{36F4A5E4-94DD-2DA0-E744-324CE414FD87}"/>
            </a:ext>
          </a:extLst>
        </xdr:cNvPr>
        <xdr:cNvCxnSpPr/>
      </xdr:nvCxnSpPr>
      <xdr:spPr>
        <a:xfrm flipH="1">
          <a:off x="2755106" y="3036094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8</xdr:row>
      <xdr:rowOff>178594</xdr:rowOff>
    </xdr:from>
    <xdr:to>
      <xdr:col>11</xdr:col>
      <xdr:colOff>211931</xdr:colOff>
      <xdr:row>10</xdr:row>
      <xdr:rowOff>178594</xdr:rowOff>
    </xdr:to>
    <xdr:cxnSp macro="">
      <xdr:nvCxnSpPr>
        <xdr:cNvPr id="1683" name="Match67">
          <a:extLst>
            <a:ext uri="{FF2B5EF4-FFF2-40B4-BE49-F238E27FC236}">
              <a16:creationId xmlns:a16="http://schemas.microsoft.com/office/drawing/2014/main" id="{40736E71-131E-FA63-3E58-D503EEEFA373}"/>
            </a:ext>
          </a:extLst>
        </xdr:cNvPr>
        <xdr:cNvCxnSpPr/>
      </xdr:nvCxnSpPr>
      <xdr:spPr>
        <a:xfrm flipV="1">
          <a:off x="4026694" y="30360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</xdr:row>
      <xdr:rowOff>178593</xdr:rowOff>
    </xdr:from>
    <xdr:to>
      <xdr:col>3</xdr:col>
      <xdr:colOff>211931</xdr:colOff>
      <xdr:row>3</xdr:row>
      <xdr:rowOff>178593</xdr:rowOff>
    </xdr:to>
    <xdr:cxnSp macro="">
      <xdr:nvCxnSpPr>
        <xdr:cNvPr id="1684" name="Match68">
          <a:extLst>
            <a:ext uri="{FF2B5EF4-FFF2-40B4-BE49-F238E27FC236}">
              <a16:creationId xmlns:a16="http://schemas.microsoft.com/office/drawing/2014/main" id="{5572DF8B-1A10-C5A7-5F26-0EC25FD7B4D1}"/>
            </a:ext>
          </a:extLst>
        </xdr:cNvPr>
        <xdr:cNvCxnSpPr/>
      </xdr:nvCxnSpPr>
      <xdr:spPr>
        <a:xfrm>
          <a:off x="635794" y="5357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1</xdr:row>
      <xdr:rowOff>203993</xdr:rowOff>
    </xdr:from>
    <xdr:to>
      <xdr:col>1</xdr:col>
      <xdr:colOff>237331</xdr:colOff>
      <xdr:row>3</xdr:row>
      <xdr:rowOff>203993</xdr:rowOff>
    </xdr:to>
    <xdr:cxnSp macro="">
      <xdr:nvCxnSpPr>
        <xdr:cNvPr id="1685" name="Match69">
          <a:extLst>
            <a:ext uri="{FF2B5EF4-FFF2-40B4-BE49-F238E27FC236}">
              <a16:creationId xmlns:a16="http://schemas.microsoft.com/office/drawing/2014/main" id="{75C100DD-8C31-A859-2BDC-FDEC6C67E226}"/>
            </a:ext>
          </a:extLst>
        </xdr:cNvPr>
        <xdr:cNvCxnSpPr/>
      </xdr:nvCxnSpPr>
      <xdr:spPr>
        <a:xfrm>
          <a:off x="661194" y="561181"/>
          <a:ext cx="0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4</xdr:row>
      <xdr:rowOff>178594</xdr:rowOff>
    </xdr:from>
    <xdr:to>
      <xdr:col>3</xdr:col>
      <xdr:colOff>211931</xdr:colOff>
      <xdr:row>6</xdr:row>
      <xdr:rowOff>178594</xdr:rowOff>
    </xdr:to>
    <xdr:cxnSp macro="">
      <xdr:nvCxnSpPr>
        <xdr:cNvPr id="1686" name="Match70">
          <a:extLst>
            <a:ext uri="{FF2B5EF4-FFF2-40B4-BE49-F238E27FC236}">
              <a16:creationId xmlns:a16="http://schemas.microsoft.com/office/drawing/2014/main" id="{B23F79CA-60B7-BB09-84BD-5F8B285FA0C9}"/>
            </a:ext>
          </a:extLst>
        </xdr:cNvPr>
        <xdr:cNvCxnSpPr/>
      </xdr:nvCxnSpPr>
      <xdr:spPr>
        <a:xfrm flipV="1">
          <a:off x="1483519" y="160734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710F6E05-E17D-5953-97B1-62A21A0C6C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I5" sqref="I5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2">
        <v>3</v>
      </c>
      <c r="B1" s="22">
        <v>5</v>
      </c>
      <c r="C1" s="22">
        <v>6</v>
      </c>
      <c r="D1" s="22">
        <v>6</v>
      </c>
      <c r="E1" s="22">
        <v>5</v>
      </c>
      <c r="F1" s="27">
        <v>7</v>
      </c>
      <c r="G1" s="27">
        <v>4</v>
      </c>
      <c r="H1" s="27">
        <v>4</v>
      </c>
      <c r="I1" s="27">
        <v>4</v>
      </c>
      <c r="J1" s="23">
        <v>3</v>
      </c>
      <c r="K1" s="23">
        <v>6</v>
      </c>
      <c r="L1" s="27">
        <v>4</v>
      </c>
      <c r="N1" s="2">
        <v>16</v>
      </c>
      <c r="O1" s="1">
        <v>13</v>
      </c>
    </row>
    <row r="2" spans="1:15" s="2" customFormat="1" ht="28.25" customHeight="1">
      <c r="A2" s="27">
        <v>2</v>
      </c>
      <c r="B2" s="23">
        <v>5</v>
      </c>
      <c r="C2" s="27">
        <v>5</v>
      </c>
      <c r="D2" s="23">
        <v>3</v>
      </c>
      <c r="E2" s="27">
        <v>4</v>
      </c>
      <c r="F2" s="22">
        <v>1</v>
      </c>
      <c r="G2" s="27">
        <v>5</v>
      </c>
      <c r="H2" s="27">
        <v>8</v>
      </c>
      <c r="I2" s="23">
        <v>1</v>
      </c>
      <c r="J2" s="23">
        <v>6</v>
      </c>
      <c r="K2" s="22">
        <v>9</v>
      </c>
      <c r="L2" s="27">
        <v>4</v>
      </c>
      <c r="N2" s="2">
        <v>36</v>
      </c>
      <c r="O2" s="2">
        <v>22</v>
      </c>
    </row>
    <row r="3" spans="1:15" ht="28.25" customHeight="1">
      <c r="A3" s="27">
        <v>2</v>
      </c>
      <c r="B3" s="23">
        <v>7</v>
      </c>
      <c r="C3" s="23">
        <v>7</v>
      </c>
      <c r="D3" s="23">
        <v>9</v>
      </c>
      <c r="E3" s="27">
        <v>5</v>
      </c>
      <c r="F3" s="22">
        <v>9</v>
      </c>
      <c r="G3" s="22">
        <v>9</v>
      </c>
      <c r="H3" s="23">
        <v>6</v>
      </c>
      <c r="I3" s="23">
        <v>6</v>
      </c>
      <c r="J3" s="23">
        <v>3</v>
      </c>
      <c r="K3" s="22">
        <v>7</v>
      </c>
      <c r="L3" s="27">
        <v>3</v>
      </c>
      <c r="N3" s="2">
        <v>8111</v>
      </c>
      <c r="O3" s="1">
        <v>1</v>
      </c>
    </row>
    <row r="4" spans="1:15" ht="28.25" customHeight="1">
      <c r="A4" s="27">
        <v>7</v>
      </c>
      <c r="B4" s="22">
        <v>8</v>
      </c>
      <c r="C4" s="23">
        <v>7</v>
      </c>
      <c r="D4" s="23">
        <v>8</v>
      </c>
      <c r="E4" s="27">
        <v>5</v>
      </c>
      <c r="F4" s="22">
        <v>4</v>
      </c>
      <c r="G4" s="22">
        <v>3</v>
      </c>
      <c r="H4" s="22">
        <v>3</v>
      </c>
      <c r="I4" s="27">
        <v>2</v>
      </c>
      <c r="J4" s="23">
        <v>1</v>
      </c>
      <c r="K4" s="27">
        <v>7</v>
      </c>
      <c r="L4" s="27">
        <v>7</v>
      </c>
      <c r="N4" s="2">
        <v>6712824</v>
      </c>
      <c r="O4" s="1">
        <v>1</v>
      </c>
    </row>
    <row r="5" spans="1:15" ht="28.25" customHeight="1">
      <c r="A5" s="27">
        <v>4</v>
      </c>
      <c r="B5" s="22">
        <v>1</v>
      </c>
      <c r="C5" s="23">
        <v>7</v>
      </c>
      <c r="D5" s="22">
        <v>8</v>
      </c>
      <c r="E5" s="22">
        <v>4</v>
      </c>
      <c r="F5" s="22">
        <v>2</v>
      </c>
      <c r="G5" s="22">
        <v>6</v>
      </c>
      <c r="H5" s="22">
        <v>4</v>
      </c>
      <c r="I5" s="22">
        <v>7</v>
      </c>
      <c r="J5" s="27">
        <v>2</v>
      </c>
      <c r="K5" s="27">
        <v>5</v>
      </c>
      <c r="L5" s="27">
        <v>3</v>
      </c>
      <c r="N5" s="2">
        <v>26658</v>
      </c>
      <c r="O5" s="1">
        <v>1</v>
      </c>
    </row>
    <row r="6" spans="1:15" ht="28.25" customHeight="1">
      <c r="A6" s="27">
        <v>4</v>
      </c>
      <c r="B6" s="22">
        <v>1</v>
      </c>
      <c r="C6" s="23">
        <v>9</v>
      </c>
      <c r="D6" s="22">
        <v>7</v>
      </c>
      <c r="E6" s="22">
        <v>8</v>
      </c>
      <c r="F6" s="22">
        <v>8</v>
      </c>
      <c r="G6" s="27">
        <v>4</v>
      </c>
      <c r="H6" s="23">
        <v>7</v>
      </c>
      <c r="I6" s="22">
        <v>2</v>
      </c>
      <c r="J6" s="27">
        <v>2</v>
      </c>
      <c r="K6" s="23">
        <v>3</v>
      </c>
      <c r="L6" s="27">
        <v>2</v>
      </c>
      <c r="N6" s="2">
        <v>4656453</v>
      </c>
      <c r="O6" s="1">
        <v>1</v>
      </c>
    </row>
    <row r="7" spans="1:15" ht="28.25" customHeight="1">
      <c r="A7" s="23">
        <v>3</v>
      </c>
      <c r="B7" s="22">
        <v>1</v>
      </c>
      <c r="C7" s="22">
        <v>8</v>
      </c>
      <c r="D7" s="22">
        <v>5</v>
      </c>
      <c r="E7" s="27">
        <v>5</v>
      </c>
      <c r="F7" s="22">
        <v>2</v>
      </c>
      <c r="G7" s="23">
        <v>7</v>
      </c>
      <c r="H7" s="27">
        <v>1</v>
      </c>
      <c r="I7" s="23">
        <v>9</v>
      </c>
      <c r="J7" s="22">
        <v>6</v>
      </c>
      <c r="K7" s="27">
        <v>9</v>
      </c>
      <c r="L7" s="27">
        <v>5</v>
      </c>
      <c r="N7" s="2">
        <v>49523</v>
      </c>
      <c r="O7" s="1">
        <v>1</v>
      </c>
    </row>
    <row r="8" spans="1:15" ht="28.25" customHeight="1">
      <c r="A8" s="23">
        <v>8</v>
      </c>
      <c r="B8" s="23">
        <v>3</v>
      </c>
      <c r="C8" s="22">
        <v>6</v>
      </c>
      <c r="D8" s="22">
        <v>1</v>
      </c>
      <c r="E8" s="23">
        <v>7</v>
      </c>
      <c r="F8" s="22">
        <v>1</v>
      </c>
      <c r="G8" s="23">
        <v>1</v>
      </c>
      <c r="H8" s="22">
        <v>8</v>
      </c>
      <c r="I8" s="27">
        <v>5</v>
      </c>
      <c r="J8" s="23">
        <v>1</v>
      </c>
      <c r="K8" s="22">
        <v>5</v>
      </c>
      <c r="L8" s="27">
        <v>5</v>
      </c>
      <c r="N8" s="2">
        <v>56653</v>
      </c>
      <c r="O8" s="1">
        <v>1</v>
      </c>
    </row>
    <row r="9" spans="1:15" ht="28.25" customHeight="1">
      <c r="A9" s="23">
        <v>6</v>
      </c>
      <c r="B9" s="22">
        <v>6</v>
      </c>
      <c r="C9" s="27">
        <v>5</v>
      </c>
      <c r="D9" s="23">
        <v>9</v>
      </c>
      <c r="E9" s="23">
        <v>6</v>
      </c>
      <c r="F9" s="22">
        <v>7</v>
      </c>
      <c r="G9" s="22">
        <v>3</v>
      </c>
      <c r="H9" s="22">
        <v>1</v>
      </c>
      <c r="I9" s="22">
        <v>7</v>
      </c>
      <c r="J9" s="27">
        <v>5</v>
      </c>
      <c r="K9" s="27">
        <v>1</v>
      </c>
      <c r="L9" s="23">
        <v>3</v>
      </c>
      <c r="N9" s="2">
        <v>97</v>
      </c>
      <c r="O9" s="1">
        <v>11</v>
      </c>
    </row>
    <row r="10" spans="1:15" ht="28.25" customHeight="1">
      <c r="A10" s="22">
        <v>2</v>
      </c>
      <c r="B10" s="23">
        <v>3</v>
      </c>
      <c r="C10" s="27">
        <v>5</v>
      </c>
      <c r="D10" s="27">
        <v>4</v>
      </c>
      <c r="E10" s="23">
        <v>3</v>
      </c>
      <c r="F10" s="22">
        <v>6</v>
      </c>
      <c r="G10" s="23">
        <v>6</v>
      </c>
      <c r="H10" s="23">
        <v>7</v>
      </c>
      <c r="I10" s="23">
        <v>9</v>
      </c>
      <c r="J10" s="23">
        <v>4</v>
      </c>
      <c r="K10" s="23">
        <v>1</v>
      </c>
      <c r="L10" s="23">
        <v>8</v>
      </c>
      <c r="N10" s="2">
        <v>38</v>
      </c>
      <c r="O10" s="1">
        <v>8</v>
      </c>
    </row>
    <row r="11" spans="1:15" ht="28.25" customHeight="1">
      <c r="A11" s="22">
        <v>3</v>
      </c>
      <c r="B11" s="22">
        <v>2</v>
      </c>
      <c r="C11" s="22">
        <v>5</v>
      </c>
      <c r="D11" s="22">
        <v>9</v>
      </c>
      <c r="E11" s="22">
        <v>4</v>
      </c>
      <c r="F11" s="23">
        <v>1</v>
      </c>
      <c r="G11" s="23">
        <v>9</v>
      </c>
      <c r="H11" s="27">
        <v>2</v>
      </c>
      <c r="I11" s="23">
        <v>3</v>
      </c>
      <c r="J11" s="23">
        <v>7</v>
      </c>
      <c r="K11" s="27">
        <v>5</v>
      </c>
      <c r="L11" s="23">
        <v>8</v>
      </c>
      <c r="N11" s="2">
        <v>562439</v>
      </c>
      <c r="O11" s="1">
        <v>1</v>
      </c>
    </row>
    <row r="12" spans="1:15" ht="28.25" customHeight="1">
      <c r="A12" s="27">
        <v>9</v>
      </c>
      <c r="B12" s="23">
        <v>8</v>
      </c>
      <c r="C12" s="27">
        <v>8</v>
      </c>
      <c r="D12" s="27">
        <v>9</v>
      </c>
      <c r="E12" s="22">
        <v>4</v>
      </c>
      <c r="F12" s="22">
        <v>6</v>
      </c>
      <c r="G12" s="22">
        <v>5</v>
      </c>
      <c r="H12" s="22">
        <v>6</v>
      </c>
      <c r="I12" s="22">
        <v>4</v>
      </c>
      <c r="J12" s="22">
        <v>5</v>
      </c>
      <c r="K12" s="22">
        <v>3</v>
      </c>
      <c r="L12" s="23">
        <v>3</v>
      </c>
      <c r="N12" s="2">
        <v>1937</v>
      </c>
      <c r="O12" s="1">
        <v>1</v>
      </c>
    </row>
    <row r="13" spans="1:15" ht="28.25" customHeight="1">
      <c r="N13" s="2">
        <v>874</v>
      </c>
      <c r="O13" s="1">
        <v>2</v>
      </c>
    </row>
    <row r="14" spans="1:15" ht="28.25" customHeight="1">
      <c r="N14" s="2">
        <v>713</v>
      </c>
      <c r="O14" s="1">
        <v>4</v>
      </c>
    </row>
    <row r="15" spans="1:15" ht="28.25" customHeight="1">
      <c r="N15" s="2">
        <v>578</v>
      </c>
      <c r="O15" s="1">
        <v>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197"/>
  <sheetViews>
    <sheetView tabSelected="1" zoomScaleNormal="100" workbookViewId="0">
      <pane ySplit="2" topLeftCell="A189" activePane="bottomLeft" state="frozen"/>
      <selection pane="bottomLeft" activeCell="A197" sqref="A197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438</v>
      </c>
      <c r="L2" s="4" t="s">
        <v>163</v>
      </c>
      <c r="M2" s="4" t="s">
        <v>250</v>
      </c>
      <c r="N2" s="4" t="s">
        <v>178</v>
      </c>
      <c r="O2" s="4" t="s">
        <v>179</v>
      </c>
      <c r="P2" s="4" t="s">
        <v>170</v>
      </c>
      <c r="Q2" s="4" t="s">
        <v>425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180</v>
      </c>
      <c r="I64" t="s">
        <v>181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182</v>
      </c>
      <c r="I65" t="s">
        <v>183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184</v>
      </c>
      <c r="I66" t="s">
        <v>185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186</v>
      </c>
      <c r="I67" t="s">
        <v>187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188</v>
      </c>
      <c r="I68" t="s">
        <v>189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190</v>
      </c>
      <c r="I69" t="s">
        <v>191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192</v>
      </c>
      <c r="I70" t="s">
        <v>193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194</v>
      </c>
      <c r="I71" t="s">
        <v>195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196</v>
      </c>
      <c r="I72" t="s">
        <v>197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198</v>
      </c>
      <c r="I73" t="s">
        <v>199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200</v>
      </c>
      <c r="I74" t="s">
        <v>201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202</v>
      </c>
      <c r="I75" t="s">
        <v>203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204</v>
      </c>
      <c r="I76" t="s">
        <v>205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206</v>
      </c>
      <c r="I77" t="s">
        <v>207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208</v>
      </c>
      <c r="I78" t="s">
        <v>209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210</v>
      </c>
      <c r="I79" t="s">
        <v>211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212</v>
      </c>
      <c r="I80" t="s">
        <v>213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216</v>
      </c>
      <c r="I81" t="s">
        <v>217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214</v>
      </c>
      <c r="I82" t="s">
        <v>215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218</v>
      </c>
      <c r="I83" t="s">
        <v>219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220</v>
      </c>
      <c r="I84" t="s">
        <v>221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222</v>
      </c>
      <c r="I85" t="s">
        <v>223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224</v>
      </c>
      <c r="I86" t="s">
        <v>225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226</v>
      </c>
      <c r="I87" t="s">
        <v>227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228</v>
      </c>
      <c r="I88" t="s">
        <v>229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230</v>
      </c>
      <c r="I89" t="s">
        <v>231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232</v>
      </c>
      <c r="I90" t="s">
        <v>233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234</v>
      </c>
      <c r="I91" t="s">
        <v>235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236</v>
      </c>
      <c r="I92" t="s">
        <v>237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238</v>
      </c>
      <c r="I93" t="s">
        <v>239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240</v>
      </c>
      <c r="I94" t="s">
        <v>241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242</v>
      </c>
      <c r="I95" t="s">
        <v>243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244</v>
      </c>
      <c r="I96" t="s">
        <v>245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246</v>
      </c>
      <c r="I97" t="s">
        <v>247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248</v>
      </c>
      <c r="I98" t="s">
        <v>249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251</v>
      </c>
      <c r="I99" t="s">
        <v>252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253</v>
      </c>
      <c r="I100" t="s">
        <v>254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255</v>
      </c>
      <c r="I101" t="s">
        <v>256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257</v>
      </c>
      <c r="I102" t="s">
        <v>258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259</v>
      </c>
      <c r="I103" t="s">
        <v>260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261</v>
      </c>
      <c r="I104" t="s">
        <v>262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263</v>
      </c>
      <c r="I105" t="s">
        <v>264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265</v>
      </c>
      <c r="I106" t="s">
        <v>266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267</v>
      </c>
      <c r="I107" t="s">
        <v>268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269</v>
      </c>
      <c r="I108" t="s">
        <v>270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271</v>
      </c>
      <c r="I109" t="s">
        <v>272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273</v>
      </c>
      <c r="I110" t="s">
        <v>274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275</v>
      </c>
      <c r="I111" t="s">
        <v>276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277</v>
      </c>
      <c r="I112" t="s">
        <v>278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279</v>
      </c>
      <c r="I113" t="s">
        <v>280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281</v>
      </c>
      <c r="I114" t="s">
        <v>282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283</v>
      </c>
      <c r="I115" t="s">
        <v>284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285</v>
      </c>
      <c r="I116" t="s">
        <v>286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287</v>
      </c>
      <c r="I117" t="s">
        <v>288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289</v>
      </c>
      <c r="I118" t="s">
        <v>290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291</v>
      </c>
      <c r="I119" t="s">
        <v>292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293</v>
      </c>
      <c r="I120" t="s">
        <v>294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295</v>
      </c>
      <c r="I121" t="s">
        <v>296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297</v>
      </c>
      <c r="I122" t="s">
        <v>298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299</v>
      </c>
      <c r="I123" t="s">
        <v>300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301</v>
      </c>
      <c r="I124" t="s">
        <v>302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303</v>
      </c>
      <c r="I125" t="s">
        <v>304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305</v>
      </c>
      <c r="I126" t="s">
        <v>306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307</v>
      </c>
      <c r="I127" t="s">
        <v>308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309</v>
      </c>
      <c r="I128" t="s">
        <v>310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311</v>
      </c>
      <c r="I129" t="s">
        <v>312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313</v>
      </c>
      <c r="I130" t="s">
        <v>314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315</v>
      </c>
      <c r="I131" t="s">
        <v>316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317</v>
      </c>
      <c r="I132" t="s">
        <v>318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319</v>
      </c>
      <c r="I133" t="s">
        <v>320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321</v>
      </c>
      <c r="I134" t="s">
        <v>322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323</v>
      </c>
      <c r="I135" t="s">
        <v>324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325</v>
      </c>
      <c r="I136" t="s">
        <v>326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327</v>
      </c>
      <c r="I137" t="s">
        <v>328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329</v>
      </c>
      <c r="I138" t="s">
        <v>330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331</v>
      </c>
      <c r="I139" t="s">
        <v>332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333</v>
      </c>
      <c r="I140" t="s">
        <v>334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335</v>
      </c>
      <c r="I141" t="s">
        <v>336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337</v>
      </c>
      <c r="I142" t="s">
        <v>338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340</v>
      </c>
      <c r="I143" t="s">
        <v>341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342</v>
      </c>
      <c r="I144" t="s">
        <v>343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344</v>
      </c>
      <c r="I145" t="s">
        <v>345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346</v>
      </c>
      <c r="I146" t="s">
        <v>347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348</v>
      </c>
      <c r="I147" t="s">
        <v>349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182" si="21">IF(A147&gt;=DATEVALUE("2025/11/8")+TIMEVALUE("6:00"),1,0)-IF(A146&gt;=DATEVALUE("2025/11/8")+TIMEVALUE("6:00"),1,0)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350</v>
      </c>
      <c r="I148" t="s">
        <v>351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352</v>
      </c>
      <c r="I149" t="s">
        <v>353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354</v>
      </c>
      <c r="I150" t="s">
        <v>355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356</v>
      </c>
      <c r="I151" t="s">
        <v>357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358</v>
      </c>
      <c r="I152" t="s">
        <v>359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360</v>
      </c>
      <c r="I153" t="s">
        <v>361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362</v>
      </c>
      <c r="I154" t="s">
        <v>363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364</v>
      </c>
      <c r="I155" t="s">
        <v>365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366</v>
      </c>
      <c r="I156" t="s">
        <v>367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368</v>
      </c>
      <c r="I157" t="s">
        <v>369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370</v>
      </c>
      <c r="I158" t="s">
        <v>371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372</v>
      </c>
      <c r="I159" t="s">
        <v>373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374</v>
      </c>
      <c r="I160" t="s">
        <v>375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376</v>
      </c>
      <c r="I161" t="s">
        <v>377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378</v>
      </c>
      <c r="I162" t="s">
        <v>379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380</v>
      </c>
      <c r="I163" t="s">
        <v>381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382</v>
      </c>
      <c r="I164" t="s">
        <v>383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384</v>
      </c>
      <c r="I165" t="s">
        <v>385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386</v>
      </c>
      <c r="I166" t="s">
        <v>387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388</v>
      </c>
      <c r="I167" t="s">
        <v>389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391</v>
      </c>
      <c r="I168" t="s">
        <v>390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392</v>
      </c>
      <c r="I169" t="s">
        <v>393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394</v>
      </c>
      <c r="I170" t="s">
        <v>395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396</v>
      </c>
      <c r="I171" t="s">
        <v>397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398</v>
      </c>
      <c r="I172" t="s">
        <v>399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400</v>
      </c>
      <c r="I173" t="s">
        <v>401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402</v>
      </c>
      <c r="I174" t="s">
        <v>403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404</v>
      </c>
      <c r="I175" t="s">
        <v>405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407</v>
      </c>
      <c r="I176" t="s">
        <v>406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408</v>
      </c>
      <c r="I177" t="s">
        <v>409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410</v>
      </c>
      <c r="I178" t="s">
        <v>411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412</v>
      </c>
      <c r="I179" t="s">
        <v>413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415</v>
      </c>
      <c r="I180" t="s">
        <v>414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417</v>
      </c>
      <c r="I181" t="s">
        <v>416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418</v>
      </c>
      <c r="I182" t="s">
        <v>419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420</v>
      </c>
      <c r="I183" t="s">
        <v>421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ref="O183" si="27">IF(A183&gt;=DATEVALUE("2025/11/8")+TIMEVALUE("6:00"),1,0)-IF(A182&gt;=DATEVALUE("2025/11/8")+TIMEVALUE("6:00"),1,0)</f>
        <v>0</v>
      </c>
      <c r="P183" t="str">
        <f t="shared" ref="P183" si="28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422</v>
      </c>
      <c r="I184" t="s">
        <v>421</v>
      </c>
      <c r="J184">
        <v>0</v>
      </c>
      <c r="K184">
        <f t="shared" ref="K184" si="29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30">L183+K184</f>
        <v>207</v>
      </c>
      <c r="M184">
        <f t="shared" ref="M184" si="31">2+IF(A184&gt;=DATEVALUE("2025/11/30")+TIMEVALUE("6:00"),1,0)+IF(A184&gt;=DATEVALUE("2025/12/11")+TIMEVALUE("6:00"),1,0)</f>
        <v>4</v>
      </c>
      <c r="N184">
        <f t="shared" ref="N184" si="32">N183+M184*(INT(A184-6/24)-INT(A183-6/24))+O184</f>
        <v>208</v>
      </c>
      <c r="O184">
        <f t="shared" ref="O184" si="33">IF(A184&gt;=DATEVALUE("2025/11/8")+TIMEVALUE("6:00"),1,0)-IF(A183&gt;=DATEVALUE("2025/11/8")+TIMEVALUE("6:00"),1,0)</f>
        <v>0</v>
      </c>
      <c r="P184" t="str">
        <f t="shared" ref="P184" si="34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423</v>
      </c>
      <c r="I185" t="s">
        <v>424</v>
      </c>
      <c r="J185">
        <v>0</v>
      </c>
      <c r="K185">
        <f t="shared" ref="K185" si="35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6">L184+K185</f>
        <v>209</v>
      </c>
      <c r="M185">
        <f t="shared" ref="M185" si="37">2+IF(A185&gt;=DATEVALUE("2025/11/30")+TIMEVALUE("6:00"),1,0)+IF(A185&gt;=DATEVALUE("2025/12/11")+TIMEVALUE("6:00"),1,0)</f>
        <v>4</v>
      </c>
      <c r="N185">
        <f t="shared" ref="N185" si="38">N184+M185*(INT(A185-6/24)-INT(A184-6/24))+O185</f>
        <v>208</v>
      </c>
      <c r="O185">
        <f t="shared" ref="O185" si="39">IF(A185&gt;=DATEVALUE("2025/11/8")+TIMEVALUE("6:00"),1,0)-IF(A184&gt;=DATEVALUE("2025/11/8")+TIMEVALUE("6:00"),1,0)</f>
        <v>0</v>
      </c>
      <c r="P185" t="str">
        <f t="shared" ref="P185" si="40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426</v>
      </c>
      <c r="I186" t="s">
        <v>427</v>
      </c>
      <c r="J186">
        <v>0</v>
      </c>
      <c r="K186">
        <f t="shared" ref="K186" si="41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42">L185+K186</f>
        <v>211</v>
      </c>
      <c r="M186">
        <f t="shared" ref="M186" si="43">2+IF(A186&gt;=DATEVALUE("2025/11/30")+TIMEVALUE("6:00"),1,0)+IF(A186&gt;=DATEVALUE("2025/12/11")+TIMEVALUE("6:00"),1,0)</f>
        <v>4</v>
      </c>
      <c r="N186">
        <f t="shared" ref="N186" si="44">N185+M186*(INT(A186-6/24)-INT(A185-6/24))+O186</f>
        <v>212</v>
      </c>
      <c r="O186">
        <f t="shared" ref="O186" si="45">IF(A186&gt;=DATEVALUE("2025/11/8")+TIMEVALUE("6:00"),1,0)-IF(A185&gt;=DATEVALUE("2025/11/8")+TIMEVALUE("6:00"),1,0)</f>
        <v>0</v>
      </c>
      <c r="P186" t="str">
        <f t="shared" ref="P186" si="46">IF(L186&lt;N186,"未達成（"&amp;N186-L186&amp;"）",IF(L186=N186,"達成","前倒し（"&amp;L186-N186&amp;"）"))</f>
        <v>未達成（1）</v>
      </c>
      <c r="Q186" s="5">
        <f t="shared" ref="Q186" si="47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428</v>
      </c>
      <c r="I187" t="s">
        <v>429</v>
      </c>
      <c r="J187">
        <v>0</v>
      </c>
      <c r="K187">
        <f t="shared" ref="K187" si="48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9">L186+K187</f>
        <v>213</v>
      </c>
      <c r="M187">
        <f t="shared" ref="M187" si="50">2+IF(A187&gt;=DATEVALUE("2025/11/30")+TIMEVALUE("6:00"),1,0)+IF(A187&gt;=DATEVALUE("2025/12/11")+TIMEVALUE("6:00"),1,0)</f>
        <v>4</v>
      </c>
      <c r="N187">
        <f t="shared" ref="N187" si="51">N186+M187*(INT(A187-6/24)-INT(A186-6/24))+O187</f>
        <v>212</v>
      </c>
      <c r="O187">
        <f t="shared" ref="O187" si="52">IF(A187&gt;=DATEVALUE("2025/11/8")+TIMEVALUE("6:00"),1,0)-IF(A186&gt;=DATEVALUE("2025/11/8")+TIMEVALUE("6:00"),1,0)</f>
        <v>0</v>
      </c>
      <c r="P187" t="str">
        <f t="shared" ref="P187" si="53">IF(L187&lt;N187,"未達成（"&amp;N187-L187&amp;"）",IF(L187=N187,"達成","前倒し（"&amp;L187-N187&amp;"）"))</f>
        <v>前倒し（1）</v>
      </c>
      <c r="Q187" s="5">
        <f t="shared" ref="Q187" si="54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430</v>
      </c>
      <c r="I188" t="s">
        <v>431</v>
      </c>
      <c r="J188">
        <v>0</v>
      </c>
      <c r="K188">
        <f t="shared" ref="K188" si="55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6">L187+K188</f>
        <v>214</v>
      </c>
      <c r="M188">
        <f t="shared" ref="M188" si="57">2+IF(A188&gt;=DATEVALUE("2025/11/30")+TIMEVALUE("6:00"),1,0)+IF(A188&gt;=DATEVALUE("2025/12/11")+TIMEVALUE("6:00"),1,0)</f>
        <v>4</v>
      </c>
      <c r="N188">
        <f t="shared" ref="N188" si="58">N187+M188*(INT(A188-6/24)-INT(A187-6/24))+O188</f>
        <v>216</v>
      </c>
      <c r="O188">
        <f t="shared" ref="O188" si="59">IF(A188&gt;=DATEVALUE("2025/11/8")+TIMEVALUE("6:00"),1,0)-IF(A187&gt;=DATEVALUE("2025/11/8")+TIMEVALUE("6:00"),1,0)</f>
        <v>0</v>
      </c>
      <c r="P188" t="str">
        <f t="shared" ref="P188" si="60">IF(L188&lt;N188,"未達成（"&amp;N188-L188&amp;"）",IF(L188=N188,"達成","前倒し（"&amp;L188-N188&amp;"）"))</f>
        <v>未達成（2）</v>
      </c>
      <c r="Q188" s="5">
        <f t="shared" ref="Q188" si="61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432</v>
      </c>
      <c r="I189" t="s">
        <v>433</v>
      </c>
      <c r="J189">
        <v>0</v>
      </c>
      <c r="K189">
        <f t="shared" ref="K189" si="62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63">L188+K189</f>
        <v>215</v>
      </c>
      <c r="M189">
        <f t="shared" ref="M189" si="64">2+IF(A189&gt;=DATEVALUE("2025/11/30")+TIMEVALUE("6:00"),1,0)+IF(A189&gt;=DATEVALUE("2025/12/11")+TIMEVALUE("6:00"),1,0)</f>
        <v>4</v>
      </c>
      <c r="N189">
        <f t="shared" ref="N189" si="65">N188+M189*(INT(A189-6/24)-INT(A188-6/24))+O189</f>
        <v>216</v>
      </c>
      <c r="O189">
        <f t="shared" ref="O189" si="66">IF(A189&gt;=DATEVALUE("2025/11/8")+TIMEVALUE("6:00"),1,0)-IF(A188&gt;=DATEVALUE("2025/11/8")+TIMEVALUE("6:00"),1,0)</f>
        <v>0</v>
      </c>
      <c r="P189" t="str">
        <f t="shared" ref="P189" si="67">IF(L189&lt;N189,"未達成（"&amp;N189-L189&amp;"）",IF(L189=N189,"達成","前倒し（"&amp;L189-N189&amp;"）"))</f>
        <v>未達成（1）</v>
      </c>
      <c r="Q189" s="5">
        <f t="shared" ref="Q189" si="68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434</v>
      </c>
      <c r="I190" t="s">
        <v>435</v>
      </c>
      <c r="J190">
        <v>0</v>
      </c>
      <c r="K190">
        <f t="shared" ref="K190" si="69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70">L189+K190</f>
        <v>217</v>
      </c>
      <c r="M190">
        <f t="shared" ref="M190" si="71">2+IF(A190&gt;=DATEVALUE("2025/11/30")+TIMEVALUE("6:00"),1,0)+IF(A190&gt;=DATEVALUE("2025/12/11")+TIMEVALUE("6:00"),1,0)</f>
        <v>4</v>
      </c>
      <c r="N190">
        <f t="shared" ref="N190" si="72">N189+M190*(INT(A190-6/24)-INT(A189-6/24))+O190</f>
        <v>216</v>
      </c>
      <c r="O190">
        <f t="shared" ref="O190" si="73">IF(A190&gt;=DATEVALUE("2025/11/8")+TIMEVALUE("6:00"),1,0)-IF(A189&gt;=DATEVALUE("2025/11/8")+TIMEVALUE("6:00"),1,0)</f>
        <v>0</v>
      </c>
      <c r="P190" t="str">
        <f t="shared" ref="P190" si="74">IF(L190&lt;N190,"未達成（"&amp;N190-L190&amp;"）",IF(L190=N190,"達成","前倒し（"&amp;L190-N190&amp;"）"))</f>
        <v>前倒し（1）</v>
      </c>
      <c r="Q190" s="5">
        <f t="shared" ref="Q190" si="75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436</v>
      </c>
      <c r="I191" t="s">
        <v>437</v>
      </c>
      <c r="J191">
        <v>0</v>
      </c>
      <c r="K191">
        <f t="shared" ref="K191" si="76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77">L190+K191</f>
        <v>219</v>
      </c>
      <c r="M191">
        <f t="shared" ref="M191" si="78">2+IF(A191&gt;=DATEVALUE("2025/11/30")+TIMEVALUE("6:00"),1,0)+IF(A191&gt;=DATEVALUE("2025/12/11")+TIMEVALUE("6:00"),1,0)</f>
        <v>4</v>
      </c>
      <c r="N191">
        <f t="shared" ref="N191" si="79">N190+M191*(INT(A191-6/24)-INT(A190-6/24))+O191</f>
        <v>220</v>
      </c>
      <c r="O191">
        <f t="shared" ref="O191" si="80">IF(A191&gt;=DATEVALUE("2025/11/8")+TIMEVALUE("6:00"),1,0)-IF(A190&gt;=DATEVALUE("2025/11/8")+TIMEVALUE("6:00"),1,0)</f>
        <v>0</v>
      </c>
      <c r="P191" t="str">
        <f t="shared" ref="P191" si="81">IF(L191&lt;N191,"未達成（"&amp;N191-L191&amp;"）",IF(L191=N191,"達成","前倒し（"&amp;L191-N191&amp;"）"))</f>
        <v>未達成（1）</v>
      </c>
      <c r="Q191" s="5">
        <f t="shared" ref="Q191" si="82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439</v>
      </c>
      <c r="I192" t="s">
        <v>440</v>
      </c>
      <c r="J192">
        <v>0</v>
      </c>
      <c r="K192">
        <f t="shared" ref="K192" si="83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84">L191+K192</f>
        <v>220</v>
      </c>
      <c r="M192">
        <f t="shared" ref="M192" si="85">2+IF(A192&gt;=DATEVALUE("2025/11/30")+TIMEVALUE("6:00"),1,0)+IF(A192&gt;=DATEVALUE("2025/12/11")+TIMEVALUE("6:00"),1,0)</f>
        <v>4</v>
      </c>
      <c r="N192">
        <f t="shared" ref="N192" si="86">N191+M192*(INT(A192-6/24)-INT(A191-6/24))+O192</f>
        <v>220</v>
      </c>
      <c r="O192">
        <f t="shared" ref="O192" si="87">IF(A192&gt;=DATEVALUE("2025/11/8")+TIMEVALUE("6:00"),1,0)-IF(A191&gt;=DATEVALUE("2025/11/8")+TIMEVALUE("6:00"),1,0)</f>
        <v>0</v>
      </c>
      <c r="P192" t="str">
        <f t="shared" ref="P192" si="88">IF(L192&lt;N192,"未達成（"&amp;N192-L192&amp;"）",IF(L192=N192,"達成","前倒し（"&amp;L192-N192&amp;"）"))</f>
        <v>達成</v>
      </c>
      <c r="Q192">
        <f t="shared" ref="Q192" si="8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441</v>
      </c>
      <c r="I193" t="s">
        <v>442</v>
      </c>
      <c r="J193">
        <v>0</v>
      </c>
      <c r="K193">
        <f t="shared" ref="K193" si="9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91">L192+K193</f>
        <v>221</v>
      </c>
      <c r="M193">
        <f t="shared" ref="M193" si="92">2+IF(A193&gt;=DATEVALUE("2025/11/30")+TIMEVALUE("6:00"),1,0)+IF(A193&gt;=DATEVALUE("2025/12/11")+TIMEVALUE("6:00"),1,0)</f>
        <v>4</v>
      </c>
      <c r="N193">
        <f t="shared" ref="N193" si="93">N192+M193*(INT(A193-6/24)-INT(A192-6/24))+O193</f>
        <v>224</v>
      </c>
      <c r="O193">
        <f t="shared" ref="O193" si="94">IF(A193&gt;=DATEVALUE("2025/11/8")+TIMEVALUE("6:00"),1,0)-IF(A192&gt;=DATEVALUE("2025/11/8")+TIMEVALUE("6:00"),1,0)</f>
        <v>0</v>
      </c>
      <c r="P193" t="str">
        <f t="shared" ref="P193" si="95">IF(L193&lt;N193,"未達成（"&amp;N193-L193&amp;"）",IF(L193=N193,"達成","前倒し（"&amp;L193-N193&amp;"）"))</f>
        <v>未達成（3）</v>
      </c>
      <c r="Q193">
        <f t="shared" ref="Q193" si="96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443</v>
      </c>
      <c r="I194" t="s">
        <v>444</v>
      </c>
      <c r="J194">
        <v>0</v>
      </c>
      <c r="K194">
        <f t="shared" ref="K194" si="97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98">L193+K194</f>
        <v>223</v>
      </c>
      <c r="M194">
        <f t="shared" ref="M194" si="99">2+IF(A194&gt;=DATEVALUE("2025/11/30")+TIMEVALUE("6:00"),1,0)+IF(A194&gt;=DATEVALUE("2025/12/11")+TIMEVALUE("6:00"),1,0)</f>
        <v>4</v>
      </c>
      <c r="N194">
        <f t="shared" ref="N194" si="100">N193+M194*(INT(A194-6/24)-INT(A193-6/24))+O194</f>
        <v>224</v>
      </c>
      <c r="O194">
        <f t="shared" ref="O194" si="101">IF(A194&gt;=DATEVALUE("2025/11/8")+TIMEVALUE("6:00"),1,0)-IF(A193&gt;=DATEVALUE("2025/11/8")+TIMEVALUE("6:00"),1,0)</f>
        <v>0</v>
      </c>
      <c r="P194" t="str">
        <f t="shared" ref="P194" si="102">IF(L194&lt;N194,"未達成（"&amp;N194-L194&amp;"）",IF(L194=N194,"達成","前倒し（"&amp;L194-N194&amp;"）"))</f>
        <v>未達成（1）</v>
      </c>
      <c r="Q194">
        <f t="shared" ref="Q194" si="103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445</v>
      </c>
      <c r="I195" t="s">
        <v>446</v>
      </c>
      <c r="J195">
        <v>0</v>
      </c>
      <c r="K195">
        <f t="shared" ref="K195" si="104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105">L194+K195</f>
        <v>225</v>
      </c>
      <c r="M195">
        <f t="shared" ref="M195" si="106">2+IF(A195&gt;=DATEVALUE("2025/11/30")+TIMEVALUE("6:00"),1,0)+IF(A195&gt;=DATEVALUE("2025/12/11")+TIMEVALUE("6:00"),1,0)</f>
        <v>4</v>
      </c>
      <c r="N195">
        <f t="shared" ref="N195" si="107">N194+M195*(INT(A195-6/24)-INT(A194-6/24))+O195</f>
        <v>224</v>
      </c>
      <c r="O195">
        <f t="shared" ref="O195" si="108">IF(A195&gt;=DATEVALUE("2025/11/8")+TIMEVALUE("6:00"),1,0)-IF(A194&gt;=DATEVALUE("2025/11/8")+TIMEVALUE("6:00"),1,0)</f>
        <v>0</v>
      </c>
      <c r="P195" t="str">
        <f t="shared" ref="P195" si="109">IF(L195&lt;N195,"未達成（"&amp;N195-L195&amp;"）",IF(L195=N195,"達成","前倒し（"&amp;L195-N195&amp;"）"))</f>
        <v>前倒し（1）</v>
      </c>
      <c r="Q195">
        <f t="shared" ref="Q195" si="110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447</v>
      </c>
      <c r="I196" t="s">
        <v>448</v>
      </c>
      <c r="J196">
        <v>0</v>
      </c>
      <c r="K196">
        <f t="shared" ref="K196" si="111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112">L195+K196</f>
        <v>227</v>
      </c>
      <c r="M196">
        <f t="shared" ref="M196" si="113">2+IF(A196&gt;=DATEVALUE("2025/11/30")+TIMEVALUE("6:00"),1,0)+IF(A196&gt;=DATEVALUE("2025/12/11")+TIMEVALUE("6:00"),1,0)</f>
        <v>4</v>
      </c>
      <c r="N196">
        <f t="shared" ref="N196" si="114">N195+M196*(INT(A196-6/24)-INT(A195-6/24))+O196</f>
        <v>228</v>
      </c>
      <c r="O196">
        <f t="shared" ref="O196" si="115">IF(A196&gt;=DATEVALUE("2025/11/8")+TIMEVALUE("6:00"),1,0)-IF(A195&gt;=DATEVALUE("2025/11/8")+TIMEVALUE("6:00"),1,0)</f>
        <v>0</v>
      </c>
      <c r="P196" t="str">
        <f t="shared" ref="P196" si="116">IF(L196&lt;N196,"未達成（"&amp;N196-L196&amp;"）",IF(L196=N196,"達成","前倒し（"&amp;L196-N196&amp;"）"))</f>
        <v>未達成（1）</v>
      </c>
      <c r="Q196">
        <f t="shared" ref="Q196" si="117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449</v>
      </c>
      <c r="I197" t="s">
        <v>450</v>
      </c>
      <c r="J197">
        <v>0</v>
      </c>
      <c r="K197">
        <f t="shared" ref="K197" si="118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19">L196+K197</f>
        <v>229</v>
      </c>
      <c r="M197">
        <f t="shared" ref="M197" si="120">2+IF(A197&gt;=DATEVALUE("2025/11/30")+TIMEVALUE("6:00"),1,0)+IF(A197&gt;=DATEVALUE("2025/12/11")+TIMEVALUE("6:00"),1,0)</f>
        <v>4</v>
      </c>
      <c r="N197">
        <f t="shared" ref="N197" si="121">N196+M197*(INT(A197-6/24)-INT(A196-6/24))+O197</f>
        <v>228</v>
      </c>
      <c r="O197">
        <f t="shared" ref="O197" si="122">IF(A197&gt;=DATEVALUE("2025/11/8")+TIMEVALUE("6:00"),1,0)-IF(A196&gt;=DATEVALUE("2025/11/8")+TIMEVALUE("6:00"),1,0)</f>
        <v>0</v>
      </c>
      <c r="P197" t="str">
        <f t="shared" ref="P197" si="123">IF(L197&lt;N197,"未達成（"&amp;N197-L197&amp;"）",IF(L197=N197,"達成","前倒し（"&amp;L197-N197&amp;"）"))</f>
        <v>前倒し（1）</v>
      </c>
      <c r="Q197">
        <f t="shared" ref="Q197" si="124">IF(B197="",NA(),G197)</f>
        <v>6.8287036992842332E-3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>
      <selection activeCell="A3" sqref="A3"/>
    </sheetView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46036.298125000001</v>
      </c>
      <c r="D3" s="25"/>
    </row>
    <row r="4" spans="1:4">
      <c r="A4" t="s">
        <v>339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2026-01-13T22:19:20Z</dcterms:modified>
</cp:coreProperties>
</file>
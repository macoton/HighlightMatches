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0B1FA024-C8D1-487F-A2E5-9E171F6796AB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99" i="4" l="1"/>
  <c r="O299" i="4"/>
  <c r="M299" i="4"/>
  <c r="N299" i="4" s="1"/>
  <c r="K299" i="4"/>
  <c r="L299" i="4" s="1"/>
  <c r="P299" i="4" s="1"/>
  <c r="Q298" i="4"/>
  <c r="O298" i="4"/>
  <c r="M298" i="4"/>
  <c r="N298" i="4" s="1"/>
  <c r="K298" i="4"/>
  <c r="L298" i="4" s="1"/>
  <c r="Q297" i="4"/>
  <c r="O297" i="4"/>
  <c r="M297" i="4"/>
  <c r="N297" i="4" s="1"/>
  <c r="K297" i="4"/>
  <c r="L297" i="4" s="1"/>
  <c r="P297" i="4" s="1"/>
  <c r="Q296" i="4"/>
  <c r="O296" i="4"/>
  <c r="M296" i="4"/>
  <c r="N296" i="4" s="1"/>
  <c r="K296" i="4"/>
  <c r="L296" i="4" s="1"/>
  <c r="Q295" i="4"/>
  <c r="O295" i="4"/>
  <c r="M295" i="4"/>
  <c r="N295" i="4" s="1"/>
  <c r="K295" i="4"/>
  <c r="L295" i="4" s="1"/>
  <c r="Q294" i="4"/>
  <c r="O294" i="4"/>
  <c r="M294" i="4"/>
  <c r="N294" i="4" s="1"/>
  <c r="K294" i="4"/>
  <c r="L294" i="4" s="1"/>
  <c r="Q293" i="4"/>
  <c r="O293" i="4"/>
  <c r="M293" i="4"/>
  <c r="N293" i="4" s="1"/>
  <c r="K293" i="4"/>
  <c r="L293" i="4" s="1"/>
  <c r="P293" i="4" s="1"/>
  <c r="Q292" i="4"/>
  <c r="O292" i="4"/>
  <c r="M292" i="4"/>
  <c r="N292" i="4" s="1"/>
  <c r="K292" i="4"/>
  <c r="L292" i="4" s="1"/>
  <c r="P292" i="4" s="1"/>
  <c r="Q291" i="4"/>
  <c r="O291" i="4"/>
  <c r="M291" i="4"/>
  <c r="N291" i="4" s="1"/>
  <c r="K291" i="4"/>
  <c r="L291" i="4" s="1"/>
  <c r="Q290" i="4"/>
  <c r="O290" i="4"/>
  <c r="M290" i="4"/>
  <c r="N290" i="4" s="1"/>
  <c r="K290" i="4"/>
  <c r="L290" i="4" s="1"/>
  <c r="Q289" i="4"/>
  <c r="O289" i="4"/>
  <c r="N289" i="4"/>
  <c r="M289" i="4"/>
  <c r="K289" i="4"/>
  <c r="L289" i="4" s="1"/>
  <c r="P289" i="4" s="1"/>
  <c r="Q288" i="4"/>
  <c r="O288" i="4"/>
  <c r="M288" i="4"/>
  <c r="N288" i="4" s="1"/>
  <c r="K288" i="4"/>
  <c r="L288" i="4" s="1"/>
  <c r="Q287" i="4"/>
  <c r="O287" i="4"/>
  <c r="M287" i="4"/>
  <c r="K287" i="4"/>
  <c r="Q286" i="4"/>
  <c r="O286" i="4"/>
  <c r="M286" i="4"/>
  <c r="K286" i="4"/>
  <c r="Q285" i="4"/>
  <c r="O285" i="4"/>
  <c r="M285" i="4"/>
  <c r="K285" i="4"/>
  <c r="Q284" i="4"/>
  <c r="O284" i="4"/>
  <c r="M284" i="4"/>
  <c r="K284" i="4"/>
  <c r="Q283" i="4"/>
  <c r="O283" i="4"/>
  <c r="M283" i="4"/>
  <c r="K283" i="4"/>
  <c r="Q282" i="4"/>
  <c r="O282" i="4"/>
  <c r="M282" i="4"/>
  <c r="K282" i="4"/>
  <c r="Q281" i="4"/>
  <c r="O281" i="4"/>
  <c r="M281" i="4"/>
  <c r="K281" i="4"/>
  <c r="Q280" i="4"/>
  <c r="O280" i="4"/>
  <c r="M280" i="4"/>
  <c r="K280" i="4"/>
  <c r="Q279" i="4"/>
  <c r="O279" i="4"/>
  <c r="M279" i="4"/>
  <c r="K279" i="4"/>
  <c r="Q278" i="4"/>
  <c r="O278" i="4"/>
  <c r="M278" i="4"/>
  <c r="K278" i="4"/>
  <c r="Q277" i="4"/>
  <c r="O277" i="4"/>
  <c r="M277" i="4"/>
  <c r="K277" i="4"/>
  <c r="Q276" i="4"/>
  <c r="O276" i="4"/>
  <c r="M276" i="4"/>
  <c r="K276" i="4"/>
  <c r="Q275" i="4"/>
  <c r="O275" i="4"/>
  <c r="M275" i="4"/>
  <c r="K275" i="4"/>
  <c r="Q274" i="4"/>
  <c r="O274" i="4"/>
  <c r="M274" i="4"/>
  <c r="K274" i="4"/>
  <c r="Q273" i="4"/>
  <c r="O273" i="4"/>
  <c r="M273" i="4"/>
  <c r="K273" i="4"/>
  <c r="Q272" i="4"/>
  <c r="O272" i="4"/>
  <c r="M272" i="4"/>
  <c r="K272" i="4"/>
  <c r="Q271" i="4"/>
  <c r="O271" i="4"/>
  <c r="M271" i="4"/>
  <c r="K271" i="4"/>
  <c r="Q270" i="4"/>
  <c r="O270" i="4"/>
  <c r="M270" i="4"/>
  <c r="K270" i="4"/>
  <c r="Q269" i="4"/>
  <c r="O269" i="4"/>
  <c r="M269" i="4"/>
  <c r="K269" i="4"/>
  <c r="Q268" i="4"/>
  <c r="O268" i="4"/>
  <c r="M268" i="4"/>
  <c r="K268" i="4"/>
  <c r="Q267" i="4"/>
  <c r="O267" i="4"/>
  <c r="M267" i="4"/>
  <c r="K267" i="4"/>
  <c r="Q266" i="4"/>
  <c r="O266" i="4"/>
  <c r="M266" i="4"/>
  <c r="K266" i="4"/>
  <c r="Q265" i="4"/>
  <c r="O265" i="4"/>
  <c r="M265" i="4"/>
  <c r="K265" i="4"/>
  <c r="Q264" i="4"/>
  <c r="O264" i="4"/>
  <c r="M264" i="4"/>
  <c r="K264" i="4"/>
  <c r="Q263" i="4"/>
  <c r="O263" i="4"/>
  <c r="M263" i="4"/>
  <c r="K263" i="4"/>
  <c r="Q262" i="4"/>
  <c r="O262" i="4"/>
  <c r="M262" i="4"/>
  <c r="K262" i="4"/>
  <c r="Q261" i="4"/>
  <c r="O261" i="4"/>
  <c r="M261" i="4"/>
  <c r="K261" i="4"/>
  <c r="Q260" i="4"/>
  <c r="O260" i="4"/>
  <c r="M260" i="4"/>
  <c r="K260" i="4"/>
  <c r="Q259" i="4"/>
  <c r="O259" i="4"/>
  <c r="M259" i="4"/>
  <c r="K259" i="4"/>
  <c r="Q258" i="4"/>
  <c r="O258" i="4"/>
  <c r="M258" i="4"/>
  <c r="K258" i="4"/>
  <c r="Q257" i="4"/>
  <c r="O257" i="4"/>
  <c r="M257" i="4"/>
  <c r="K257" i="4"/>
  <c r="Q256" i="4"/>
  <c r="O256" i="4"/>
  <c r="M256" i="4"/>
  <c r="K256" i="4"/>
  <c r="Q255" i="4"/>
  <c r="O255" i="4"/>
  <c r="M255" i="4"/>
  <c r="K255" i="4"/>
  <c r="Q254" i="4"/>
  <c r="O254" i="4"/>
  <c r="M254" i="4"/>
  <c r="K254" i="4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98" i="4" l="1"/>
  <c r="P296" i="4"/>
  <c r="P295" i="4"/>
  <c r="P294" i="4"/>
  <c r="P291" i="4"/>
  <c r="P290" i="4"/>
  <c r="P288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<sst xmlns="http://schemas.openxmlformats.org/spreadsheetml/2006/main" count="675" uniqueCount="654">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</sst>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データ!$A$3:$A$299</c:f>
              <c:numCache>
                <c:formatCode>m/d/yyyy\ h:mm</c:formatCode>
                <c:ptCount val="29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</c:numCache>
            </c:numRef>
          </c:xVal>
          <c:yVal>
            <c:numRef>
              <c:f>データ!$B$3:$B$299</c:f>
              <c:numCache>
                <c:formatCode>General</c:formatCode>
                <c:ptCount val="29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5-4D44-B162-7E0C094BA7E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235-4D44-B162-7E0C094BA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524576"/>
        <c:axId val="166052937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データ!$A$3:$A$299</c:f>
              <c:numCache>
                <c:formatCode>m/d/yyyy\ h:mm</c:formatCode>
                <c:ptCount val="29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</c:numCache>
            </c:numRef>
          </c:xVal>
          <c:yVal>
            <c:numRef>
              <c:f>データ!$Q$3:$Q$299</c:f>
              <c:numCache>
                <c:formatCode>[h]:mm</c:formatCode>
                <c:ptCount val="29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35-4D44-B162-7E0C094BA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537056"/>
        <c:axId val="1660532256"/>
      </c:scatterChart>
      <c:valAx>
        <c:axId val="166052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0529376"/>
        <c:crosses val="autoZero"/>
        <c:crossBetween val="midCat"/>
      </c:valAx>
      <c:valAx>
        <c:axId val="16605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0524576"/>
        <c:crosses val="autoZero"/>
        <c:crossBetween val="midCat"/>
      </c:valAx>
      <c:valAx>
        <c:axId val="166053225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0537056"/>
        <c:crosses val="max"/>
        <c:crossBetween val="midCat"/>
      </c:valAx>
      <c:valAx>
        <c:axId val="166053705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053225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211931</xdr:colOff>
      <xdr:row>5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055" name="Match0">
          <a:extLst>
            <a:ext uri="{FF2B5EF4-FFF2-40B4-BE49-F238E27FC236}">
              <a16:creationId xmlns:a16="http://schemas.microsoft.com/office/drawing/2014/main" id="{48BC35EF-0366-7573-A396-416846C26768}"/>
            </a:ext>
          </a:extLst>
        </xdr:cNvPr>
        <xdr:cNvCxnSpPr/>
      </xdr:nvCxnSpPr>
      <xdr:spPr>
        <a:xfrm flipH="1">
          <a:off x="2755106" y="1964531"/>
          <a:ext cx="2119313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056" name="Match1">
          <a:extLst>
            <a:ext uri="{FF2B5EF4-FFF2-40B4-BE49-F238E27FC236}">
              <a16:creationId xmlns:a16="http://schemas.microsoft.com/office/drawing/2014/main" id="{A7C3BB0B-FBFC-3BD5-3E0A-FF67AB61CA53}"/>
            </a:ext>
          </a:extLst>
        </xdr:cNvPr>
        <xdr:cNvCxnSpPr/>
      </xdr:nvCxnSpPr>
      <xdr:spPr>
        <a:xfrm>
          <a:off x="1907381" y="160734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5</xdr:col>
      <xdr:colOff>211931</xdr:colOff>
      <xdr:row>7</xdr:row>
      <xdr:rowOff>178593</xdr:rowOff>
    </xdr:to>
    <xdr:cxnSp macro="">
      <xdr:nvCxnSpPr>
        <xdr:cNvPr id="1057" name="Match2">
          <a:extLst>
            <a:ext uri="{FF2B5EF4-FFF2-40B4-BE49-F238E27FC236}">
              <a16:creationId xmlns:a16="http://schemas.microsoft.com/office/drawing/2014/main" id="{ABEBE52F-A662-7D86-BB65-11336ADAE9CC}"/>
            </a:ext>
          </a:extLst>
        </xdr:cNvPr>
        <xdr:cNvCxnSpPr/>
      </xdr:nvCxnSpPr>
      <xdr:spPr>
        <a:xfrm>
          <a:off x="1483519" y="267890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061" name="Match3">
          <a:extLst>
            <a:ext uri="{FF2B5EF4-FFF2-40B4-BE49-F238E27FC236}">
              <a16:creationId xmlns:a16="http://schemas.microsoft.com/office/drawing/2014/main" id="{A63207A6-7C83-B788-6920-9E275477D737}"/>
            </a:ext>
          </a:extLst>
        </xdr:cNvPr>
        <xdr:cNvCxnSpPr/>
      </xdr:nvCxnSpPr>
      <xdr:spPr>
        <a:xfrm flipH="1">
          <a:off x="1483519" y="37504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064" name="Match4">
          <a:extLst>
            <a:ext uri="{FF2B5EF4-FFF2-40B4-BE49-F238E27FC236}">
              <a16:creationId xmlns:a16="http://schemas.microsoft.com/office/drawing/2014/main" id="{6DD351FE-4204-B5EF-325B-411A7AC99830}"/>
            </a:ext>
          </a:extLst>
        </xdr:cNvPr>
        <xdr:cNvCxnSpPr/>
      </xdr:nvCxnSpPr>
      <xdr:spPr>
        <a:xfrm flipH="1">
          <a:off x="1483519" y="8929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065" name="Match5">
          <a:extLst>
            <a:ext uri="{FF2B5EF4-FFF2-40B4-BE49-F238E27FC236}">
              <a16:creationId xmlns:a16="http://schemas.microsoft.com/office/drawing/2014/main" id="{E9857E20-5372-F3B9-77AE-E081DC96DD1E}"/>
            </a:ext>
          </a:extLst>
        </xdr:cNvPr>
        <xdr:cNvCxnSpPr/>
      </xdr:nvCxnSpPr>
      <xdr:spPr>
        <a:xfrm>
          <a:off x="1059656" y="196453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4</xdr:col>
      <xdr:colOff>211931</xdr:colOff>
      <xdr:row>8</xdr:row>
      <xdr:rowOff>178594</xdr:rowOff>
    </xdr:to>
    <xdr:cxnSp macro="">
      <xdr:nvCxnSpPr>
        <xdr:cNvPr id="1066" name="Match6">
          <a:extLst>
            <a:ext uri="{FF2B5EF4-FFF2-40B4-BE49-F238E27FC236}">
              <a16:creationId xmlns:a16="http://schemas.microsoft.com/office/drawing/2014/main" id="{0E076AFE-9DD0-84C8-85EB-2717FE4E6D4D}"/>
            </a:ext>
          </a:extLst>
        </xdr:cNvPr>
        <xdr:cNvCxnSpPr/>
      </xdr:nvCxnSpPr>
      <xdr:spPr>
        <a:xfrm flipH="1">
          <a:off x="211931" y="30360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067" name="Match7">
          <a:extLst>
            <a:ext uri="{FF2B5EF4-FFF2-40B4-BE49-F238E27FC236}">
              <a16:creationId xmlns:a16="http://schemas.microsoft.com/office/drawing/2014/main" id="{6EF26057-8725-3DDF-256D-1356C39B6455}"/>
            </a:ext>
          </a:extLst>
        </xdr:cNvPr>
        <xdr:cNvCxnSpPr/>
      </xdr:nvCxnSpPr>
      <xdr:spPr>
        <a:xfrm flipH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1068" name="Match8">
          <a:extLst>
            <a:ext uri="{FF2B5EF4-FFF2-40B4-BE49-F238E27FC236}">
              <a16:creationId xmlns:a16="http://schemas.microsoft.com/office/drawing/2014/main" id="{EAE02B1A-423B-C9CD-AA87-F430DDF30B93}"/>
            </a:ext>
          </a:extLst>
        </xdr:cNvPr>
        <xdr:cNvCxnSpPr/>
      </xdr:nvCxnSpPr>
      <xdr:spPr>
        <a:xfrm>
          <a:off x="36028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069" name="Match9">
          <a:extLst>
            <a:ext uri="{FF2B5EF4-FFF2-40B4-BE49-F238E27FC236}">
              <a16:creationId xmlns:a16="http://schemas.microsoft.com/office/drawing/2014/main" id="{2DD2C06C-27C5-1896-AAAA-BA3AAB00EFD0}"/>
            </a:ext>
          </a:extLst>
        </xdr:cNvPr>
        <xdr:cNvCxnSpPr/>
      </xdr:nvCxnSpPr>
      <xdr:spPr>
        <a:xfrm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1070" name="Match10">
          <a:extLst>
            <a:ext uri="{FF2B5EF4-FFF2-40B4-BE49-F238E27FC236}">
              <a16:creationId xmlns:a16="http://schemas.microsoft.com/office/drawing/2014/main" id="{00CC80B1-1D90-1EAC-75C0-9081898331AF}"/>
            </a:ext>
          </a:extLst>
        </xdr:cNvPr>
        <xdr:cNvCxnSpPr/>
      </xdr:nvCxnSpPr>
      <xdr:spPr>
        <a:xfrm>
          <a:off x="108505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0</xdr:row>
      <xdr:rowOff>229394</xdr:rowOff>
    </xdr:from>
    <xdr:to>
      <xdr:col>2</xdr:col>
      <xdr:colOff>262731</xdr:colOff>
      <xdr:row>1</xdr:row>
      <xdr:rowOff>229393</xdr:rowOff>
    </xdr:to>
    <xdr:cxnSp macro="">
      <xdr:nvCxnSpPr>
        <xdr:cNvPr id="1071" name="Match11">
          <a:extLst>
            <a:ext uri="{FF2B5EF4-FFF2-40B4-BE49-F238E27FC236}">
              <a16:creationId xmlns:a16="http://schemas.microsoft.com/office/drawing/2014/main" id="{73CFD8D2-481F-33EF-FFB0-66201E182121}"/>
            </a:ext>
          </a:extLst>
        </xdr:cNvPr>
        <xdr:cNvCxnSpPr/>
      </xdr:nvCxnSpPr>
      <xdr:spPr>
        <a:xfrm flipH="1" flipV="1">
          <a:off x="686594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072" name="Match12">
          <a:extLst>
            <a:ext uri="{FF2B5EF4-FFF2-40B4-BE49-F238E27FC236}">
              <a16:creationId xmlns:a16="http://schemas.microsoft.com/office/drawing/2014/main" id="{A1381FA3-63A4-7073-CA70-F8306C46E92C}"/>
            </a:ext>
          </a:extLst>
        </xdr:cNvPr>
        <xdr:cNvCxnSpPr/>
      </xdr:nvCxnSpPr>
      <xdr:spPr>
        <a:xfrm flipH="1" flipV="1">
          <a:off x="10596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2</xdr:row>
      <xdr:rowOff>203994</xdr:rowOff>
    </xdr:from>
    <xdr:to>
      <xdr:col>3</xdr:col>
      <xdr:colOff>237331</xdr:colOff>
      <xdr:row>3</xdr:row>
      <xdr:rowOff>203993</xdr:rowOff>
    </xdr:to>
    <xdr:cxnSp macro="">
      <xdr:nvCxnSpPr>
        <xdr:cNvPr id="1073" name="Match13">
          <a:extLst>
            <a:ext uri="{FF2B5EF4-FFF2-40B4-BE49-F238E27FC236}">
              <a16:creationId xmlns:a16="http://schemas.microsoft.com/office/drawing/2014/main" id="{79DFE3CB-3529-411A-E6ED-5DF52F80FF4E}"/>
            </a:ext>
          </a:extLst>
        </xdr:cNvPr>
        <xdr:cNvCxnSpPr/>
      </xdr:nvCxnSpPr>
      <xdr:spPr>
        <a:xfrm flipV="1">
          <a:off x="150891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074" name="Match14">
          <a:extLst>
            <a:ext uri="{FF2B5EF4-FFF2-40B4-BE49-F238E27FC236}">
              <a16:creationId xmlns:a16="http://schemas.microsoft.com/office/drawing/2014/main" id="{6C35B307-09FF-44DB-317D-3E998B05636A}"/>
            </a:ext>
          </a:extLst>
        </xdr:cNvPr>
        <xdr:cNvCxnSpPr/>
      </xdr:nvCxnSpPr>
      <xdr:spPr>
        <a:xfrm flipH="1"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1075" name="Match15">
          <a:extLst>
            <a:ext uri="{FF2B5EF4-FFF2-40B4-BE49-F238E27FC236}">
              <a16:creationId xmlns:a16="http://schemas.microsoft.com/office/drawing/2014/main" id="{4E86248C-7EEF-2C28-5B77-1A123DB23C6E}"/>
            </a:ext>
          </a:extLst>
        </xdr:cNvPr>
        <xdr:cNvCxnSpPr/>
      </xdr:nvCxnSpPr>
      <xdr:spPr>
        <a:xfrm flipH="1">
          <a:off x="2119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076" name="Match16">
          <a:extLst>
            <a:ext uri="{FF2B5EF4-FFF2-40B4-BE49-F238E27FC236}">
              <a16:creationId xmlns:a16="http://schemas.microsoft.com/office/drawing/2014/main" id="{B232F880-4C09-66B9-4BCF-5A9F203BC5E4}"/>
            </a:ext>
          </a:extLst>
        </xdr:cNvPr>
        <xdr:cNvCxnSpPr/>
      </xdr:nvCxnSpPr>
      <xdr:spPr>
        <a:xfrm>
          <a:off x="190738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4</xdr:col>
      <xdr:colOff>237331</xdr:colOff>
      <xdr:row>6</xdr:row>
      <xdr:rowOff>203994</xdr:rowOff>
    </xdr:to>
    <xdr:cxnSp macro="">
      <xdr:nvCxnSpPr>
        <xdr:cNvPr id="1077" name="Match17">
          <a:extLst>
            <a:ext uri="{FF2B5EF4-FFF2-40B4-BE49-F238E27FC236}">
              <a16:creationId xmlns:a16="http://schemas.microsoft.com/office/drawing/2014/main" id="{6D00050E-A92E-D8BD-A17B-86BC68983303}"/>
            </a:ext>
          </a:extLst>
        </xdr:cNvPr>
        <xdr:cNvCxnSpPr/>
      </xdr:nvCxnSpPr>
      <xdr:spPr>
        <a:xfrm flipH="1">
          <a:off x="1508919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078" name="Match18">
          <a:extLst>
            <a:ext uri="{FF2B5EF4-FFF2-40B4-BE49-F238E27FC236}">
              <a16:creationId xmlns:a16="http://schemas.microsoft.com/office/drawing/2014/main" id="{666D24ED-E42F-352D-819D-B7EF05D2D585}"/>
            </a:ext>
          </a:extLst>
        </xdr:cNvPr>
        <xdr:cNvCxnSpPr/>
      </xdr:nvCxnSpPr>
      <xdr:spPr>
        <a:xfrm flipH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5</xdr:col>
      <xdr:colOff>237331</xdr:colOff>
      <xdr:row>9</xdr:row>
      <xdr:rowOff>203993</xdr:rowOff>
    </xdr:to>
    <xdr:cxnSp macro="">
      <xdr:nvCxnSpPr>
        <xdr:cNvPr id="1079" name="Match19">
          <a:extLst>
            <a:ext uri="{FF2B5EF4-FFF2-40B4-BE49-F238E27FC236}">
              <a16:creationId xmlns:a16="http://schemas.microsoft.com/office/drawing/2014/main" id="{E0B8D5A8-D707-45E1-7830-FDFAF9A5C497}"/>
            </a:ext>
          </a:extLst>
        </xdr:cNvPr>
        <xdr:cNvCxnSpPr/>
      </xdr:nvCxnSpPr>
      <xdr:spPr>
        <a:xfrm flipH="1" flipV="1">
          <a:off x="193278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080" name="Match20">
          <a:extLst>
            <a:ext uri="{FF2B5EF4-FFF2-40B4-BE49-F238E27FC236}">
              <a16:creationId xmlns:a16="http://schemas.microsoft.com/office/drawing/2014/main" id="{C1EDB03C-49E5-B83F-E2B7-4CA1F2160524}"/>
            </a:ext>
          </a:extLst>
        </xdr:cNvPr>
        <xdr:cNvCxnSpPr/>
      </xdr:nvCxnSpPr>
      <xdr:spPr>
        <a:xfrm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081" name="Match21">
          <a:extLst>
            <a:ext uri="{FF2B5EF4-FFF2-40B4-BE49-F238E27FC236}">
              <a16:creationId xmlns:a16="http://schemas.microsoft.com/office/drawing/2014/main" id="{613545C6-9CB0-FC99-748E-211A68BFBF7C}"/>
            </a:ext>
          </a:extLst>
        </xdr:cNvPr>
        <xdr:cNvCxnSpPr/>
      </xdr:nvCxnSpPr>
      <xdr:spPr>
        <a:xfrm flipV="1">
          <a:off x="1059656" y="2678906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082" name="Match22">
          <a:extLst>
            <a:ext uri="{FF2B5EF4-FFF2-40B4-BE49-F238E27FC236}">
              <a16:creationId xmlns:a16="http://schemas.microsoft.com/office/drawing/2014/main" id="{A26BF07A-27E1-F1CA-65B3-051520909125}"/>
            </a:ext>
          </a:extLst>
        </xdr:cNvPr>
        <xdr:cNvCxnSpPr/>
      </xdr:nvCxnSpPr>
      <xdr:spPr>
        <a:xfrm flipH="1">
          <a:off x="3178969" y="4107656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6</xdr:row>
      <xdr:rowOff>229394</xdr:rowOff>
    </xdr:from>
    <xdr:to>
      <xdr:col>7</xdr:col>
      <xdr:colOff>262731</xdr:colOff>
      <xdr:row>6</xdr:row>
      <xdr:rowOff>229394</xdr:rowOff>
    </xdr:to>
    <xdr:cxnSp macro="">
      <xdr:nvCxnSpPr>
        <xdr:cNvPr id="1083" name="Match23">
          <a:extLst>
            <a:ext uri="{FF2B5EF4-FFF2-40B4-BE49-F238E27FC236}">
              <a16:creationId xmlns:a16="http://schemas.microsoft.com/office/drawing/2014/main" id="{C7B9A2C5-AEC3-6627-B283-BB2BE91CF50D}"/>
            </a:ext>
          </a:extLst>
        </xdr:cNvPr>
        <xdr:cNvCxnSpPr/>
      </xdr:nvCxnSpPr>
      <xdr:spPr>
        <a:xfrm>
          <a:off x="1958181" y="2372519"/>
          <a:ext cx="1271588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084" name="Match24">
          <a:extLst>
            <a:ext uri="{FF2B5EF4-FFF2-40B4-BE49-F238E27FC236}">
              <a16:creationId xmlns:a16="http://schemas.microsoft.com/office/drawing/2014/main" id="{D8177718-EB9B-F251-B766-223B999F3499}"/>
            </a:ext>
          </a:extLst>
        </xdr:cNvPr>
        <xdr:cNvCxnSpPr/>
      </xdr:nvCxnSpPr>
      <xdr:spPr>
        <a:xfrm>
          <a:off x="1907381" y="12501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085" name="Match25">
          <a:extLst>
            <a:ext uri="{FF2B5EF4-FFF2-40B4-BE49-F238E27FC236}">
              <a16:creationId xmlns:a16="http://schemas.microsoft.com/office/drawing/2014/main" id="{74DFF9CE-5FBE-6144-F1E0-21C0ABBAF66E}"/>
            </a:ext>
          </a:extLst>
        </xdr:cNvPr>
        <xdr:cNvCxnSpPr/>
      </xdr:nvCxnSpPr>
      <xdr:spPr>
        <a:xfrm flipH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7</xdr:col>
      <xdr:colOff>237331</xdr:colOff>
      <xdr:row>0</xdr:row>
      <xdr:rowOff>203994</xdr:rowOff>
    </xdr:to>
    <xdr:cxnSp macro="">
      <xdr:nvCxnSpPr>
        <xdr:cNvPr id="1086" name="Match26">
          <a:extLst>
            <a:ext uri="{FF2B5EF4-FFF2-40B4-BE49-F238E27FC236}">
              <a16:creationId xmlns:a16="http://schemas.microsoft.com/office/drawing/2014/main" id="{A43ECCD9-CD9B-F5CF-113B-E45E05231BA1}"/>
            </a:ext>
          </a:extLst>
        </xdr:cNvPr>
        <xdr:cNvCxnSpPr/>
      </xdr:nvCxnSpPr>
      <xdr:spPr>
        <a:xfrm>
          <a:off x="2780506" y="2039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0</xdr:row>
      <xdr:rowOff>178594</xdr:rowOff>
    </xdr:to>
    <xdr:cxnSp macro="">
      <xdr:nvCxnSpPr>
        <xdr:cNvPr id="1087" name="Match27">
          <a:extLst>
            <a:ext uri="{FF2B5EF4-FFF2-40B4-BE49-F238E27FC236}">
              <a16:creationId xmlns:a16="http://schemas.microsoft.com/office/drawing/2014/main" id="{4BF998C8-2CB5-91CC-7B53-66F9ACBDE12D}"/>
            </a:ext>
          </a:extLst>
        </xdr:cNvPr>
        <xdr:cNvCxnSpPr/>
      </xdr:nvCxnSpPr>
      <xdr:spPr>
        <a:xfrm>
          <a:off x="317896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7</xdr:col>
      <xdr:colOff>237331</xdr:colOff>
      <xdr:row>0</xdr:row>
      <xdr:rowOff>203994</xdr:rowOff>
    </xdr:to>
    <xdr:cxnSp macro="">
      <xdr:nvCxnSpPr>
        <xdr:cNvPr id="1472" name="Match28">
          <a:extLst>
            <a:ext uri="{FF2B5EF4-FFF2-40B4-BE49-F238E27FC236}">
              <a16:creationId xmlns:a16="http://schemas.microsoft.com/office/drawing/2014/main" id="{24CA3128-5032-A19E-A538-819ABDFB4E63}"/>
            </a:ext>
          </a:extLst>
        </xdr:cNvPr>
        <xdr:cNvCxnSpPr/>
      </xdr:nvCxnSpPr>
      <xdr:spPr>
        <a:xfrm flipH="1">
          <a:off x="2780506" y="2039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8</xdr:col>
      <xdr:colOff>237331</xdr:colOff>
      <xdr:row>0</xdr:row>
      <xdr:rowOff>203994</xdr:rowOff>
    </xdr:to>
    <xdr:cxnSp macro="">
      <xdr:nvCxnSpPr>
        <xdr:cNvPr id="1473" name="Match29">
          <a:extLst>
            <a:ext uri="{FF2B5EF4-FFF2-40B4-BE49-F238E27FC236}">
              <a16:creationId xmlns:a16="http://schemas.microsoft.com/office/drawing/2014/main" id="{8578F299-281C-D0A9-16EA-77CBC704BACA}"/>
            </a:ext>
          </a:extLst>
        </xdr:cNvPr>
        <xdr:cNvCxnSpPr/>
      </xdr:nvCxnSpPr>
      <xdr:spPr>
        <a:xfrm flipH="1">
          <a:off x="3204369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288131</xdr:colOff>
      <xdr:row>0</xdr:row>
      <xdr:rowOff>254794</xdr:rowOff>
    </xdr:from>
    <xdr:to>
      <xdr:col>3</xdr:col>
      <xdr:colOff>288131</xdr:colOff>
      <xdr:row>1</xdr:row>
      <xdr:rowOff>254793</xdr:rowOff>
    </xdr:to>
    <xdr:cxnSp macro="">
      <xdr:nvCxnSpPr>
        <xdr:cNvPr id="1474" name="Match30">
          <a:extLst>
            <a:ext uri="{FF2B5EF4-FFF2-40B4-BE49-F238E27FC236}">
              <a16:creationId xmlns:a16="http://schemas.microsoft.com/office/drawing/2014/main" id="{25901037-4DA7-738A-F8CE-28B98E3F26A8}"/>
            </a:ext>
          </a:extLst>
        </xdr:cNvPr>
        <xdr:cNvCxnSpPr/>
      </xdr:nvCxnSpPr>
      <xdr:spPr>
        <a:xfrm flipV="1">
          <a:off x="1135856" y="254794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1475" name="Match31">
          <a:extLst>
            <a:ext uri="{FF2B5EF4-FFF2-40B4-BE49-F238E27FC236}">
              <a16:creationId xmlns:a16="http://schemas.microsoft.com/office/drawing/2014/main" id="{8209F155-9953-71CC-A3C1-4EF598C36D69}"/>
            </a:ext>
          </a:extLst>
        </xdr:cNvPr>
        <xdr:cNvCxnSpPr/>
      </xdr:nvCxnSpPr>
      <xdr:spPr>
        <a:xfrm>
          <a:off x="66119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1476" name="Match32">
          <a:extLst>
            <a:ext uri="{FF2B5EF4-FFF2-40B4-BE49-F238E27FC236}">
              <a16:creationId xmlns:a16="http://schemas.microsoft.com/office/drawing/2014/main" id="{02107BDB-AD8A-A266-BE86-F58CE9C40CB1}"/>
            </a:ext>
          </a:extLst>
        </xdr:cNvPr>
        <xdr:cNvCxnSpPr/>
      </xdr:nvCxnSpPr>
      <xdr:spPr>
        <a:xfrm flipV="1">
          <a:off x="66119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477" name="Match33">
          <a:extLst>
            <a:ext uri="{FF2B5EF4-FFF2-40B4-BE49-F238E27FC236}">
              <a16:creationId xmlns:a16="http://schemas.microsoft.com/office/drawing/2014/main" id="{6B65353B-0767-58CB-0485-D815D9B330DC}"/>
            </a:ext>
          </a:extLst>
        </xdr:cNvPr>
        <xdr:cNvCxnSpPr/>
      </xdr:nvCxnSpPr>
      <xdr:spPr>
        <a:xfrm>
          <a:off x="211931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478" name="Match34">
          <a:extLst>
            <a:ext uri="{FF2B5EF4-FFF2-40B4-BE49-F238E27FC236}">
              <a16:creationId xmlns:a16="http://schemas.microsoft.com/office/drawing/2014/main" id="{A364E501-5F77-E817-1C58-8AAE4BF6A927}"/>
            </a:ext>
          </a:extLst>
        </xdr:cNvPr>
        <xdr:cNvCxnSpPr/>
      </xdr:nvCxnSpPr>
      <xdr:spPr>
        <a:xfrm>
          <a:off x="211931" y="267890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5</xdr:row>
      <xdr:rowOff>203993</xdr:rowOff>
    </xdr:from>
    <xdr:to>
      <xdr:col>2</xdr:col>
      <xdr:colOff>237331</xdr:colOff>
      <xdr:row>7</xdr:row>
      <xdr:rowOff>203993</xdr:rowOff>
    </xdr:to>
    <xdr:cxnSp macro="">
      <xdr:nvCxnSpPr>
        <xdr:cNvPr id="1479" name="Match35">
          <a:extLst>
            <a:ext uri="{FF2B5EF4-FFF2-40B4-BE49-F238E27FC236}">
              <a16:creationId xmlns:a16="http://schemas.microsoft.com/office/drawing/2014/main" id="{474BE6BB-6902-DE21-9EE5-A6ECAD081517}"/>
            </a:ext>
          </a:extLst>
        </xdr:cNvPr>
        <xdr:cNvCxnSpPr/>
      </xdr:nvCxnSpPr>
      <xdr:spPr>
        <a:xfrm flipV="1">
          <a:off x="237331" y="1989931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1480" name="Match36">
          <a:extLst>
            <a:ext uri="{FF2B5EF4-FFF2-40B4-BE49-F238E27FC236}">
              <a16:creationId xmlns:a16="http://schemas.microsoft.com/office/drawing/2014/main" id="{39A4DE4C-0F3A-9E66-36D8-2A82B83ACBDB}"/>
            </a:ext>
          </a:extLst>
        </xdr:cNvPr>
        <xdr:cNvCxnSpPr/>
      </xdr:nvCxnSpPr>
      <xdr:spPr>
        <a:xfrm>
          <a:off x="10596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3</xdr:row>
      <xdr:rowOff>203993</xdr:rowOff>
    </xdr:from>
    <xdr:to>
      <xdr:col>2</xdr:col>
      <xdr:colOff>237331</xdr:colOff>
      <xdr:row>4</xdr:row>
      <xdr:rowOff>203994</xdr:rowOff>
    </xdr:to>
    <xdr:cxnSp macro="">
      <xdr:nvCxnSpPr>
        <xdr:cNvPr id="1481" name="Match37">
          <a:extLst>
            <a:ext uri="{FF2B5EF4-FFF2-40B4-BE49-F238E27FC236}">
              <a16:creationId xmlns:a16="http://schemas.microsoft.com/office/drawing/2014/main" id="{0351665C-5CFC-F596-A17C-5340988A42AB}"/>
            </a:ext>
          </a:extLst>
        </xdr:cNvPr>
        <xdr:cNvCxnSpPr/>
      </xdr:nvCxnSpPr>
      <xdr:spPr>
        <a:xfrm flipH="1">
          <a:off x="66119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482" name="Match38">
          <a:extLst>
            <a:ext uri="{FF2B5EF4-FFF2-40B4-BE49-F238E27FC236}">
              <a16:creationId xmlns:a16="http://schemas.microsoft.com/office/drawing/2014/main" id="{CB7BE005-5423-FB69-2C5B-BD716414865B}"/>
            </a:ext>
          </a:extLst>
        </xdr:cNvPr>
        <xdr:cNvCxnSpPr/>
      </xdr:nvCxnSpPr>
      <xdr:spPr>
        <a:xfrm flipH="1">
          <a:off x="6357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2</xdr:col>
      <xdr:colOff>237331</xdr:colOff>
      <xdr:row>4</xdr:row>
      <xdr:rowOff>203994</xdr:rowOff>
    </xdr:to>
    <xdr:cxnSp macro="">
      <xdr:nvCxnSpPr>
        <xdr:cNvPr id="1483" name="Match39">
          <a:extLst>
            <a:ext uri="{FF2B5EF4-FFF2-40B4-BE49-F238E27FC236}">
              <a16:creationId xmlns:a16="http://schemas.microsoft.com/office/drawing/2014/main" id="{1C6711A2-4410-4817-92CC-78725532E90F}"/>
            </a:ext>
          </a:extLst>
        </xdr:cNvPr>
        <xdr:cNvCxnSpPr/>
      </xdr:nvCxnSpPr>
      <xdr:spPr>
        <a:xfrm flipH="1">
          <a:off x="661194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3</xdr:row>
      <xdr:rowOff>229393</xdr:rowOff>
    </xdr:from>
    <xdr:to>
      <xdr:col>3</xdr:col>
      <xdr:colOff>262731</xdr:colOff>
      <xdr:row>4</xdr:row>
      <xdr:rowOff>229394</xdr:rowOff>
    </xdr:to>
    <xdr:cxnSp macro="">
      <xdr:nvCxnSpPr>
        <xdr:cNvPr id="1484" name="Match40">
          <a:extLst>
            <a:ext uri="{FF2B5EF4-FFF2-40B4-BE49-F238E27FC236}">
              <a16:creationId xmlns:a16="http://schemas.microsoft.com/office/drawing/2014/main" id="{67D023C3-9DA2-235F-A1C2-F357FB9BEA9B}"/>
            </a:ext>
          </a:extLst>
        </xdr:cNvPr>
        <xdr:cNvCxnSpPr/>
      </xdr:nvCxnSpPr>
      <xdr:spPr>
        <a:xfrm flipV="1">
          <a:off x="1110456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4</xdr:col>
      <xdr:colOff>237331</xdr:colOff>
      <xdr:row>4</xdr:row>
      <xdr:rowOff>203994</xdr:rowOff>
    </xdr:to>
    <xdr:cxnSp macro="">
      <xdr:nvCxnSpPr>
        <xdr:cNvPr id="1485" name="Match41">
          <a:extLst>
            <a:ext uri="{FF2B5EF4-FFF2-40B4-BE49-F238E27FC236}">
              <a16:creationId xmlns:a16="http://schemas.microsoft.com/office/drawing/2014/main" id="{590B30ED-E429-B416-2D34-529E3C6AC961}"/>
            </a:ext>
          </a:extLst>
        </xdr:cNvPr>
        <xdr:cNvCxnSpPr/>
      </xdr:nvCxnSpPr>
      <xdr:spPr>
        <a:xfrm flipH="1" flipV="1">
          <a:off x="150891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486" name="Match42">
          <a:extLst>
            <a:ext uri="{FF2B5EF4-FFF2-40B4-BE49-F238E27FC236}">
              <a16:creationId xmlns:a16="http://schemas.microsoft.com/office/drawing/2014/main" id="{90AA88D0-B164-BFDC-8556-BBF8CD6FA983}"/>
            </a:ext>
          </a:extLst>
        </xdr:cNvPr>
        <xdr:cNvCxnSpPr/>
      </xdr:nvCxnSpPr>
      <xdr:spPr>
        <a:xfrm flipH="1">
          <a:off x="317896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487" name="Match43">
          <a:extLst>
            <a:ext uri="{FF2B5EF4-FFF2-40B4-BE49-F238E27FC236}">
              <a16:creationId xmlns:a16="http://schemas.microsoft.com/office/drawing/2014/main" id="{F2B6A5A2-1904-A228-9734-379FA8ECDC3A}"/>
            </a:ext>
          </a:extLst>
        </xdr:cNvPr>
        <xdr:cNvCxnSpPr/>
      </xdr:nvCxnSpPr>
      <xdr:spPr>
        <a:xfrm flipH="1">
          <a:off x="3602831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488" name="Match44">
          <a:extLst>
            <a:ext uri="{FF2B5EF4-FFF2-40B4-BE49-F238E27FC236}">
              <a16:creationId xmlns:a16="http://schemas.microsoft.com/office/drawing/2014/main" id="{B84CA054-6962-164F-E183-57C3FBE2D42A}"/>
            </a:ext>
          </a:extLst>
        </xdr:cNvPr>
        <xdr:cNvCxnSpPr/>
      </xdr:nvCxnSpPr>
      <xdr:spPr>
        <a:xfrm flipH="1">
          <a:off x="2755106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4</xdr:row>
      <xdr:rowOff>203994</xdr:rowOff>
    </xdr:from>
    <xdr:to>
      <xdr:col>10</xdr:col>
      <xdr:colOff>237331</xdr:colOff>
      <xdr:row>6</xdr:row>
      <xdr:rowOff>203994</xdr:rowOff>
    </xdr:to>
    <xdr:cxnSp macro="">
      <xdr:nvCxnSpPr>
        <xdr:cNvPr id="1489" name="Match45">
          <a:extLst>
            <a:ext uri="{FF2B5EF4-FFF2-40B4-BE49-F238E27FC236}">
              <a16:creationId xmlns:a16="http://schemas.microsoft.com/office/drawing/2014/main" id="{0646974E-38C1-57C9-1E95-FCC210F46455}"/>
            </a:ext>
          </a:extLst>
        </xdr:cNvPr>
        <xdr:cNvCxnSpPr/>
      </xdr:nvCxnSpPr>
      <xdr:spPr>
        <a:xfrm flipV="1">
          <a:off x="3628231" y="163274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490" name="Match46">
          <a:extLst>
            <a:ext uri="{FF2B5EF4-FFF2-40B4-BE49-F238E27FC236}">
              <a16:creationId xmlns:a16="http://schemas.microsoft.com/office/drawing/2014/main" id="{26D139EF-EA3A-224C-751F-206CBF20A64A}"/>
            </a:ext>
          </a:extLst>
        </xdr:cNvPr>
        <xdr:cNvCxnSpPr/>
      </xdr:nvCxnSpPr>
      <xdr:spPr>
        <a:xfrm flipV="1">
          <a:off x="2755106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491" name="Match47">
          <a:extLst>
            <a:ext uri="{FF2B5EF4-FFF2-40B4-BE49-F238E27FC236}">
              <a16:creationId xmlns:a16="http://schemas.microsoft.com/office/drawing/2014/main" id="{EBE8DF00-7212-E2A6-5AA6-8E90BBD5F341}"/>
            </a:ext>
          </a:extLst>
        </xdr:cNvPr>
        <xdr:cNvCxnSpPr/>
      </xdr:nvCxnSpPr>
      <xdr:spPr>
        <a:xfrm>
          <a:off x="3602831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574" name="Match48">
          <a:extLst>
            <a:ext uri="{FF2B5EF4-FFF2-40B4-BE49-F238E27FC236}">
              <a16:creationId xmlns:a16="http://schemas.microsoft.com/office/drawing/2014/main" id="{9CDA5201-D64B-F30B-A05A-BE6ED3A2E474}"/>
            </a:ext>
          </a:extLst>
        </xdr:cNvPr>
        <xdr:cNvCxnSpPr/>
      </xdr:nvCxnSpPr>
      <xdr:spPr>
        <a:xfrm flipV="1">
          <a:off x="3602831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0</xdr:row>
      <xdr:rowOff>178594</xdr:rowOff>
    </xdr:to>
    <xdr:cxnSp macro="">
      <xdr:nvCxnSpPr>
        <xdr:cNvPr id="1575" name="Match49">
          <a:extLst>
            <a:ext uri="{FF2B5EF4-FFF2-40B4-BE49-F238E27FC236}">
              <a16:creationId xmlns:a16="http://schemas.microsoft.com/office/drawing/2014/main" id="{503D8D54-B678-FF6A-71B6-6DDD39FC1CBD}"/>
            </a:ext>
          </a:extLst>
        </xdr:cNvPr>
        <xdr:cNvCxnSpPr/>
      </xdr:nvCxnSpPr>
      <xdr:spPr>
        <a:xfrm>
          <a:off x="6357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576" name="Match50">
          <a:extLst>
            <a:ext uri="{FF2B5EF4-FFF2-40B4-BE49-F238E27FC236}">
              <a16:creationId xmlns:a16="http://schemas.microsoft.com/office/drawing/2014/main" id="{47DFD38E-38DE-CB81-3F7A-8312970573E7}"/>
            </a:ext>
          </a:extLst>
        </xdr:cNvPr>
        <xdr:cNvCxnSpPr/>
      </xdr:nvCxnSpPr>
      <xdr:spPr>
        <a:xfrm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0</xdr:row>
      <xdr:rowOff>203994</xdr:rowOff>
    </xdr:from>
    <xdr:to>
      <xdr:col>9</xdr:col>
      <xdr:colOff>237331</xdr:colOff>
      <xdr:row>1</xdr:row>
      <xdr:rowOff>203993</xdr:rowOff>
    </xdr:to>
    <xdr:cxnSp macro="">
      <xdr:nvCxnSpPr>
        <xdr:cNvPr id="1577" name="Match51">
          <a:extLst>
            <a:ext uri="{FF2B5EF4-FFF2-40B4-BE49-F238E27FC236}">
              <a16:creationId xmlns:a16="http://schemas.microsoft.com/office/drawing/2014/main" id="{2B74C8D5-1983-B8B6-AA36-AE675A5E7355}"/>
            </a:ext>
          </a:extLst>
        </xdr:cNvPr>
        <xdr:cNvCxnSpPr/>
      </xdr:nvCxnSpPr>
      <xdr:spPr>
        <a:xfrm>
          <a:off x="4052094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578" name="Match52">
          <a:extLst>
            <a:ext uri="{FF2B5EF4-FFF2-40B4-BE49-F238E27FC236}">
              <a16:creationId xmlns:a16="http://schemas.microsoft.com/office/drawing/2014/main" id="{033D1B0E-153E-5871-604C-C762F20CC260}"/>
            </a:ext>
          </a:extLst>
        </xdr:cNvPr>
        <xdr:cNvCxnSpPr/>
      </xdr:nvCxnSpPr>
      <xdr:spPr>
        <a:xfrm flipV="1">
          <a:off x="233124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</xdr:row>
      <xdr:rowOff>203993</xdr:rowOff>
    </xdr:from>
    <xdr:to>
      <xdr:col>9</xdr:col>
      <xdr:colOff>237331</xdr:colOff>
      <xdr:row>2</xdr:row>
      <xdr:rowOff>203994</xdr:rowOff>
    </xdr:to>
    <xdr:cxnSp macro="">
      <xdr:nvCxnSpPr>
        <xdr:cNvPr id="1579" name="Match53">
          <a:extLst>
            <a:ext uri="{FF2B5EF4-FFF2-40B4-BE49-F238E27FC236}">
              <a16:creationId xmlns:a16="http://schemas.microsoft.com/office/drawing/2014/main" id="{272FA76D-E86C-B6DC-8BFB-710B85E45F06}"/>
            </a:ext>
          </a:extLst>
        </xdr:cNvPr>
        <xdr:cNvCxnSpPr/>
      </xdr:nvCxnSpPr>
      <xdr:spPr>
        <a:xfrm flipV="1">
          <a:off x="4052094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1</xdr:row>
      <xdr:rowOff>229393</xdr:rowOff>
    </xdr:from>
    <xdr:to>
      <xdr:col>10</xdr:col>
      <xdr:colOff>262731</xdr:colOff>
      <xdr:row>2</xdr:row>
      <xdr:rowOff>229394</xdr:rowOff>
    </xdr:to>
    <xdr:cxnSp macro="">
      <xdr:nvCxnSpPr>
        <xdr:cNvPr id="1580" name="Match54">
          <a:extLst>
            <a:ext uri="{FF2B5EF4-FFF2-40B4-BE49-F238E27FC236}">
              <a16:creationId xmlns:a16="http://schemas.microsoft.com/office/drawing/2014/main" id="{24D765CA-A4B4-F2E6-26D5-AE84CC2678E4}"/>
            </a:ext>
          </a:extLst>
        </xdr:cNvPr>
        <xdr:cNvCxnSpPr/>
      </xdr:nvCxnSpPr>
      <xdr:spPr>
        <a:xfrm flipV="1">
          <a:off x="4077494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5</xdr:row>
      <xdr:rowOff>203993</xdr:rowOff>
    </xdr:from>
    <xdr:to>
      <xdr:col>0</xdr:col>
      <xdr:colOff>237331</xdr:colOff>
      <xdr:row>6</xdr:row>
      <xdr:rowOff>203994</xdr:rowOff>
    </xdr:to>
    <xdr:cxnSp macro="">
      <xdr:nvCxnSpPr>
        <xdr:cNvPr id="1581" name="Match55">
          <a:extLst>
            <a:ext uri="{FF2B5EF4-FFF2-40B4-BE49-F238E27FC236}">
              <a16:creationId xmlns:a16="http://schemas.microsoft.com/office/drawing/2014/main" id="{208BD2E8-F617-B49E-DB6C-61CADD3FC3E3}"/>
            </a:ext>
          </a:extLst>
        </xdr:cNvPr>
        <xdr:cNvCxnSpPr/>
      </xdr:nvCxnSpPr>
      <xdr:spPr>
        <a:xfrm>
          <a:off x="237331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582" name="Match56">
          <a:extLst>
            <a:ext uri="{FF2B5EF4-FFF2-40B4-BE49-F238E27FC236}">
              <a16:creationId xmlns:a16="http://schemas.microsoft.com/office/drawing/2014/main" id="{B722D89A-D8A4-6165-044F-1265F56A1A47}"/>
            </a:ext>
          </a:extLst>
        </xdr:cNvPr>
        <xdr:cNvCxnSpPr/>
      </xdr:nvCxnSpPr>
      <xdr:spPr>
        <a:xfrm flipH="1">
          <a:off x="10596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3</xdr:col>
      <xdr:colOff>237331</xdr:colOff>
      <xdr:row>6</xdr:row>
      <xdr:rowOff>203994</xdr:rowOff>
    </xdr:to>
    <xdr:cxnSp macro="">
      <xdr:nvCxnSpPr>
        <xdr:cNvPr id="1583" name="Match57">
          <a:extLst>
            <a:ext uri="{FF2B5EF4-FFF2-40B4-BE49-F238E27FC236}">
              <a16:creationId xmlns:a16="http://schemas.microsoft.com/office/drawing/2014/main" id="{AC19E9B8-FB69-E78F-7470-3CA330F75A36}"/>
            </a:ext>
          </a:extLst>
        </xdr:cNvPr>
        <xdr:cNvCxnSpPr/>
      </xdr:nvCxnSpPr>
      <xdr:spPr>
        <a:xfrm flipH="1">
          <a:off x="1085056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5</xdr:row>
      <xdr:rowOff>229393</xdr:rowOff>
    </xdr:from>
    <xdr:to>
      <xdr:col>3</xdr:col>
      <xdr:colOff>262731</xdr:colOff>
      <xdr:row>6</xdr:row>
      <xdr:rowOff>229394</xdr:rowOff>
    </xdr:to>
    <xdr:cxnSp macro="">
      <xdr:nvCxnSpPr>
        <xdr:cNvPr id="1584" name="Match58">
          <a:extLst>
            <a:ext uri="{FF2B5EF4-FFF2-40B4-BE49-F238E27FC236}">
              <a16:creationId xmlns:a16="http://schemas.microsoft.com/office/drawing/2014/main" id="{731C245E-B68E-44BC-F9BA-63A7ECA1E3A8}"/>
            </a:ext>
          </a:extLst>
        </xdr:cNvPr>
        <xdr:cNvCxnSpPr/>
      </xdr:nvCxnSpPr>
      <xdr:spPr>
        <a:xfrm flipH="1" flipV="1">
          <a:off x="1110456" y="201533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7</xdr:row>
      <xdr:rowOff>229393</xdr:rowOff>
    </xdr:from>
    <xdr:to>
      <xdr:col>0</xdr:col>
      <xdr:colOff>262731</xdr:colOff>
      <xdr:row>8</xdr:row>
      <xdr:rowOff>229394</xdr:rowOff>
    </xdr:to>
    <xdr:cxnSp macro="">
      <xdr:nvCxnSpPr>
        <xdr:cNvPr id="1585" name="Match59">
          <a:extLst>
            <a:ext uri="{FF2B5EF4-FFF2-40B4-BE49-F238E27FC236}">
              <a16:creationId xmlns:a16="http://schemas.microsoft.com/office/drawing/2014/main" id="{74F8BDC0-DCB2-B8B9-1CCC-E242927D4023}"/>
            </a:ext>
          </a:extLst>
        </xdr:cNvPr>
        <xdr:cNvCxnSpPr/>
      </xdr:nvCxnSpPr>
      <xdr:spPr>
        <a:xfrm>
          <a:off x="262731" y="272970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288131</xdr:colOff>
      <xdr:row>6</xdr:row>
      <xdr:rowOff>254794</xdr:rowOff>
    </xdr:from>
    <xdr:to>
      <xdr:col>0</xdr:col>
      <xdr:colOff>288131</xdr:colOff>
      <xdr:row>7</xdr:row>
      <xdr:rowOff>254793</xdr:rowOff>
    </xdr:to>
    <xdr:cxnSp macro="">
      <xdr:nvCxnSpPr>
        <xdr:cNvPr id="1586" name="Match60">
          <a:extLst>
            <a:ext uri="{FF2B5EF4-FFF2-40B4-BE49-F238E27FC236}">
              <a16:creationId xmlns:a16="http://schemas.microsoft.com/office/drawing/2014/main" id="{E443B077-4D92-AC43-1051-2CC350FA185D}"/>
            </a:ext>
          </a:extLst>
        </xdr:cNvPr>
        <xdr:cNvCxnSpPr/>
      </xdr:nvCxnSpPr>
      <xdr:spPr>
        <a:xfrm flipV="1">
          <a:off x="288131" y="2397919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1587" name="Match61">
          <a:extLst>
            <a:ext uri="{FF2B5EF4-FFF2-40B4-BE49-F238E27FC236}">
              <a16:creationId xmlns:a16="http://schemas.microsoft.com/office/drawing/2014/main" id="{8584E2F0-C630-942F-1246-075CA594FEA0}"/>
            </a:ext>
          </a:extLst>
        </xdr:cNvPr>
        <xdr:cNvCxnSpPr/>
      </xdr:nvCxnSpPr>
      <xdr:spPr>
        <a:xfrm>
          <a:off x="2119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0</xdr:col>
      <xdr:colOff>237331</xdr:colOff>
      <xdr:row>10</xdr:row>
      <xdr:rowOff>203994</xdr:rowOff>
    </xdr:to>
    <xdr:cxnSp macro="">
      <xdr:nvCxnSpPr>
        <xdr:cNvPr id="1588" name="Match62">
          <a:extLst>
            <a:ext uri="{FF2B5EF4-FFF2-40B4-BE49-F238E27FC236}">
              <a16:creationId xmlns:a16="http://schemas.microsoft.com/office/drawing/2014/main" id="{42C05FBA-A5B4-C42C-1561-86C567BB7189}"/>
            </a:ext>
          </a:extLst>
        </xdr:cNvPr>
        <xdr:cNvCxnSpPr/>
      </xdr:nvCxnSpPr>
      <xdr:spPr>
        <a:xfrm flipV="1">
          <a:off x="237331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41227605-9A1B-E9C0-D88C-319C5DA8B9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4" sqref="I4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4</v>
      </c>
      <c r="B1" s="23">
        <v>8</v>
      </c>
      <c r="C1" s="23">
        <v>7</v>
      </c>
      <c r="D1" s="23">
        <v>3</v>
      </c>
      <c r="E1" s="27">
        <v>5</v>
      </c>
      <c r="F1" s="23">
        <v>7</v>
      </c>
      <c r="G1" s="22">
        <v>3</v>
      </c>
      <c r="H1" s="22">
        <v>3</v>
      </c>
      <c r="I1" s="23">
        <v>3</v>
      </c>
      <c r="J1" s="23">
        <v>8</v>
      </c>
      <c r="K1" s="27">
        <v>2</v>
      </c>
      <c r="L1" s="27">
        <v>2</v>
      </c>
      <c r="N1" s="2">
        <v>964967</v>
      </c>
      <c r="O1" s="1">
        <v>1</v>
      </c>
    </row>
    <row r="2" spans="1:15" s="2" customFormat="1" ht="28.25" customHeight="1">
      <c r="A2" s="27">
        <v>2</v>
      </c>
      <c r="B2" s="27">
        <v>4</v>
      </c>
      <c r="C2" s="22">
        <v>3</v>
      </c>
      <c r="D2" s="27">
        <v>5</v>
      </c>
      <c r="E2" s="27">
        <v>5</v>
      </c>
      <c r="F2" s="23">
        <v>8</v>
      </c>
      <c r="G2" s="27">
        <v>6</v>
      </c>
      <c r="H2" s="27">
        <v>7</v>
      </c>
      <c r="I2" s="27">
        <v>4</v>
      </c>
      <c r="J2" s="23">
        <v>7</v>
      </c>
      <c r="K2" s="23">
        <v>7</v>
      </c>
      <c r="L2" s="27">
        <v>1</v>
      </c>
      <c r="N2" s="2">
        <v>2975419</v>
      </c>
      <c r="O2" s="2">
        <v>1</v>
      </c>
    </row>
    <row r="3" spans="1:15" ht="28.25" customHeight="1">
      <c r="A3" s="27">
        <v>2</v>
      </c>
      <c r="B3" s="27">
        <v>6</v>
      </c>
      <c r="C3" s="22">
        <v>8</v>
      </c>
      <c r="D3" s="22">
        <v>8</v>
      </c>
      <c r="E3" s="22">
        <v>4</v>
      </c>
      <c r="F3" s="22">
        <v>6</v>
      </c>
      <c r="G3" s="22">
        <v>5</v>
      </c>
      <c r="H3" s="22">
        <v>2</v>
      </c>
      <c r="I3" s="22">
        <v>2</v>
      </c>
      <c r="J3" s="22">
        <v>8</v>
      </c>
      <c r="K3" s="27">
        <v>4</v>
      </c>
      <c r="L3" s="27">
        <v>6</v>
      </c>
      <c r="N3" s="2">
        <v>589</v>
      </c>
      <c r="O3" s="1">
        <v>2</v>
      </c>
    </row>
    <row r="4" spans="1:15" ht="28.25" customHeight="1">
      <c r="A4" s="27">
        <v>6</v>
      </c>
      <c r="B4" s="27">
        <v>5</v>
      </c>
      <c r="C4" s="22">
        <v>2</v>
      </c>
      <c r="D4" s="22">
        <v>3</v>
      </c>
      <c r="E4" s="22">
        <v>5</v>
      </c>
      <c r="F4" s="22">
        <v>1</v>
      </c>
      <c r="G4" s="22">
        <v>5</v>
      </c>
      <c r="H4" s="22">
        <v>6</v>
      </c>
      <c r="I4" s="22">
        <v>4</v>
      </c>
      <c r="J4" s="27">
        <v>1</v>
      </c>
      <c r="K4" s="27">
        <v>4</v>
      </c>
      <c r="L4" s="27">
        <v>6</v>
      </c>
      <c r="N4" s="2">
        <v>8225648</v>
      </c>
      <c r="O4" s="1">
        <v>1</v>
      </c>
    </row>
    <row r="5" spans="1:15" ht="28.25" customHeight="1">
      <c r="A5" s="27">
        <v>4</v>
      </c>
      <c r="B5" s="23">
        <v>3</v>
      </c>
      <c r="C5" s="23">
        <v>2</v>
      </c>
      <c r="D5" s="27">
        <v>7</v>
      </c>
      <c r="E5" s="22">
        <v>2</v>
      </c>
      <c r="F5" s="22">
        <v>9</v>
      </c>
      <c r="G5" s="22">
        <v>7</v>
      </c>
      <c r="H5" s="22">
        <v>5</v>
      </c>
      <c r="I5" s="22">
        <v>4</v>
      </c>
      <c r="J5" s="22">
        <v>1</v>
      </c>
      <c r="K5" s="22">
        <v>9</v>
      </c>
      <c r="L5" s="27">
        <v>3</v>
      </c>
      <c r="N5" s="2">
        <v>71475</v>
      </c>
      <c r="O5" s="1">
        <v>1</v>
      </c>
    </row>
    <row r="6" spans="1:15" ht="28.25" customHeight="1">
      <c r="A6" s="22">
        <v>8</v>
      </c>
      <c r="B6" s="23">
        <v>3</v>
      </c>
      <c r="C6" s="22">
        <v>7</v>
      </c>
      <c r="D6" s="22">
        <v>1</v>
      </c>
      <c r="E6" s="22">
        <v>4</v>
      </c>
      <c r="F6" s="22">
        <v>7</v>
      </c>
      <c r="G6" s="22">
        <v>5</v>
      </c>
      <c r="H6" s="27">
        <v>5</v>
      </c>
      <c r="I6" s="27">
        <v>4</v>
      </c>
      <c r="J6" s="23">
        <v>2</v>
      </c>
      <c r="K6" s="27">
        <v>4</v>
      </c>
      <c r="L6" s="22">
        <v>9</v>
      </c>
      <c r="N6" s="2">
        <v>84127</v>
      </c>
      <c r="O6" s="1">
        <v>1</v>
      </c>
    </row>
    <row r="7" spans="1:15" ht="28.25" customHeight="1">
      <c r="A7" s="23">
        <v>7</v>
      </c>
      <c r="B7" s="22">
        <v>4</v>
      </c>
      <c r="C7" s="23">
        <v>7</v>
      </c>
      <c r="D7" s="23">
        <v>8</v>
      </c>
      <c r="E7" s="22">
        <v>3</v>
      </c>
      <c r="F7" s="22">
        <v>6</v>
      </c>
      <c r="G7" s="22">
        <v>7</v>
      </c>
      <c r="H7" s="22">
        <v>1</v>
      </c>
      <c r="I7" s="22">
        <v>9</v>
      </c>
      <c r="J7" s="27">
        <v>1</v>
      </c>
      <c r="K7" s="22">
        <v>6</v>
      </c>
      <c r="L7" s="27">
        <v>6</v>
      </c>
      <c r="N7" s="2">
        <v>38</v>
      </c>
      <c r="O7" s="1">
        <v>14</v>
      </c>
    </row>
    <row r="8" spans="1:15" ht="28.25" customHeight="1">
      <c r="A8" s="23">
        <v>8</v>
      </c>
      <c r="B8" s="23">
        <v>4</v>
      </c>
      <c r="C8" s="22">
        <v>7</v>
      </c>
      <c r="D8" s="22">
        <v>5</v>
      </c>
      <c r="E8" s="22">
        <v>8</v>
      </c>
      <c r="F8" s="22">
        <v>9</v>
      </c>
      <c r="G8" s="27">
        <v>5</v>
      </c>
      <c r="H8" s="22">
        <v>2</v>
      </c>
      <c r="I8" s="27">
        <v>7</v>
      </c>
      <c r="J8" s="22">
        <v>4</v>
      </c>
      <c r="K8" s="27">
        <v>1</v>
      </c>
      <c r="L8" s="27">
        <v>9</v>
      </c>
      <c r="N8" s="2">
        <v>9989</v>
      </c>
      <c r="O8" s="1">
        <v>2</v>
      </c>
    </row>
    <row r="9" spans="1:15" ht="28.25" customHeight="1">
      <c r="A9" s="22">
        <v>7</v>
      </c>
      <c r="B9" s="22">
        <v>2</v>
      </c>
      <c r="C9" s="22">
        <v>1</v>
      </c>
      <c r="D9" s="22">
        <v>4</v>
      </c>
      <c r="E9" s="22">
        <v>8</v>
      </c>
      <c r="F9" s="27">
        <v>4</v>
      </c>
      <c r="G9" s="22">
        <v>9</v>
      </c>
      <c r="H9" s="27">
        <v>4</v>
      </c>
      <c r="I9" s="22">
        <v>9</v>
      </c>
      <c r="J9" s="27">
        <v>4</v>
      </c>
      <c r="K9" s="27">
        <v>5</v>
      </c>
      <c r="L9" s="27">
        <v>6</v>
      </c>
      <c r="N9" s="2">
        <v>3671</v>
      </c>
      <c r="O9" s="1">
        <v>1</v>
      </c>
    </row>
    <row r="10" spans="1:15" ht="28.25" customHeight="1">
      <c r="A10" s="23">
        <v>7</v>
      </c>
      <c r="B10" s="27">
        <v>2</v>
      </c>
      <c r="C10" s="27">
        <v>1</v>
      </c>
      <c r="D10" s="22">
        <v>9</v>
      </c>
      <c r="E10" s="27">
        <v>4</v>
      </c>
      <c r="F10" s="23">
        <v>3</v>
      </c>
      <c r="G10" s="27">
        <v>1</v>
      </c>
      <c r="H10" s="22">
        <v>6</v>
      </c>
      <c r="I10" s="23">
        <v>2</v>
      </c>
      <c r="J10" s="27">
        <v>4</v>
      </c>
      <c r="K10" s="27">
        <v>2</v>
      </c>
      <c r="L10" s="27">
        <v>1</v>
      </c>
      <c r="N10" s="2">
        <v>51564</v>
      </c>
      <c r="O10" s="1">
        <v>1</v>
      </c>
    </row>
    <row r="11" spans="1:15" ht="28.25" customHeight="1">
      <c r="A11" s="22">
        <v>8</v>
      </c>
      <c r="B11" s="22">
        <v>7</v>
      </c>
      <c r="C11" s="22">
        <v>9</v>
      </c>
      <c r="D11" s="23">
        <v>9</v>
      </c>
      <c r="E11" s="23">
        <v>8</v>
      </c>
      <c r="F11" s="23">
        <v>5</v>
      </c>
      <c r="G11" s="22">
        <v>7</v>
      </c>
      <c r="H11" s="23">
        <v>3</v>
      </c>
      <c r="I11" s="23">
        <v>9</v>
      </c>
      <c r="J11" s="27">
        <v>4</v>
      </c>
      <c r="K11" s="27">
        <v>2</v>
      </c>
      <c r="L11" s="27">
        <v>6</v>
      </c>
      <c r="N11" s="2">
        <v>33</v>
      </c>
      <c r="O11" s="1">
        <v>8</v>
      </c>
    </row>
    <row r="12" spans="1:15" ht="28.25" customHeight="1">
      <c r="A12" s="27">
        <v>4</v>
      </c>
      <c r="B12" s="27">
        <v>2</v>
      </c>
      <c r="C12" s="27">
        <v>9</v>
      </c>
      <c r="D12" s="27">
        <v>2</v>
      </c>
      <c r="E12" s="27">
        <v>2</v>
      </c>
      <c r="F12" s="27">
        <v>1</v>
      </c>
      <c r="G12" s="27">
        <v>4</v>
      </c>
      <c r="H12" s="23">
        <v>9</v>
      </c>
      <c r="I12" s="23">
        <v>8</v>
      </c>
      <c r="J12" s="23">
        <v>9</v>
      </c>
      <c r="K12" s="23">
        <v>9</v>
      </c>
      <c r="L12" s="27">
        <v>2</v>
      </c>
      <c r="N12" s="2">
        <v>847</v>
      </c>
      <c r="O12" s="1">
        <v>3</v>
      </c>
    </row>
    <row r="13" spans="1:15" ht="28.25" customHeight="1">
      <c r="N13" s="2">
        <v>23</v>
      </c>
      <c r="O13" s="1">
        <v>7</v>
      </c>
    </row>
    <row r="14" spans="1:15" ht="28.25" customHeight="1">
      <c r="N14" s="2">
        <v>929</v>
      </c>
      <c r="O14" s="1">
        <v>6</v>
      </c>
    </row>
    <row r="15" spans="1:15" ht="28.25" customHeight="1">
      <c r="N15" s="2">
        <v>87</v>
      </c>
      <c r="O15" s="1">
        <v>14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99"/>
  <sheetViews>
    <sheetView tabSelected="1" zoomScaleNormal="100" workbookViewId="0">
      <pane ySplit="2" topLeftCell="A295" activePane="bottomLeft" state="frozen"/>
      <selection pane="bottomLeft" activeCell="A299" sqref="A29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610</v>
      </c>
      <c r="I278" t="s">
        <v>611</v>
      </c>
      <c r="J278">
        <v>0</v>
      </c>
      <c r="K278">
        <f t="shared" ref="K278" si="651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652">L277+K278</f>
        <v>341</v>
      </c>
      <c r="M278">
        <f t="shared" ref="M278" si="653">2+IF(A278&gt;=DATEVALUE("2025/11/30")+TIMEVALUE("6:00"),1,0)+IF(A278&gt;=DATEVALUE("2025/12/11")+TIMEVALUE("6:00"),1,0)</f>
        <v>4</v>
      </c>
      <c r="N278">
        <f t="shared" ref="N278" si="654">N277+M278*(INT(A278-6/24)-INT(A277-6/24))+O278</f>
        <v>343</v>
      </c>
      <c r="O278">
        <f t="shared" ref="O278" si="655">IF(A278&gt;=DATEVALUE("2025/11/8")+TIMEVALUE("6:00"),1,0)-IF(A277&gt;=DATEVALUE("2025/11/8")+TIMEVALUE("6:00"),1,0)
+IF(A278&gt;=DATEVALUE("2026/1/22")+TIMEVALUE("6:00"),3,0)-IF(A277&gt;=DATEVALUE("2026/1/22")+TIMEVALUE("6:00"),3,0)</f>
        <v>0</v>
      </c>
      <c r="P278" t="str">
        <f t="shared" ref="P278" si="656">IF(L278&lt;N278,"未達成（"&amp;N278-L278&amp;"）",IF(L278=N278,"達成","前倒し（"&amp;L278-N278&amp;"）"))</f>
        <v>未達成（2）</v>
      </c>
      <c r="Q278">
        <f t="shared" ref="Q278" si="65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612</v>
      </c>
      <c r="I279" t="s">
        <v>613</v>
      </c>
      <c r="J279">
        <v>0</v>
      </c>
      <c r="K279">
        <f t="shared" ref="K279" si="65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659">L278+K279</f>
        <v>341</v>
      </c>
      <c r="M279">
        <f t="shared" ref="M279" si="660">2+IF(A279&gt;=DATEVALUE("2025/11/30")+TIMEVALUE("6:00"),1,0)+IF(A279&gt;=DATEVALUE("2025/12/11")+TIMEVALUE("6:00"),1,0)</f>
        <v>4</v>
      </c>
      <c r="N279">
        <f t="shared" ref="N279" si="661">N278+M279*(INT(A279-6/24)-INT(A278-6/24))+O279</f>
        <v>343</v>
      </c>
      <c r="O279">
        <f t="shared" ref="O279" si="662">IF(A279&gt;=DATEVALUE("2025/11/8")+TIMEVALUE("6:00"),1,0)-IF(A278&gt;=DATEVALUE("2025/11/8")+TIMEVALUE("6:00"),1,0)
+IF(A279&gt;=DATEVALUE("2026/1/22")+TIMEVALUE("6:00"),3,0)-IF(A278&gt;=DATEVALUE("2026/1/22")+TIMEVALUE("6:00"),3,0)</f>
        <v>0</v>
      </c>
      <c r="P279" t="str">
        <f t="shared" ref="P279" si="663">IF(L279&lt;N279,"未達成（"&amp;N279-L279&amp;"）",IF(L279=N279,"達成","前倒し（"&amp;L279-N279&amp;"）"))</f>
        <v>未達成（2）</v>
      </c>
      <c r="Q279">
        <f t="shared" ref="Q279" si="664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614</v>
      </c>
      <c r="I280" t="s">
        <v>615</v>
      </c>
      <c r="J280">
        <v>0</v>
      </c>
      <c r="K280">
        <f t="shared" ref="K280" si="665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66">L279+K280</f>
        <v>343</v>
      </c>
      <c r="M280">
        <f t="shared" ref="M280" si="667">2+IF(A280&gt;=DATEVALUE("2025/11/30")+TIMEVALUE("6:00"),1,0)+IF(A280&gt;=DATEVALUE("2025/12/11")+TIMEVALUE("6:00"),1,0)</f>
        <v>4</v>
      </c>
      <c r="N280">
        <f t="shared" ref="N280" si="668">N279+M280*(INT(A280-6/24)-INT(A279-6/24))+O280</f>
        <v>343</v>
      </c>
      <c r="O280">
        <f t="shared" ref="O280" si="669">IF(A280&gt;=DATEVALUE("2025/11/8")+TIMEVALUE("6:00"),1,0)-IF(A279&gt;=DATEVALUE("2025/11/8")+TIMEVALUE("6:00"),1,0)
+IF(A280&gt;=DATEVALUE("2026/1/22")+TIMEVALUE("6:00"),3,0)-IF(A279&gt;=DATEVALUE("2026/1/22")+TIMEVALUE("6:00"),3,0)</f>
        <v>0</v>
      </c>
      <c r="P280" t="str">
        <f t="shared" ref="P280" si="670">IF(L280&lt;N280,"未達成（"&amp;N280-L280&amp;"）",IF(L280=N280,"達成","前倒し（"&amp;L280-N280&amp;"）"))</f>
        <v>達成</v>
      </c>
      <c r="Q280">
        <f t="shared" ref="Q280" si="671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616</v>
      </c>
      <c r="I281" t="s">
        <v>617</v>
      </c>
      <c r="J281">
        <v>0</v>
      </c>
      <c r="K281">
        <f t="shared" ref="K281" si="672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73">L280+K281</f>
        <v>344</v>
      </c>
      <c r="M281">
        <f t="shared" ref="M281" si="674">2+IF(A281&gt;=DATEVALUE("2025/11/30")+TIMEVALUE("6:00"),1,0)+IF(A281&gt;=DATEVALUE("2025/12/11")+TIMEVALUE("6:00"),1,0)</f>
        <v>4</v>
      </c>
      <c r="N281">
        <f t="shared" ref="N281" si="675">N280+M281*(INT(A281-6/24)-INT(A280-6/24))+O281</f>
        <v>347</v>
      </c>
      <c r="O281">
        <f t="shared" ref="O281" si="676">IF(A281&gt;=DATEVALUE("2025/11/8")+TIMEVALUE("6:00"),1,0)-IF(A280&gt;=DATEVALUE("2025/11/8")+TIMEVALUE("6:00"),1,0)
+IF(A281&gt;=DATEVALUE("2026/1/22")+TIMEVALUE("6:00"),3,0)-IF(A280&gt;=DATEVALUE("2026/1/22")+TIMEVALUE("6:00"),3,0)</f>
        <v>0</v>
      </c>
      <c r="P281" t="str">
        <f t="shared" ref="P281" si="677">IF(L281&lt;N281,"未達成（"&amp;N281-L281&amp;"）",IF(L281=N281,"達成","前倒し（"&amp;L281-N281&amp;"）"))</f>
        <v>未達成（3）</v>
      </c>
      <c r="Q281">
        <f t="shared" ref="Q281" si="678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618</v>
      </c>
      <c r="I282" t="s">
        <v>619</v>
      </c>
      <c r="J282">
        <v>0</v>
      </c>
      <c r="K282">
        <f t="shared" ref="K282" si="679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80">L281+K282</f>
        <v>345</v>
      </c>
      <c r="M282">
        <f t="shared" ref="M282" si="681">2+IF(A282&gt;=DATEVALUE("2025/11/30")+TIMEVALUE("6:00"),1,0)+IF(A282&gt;=DATEVALUE("2025/12/11")+TIMEVALUE("6:00"),1,0)</f>
        <v>4</v>
      </c>
      <c r="N282">
        <f t="shared" ref="N282" si="682">N281+M282*(INT(A282-6/24)-INT(A281-6/24))+O282</f>
        <v>347</v>
      </c>
      <c r="O282">
        <f t="shared" ref="O282" si="683">IF(A282&gt;=DATEVALUE("2025/11/8")+TIMEVALUE("6:00"),1,0)-IF(A281&gt;=DATEVALUE("2025/11/8")+TIMEVALUE("6:00"),1,0)
+IF(A282&gt;=DATEVALUE("2026/1/22")+TIMEVALUE("6:00"),3,0)-IF(A281&gt;=DATEVALUE("2026/1/22")+TIMEVALUE("6:00"),3,0)</f>
        <v>0</v>
      </c>
      <c r="P282" t="str">
        <f t="shared" ref="P282" si="684">IF(L282&lt;N282,"未達成（"&amp;N282-L282&amp;"）",IF(L282=N282,"達成","前倒し（"&amp;L282-N282&amp;"）"))</f>
        <v>未達成（2）</v>
      </c>
      <c r="Q282">
        <f t="shared" ref="Q282" si="685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620</v>
      </c>
      <c r="I283" t="s">
        <v>621</v>
      </c>
      <c r="J283">
        <v>0</v>
      </c>
      <c r="K283">
        <f t="shared" ref="K283" si="686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87">L282+K283</f>
        <v>347</v>
      </c>
      <c r="M283">
        <f t="shared" ref="M283" si="688">2+IF(A283&gt;=DATEVALUE("2025/11/30")+TIMEVALUE("6:00"),1,0)+IF(A283&gt;=DATEVALUE("2025/12/11")+TIMEVALUE("6:00"),1,0)</f>
        <v>4</v>
      </c>
      <c r="N283">
        <f t="shared" ref="N283" si="689">N282+M283*(INT(A283-6/24)-INT(A282-6/24))+O283</f>
        <v>347</v>
      </c>
      <c r="O283">
        <f t="shared" ref="O283" si="690">IF(A283&gt;=DATEVALUE("2025/11/8")+TIMEVALUE("6:00"),1,0)-IF(A282&gt;=DATEVALUE("2025/11/8")+TIMEVALUE("6:00"),1,0)
+IF(A283&gt;=DATEVALUE("2026/1/22")+TIMEVALUE("6:00"),3,0)-IF(A282&gt;=DATEVALUE("2026/1/22")+TIMEVALUE("6:00"),3,0)</f>
        <v>0</v>
      </c>
      <c r="P283" t="str">
        <f t="shared" ref="P283" si="691">IF(L283&lt;N283,"未達成（"&amp;N283-L283&amp;"）",IF(L283=N283,"達成","前倒し（"&amp;L283-N283&amp;"）"))</f>
        <v>達成</v>
      </c>
      <c r="Q283">
        <f t="shared" ref="Q283" si="692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622</v>
      </c>
      <c r="I284" t="s">
        <v>623</v>
      </c>
      <c r="J284">
        <v>0</v>
      </c>
      <c r="K284">
        <f t="shared" ref="K284" si="693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94">L283+K284</f>
        <v>348</v>
      </c>
      <c r="M284">
        <f t="shared" ref="M284" si="695">2+IF(A284&gt;=DATEVALUE("2025/11/30")+TIMEVALUE("6:00"),1,0)+IF(A284&gt;=DATEVALUE("2025/12/11")+TIMEVALUE("6:00"),1,0)</f>
        <v>4</v>
      </c>
      <c r="N284">
        <f t="shared" ref="N284" si="696">N283+M284*(INT(A284-6/24)-INT(A283-6/24))+O284</f>
        <v>351</v>
      </c>
      <c r="O284">
        <f t="shared" ref="O284" si="697">IF(A284&gt;=DATEVALUE("2025/11/8")+TIMEVALUE("6:00"),1,0)-IF(A283&gt;=DATEVALUE("2025/11/8")+TIMEVALUE("6:00"),1,0)
+IF(A284&gt;=DATEVALUE("2026/1/22")+TIMEVALUE("6:00"),3,0)-IF(A283&gt;=DATEVALUE("2026/1/22")+TIMEVALUE("6:00"),3,0)</f>
        <v>0</v>
      </c>
      <c r="P284" t="str">
        <f t="shared" ref="P284" si="698">IF(L284&lt;N284,"未達成（"&amp;N284-L284&amp;"）",IF(L284=N284,"達成","前倒し（"&amp;L284-N284&amp;"）"))</f>
        <v>未達成（3）</v>
      </c>
      <c r="Q284">
        <f t="shared" ref="Q284" si="699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624</v>
      </c>
      <c r="I285" t="s">
        <v>625</v>
      </c>
      <c r="J285">
        <v>0</v>
      </c>
      <c r="K285">
        <f t="shared" ref="K285" si="700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701">L284+K285</f>
        <v>350</v>
      </c>
      <c r="M285">
        <f t="shared" ref="M285" si="702">2+IF(A285&gt;=DATEVALUE("2025/11/30")+TIMEVALUE("6:00"),1,0)+IF(A285&gt;=DATEVALUE("2025/12/11")+TIMEVALUE("6:00"),1,0)</f>
        <v>4</v>
      </c>
      <c r="N285">
        <f t="shared" ref="N285" si="703">N284+M285*(INT(A285-6/24)-INT(A284-6/24))+O285</f>
        <v>351</v>
      </c>
      <c r="O285">
        <f t="shared" ref="O285" si="704">IF(A285&gt;=DATEVALUE("2025/11/8")+TIMEVALUE("6:00"),1,0)-IF(A284&gt;=DATEVALUE("2025/11/8")+TIMEVALUE("6:00"),1,0)
+IF(A285&gt;=DATEVALUE("2026/1/22")+TIMEVALUE("6:00"),3,0)-IF(A284&gt;=DATEVALUE("2026/1/22")+TIMEVALUE("6:00"),3,0)</f>
        <v>0</v>
      </c>
      <c r="P285" t="str">
        <f t="shared" ref="P285" si="705">IF(L285&lt;N285,"未達成（"&amp;N285-L285&amp;"）",IF(L285=N285,"達成","前倒し（"&amp;L285-N285&amp;"）"))</f>
        <v>未達成（1）</v>
      </c>
      <c r="Q285">
        <f t="shared" ref="Q285" si="706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626</v>
      </c>
      <c r="I286" t="s">
        <v>627</v>
      </c>
      <c r="J286">
        <v>0</v>
      </c>
      <c r="K286">
        <f t="shared" ref="K286" si="707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708">L285+K286</f>
        <v>351</v>
      </c>
      <c r="M286">
        <f t="shared" ref="M286" si="709">2+IF(A286&gt;=DATEVALUE("2025/11/30")+TIMEVALUE("6:00"),1,0)+IF(A286&gt;=DATEVALUE("2025/12/11")+TIMEVALUE("6:00"),1,0)</f>
        <v>4</v>
      </c>
      <c r="N286">
        <f t="shared" ref="N286" si="710">N285+M286*(INT(A286-6/24)-INT(A285-6/24))+O286</f>
        <v>351</v>
      </c>
      <c r="O286">
        <f t="shared" ref="O286" si="711">IF(A286&gt;=DATEVALUE("2025/11/8")+TIMEVALUE("6:00"),1,0)-IF(A285&gt;=DATEVALUE("2025/11/8")+TIMEVALUE("6:00"),1,0)
+IF(A286&gt;=DATEVALUE("2026/1/22")+TIMEVALUE("6:00"),3,0)-IF(A285&gt;=DATEVALUE("2026/1/22")+TIMEVALUE("6:00"),3,0)</f>
        <v>0</v>
      </c>
      <c r="P286" t="str">
        <f t="shared" ref="P286" si="712">IF(L286&lt;N286,"未達成（"&amp;N286-L286&amp;"）",IF(L286=N286,"達成","前倒し（"&amp;L286-N286&amp;"）"))</f>
        <v>達成</v>
      </c>
      <c r="Q286">
        <f t="shared" ref="Q286" si="713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628</v>
      </c>
      <c r="I287" t="s">
        <v>629</v>
      </c>
      <c r="J287">
        <v>0</v>
      </c>
      <c r="K287">
        <f t="shared" ref="K287" si="714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715">L286+K287</f>
        <v>352</v>
      </c>
      <c r="M287">
        <f t="shared" ref="M287" si="716">2+IF(A287&gt;=DATEVALUE("2025/11/30")+TIMEVALUE("6:00"),1,0)+IF(A287&gt;=DATEVALUE("2025/12/11")+TIMEVALUE("6:00"),1,0)</f>
        <v>4</v>
      </c>
      <c r="N287">
        <f t="shared" ref="N287" si="717">N286+M287*(INT(A287-6/24)-INT(A286-6/24))+O287</f>
        <v>355</v>
      </c>
      <c r="O287">
        <f t="shared" ref="O287" si="718">IF(A287&gt;=DATEVALUE("2025/11/8")+TIMEVALUE("6:00"),1,0)-IF(A286&gt;=DATEVALUE("2025/11/8")+TIMEVALUE("6:00"),1,0)
+IF(A287&gt;=DATEVALUE("2026/1/22")+TIMEVALUE("6:00"),3,0)-IF(A286&gt;=DATEVALUE("2026/1/22")+TIMEVALUE("6:00"),3,0)</f>
        <v>0</v>
      </c>
      <c r="P287" t="str">
        <f t="shared" ref="P287" si="719">IF(L287&lt;N287,"未達成（"&amp;N287-L287&amp;"）",IF(L287=N287,"達成","前倒し（"&amp;L287-N287&amp;"）"))</f>
        <v>未達成（3）</v>
      </c>
      <c r="Q287">
        <f t="shared" ref="Q287" si="720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630</v>
      </c>
      <c r="I288" t="s">
        <v>631</v>
      </c>
      <c r="J288">
        <v>0</v>
      </c>
      <c r="K288">
        <f t="shared" ref="K288" si="721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722">L287+K288</f>
        <v>352</v>
      </c>
      <c r="M288">
        <f t="shared" ref="M288" si="723">2+IF(A288&gt;=DATEVALUE("2025/11/30")+TIMEVALUE("6:00"),1,0)+IF(A288&gt;=DATEVALUE("2025/12/11")+TIMEVALUE("6:00"),1,0)</f>
        <v>4</v>
      </c>
      <c r="N288">
        <f t="shared" ref="N288" si="724">N287+M288*(INT(A288-6/24)-INT(A287-6/24))+O288</f>
        <v>355</v>
      </c>
      <c r="O288">
        <f t="shared" ref="O288" si="725">IF(A288&gt;=DATEVALUE("2025/11/8")+TIMEVALUE("6:00"),1,0)-IF(A287&gt;=DATEVALUE("2025/11/8")+TIMEVALUE("6:00"),1,0)
+IF(A288&gt;=DATEVALUE("2026/1/22")+TIMEVALUE("6:00"),3,0)-IF(A287&gt;=DATEVALUE("2026/1/22")+TIMEVALUE("6:00"),3,0)</f>
        <v>0</v>
      </c>
      <c r="P288" t="str">
        <f t="shared" ref="P288" si="726">IF(L288&lt;N288,"未達成（"&amp;N288-L288&amp;"）",IF(L288=N288,"達成","前倒し（"&amp;L288-N288&amp;"）"))</f>
        <v>未達成（3）</v>
      </c>
      <c r="Q288">
        <f t="shared" ref="Q288" si="72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632</v>
      </c>
      <c r="I289" t="s">
        <v>633</v>
      </c>
      <c r="J289">
        <v>0</v>
      </c>
      <c r="K289">
        <f t="shared" ref="K289" si="72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729">L288+K289</f>
        <v>352</v>
      </c>
      <c r="M289">
        <f t="shared" ref="M289" si="730">2+IF(A289&gt;=DATEVALUE("2025/11/30")+TIMEVALUE("6:00"),1,0)+IF(A289&gt;=DATEVALUE("2025/12/11")+TIMEVALUE("6:00"),1,0)</f>
        <v>4</v>
      </c>
      <c r="N289">
        <f t="shared" ref="N289" si="731">N288+M289*(INT(A289-6/24)-INT(A288-6/24))+O289</f>
        <v>355</v>
      </c>
      <c r="O289">
        <f t="shared" ref="O289" si="732">IF(A289&gt;=DATEVALUE("2025/11/8")+TIMEVALUE("6:00"),1,0)-IF(A288&gt;=DATEVALUE("2025/11/8")+TIMEVALUE("6:00"),1,0)
+IF(A289&gt;=DATEVALUE("2026/1/22")+TIMEVALUE("6:00"),3,0)-IF(A288&gt;=DATEVALUE("2026/1/22")+TIMEVALUE("6:00"),3,0)</f>
        <v>0</v>
      </c>
      <c r="P289" t="str">
        <f t="shared" ref="P289" si="733">IF(L289&lt;N289,"未達成（"&amp;N289-L289&amp;"）",IF(L289=N289,"達成","前倒し（"&amp;L289-N289&amp;"）"))</f>
        <v>未達成（3）</v>
      </c>
      <c r="Q289">
        <f t="shared" ref="Q289" si="734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634</v>
      </c>
      <c r="I290" t="s">
        <v>635</v>
      </c>
      <c r="J290">
        <v>0</v>
      </c>
      <c r="K290">
        <f t="shared" ref="K290" si="735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736">L289+K290</f>
        <v>354</v>
      </c>
      <c r="M290">
        <f t="shared" ref="M290" si="737">2+IF(A290&gt;=DATEVALUE("2025/11/30")+TIMEVALUE("6:00"),1,0)+IF(A290&gt;=DATEVALUE("2025/12/11")+TIMEVALUE("6:00"),1,0)</f>
        <v>4</v>
      </c>
      <c r="N290">
        <f t="shared" ref="N290" si="738">N289+M290*(INT(A290-6/24)-INT(A289-6/24))+O290</f>
        <v>355</v>
      </c>
      <c r="O290">
        <f t="shared" ref="O290" si="739">IF(A290&gt;=DATEVALUE("2025/11/8")+TIMEVALUE("6:00"),1,0)-IF(A289&gt;=DATEVALUE("2025/11/8")+TIMEVALUE("6:00"),1,0)
+IF(A290&gt;=DATEVALUE("2026/1/22")+TIMEVALUE("6:00"),3,0)-IF(A289&gt;=DATEVALUE("2026/1/22")+TIMEVALUE("6:00"),3,0)</f>
        <v>0</v>
      </c>
      <c r="P290" t="str">
        <f t="shared" ref="P290" si="740">IF(L290&lt;N290,"未達成（"&amp;N290-L290&amp;"）",IF(L290=N290,"達成","前倒し（"&amp;L290-N290&amp;"）"))</f>
        <v>未達成（1）</v>
      </c>
      <c r="Q290">
        <f t="shared" ref="Q290" si="741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636</v>
      </c>
      <c r="I291" t="s">
        <v>637</v>
      </c>
      <c r="J291">
        <v>1</v>
      </c>
      <c r="K291">
        <f t="shared" ref="K291" si="742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743">L290+K291</f>
        <v>354</v>
      </c>
      <c r="M291">
        <f t="shared" ref="M291" si="744">2+IF(A291&gt;=DATEVALUE("2025/11/30")+TIMEVALUE("6:00"),1,0)+IF(A291&gt;=DATEVALUE("2025/12/11")+TIMEVALUE("6:00"),1,0)</f>
        <v>4</v>
      </c>
      <c r="N291">
        <f t="shared" ref="N291" si="745">N290+M291*(INT(A291-6/24)-INT(A290-6/24))+O291</f>
        <v>355</v>
      </c>
      <c r="O291">
        <f t="shared" ref="O291" si="746">IF(A291&gt;=DATEVALUE("2025/11/8")+TIMEVALUE("6:00"),1,0)-IF(A290&gt;=DATEVALUE("2025/11/8")+TIMEVALUE("6:00"),1,0)
+IF(A291&gt;=DATEVALUE("2026/1/22")+TIMEVALUE("6:00"),3,0)-IF(A290&gt;=DATEVALUE("2026/1/22")+TIMEVALUE("6:00"),3,0)</f>
        <v>0</v>
      </c>
      <c r="P291" t="str">
        <f t="shared" ref="P291" si="747">IF(L291&lt;N291,"未達成（"&amp;N291-L291&amp;"）",IF(L291=N291,"達成","前倒し（"&amp;L291-N291&amp;"）"))</f>
        <v>未達成（1）</v>
      </c>
      <c r="Q291" t="e">
        <f t="shared" ref="Q291" si="748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638</v>
      </c>
      <c r="I292" t="s">
        <v>639</v>
      </c>
      <c r="J292">
        <v>0</v>
      </c>
      <c r="K292">
        <f t="shared" ref="K292" si="749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750">L291+K292</f>
        <v>355</v>
      </c>
      <c r="M292">
        <f t="shared" ref="M292" si="751">2+IF(A292&gt;=DATEVALUE("2025/11/30")+TIMEVALUE("6:00"),1,0)+IF(A292&gt;=DATEVALUE("2025/12/11")+TIMEVALUE("6:00"),1,0)</f>
        <v>4</v>
      </c>
      <c r="N292">
        <f t="shared" ref="N292" si="752">N291+M292*(INT(A292-6/24)-INT(A291-6/24))+O292</f>
        <v>355</v>
      </c>
      <c r="O292">
        <f t="shared" ref="O292" si="753">IF(A292&gt;=DATEVALUE("2025/11/8")+TIMEVALUE("6:00"),1,0)-IF(A291&gt;=DATEVALUE("2025/11/8")+TIMEVALUE("6:00"),1,0)
+IF(A292&gt;=DATEVALUE("2026/1/22")+TIMEVALUE("6:00"),3,0)-IF(A291&gt;=DATEVALUE("2026/1/22")+TIMEVALUE("6:00"),3,0)</f>
        <v>0</v>
      </c>
      <c r="P292" t="str">
        <f t="shared" ref="P292" si="754">IF(L292&lt;N292,"未達成（"&amp;N292-L292&amp;"）",IF(L292=N292,"達成","前倒し（"&amp;L292-N292&amp;"）"))</f>
        <v>達成</v>
      </c>
      <c r="Q292">
        <f t="shared" ref="Q292" si="755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640</v>
      </c>
      <c r="I293" t="s">
        <v>641</v>
      </c>
      <c r="J293">
        <v>0</v>
      </c>
      <c r="K293">
        <f t="shared" ref="K293" si="756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757">L292+K293</f>
        <v>357</v>
      </c>
      <c r="M293">
        <f t="shared" ref="M293" si="758">2+IF(A293&gt;=DATEVALUE("2025/11/30")+TIMEVALUE("6:00"),1,0)+IF(A293&gt;=DATEVALUE("2025/12/11")+TIMEVALUE("6:00"),1,0)</f>
        <v>4</v>
      </c>
      <c r="N293">
        <f t="shared" ref="N293" si="759">N292+M293*(INT(A293-6/24)-INT(A292-6/24))+O293</f>
        <v>359</v>
      </c>
      <c r="O293">
        <f t="shared" ref="O293" si="760">IF(A293&gt;=DATEVALUE("2025/11/8")+TIMEVALUE("6:00"),1,0)-IF(A292&gt;=DATEVALUE("2025/11/8")+TIMEVALUE("6:00"),1,0)
+IF(A293&gt;=DATEVALUE("2026/1/22")+TIMEVALUE("6:00"),3,0)-IF(A292&gt;=DATEVALUE("2026/1/22")+TIMEVALUE("6:00"),3,0)</f>
        <v>0</v>
      </c>
      <c r="P293" t="str">
        <f t="shared" ref="P293" si="761">IF(L293&lt;N293,"未達成（"&amp;N293-L293&amp;"）",IF(L293=N293,"達成","前倒し（"&amp;L293-N293&amp;"）"))</f>
        <v>未達成（2）</v>
      </c>
      <c r="Q293">
        <f t="shared" ref="Q293" si="762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642</v>
      </c>
      <c r="I294" t="s">
        <v>643</v>
      </c>
      <c r="J294">
        <v>0</v>
      </c>
      <c r="K294">
        <f t="shared" ref="K294" si="763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764">L293+K294</f>
        <v>359</v>
      </c>
      <c r="M294">
        <f t="shared" ref="M294" si="765">2+IF(A294&gt;=DATEVALUE("2025/11/30")+TIMEVALUE("6:00"),1,0)+IF(A294&gt;=DATEVALUE("2025/12/11")+TIMEVALUE("6:00"),1,0)</f>
        <v>4</v>
      </c>
      <c r="N294">
        <f t="shared" ref="N294" si="766">N293+M294*(INT(A294-6/24)-INT(A293-6/24))+O294</f>
        <v>359</v>
      </c>
      <c r="O294">
        <f t="shared" ref="O294" si="767">IF(A294&gt;=DATEVALUE("2025/11/8")+TIMEVALUE("6:00"),1,0)-IF(A293&gt;=DATEVALUE("2025/11/8")+TIMEVALUE("6:00"),1,0)
+IF(A294&gt;=DATEVALUE("2026/1/22")+TIMEVALUE("6:00"),3,0)-IF(A293&gt;=DATEVALUE("2026/1/22")+TIMEVALUE("6:00"),3,0)</f>
        <v>0</v>
      </c>
      <c r="P294" t="str">
        <f t="shared" ref="P294" si="768">IF(L294&lt;N294,"未達成（"&amp;N294-L294&amp;"）",IF(L294=N294,"達成","前倒し（"&amp;L294-N294&amp;"）"))</f>
        <v>達成</v>
      </c>
      <c r="Q294">
        <f t="shared" ref="Q294" si="769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644</v>
      </c>
      <c r="I295" t="s">
        <v>645</v>
      </c>
      <c r="J295">
        <v>0</v>
      </c>
      <c r="K295">
        <f t="shared" ref="K295" si="770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771">L294+K295</f>
        <v>360</v>
      </c>
      <c r="M295">
        <f t="shared" ref="M295" si="772">2+IF(A295&gt;=DATEVALUE("2025/11/30")+TIMEVALUE("6:00"),1,0)+IF(A295&gt;=DATEVALUE("2025/12/11")+TIMEVALUE("6:00"),1,0)</f>
        <v>4</v>
      </c>
      <c r="N295">
        <f t="shared" ref="N295" si="773">N294+M295*(INT(A295-6/24)-INT(A294-6/24))+O295</f>
        <v>363</v>
      </c>
      <c r="O295">
        <f t="shared" ref="O295" si="774">IF(A295&gt;=DATEVALUE("2025/11/8")+TIMEVALUE("6:00"),1,0)-IF(A294&gt;=DATEVALUE("2025/11/8")+TIMEVALUE("6:00"),1,0)
+IF(A295&gt;=DATEVALUE("2026/1/22")+TIMEVALUE("6:00"),3,0)-IF(A294&gt;=DATEVALUE("2026/1/22")+TIMEVALUE("6:00"),3,0)</f>
        <v>0</v>
      </c>
      <c r="P295" t="str">
        <f t="shared" ref="P295" si="775">IF(L295&lt;N295,"未達成（"&amp;N295-L295&amp;"）",IF(L295=N295,"達成","前倒し（"&amp;L295-N295&amp;"）"))</f>
        <v>未達成（3）</v>
      </c>
      <c r="Q295">
        <f t="shared" ref="Q295" si="776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646</v>
      </c>
      <c r="I296" t="s">
        <v>647</v>
      </c>
      <c r="J296">
        <v>0</v>
      </c>
      <c r="K296">
        <f t="shared" ref="K296" si="777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78">L295+K296</f>
        <v>362</v>
      </c>
      <c r="M296">
        <f t="shared" ref="M296" si="779">2+IF(A296&gt;=DATEVALUE("2025/11/30")+TIMEVALUE("6:00"),1,0)+IF(A296&gt;=DATEVALUE("2025/12/11")+TIMEVALUE("6:00"),1,0)</f>
        <v>4</v>
      </c>
      <c r="N296">
        <f t="shared" ref="N296" si="780">N295+M296*(INT(A296-6/24)-INT(A295-6/24))+O296</f>
        <v>363</v>
      </c>
      <c r="O296">
        <f t="shared" ref="O296" si="781">IF(A296&gt;=DATEVALUE("2025/11/8")+TIMEVALUE("6:00"),1,0)-IF(A295&gt;=DATEVALUE("2025/11/8")+TIMEVALUE("6:00"),1,0)
+IF(A296&gt;=DATEVALUE("2026/1/22")+TIMEVALUE("6:00"),3,0)-IF(A295&gt;=DATEVALUE("2026/1/22")+TIMEVALUE("6:00"),3,0)</f>
        <v>0</v>
      </c>
      <c r="P296" t="str">
        <f t="shared" ref="P296" si="782">IF(L296&lt;N296,"未達成（"&amp;N296-L296&amp;"）",IF(L296=N296,"達成","前倒し（"&amp;L296-N296&amp;"）"))</f>
        <v>未達成（1）</v>
      </c>
      <c r="Q296">
        <f t="shared" ref="Q296" si="783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648</v>
      </c>
      <c r="I297" t="s">
        <v>649</v>
      </c>
      <c r="J297">
        <v>0</v>
      </c>
      <c r="K297">
        <f t="shared" ref="K297" si="784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85">L296+K297</f>
        <v>363</v>
      </c>
      <c r="M297">
        <f t="shared" ref="M297" si="786">2+IF(A297&gt;=DATEVALUE("2025/11/30")+TIMEVALUE("6:00"),1,0)+IF(A297&gt;=DATEVALUE("2025/12/11")+TIMEVALUE("6:00"),1,0)</f>
        <v>4</v>
      </c>
      <c r="N297">
        <f t="shared" ref="N297" si="787">N296+M297*(INT(A297-6/24)-INT(A296-6/24))+O297</f>
        <v>363</v>
      </c>
      <c r="O297">
        <f t="shared" ref="O297" si="788">IF(A297&gt;=DATEVALUE("2025/11/8")+TIMEVALUE("6:00"),1,0)-IF(A296&gt;=DATEVALUE("2025/11/8")+TIMEVALUE("6:00"),1,0)
+IF(A297&gt;=DATEVALUE("2026/1/22")+TIMEVALUE("6:00"),3,0)-IF(A296&gt;=DATEVALUE("2026/1/22")+TIMEVALUE("6:00"),3,0)</f>
        <v>0</v>
      </c>
      <c r="P297" t="str">
        <f t="shared" ref="P297" si="789">IF(L297&lt;N297,"未達成（"&amp;N297-L297&amp;"）",IF(L297=N297,"達成","前倒し（"&amp;L297-N297&amp;"）"))</f>
        <v>達成</v>
      </c>
      <c r="Q297">
        <f t="shared" ref="Q297" si="790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650</v>
      </c>
      <c r="I298" t="s">
        <v>651</v>
      </c>
      <c r="J298">
        <v>0</v>
      </c>
      <c r="K298">
        <f t="shared" ref="K298" si="791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92">L297+K298</f>
        <v>365</v>
      </c>
      <c r="M298">
        <f t="shared" ref="M298" si="793">2+IF(A298&gt;=DATEVALUE("2025/11/30")+TIMEVALUE("6:00"),1,0)+IF(A298&gt;=DATEVALUE("2025/12/11")+TIMEVALUE("6:00"),1,0)</f>
        <v>4</v>
      </c>
      <c r="N298">
        <f t="shared" ref="N298" si="794">N297+M298*(INT(A298-6/24)-INT(A297-6/24))+O298</f>
        <v>367</v>
      </c>
      <c r="O298">
        <f t="shared" ref="O298" si="795">IF(A298&gt;=DATEVALUE("2025/11/8")+TIMEVALUE("6:00"),1,0)-IF(A297&gt;=DATEVALUE("2025/11/8")+TIMEVALUE("6:00"),1,0)
+IF(A298&gt;=DATEVALUE("2026/1/22")+TIMEVALUE("6:00"),3,0)-IF(A297&gt;=DATEVALUE("2026/1/22")+TIMEVALUE("6:00"),3,0)</f>
        <v>0</v>
      </c>
      <c r="P298" t="str">
        <f t="shared" ref="P298" si="796">IF(L298&lt;N298,"未達成（"&amp;N298-L298&amp;"）",IF(L298=N298,"達成","前倒し（"&amp;L298-N298&amp;"）"))</f>
        <v>未達成（2）</v>
      </c>
      <c r="Q298">
        <f t="shared" ref="Q298" si="79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652</v>
      </c>
      <c r="I299" t="s">
        <v>653</v>
      </c>
      <c r="J299">
        <v>0</v>
      </c>
      <c r="K299">
        <f t="shared" ref="K299" si="79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99">L298+K299</f>
        <v>367</v>
      </c>
      <c r="M299">
        <f t="shared" ref="M299" si="800">2+IF(A299&gt;=DATEVALUE("2025/11/30")+TIMEVALUE("6:00"),1,0)+IF(A299&gt;=DATEVALUE("2025/12/11")+TIMEVALUE("6:00"),1,0)</f>
        <v>4</v>
      </c>
      <c r="N299">
        <f t="shared" ref="N299" si="801">N298+M299*(INT(A299-6/24)-INT(A298-6/24))+O299</f>
        <v>367</v>
      </c>
      <c r="O299">
        <f t="shared" ref="O299" si="802">IF(A299&gt;=DATEVALUE("2025/11/8")+TIMEVALUE("6:00"),1,0)-IF(A298&gt;=DATEVALUE("2025/11/8")+TIMEVALUE("6:00"),1,0)
+IF(A299&gt;=DATEVALUE("2026/1/22")+TIMEVALUE("6:00"),3,0)-IF(A298&gt;=DATEVALUE("2026/1/22")+TIMEVALUE("6:00"),3,0)</f>
        <v>0</v>
      </c>
      <c r="P299" t="str">
        <f t="shared" ref="P299" si="803">IF(L299&lt;N299,"未達成（"&amp;N299-L299&amp;"）",IF(L299=N299,"達成","前倒し（"&amp;L299-N299&amp;"）"))</f>
        <v>達成</v>
      </c>
      <c r="Q299">
        <f t="shared" ref="Q299" si="804">IF(B299="",NA(),G299)</f>
        <v>4.4212962966412306E-3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46070.286736111113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2026-02-16T21:59:28Z</dcterms:modified>
</cp:coreProperties>
</file>
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F3754989-9766-4041-AFFE-85E2CC1FEEBF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40" i="4" l="1"/>
  <c r="O340" i="4"/>
  <c r="M340" i="4"/>
  <c r="N340" i="4" s="1"/>
  <c r="K340" i="4"/>
  <c r="L340" i="4" s="1"/>
  <c r="P340" i="4" s="1"/>
  <c r="Q339" i="4"/>
  <c r="O339" i="4"/>
  <c r="M339" i="4"/>
  <c r="N339" i="4" s="1"/>
  <c r="K339" i="4"/>
  <c r="L339" i="4" s="1"/>
  <c r="Q338" i="4"/>
  <c r="O338" i="4"/>
  <c r="M338" i="4"/>
  <c r="N338" i="4" s="1"/>
  <c r="K338" i="4"/>
  <c r="L338" i="4" s="1"/>
  <c r="Q337" i="4"/>
  <c r="O337" i="4"/>
  <c r="M337" i="4"/>
  <c r="N337" i="4" s="1"/>
  <c r="K337" i="4"/>
  <c r="L337" i="4" s="1"/>
  <c r="Q336" i="4"/>
  <c r="O336" i="4"/>
  <c r="M336" i="4"/>
  <c r="N336" i="4" s="1"/>
  <c r="K336" i="4"/>
  <c r="L336" i="4" s="1"/>
  <c r="Q335" i="4"/>
  <c r="O335" i="4"/>
  <c r="M335" i="4"/>
  <c r="N335" i="4" s="1"/>
  <c r="K335" i="4"/>
  <c r="L335" i="4" s="1"/>
  <c r="Q334" i="4"/>
  <c r="O334" i="4"/>
  <c r="M334" i="4"/>
  <c r="N334" i="4" s="1"/>
  <c r="K334" i="4"/>
  <c r="L334" i="4" s="1"/>
  <c r="Q333" i="4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39" i="4" l="1"/>
  <c r="P338" i="4"/>
  <c r="P337" i="4"/>
  <c r="P336" i="4"/>
  <c r="P335" i="4"/>
  <c r="P334" i="4"/>
  <c r="P332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<sst xmlns="http://schemas.openxmlformats.org/spreadsheetml/2006/main" count="757" uniqueCount="736">
  <si>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</si>
  <si>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</si>
  <si>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</si>
  <si>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</si>
  <si>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</si>
  <si>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</si>
  <si>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</si>
  <si>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</si>
  <si>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</si>
  <si>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</si>
  <si>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</si>
  <si>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</si>
  <si>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</si>
  <si>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</si>
  <si>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</si>
  <si>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</si>
  <si>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</si>
  <si>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</si>
  <si>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</si>
  <si>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</si>
  <si>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</si>
  <si>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</si>
  <si>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</si>
  <si>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</si>
  <si>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</si>
  <si>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</si>
  <si>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</si>
  <si>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</si>
  <si>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</si>
  <si>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</si>
  <si>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</si>
  <si>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</si>
  <si>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</si>
  <si>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</si>
  <si>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</si>
  <si>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</si>
  <si>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</si>
  <si>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</si>
  <si>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</si>
  <si>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</si>
  <si>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</si>
  <si>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</si>
  <si>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</si>
  <si>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</si>
  <si>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</si>
  <si>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</si>
  <si>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</si>
  <si>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</si>
  <si>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</si>
  <si>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</si>
  <si>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</si>
  <si>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</si>
  <si>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</si>
  <si>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</si>
  <si>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</si>
  <si>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</si>
  <si>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</si>
  <si>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</si>
  <si>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</si>
  <si>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</si>
  <si>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</si>
  <si>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</si>
  <si>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</si>
  <si>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</si>
  <si>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</si>
  <si>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</si>
  <si>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</si>
  <si>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</si>
  <si>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</si>
  <si>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</si>
  <si>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</si>
  <si>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</si>
  <si>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</si>
  <si>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</si>
  <si>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</si>
  <si>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</si>
  <si>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</si>
  <si>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</si>
  <si>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</si>
  <si>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</si>
  <si>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</si>
  <si>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</si>
  <si>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</si>
  <si>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</si>
  <si>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</si>
  <si>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</si>
  <si>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</si>
  <si>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</si>
  <si>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</si>
  <si>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</si>
  <si>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</si>
  <si>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</si>
  <si>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</si>
  <si>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</si>
  <si>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</si>
  <si>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</si>
  <si>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</si>
  <si>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</si>
  <si>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</si>
  <si>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</si>
  <si>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</si>
  <si>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</si>
  <si>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</si>
  <si>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</si>
  <si>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</si>
  <si>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</si>
  <si>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</si>
  <si>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</si>
  <si>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</si>
  <si>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</si>
  <si>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</si>
  <si>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</si>
  <si>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</si>
  <si>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</si>
  <si>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</si>
  <si>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</si>
  <si>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</si>
  <si>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</si>
  <si>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</si>
  <si>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</si>
  <si>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</si>
  <si>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</si>
  <si>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</si>
  <si>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</si>
  <si>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</si>
  <si>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</si>
  <si>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</si>
  <si>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</si>
  <si>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</si>
  <si>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</si>
  <si>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</si>
  <si>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</si>
  <si>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</si>
  <si>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</si>
  <si>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</si>
  <si>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</si>
  <si>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</si>
  <si>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</si>
  <si>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</si>
  <si>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</si>
  <si>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</si>
  <si>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</si>
  <si>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</si>
  <si>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</si>
  <si>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</si>
  <si>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</si>
  <si>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</si>
  <si>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</si>
  <si>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</si>
  <si>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</si>
  <si>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</si>
  <si>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</si>
  <si>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</si>
  <si>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</si>
  <si>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</si>
  <si>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</si>
  <si>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</si>
  <si>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</si>
  <si>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</si>
  <si>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</si>
  <si>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</si>
  <si>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</si>
  <si>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</si>
  <si>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</si>
  <si>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</si>
  <si>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</si>
  <si>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</si>
  <si>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</si>
  <si>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</si>
  <si>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</si>
  <si>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</si>
  <si>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</si>
  <si>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</si>
  <si>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</si>
  <si>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</si>
  <si>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</si>
  <si>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</si>
  <si>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</si>
  <si>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</si>
  <si>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</si>
  <si>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</si>
  <si>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</si>
  <si>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</si>
  <si>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</si>
  <si>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</si>
  <si>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</si>
  <si>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</si>
  <si>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</si>
  <si>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</si>
  <si>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</si>
  <si>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</si>
  <si>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</si>
  <si>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</si>
  <si>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</si>
  <si>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</si>
  <si>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</si>
  <si>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</si>
  <si>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</si>
  <si>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</si>
  <si>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</si>
  <si>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</si>
  <si>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</si>
  <si>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</si>
  <si>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</si>
  <si>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</si>
  <si>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</si>
  <si>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</si>
  <si>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</si>
  <si>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</si>
  <si>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</si>
  <si>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</si>
  <si>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</si>
  <si>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</si>
  <si>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</si>
  <si>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</si>
  <si>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</si>
  <si>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</si>
  <si>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</si>
  <si>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</si>
  <si>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</si>
  <si>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</si>
  <si>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</si>
  <si>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</si>
  <si>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</si>
  <si>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</si>
  <si>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</si>
  <si>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</si>
  <si>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</si>
  <si>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</si>
  <si>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</si>
  <si>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</si>
  <si>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</si>
  <si>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</si>
  <si>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</si>
  <si>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</si>
  <si>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</si>
  <si>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</si>
  <si>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</si>
  <si>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</si>
  <si>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</si>
  <si>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</si>
  <si>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</si>
  <si>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</si>
  <si>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</si>
  <si>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</si>
  <si>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</si>
  <si>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</si>
  <si>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</si>
  <si>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</si>
  <si>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</si>
  <si>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</si>
  <si>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</si>
  <si>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</si>
  <si>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</si>
  <si>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</si>
  <si>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</si>
  <si>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</si>
  <si>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</si>
  <si>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</si>
  <si>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</si>
  <si>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</si>
  <si>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</si>
  <si>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</si>
  <si>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</si>
  <si>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</si>
  <si>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</si>
  <si>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</si>
  <si>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</si>
  <si>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</si>
  <si>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</si>
  <si>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</si>
  <si>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</si>
  <si>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</si>
  <si>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</si>
  <si>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</si>
  <si>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</si>
  <si>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</si>
  <si>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</si>
  <si>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</si>
  <si>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</si>
  <si>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</si>
  <si>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</si>
  <si>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</si>
  <si>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</si>
  <si>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</si>
  <si>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</si>
  <si>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</si>
  <si>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</si>
  <si>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</si>
  <si>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</si>
  <si>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</si>
  <si>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</si>
  <si>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</si>
  <si>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</si>
  <si>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</si>
  <si>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</si>
  <si>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</si>
  <si>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</si>
  <si>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</si>
  <si>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</si>
  <si>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</si>
  <si>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</si>
  <si>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</si>
  <si>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</si>
  <si>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</si>
  <si>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</si>
  <si>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</si>
  <si>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</si>
  <si>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</si>
  <si>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</si>
  <si>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</si>
  <si>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</si>
  <si>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</si>
  <si>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</si>
  <si>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</si>
  <si>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</si>
  <si>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</si>
  <si>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</si>
  <si>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</si>
  <si>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</si>
  <si>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</si>
  <si>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</si>
  <si>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</si>
  <si>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</si>
  <si>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</si>
  <si>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</si>
  <si>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</si>
  <si>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</si>
  <si>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</si>
  <si>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</si>
  <si>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</si>
  <si>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</si>
  <si>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</si>
  <si>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</si>
  <si>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</si>
  <si>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</si>
  <si>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</si>
  <si>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</si>
  <si>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</si>
  <si>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</si>
  <si>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</si>
  <si>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</si>
  <si>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</si>
  <si>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</si>
  <si>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</si>
  <si>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</si>
  <si>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</si>
  <si>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</si>
  <si>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</si>
  <si>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</si>
  <si>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</si>
  <si>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</si>
  <si>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</si>
  <si>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</si>
  <si>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</si>
  <si>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</si>
  <si>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</si>
  <si>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</si>
  <si>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</si>
  <si>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</si>
  <si>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</si>
  <si>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</si>
  <si>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</si>
  <si>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</si>
  <si>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</si>
  <si>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</si>
  <si>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</si>
  <si>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</si>
  <si>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</si>
  <si>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</si>
  <si>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</si>
  <si>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</si>
  <si>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</si>
  <si>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</si>
  <si>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</si>
  <si>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</si>
  <si>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</si>
  <si>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</si>
  <si>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</si>
  <si>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</si>
  <si>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</si>
  <si>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</si>
  <si>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</si>
  <si>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</si>
  <si>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</si>
  <si>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</si>
  <si>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</si>
  <si>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</si>
  <si>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</si>
  <si>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</si>
  <si>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</si>
  <si>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</si>
  <si>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</si>
  <si>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</si>
  <si>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</si>
  <si>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</si>
  <si>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</si>
  <si>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</si>
  <si>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</si>
  <si>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</si>
  <si>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</si>
  <si>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</si>
  <si>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</si>
  <si>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</si>
  <si>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</si>
  <si>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</si>
  <si>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</si>
  <si>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</si>
  <si>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</si>
  <si>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</si>
  <si>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</si>
  <si>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</si>
  <si>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</si>
  <si>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</si>
  <si>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</si>
  <si>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</si>
  <si>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</si>
  <si>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</si>
  <si>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</si>
  <si>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</si>
  <si>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</si>
  <si>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</si>
  <si>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</si>
  <si>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</si>
  <si>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</si>
  <si>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</si>
  <si>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</si>
  <si>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</si>
  <si>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</si>
  <si>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</si>
  <si>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</si>
  <si>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</si>
  <si>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</si>
  <si>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</si>
  <si>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</si>
  <si>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</si>
  <si>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</si>
  <si>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</si>
  <si>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</si>
  <si>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</si>
  <si>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</si>
  <si>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</si>
  <si>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</si>
  <si>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</si>
  <si>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</si>
  <si>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</si>
  <si>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</si>
  <si>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</si>
  <si>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</si>
  <si>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</si>
  <si>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</si>
  <si>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</si>
  <si>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</si>
  <si>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</si>
  <si>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</si>
  <si>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</si>
  <si>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</si>
  <si>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</si>
  <si>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</si>
  <si>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</si>
  <si>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</si>
  <si>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</si>
  <si>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</si>
  <si>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</si>
  <si>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</si>
  <si>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</si>
  <si>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</si>
  <si>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</si>
  <si>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</si>
  <si>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</si>
  <si>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</si>
  <si>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</si>
  <si>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</si>
  <si>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</si>
  <si>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</si>
  <si>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</si>
  <si>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</si>
  <si>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</si>
  <si>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</si>
  <si>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</si>
  <si>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</si>
  <si>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</si>
  <si>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</si>
  <si>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</si>
  <si>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</si>
  <si>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</si>
  <si>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</si>
  <si>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</si>
  <si>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</si>
  <si>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</si>
  <si>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</si>
  <si>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</si>
  <si>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</si>
  <si>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</si>
  <si>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</si>
  <si>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</si>
  <si>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</si>
  <si>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</si>
  <si>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</si>
  <si>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</si>
  <si>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</si>
  <si>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</si>
  <si>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</si>
  <si>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</si>
  <si>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</si>
  <si>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</si>
  <si>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</si>
  <si>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</si>
  <si>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</si>
  <si>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</si>
  <si>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</si>
  <si>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</si>
  <si>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</si>
  <si>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</si>
  <si>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</si>
  <si>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</si>
  <si>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</si>
  <si>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</si>
  <si>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</si>
  <si>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</si>
  <si>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</si>
  <si>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</si>
  <si>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</si>
  <si>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</si>
  <si>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</si>
  <si>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</si>
  <si>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</si>
  <si>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</si>
  <si>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</si>
  <si>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</si>
  <si>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</si>
  <si>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</si>
  <si>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</si>
  <si>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</si>
  <si>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</si>
  <si>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</si>
  <si>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</si>
  <si>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</si>
  <si>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</si>
  <si>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</si>
  <si>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</si>
  <si>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</si>
  <si>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</si>
  <si>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</si>
  <si>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</si>
  <si>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</si>
  <si>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</si>
  <si>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</si>
  <si>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</si>
  <si>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</si>
  <si>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</si>
  <si>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</si>
  <si>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</si>
  <si>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</si>
  <si>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</si>
  <si>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</si>
  <si>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</si>
  <si>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</si>
  <si>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</si>
  <si>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</si>
  <si>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</si>
  <si>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</si>
  <si>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</si>
  <si>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</si>
  <si>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</si>
  <si>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</si>
  <si>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</si>
  <si>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</si>
  <si>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</si>
  <si>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</si>
  <si>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</si>
  <si>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</si>
  <si>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</si>
  <si>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</si>
  <si>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</si>
  <si>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</si>
  <si>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</si>
  <si>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</si>
  <si>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</si>
  <si>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</si>
  <si>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</si>
  <si>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</si>
  <si>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</si>
  <si>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</si>
  <si>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</si>
  <si>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</si>
  <si>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</si>
  <si>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</si>
  <si>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</si>
  <si>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</si>
  <si>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</si>
  <si>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</si>
  <si>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</si>
  <si>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</si>
  <si>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</si>
  <si>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</si>
  <si>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</si>
  <si>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</si>
  <si>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</si>
  <si>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</si>
  <si>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</si>
  <si>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</si>
  <si>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</si>
  <si>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</si>
  <si>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</si>
  <si>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</si>
  <si>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</si>
  <si>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</si>
  <si>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</si>
  <si>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</si>
  <si>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</si>
  <si>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</si>
  <si>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</si>
  <si>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</si>
  <si>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</si>
  <si>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</si>
  <si>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</si>
  <si>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</si>
  <si>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</si>
  <si>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</si>
  <si>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</si>
  <si>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</si>
  <si>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</si>
  <si>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</si>
  <si>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</si>
  <si>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</si>
  <si>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</si>
  <si>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</si>
  <si>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</si>
  <si>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</si>
  <si>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</si>
  <si>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</si>
  <si>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</si>
  <si>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</si>
  <si>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</si>
  <si>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</si>
  <si>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</si>
  <si>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</si>
  <si>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</si>
  <si>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</si>
  <si>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</si>
  <si>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</si>
  <si>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</si>
  <si>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</si>
  <si>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</si>
  <si>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</si>
  <si>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</si>
  <si>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</si>
  <si>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</si>
  <si>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</si>
  <si>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</si>
  <si>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</si>
  <si>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</si>
  <si>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</si>
  <si>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</si>
  <si>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</si>
  <si>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</si>
  <si>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</si>
  <si>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</si>
  <si>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</si>
  <si>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</si>
  <si>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</si>
  <si>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</si>
  <si>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</si>
  <si>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</si>
  <si>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</si>
  <si>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</si>
  <si>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</si>
  <si>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</si>
  <si>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</si>
  <si>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</si>
  <si>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</si>
  <si>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</si>
  <si>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</si>
  <si>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</si>
  <si>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</si>
  <si>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</si>
  <si>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</si>
  <si>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</si>
  <si>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</si>
  <si>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</si>
  <si>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</si>
  <si>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</si>
  <si>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</si>
  <si>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</si>
  <si>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</si>
  <si>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</si>
  <si>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</si>
  <si>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</si>
  <si>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</si>
  <si>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</si>
  <si>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</si>
  <si>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</si>
  <si>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</si>
  <si>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</si>
  <si>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</si>
  <si>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</si>
  <si>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</si>
  <si>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</si>
  <si>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</si>
  <si>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</si>
  <si>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</si>
  <si>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</si>
  <si>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</si>
  <si>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</si>
  <si>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</si>
  <si>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</si>
  <si>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</si>
  <si>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</si>
  <si>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</si>
  <si>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</si>
  <si>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</si>
  <si>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</si>
  <si>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</si>
  <si>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</si>
  <si>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</si>
  <si>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</si>
  <si>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</si>
  <si>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</si>
  <si>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</si>
  <si>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</si>
  <si>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</si>
  <si>
    <t>(*8,*7,*5,*5,*1,3,2,*1,5,3,4,9),(1,4,3,4,4,4,*9,3,4,*5,*3,6),(*2,*9,*8,*2,4,*8,*4,7,*5,*1,6,*2),(2,5,6,8,*3,2,1,*3,*6,2,1,*2),(2,1,7,*5,*8,9,7,*2,*7,2,6,*6),(1,3,*3,*9,2,*5,*5,6,9,4,7,6),(6,*6,5,*4,*6,*2,*3,*3,*1,*6,*1,*1),(1,4,*1,*4,2,5,6,*5,8,2,4,8),(9,7,7,*5,3,7,6,9,*9,2,7,4),(1,1,2,7,*4,3,7,8,1,*1,9,9),(2,1,6,7,4,9,6,6,1,6,*3,3),(8,2,*7,*6,*6,*4,*3,*9,*7,*6,*4,4)</t>
  </si>
  <si>
    <t>44,154,8535913,7664,1983536,72,46793,355,622,2892,43,69,252613,15578,31611</t>
  </si>
  <si>
    <t>(4,2,6,6,9,4,1,1,5,5,*2,*1),(8,4,9,4,*7,*7,*9,2,6,9,*4,7),(*7,*2,*3,*7,*5,*3,*7,3,3,7,*6,6),(5,9,3,2,9,7,1,*3,8,2,1,7),(*1,5,9,5,7,3,*8,7,4,4,9,*7),(*3,3,1,9,4,*7,4,9,4,*4,*8,*3),(*3,1,8,7,*7,*6,*7,*9,*3,*5,*9,*2),(*2,*6,*2,4,2,6,*1,9,7,*1,*3,*5),(*8,3,3,5,9,*4,5,5,9,*6,*3,*7),(*6,3,8,2,*7,2,3,5,8,*6,*8,3),(3,7,5,2,2,2,7,4,9,4,*3,5),(3,*4,*8,*7,*8,*6,*8,*3,6,3,2,1)</t>
  </si>
  <si>
    <t>64,66154,7237537,741,4878683,483,6793,133286,977,75237,62,85,7783,38339,12</t>
  </si>
  <si>
    <t>(5,3,*4,*1,*8,*3,2,7,2,4,4,1),(4,*9,7,3,9,4,9,*8,8,5,8,6),(6,*1,8,4,7,2,4,*2,5,9,3,1),(2,8,*8,*5,*9,*5,*1,*2,9,4,6,*6),(6,*3,*5,*3,*9,*8,*1,*6,*3,*6,7,*7),(3,5,*1,4,*2,*3,*5,*9,*7,7,3,*5),(9,*1,*6,1,2,1,9,*8,*2,7,1,*1),(3,*4,*9,7,7,3,7,2,*6,1,8,*2),(5,*4,*6,3,1,3,4,4,1,*1,8,*2),(4,6,*4,*4,*6,*2,*4,5,5,1,*5,*9),(6,3,*1,*1,*1,3,1,9,1,9,1,*2),(1,4,6,3,9,7,5,3,3,8,7,1)</t>
  </si>
  <si>
    <t>79532,19,2644,31,859512,372,28,3814,69615,441,6751229,111,86152,24,6361893</t>
  </si>
  <si>
    <t>(4,3,3,4,1,1,7,1,7,9,5,8),(4,*8,3,3,*4,*6,*9,*1,*2,9,5,2),(7,*6,*9,6,5,1,1,5,2,*3,2,*7),(*1,*8,*8,*8,9,2,4,8,*4,7,*2,*5),(*1,*5,*1,9,*7,5,6,*5,1,*5,*7,*9),(4,*2,*4,1,2,*3,*4,3,*8,9,*7,*7),(1,2,*8,1,6,1,*9,*6,3,1,*5,*3),(4,9,*9,7,1,5,*3,2,2,5,*7,*3),(8,5,*3,5,2,*6,*2,1,2,7,5,*7),(4,9,*4,*7,*3,2,9,1,7,4,3,*4),(6,9,*6,*6,3,6,2,3,1,7,5,*2),(3,6,*7,9,3,1,7,1,9,5,4,1)</t>
  </si>
  <si>
    <t>25868,4543,42,8739,27757,759,981,51,11,5863636,7643984,74,733795,239,46912</t>
  </si>
  <si>
    <t>(6,*4,*6,*2,*9,*1,5,8,*4,8,9,4),(4,4,5,*7,4,6,*1,*5,2,*5,9,4),(7,2,*7,2,9,5,9,7,1,9,*9,6),(4,*5,5,8,*2,*8,*2,6,9,*2,8,*9),(*3,*2,*9,*3,*5,*8,*3,6,*2,2,9,*7),(2,9,2,1,1,5,*3,*9,2,6,9,*3),(8,9,7,6,*3,*1,*2,*5,2,1,5,*7),(9,1,9,*5,*2,*7,6,1,5,*6,*6,*5),(8,3,*6,*9,*3,7,5,2,7,7,6,*5),(8,*9,*4,*5,1,*3,*4,7,7,3,8,7),(*3,4,6,1,9,1,4,*4,*9,*9,*2,5),(2,4,7,3,9,8,*9,*8,*7,*6,2,3)</t>
  </si>
  <si>
    <t>51,2994,35693,282,775,34,49213,46291,459,2292735,3853923,6789,25,66,557379</t>
  </si>
  <si>
    <t>(*1,2,*8,9,4,7,1,5,7,9,2,6),(2,*9,9,*6,1,6,6,*4,*9,*1,3,1),(1,7,*2,2,*2,3,4,*6,5,*9,4,*8),(5,3,2,*5,*3,*1,*5,1,4,*6,4,*8),(5,1,4,*2,*2,*7,1,*1,8,*5,4,*5),(7,6,*3,4,2,9,*4,5,5,*3,*3,*9),(1,6,3,3,9,*6,8,8,3,*3,*3,*4),(4,6,1,2,*4,1,2,4,1,*4,*3,5),(7,*8,*1,*4,5,*5,8,1,2,4,*3,4),(8,*6,*7,5,6,4,6,*2,2,6,*5,3),(4,5,*3,*8,*2,*7,*2,*3,*7,9,*7,4),(6,6,4,*9,*8,*8,9,6,4,9,1,7)</t>
  </si>
  <si>
    <t>1268,87,889,3827237,9657,44641,194,323,88594,333357,25291,1965334,45,16,22</t>
  </si>
  <si>
    <t>(1,*8,*3,*7,*1,*8,*5,*3,4,8,8,6),(6,8,*2,*4,*5,*9,*3,*6,1,8,2,4),(9,7,7,8,3,2,3,8,8,4,6,3),(8,3,*3,6,8,9,9,2,6,9,5,9),(4,9,*6,4,7,5,6,8,1,1,*4,2),(5,8,*6,6,5,7,*8,1,2,*1,*8,3),(9,7,*4,9,4,4,*1,9,*3,*1,*2,4),(5,9,*6,1,4,3,*4,7,*3,*5,*7,6),(3,9,*7,*9,*3,*9,*5,*6,*2,1,*4,8),(1,4,*8,8,5,*9,9,*2,*6,*2,6,6),(2,9,*9,1,*7,*6,*7,*6,*8,*2,*2,*1),(*5,*5,*9,*8,3,1,8,4,8,6,7,8)</t>
  </si>
  <si>
    <t>262,418,48274,13,639542,4663,115,8955,99876,79,23,25,6768221,93956,8371853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</si>
</sst>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データ!$A$3:$A$340</c:f>
              <c:numCache>
                <c:formatCode>m/d/yyyy\ h:mm</c:formatCode>
                <c:ptCount val="33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</c:numCache>
            </c:numRef>
          </c:xVal>
          <c:yVal>
            <c:numRef>
              <c:f>データ!$B$3:$B$340</c:f>
              <c:numCache>
                <c:formatCode>General</c:formatCode>
                <c:ptCount val="338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FB-4C9E-91B5-7F8327ABA74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EFB-4C9E-91B5-7F8327ABA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981392"/>
        <c:axId val="46195979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データ!$A$3:$A$340</c:f>
              <c:numCache>
                <c:formatCode>m/d/yyyy\ h:mm</c:formatCode>
                <c:ptCount val="338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</c:numCache>
            </c:numRef>
          </c:xVal>
          <c:yVal>
            <c:numRef>
              <c:f>データ!$Q$3:$Q$340</c:f>
              <c:numCache>
                <c:formatCode>[h]:mm</c:formatCode>
                <c:ptCount val="338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  <c:pt idx="331" formatCode="General">
                  <c:v>5.0694444435066544E-3</c:v>
                </c:pt>
                <c:pt idx="332" formatCode="General">
                  <c:v>8.6689814779674634E-3</c:v>
                </c:pt>
                <c:pt idx="333" formatCode="General">
                  <c:v>6.7476851836545393E-3</c:v>
                </c:pt>
                <c:pt idx="334" formatCode="General">
                  <c:v>6.4120370370801538E-3</c:v>
                </c:pt>
                <c:pt idx="335" formatCode="General">
                  <c:v>7.4884259302052669E-3</c:v>
                </c:pt>
                <c:pt idx="336" formatCode="General">
                  <c:v>6.8634259296231903E-3</c:v>
                </c:pt>
                <c:pt idx="337" formatCode="General">
                  <c:v>6.1689814829151146E-3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FB-4C9E-91B5-7F8327ABA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970352"/>
        <c:axId val="461969872"/>
      </c:scatterChart>
      <c:valAx>
        <c:axId val="46198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1959792"/>
        <c:crosses val="autoZero"/>
        <c:crossBetween val="midCat"/>
      </c:valAx>
      <c:valAx>
        <c:axId val="46195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1981392"/>
        <c:crosses val="autoZero"/>
        <c:crossBetween val="midCat"/>
      </c:valAx>
      <c:valAx>
        <c:axId val="46196987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1970352"/>
        <c:crosses val="max"/>
        <c:crossBetween val="midCat"/>
      </c:valAx>
      <c:valAx>
        <c:axId val="46197035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196987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2487" name="Match0">
          <a:extLst>
            <a:ext uri="{FF2B5EF4-FFF2-40B4-BE49-F238E27FC236}">
              <a16:creationId xmlns:a16="http://schemas.microsoft.com/office/drawing/2014/main" id="{CEE83250-AA16-FFF9-8663-B38009D2B98C}"/>
            </a:ext>
          </a:extLst>
        </xdr:cNvPr>
        <xdr:cNvCxnSpPr/>
      </xdr:nvCxnSpPr>
      <xdr:spPr>
        <a:xfrm>
          <a:off x="3178969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9</xdr:col>
      <xdr:colOff>211931</xdr:colOff>
      <xdr:row>9</xdr:row>
      <xdr:rowOff>178593</xdr:rowOff>
    </xdr:to>
    <xdr:cxnSp macro="">
      <xdr:nvCxnSpPr>
        <xdr:cNvPr id="2488" name="Match1">
          <a:extLst>
            <a:ext uri="{FF2B5EF4-FFF2-40B4-BE49-F238E27FC236}">
              <a16:creationId xmlns:a16="http://schemas.microsoft.com/office/drawing/2014/main" id="{91F2E75D-158C-F0FC-F23C-382731E3A6A1}"/>
            </a:ext>
          </a:extLst>
        </xdr:cNvPr>
        <xdr:cNvCxnSpPr/>
      </xdr:nvCxnSpPr>
      <xdr:spPr>
        <a:xfrm flipH="1">
          <a:off x="3178969" y="3393281"/>
          <a:ext cx="84772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2489" name="Match2">
          <a:extLst>
            <a:ext uri="{FF2B5EF4-FFF2-40B4-BE49-F238E27FC236}">
              <a16:creationId xmlns:a16="http://schemas.microsoft.com/office/drawing/2014/main" id="{C388B37B-033F-3B68-5CFD-DEA3E2C97A64}"/>
            </a:ext>
          </a:extLst>
        </xdr:cNvPr>
        <xdr:cNvCxnSpPr/>
      </xdr:nvCxnSpPr>
      <xdr:spPr>
        <a:xfrm>
          <a:off x="3602831" y="17859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6</xdr:col>
      <xdr:colOff>211931</xdr:colOff>
      <xdr:row>7</xdr:row>
      <xdr:rowOff>178593</xdr:rowOff>
    </xdr:to>
    <xdr:cxnSp macro="">
      <xdr:nvCxnSpPr>
        <xdr:cNvPr id="2490" name="Match3">
          <a:extLst>
            <a:ext uri="{FF2B5EF4-FFF2-40B4-BE49-F238E27FC236}">
              <a16:creationId xmlns:a16="http://schemas.microsoft.com/office/drawing/2014/main" id="{5EF5369B-2D9F-F78A-F6EB-A5DC3E7ECC11}"/>
            </a:ext>
          </a:extLst>
        </xdr:cNvPr>
        <xdr:cNvCxnSpPr/>
      </xdr:nvCxnSpPr>
      <xdr:spPr>
        <a:xfrm flipV="1">
          <a:off x="2755106" y="196453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2491" name="Match4">
          <a:extLst>
            <a:ext uri="{FF2B5EF4-FFF2-40B4-BE49-F238E27FC236}">
              <a16:creationId xmlns:a16="http://schemas.microsoft.com/office/drawing/2014/main" id="{7E799191-B576-D232-040B-D56F18999D18}"/>
            </a:ext>
          </a:extLst>
        </xdr:cNvPr>
        <xdr:cNvCxnSpPr/>
      </xdr:nvCxnSpPr>
      <xdr:spPr>
        <a:xfrm>
          <a:off x="4450556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0</xdr:row>
      <xdr:rowOff>178594</xdr:rowOff>
    </xdr:from>
    <xdr:to>
      <xdr:col>8</xdr:col>
      <xdr:colOff>211931</xdr:colOff>
      <xdr:row>1</xdr:row>
      <xdr:rowOff>178593</xdr:rowOff>
    </xdr:to>
    <xdr:cxnSp macro="">
      <xdr:nvCxnSpPr>
        <xdr:cNvPr id="2492" name="Match5">
          <a:extLst>
            <a:ext uri="{FF2B5EF4-FFF2-40B4-BE49-F238E27FC236}">
              <a16:creationId xmlns:a16="http://schemas.microsoft.com/office/drawing/2014/main" id="{DE0B2F69-7986-3A05-F674-22ABE7DCFC7A}"/>
            </a:ext>
          </a:extLst>
        </xdr:cNvPr>
        <xdr:cNvCxnSpPr/>
      </xdr:nvCxnSpPr>
      <xdr:spPr>
        <a:xfrm flipH="1" flipV="1">
          <a:off x="3178969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2493" name="Match6">
          <a:extLst>
            <a:ext uri="{FF2B5EF4-FFF2-40B4-BE49-F238E27FC236}">
              <a16:creationId xmlns:a16="http://schemas.microsoft.com/office/drawing/2014/main" id="{A0FC13BA-5362-920D-25EB-2EECCB2D9BB6}"/>
            </a:ext>
          </a:extLst>
        </xdr:cNvPr>
        <xdr:cNvCxnSpPr/>
      </xdr:nvCxnSpPr>
      <xdr:spPr>
        <a:xfrm>
          <a:off x="317896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2494" name="Match7">
          <a:extLst>
            <a:ext uri="{FF2B5EF4-FFF2-40B4-BE49-F238E27FC236}">
              <a16:creationId xmlns:a16="http://schemas.microsoft.com/office/drawing/2014/main" id="{23F07B7A-109F-B6FD-0337-157406BDEAB3}"/>
            </a:ext>
          </a:extLst>
        </xdr:cNvPr>
        <xdr:cNvCxnSpPr/>
      </xdr:nvCxnSpPr>
      <xdr:spPr>
        <a:xfrm flipH="1">
          <a:off x="36028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2495" name="Match8">
          <a:extLst>
            <a:ext uri="{FF2B5EF4-FFF2-40B4-BE49-F238E27FC236}">
              <a16:creationId xmlns:a16="http://schemas.microsoft.com/office/drawing/2014/main" id="{B127347F-1474-A393-7B3D-4819A4A9260C}"/>
            </a:ext>
          </a:extLst>
        </xdr:cNvPr>
        <xdr:cNvCxnSpPr/>
      </xdr:nvCxnSpPr>
      <xdr:spPr>
        <a:xfrm flipH="1"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2496" name="Match9">
          <a:extLst>
            <a:ext uri="{FF2B5EF4-FFF2-40B4-BE49-F238E27FC236}">
              <a16:creationId xmlns:a16="http://schemas.microsoft.com/office/drawing/2014/main" id="{6247F507-6D25-6B60-C658-9967DF1DE951}"/>
            </a:ext>
          </a:extLst>
        </xdr:cNvPr>
        <xdr:cNvCxnSpPr/>
      </xdr:nvCxnSpPr>
      <xdr:spPr>
        <a:xfrm flipH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9</xdr:col>
      <xdr:colOff>237331</xdr:colOff>
      <xdr:row>6</xdr:row>
      <xdr:rowOff>203994</xdr:rowOff>
    </xdr:to>
    <xdr:cxnSp macro="">
      <xdr:nvCxnSpPr>
        <xdr:cNvPr id="2497" name="Match10">
          <a:extLst>
            <a:ext uri="{FF2B5EF4-FFF2-40B4-BE49-F238E27FC236}">
              <a16:creationId xmlns:a16="http://schemas.microsoft.com/office/drawing/2014/main" id="{53B3D32D-9DE4-E979-6787-6B0199B10361}"/>
            </a:ext>
          </a:extLst>
        </xdr:cNvPr>
        <xdr:cNvCxnSpPr/>
      </xdr:nvCxnSpPr>
      <xdr:spPr>
        <a:xfrm flipH="1">
          <a:off x="3628231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8</xdr:row>
      <xdr:rowOff>178594</xdr:rowOff>
    </xdr:to>
    <xdr:cxnSp macro="">
      <xdr:nvCxnSpPr>
        <xdr:cNvPr id="2498" name="Match11">
          <a:extLst>
            <a:ext uri="{FF2B5EF4-FFF2-40B4-BE49-F238E27FC236}">
              <a16:creationId xmlns:a16="http://schemas.microsoft.com/office/drawing/2014/main" id="{BCBA960E-4D01-439F-E428-B4B66252CE41}"/>
            </a:ext>
          </a:extLst>
        </xdr:cNvPr>
        <xdr:cNvCxnSpPr/>
      </xdr:nvCxnSpPr>
      <xdr:spPr>
        <a:xfrm>
          <a:off x="1483519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2499" name="Match12">
          <a:extLst>
            <a:ext uri="{FF2B5EF4-FFF2-40B4-BE49-F238E27FC236}">
              <a16:creationId xmlns:a16="http://schemas.microsoft.com/office/drawing/2014/main" id="{4135272C-5E97-3625-124D-5878EEE04C64}"/>
            </a:ext>
          </a:extLst>
        </xdr:cNvPr>
        <xdr:cNvCxnSpPr/>
      </xdr:nvCxnSpPr>
      <xdr:spPr>
        <a:xfrm flipH="1" flipV="1">
          <a:off x="36028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8</xdr:row>
      <xdr:rowOff>178594</xdr:rowOff>
    </xdr:from>
    <xdr:to>
      <xdr:col>0</xdr:col>
      <xdr:colOff>211931</xdr:colOff>
      <xdr:row>9</xdr:row>
      <xdr:rowOff>178593</xdr:rowOff>
    </xdr:to>
    <xdr:cxnSp macro="">
      <xdr:nvCxnSpPr>
        <xdr:cNvPr id="2500" name="Match13">
          <a:extLst>
            <a:ext uri="{FF2B5EF4-FFF2-40B4-BE49-F238E27FC236}">
              <a16:creationId xmlns:a16="http://schemas.microsoft.com/office/drawing/2014/main" id="{97939E7F-B97A-43F5-AF17-982EE4111488}"/>
            </a:ext>
          </a:extLst>
        </xdr:cNvPr>
        <xdr:cNvCxnSpPr/>
      </xdr:nvCxnSpPr>
      <xdr:spPr>
        <a:xfrm flipV="1">
          <a:off x="211931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2501" name="Match14">
          <a:extLst>
            <a:ext uri="{FF2B5EF4-FFF2-40B4-BE49-F238E27FC236}">
              <a16:creationId xmlns:a16="http://schemas.microsoft.com/office/drawing/2014/main" id="{D35DC736-2AF1-3E43-FFCF-0D15E97A2F38}"/>
            </a:ext>
          </a:extLst>
        </xdr:cNvPr>
        <xdr:cNvCxnSpPr/>
      </xdr:nvCxnSpPr>
      <xdr:spPr>
        <a:xfrm>
          <a:off x="148351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11</xdr:row>
      <xdr:rowOff>178593</xdr:rowOff>
    </xdr:from>
    <xdr:to>
      <xdr:col>5</xdr:col>
      <xdr:colOff>211931</xdr:colOff>
      <xdr:row>11</xdr:row>
      <xdr:rowOff>178593</xdr:rowOff>
    </xdr:to>
    <xdr:cxnSp macro="">
      <xdr:nvCxnSpPr>
        <xdr:cNvPr id="2502" name="Match15">
          <a:extLst>
            <a:ext uri="{FF2B5EF4-FFF2-40B4-BE49-F238E27FC236}">
              <a16:creationId xmlns:a16="http://schemas.microsoft.com/office/drawing/2014/main" id="{7C818775-93A4-312A-8485-60E3B67B44E4}"/>
            </a:ext>
          </a:extLst>
        </xdr:cNvPr>
        <xdr:cNvCxnSpPr/>
      </xdr:nvCxnSpPr>
      <xdr:spPr>
        <a:xfrm flipH="1">
          <a:off x="190738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7</xdr:col>
      <xdr:colOff>211931</xdr:colOff>
      <xdr:row>1</xdr:row>
      <xdr:rowOff>178593</xdr:rowOff>
    </xdr:to>
    <xdr:cxnSp macro="">
      <xdr:nvCxnSpPr>
        <xdr:cNvPr id="2503" name="Match16">
          <a:extLst>
            <a:ext uri="{FF2B5EF4-FFF2-40B4-BE49-F238E27FC236}">
              <a16:creationId xmlns:a16="http://schemas.microsoft.com/office/drawing/2014/main" id="{54FCF6ED-0872-12F9-5186-66365964B0C2}"/>
            </a:ext>
          </a:extLst>
        </xdr:cNvPr>
        <xdr:cNvCxnSpPr/>
      </xdr:nvCxnSpPr>
      <xdr:spPr>
        <a:xfrm flipH="1">
          <a:off x="1059656" y="535781"/>
          <a:ext cx="211931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2</xdr:col>
      <xdr:colOff>211931</xdr:colOff>
      <xdr:row>6</xdr:row>
      <xdr:rowOff>178594</xdr:rowOff>
    </xdr:to>
    <xdr:cxnSp macro="">
      <xdr:nvCxnSpPr>
        <xdr:cNvPr id="2504" name="Match17">
          <a:extLst>
            <a:ext uri="{FF2B5EF4-FFF2-40B4-BE49-F238E27FC236}">
              <a16:creationId xmlns:a16="http://schemas.microsoft.com/office/drawing/2014/main" id="{A8FDC825-27F1-39AC-9DC4-50E5584E766E}"/>
            </a:ext>
          </a:extLst>
        </xdr:cNvPr>
        <xdr:cNvCxnSpPr/>
      </xdr:nvCxnSpPr>
      <xdr:spPr>
        <a:xfrm flipV="1">
          <a:off x="1059656" y="125015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2505" name="Match18">
          <a:extLst>
            <a:ext uri="{FF2B5EF4-FFF2-40B4-BE49-F238E27FC236}">
              <a16:creationId xmlns:a16="http://schemas.microsoft.com/office/drawing/2014/main" id="{F2986734-F067-9963-56B5-26EB32888900}"/>
            </a:ext>
          </a:extLst>
        </xdr:cNvPr>
        <xdr:cNvCxnSpPr/>
      </xdr:nvCxnSpPr>
      <xdr:spPr>
        <a:xfrm flipH="1" flipV="1">
          <a:off x="635794" y="1250156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5</xdr:row>
      <xdr:rowOff>203993</xdr:rowOff>
    </xdr:from>
    <xdr:to>
      <xdr:col>9</xdr:col>
      <xdr:colOff>237331</xdr:colOff>
      <xdr:row>7</xdr:row>
      <xdr:rowOff>203993</xdr:rowOff>
    </xdr:to>
    <xdr:cxnSp macro="">
      <xdr:nvCxnSpPr>
        <xdr:cNvPr id="2506" name="Match19">
          <a:extLst>
            <a:ext uri="{FF2B5EF4-FFF2-40B4-BE49-F238E27FC236}">
              <a16:creationId xmlns:a16="http://schemas.microsoft.com/office/drawing/2014/main" id="{94AFD242-0D24-4429-22B5-589D82287274}"/>
            </a:ext>
          </a:extLst>
        </xdr:cNvPr>
        <xdr:cNvCxnSpPr/>
      </xdr:nvCxnSpPr>
      <xdr:spPr>
        <a:xfrm>
          <a:off x="4052094" y="1989931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2507" name="Match20">
          <a:extLst>
            <a:ext uri="{FF2B5EF4-FFF2-40B4-BE49-F238E27FC236}">
              <a16:creationId xmlns:a16="http://schemas.microsoft.com/office/drawing/2014/main" id="{EAEB15B9-FCA4-DAF6-F9DE-7C32D09BD436}"/>
            </a:ext>
          </a:extLst>
        </xdr:cNvPr>
        <xdr:cNvCxnSpPr/>
      </xdr:nvCxnSpPr>
      <xdr:spPr>
        <a:xfrm flipH="1">
          <a:off x="1907381" y="89296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2508" name="Match21">
          <a:extLst>
            <a:ext uri="{FF2B5EF4-FFF2-40B4-BE49-F238E27FC236}">
              <a16:creationId xmlns:a16="http://schemas.microsoft.com/office/drawing/2014/main" id="{AD1A9905-1199-E026-EC38-76A1F11387A1}"/>
            </a:ext>
          </a:extLst>
        </xdr:cNvPr>
        <xdr:cNvCxnSpPr/>
      </xdr:nvCxnSpPr>
      <xdr:spPr>
        <a:xfrm flipH="1">
          <a:off x="211931" y="4107656"/>
          <a:ext cx="1271588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2</xdr:col>
      <xdr:colOff>211931</xdr:colOff>
      <xdr:row>11</xdr:row>
      <xdr:rowOff>178593</xdr:rowOff>
    </xdr:to>
    <xdr:cxnSp macro="">
      <xdr:nvCxnSpPr>
        <xdr:cNvPr id="2509" name="Match22">
          <a:extLst>
            <a:ext uri="{FF2B5EF4-FFF2-40B4-BE49-F238E27FC236}">
              <a16:creationId xmlns:a16="http://schemas.microsoft.com/office/drawing/2014/main" id="{AE0F7125-91FC-4FD0-5A6E-D41BCE21AB7C}"/>
            </a:ext>
          </a:extLst>
        </xdr:cNvPr>
        <xdr:cNvCxnSpPr/>
      </xdr:nvCxnSpPr>
      <xdr:spPr>
        <a:xfrm flipV="1">
          <a:off x="1059656" y="267890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2</xdr:row>
      <xdr:rowOff>178594</xdr:rowOff>
    </xdr:to>
    <xdr:cxnSp macro="">
      <xdr:nvCxnSpPr>
        <xdr:cNvPr id="2510" name="Match23">
          <a:extLst>
            <a:ext uri="{FF2B5EF4-FFF2-40B4-BE49-F238E27FC236}">
              <a16:creationId xmlns:a16="http://schemas.microsoft.com/office/drawing/2014/main" id="{DD6B8B46-BECB-E839-3347-21A18F1490A7}"/>
            </a:ext>
          </a:extLst>
        </xdr:cNvPr>
        <xdr:cNvCxnSpPr/>
      </xdr:nvCxnSpPr>
      <xdr:spPr>
        <a:xfrm flipH="1">
          <a:off x="2119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3</xdr:row>
      <xdr:rowOff>178593</xdr:rowOff>
    </xdr:from>
    <xdr:to>
      <xdr:col>5</xdr:col>
      <xdr:colOff>211931</xdr:colOff>
      <xdr:row>4</xdr:row>
      <xdr:rowOff>178594</xdr:rowOff>
    </xdr:to>
    <xdr:cxnSp macro="">
      <xdr:nvCxnSpPr>
        <xdr:cNvPr id="2511" name="Match24">
          <a:extLst>
            <a:ext uri="{FF2B5EF4-FFF2-40B4-BE49-F238E27FC236}">
              <a16:creationId xmlns:a16="http://schemas.microsoft.com/office/drawing/2014/main" id="{ADFB208D-6926-1C22-1576-DAAF7224334F}"/>
            </a:ext>
          </a:extLst>
        </xdr:cNvPr>
        <xdr:cNvCxnSpPr/>
      </xdr:nvCxnSpPr>
      <xdr:spPr>
        <a:xfrm flipV="1">
          <a:off x="1907381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6</xdr:row>
      <xdr:rowOff>178594</xdr:rowOff>
    </xdr:from>
    <xdr:to>
      <xdr:col>1</xdr:col>
      <xdr:colOff>211931</xdr:colOff>
      <xdr:row>7</xdr:row>
      <xdr:rowOff>178593</xdr:rowOff>
    </xdr:to>
    <xdr:cxnSp macro="">
      <xdr:nvCxnSpPr>
        <xdr:cNvPr id="2512" name="Match25">
          <a:extLst>
            <a:ext uri="{FF2B5EF4-FFF2-40B4-BE49-F238E27FC236}">
              <a16:creationId xmlns:a16="http://schemas.microsoft.com/office/drawing/2014/main" id="{CAB99D92-9898-94B8-5A7E-9E4215DE7CF1}"/>
            </a:ext>
          </a:extLst>
        </xdr:cNvPr>
        <xdr:cNvCxnSpPr/>
      </xdr:nvCxnSpPr>
      <xdr:spPr>
        <a:xfrm>
          <a:off x="6357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6</xdr:row>
      <xdr:rowOff>203994</xdr:rowOff>
    </xdr:from>
    <xdr:to>
      <xdr:col>1</xdr:col>
      <xdr:colOff>237331</xdr:colOff>
      <xdr:row>6</xdr:row>
      <xdr:rowOff>203994</xdr:rowOff>
    </xdr:to>
    <xdr:cxnSp macro="">
      <xdr:nvCxnSpPr>
        <xdr:cNvPr id="2513" name="Match26">
          <a:extLst>
            <a:ext uri="{FF2B5EF4-FFF2-40B4-BE49-F238E27FC236}">
              <a16:creationId xmlns:a16="http://schemas.microsoft.com/office/drawing/2014/main" id="{2D16562F-28EA-5016-93C0-AC0FF3D68EE3}"/>
            </a:ext>
          </a:extLst>
        </xdr:cNvPr>
        <xdr:cNvCxnSpPr/>
      </xdr:nvCxnSpPr>
      <xdr:spPr>
        <a:xfrm flipH="1">
          <a:off x="237331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6</xdr:row>
      <xdr:rowOff>178594</xdr:rowOff>
    </xdr:from>
    <xdr:to>
      <xdr:col>7</xdr:col>
      <xdr:colOff>211931</xdr:colOff>
      <xdr:row>7</xdr:row>
      <xdr:rowOff>178593</xdr:rowOff>
    </xdr:to>
    <xdr:cxnSp macro="">
      <xdr:nvCxnSpPr>
        <xdr:cNvPr id="2514" name="Match27">
          <a:extLst>
            <a:ext uri="{FF2B5EF4-FFF2-40B4-BE49-F238E27FC236}">
              <a16:creationId xmlns:a16="http://schemas.microsoft.com/office/drawing/2014/main" id="{6A39AE79-EB44-EBDF-4A5D-FA41FB45BB31}"/>
            </a:ext>
          </a:extLst>
        </xdr:cNvPr>
        <xdr:cNvCxnSpPr/>
      </xdr:nvCxnSpPr>
      <xdr:spPr>
        <a:xfrm flipV="1">
          <a:off x="3178969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3</xdr:col>
      <xdr:colOff>211931</xdr:colOff>
      <xdr:row>8</xdr:row>
      <xdr:rowOff>178594</xdr:rowOff>
    </xdr:to>
    <xdr:cxnSp macro="">
      <xdr:nvCxnSpPr>
        <xdr:cNvPr id="2515" name="Match28">
          <a:extLst>
            <a:ext uri="{FF2B5EF4-FFF2-40B4-BE49-F238E27FC236}">
              <a16:creationId xmlns:a16="http://schemas.microsoft.com/office/drawing/2014/main" id="{300AFBDC-1529-A776-06D2-C381FD327B22}"/>
            </a:ext>
          </a:extLst>
        </xdr:cNvPr>
        <xdr:cNvCxnSpPr/>
      </xdr:nvCxnSpPr>
      <xdr:spPr>
        <a:xfrm>
          <a:off x="1059656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8</xdr:row>
      <xdr:rowOff>203994</xdr:rowOff>
    </xdr:from>
    <xdr:to>
      <xdr:col>2</xdr:col>
      <xdr:colOff>237331</xdr:colOff>
      <xdr:row>8</xdr:row>
      <xdr:rowOff>203994</xdr:rowOff>
    </xdr:to>
    <xdr:cxnSp macro="">
      <xdr:nvCxnSpPr>
        <xdr:cNvPr id="2516" name="Match29">
          <a:extLst>
            <a:ext uri="{FF2B5EF4-FFF2-40B4-BE49-F238E27FC236}">
              <a16:creationId xmlns:a16="http://schemas.microsoft.com/office/drawing/2014/main" id="{E7AE1FD5-A701-41AC-247E-055C8B2E754B}"/>
            </a:ext>
          </a:extLst>
        </xdr:cNvPr>
        <xdr:cNvCxnSpPr/>
      </xdr:nvCxnSpPr>
      <xdr:spPr>
        <a:xfrm flipH="1">
          <a:off x="661194" y="3061494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262731</xdr:colOff>
      <xdr:row>7</xdr:row>
      <xdr:rowOff>229393</xdr:rowOff>
    </xdr:from>
    <xdr:to>
      <xdr:col>2</xdr:col>
      <xdr:colOff>262731</xdr:colOff>
      <xdr:row>8</xdr:row>
      <xdr:rowOff>229394</xdr:rowOff>
    </xdr:to>
    <xdr:cxnSp macro="">
      <xdr:nvCxnSpPr>
        <xdr:cNvPr id="2517" name="Match30">
          <a:extLst>
            <a:ext uri="{FF2B5EF4-FFF2-40B4-BE49-F238E27FC236}">
              <a16:creationId xmlns:a16="http://schemas.microsoft.com/office/drawing/2014/main" id="{9F281E1E-6264-59BD-83F7-C227795E17B4}"/>
            </a:ext>
          </a:extLst>
        </xdr:cNvPr>
        <xdr:cNvCxnSpPr/>
      </xdr:nvCxnSpPr>
      <xdr:spPr>
        <a:xfrm flipH="1" flipV="1">
          <a:off x="686594" y="272970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2518" name="Match31">
          <a:extLst>
            <a:ext uri="{FF2B5EF4-FFF2-40B4-BE49-F238E27FC236}">
              <a16:creationId xmlns:a16="http://schemas.microsoft.com/office/drawing/2014/main" id="{0A6454E7-75EF-5D74-6ABD-5263DA23D07E}"/>
            </a:ext>
          </a:extLst>
        </xdr:cNvPr>
        <xdr:cNvCxnSpPr/>
      </xdr:nvCxnSpPr>
      <xdr:spPr>
        <a:xfrm flipV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9</xdr:row>
      <xdr:rowOff>178593</xdr:rowOff>
    </xdr:from>
    <xdr:to>
      <xdr:col>6</xdr:col>
      <xdr:colOff>211931</xdr:colOff>
      <xdr:row>10</xdr:row>
      <xdr:rowOff>178594</xdr:rowOff>
    </xdr:to>
    <xdr:cxnSp macro="">
      <xdr:nvCxnSpPr>
        <xdr:cNvPr id="2519" name="Match32">
          <a:extLst>
            <a:ext uri="{FF2B5EF4-FFF2-40B4-BE49-F238E27FC236}">
              <a16:creationId xmlns:a16="http://schemas.microsoft.com/office/drawing/2014/main" id="{04D98ADB-D867-1944-C614-CFE43D1E0146}"/>
            </a:ext>
          </a:extLst>
        </xdr:cNvPr>
        <xdr:cNvCxnSpPr/>
      </xdr:nvCxnSpPr>
      <xdr:spPr>
        <a:xfrm flipH="1" flipV="1">
          <a:off x="233124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9</xdr:row>
      <xdr:rowOff>203993</xdr:rowOff>
    </xdr:from>
    <xdr:to>
      <xdr:col>6</xdr:col>
      <xdr:colOff>237331</xdr:colOff>
      <xdr:row>10</xdr:row>
      <xdr:rowOff>203994</xdr:rowOff>
    </xdr:to>
    <xdr:cxnSp macro="">
      <xdr:nvCxnSpPr>
        <xdr:cNvPr id="2520" name="Match33">
          <a:extLst>
            <a:ext uri="{FF2B5EF4-FFF2-40B4-BE49-F238E27FC236}">
              <a16:creationId xmlns:a16="http://schemas.microsoft.com/office/drawing/2014/main" id="{C8D5BF89-CED3-7841-805D-8221C6FCFB33}"/>
            </a:ext>
          </a:extLst>
        </xdr:cNvPr>
        <xdr:cNvCxnSpPr/>
      </xdr:nvCxnSpPr>
      <xdr:spPr>
        <a:xfrm flipV="1">
          <a:off x="2780506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2521" name="Match34">
          <a:extLst>
            <a:ext uri="{FF2B5EF4-FFF2-40B4-BE49-F238E27FC236}">
              <a16:creationId xmlns:a16="http://schemas.microsoft.com/office/drawing/2014/main" id="{F50BDA49-05CD-4BC4-8E3C-D18CD152D906}"/>
            </a:ext>
          </a:extLst>
        </xdr:cNvPr>
        <xdr:cNvCxnSpPr/>
      </xdr:nvCxnSpPr>
      <xdr:spPr>
        <a:xfrm flipV="1"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2</xdr:row>
      <xdr:rowOff>178594</xdr:rowOff>
    </xdr:to>
    <xdr:cxnSp macro="">
      <xdr:nvCxnSpPr>
        <xdr:cNvPr id="2522" name="Match35">
          <a:extLst>
            <a:ext uri="{FF2B5EF4-FFF2-40B4-BE49-F238E27FC236}">
              <a16:creationId xmlns:a16="http://schemas.microsoft.com/office/drawing/2014/main" id="{A4F94E65-58F0-BA2C-25DC-A307CAB0F86E}"/>
            </a:ext>
          </a:extLst>
        </xdr:cNvPr>
        <xdr:cNvCxnSpPr/>
      </xdr:nvCxnSpPr>
      <xdr:spPr>
        <a:xfrm>
          <a:off x="44505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2</xdr:row>
      <xdr:rowOff>178594</xdr:rowOff>
    </xdr:from>
    <xdr:to>
      <xdr:col>6</xdr:col>
      <xdr:colOff>211931</xdr:colOff>
      <xdr:row>2</xdr:row>
      <xdr:rowOff>178594</xdr:rowOff>
    </xdr:to>
    <xdr:cxnSp macro="">
      <xdr:nvCxnSpPr>
        <xdr:cNvPr id="2523" name="Match36">
          <a:extLst>
            <a:ext uri="{FF2B5EF4-FFF2-40B4-BE49-F238E27FC236}">
              <a16:creationId xmlns:a16="http://schemas.microsoft.com/office/drawing/2014/main" id="{6E905C81-76BE-2C97-27E5-4379AD9D7F8C}"/>
            </a:ext>
          </a:extLst>
        </xdr:cNvPr>
        <xdr:cNvCxnSpPr/>
      </xdr:nvCxnSpPr>
      <xdr:spPr>
        <a:xfrm>
          <a:off x="233124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2</xdr:row>
      <xdr:rowOff>203994</xdr:rowOff>
    </xdr:from>
    <xdr:to>
      <xdr:col>5</xdr:col>
      <xdr:colOff>237331</xdr:colOff>
      <xdr:row>2</xdr:row>
      <xdr:rowOff>203994</xdr:rowOff>
    </xdr:to>
    <xdr:cxnSp macro="">
      <xdr:nvCxnSpPr>
        <xdr:cNvPr id="2524" name="Match37">
          <a:extLst>
            <a:ext uri="{FF2B5EF4-FFF2-40B4-BE49-F238E27FC236}">
              <a16:creationId xmlns:a16="http://schemas.microsoft.com/office/drawing/2014/main" id="{778A689A-32E7-CF77-BAC0-AB83FF2AD5EF}"/>
            </a:ext>
          </a:extLst>
        </xdr:cNvPr>
        <xdr:cNvCxnSpPr/>
      </xdr:nvCxnSpPr>
      <xdr:spPr>
        <a:xfrm flipH="1">
          <a:off x="1932781" y="9183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1</xdr:row>
      <xdr:rowOff>229393</xdr:rowOff>
    </xdr:from>
    <xdr:to>
      <xdr:col>6</xdr:col>
      <xdr:colOff>262731</xdr:colOff>
      <xdr:row>2</xdr:row>
      <xdr:rowOff>229394</xdr:rowOff>
    </xdr:to>
    <xdr:cxnSp macro="">
      <xdr:nvCxnSpPr>
        <xdr:cNvPr id="2525" name="Match38">
          <a:extLst>
            <a:ext uri="{FF2B5EF4-FFF2-40B4-BE49-F238E27FC236}">
              <a16:creationId xmlns:a16="http://schemas.microsoft.com/office/drawing/2014/main" id="{7305BA3A-61EB-978D-89FA-3689E3796DB9}"/>
            </a:ext>
          </a:extLst>
        </xdr:cNvPr>
        <xdr:cNvCxnSpPr/>
      </xdr:nvCxnSpPr>
      <xdr:spPr>
        <a:xfrm flipV="1">
          <a:off x="2382044" y="5865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7</xdr:col>
      <xdr:colOff>211931</xdr:colOff>
      <xdr:row>3</xdr:row>
      <xdr:rowOff>178593</xdr:rowOff>
    </xdr:to>
    <xdr:cxnSp macro="">
      <xdr:nvCxnSpPr>
        <xdr:cNvPr id="2526" name="Match39">
          <a:extLst>
            <a:ext uri="{FF2B5EF4-FFF2-40B4-BE49-F238E27FC236}">
              <a16:creationId xmlns:a16="http://schemas.microsoft.com/office/drawing/2014/main" id="{116245DF-EF4E-998F-5B33-96E826CB8158}"/>
            </a:ext>
          </a:extLst>
        </xdr:cNvPr>
        <xdr:cNvCxnSpPr/>
      </xdr:nvCxnSpPr>
      <xdr:spPr>
        <a:xfrm flipH="1" flipV="1">
          <a:off x="2755106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4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2527" name="Match40">
          <a:extLst>
            <a:ext uri="{FF2B5EF4-FFF2-40B4-BE49-F238E27FC236}">
              <a16:creationId xmlns:a16="http://schemas.microsoft.com/office/drawing/2014/main" id="{459414D0-3B90-FA4F-0DF8-775F25C82267}"/>
            </a:ext>
          </a:extLst>
        </xdr:cNvPr>
        <xdr:cNvCxnSpPr/>
      </xdr:nvCxnSpPr>
      <xdr:spPr>
        <a:xfrm>
          <a:off x="4874419" y="160734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8</xdr:col>
      <xdr:colOff>211931</xdr:colOff>
      <xdr:row>6</xdr:row>
      <xdr:rowOff>178594</xdr:rowOff>
    </xdr:to>
    <xdr:cxnSp macro="">
      <xdr:nvCxnSpPr>
        <xdr:cNvPr id="2528" name="Match41">
          <a:extLst>
            <a:ext uri="{FF2B5EF4-FFF2-40B4-BE49-F238E27FC236}">
              <a16:creationId xmlns:a16="http://schemas.microsoft.com/office/drawing/2014/main" id="{C58B2D2E-271F-2E8A-0603-EC570244CF42}"/>
            </a:ext>
          </a:extLst>
        </xdr:cNvPr>
        <xdr:cNvCxnSpPr/>
      </xdr:nvCxnSpPr>
      <xdr:spPr>
        <a:xfrm>
          <a:off x="360283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5</xdr:row>
      <xdr:rowOff>178593</xdr:rowOff>
    </xdr:from>
    <xdr:to>
      <xdr:col>11</xdr:col>
      <xdr:colOff>211931</xdr:colOff>
      <xdr:row>6</xdr:row>
      <xdr:rowOff>178594</xdr:rowOff>
    </xdr:to>
    <xdr:cxnSp macro="">
      <xdr:nvCxnSpPr>
        <xdr:cNvPr id="2529" name="Match42">
          <a:extLst>
            <a:ext uri="{FF2B5EF4-FFF2-40B4-BE49-F238E27FC236}">
              <a16:creationId xmlns:a16="http://schemas.microsoft.com/office/drawing/2014/main" id="{A460CCD9-6532-053F-B390-66314651BF38}"/>
            </a:ext>
          </a:extLst>
        </xdr:cNvPr>
        <xdr:cNvCxnSpPr/>
      </xdr:nvCxnSpPr>
      <xdr:spPr>
        <a:xfrm flipV="1">
          <a:off x="4450556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8</xdr:col>
      <xdr:colOff>211931</xdr:colOff>
      <xdr:row>8</xdr:row>
      <xdr:rowOff>178594</xdr:rowOff>
    </xdr:to>
    <xdr:cxnSp macro="">
      <xdr:nvCxnSpPr>
        <xdr:cNvPr id="2530" name="Match43">
          <a:extLst>
            <a:ext uri="{FF2B5EF4-FFF2-40B4-BE49-F238E27FC236}">
              <a16:creationId xmlns:a16="http://schemas.microsoft.com/office/drawing/2014/main" id="{637AE66C-AF2F-4473-7B61-F357BB16DABC}"/>
            </a:ext>
          </a:extLst>
        </xdr:cNvPr>
        <xdr:cNvCxnSpPr/>
      </xdr:nvCxnSpPr>
      <xdr:spPr>
        <a:xfrm flipV="1">
          <a:off x="360283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288131</xdr:colOff>
      <xdr:row>1</xdr:row>
      <xdr:rowOff>254793</xdr:rowOff>
    </xdr:from>
    <xdr:to>
      <xdr:col>5</xdr:col>
      <xdr:colOff>288131</xdr:colOff>
      <xdr:row>2</xdr:row>
      <xdr:rowOff>254794</xdr:rowOff>
    </xdr:to>
    <xdr:cxnSp macro="">
      <xdr:nvCxnSpPr>
        <xdr:cNvPr id="2531" name="Match44">
          <a:extLst>
            <a:ext uri="{FF2B5EF4-FFF2-40B4-BE49-F238E27FC236}">
              <a16:creationId xmlns:a16="http://schemas.microsoft.com/office/drawing/2014/main" id="{98828DC4-F872-998C-562F-2897E8406402}"/>
            </a:ext>
          </a:extLst>
        </xdr:cNvPr>
        <xdr:cNvCxnSpPr/>
      </xdr:nvCxnSpPr>
      <xdr:spPr>
        <a:xfrm flipH="1" flipV="1">
          <a:off x="1983581" y="611981"/>
          <a:ext cx="423863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3</xdr:row>
      <xdr:rowOff>203993</xdr:rowOff>
    </xdr:from>
    <xdr:to>
      <xdr:col>11</xdr:col>
      <xdr:colOff>237331</xdr:colOff>
      <xdr:row>4</xdr:row>
      <xdr:rowOff>203994</xdr:rowOff>
    </xdr:to>
    <xdr:cxnSp macro="">
      <xdr:nvCxnSpPr>
        <xdr:cNvPr id="2532" name="Match45">
          <a:extLst>
            <a:ext uri="{FF2B5EF4-FFF2-40B4-BE49-F238E27FC236}">
              <a16:creationId xmlns:a16="http://schemas.microsoft.com/office/drawing/2014/main" id="{00C80F82-834A-7FE6-E7A1-36179B6A0E30}"/>
            </a:ext>
          </a:extLst>
        </xdr:cNvPr>
        <xdr:cNvCxnSpPr/>
      </xdr:nvCxnSpPr>
      <xdr:spPr>
        <a:xfrm flipH="1" flipV="1">
          <a:off x="4475956" y="127555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10</xdr:col>
      <xdr:colOff>237331</xdr:colOff>
      <xdr:row>7</xdr:row>
      <xdr:rowOff>203993</xdr:rowOff>
    </xdr:to>
    <xdr:cxnSp macro="">
      <xdr:nvCxnSpPr>
        <xdr:cNvPr id="2533" name="Match46">
          <a:extLst>
            <a:ext uri="{FF2B5EF4-FFF2-40B4-BE49-F238E27FC236}">
              <a16:creationId xmlns:a16="http://schemas.microsoft.com/office/drawing/2014/main" id="{5FD9157C-C3F3-D861-9E6A-89C4E49AFF17}"/>
            </a:ext>
          </a:extLst>
        </xdr:cNvPr>
        <xdr:cNvCxnSpPr/>
      </xdr:nvCxnSpPr>
      <xdr:spPr>
        <a:xfrm flipH="1">
          <a:off x="40520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7</xdr:row>
      <xdr:rowOff>203993</xdr:rowOff>
    </xdr:from>
    <xdr:to>
      <xdr:col>9</xdr:col>
      <xdr:colOff>237331</xdr:colOff>
      <xdr:row>8</xdr:row>
      <xdr:rowOff>203994</xdr:rowOff>
    </xdr:to>
    <xdr:cxnSp macro="">
      <xdr:nvCxnSpPr>
        <xdr:cNvPr id="2534" name="Match47">
          <a:extLst>
            <a:ext uri="{FF2B5EF4-FFF2-40B4-BE49-F238E27FC236}">
              <a16:creationId xmlns:a16="http://schemas.microsoft.com/office/drawing/2014/main" id="{3CA22091-21C7-FE87-D2A7-CB552B576AA2}"/>
            </a:ext>
          </a:extLst>
        </xdr:cNvPr>
        <xdr:cNvCxnSpPr/>
      </xdr:nvCxnSpPr>
      <xdr:spPr>
        <a:xfrm flipV="1">
          <a:off x="3628231" y="2704306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8</xdr:row>
      <xdr:rowOff>203994</xdr:rowOff>
    </xdr:from>
    <xdr:to>
      <xdr:col>7</xdr:col>
      <xdr:colOff>237331</xdr:colOff>
      <xdr:row>9</xdr:row>
      <xdr:rowOff>203993</xdr:rowOff>
    </xdr:to>
    <xdr:cxnSp macro="">
      <xdr:nvCxnSpPr>
        <xdr:cNvPr id="2535" name="Match48">
          <a:extLst>
            <a:ext uri="{FF2B5EF4-FFF2-40B4-BE49-F238E27FC236}">
              <a16:creationId xmlns:a16="http://schemas.microsoft.com/office/drawing/2014/main" id="{A3502B4D-1A63-1176-3D5C-017F599F4B53}"/>
            </a:ext>
          </a:extLst>
        </xdr:cNvPr>
        <xdr:cNvCxnSpPr/>
      </xdr:nvCxnSpPr>
      <xdr:spPr>
        <a:xfrm flipH="1" flipV="1">
          <a:off x="2780506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10</xdr:row>
      <xdr:rowOff>178594</xdr:rowOff>
    </xdr:from>
    <xdr:to>
      <xdr:col>1</xdr:col>
      <xdr:colOff>211931</xdr:colOff>
      <xdr:row>11</xdr:row>
      <xdr:rowOff>178593</xdr:rowOff>
    </xdr:to>
    <xdr:cxnSp macro="">
      <xdr:nvCxnSpPr>
        <xdr:cNvPr id="2536" name="Match49">
          <a:extLst>
            <a:ext uri="{FF2B5EF4-FFF2-40B4-BE49-F238E27FC236}">
              <a16:creationId xmlns:a16="http://schemas.microsoft.com/office/drawing/2014/main" id="{8020CC2F-A77B-5A63-84B7-80F2D23EE558}"/>
            </a:ext>
          </a:extLst>
        </xdr:cNvPr>
        <xdr:cNvCxnSpPr/>
      </xdr:nvCxnSpPr>
      <xdr:spPr>
        <a:xfrm>
          <a:off x="211931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10</xdr:row>
      <xdr:rowOff>203994</xdr:rowOff>
    </xdr:from>
    <xdr:to>
      <xdr:col>0</xdr:col>
      <xdr:colOff>237331</xdr:colOff>
      <xdr:row>11</xdr:row>
      <xdr:rowOff>203993</xdr:rowOff>
    </xdr:to>
    <xdr:cxnSp macro="">
      <xdr:nvCxnSpPr>
        <xdr:cNvPr id="2537" name="Match50">
          <a:extLst>
            <a:ext uri="{FF2B5EF4-FFF2-40B4-BE49-F238E27FC236}">
              <a16:creationId xmlns:a16="http://schemas.microsoft.com/office/drawing/2014/main" id="{A654FA46-7F35-CA36-D207-2317D02C5915}"/>
            </a:ext>
          </a:extLst>
        </xdr:cNvPr>
        <xdr:cNvCxnSpPr/>
      </xdr:nvCxnSpPr>
      <xdr:spPr>
        <a:xfrm>
          <a:off x="237331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2538" name="Match51">
          <a:extLst>
            <a:ext uri="{FF2B5EF4-FFF2-40B4-BE49-F238E27FC236}">
              <a16:creationId xmlns:a16="http://schemas.microsoft.com/office/drawing/2014/main" id="{54F0E877-E059-D98F-B18B-854075386F20}"/>
            </a:ext>
          </a:extLst>
        </xdr:cNvPr>
        <xdr:cNvCxnSpPr/>
      </xdr:nvCxnSpPr>
      <xdr:spPr>
        <a:xfrm>
          <a:off x="2331244" y="3750469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8</xdr:row>
      <xdr:rowOff>178594</xdr:rowOff>
    </xdr:from>
    <xdr:to>
      <xdr:col>7</xdr:col>
      <xdr:colOff>211931</xdr:colOff>
      <xdr:row>8</xdr:row>
      <xdr:rowOff>178594</xdr:rowOff>
    </xdr:to>
    <xdr:cxnSp macro="">
      <xdr:nvCxnSpPr>
        <xdr:cNvPr id="2539" name="Match52">
          <a:extLst>
            <a:ext uri="{FF2B5EF4-FFF2-40B4-BE49-F238E27FC236}">
              <a16:creationId xmlns:a16="http://schemas.microsoft.com/office/drawing/2014/main" id="{C3F76C55-0629-7C3D-6A70-35401F23EF04}"/>
            </a:ext>
          </a:extLst>
        </xdr:cNvPr>
        <xdr:cNvCxnSpPr/>
      </xdr:nvCxnSpPr>
      <xdr:spPr>
        <a:xfrm>
          <a:off x="1483519" y="30360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7</xdr:col>
      <xdr:colOff>211931</xdr:colOff>
      <xdr:row>0</xdr:row>
      <xdr:rowOff>178594</xdr:rowOff>
    </xdr:to>
    <xdr:cxnSp macro="">
      <xdr:nvCxnSpPr>
        <xdr:cNvPr id="2540" name="Match53">
          <a:extLst>
            <a:ext uri="{FF2B5EF4-FFF2-40B4-BE49-F238E27FC236}">
              <a16:creationId xmlns:a16="http://schemas.microsoft.com/office/drawing/2014/main" id="{E45BBF85-1022-B66A-BC93-EF7E8B2C6ADB}"/>
            </a:ext>
          </a:extLst>
        </xdr:cNvPr>
        <xdr:cNvCxnSpPr/>
      </xdr:nvCxnSpPr>
      <xdr:spPr>
        <a:xfrm>
          <a:off x="635794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7" name="Chart 3">
          <a:extLst>
            <a:ext uri="{FF2B5EF4-FFF2-40B4-BE49-F238E27FC236}">
              <a16:creationId xmlns:a16="http://schemas.microsoft.com/office/drawing/2014/main" id="{F6EFE36C-53A2-B12F-83AE-54727C14C2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H1" sqref="H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7">
        <v>1</v>
      </c>
      <c r="B1" s="22">
        <v>8</v>
      </c>
      <c r="C1" s="22">
        <v>3</v>
      </c>
      <c r="D1" s="22">
        <v>7</v>
      </c>
      <c r="E1" s="22">
        <v>1</v>
      </c>
      <c r="F1" s="22">
        <v>8</v>
      </c>
      <c r="G1" s="22">
        <v>5</v>
      </c>
      <c r="H1" s="22">
        <v>3</v>
      </c>
      <c r="I1" s="23">
        <v>4</v>
      </c>
      <c r="J1" s="27">
        <v>8</v>
      </c>
      <c r="K1" s="27">
        <v>8</v>
      </c>
      <c r="L1" s="27">
        <v>6</v>
      </c>
      <c r="N1" s="2">
        <v>262</v>
      </c>
      <c r="O1" s="1">
        <v>2</v>
      </c>
    </row>
    <row r="2" spans="1:15" s="2" customFormat="1" ht="28.25" customHeight="1">
      <c r="A2" s="27">
        <v>6</v>
      </c>
      <c r="B2" s="27">
        <v>8</v>
      </c>
      <c r="C2" s="22">
        <v>2</v>
      </c>
      <c r="D2" s="22">
        <v>4</v>
      </c>
      <c r="E2" s="22">
        <v>5</v>
      </c>
      <c r="F2" s="22">
        <v>9</v>
      </c>
      <c r="G2" s="22">
        <v>3</v>
      </c>
      <c r="H2" s="22">
        <v>6</v>
      </c>
      <c r="I2" s="23">
        <v>1</v>
      </c>
      <c r="J2" s="27">
        <v>8</v>
      </c>
      <c r="K2" s="23">
        <v>2</v>
      </c>
      <c r="L2" s="27">
        <v>4</v>
      </c>
      <c r="N2" s="2">
        <v>418</v>
      </c>
      <c r="O2" s="2">
        <v>2</v>
      </c>
    </row>
    <row r="3" spans="1:15" ht="28.25" customHeight="1">
      <c r="A3" s="23">
        <v>9</v>
      </c>
      <c r="B3" s="23">
        <v>7</v>
      </c>
      <c r="C3" s="27">
        <v>7</v>
      </c>
      <c r="D3" s="27">
        <v>8</v>
      </c>
      <c r="E3" s="23">
        <v>3</v>
      </c>
      <c r="F3" s="23">
        <v>2</v>
      </c>
      <c r="G3" s="23">
        <v>3</v>
      </c>
      <c r="H3" s="23">
        <v>8</v>
      </c>
      <c r="I3" s="23">
        <v>8</v>
      </c>
      <c r="J3" s="27">
        <v>4</v>
      </c>
      <c r="K3" s="27">
        <v>6</v>
      </c>
      <c r="L3" s="23">
        <v>3</v>
      </c>
      <c r="N3" s="2">
        <v>48274</v>
      </c>
      <c r="O3" s="1">
        <v>1</v>
      </c>
    </row>
    <row r="4" spans="1:15" ht="28.25" customHeight="1">
      <c r="A4" s="27">
        <v>8</v>
      </c>
      <c r="B4" s="23">
        <v>3</v>
      </c>
      <c r="C4" s="22">
        <v>3</v>
      </c>
      <c r="D4" s="27">
        <v>6</v>
      </c>
      <c r="E4" s="27">
        <v>8</v>
      </c>
      <c r="F4" s="23">
        <v>9</v>
      </c>
      <c r="G4" s="23">
        <v>9</v>
      </c>
      <c r="H4" s="23">
        <v>2</v>
      </c>
      <c r="I4" s="27">
        <v>6</v>
      </c>
      <c r="J4" s="27">
        <v>9</v>
      </c>
      <c r="K4" s="23">
        <v>5</v>
      </c>
      <c r="L4" s="27">
        <v>9</v>
      </c>
      <c r="N4" s="2">
        <v>13</v>
      </c>
      <c r="O4" s="1">
        <v>11</v>
      </c>
    </row>
    <row r="5" spans="1:15" ht="28.25" customHeight="1">
      <c r="A5" s="27">
        <v>4</v>
      </c>
      <c r="B5" s="27">
        <v>9</v>
      </c>
      <c r="C5" s="22">
        <v>6</v>
      </c>
      <c r="D5" s="27">
        <v>4</v>
      </c>
      <c r="E5" s="23">
        <v>7</v>
      </c>
      <c r="F5" s="23">
        <v>5</v>
      </c>
      <c r="G5" s="27">
        <v>6</v>
      </c>
      <c r="H5" s="27">
        <v>8</v>
      </c>
      <c r="I5" s="27">
        <v>1</v>
      </c>
      <c r="J5" s="27">
        <v>1</v>
      </c>
      <c r="K5" s="22">
        <v>4</v>
      </c>
      <c r="L5" s="23">
        <v>2</v>
      </c>
      <c r="N5" s="2">
        <v>639542</v>
      </c>
      <c r="O5" s="1">
        <v>1</v>
      </c>
    </row>
    <row r="6" spans="1:15" ht="28.25" customHeight="1">
      <c r="A6" s="27">
        <v>5</v>
      </c>
      <c r="B6" s="27">
        <v>8</v>
      </c>
      <c r="C6" s="22">
        <v>6</v>
      </c>
      <c r="D6" s="23">
        <v>6</v>
      </c>
      <c r="E6" s="23">
        <v>5</v>
      </c>
      <c r="F6" s="27">
        <v>7</v>
      </c>
      <c r="G6" s="22">
        <v>8</v>
      </c>
      <c r="H6" s="23">
        <v>1</v>
      </c>
      <c r="I6" s="23">
        <v>2</v>
      </c>
      <c r="J6" s="22">
        <v>1</v>
      </c>
      <c r="K6" s="22">
        <v>8</v>
      </c>
      <c r="L6" s="23">
        <v>3</v>
      </c>
      <c r="N6" s="2">
        <v>4663</v>
      </c>
      <c r="O6" s="1">
        <v>2</v>
      </c>
    </row>
    <row r="7" spans="1:15" ht="28.25" customHeight="1">
      <c r="A7" s="23">
        <v>9</v>
      </c>
      <c r="B7" s="23">
        <v>7</v>
      </c>
      <c r="C7" s="22">
        <v>4</v>
      </c>
      <c r="D7" s="27">
        <v>9</v>
      </c>
      <c r="E7" s="23">
        <v>4</v>
      </c>
      <c r="F7" s="27">
        <v>4</v>
      </c>
      <c r="G7" s="22">
        <v>1</v>
      </c>
      <c r="H7" s="23">
        <v>9</v>
      </c>
      <c r="I7" s="22">
        <v>3</v>
      </c>
      <c r="J7" s="22">
        <v>1</v>
      </c>
      <c r="K7" s="22">
        <v>2</v>
      </c>
      <c r="L7" s="27">
        <v>4</v>
      </c>
      <c r="N7" s="2">
        <v>115</v>
      </c>
      <c r="O7" s="1">
        <v>1</v>
      </c>
    </row>
    <row r="8" spans="1:15" ht="28.25" customHeight="1">
      <c r="A8" s="27">
        <v>5</v>
      </c>
      <c r="B8" s="23">
        <v>9</v>
      </c>
      <c r="C8" s="22">
        <v>6</v>
      </c>
      <c r="D8" s="23">
        <v>1</v>
      </c>
      <c r="E8" s="27">
        <v>4</v>
      </c>
      <c r="F8" s="23">
        <v>3</v>
      </c>
      <c r="G8" s="22">
        <v>4</v>
      </c>
      <c r="H8" s="23">
        <v>7</v>
      </c>
      <c r="I8" s="22">
        <v>3</v>
      </c>
      <c r="J8" s="22">
        <v>5</v>
      </c>
      <c r="K8" s="22">
        <v>7</v>
      </c>
      <c r="L8" s="27">
        <v>6</v>
      </c>
      <c r="N8" s="2">
        <v>8955</v>
      </c>
      <c r="O8" s="1">
        <v>2</v>
      </c>
    </row>
    <row r="9" spans="1:15" ht="28.25" customHeight="1">
      <c r="A9" s="23">
        <v>3</v>
      </c>
      <c r="B9" s="23">
        <v>9</v>
      </c>
      <c r="C9" s="22">
        <v>7</v>
      </c>
      <c r="D9" s="22">
        <v>9</v>
      </c>
      <c r="E9" s="22">
        <v>3</v>
      </c>
      <c r="F9" s="22">
        <v>9</v>
      </c>
      <c r="G9" s="22">
        <v>5</v>
      </c>
      <c r="H9" s="22">
        <v>6</v>
      </c>
      <c r="I9" s="22">
        <v>2</v>
      </c>
      <c r="J9" s="23">
        <v>1</v>
      </c>
      <c r="K9" s="22">
        <v>4</v>
      </c>
      <c r="L9" s="27">
        <v>8</v>
      </c>
      <c r="N9" s="2">
        <v>99876</v>
      </c>
      <c r="O9" s="1">
        <v>1</v>
      </c>
    </row>
    <row r="10" spans="1:15" ht="28.25" customHeight="1">
      <c r="A10" s="23">
        <v>1</v>
      </c>
      <c r="B10" s="27">
        <v>4</v>
      </c>
      <c r="C10" s="22">
        <v>8</v>
      </c>
      <c r="D10" s="27">
        <v>8</v>
      </c>
      <c r="E10" s="27">
        <v>5</v>
      </c>
      <c r="F10" s="22">
        <v>9</v>
      </c>
      <c r="G10" s="23">
        <v>9</v>
      </c>
      <c r="H10" s="22">
        <v>2</v>
      </c>
      <c r="I10" s="22">
        <v>6</v>
      </c>
      <c r="J10" s="22">
        <v>2</v>
      </c>
      <c r="K10" s="27">
        <v>6</v>
      </c>
      <c r="L10" s="27">
        <v>6</v>
      </c>
      <c r="N10" s="2">
        <v>79</v>
      </c>
      <c r="O10" s="1">
        <v>11</v>
      </c>
    </row>
    <row r="11" spans="1:15" ht="28.25" customHeight="1">
      <c r="A11" s="23">
        <v>2</v>
      </c>
      <c r="B11" s="27">
        <v>9</v>
      </c>
      <c r="C11" s="22">
        <v>9</v>
      </c>
      <c r="D11" s="23">
        <v>1</v>
      </c>
      <c r="E11" s="22">
        <v>7</v>
      </c>
      <c r="F11" s="22">
        <v>6</v>
      </c>
      <c r="G11" s="22">
        <v>7</v>
      </c>
      <c r="H11" s="22">
        <v>6</v>
      </c>
      <c r="I11" s="22">
        <v>8</v>
      </c>
      <c r="J11" s="22">
        <v>2</v>
      </c>
      <c r="K11" s="22">
        <v>2</v>
      </c>
      <c r="L11" s="22">
        <v>1</v>
      </c>
      <c r="N11" s="2">
        <v>23</v>
      </c>
      <c r="O11" s="1">
        <v>10</v>
      </c>
    </row>
    <row r="12" spans="1:15" ht="28.25" customHeight="1">
      <c r="A12" s="22">
        <v>5</v>
      </c>
      <c r="B12" s="22">
        <v>5</v>
      </c>
      <c r="C12" s="22">
        <v>9</v>
      </c>
      <c r="D12" s="22">
        <v>8</v>
      </c>
      <c r="E12" s="23">
        <v>3</v>
      </c>
      <c r="F12" s="23">
        <v>1</v>
      </c>
      <c r="G12" s="27">
        <v>8</v>
      </c>
      <c r="H12" s="27">
        <v>4</v>
      </c>
      <c r="I12" s="27">
        <v>8</v>
      </c>
      <c r="J12" s="27">
        <v>6</v>
      </c>
      <c r="K12" s="27">
        <v>7</v>
      </c>
      <c r="L12" s="27">
        <v>8</v>
      </c>
      <c r="N12" s="2">
        <v>25</v>
      </c>
      <c r="O12" s="1">
        <v>7</v>
      </c>
    </row>
    <row r="13" spans="1:15" ht="28.25" customHeight="1">
      <c r="N13" s="2">
        <v>6768221</v>
      </c>
      <c r="O13" s="1">
        <v>1</v>
      </c>
    </row>
    <row r="14" spans="1:15" ht="28.25" customHeight="1">
      <c r="N14" s="2">
        <v>93956</v>
      </c>
      <c r="O14" s="1">
        <v>1</v>
      </c>
    </row>
    <row r="15" spans="1:15" ht="28.25" customHeight="1">
      <c r="N15" s="2">
        <v>8371853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40"/>
  <sheetViews>
    <sheetView tabSelected="1" zoomScaleNormal="100" workbookViewId="0">
      <pane ySplit="2" topLeftCell="A334" activePane="bottomLeft" state="frozen"/>
      <selection pane="bottomLeft" activeCell="A340" sqref="A340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  <row r="334" spans="1:17">
      <c r="A334" s="3">
        <v>46082.948981481481</v>
      </c>
      <c r="B334">
        <v>60</v>
      </c>
      <c r="C334">
        <v>8</v>
      </c>
      <c r="D334">
        <v>0</v>
      </c>
      <c r="E334">
        <v>0</v>
      </c>
      <c r="F334">
        <v>0</v>
      </c>
      <c r="G334" s="5">
        <v>5.0694444435066544E-3</v>
      </c>
      <c r="H334" t="s">
        <v>722</v>
      </c>
      <c r="I334" t="s">
        <v>723</v>
      </c>
      <c r="J334">
        <v>0</v>
      </c>
      <c r="K334">
        <f t="shared" ref="K334" si="951">IF(A334&lt;DATEVALUE("2025/11/20")+TIMEVALUE("6:00"),1,IF(OR(B334&lt;&gt;60,SUM(D334:F334)&lt;&gt;0,G334&gt;=IF(A334&lt;DATEVALUE("2025/12/28")+TIMEVALUE("6:00"),20,18)/24/60),0,2-INT(G334*24*60/10)))</f>
        <v>2</v>
      </c>
      <c r="L334">
        <f t="shared" ref="L334" si="952">L333+K334</f>
        <v>415</v>
      </c>
      <c r="M334">
        <f t="shared" ref="M334" si="953">2+IF(A334&gt;=DATEVALUE("2025/11/30")+TIMEVALUE("6:00"),1,0)+IF(A334&gt;=DATEVALUE("2025/12/11")+TIMEVALUE("6:00"),1,0)</f>
        <v>4</v>
      </c>
      <c r="N334">
        <f t="shared" ref="N334" si="954">N333+M334*(INT(A334-6/24)-INT(A333-6/24))+O334</f>
        <v>416</v>
      </c>
      <c r="O334">
        <f t="shared" ref="O334" si="955">IF(A334&gt;=DATEVALUE("2025/11/8")+TIMEVALUE("6:00"),1,0)-IF(A333&gt;=DATEVALUE("2025/11/8")+TIMEVALUE("6:00"),1,0)
+IF(A334&gt;=DATEVALUE("2026/1/22")+TIMEVALUE("6:00"),3,0)-IF(A333&gt;=DATEVALUE("2026/1/22")+TIMEVALUE("6:00"),3,0)
+IF(A334&gt;=DATEVALUE("2026/2/21")+TIMEVALUE("6:00"),1,0)-IF(A333&gt;=DATEVALUE("2026/2/21")+TIMEVALUE("6:00"),1,0)</f>
        <v>0</v>
      </c>
      <c r="P334" t="str">
        <f t="shared" ref="P334" si="956">IF(L334&lt;N334,"未達成（"&amp;N334-L334&amp;"）",IF(L334=N334,"達成","前倒し（"&amp;L334-N334&amp;"）"))</f>
        <v>未達成（1）</v>
      </c>
      <c r="Q334">
        <f t="shared" ref="Q334" si="957">IF(B334="",NA(),G334)</f>
        <v>5.0694444435066544E-3</v>
      </c>
    </row>
    <row r="335" spans="1:17">
      <c r="A335" s="3">
        <v>46082.958090277774</v>
      </c>
      <c r="B335">
        <v>60</v>
      </c>
      <c r="C335">
        <v>2</v>
      </c>
      <c r="D335">
        <v>0</v>
      </c>
      <c r="E335">
        <v>0</v>
      </c>
      <c r="F335">
        <v>0</v>
      </c>
      <c r="G335" s="5">
        <v>8.6689814779674634E-3</v>
      </c>
      <c r="H335" t="s">
        <v>724</v>
      </c>
      <c r="I335" t="s">
        <v>725</v>
      </c>
      <c r="J335">
        <v>0</v>
      </c>
      <c r="K335">
        <f t="shared" ref="K335" si="958">IF(A335&lt;DATEVALUE("2025/11/20")+TIMEVALUE("6:00"),1,IF(OR(B335&lt;&gt;60,SUM(D335:F335)&lt;&gt;0,G335&gt;=IF(A335&lt;DATEVALUE("2025/12/28")+TIMEVALUE("6:00"),20,18)/24/60),0,2-INT(G335*24*60/10)))</f>
        <v>1</v>
      </c>
      <c r="L335">
        <f t="shared" ref="L335" si="959">L334+K335</f>
        <v>416</v>
      </c>
      <c r="M335">
        <f t="shared" ref="M335" si="960">2+IF(A335&gt;=DATEVALUE("2025/11/30")+TIMEVALUE("6:00"),1,0)+IF(A335&gt;=DATEVALUE("2025/12/11")+TIMEVALUE("6:00"),1,0)</f>
        <v>4</v>
      </c>
      <c r="N335">
        <f t="shared" ref="N335" si="961">N334+M335*(INT(A335-6/24)-INT(A334-6/24))+O335</f>
        <v>416</v>
      </c>
      <c r="O335">
        <f t="shared" ref="O335" si="962">IF(A335&gt;=DATEVALUE("2025/11/8")+TIMEVALUE("6:00"),1,0)-IF(A334&gt;=DATEVALUE("2025/11/8")+TIMEVALUE("6:00"),1,0)
+IF(A335&gt;=DATEVALUE("2026/1/22")+TIMEVALUE("6:00"),3,0)-IF(A334&gt;=DATEVALUE("2026/1/22")+TIMEVALUE("6:00"),3,0)
+IF(A335&gt;=DATEVALUE("2026/2/21")+TIMEVALUE("6:00"),1,0)-IF(A334&gt;=DATEVALUE("2026/2/21")+TIMEVALUE("6:00"),1,0)</f>
        <v>0</v>
      </c>
      <c r="P335" t="str">
        <f t="shared" ref="P335" si="963">IF(L335&lt;N335,"未達成（"&amp;N335-L335&amp;"）",IF(L335=N335,"達成","前倒し（"&amp;L335-N335&amp;"）"))</f>
        <v>達成</v>
      </c>
      <c r="Q335">
        <f t="shared" ref="Q335" si="964">IF(B335="",NA(),G335)</f>
        <v>8.6689814779674634E-3</v>
      </c>
    </row>
    <row r="336" spans="1:17">
      <c r="A336" s="3">
        <v>46087.298900462964</v>
      </c>
      <c r="B336">
        <v>60</v>
      </c>
      <c r="C336">
        <v>18</v>
      </c>
      <c r="D336">
        <v>0</v>
      </c>
      <c r="E336">
        <v>0</v>
      </c>
      <c r="F336">
        <v>0</v>
      </c>
      <c r="G336" s="5">
        <v>6.7476851836545393E-3</v>
      </c>
      <c r="H336" t="s">
        <v>726</v>
      </c>
      <c r="I336" t="s">
        <v>727</v>
      </c>
      <c r="J336">
        <v>0</v>
      </c>
      <c r="K336">
        <f t="shared" ref="K336" si="965">IF(A336&lt;DATEVALUE("2025/11/20")+TIMEVALUE("6:00"),1,IF(OR(B336&lt;&gt;60,SUM(D336:F336)&lt;&gt;0,G336&gt;=IF(A336&lt;DATEVALUE("2025/12/28")+TIMEVALUE("6:00"),20,18)/24/60),0,2-INT(G336*24*60/10)))</f>
        <v>2</v>
      </c>
      <c r="L336">
        <f t="shared" ref="L336" si="966">L335+K336</f>
        <v>418</v>
      </c>
      <c r="M336">
        <f t="shared" ref="M336" si="967">2+IF(A336&gt;=DATEVALUE("2025/11/30")+TIMEVALUE("6:00"),1,0)+IF(A336&gt;=DATEVALUE("2025/12/11")+TIMEVALUE("6:00"),1,0)</f>
        <v>4</v>
      </c>
      <c r="N336">
        <f t="shared" ref="N336" si="968">N335+M336*(INT(A336-6/24)-INT(A335-6/24))+O336</f>
        <v>436</v>
      </c>
      <c r="O336">
        <f t="shared" ref="O336" si="969">IF(A336&gt;=DATEVALUE("2025/11/8")+TIMEVALUE("6:00"),1,0)-IF(A335&gt;=DATEVALUE("2025/11/8")+TIMEVALUE("6:00"),1,0)
+IF(A336&gt;=DATEVALUE("2026/1/22")+TIMEVALUE("6:00"),3,0)-IF(A335&gt;=DATEVALUE("2026/1/22")+TIMEVALUE("6:00"),3,0)
+IF(A336&gt;=DATEVALUE("2026/2/21")+TIMEVALUE("6:00"),1,0)-IF(A335&gt;=DATEVALUE("2026/2/21")+TIMEVALUE("6:00"),1,0)</f>
        <v>0</v>
      </c>
      <c r="P336" t="str">
        <f t="shared" ref="P336" si="970">IF(L336&lt;N336,"未達成（"&amp;N336-L336&amp;"）",IF(L336=N336,"達成","前倒し（"&amp;L336-N336&amp;"）"))</f>
        <v>未達成（18）</v>
      </c>
      <c r="Q336">
        <f t="shared" ref="Q336" si="971">IF(B336="",NA(),G336)</f>
        <v>6.7476851836545393E-3</v>
      </c>
    </row>
    <row r="337" spans="1:17">
      <c r="A337" s="3">
        <v>46087.306388888886</v>
      </c>
      <c r="B337">
        <v>60</v>
      </c>
      <c r="C337">
        <v>13</v>
      </c>
      <c r="D337">
        <v>0</v>
      </c>
      <c r="E337">
        <v>0</v>
      </c>
      <c r="F337">
        <v>0</v>
      </c>
      <c r="G337" s="5">
        <v>6.4120370370801538E-3</v>
      </c>
      <c r="H337" t="s">
        <v>728</v>
      </c>
      <c r="I337" t="s">
        <v>729</v>
      </c>
      <c r="J337">
        <v>0</v>
      </c>
      <c r="K337">
        <f t="shared" ref="K337" si="972">IF(A337&lt;DATEVALUE("2025/11/20")+TIMEVALUE("6:00"),1,IF(OR(B337&lt;&gt;60,SUM(D337:F337)&lt;&gt;0,G337&gt;=IF(A337&lt;DATEVALUE("2025/12/28")+TIMEVALUE("6:00"),20,18)/24/60),0,2-INT(G337*24*60/10)))</f>
        <v>2</v>
      </c>
      <c r="L337">
        <f t="shared" ref="L337" si="973">L336+K337</f>
        <v>420</v>
      </c>
      <c r="M337">
        <f t="shared" ref="M337" si="974">2+IF(A337&gt;=DATEVALUE("2025/11/30")+TIMEVALUE("6:00"),1,0)+IF(A337&gt;=DATEVALUE("2025/12/11")+TIMEVALUE("6:00"),1,0)</f>
        <v>4</v>
      </c>
      <c r="N337">
        <f t="shared" ref="N337" si="975">N336+M337*(INT(A337-6/24)-INT(A336-6/24))+O337</f>
        <v>436</v>
      </c>
      <c r="O337">
        <f t="shared" ref="O337" si="976">IF(A337&gt;=DATEVALUE("2025/11/8")+TIMEVALUE("6:00"),1,0)-IF(A336&gt;=DATEVALUE("2025/11/8")+TIMEVALUE("6:00"),1,0)
+IF(A337&gt;=DATEVALUE("2026/1/22")+TIMEVALUE("6:00"),3,0)-IF(A336&gt;=DATEVALUE("2026/1/22")+TIMEVALUE("6:00"),3,0)
+IF(A337&gt;=DATEVALUE("2026/2/21")+TIMEVALUE("6:00"),1,0)-IF(A336&gt;=DATEVALUE("2026/2/21")+TIMEVALUE("6:00"),1,0)</f>
        <v>0</v>
      </c>
      <c r="P337" t="str">
        <f t="shared" ref="P337" si="977">IF(L337&lt;N337,"未達成（"&amp;N337-L337&amp;"）",IF(L337=N337,"達成","前倒し（"&amp;L337-N337&amp;"）"))</f>
        <v>未達成（16）</v>
      </c>
      <c r="Q337">
        <f t="shared" ref="Q337" si="978">IF(B337="",NA(),G337)</f>
        <v>6.4120370370801538E-3</v>
      </c>
    </row>
    <row r="338" spans="1:17">
      <c r="A338" s="3">
        <v>46087.317523148151</v>
      </c>
      <c r="B338">
        <v>60</v>
      </c>
      <c r="C338">
        <v>11</v>
      </c>
      <c r="D338">
        <v>0</v>
      </c>
      <c r="E338">
        <v>0</v>
      </c>
      <c r="F338">
        <v>0</v>
      </c>
      <c r="G338" s="5">
        <v>7.4884259302052669E-3</v>
      </c>
      <c r="H338" t="s">
        <v>730</v>
      </c>
      <c r="I338" t="s">
        <v>731</v>
      </c>
      <c r="J338">
        <v>0</v>
      </c>
      <c r="K338">
        <f t="shared" ref="K338" si="979">IF(A338&lt;DATEVALUE("2025/11/20")+TIMEVALUE("6:00"),1,IF(OR(B338&lt;&gt;60,SUM(D338:F338)&lt;&gt;0,G338&gt;=IF(A338&lt;DATEVALUE("2025/12/28")+TIMEVALUE("6:00"),20,18)/24/60),0,2-INT(G338*24*60/10)))</f>
        <v>1</v>
      </c>
      <c r="L338">
        <f t="shared" ref="L338" si="980">L337+K338</f>
        <v>421</v>
      </c>
      <c r="M338">
        <f t="shared" ref="M338" si="981">2+IF(A338&gt;=DATEVALUE("2025/11/30")+TIMEVALUE("6:00"),1,0)+IF(A338&gt;=DATEVALUE("2025/12/11")+TIMEVALUE("6:00"),1,0)</f>
        <v>4</v>
      </c>
      <c r="N338">
        <f t="shared" ref="N338" si="982">N337+M338*(INT(A338-6/24)-INT(A337-6/24))+O338</f>
        <v>436</v>
      </c>
      <c r="O338">
        <f t="shared" ref="O338" si="983">IF(A338&gt;=DATEVALUE("2025/11/8")+TIMEVALUE("6:00"),1,0)-IF(A337&gt;=DATEVALUE("2025/11/8")+TIMEVALUE("6:00"),1,0)
+IF(A338&gt;=DATEVALUE("2026/1/22")+TIMEVALUE("6:00"),3,0)-IF(A337&gt;=DATEVALUE("2026/1/22")+TIMEVALUE("6:00"),3,0)
+IF(A338&gt;=DATEVALUE("2026/2/21")+TIMEVALUE("6:00"),1,0)-IF(A337&gt;=DATEVALUE("2026/2/21")+TIMEVALUE("6:00"),1,0)</f>
        <v>0</v>
      </c>
      <c r="P338" t="str">
        <f t="shared" ref="P338" si="984">IF(L338&lt;N338,"未達成（"&amp;N338-L338&amp;"）",IF(L338=N338,"達成","前倒し（"&amp;L338-N338&amp;"）"))</f>
        <v>未達成（15）</v>
      </c>
      <c r="Q338">
        <f t="shared" ref="Q338" si="985">IF(B338="",NA(),G338)</f>
        <v>7.4884259302052669E-3</v>
      </c>
    </row>
    <row r="339" spans="1:17">
      <c r="A339" s="3">
        <v>46087.325023148151</v>
      </c>
      <c r="B339">
        <v>60</v>
      </c>
      <c r="C339">
        <v>15</v>
      </c>
      <c r="D339">
        <v>0</v>
      </c>
      <c r="E339">
        <v>0</v>
      </c>
      <c r="F339">
        <v>0</v>
      </c>
      <c r="G339" s="5">
        <v>6.8634259296231903E-3</v>
      </c>
      <c r="H339" t="s">
        <v>732</v>
      </c>
      <c r="I339" t="s">
        <v>733</v>
      </c>
      <c r="J339">
        <v>0</v>
      </c>
      <c r="K339">
        <f t="shared" ref="K339" si="986">IF(A339&lt;DATEVALUE("2025/11/20")+TIMEVALUE("6:00"),1,IF(OR(B339&lt;&gt;60,SUM(D339:F339)&lt;&gt;0,G339&gt;=IF(A339&lt;DATEVALUE("2025/12/28")+TIMEVALUE("6:00"),20,18)/24/60),0,2-INT(G339*24*60/10)))</f>
        <v>2</v>
      </c>
      <c r="L339">
        <f t="shared" ref="L339" si="987">L338+K339</f>
        <v>423</v>
      </c>
      <c r="M339">
        <f t="shared" ref="M339" si="988">2+IF(A339&gt;=DATEVALUE("2025/11/30")+TIMEVALUE("6:00"),1,0)+IF(A339&gt;=DATEVALUE("2025/12/11")+TIMEVALUE("6:00"),1,0)</f>
        <v>4</v>
      </c>
      <c r="N339">
        <f t="shared" ref="N339" si="989">N338+M339*(INT(A339-6/24)-INT(A338-6/24))+O339</f>
        <v>436</v>
      </c>
      <c r="O339">
        <f t="shared" ref="O339" si="990">IF(A339&gt;=DATEVALUE("2025/11/8")+TIMEVALUE("6:00"),1,0)-IF(A338&gt;=DATEVALUE("2025/11/8")+TIMEVALUE("6:00"),1,0)
+IF(A339&gt;=DATEVALUE("2026/1/22")+TIMEVALUE("6:00"),3,0)-IF(A338&gt;=DATEVALUE("2026/1/22")+TIMEVALUE("6:00"),3,0)
+IF(A339&gt;=DATEVALUE("2026/2/21")+TIMEVALUE("6:00"),1,0)-IF(A338&gt;=DATEVALUE("2026/2/21")+TIMEVALUE("6:00"),1,0)</f>
        <v>0</v>
      </c>
      <c r="P339" t="str">
        <f t="shared" ref="P339" si="991">IF(L339&lt;N339,"未達成（"&amp;N339-L339&amp;"）",IF(L339=N339,"達成","前倒し（"&amp;L339-N339&amp;"）"))</f>
        <v>未達成（13）</v>
      </c>
      <c r="Q339">
        <f t="shared" ref="Q339" si="992">IF(B339="",NA(),G339)</f>
        <v>6.8634259296231903E-3</v>
      </c>
    </row>
    <row r="340" spans="1:17">
      <c r="A340" s="3">
        <v>46087.332395833335</v>
      </c>
      <c r="B340">
        <v>60</v>
      </c>
      <c r="C340">
        <v>17</v>
      </c>
      <c r="D340">
        <v>0</v>
      </c>
      <c r="E340">
        <v>0</v>
      </c>
      <c r="F340">
        <v>0</v>
      </c>
      <c r="G340" s="5">
        <v>6.1689814829151146E-3</v>
      </c>
      <c r="H340" t="s">
        <v>734</v>
      </c>
      <c r="I340" t="s">
        <v>735</v>
      </c>
      <c r="J340">
        <v>0</v>
      </c>
      <c r="K340">
        <f t="shared" ref="K340" si="993">IF(A340&lt;DATEVALUE("2025/11/20")+TIMEVALUE("6:00"),1,IF(OR(B340&lt;&gt;60,SUM(D340:F340)&lt;&gt;0,G340&gt;=IF(A340&lt;DATEVALUE("2025/12/28")+TIMEVALUE("6:00"),20,18)/24/60),0,2-INT(G340*24*60/10)))</f>
        <v>2</v>
      </c>
      <c r="L340">
        <f t="shared" ref="L340" si="994">L339+K340</f>
        <v>425</v>
      </c>
      <c r="M340">
        <f t="shared" ref="M340" si="995">2+IF(A340&gt;=DATEVALUE("2025/11/30")+TIMEVALUE("6:00"),1,0)+IF(A340&gt;=DATEVALUE("2025/12/11")+TIMEVALUE("6:00"),1,0)</f>
        <v>4</v>
      </c>
      <c r="N340">
        <f t="shared" ref="N340" si="996">N339+M340*(INT(A340-6/24)-INT(A339-6/24))+O340</f>
        <v>436</v>
      </c>
      <c r="O340">
        <f t="shared" ref="O340" si="997">IF(A340&gt;=DATEVALUE("2025/11/8")+TIMEVALUE("6:00"),1,0)-IF(A339&gt;=DATEVALUE("2025/11/8")+TIMEVALUE("6:00"),1,0)
+IF(A340&gt;=DATEVALUE("2026/1/22")+TIMEVALUE("6:00"),3,0)-IF(A339&gt;=DATEVALUE("2026/1/22")+TIMEVALUE("6:00"),3,0)
+IF(A340&gt;=DATEVALUE("2026/2/21")+TIMEVALUE("6:00"),1,0)-IF(A339&gt;=DATEVALUE("2026/2/21")+TIMEVALUE("6:00"),1,0)</f>
        <v>0</v>
      </c>
      <c r="P340" t="str">
        <f t="shared" ref="P340" si="998">IF(L340&lt;N340,"未達成（"&amp;N340-L340&amp;"）",IF(L340=N340,"達成","前倒し（"&amp;L340-N340&amp;"）"))</f>
        <v>未達成（11）</v>
      </c>
      <c r="Q340">
        <f t="shared" ref="Q340" si="999">IF(B340="",NA(),G340)</f>
        <v>6.1689814829151146E-3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46087.326226851852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2026-03-05T22:59:14Z</dcterms:modified>
</cp:coreProperties>
</file>
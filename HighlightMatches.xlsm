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6EE28F1-3AF2-473D-824B-616B656FDDD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7" i="4" l="1"/>
  <c r="O207" i="4"/>
  <c r="M207" i="4"/>
  <c r="N207" i="4" s="1"/>
  <c r="K207" i="4"/>
  <c r="L207" i="4" s="1"/>
  <c r="Q206" i="4"/>
  <c r="O206" i="4"/>
  <c r="M206" i="4"/>
  <c r="N206" i="4" s="1"/>
  <c r="K206" i="4"/>
  <c r="L206" i="4" s="1"/>
  <c r="P206" i="4" s="1"/>
  <c r="Q205" i="4"/>
  <c r="O205" i="4"/>
  <c r="M205" i="4"/>
  <c r="N205" i="4" s="1"/>
  <c r="K205" i="4"/>
  <c r="L205" i="4" s="1"/>
  <c r="P205" i="4" s="1"/>
  <c r="Q204" i="4"/>
  <c r="O204" i="4"/>
  <c r="M204" i="4"/>
  <c r="N204" i="4" s="1"/>
  <c r="K204" i="4"/>
  <c r="L204" i="4" s="1"/>
  <c r="P204" i="4" s="1"/>
  <c r="Q203" i="4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07" i="4" l="1"/>
  <c r="P201" i="4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<sst xmlns="http://schemas.openxmlformats.org/spreadsheetml/2006/main" count="491" uniqueCount="471">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</sst>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データ!$A$3:$A$207</c:f>
              <c:numCache>
                <c:formatCode>m/d/yyyy\ h:mm</c:formatCode>
                <c:ptCount val="20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</c:numCache>
            </c:numRef>
          </c:xVal>
          <c:yVal>
            <c:numRef>
              <c:f>データ!$B$3:$B$207</c:f>
              <c:numCache>
                <c:formatCode>General</c:formatCode>
                <c:ptCount val="20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C-489D-9816-1D71646D16B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B2C-489D-9816-1D71646D1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684432"/>
        <c:axId val="36968011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データ!$A$3:$A$207</c:f>
              <c:numCache>
                <c:formatCode>m/d/yyyy\ h:mm</c:formatCode>
                <c:ptCount val="20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</c:numCache>
            </c:numRef>
          </c:xVal>
          <c:yVal>
            <c:numRef>
              <c:f>データ!$Q$3:$Q$207</c:f>
              <c:numCache>
                <c:formatCode>[h]:mm</c:formatCode>
                <c:ptCount val="20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C-489D-9816-1D71646D1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683472"/>
        <c:axId val="369682512"/>
      </c:scatterChart>
      <c:valAx>
        <c:axId val="36968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9680112"/>
        <c:crosses val="autoZero"/>
        <c:crossBetween val="midCat"/>
      </c:valAx>
      <c:valAx>
        <c:axId val="36968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9684432"/>
        <c:crosses val="autoZero"/>
        <c:crossBetween val="midCat"/>
      </c:valAx>
      <c:valAx>
        <c:axId val="3696825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9683472"/>
        <c:crosses val="max"/>
        <c:crossBetween val="midCat"/>
      </c:valAx>
      <c:valAx>
        <c:axId val="36968347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96825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800" name="Match0">
          <a:extLst>
            <a:ext uri="{FF2B5EF4-FFF2-40B4-BE49-F238E27FC236}">
              <a16:creationId xmlns:a16="http://schemas.microsoft.com/office/drawing/2014/main" id="{A26D4EDC-031E-B317-D8A6-DEFEC9993BCF}"/>
            </a:ext>
          </a:extLst>
        </xdr:cNvPr>
        <xdr:cNvCxnSpPr/>
      </xdr:nvCxnSpPr>
      <xdr:spPr>
        <a:xfrm flipH="1" flipV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801" name="Match1">
          <a:extLst>
            <a:ext uri="{FF2B5EF4-FFF2-40B4-BE49-F238E27FC236}">
              <a16:creationId xmlns:a16="http://schemas.microsoft.com/office/drawing/2014/main" id="{404CACEF-B0C1-2623-E097-52B4FD55AFD3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802" name="Match2">
          <a:extLst>
            <a:ext uri="{FF2B5EF4-FFF2-40B4-BE49-F238E27FC236}">
              <a16:creationId xmlns:a16="http://schemas.microsoft.com/office/drawing/2014/main" id="{D6B11709-8912-FA2F-DE32-1A5FA4827350}"/>
            </a:ext>
          </a:extLst>
        </xdr:cNvPr>
        <xdr:cNvCxnSpPr/>
      </xdr:nvCxnSpPr>
      <xdr:spPr>
        <a:xfrm flipV="1"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803" name="Match3">
          <a:extLst>
            <a:ext uri="{FF2B5EF4-FFF2-40B4-BE49-F238E27FC236}">
              <a16:creationId xmlns:a16="http://schemas.microsoft.com/office/drawing/2014/main" id="{69ED53D2-34B8-8FA9-4BDF-F1715BC19328}"/>
            </a:ext>
          </a:extLst>
        </xdr:cNvPr>
        <xdr:cNvCxnSpPr/>
      </xdr:nvCxnSpPr>
      <xdr:spPr>
        <a:xfrm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804" name="Match4">
          <a:extLst>
            <a:ext uri="{FF2B5EF4-FFF2-40B4-BE49-F238E27FC236}">
              <a16:creationId xmlns:a16="http://schemas.microsoft.com/office/drawing/2014/main" id="{F1CA5439-0A30-4933-23E3-BBF42F5D82E0}"/>
            </a:ext>
          </a:extLst>
        </xdr:cNvPr>
        <xdr:cNvCxnSpPr/>
      </xdr:nvCxnSpPr>
      <xdr:spPr>
        <a:xfrm flipV="1">
          <a:off x="15089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805" name="Match5">
          <a:extLst>
            <a:ext uri="{FF2B5EF4-FFF2-40B4-BE49-F238E27FC236}">
              <a16:creationId xmlns:a16="http://schemas.microsoft.com/office/drawing/2014/main" id="{1893C7E0-BEAB-0943-9E88-4CC3715B08F3}"/>
            </a:ext>
          </a:extLst>
        </xdr:cNvPr>
        <xdr:cNvCxnSpPr/>
      </xdr:nvCxnSpPr>
      <xdr:spPr>
        <a:xfrm flipH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806" name="Match6">
          <a:extLst>
            <a:ext uri="{FF2B5EF4-FFF2-40B4-BE49-F238E27FC236}">
              <a16:creationId xmlns:a16="http://schemas.microsoft.com/office/drawing/2014/main" id="{A8B1B492-8ECA-F08E-6CC2-49FF982B6E17}"/>
            </a:ext>
          </a:extLst>
        </xdr:cNvPr>
        <xdr:cNvCxnSpPr/>
      </xdr:nvCxnSpPr>
      <xdr:spPr>
        <a:xfrm flipH="1"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807" name="Match7">
          <a:extLst>
            <a:ext uri="{FF2B5EF4-FFF2-40B4-BE49-F238E27FC236}">
              <a16:creationId xmlns:a16="http://schemas.microsoft.com/office/drawing/2014/main" id="{83190391-A1BE-C20D-9D97-E11EBD80C5B3}"/>
            </a:ext>
          </a:extLst>
        </xdr:cNvPr>
        <xdr:cNvCxnSpPr/>
      </xdr:nvCxnSpPr>
      <xdr:spPr>
        <a:xfrm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7</xdr:row>
      <xdr:rowOff>203993</xdr:rowOff>
    </xdr:to>
    <xdr:cxnSp macro="">
      <xdr:nvCxnSpPr>
        <xdr:cNvPr id="1808" name="Match8">
          <a:extLst>
            <a:ext uri="{FF2B5EF4-FFF2-40B4-BE49-F238E27FC236}">
              <a16:creationId xmlns:a16="http://schemas.microsoft.com/office/drawing/2014/main" id="{A31800C3-EAFE-6AEE-1C1B-B8A672C0EF1B}"/>
            </a:ext>
          </a:extLst>
        </xdr:cNvPr>
        <xdr:cNvCxnSpPr/>
      </xdr:nvCxnSpPr>
      <xdr:spPr>
        <a:xfrm flipH="1">
          <a:off x="4052094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809" name="Match9">
          <a:extLst>
            <a:ext uri="{FF2B5EF4-FFF2-40B4-BE49-F238E27FC236}">
              <a16:creationId xmlns:a16="http://schemas.microsoft.com/office/drawing/2014/main" id="{A23E1C77-0FA7-1635-8621-DF6770461F20}"/>
            </a:ext>
          </a:extLst>
        </xdr:cNvPr>
        <xdr:cNvCxnSpPr/>
      </xdr:nvCxnSpPr>
      <xdr:spPr>
        <a:xfrm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810" name="Match10">
          <a:extLst>
            <a:ext uri="{FF2B5EF4-FFF2-40B4-BE49-F238E27FC236}">
              <a16:creationId xmlns:a16="http://schemas.microsoft.com/office/drawing/2014/main" id="{1DC6109D-7456-4E9B-23DB-2A1AE809A76D}"/>
            </a:ext>
          </a:extLst>
        </xdr:cNvPr>
        <xdr:cNvCxnSpPr/>
      </xdr:nvCxnSpPr>
      <xdr:spPr>
        <a:xfrm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811" name="Match11">
          <a:extLst>
            <a:ext uri="{FF2B5EF4-FFF2-40B4-BE49-F238E27FC236}">
              <a16:creationId xmlns:a16="http://schemas.microsoft.com/office/drawing/2014/main" id="{B91D6760-F3FC-1BC5-2522-42D39CF7E1B9}"/>
            </a:ext>
          </a:extLst>
        </xdr:cNvPr>
        <xdr:cNvCxnSpPr/>
      </xdr:nvCxnSpPr>
      <xdr:spPr>
        <a:xfrm flipH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812" name="Match12">
          <a:extLst>
            <a:ext uri="{FF2B5EF4-FFF2-40B4-BE49-F238E27FC236}">
              <a16:creationId xmlns:a16="http://schemas.microsoft.com/office/drawing/2014/main" id="{1DA7CEB3-6EAC-A6AB-3EA7-54AFBAC49A52}"/>
            </a:ext>
          </a:extLst>
        </xdr:cNvPr>
        <xdr:cNvCxnSpPr/>
      </xdr:nvCxnSpPr>
      <xdr:spPr>
        <a:xfrm flipV="1">
          <a:off x="6611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813" name="Match13">
          <a:extLst>
            <a:ext uri="{FF2B5EF4-FFF2-40B4-BE49-F238E27FC236}">
              <a16:creationId xmlns:a16="http://schemas.microsoft.com/office/drawing/2014/main" id="{236D93C0-4E62-F1AD-7073-D1377A33C2E9}"/>
            </a:ext>
          </a:extLst>
        </xdr:cNvPr>
        <xdr:cNvCxnSpPr/>
      </xdr:nvCxnSpPr>
      <xdr:spPr>
        <a:xfrm flipH="1">
          <a:off x="40266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814" name="Match14">
          <a:extLst>
            <a:ext uri="{FF2B5EF4-FFF2-40B4-BE49-F238E27FC236}">
              <a16:creationId xmlns:a16="http://schemas.microsoft.com/office/drawing/2014/main" id="{561F0E7F-8811-338B-D327-D005D4AC5BBC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815" name="Match15">
          <a:extLst>
            <a:ext uri="{FF2B5EF4-FFF2-40B4-BE49-F238E27FC236}">
              <a16:creationId xmlns:a16="http://schemas.microsoft.com/office/drawing/2014/main" id="{B790DC8A-23CC-B8C6-BCB1-B93183721A88}"/>
            </a:ext>
          </a:extLst>
        </xdr:cNvPr>
        <xdr:cNvCxnSpPr/>
      </xdr:nvCxnSpPr>
      <xdr:spPr>
        <a:xfrm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816" name="Match16">
          <a:extLst>
            <a:ext uri="{FF2B5EF4-FFF2-40B4-BE49-F238E27FC236}">
              <a16:creationId xmlns:a16="http://schemas.microsoft.com/office/drawing/2014/main" id="{87276799-2526-8560-B996-7CBC2E713560}"/>
            </a:ext>
          </a:extLst>
        </xdr:cNvPr>
        <xdr:cNvCxnSpPr/>
      </xdr:nvCxnSpPr>
      <xdr:spPr>
        <a:xfrm flipH="1"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817" name="Match17">
          <a:extLst>
            <a:ext uri="{FF2B5EF4-FFF2-40B4-BE49-F238E27FC236}">
              <a16:creationId xmlns:a16="http://schemas.microsoft.com/office/drawing/2014/main" id="{ACDCD101-A4E3-B1B2-A775-B014973EEB1C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818" name="Match18">
          <a:extLst>
            <a:ext uri="{FF2B5EF4-FFF2-40B4-BE49-F238E27FC236}">
              <a16:creationId xmlns:a16="http://schemas.microsoft.com/office/drawing/2014/main" id="{9F30C9E1-49EA-9007-AFAA-0B124FA9F6E8}"/>
            </a:ext>
          </a:extLst>
        </xdr:cNvPr>
        <xdr:cNvCxnSpPr/>
      </xdr:nvCxnSpPr>
      <xdr:spPr>
        <a:xfrm flipH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8</xdr:col>
      <xdr:colOff>262731</xdr:colOff>
      <xdr:row>2</xdr:row>
      <xdr:rowOff>229394</xdr:rowOff>
    </xdr:to>
    <xdr:cxnSp macro="">
      <xdr:nvCxnSpPr>
        <xdr:cNvPr id="1819" name="Match19">
          <a:extLst>
            <a:ext uri="{FF2B5EF4-FFF2-40B4-BE49-F238E27FC236}">
              <a16:creationId xmlns:a16="http://schemas.microsoft.com/office/drawing/2014/main" id="{CB0578F8-0057-AFA7-193D-27DA1E95B440}"/>
            </a:ext>
          </a:extLst>
        </xdr:cNvPr>
        <xdr:cNvCxnSpPr/>
      </xdr:nvCxnSpPr>
      <xdr:spPr>
        <a:xfrm flipH="1" flipV="1">
          <a:off x="3229769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820" name="Match20">
          <a:extLst>
            <a:ext uri="{FF2B5EF4-FFF2-40B4-BE49-F238E27FC236}">
              <a16:creationId xmlns:a16="http://schemas.microsoft.com/office/drawing/2014/main" id="{058E10E5-F3D1-BCA9-DA61-6827283892C6}"/>
            </a:ext>
          </a:extLst>
        </xdr:cNvPr>
        <xdr:cNvCxnSpPr/>
      </xdr:nvCxnSpPr>
      <xdr:spPr>
        <a:xfrm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4</xdr:row>
      <xdr:rowOff>203994</xdr:rowOff>
    </xdr:to>
    <xdr:cxnSp macro="">
      <xdr:nvCxnSpPr>
        <xdr:cNvPr id="1821" name="Match21">
          <a:extLst>
            <a:ext uri="{FF2B5EF4-FFF2-40B4-BE49-F238E27FC236}">
              <a16:creationId xmlns:a16="http://schemas.microsoft.com/office/drawing/2014/main" id="{894FE8DD-4A91-7E99-C4F9-3CEE3D4E2D3B}"/>
            </a:ext>
          </a:extLst>
        </xdr:cNvPr>
        <xdr:cNvCxnSpPr/>
      </xdr:nvCxnSpPr>
      <xdr:spPr>
        <a:xfrm flipH="1">
          <a:off x="193278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5</xdr:col>
      <xdr:colOff>262731</xdr:colOff>
      <xdr:row>4</xdr:row>
      <xdr:rowOff>229394</xdr:rowOff>
    </xdr:to>
    <xdr:cxnSp macro="">
      <xdr:nvCxnSpPr>
        <xdr:cNvPr id="1822" name="Match22">
          <a:extLst>
            <a:ext uri="{FF2B5EF4-FFF2-40B4-BE49-F238E27FC236}">
              <a16:creationId xmlns:a16="http://schemas.microsoft.com/office/drawing/2014/main" id="{CA061C8B-FCC4-3EE0-632F-91DEB898A3D1}"/>
            </a:ext>
          </a:extLst>
        </xdr:cNvPr>
        <xdr:cNvCxnSpPr/>
      </xdr:nvCxnSpPr>
      <xdr:spPr>
        <a:xfrm flipV="1">
          <a:off x="2382044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823" name="Match23">
          <a:extLst>
            <a:ext uri="{FF2B5EF4-FFF2-40B4-BE49-F238E27FC236}">
              <a16:creationId xmlns:a16="http://schemas.microsoft.com/office/drawing/2014/main" id="{70A73585-61E2-183D-08ED-CC767BCD715F}"/>
            </a:ext>
          </a:extLst>
        </xdr:cNvPr>
        <xdr:cNvCxnSpPr/>
      </xdr:nvCxnSpPr>
      <xdr:spPr>
        <a:xfrm flipV="1"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1824" name="Match24">
          <a:extLst>
            <a:ext uri="{FF2B5EF4-FFF2-40B4-BE49-F238E27FC236}">
              <a16:creationId xmlns:a16="http://schemas.microsoft.com/office/drawing/2014/main" id="{16B469E1-F65B-EFA5-F140-E0B9059F9707}"/>
            </a:ext>
          </a:extLst>
        </xdr:cNvPr>
        <xdr:cNvCxnSpPr/>
      </xdr:nvCxnSpPr>
      <xdr:spPr>
        <a:xfrm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825" name="Match25">
          <a:extLst>
            <a:ext uri="{FF2B5EF4-FFF2-40B4-BE49-F238E27FC236}">
              <a16:creationId xmlns:a16="http://schemas.microsoft.com/office/drawing/2014/main" id="{63DF23AB-A75D-3320-0400-B0F2C2FA54E5}"/>
            </a:ext>
          </a:extLst>
        </xdr:cNvPr>
        <xdr:cNvCxnSpPr/>
      </xdr:nvCxnSpPr>
      <xdr:spPr>
        <a:xfrm flipH="1">
          <a:off x="2373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826" name="Match26">
          <a:extLst>
            <a:ext uri="{FF2B5EF4-FFF2-40B4-BE49-F238E27FC236}">
              <a16:creationId xmlns:a16="http://schemas.microsoft.com/office/drawing/2014/main" id="{9D9622BA-DC10-5878-4163-66599D93EFA6}"/>
            </a:ext>
          </a:extLst>
        </xdr:cNvPr>
        <xdr:cNvCxnSpPr/>
      </xdr:nvCxnSpPr>
      <xdr:spPr>
        <a:xfrm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827" name="Match27">
          <a:extLst>
            <a:ext uri="{FF2B5EF4-FFF2-40B4-BE49-F238E27FC236}">
              <a16:creationId xmlns:a16="http://schemas.microsoft.com/office/drawing/2014/main" id="{06207F66-DEBA-9109-3537-D44ABDD56E04}"/>
            </a:ext>
          </a:extLst>
        </xdr:cNvPr>
        <xdr:cNvCxnSpPr/>
      </xdr:nvCxnSpPr>
      <xdr:spPr>
        <a:xfrm flipH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5</xdr:row>
      <xdr:rowOff>229393</xdr:rowOff>
    </xdr:from>
    <xdr:to>
      <xdr:col>6</xdr:col>
      <xdr:colOff>262731</xdr:colOff>
      <xdr:row>5</xdr:row>
      <xdr:rowOff>229393</xdr:rowOff>
    </xdr:to>
    <xdr:cxnSp macro="">
      <xdr:nvCxnSpPr>
        <xdr:cNvPr id="1828" name="Match28">
          <a:extLst>
            <a:ext uri="{FF2B5EF4-FFF2-40B4-BE49-F238E27FC236}">
              <a16:creationId xmlns:a16="http://schemas.microsoft.com/office/drawing/2014/main" id="{43016076-CFE5-F6C5-A8CD-A85A1A3F145D}"/>
            </a:ext>
          </a:extLst>
        </xdr:cNvPr>
        <xdr:cNvCxnSpPr/>
      </xdr:nvCxnSpPr>
      <xdr:spPr>
        <a:xfrm flipH="1">
          <a:off x="2382044" y="201533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829" name="Match29">
          <a:extLst>
            <a:ext uri="{FF2B5EF4-FFF2-40B4-BE49-F238E27FC236}">
              <a16:creationId xmlns:a16="http://schemas.microsoft.com/office/drawing/2014/main" id="{59E18FD3-B093-CF64-B55F-578B4D6A8672}"/>
            </a:ext>
          </a:extLst>
        </xdr:cNvPr>
        <xdr:cNvCxnSpPr/>
      </xdr:nvCxnSpPr>
      <xdr:spPr>
        <a:xfrm flipH="1"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830" name="Match30">
          <a:extLst>
            <a:ext uri="{FF2B5EF4-FFF2-40B4-BE49-F238E27FC236}">
              <a16:creationId xmlns:a16="http://schemas.microsoft.com/office/drawing/2014/main" id="{34393401-774A-831C-B122-4D94347C689E}"/>
            </a:ext>
          </a:extLst>
        </xdr:cNvPr>
        <xdr:cNvCxnSpPr/>
      </xdr:nvCxnSpPr>
      <xdr:spPr>
        <a:xfrm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831" name="Match31">
          <a:extLst>
            <a:ext uri="{FF2B5EF4-FFF2-40B4-BE49-F238E27FC236}">
              <a16:creationId xmlns:a16="http://schemas.microsoft.com/office/drawing/2014/main" id="{5B03BE09-E9EE-FFF8-965F-1D8AE5BF6ED4}"/>
            </a:ext>
          </a:extLst>
        </xdr:cNvPr>
        <xdr:cNvCxnSpPr/>
      </xdr:nvCxnSpPr>
      <xdr:spPr>
        <a:xfrm flipV="1"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832" name="Match32">
          <a:extLst>
            <a:ext uri="{FF2B5EF4-FFF2-40B4-BE49-F238E27FC236}">
              <a16:creationId xmlns:a16="http://schemas.microsoft.com/office/drawing/2014/main" id="{09C1F847-194D-CE1A-A3D7-DBE972F67A79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833" name="Match33">
          <a:extLst>
            <a:ext uri="{FF2B5EF4-FFF2-40B4-BE49-F238E27FC236}">
              <a16:creationId xmlns:a16="http://schemas.microsoft.com/office/drawing/2014/main" id="{B9C560F3-BAEF-69DE-B2FA-E482CED44752}"/>
            </a:ext>
          </a:extLst>
        </xdr:cNvPr>
        <xdr:cNvCxnSpPr/>
      </xdr:nvCxnSpPr>
      <xdr:spPr>
        <a:xfrm flipH="1"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834" name="Match34">
          <a:extLst>
            <a:ext uri="{FF2B5EF4-FFF2-40B4-BE49-F238E27FC236}">
              <a16:creationId xmlns:a16="http://schemas.microsoft.com/office/drawing/2014/main" id="{570FECE0-C682-5618-5E46-EA3B228BC452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3</xdr:col>
      <xdr:colOff>237331</xdr:colOff>
      <xdr:row>11</xdr:row>
      <xdr:rowOff>203993</xdr:rowOff>
    </xdr:to>
    <xdr:cxnSp macro="">
      <xdr:nvCxnSpPr>
        <xdr:cNvPr id="1835" name="Match35">
          <a:extLst>
            <a:ext uri="{FF2B5EF4-FFF2-40B4-BE49-F238E27FC236}">
              <a16:creationId xmlns:a16="http://schemas.microsoft.com/office/drawing/2014/main" id="{0159A626-4DFE-BD57-2E01-4E792148C0A9}"/>
            </a:ext>
          </a:extLst>
        </xdr:cNvPr>
        <xdr:cNvCxnSpPr/>
      </xdr:nvCxnSpPr>
      <xdr:spPr>
        <a:xfrm flipV="1">
          <a:off x="150891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836" name="Match36">
          <a:extLst>
            <a:ext uri="{FF2B5EF4-FFF2-40B4-BE49-F238E27FC236}">
              <a16:creationId xmlns:a16="http://schemas.microsoft.com/office/drawing/2014/main" id="{C4098D0A-D529-111C-E76D-37CE8E527369}"/>
            </a:ext>
          </a:extLst>
        </xdr:cNvPr>
        <xdr:cNvCxnSpPr/>
      </xdr:nvCxnSpPr>
      <xdr:spPr>
        <a:xfrm flipH="1"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837" name="Match37">
          <a:extLst>
            <a:ext uri="{FF2B5EF4-FFF2-40B4-BE49-F238E27FC236}">
              <a16:creationId xmlns:a16="http://schemas.microsoft.com/office/drawing/2014/main" id="{59C0EB33-8FD0-3ACB-EDFC-7890139BA3CD}"/>
            </a:ext>
          </a:extLst>
        </xdr:cNvPr>
        <xdr:cNvCxnSpPr/>
      </xdr:nvCxnSpPr>
      <xdr:spPr>
        <a:xfrm flipH="1" flipV="1">
          <a:off x="317896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838" name="Match38">
          <a:extLst>
            <a:ext uri="{FF2B5EF4-FFF2-40B4-BE49-F238E27FC236}">
              <a16:creationId xmlns:a16="http://schemas.microsoft.com/office/drawing/2014/main" id="{697508E0-227E-CFFA-9BE2-C0D5A4441D71}"/>
            </a:ext>
          </a:extLst>
        </xdr:cNvPr>
        <xdr:cNvCxnSpPr/>
      </xdr:nvCxnSpPr>
      <xdr:spPr>
        <a:xfrm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839" name="Match39">
          <a:extLst>
            <a:ext uri="{FF2B5EF4-FFF2-40B4-BE49-F238E27FC236}">
              <a16:creationId xmlns:a16="http://schemas.microsoft.com/office/drawing/2014/main" id="{157C023A-C895-F1CE-0029-E3947B9EDAA7}"/>
            </a:ext>
          </a:extLst>
        </xdr:cNvPr>
        <xdr:cNvCxnSpPr/>
      </xdr:nvCxnSpPr>
      <xdr:spPr>
        <a:xfrm flipV="1"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840" name="Match40">
          <a:extLst>
            <a:ext uri="{FF2B5EF4-FFF2-40B4-BE49-F238E27FC236}">
              <a16:creationId xmlns:a16="http://schemas.microsoft.com/office/drawing/2014/main" id="{93E23682-56C6-8D2A-7515-A64BD4B1A047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841" name="Match41">
          <a:extLst>
            <a:ext uri="{FF2B5EF4-FFF2-40B4-BE49-F238E27FC236}">
              <a16:creationId xmlns:a16="http://schemas.microsoft.com/office/drawing/2014/main" id="{01F6679E-2F28-D09D-1AC7-D6F9A225EF02}"/>
            </a:ext>
          </a:extLst>
        </xdr:cNvPr>
        <xdr:cNvCxnSpPr/>
      </xdr:nvCxnSpPr>
      <xdr:spPr>
        <a:xfrm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842" name="Match42">
          <a:extLst>
            <a:ext uri="{FF2B5EF4-FFF2-40B4-BE49-F238E27FC236}">
              <a16:creationId xmlns:a16="http://schemas.microsoft.com/office/drawing/2014/main" id="{37671C7F-0DA4-3066-77E5-677A63B4A4E2}"/>
            </a:ext>
          </a:extLst>
        </xdr:cNvPr>
        <xdr:cNvCxnSpPr/>
      </xdr:nvCxnSpPr>
      <xdr:spPr>
        <a:xfrm>
          <a:off x="44505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077" name="Match43">
          <a:extLst>
            <a:ext uri="{FF2B5EF4-FFF2-40B4-BE49-F238E27FC236}">
              <a16:creationId xmlns:a16="http://schemas.microsoft.com/office/drawing/2014/main" id="{5DDA6F4E-1D54-5F74-FA7B-EB89B52424A5}"/>
            </a:ext>
          </a:extLst>
        </xdr:cNvPr>
        <xdr:cNvCxnSpPr/>
      </xdr:nvCxnSpPr>
      <xdr:spPr>
        <a:xfrm flipH="1">
          <a:off x="40520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78" name="Match44">
          <a:extLst>
            <a:ext uri="{FF2B5EF4-FFF2-40B4-BE49-F238E27FC236}">
              <a16:creationId xmlns:a16="http://schemas.microsoft.com/office/drawing/2014/main" id="{0796C1BF-E4A7-3332-7238-C22FA751913C}"/>
            </a:ext>
          </a:extLst>
        </xdr:cNvPr>
        <xdr:cNvCxnSpPr/>
      </xdr:nvCxnSpPr>
      <xdr:spPr>
        <a:xfrm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79" name="Match45">
          <a:extLst>
            <a:ext uri="{FF2B5EF4-FFF2-40B4-BE49-F238E27FC236}">
              <a16:creationId xmlns:a16="http://schemas.microsoft.com/office/drawing/2014/main" id="{C8E86F0B-8BCF-D43F-DEC2-1B4666A47CA2}"/>
            </a:ext>
          </a:extLst>
        </xdr:cNvPr>
        <xdr:cNvCxnSpPr/>
      </xdr:nvCxnSpPr>
      <xdr:spPr>
        <a:xfrm flipH="1"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080" name="Match46">
          <a:extLst>
            <a:ext uri="{FF2B5EF4-FFF2-40B4-BE49-F238E27FC236}">
              <a16:creationId xmlns:a16="http://schemas.microsoft.com/office/drawing/2014/main" id="{FE1AEFA2-A859-A99F-79B2-CA04C87A4C7D}"/>
            </a:ext>
          </a:extLst>
        </xdr:cNvPr>
        <xdr:cNvCxnSpPr/>
      </xdr:nvCxnSpPr>
      <xdr:spPr>
        <a:xfrm flipH="1" flipV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081" name="Match47">
          <a:extLst>
            <a:ext uri="{FF2B5EF4-FFF2-40B4-BE49-F238E27FC236}">
              <a16:creationId xmlns:a16="http://schemas.microsoft.com/office/drawing/2014/main" id="{C93D7C33-5BC8-8D72-A5FE-A598BD8AD055}"/>
            </a:ext>
          </a:extLst>
        </xdr:cNvPr>
        <xdr:cNvCxnSpPr/>
      </xdr:nvCxnSpPr>
      <xdr:spPr>
        <a:xfrm flipV="1"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082" name="Match48">
          <a:extLst>
            <a:ext uri="{FF2B5EF4-FFF2-40B4-BE49-F238E27FC236}">
              <a16:creationId xmlns:a16="http://schemas.microsoft.com/office/drawing/2014/main" id="{C917C2E1-AC53-3E76-88D5-880DAE4FE20D}"/>
            </a:ext>
          </a:extLst>
        </xdr:cNvPr>
        <xdr:cNvCxnSpPr/>
      </xdr:nvCxnSpPr>
      <xdr:spPr>
        <a:xfrm flipV="1">
          <a:off x="635794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4</xdr:row>
      <xdr:rowOff>229394</xdr:rowOff>
    </xdr:from>
    <xdr:to>
      <xdr:col>10</xdr:col>
      <xdr:colOff>262731</xdr:colOff>
      <xdr:row>8</xdr:row>
      <xdr:rowOff>229394</xdr:rowOff>
    </xdr:to>
    <xdr:cxnSp macro="">
      <xdr:nvCxnSpPr>
        <xdr:cNvPr id="1083" name="Match49">
          <a:extLst>
            <a:ext uri="{FF2B5EF4-FFF2-40B4-BE49-F238E27FC236}">
              <a16:creationId xmlns:a16="http://schemas.microsoft.com/office/drawing/2014/main" id="{F45CEAA8-27BB-A97B-2E32-85859BA23A0A}"/>
            </a:ext>
          </a:extLst>
        </xdr:cNvPr>
        <xdr:cNvCxnSpPr/>
      </xdr:nvCxnSpPr>
      <xdr:spPr>
        <a:xfrm flipV="1">
          <a:off x="4501356" y="1658144"/>
          <a:ext cx="0" cy="142875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084" name="Match50">
          <a:extLst>
            <a:ext uri="{FF2B5EF4-FFF2-40B4-BE49-F238E27FC236}">
              <a16:creationId xmlns:a16="http://schemas.microsoft.com/office/drawing/2014/main" id="{20F3574B-41BA-4F2F-869C-A253DBD49950}"/>
            </a:ext>
          </a:extLst>
        </xdr:cNvPr>
        <xdr:cNvCxnSpPr/>
      </xdr:nvCxnSpPr>
      <xdr:spPr>
        <a:xfrm flipV="1">
          <a:off x="233124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085" name="Match51">
          <a:extLst>
            <a:ext uri="{FF2B5EF4-FFF2-40B4-BE49-F238E27FC236}">
              <a16:creationId xmlns:a16="http://schemas.microsoft.com/office/drawing/2014/main" id="{F5FD3246-AFCA-D799-8743-12A79296EBDB}"/>
            </a:ext>
          </a:extLst>
        </xdr:cNvPr>
        <xdr:cNvCxnSpPr/>
      </xdr:nvCxnSpPr>
      <xdr:spPr>
        <a:xfrm flipH="1" flipV="1">
          <a:off x="635794" y="535781"/>
          <a:ext cx="2119312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086" name="Match52">
          <a:extLst>
            <a:ext uri="{FF2B5EF4-FFF2-40B4-BE49-F238E27FC236}">
              <a16:creationId xmlns:a16="http://schemas.microsoft.com/office/drawing/2014/main" id="{A94EAA60-CF7A-2C0D-3927-BD0595D39834}"/>
            </a:ext>
          </a:extLst>
        </xdr:cNvPr>
        <xdr:cNvCxnSpPr/>
      </xdr:nvCxnSpPr>
      <xdr:spPr>
        <a:xfrm flipH="1" flipV="1">
          <a:off x="190738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5</xdr:row>
      <xdr:rowOff>203993</xdr:rowOff>
    </xdr:from>
    <xdr:to>
      <xdr:col>11</xdr:col>
      <xdr:colOff>237331</xdr:colOff>
      <xdr:row>11</xdr:row>
      <xdr:rowOff>203993</xdr:rowOff>
    </xdr:to>
    <xdr:cxnSp macro="">
      <xdr:nvCxnSpPr>
        <xdr:cNvPr id="1087" name="Match53">
          <a:extLst>
            <a:ext uri="{FF2B5EF4-FFF2-40B4-BE49-F238E27FC236}">
              <a16:creationId xmlns:a16="http://schemas.microsoft.com/office/drawing/2014/main" id="{4310BABA-CEE6-E1F6-65B7-0DECB1DAF144}"/>
            </a:ext>
          </a:extLst>
        </xdr:cNvPr>
        <xdr:cNvCxnSpPr/>
      </xdr:nvCxnSpPr>
      <xdr:spPr>
        <a:xfrm flipV="1">
          <a:off x="4899819" y="1989931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856" name="Match54">
          <a:extLst>
            <a:ext uri="{FF2B5EF4-FFF2-40B4-BE49-F238E27FC236}">
              <a16:creationId xmlns:a16="http://schemas.microsoft.com/office/drawing/2014/main" id="{E0D86016-6977-B98C-3911-7DF4E24D2C90}"/>
            </a:ext>
          </a:extLst>
        </xdr:cNvPr>
        <xdr:cNvCxnSpPr/>
      </xdr:nvCxnSpPr>
      <xdr:spPr>
        <a:xfrm flipH="1"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857" name="Match55">
          <a:extLst>
            <a:ext uri="{FF2B5EF4-FFF2-40B4-BE49-F238E27FC236}">
              <a16:creationId xmlns:a16="http://schemas.microsoft.com/office/drawing/2014/main" id="{BDF14E1F-774F-0387-301F-6DFFBE9AA318}"/>
            </a:ext>
          </a:extLst>
        </xdr:cNvPr>
        <xdr:cNvCxnSpPr/>
      </xdr:nvCxnSpPr>
      <xdr:spPr>
        <a:xfrm flipH="1"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858" name="Match56">
          <a:extLst>
            <a:ext uri="{FF2B5EF4-FFF2-40B4-BE49-F238E27FC236}">
              <a16:creationId xmlns:a16="http://schemas.microsoft.com/office/drawing/2014/main" id="{F4EBA825-242F-73EC-EFEA-8352C24D7DE9}"/>
            </a:ext>
          </a:extLst>
        </xdr:cNvPr>
        <xdr:cNvCxnSpPr/>
      </xdr:nvCxnSpPr>
      <xdr:spPr>
        <a:xfrm flipV="1"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859" name="Match57">
          <a:extLst>
            <a:ext uri="{FF2B5EF4-FFF2-40B4-BE49-F238E27FC236}">
              <a16:creationId xmlns:a16="http://schemas.microsoft.com/office/drawing/2014/main" id="{9BB41625-A6D0-3312-4175-152EBEE0C93D}"/>
            </a:ext>
          </a:extLst>
        </xdr:cNvPr>
        <xdr:cNvCxnSpPr/>
      </xdr:nvCxnSpPr>
      <xdr:spPr>
        <a:xfrm flipV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860" name="Match58">
          <a:extLst>
            <a:ext uri="{FF2B5EF4-FFF2-40B4-BE49-F238E27FC236}">
              <a16:creationId xmlns:a16="http://schemas.microsoft.com/office/drawing/2014/main" id="{ACBDD3CF-E50C-126D-35BC-FD7433A1CEB8}"/>
            </a:ext>
          </a:extLst>
        </xdr:cNvPr>
        <xdr:cNvCxnSpPr/>
      </xdr:nvCxnSpPr>
      <xdr:spPr>
        <a:xfrm flipV="1"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861" name="Match59">
          <a:extLst>
            <a:ext uri="{FF2B5EF4-FFF2-40B4-BE49-F238E27FC236}">
              <a16:creationId xmlns:a16="http://schemas.microsoft.com/office/drawing/2014/main" id="{3E1B3A78-8E73-2483-57AA-1192619E2CB5}"/>
            </a:ext>
          </a:extLst>
        </xdr:cNvPr>
        <xdr:cNvCxnSpPr/>
      </xdr:nvCxnSpPr>
      <xdr:spPr>
        <a:xfrm flipH="1">
          <a:off x="275510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862" name="Match60">
          <a:extLst>
            <a:ext uri="{FF2B5EF4-FFF2-40B4-BE49-F238E27FC236}">
              <a16:creationId xmlns:a16="http://schemas.microsoft.com/office/drawing/2014/main" id="{2C0DEA88-1451-3FD0-2CC4-7006486916D4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863" name="Match61">
          <a:extLst>
            <a:ext uri="{FF2B5EF4-FFF2-40B4-BE49-F238E27FC236}">
              <a16:creationId xmlns:a16="http://schemas.microsoft.com/office/drawing/2014/main" id="{536983C2-F6D3-D8EE-7328-B26376C0F7A6}"/>
            </a:ext>
          </a:extLst>
        </xdr:cNvPr>
        <xdr:cNvCxnSpPr/>
      </xdr:nvCxnSpPr>
      <xdr:spPr>
        <a:xfrm flipH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864" name="Match62">
          <a:extLst>
            <a:ext uri="{FF2B5EF4-FFF2-40B4-BE49-F238E27FC236}">
              <a16:creationId xmlns:a16="http://schemas.microsoft.com/office/drawing/2014/main" id="{BF309FFA-6CA1-3EDB-D090-47FBCE82A9D2}"/>
            </a:ext>
          </a:extLst>
        </xdr:cNvPr>
        <xdr:cNvCxnSpPr/>
      </xdr:nvCxnSpPr>
      <xdr:spPr>
        <a:xfrm>
          <a:off x="1059656" y="232171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865" name="Match63">
          <a:extLst>
            <a:ext uri="{FF2B5EF4-FFF2-40B4-BE49-F238E27FC236}">
              <a16:creationId xmlns:a16="http://schemas.microsoft.com/office/drawing/2014/main" id="{1C39B982-2612-E8E6-FF48-C329EE2BF9FA}"/>
            </a:ext>
          </a:extLst>
        </xdr:cNvPr>
        <xdr:cNvCxnSpPr/>
      </xdr:nvCxnSpPr>
      <xdr:spPr>
        <a:xfrm flipH="1" flipV="1">
          <a:off x="148351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866" name="Match64">
          <a:extLst>
            <a:ext uri="{FF2B5EF4-FFF2-40B4-BE49-F238E27FC236}">
              <a16:creationId xmlns:a16="http://schemas.microsoft.com/office/drawing/2014/main" id="{DF49DB27-21F1-0535-6805-640E7974AE97}"/>
            </a:ext>
          </a:extLst>
        </xdr:cNvPr>
        <xdr:cNvCxnSpPr/>
      </xdr:nvCxnSpPr>
      <xdr:spPr>
        <a:xfrm>
          <a:off x="635794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867" name="Match65">
          <a:extLst>
            <a:ext uri="{FF2B5EF4-FFF2-40B4-BE49-F238E27FC236}">
              <a16:creationId xmlns:a16="http://schemas.microsoft.com/office/drawing/2014/main" id="{341C605B-B01D-2BEA-3692-43DF298C2BD0}"/>
            </a:ext>
          </a:extLst>
        </xdr:cNvPr>
        <xdr:cNvCxnSpPr/>
      </xdr:nvCxnSpPr>
      <xdr:spPr>
        <a:xfrm>
          <a:off x="3602831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868" name="Match66">
          <a:extLst>
            <a:ext uri="{FF2B5EF4-FFF2-40B4-BE49-F238E27FC236}">
              <a16:creationId xmlns:a16="http://schemas.microsoft.com/office/drawing/2014/main" id="{B777FA89-A2AD-BDD7-3818-42FBB271EA61}"/>
            </a:ext>
          </a:extLst>
        </xdr:cNvPr>
        <xdr:cNvCxnSpPr/>
      </xdr:nvCxnSpPr>
      <xdr:spPr>
        <a:xfrm flipV="1">
          <a:off x="21193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869" name="Match67">
          <a:extLst>
            <a:ext uri="{FF2B5EF4-FFF2-40B4-BE49-F238E27FC236}">
              <a16:creationId xmlns:a16="http://schemas.microsoft.com/office/drawing/2014/main" id="{FA90E1D9-6A5E-AB99-0BD8-61DD268A340D}"/>
            </a:ext>
          </a:extLst>
        </xdr:cNvPr>
        <xdr:cNvCxnSpPr/>
      </xdr:nvCxnSpPr>
      <xdr:spPr>
        <a:xfrm flipV="1">
          <a:off x="2755106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870" name="Match68">
          <a:extLst>
            <a:ext uri="{FF2B5EF4-FFF2-40B4-BE49-F238E27FC236}">
              <a16:creationId xmlns:a16="http://schemas.microsoft.com/office/drawing/2014/main" id="{A992CD71-D412-071F-01B3-9E507B9734F6}"/>
            </a:ext>
          </a:extLst>
        </xdr:cNvPr>
        <xdr:cNvCxnSpPr/>
      </xdr:nvCxnSpPr>
      <xdr:spPr>
        <a:xfrm flipH="1">
          <a:off x="275510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871" name="Match69">
          <a:extLst>
            <a:ext uri="{FF2B5EF4-FFF2-40B4-BE49-F238E27FC236}">
              <a16:creationId xmlns:a16="http://schemas.microsoft.com/office/drawing/2014/main" id="{26953923-3F44-9B99-D1EB-22DD9F3E9966}"/>
            </a:ext>
          </a:extLst>
        </xdr:cNvPr>
        <xdr:cNvCxnSpPr/>
      </xdr:nvCxnSpPr>
      <xdr:spPr>
        <a:xfrm flipV="1">
          <a:off x="190738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872" name="Match70">
          <a:extLst>
            <a:ext uri="{FF2B5EF4-FFF2-40B4-BE49-F238E27FC236}">
              <a16:creationId xmlns:a16="http://schemas.microsoft.com/office/drawing/2014/main" id="{B6232938-68DB-C829-884E-CE50698D939B}"/>
            </a:ext>
          </a:extLst>
        </xdr:cNvPr>
        <xdr:cNvCxnSpPr/>
      </xdr:nvCxnSpPr>
      <xdr:spPr>
        <a:xfrm flipH="1">
          <a:off x="211931" y="37504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DB2BA56-EA41-D8DD-CAEB-E8C996612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11" sqref="A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3">
        <v>3</v>
      </c>
      <c r="C1" s="23">
        <v>8</v>
      </c>
      <c r="D1" s="23">
        <v>8</v>
      </c>
      <c r="E1" s="23">
        <v>2</v>
      </c>
      <c r="F1" s="27">
        <v>6</v>
      </c>
      <c r="G1" s="27">
        <v>1</v>
      </c>
      <c r="H1" s="22">
        <v>6</v>
      </c>
      <c r="I1" s="23">
        <v>3</v>
      </c>
      <c r="J1" s="23">
        <v>9</v>
      </c>
      <c r="K1" s="23">
        <v>7</v>
      </c>
      <c r="L1" s="23">
        <v>1</v>
      </c>
      <c r="N1" s="2">
        <v>54</v>
      </c>
      <c r="O1" s="1">
        <v>14</v>
      </c>
    </row>
    <row r="2" spans="1:15" s="2" customFormat="1" ht="28.25" customHeight="1">
      <c r="A2" s="27">
        <v>8</v>
      </c>
      <c r="B2" s="22">
        <v>8</v>
      </c>
      <c r="C2" s="23">
        <v>7</v>
      </c>
      <c r="D2" s="22">
        <v>5</v>
      </c>
      <c r="E2" s="23">
        <v>2</v>
      </c>
      <c r="F2" s="27">
        <v>6</v>
      </c>
      <c r="G2" s="22">
        <v>4</v>
      </c>
      <c r="H2" s="23">
        <v>2</v>
      </c>
      <c r="I2" s="23">
        <v>8</v>
      </c>
      <c r="J2" s="23">
        <v>9</v>
      </c>
      <c r="K2" s="27">
        <v>2</v>
      </c>
      <c r="L2" s="27">
        <v>3</v>
      </c>
      <c r="N2" s="2">
        <v>82</v>
      </c>
      <c r="O2" s="2">
        <v>23</v>
      </c>
    </row>
    <row r="3" spans="1:15" ht="28.25" customHeight="1">
      <c r="A3" s="23">
        <v>3</v>
      </c>
      <c r="B3" s="23">
        <v>7</v>
      </c>
      <c r="C3" s="22">
        <v>1</v>
      </c>
      <c r="D3" s="27">
        <v>6</v>
      </c>
      <c r="E3" s="22">
        <v>1</v>
      </c>
      <c r="F3" s="22">
        <v>3</v>
      </c>
      <c r="G3" s="27">
        <v>6</v>
      </c>
      <c r="H3" s="22">
        <v>5</v>
      </c>
      <c r="I3" s="23">
        <v>8</v>
      </c>
      <c r="J3" s="27">
        <v>1</v>
      </c>
      <c r="K3" s="27">
        <v>2</v>
      </c>
      <c r="L3" s="27">
        <v>6</v>
      </c>
      <c r="N3" s="2">
        <v>132</v>
      </c>
      <c r="O3" s="1">
        <v>1</v>
      </c>
    </row>
    <row r="4" spans="1:15" ht="28.25" customHeight="1">
      <c r="A4" s="23">
        <v>1</v>
      </c>
      <c r="B4" s="23">
        <v>1</v>
      </c>
      <c r="C4" s="27">
        <v>8</v>
      </c>
      <c r="D4" s="22">
        <v>1</v>
      </c>
      <c r="E4" s="27">
        <v>6</v>
      </c>
      <c r="F4" s="22">
        <v>2</v>
      </c>
      <c r="G4" s="22">
        <v>5</v>
      </c>
      <c r="H4" s="23">
        <v>2</v>
      </c>
      <c r="I4" s="27">
        <v>5</v>
      </c>
      <c r="J4" s="23">
        <v>2</v>
      </c>
      <c r="K4" s="23">
        <v>4</v>
      </c>
      <c r="L4" s="27">
        <v>9</v>
      </c>
      <c r="N4" s="2">
        <v>99</v>
      </c>
      <c r="O4" s="1">
        <v>10</v>
      </c>
    </row>
    <row r="5" spans="1:15" ht="28.25" customHeight="1">
      <c r="A5" s="27">
        <v>4</v>
      </c>
      <c r="B5" s="27">
        <v>1</v>
      </c>
      <c r="C5" s="23">
        <v>5</v>
      </c>
      <c r="D5" s="23">
        <v>4</v>
      </c>
      <c r="E5" s="22">
        <v>2</v>
      </c>
      <c r="F5" s="22">
        <v>8</v>
      </c>
      <c r="G5" s="22">
        <v>7</v>
      </c>
      <c r="H5" s="23">
        <v>1</v>
      </c>
      <c r="I5" s="27">
        <v>9</v>
      </c>
      <c r="J5" s="23">
        <v>8</v>
      </c>
      <c r="K5" s="22">
        <v>5</v>
      </c>
      <c r="L5" s="27">
        <v>6</v>
      </c>
      <c r="N5" s="2">
        <v>8641855</v>
      </c>
      <c r="O5" s="1">
        <v>1</v>
      </c>
    </row>
    <row r="6" spans="1:15" ht="28.25" customHeight="1">
      <c r="A6" s="27">
        <v>6</v>
      </c>
      <c r="B6" s="23">
        <v>8</v>
      </c>
      <c r="C6" s="23">
        <v>2</v>
      </c>
      <c r="D6" s="22">
        <v>5</v>
      </c>
      <c r="E6" s="22">
        <v>1</v>
      </c>
      <c r="F6" s="22">
        <v>2</v>
      </c>
      <c r="G6" s="23">
        <v>8</v>
      </c>
      <c r="H6" s="22">
        <v>6</v>
      </c>
      <c r="I6" s="23">
        <v>8</v>
      </c>
      <c r="J6" s="23">
        <v>5</v>
      </c>
      <c r="K6" s="22">
        <v>8</v>
      </c>
      <c r="L6" s="22">
        <v>9</v>
      </c>
      <c r="N6" s="2">
        <v>95685</v>
      </c>
      <c r="O6" s="1">
        <v>1</v>
      </c>
    </row>
    <row r="7" spans="1:15" ht="28.25" customHeight="1">
      <c r="A7" s="23">
        <v>2</v>
      </c>
      <c r="B7" s="27">
        <v>6</v>
      </c>
      <c r="C7" s="22">
        <v>7</v>
      </c>
      <c r="D7" s="22">
        <v>4</v>
      </c>
      <c r="E7" s="22">
        <v>7</v>
      </c>
      <c r="F7" s="23">
        <v>2</v>
      </c>
      <c r="G7" s="22">
        <v>2</v>
      </c>
      <c r="H7" s="23">
        <v>8</v>
      </c>
      <c r="I7" s="23">
        <v>4</v>
      </c>
      <c r="J7" s="27">
        <v>1</v>
      </c>
      <c r="K7" s="22">
        <v>6</v>
      </c>
      <c r="L7" s="22">
        <v>8</v>
      </c>
      <c r="N7" s="2">
        <v>346</v>
      </c>
      <c r="O7" s="1">
        <v>1</v>
      </c>
    </row>
    <row r="8" spans="1:15" ht="28.25" customHeight="1">
      <c r="A8" s="27">
        <v>5</v>
      </c>
      <c r="B8" s="27">
        <v>7</v>
      </c>
      <c r="C8" s="22">
        <v>6</v>
      </c>
      <c r="D8" s="22">
        <v>7</v>
      </c>
      <c r="E8" s="22">
        <v>5</v>
      </c>
      <c r="F8" s="27">
        <v>3</v>
      </c>
      <c r="G8" s="23">
        <v>3</v>
      </c>
      <c r="H8" s="27">
        <v>3</v>
      </c>
      <c r="I8" s="27">
        <v>1</v>
      </c>
      <c r="J8" s="23">
        <v>4</v>
      </c>
      <c r="K8" s="22">
        <v>5</v>
      </c>
      <c r="L8" s="22">
        <v>4</v>
      </c>
      <c r="N8" s="2">
        <v>222118</v>
      </c>
      <c r="O8" s="1">
        <v>1</v>
      </c>
    </row>
    <row r="9" spans="1:15" ht="28.25" customHeight="1">
      <c r="A9" s="27">
        <v>3</v>
      </c>
      <c r="B9" s="22">
        <v>8</v>
      </c>
      <c r="C9" s="27">
        <v>7</v>
      </c>
      <c r="D9" s="27">
        <v>6</v>
      </c>
      <c r="E9" s="22">
        <v>5</v>
      </c>
      <c r="F9" s="22">
        <v>6</v>
      </c>
      <c r="G9" s="27">
        <v>5</v>
      </c>
      <c r="H9" s="22">
        <v>2</v>
      </c>
      <c r="I9" s="27">
        <v>6</v>
      </c>
      <c r="J9" s="23">
        <v>9</v>
      </c>
      <c r="K9" s="22">
        <v>9</v>
      </c>
      <c r="L9" s="22">
        <v>3</v>
      </c>
      <c r="N9" s="2">
        <v>25865</v>
      </c>
      <c r="O9" s="1">
        <v>1</v>
      </c>
    </row>
    <row r="10" spans="1:15" ht="28.25" customHeight="1">
      <c r="A10" s="27">
        <v>6</v>
      </c>
      <c r="B10" s="23">
        <v>4</v>
      </c>
      <c r="C10" s="22">
        <v>9</v>
      </c>
      <c r="D10" s="22">
        <v>9</v>
      </c>
      <c r="E10" s="23">
        <v>2</v>
      </c>
      <c r="F10" s="22">
        <v>9</v>
      </c>
      <c r="G10" s="22">
        <v>8</v>
      </c>
      <c r="H10" s="23">
        <v>8</v>
      </c>
      <c r="I10" s="22">
        <v>3</v>
      </c>
      <c r="J10" s="27">
        <v>1</v>
      </c>
      <c r="K10" s="23">
        <v>9</v>
      </c>
      <c r="L10" s="22">
        <v>8</v>
      </c>
      <c r="N10" s="2">
        <v>8583489</v>
      </c>
      <c r="O10" s="1">
        <v>1</v>
      </c>
    </row>
    <row r="11" spans="1:15" ht="28.25" customHeight="1">
      <c r="A11" s="22">
        <v>5</v>
      </c>
      <c r="B11" s="22">
        <v>5</v>
      </c>
      <c r="C11" s="22">
        <v>2</v>
      </c>
      <c r="D11" s="22">
        <v>2</v>
      </c>
      <c r="E11" s="27">
        <v>3</v>
      </c>
      <c r="F11" s="22">
        <v>8</v>
      </c>
      <c r="G11" s="27">
        <v>3</v>
      </c>
      <c r="H11" s="22">
        <v>5</v>
      </c>
      <c r="I11" s="23">
        <v>1</v>
      </c>
      <c r="J11" s="22">
        <v>1</v>
      </c>
      <c r="K11" s="23">
        <v>2</v>
      </c>
      <c r="L11" s="22">
        <v>5</v>
      </c>
      <c r="N11" s="2">
        <v>17</v>
      </c>
      <c r="O11" s="1">
        <v>8</v>
      </c>
    </row>
    <row r="12" spans="1:15" ht="28.25" customHeight="1">
      <c r="A12" s="23">
        <v>4</v>
      </c>
      <c r="B12" s="27">
        <v>3</v>
      </c>
      <c r="C12" s="27">
        <v>5</v>
      </c>
      <c r="D12" s="23">
        <v>8</v>
      </c>
      <c r="E12" s="22">
        <v>3</v>
      </c>
      <c r="F12" s="27">
        <v>3</v>
      </c>
      <c r="G12" s="27">
        <v>8</v>
      </c>
      <c r="H12" s="23">
        <v>7</v>
      </c>
      <c r="I12" s="22">
        <v>2</v>
      </c>
      <c r="J12" s="23">
        <v>4</v>
      </c>
      <c r="K12" s="23">
        <v>5</v>
      </c>
      <c r="L12" s="22">
        <v>8</v>
      </c>
      <c r="N12" s="2">
        <v>7759</v>
      </c>
      <c r="O12" s="1">
        <v>1</v>
      </c>
    </row>
    <row r="13" spans="1:15" ht="28.25" customHeight="1">
      <c r="N13" s="2">
        <v>67215</v>
      </c>
      <c r="O13" s="1">
        <v>1</v>
      </c>
    </row>
    <row r="14" spans="1:15" ht="28.25" customHeight="1">
      <c r="N14" s="2">
        <v>388</v>
      </c>
      <c r="O14" s="1">
        <v>6</v>
      </c>
    </row>
    <row r="15" spans="1:15" ht="28.25" customHeight="1">
      <c r="N15" s="2">
        <v>2255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07"/>
  <sheetViews>
    <sheetView tabSelected="1" zoomScaleNormal="100" workbookViewId="0">
      <pane ySplit="2" topLeftCell="A203" activePane="bottomLeft" state="frozen"/>
      <selection pane="bottomLeft" activeCell="A207" sqref="A20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463</v>
      </c>
      <c r="I204" t="s">
        <v>464</v>
      </c>
      <c r="J204">
        <v>0</v>
      </c>
      <c r="K204">
        <f t="shared" ref="K204" si="167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68">L203+K204</f>
        <v>239</v>
      </c>
      <c r="M204">
        <f t="shared" ref="M204" si="169">2+IF(A204&gt;=DATEVALUE("2025/11/30")+TIMEVALUE("6:00"),1,0)+IF(A204&gt;=DATEVALUE("2025/12/11")+TIMEVALUE("6:00"),1,0)</f>
        <v>4</v>
      </c>
      <c r="N204">
        <f t="shared" ref="N204" si="170">N203+M204*(INT(A204-6/24)-INT(A203-6/24))+O204</f>
        <v>240</v>
      </c>
      <c r="O204">
        <f t="shared" ref="O204" si="171">IF(A204&gt;=DATEVALUE("2025/11/8")+TIMEVALUE("6:00"),1,0)-IF(A203&gt;=DATEVALUE("2025/11/8")+TIMEVALUE("6:00"),1,0)</f>
        <v>0</v>
      </c>
      <c r="P204" t="str">
        <f t="shared" ref="P204" si="172">IF(L204&lt;N204,"未達成（"&amp;N204-L204&amp;"）",IF(L204=N204,"達成","前倒し（"&amp;L204-N204&amp;"）"))</f>
        <v>未達成（1）</v>
      </c>
      <c r="Q204">
        <f t="shared" ref="Q204" si="173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465</v>
      </c>
      <c r="I205" t="s">
        <v>466</v>
      </c>
      <c r="J205">
        <v>0</v>
      </c>
      <c r="K205">
        <f t="shared" ref="K205" si="174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75">L204+K205</f>
        <v>241</v>
      </c>
      <c r="M205">
        <f t="shared" ref="M205" si="176">2+IF(A205&gt;=DATEVALUE("2025/11/30")+TIMEVALUE("6:00"),1,0)+IF(A205&gt;=DATEVALUE("2025/12/11")+TIMEVALUE("6:00"),1,0)</f>
        <v>4</v>
      </c>
      <c r="N205">
        <f t="shared" ref="N205" si="177">N204+M205*(INT(A205-6/24)-INT(A204-6/24))+O205</f>
        <v>240</v>
      </c>
      <c r="O205">
        <f t="shared" ref="O205" si="178">IF(A205&gt;=DATEVALUE("2025/11/8")+TIMEVALUE("6:00"),1,0)-IF(A204&gt;=DATEVALUE("2025/11/8")+TIMEVALUE("6:00"),1,0)</f>
        <v>0</v>
      </c>
      <c r="P205" t="str">
        <f t="shared" ref="P205" si="179">IF(L205&lt;N205,"未達成（"&amp;N205-L205&amp;"）",IF(L205=N205,"達成","前倒し（"&amp;L205-N205&amp;"）"))</f>
        <v>前倒し（1）</v>
      </c>
      <c r="Q205">
        <f t="shared" ref="Q205" si="180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467</v>
      </c>
      <c r="I206" t="s">
        <v>468</v>
      </c>
      <c r="J206">
        <v>0</v>
      </c>
      <c r="K206">
        <f t="shared" ref="K206" si="181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82">L205+K206</f>
        <v>243</v>
      </c>
      <c r="M206">
        <f t="shared" ref="M206" si="183">2+IF(A206&gt;=DATEVALUE("2025/11/30")+TIMEVALUE("6:00"),1,0)+IF(A206&gt;=DATEVALUE("2025/12/11")+TIMEVALUE("6:00"),1,0)</f>
        <v>4</v>
      </c>
      <c r="N206">
        <f t="shared" ref="N206" si="184">N205+M206*(INT(A206-6/24)-INT(A205-6/24))+O206</f>
        <v>244</v>
      </c>
      <c r="O206">
        <f t="shared" ref="O206" si="185">IF(A206&gt;=DATEVALUE("2025/11/8")+TIMEVALUE("6:00"),1,0)-IF(A205&gt;=DATEVALUE("2025/11/8")+TIMEVALUE("6:00"),1,0)</f>
        <v>0</v>
      </c>
      <c r="P206" t="str">
        <f t="shared" ref="P206" si="186">IF(L206&lt;N206,"未達成（"&amp;N206-L206&amp;"）",IF(L206=N206,"達成","前倒し（"&amp;L206-N206&amp;"）"))</f>
        <v>未達成（1）</v>
      </c>
      <c r="Q206">
        <f t="shared" ref="Q206" si="187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469</v>
      </c>
      <c r="I207" t="s">
        <v>470</v>
      </c>
      <c r="J207">
        <v>0</v>
      </c>
      <c r="K207">
        <f t="shared" ref="K207" si="188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89">L206+K207</f>
        <v>245</v>
      </c>
      <c r="M207">
        <f t="shared" ref="M207" si="190">2+IF(A207&gt;=DATEVALUE("2025/11/30")+TIMEVALUE("6:00"),1,0)+IF(A207&gt;=DATEVALUE("2025/12/11")+TIMEVALUE("6:00"),1,0)</f>
        <v>4</v>
      </c>
      <c r="N207">
        <f t="shared" ref="N207" si="191">N206+M207*(INT(A207-6/24)-INT(A206-6/24))+O207</f>
        <v>244</v>
      </c>
      <c r="O207">
        <f t="shared" ref="O207" si="192">IF(A207&gt;=DATEVALUE("2025/11/8")+TIMEVALUE("6:00"),1,0)-IF(A206&gt;=DATEVALUE("2025/11/8")+TIMEVALUE("6:00"),1,0)</f>
        <v>0</v>
      </c>
      <c r="P207" t="str">
        <f t="shared" ref="P207" si="193">IF(L207&lt;N207,"未達成（"&amp;N207-L207&amp;"）",IF(L207=N207,"達成","前倒し（"&amp;L207-N207&amp;"）"))</f>
        <v>前倒し（1）</v>
      </c>
      <c r="Q207">
        <f t="shared" ref="Q207" si="194">IF(B207="",NA(),G207)</f>
        <v>5.8449074058444239E-3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46040.830092592594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2026-01-18T11:04:32Z</dcterms:modified>
</cp:coreProperties>
</file>
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7791B78C-094C-4DA0-B6B2-B7E0D12412EB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76" i="4" l="1"/>
  <c r="M76" i="4"/>
  <c r="N76" i="4" s="1"/>
  <c r="K76" i="4"/>
  <c r="L76" i="4" s="1"/>
  <c r="P76" i="4" s="1"/>
  <c r="M75" i="4"/>
  <c r="M74" i="4"/>
  <c r="M73" i="4"/>
  <c r="M72" i="4"/>
  <c r="M71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K75" i="4"/>
  <c r="L75" i="4" s="1"/>
  <c r="K74" i="4"/>
  <c r="L74" i="4" s="1"/>
  <c r="K73" i="4"/>
  <c r="L73" i="4" s="1"/>
  <c r="K72" i="4" l="1"/>
  <c r="L72" i="4" s="1"/>
  <c r="K71" i="4"/>
  <c r="L71" i="4" s="1"/>
  <c r="K70" i="4"/>
  <c r="L70" i="4" s="1"/>
  <c r="K69" i="4"/>
  <c r="L69" i="4" s="1"/>
  <c r="K68" i="4"/>
  <c r="L68" i="4" s="1"/>
  <c r="K67" i="4"/>
  <c r="L67" i="4" s="1"/>
  <c r="K66" i="4"/>
  <c r="L66" i="4" s="1"/>
  <c r="L65" i="4"/>
  <c r="K65" i="4"/>
  <c r="K64" i="4"/>
  <c r="L64" i="4" s="1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L17" i="4" s="1"/>
  <c r="N17" i="4"/>
  <c r="L18" i="4" l="1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l="1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56" i="4" l="1"/>
  <c r="T2" i="5"/>
  <c r="T3" i="5"/>
  <c r="T4" i="3"/>
  <c r="S5" i="3"/>
  <c r="L57" i="4" l="1"/>
  <c r="T4" i="5"/>
  <c r="S6" i="3"/>
  <c r="T6" i="3" s="1"/>
  <c r="T5" i="3"/>
  <c r="L58" i="4" l="1"/>
  <c r="T6" i="5"/>
  <c r="T5" i="5"/>
  <c r="L59" i="4" l="1"/>
  <c r="L60" i="4" l="1"/>
  <c r="L61" i="4" l="1"/>
  <c r="L62" i="4" s="1"/>
  <c r="L63" i="4" s="1"/>
  <c r="P17" i="4" l="1"/>
  <c r="N18" i="4"/>
  <c r="N19" i="4" l="1"/>
  <c r="P18" i="4"/>
  <c r="N20" i="4" l="1"/>
  <c r="P19" i="4"/>
  <c r="N21" i="4" l="1"/>
  <c r="P20" i="4"/>
  <c r="N22" i="4" l="1"/>
  <c r="P21" i="4"/>
  <c r="N23" i="4" l="1"/>
  <c r="P22" i="4"/>
  <c r="N24" i="4" l="1"/>
  <c r="P23" i="4"/>
  <c r="N25" i="4" l="1"/>
  <c r="P24" i="4"/>
  <c r="N26" i="4" l="1"/>
  <c r="P25" i="4"/>
  <c r="N27" i="4" l="1"/>
  <c r="P26" i="4"/>
  <c r="N28" i="4" l="1"/>
  <c r="P27" i="4"/>
  <c r="N29" i="4" l="1"/>
  <c r="P28" i="4"/>
  <c r="N30" i="4" l="1"/>
  <c r="P29" i="4"/>
  <c r="N31" i="4" l="1"/>
  <c r="P30" i="4"/>
  <c r="N32" i="4" l="1"/>
  <c r="P31" i="4"/>
  <c r="N33" i="4" l="1"/>
  <c r="P32" i="4"/>
  <c r="N34" i="4" l="1"/>
  <c r="P33" i="4"/>
  <c r="N35" i="4" l="1"/>
  <c r="P34" i="4"/>
  <c r="N36" i="4" l="1"/>
  <c r="P35" i="4"/>
  <c r="N37" i="4" l="1"/>
  <c r="P36" i="4"/>
  <c r="N38" i="4" l="1"/>
  <c r="P37" i="4"/>
  <c r="N39" i="4" l="1"/>
  <c r="P38" i="4"/>
  <c r="N40" i="4" l="1"/>
  <c r="P39" i="4"/>
  <c r="N41" i="4" l="1"/>
  <c r="P40" i="4"/>
  <c r="N42" i="4" l="1"/>
  <c r="P41" i="4"/>
  <c r="N43" i="4" l="1"/>
  <c r="P42" i="4"/>
  <c r="N44" i="4" l="1"/>
  <c r="P43" i="4"/>
  <c r="N45" i="4" l="1"/>
  <c r="P44" i="4"/>
  <c r="N46" i="4" l="1"/>
  <c r="P45" i="4"/>
  <c r="N47" i="4" l="1"/>
  <c r="P46" i="4"/>
  <c r="N48" i="4" l="1"/>
  <c r="P47" i="4"/>
  <c r="N49" i="4" l="1"/>
  <c r="P48" i="4"/>
  <c r="N50" i="4" l="1"/>
  <c r="P49" i="4"/>
  <c r="N51" i="4" l="1"/>
  <c r="P50" i="4"/>
  <c r="N52" i="4" l="1"/>
  <c r="P51" i="4"/>
  <c r="N53" i="4" l="1"/>
  <c r="P52" i="4"/>
  <c r="N54" i="4" l="1"/>
  <c r="P53" i="4"/>
  <c r="N55" i="4" l="1"/>
  <c r="P54" i="4"/>
  <c r="N56" i="4" l="1"/>
  <c r="P55" i="4"/>
  <c r="N57" i="4" l="1"/>
  <c r="P56" i="4"/>
  <c r="N58" i="4" l="1"/>
  <c r="P57" i="4"/>
  <c r="N59" i="4" l="1"/>
  <c r="P58" i="4"/>
  <c r="N60" i="4" l="1"/>
  <c r="P59" i="4"/>
  <c r="N61" i="4" l="1"/>
  <c r="N62" i="4" s="1"/>
  <c r="P60" i="4"/>
  <c r="P62" i="4" l="1"/>
  <c r="N63" i="4"/>
  <c r="P61" i="4"/>
  <c r="P63" i="4" l="1"/>
  <c r="N64" i="4"/>
  <c r="N65" i="4" l="1"/>
  <c r="P64" i="4"/>
  <c r="N66" i="4" l="1"/>
  <c r="P65" i="4"/>
  <c r="P66" i="4" l="1"/>
  <c r="N67" i="4"/>
  <c r="P67" i="4" l="1"/>
  <c r="N68" i="4"/>
  <c r="N69" i="4" l="1"/>
  <c r="P68" i="4"/>
  <c r="P69" i="4" l="1"/>
  <c r="N70" i="4"/>
  <c r="P70" i="4" l="1"/>
  <c r="N71" i="4"/>
  <c r="N72" i="4" l="1"/>
  <c r="P71" i="4"/>
  <c r="N73" i="4" l="1"/>
  <c r="P72" i="4"/>
  <c r="N74" i="4" l="1"/>
  <c r="P73" i="4"/>
  <c r="P74" i="4" l="1"/>
  <c r="N75" i="4"/>
  <c r="P75" i="4" s="1"/>
</calcChain>
</file>

<file path=xl/sharedStrings.xml><?xml version="1.0" encoding="utf-8"?>
<sst xmlns="http://schemas.openxmlformats.org/spreadsheetml/2006/main" count="229" uniqueCount="210">
  <si>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</si>
  <si>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</si>
  <si>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</si>
  <si>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</si>
  <si>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</si>
  <si>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</si>
  <si>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</si>
  <si>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</si>
  <si>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</si>
  <si>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</si>
  <si>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</si>
  <si>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</si>
  <si>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</si>
  <si>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</si>
  <si>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</si>
  <si>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</si>
  <si>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</si>
  <si>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</si>
  <si>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</si>
  <si>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</si>
  <si>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</si>
  <si>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</si>
  <si>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</si>
  <si>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</si>
  <si>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</si>
  <si>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</si>
  <si>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</si>
  <si>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</si>
  <si>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</si>
  <si>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</si>
  <si>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</si>
  <si>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</si>
  <si>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</si>
  <si>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</si>
  <si>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</si>
  <si>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</si>
  <si>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</si>
  <si>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</si>
  <si>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</si>
  <si>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</si>
  <si>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</si>
  <si>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</si>
  <si>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</si>
  <si>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</si>
  <si>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</si>
  <si>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</si>
  <si>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</si>
  <si>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</si>
  <si>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</si>
  <si>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</si>
  <si>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</si>
  <si>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</si>
  <si>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</si>
  <si>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</si>
  <si>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</si>
  <si>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</si>
  <si>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</si>
  <si>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</si>
  <si>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</si>
  <si>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</si>
  <si>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</si>
  <si>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</si>
  <si>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</si>
  <si>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</si>
  <si>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</si>
  <si>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</si>
  <si>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</si>
  <si>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</si>
  <si>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</si>
  <si>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</si>
  <si>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</si>
  <si>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</si>
  <si>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</si>
  <si>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</si>
  <si>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</si>
  <si>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</si>
  <si>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</si>
  <si>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</si>
  <si>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</si>
  <si>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</si>
  <si>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</si>
  <si>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</si>
  <si>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</si>
  <si>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</si>
  <si>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</si>
  <si>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</si>
  <si>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</si>
  <si>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</si>
  <si>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</si>
  <si>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</si>
  <si>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</si>
  <si>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</si>
  <si>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</si>
  <si>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</si>
  <si>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</si>
  <si>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</si>
  <si>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</si>
  <si>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</si>
  <si>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</si>
  <si>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</si>
  <si>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</si>
  <si>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</si>
  <si>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</si>
  <si>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</si>
  <si>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</si>
  <si>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</si>
  <si>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</si>
  <si>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</si>
  <si>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</si>
  <si>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</si>
  <si>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</si>
  <si>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</si>
  <si>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</si>
  <si>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</si>
  <si>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</si>
  <si>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</si>
  <si>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</si>
  <si>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</si>
  <si>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</si>
  <si>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</si>
  <si>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</si>
  <si>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</si>
  <si>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</si>
  <si>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</si>
  <si>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</si>
  <si>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</si>
  <si>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</si>
  <si>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</si>
  <si>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</si>
  <si>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</si>
  <si>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</si>
  <si>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</si>
  <si>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</si>
  <si>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</si>
  <si>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</si>
  <si>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</si>
  <si>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</si>
  <si>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</si>
  <si>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</si>
  <si>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</si>
  <si>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</si>
  <si>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</si>
  <si>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</si>
  <si>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</si>
  <si>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</si>
  <si>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</si>
  <si>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</si>
  <si>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</si>
  <si>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</si>
  <si>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</si>
  <si>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</si>
  <si>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</si>
  <si>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</si>
  <si>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</si>
  <si>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</si>
  <si>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</si>
  <si>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</si>
  <si>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</si>
  <si>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</si>
  <si>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</si>
  <si>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</si>
  <si>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</si>
  <si>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</si>
  <si>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</si>
  <si>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</si>
  <si>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</si>
  <si>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</si>
  <si>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</si>
  <si>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</si>
  <si>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</si>
  <si>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</si>
  <si>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</si>
  <si>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</si>
  <si>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</si>
  <si>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</si>
  <si>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</si>
  <si>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</si>
  <si>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</si>
  <si>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</si>
  <si>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</si>
  <si>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</si>
  <si>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</si>
  <si>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</si>
  <si>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</si>
  <si>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</si>
  <si>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</si>
  <si>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</si>
  <si>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</si>
  <si>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</si>
  <si>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</si>
  <si>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</si>
  <si>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</si>
  <si>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</si>
  <si>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</si>
  <si>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</si>
  <si>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</si>
  <si>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</si>
  <si>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</si>
  <si>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</si>
  <si>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</si>
  <si>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</si>
  <si>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</si>
  <si>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</si>
  <si>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</si>
  <si>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</si>
  <si>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</si>
  <si>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</si>
  <si>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１日目標ポイント（２と2025/11/30以降は１）</t>
    <rPh sb="1" eb="2">
      <t>ニチ</t>
    </rPh>
    <rPh sb="21" eb="23">
      <t>イコウ</t>
    </rPh>
    <phoneticPr fontId="1"/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</si>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</sst>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データ!$P$1:$P$75</c:f>
              <c:strCache>
                <c:ptCount val="75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データ!$A$2:$A$76</c:f>
              <c:numCache>
                <c:formatCode>m/d/yyyy\ h:mm</c:formatCode>
                <c:ptCount val="7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</c:numCache>
            </c:numRef>
          </c:xVal>
          <c:yVal>
            <c:numRef>
              <c:f>データ!$B$2:$B$76</c:f>
              <c:numCache>
                <c:formatCode>General</c:formatCode>
                <c:ptCount val="75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34-4AA7-B1ED-CAEED806A70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6634-4AA7-B1ED-CAEED806A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508960"/>
        <c:axId val="631509440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データ!$A$2:$A$76</c:f>
              <c:numCache>
                <c:formatCode>m/d/yyyy\ h:mm</c:formatCode>
                <c:ptCount val="7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</c:numCache>
            </c:numRef>
          </c:xVal>
          <c:yVal>
            <c:numRef>
              <c:f>データ!$G$2:$G$76</c:f>
              <c:numCache>
                <c:formatCode>[h]:mm</c:formatCode>
                <c:ptCount val="75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34-4AA7-B1ED-CAEED806A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521920"/>
        <c:axId val="631524800"/>
      </c:scatterChart>
      <c:valAx>
        <c:axId val="63150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1509440"/>
        <c:crosses val="autoZero"/>
        <c:crossBetween val="midCat"/>
      </c:valAx>
      <c:valAx>
        <c:axId val="63150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1508960"/>
        <c:crosses val="autoZero"/>
        <c:crossBetween val="midCat"/>
      </c:valAx>
      <c:valAx>
        <c:axId val="631524800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1521920"/>
        <c:crosses val="max"/>
        <c:crossBetween val="midCat"/>
      </c:valAx>
      <c:valAx>
        <c:axId val="63152192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152480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3EAF588-D04E-25E5-6A08-50C36B73E1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G9" sqref="G9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3">
        <v>4</v>
      </c>
      <c r="B1" s="26">
        <v>1</v>
      </c>
      <c r="C1" s="22">
        <v>9</v>
      </c>
      <c r="D1" s="22">
        <v>5</v>
      </c>
      <c r="E1" s="22">
        <v>6</v>
      </c>
      <c r="F1" s="23">
        <v>4</v>
      </c>
      <c r="G1" s="23">
        <v>2</v>
      </c>
      <c r="H1" s="23">
        <v>8</v>
      </c>
      <c r="I1" s="23">
        <v>1</v>
      </c>
      <c r="J1" s="23">
        <v>7</v>
      </c>
      <c r="K1" s="26">
        <v>2</v>
      </c>
      <c r="L1" s="26">
        <v>3</v>
      </c>
      <c r="N1" s="2">
        <v>4522853</v>
      </c>
      <c r="O1" s="1">
        <v>1</v>
      </c>
    </row>
    <row r="2" spans="1:15" ht="28.25" customHeight="1">
      <c r="A2" s="23">
        <v>4</v>
      </c>
      <c r="B2" s="22">
        <v>7</v>
      </c>
      <c r="C2" s="23">
        <v>4</v>
      </c>
      <c r="D2" s="23">
        <v>1</v>
      </c>
      <c r="E2" s="23">
        <v>4</v>
      </c>
      <c r="F2" s="23">
        <v>7</v>
      </c>
      <c r="G2" s="22">
        <v>7</v>
      </c>
      <c r="H2" s="22">
        <v>6</v>
      </c>
      <c r="I2" s="22">
        <v>6</v>
      </c>
      <c r="J2" s="22">
        <v>8</v>
      </c>
      <c r="K2" s="22">
        <v>7</v>
      </c>
      <c r="L2" s="22">
        <v>9</v>
      </c>
      <c r="N2" s="2">
        <v>7586</v>
      </c>
      <c r="O2" s="1">
        <v>1</v>
      </c>
    </row>
    <row r="3" spans="1:15" ht="28.25" customHeight="1">
      <c r="A3" s="23">
        <v>9</v>
      </c>
      <c r="B3" s="23">
        <v>9</v>
      </c>
      <c r="C3" s="22">
        <v>8</v>
      </c>
      <c r="D3" s="26">
        <v>8</v>
      </c>
      <c r="E3" s="23">
        <v>5</v>
      </c>
      <c r="F3" s="22">
        <v>9</v>
      </c>
      <c r="G3" s="26">
        <v>2</v>
      </c>
      <c r="H3" s="22">
        <v>5</v>
      </c>
      <c r="I3" s="23">
        <v>5</v>
      </c>
      <c r="J3" s="22">
        <v>5</v>
      </c>
      <c r="K3" s="26">
        <v>5</v>
      </c>
      <c r="L3" s="22">
        <v>1</v>
      </c>
      <c r="N3" s="2">
        <v>929</v>
      </c>
      <c r="O3" s="1">
        <v>2</v>
      </c>
    </row>
    <row r="4" spans="1:15" ht="28.25" customHeight="1">
      <c r="A4" s="23">
        <v>8</v>
      </c>
      <c r="B4" s="26">
        <v>6</v>
      </c>
      <c r="C4" s="23">
        <v>2</v>
      </c>
      <c r="D4" s="23">
        <v>8</v>
      </c>
      <c r="E4" s="23">
        <v>3</v>
      </c>
      <c r="F4" s="22">
        <v>7</v>
      </c>
      <c r="G4" s="22">
        <v>8</v>
      </c>
      <c r="H4" s="22">
        <v>7</v>
      </c>
      <c r="I4" s="23">
        <v>4</v>
      </c>
      <c r="J4" s="22">
        <v>8</v>
      </c>
      <c r="K4" s="22">
        <v>1</v>
      </c>
      <c r="L4" s="22">
        <v>3</v>
      </c>
      <c r="N4" s="2">
        <v>55591</v>
      </c>
      <c r="O4" s="1">
        <v>1</v>
      </c>
    </row>
    <row r="5" spans="1:15" ht="28.25" customHeight="1">
      <c r="A5" s="23">
        <v>4</v>
      </c>
      <c r="B5" s="23">
        <v>9</v>
      </c>
      <c r="C5" s="23">
        <v>6</v>
      </c>
      <c r="D5" s="23">
        <v>9</v>
      </c>
      <c r="E5" s="23">
        <v>5</v>
      </c>
      <c r="F5" s="23">
        <v>7</v>
      </c>
      <c r="G5" s="23">
        <v>3</v>
      </c>
      <c r="H5" s="26">
        <v>2</v>
      </c>
      <c r="I5" s="23">
        <v>7</v>
      </c>
      <c r="J5" s="22">
        <v>5</v>
      </c>
      <c r="K5" s="26">
        <v>5</v>
      </c>
      <c r="L5" s="26">
        <v>2</v>
      </c>
      <c r="N5" s="2">
        <v>54762</v>
      </c>
      <c r="O5" s="1">
        <v>1</v>
      </c>
    </row>
    <row r="6" spans="1:15" ht="28.25" customHeight="1">
      <c r="A6" s="23">
        <v>1</v>
      </c>
      <c r="B6" s="23">
        <v>7</v>
      </c>
      <c r="C6" s="22">
        <v>3</v>
      </c>
      <c r="D6" s="23">
        <v>3</v>
      </c>
      <c r="E6" s="23">
        <v>8</v>
      </c>
      <c r="F6" s="23">
        <v>8</v>
      </c>
      <c r="G6" s="23">
        <v>3</v>
      </c>
      <c r="H6" s="22">
        <v>1</v>
      </c>
      <c r="I6" s="23">
        <v>6</v>
      </c>
      <c r="J6" s="23">
        <v>5</v>
      </c>
      <c r="K6" s="26">
        <v>4</v>
      </c>
      <c r="L6" s="26">
        <v>1</v>
      </c>
      <c r="N6" s="2">
        <v>176</v>
      </c>
      <c r="O6" s="1">
        <v>1</v>
      </c>
    </row>
    <row r="7" spans="1:15" ht="28.25" customHeight="1">
      <c r="A7" s="23">
        <v>2</v>
      </c>
      <c r="B7" s="26">
        <v>7</v>
      </c>
      <c r="C7" s="22">
        <v>1</v>
      </c>
      <c r="D7" s="23">
        <v>2</v>
      </c>
      <c r="E7" s="23">
        <v>2</v>
      </c>
      <c r="F7" s="26">
        <v>4</v>
      </c>
      <c r="G7" s="23">
        <v>5</v>
      </c>
      <c r="H7" s="22">
        <v>5</v>
      </c>
      <c r="I7" s="23">
        <v>2</v>
      </c>
      <c r="J7" s="23">
        <v>5</v>
      </c>
      <c r="K7" s="26">
        <v>4</v>
      </c>
      <c r="L7" s="26">
        <v>5</v>
      </c>
      <c r="N7" s="2">
        <v>414</v>
      </c>
      <c r="O7" s="1">
        <v>2</v>
      </c>
    </row>
    <row r="8" spans="1:15" ht="28.25" customHeight="1">
      <c r="A8" s="22">
        <v>7</v>
      </c>
      <c r="B8" s="22">
        <v>1</v>
      </c>
      <c r="C8" s="26">
        <v>2</v>
      </c>
      <c r="D8" s="23">
        <v>3</v>
      </c>
      <c r="E8" s="23">
        <v>2</v>
      </c>
      <c r="F8" s="22">
        <v>6</v>
      </c>
      <c r="G8" s="23">
        <v>3</v>
      </c>
      <c r="H8" s="22">
        <v>6</v>
      </c>
      <c r="I8" s="26">
        <v>1</v>
      </c>
      <c r="J8" s="23">
        <v>5</v>
      </c>
      <c r="K8" s="26">
        <v>4</v>
      </c>
      <c r="L8" s="26">
        <v>2</v>
      </c>
      <c r="N8" s="2">
        <v>3232</v>
      </c>
      <c r="O8" s="1">
        <v>1</v>
      </c>
    </row>
    <row r="9" spans="1:15" ht="28.25" customHeight="1">
      <c r="A9" s="22">
        <v>8</v>
      </c>
      <c r="B9" s="26">
        <v>5</v>
      </c>
      <c r="C9" s="22">
        <v>3</v>
      </c>
      <c r="D9" s="23">
        <v>2</v>
      </c>
      <c r="E9" s="23">
        <v>5</v>
      </c>
      <c r="F9" s="22">
        <v>1</v>
      </c>
      <c r="G9" s="23">
        <v>2</v>
      </c>
      <c r="H9" s="22">
        <v>5</v>
      </c>
      <c r="I9" s="22">
        <v>6</v>
      </c>
      <c r="J9" s="23">
        <v>9</v>
      </c>
      <c r="K9" s="26">
        <v>2</v>
      </c>
      <c r="L9" s="26">
        <v>2</v>
      </c>
      <c r="N9" s="2">
        <v>71824</v>
      </c>
      <c r="O9" s="1">
        <v>1</v>
      </c>
    </row>
    <row r="10" spans="1:15" ht="28.25" customHeight="1">
      <c r="A10" s="26">
        <v>4</v>
      </c>
      <c r="B10" s="26">
        <v>5</v>
      </c>
      <c r="C10" s="22">
        <v>1</v>
      </c>
      <c r="D10" s="23">
        <v>6</v>
      </c>
      <c r="E10" s="23">
        <v>4</v>
      </c>
      <c r="F10" s="22">
        <v>9</v>
      </c>
      <c r="G10" s="23">
        <v>3</v>
      </c>
      <c r="H10" s="22">
        <v>5</v>
      </c>
      <c r="I10" s="22">
        <v>3</v>
      </c>
      <c r="J10" s="23">
        <v>1</v>
      </c>
      <c r="K10" s="22">
        <v>3</v>
      </c>
      <c r="L10" s="26">
        <v>6</v>
      </c>
      <c r="N10" s="2">
        <v>4498412</v>
      </c>
      <c r="O10" s="1">
        <v>1</v>
      </c>
    </row>
    <row r="11" spans="1:15" ht="28.25" customHeight="1">
      <c r="A11" s="26">
        <v>4</v>
      </c>
      <c r="B11" s="22">
        <v>1</v>
      </c>
      <c r="C11" s="22">
        <v>3</v>
      </c>
      <c r="D11" s="26">
        <v>2</v>
      </c>
      <c r="E11" s="23">
        <v>7</v>
      </c>
      <c r="F11" s="22">
        <v>3</v>
      </c>
      <c r="G11" s="23">
        <v>1</v>
      </c>
      <c r="H11" s="26">
        <v>4</v>
      </c>
      <c r="I11" s="26">
        <v>8</v>
      </c>
      <c r="J11" s="22">
        <v>1</v>
      </c>
      <c r="K11" s="23">
        <v>6</v>
      </c>
      <c r="L11" s="22">
        <v>1</v>
      </c>
      <c r="N11" s="2">
        <v>97</v>
      </c>
      <c r="O11" s="1">
        <v>9</v>
      </c>
    </row>
    <row r="12" spans="1:15" ht="28.25" customHeight="1">
      <c r="A12" s="26">
        <v>2</v>
      </c>
      <c r="B12" s="22">
        <v>6</v>
      </c>
      <c r="C12" s="22">
        <v>5</v>
      </c>
      <c r="D12" s="26">
        <v>7</v>
      </c>
      <c r="E12" s="22">
        <v>1</v>
      </c>
      <c r="F12" s="23">
        <v>1</v>
      </c>
      <c r="G12" s="26">
        <v>7</v>
      </c>
      <c r="H12" s="22">
        <v>3</v>
      </c>
      <c r="I12" s="22">
        <v>3</v>
      </c>
      <c r="J12" s="22">
        <v>5</v>
      </c>
      <c r="K12" s="23">
        <v>5</v>
      </c>
      <c r="L12" s="22">
        <v>3</v>
      </c>
      <c r="N12" s="2">
        <v>335323</v>
      </c>
      <c r="O12" s="1">
        <v>1</v>
      </c>
    </row>
    <row r="13" spans="1:15" ht="28.25" customHeight="1">
      <c r="N13" s="2">
        <v>31</v>
      </c>
      <c r="O13" s="1">
        <v>25</v>
      </c>
    </row>
    <row r="14" spans="1:15" ht="28.25" customHeight="1">
      <c r="N14" s="2">
        <v>65</v>
      </c>
      <c r="O14" s="1">
        <v>22</v>
      </c>
    </row>
    <row r="15" spans="1:15" ht="28.25" customHeight="1">
      <c r="N15" s="2">
        <v>87</v>
      </c>
      <c r="O15" s="1">
        <v>11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76"/>
  <sheetViews>
    <sheetView tabSelected="1" zoomScaleNormal="100" workbookViewId="0">
      <pane ySplit="1" topLeftCell="A68" activePane="bottomLeft" state="frozen"/>
      <selection pane="bottomLeft" activeCell="A76" sqref="A76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179</v>
      </c>
      <c r="L1" s="4" t="s">
        <v>163</v>
      </c>
      <c r="M1" s="4" t="s">
        <v>207</v>
      </c>
      <c r="N1" s="4" t="s">
        <v>178</v>
      </c>
      <c r="O1" s="4" t="s">
        <v>180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IF(A17&lt;DATEVALUE("2025/11/20"),1,IF(B17-SUM(D17:F17)&lt;&gt;60,0,MAX(2-INT(G17*24*60/10),0)))</f>
        <v>1</v>
      </c>
      <c r="L17">
        <f>L16+K17</f>
        <v>1</v>
      </c>
      <c r="M17">
        <f>2+IF(A17&gt;=DATEVALUE("2025/11/30"),1,0)</f>
        <v>2</v>
      </c>
      <c r="N17">
        <f t="shared" ref="N17:N63" si="0">N16+M17*(INT(A17-6/24)-INT(A16-6/24))+O17</f>
        <v>2</v>
      </c>
      <c r="O17">
        <f>IF(A17&gt;=DATEVALUE("2025/11/8"),1,0)-IF(A16&gt;=DATEVALUE("2025/11/8"),1,0)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62" si="1">IF(A18&lt;DATEVALUE("2025/11/20"),1,IF(B18-SUM(D18:F18)&lt;&gt;60,0,MAX(2-INT(G18*24*60/10),0)))</f>
        <v>1</v>
      </c>
      <c r="L18">
        <f t="shared" ref="L18:L58" si="2">L17+K18</f>
        <v>2</v>
      </c>
      <c r="M18">
        <f t="shared" ref="M18:M75" si="3">2+IF(A18&gt;=DATEVALUE("2025/11/30"),1,0)</f>
        <v>2</v>
      </c>
      <c r="N18">
        <f t="shared" si="0"/>
        <v>2</v>
      </c>
      <c r="O18">
        <f t="shared" ref="O18:O75" si="4">IF(A18&gt;=DATEVALUE("2025/11/8"),1,0)-IF(A17&gt;=DATEVALUE("2025/11/8"),1,0)</f>
        <v>0</v>
      </c>
      <c r="P18" t="str">
        <f t="shared" ref="P18:P58" si="5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1"/>
        <v>1</v>
      </c>
      <c r="L19">
        <f t="shared" si="2"/>
        <v>3</v>
      </c>
      <c r="M19">
        <f t="shared" si="3"/>
        <v>2</v>
      </c>
      <c r="N19">
        <f t="shared" si="0"/>
        <v>4</v>
      </c>
      <c r="O19">
        <f t="shared" si="4"/>
        <v>0</v>
      </c>
      <c r="P19" t="str">
        <f t="shared" si="5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1"/>
        <v>1</v>
      </c>
      <c r="L20">
        <f t="shared" si="2"/>
        <v>4</v>
      </c>
      <c r="M20">
        <f t="shared" si="3"/>
        <v>2</v>
      </c>
      <c r="N20">
        <f t="shared" si="0"/>
        <v>4</v>
      </c>
      <c r="O20">
        <f t="shared" si="4"/>
        <v>0</v>
      </c>
      <c r="P20" t="str">
        <f t="shared" si="5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1"/>
        <v>1</v>
      </c>
      <c r="L21">
        <f t="shared" si="2"/>
        <v>5</v>
      </c>
      <c r="M21">
        <f t="shared" si="3"/>
        <v>2</v>
      </c>
      <c r="N21">
        <f t="shared" si="0"/>
        <v>6</v>
      </c>
      <c r="O21">
        <f t="shared" si="4"/>
        <v>0</v>
      </c>
      <c r="P21" t="str">
        <f t="shared" si="5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1"/>
        <v>1</v>
      </c>
      <c r="L22">
        <f t="shared" si="2"/>
        <v>6</v>
      </c>
      <c r="M22">
        <f t="shared" si="3"/>
        <v>2</v>
      </c>
      <c r="N22">
        <f t="shared" si="0"/>
        <v>6</v>
      </c>
      <c r="O22">
        <f t="shared" si="4"/>
        <v>0</v>
      </c>
      <c r="P22" t="str">
        <f t="shared" si="5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1"/>
        <v>1</v>
      </c>
      <c r="L23">
        <f t="shared" si="2"/>
        <v>7</v>
      </c>
      <c r="M23">
        <f t="shared" si="3"/>
        <v>2</v>
      </c>
      <c r="N23">
        <f t="shared" si="0"/>
        <v>8</v>
      </c>
      <c r="O23">
        <f t="shared" si="4"/>
        <v>0</v>
      </c>
      <c r="P23" t="str">
        <f t="shared" si="5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1"/>
        <v>1</v>
      </c>
      <c r="L24">
        <f t="shared" si="2"/>
        <v>8</v>
      </c>
      <c r="M24">
        <f t="shared" si="3"/>
        <v>2</v>
      </c>
      <c r="N24">
        <f t="shared" si="0"/>
        <v>8</v>
      </c>
      <c r="O24">
        <f t="shared" si="4"/>
        <v>0</v>
      </c>
      <c r="P24" t="str">
        <f t="shared" si="5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1"/>
        <v>1</v>
      </c>
      <c r="L25">
        <f t="shared" si="2"/>
        <v>9</v>
      </c>
      <c r="M25">
        <f t="shared" si="3"/>
        <v>2</v>
      </c>
      <c r="N25">
        <f t="shared" si="0"/>
        <v>10</v>
      </c>
      <c r="O25">
        <f t="shared" si="4"/>
        <v>0</v>
      </c>
      <c r="P25" t="str">
        <f t="shared" si="5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1"/>
        <v>1</v>
      </c>
      <c r="L26">
        <f t="shared" si="2"/>
        <v>10</v>
      </c>
      <c r="M26">
        <f t="shared" si="3"/>
        <v>2</v>
      </c>
      <c r="N26">
        <f t="shared" si="0"/>
        <v>10</v>
      </c>
      <c r="O26">
        <f t="shared" si="4"/>
        <v>0</v>
      </c>
      <c r="P26" t="str">
        <f t="shared" si="5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1"/>
        <v>1</v>
      </c>
      <c r="L27">
        <f t="shared" si="2"/>
        <v>11</v>
      </c>
      <c r="M27">
        <f t="shared" si="3"/>
        <v>2</v>
      </c>
      <c r="N27">
        <f t="shared" si="0"/>
        <v>13</v>
      </c>
      <c r="O27">
        <f t="shared" si="4"/>
        <v>1</v>
      </c>
      <c r="P27" t="str">
        <f t="shared" si="5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1"/>
        <v>1</v>
      </c>
      <c r="L28">
        <f t="shared" si="2"/>
        <v>12</v>
      </c>
      <c r="M28">
        <f t="shared" si="3"/>
        <v>2</v>
      </c>
      <c r="N28">
        <f t="shared" si="0"/>
        <v>13</v>
      </c>
      <c r="O28">
        <f t="shared" si="4"/>
        <v>0</v>
      </c>
      <c r="P28" t="str">
        <f t="shared" si="5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1"/>
        <v>1</v>
      </c>
      <c r="L29">
        <f t="shared" si="2"/>
        <v>13</v>
      </c>
      <c r="M29">
        <f t="shared" si="3"/>
        <v>2</v>
      </c>
      <c r="N29">
        <f t="shared" si="0"/>
        <v>13</v>
      </c>
      <c r="O29">
        <f t="shared" si="4"/>
        <v>0</v>
      </c>
      <c r="P29" t="str">
        <f t="shared" si="5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1"/>
        <v>1</v>
      </c>
      <c r="L30">
        <f t="shared" si="2"/>
        <v>14</v>
      </c>
      <c r="M30">
        <f t="shared" si="3"/>
        <v>2</v>
      </c>
      <c r="N30">
        <f t="shared" si="0"/>
        <v>15</v>
      </c>
      <c r="O30">
        <f t="shared" si="4"/>
        <v>0</v>
      </c>
      <c r="P30" t="str">
        <f t="shared" si="5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1"/>
        <v>1</v>
      </c>
      <c r="L31">
        <f t="shared" si="2"/>
        <v>15</v>
      </c>
      <c r="M31">
        <f t="shared" si="3"/>
        <v>2</v>
      </c>
      <c r="N31">
        <f t="shared" si="0"/>
        <v>15</v>
      </c>
      <c r="O31">
        <f t="shared" si="4"/>
        <v>0</v>
      </c>
      <c r="P31" t="str">
        <f t="shared" si="5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1"/>
        <v>1</v>
      </c>
      <c r="L32">
        <f t="shared" si="2"/>
        <v>16</v>
      </c>
      <c r="M32">
        <f t="shared" si="3"/>
        <v>2</v>
      </c>
      <c r="N32">
        <f t="shared" si="0"/>
        <v>17</v>
      </c>
      <c r="O32">
        <f t="shared" si="4"/>
        <v>0</v>
      </c>
      <c r="P32" t="str">
        <f t="shared" si="5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1"/>
        <v>1</v>
      </c>
      <c r="L33">
        <f t="shared" si="2"/>
        <v>17</v>
      </c>
      <c r="M33">
        <f t="shared" si="3"/>
        <v>2</v>
      </c>
      <c r="N33">
        <f t="shared" si="0"/>
        <v>17</v>
      </c>
      <c r="O33">
        <f t="shared" si="4"/>
        <v>0</v>
      </c>
      <c r="P33" t="str">
        <f t="shared" si="5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1"/>
        <v>1</v>
      </c>
      <c r="L34">
        <f t="shared" si="2"/>
        <v>18</v>
      </c>
      <c r="M34">
        <f t="shared" si="3"/>
        <v>2</v>
      </c>
      <c r="N34">
        <f t="shared" si="0"/>
        <v>19</v>
      </c>
      <c r="O34">
        <f t="shared" si="4"/>
        <v>0</v>
      </c>
      <c r="P34" t="str">
        <f t="shared" si="5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1"/>
        <v>1</v>
      </c>
      <c r="L35">
        <f t="shared" si="2"/>
        <v>19</v>
      </c>
      <c r="M35">
        <f t="shared" si="3"/>
        <v>2</v>
      </c>
      <c r="N35">
        <f t="shared" si="0"/>
        <v>19</v>
      </c>
      <c r="O35">
        <f t="shared" si="4"/>
        <v>0</v>
      </c>
      <c r="P35" t="str">
        <f t="shared" si="5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1"/>
        <v>1</v>
      </c>
      <c r="L36">
        <f t="shared" si="2"/>
        <v>20</v>
      </c>
      <c r="M36">
        <f t="shared" si="3"/>
        <v>2</v>
      </c>
      <c r="N36">
        <f t="shared" si="0"/>
        <v>21</v>
      </c>
      <c r="O36">
        <f t="shared" si="4"/>
        <v>0</v>
      </c>
      <c r="P36" t="str">
        <f t="shared" si="5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1"/>
        <v>1</v>
      </c>
      <c r="L37">
        <f t="shared" si="2"/>
        <v>21</v>
      </c>
      <c r="M37">
        <f t="shared" si="3"/>
        <v>2</v>
      </c>
      <c r="N37">
        <f t="shared" si="0"/>
        <v>21</v>
      </c>
      <c r="O37">
        <f t="shared" si="4"/>
        <v>0</v>
      </c>
      <c r="P37" t="str">
        <f t="shared" si="5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1"/>
        <v>1</v>
      </c>
      <c r="L38">
        <f t="shared" si="2"/>
        <v>22</v>
      </c>
      <c r="M38">
        <f t="shared" si="3"/>
        <v>2</v>
      </c>
      <c r="N38">
        <f t="shared" si="0"/>
        <v>25</v>
      </c>
      <c r="O38">
        <f t="shared" si="4"/>
        <v>0</v>
      </c>
      <c r="P38" t="str">
        <f t="shared" si="5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1"/>
        <v>1</v>
      </c>
      <c r="L39">
        <f t="shared" si="2"/>
        <v>23</v>
      </c>
      <c r="M39">
        <f t="shared" si="3"/>
        <v>2</v>
      </c>
      <c r="N39">
        <f t="shared" si="0"/>
        <v>25</v>
      </c>
      <c r="O39">
        <f t="shared" si="4"/>
        <v>0</v>
      </c>
      <c r="P39" t="str">
        <f t="shared" si="5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1"/>
        <v>1</v>
      </c>
      <c r="L40">
        <f t="shared" si="2"/>
        <v>24</v>
      </c>
      <c r="M40">
        <f t="shared" si="3"/>
        <v>2</v>
      </c>
      <c r="N40">
        <f t="shared" si="0"/>
        <v>27</v>
      </c>
      <c r="O40">
        <f t="shared" si="4"/>
        <v>0</v>
      </c>
      <c r="P40" t="str">
        <f t="shared" si="5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1"/>
        <v>1</v>
      </c>
      <c r="L41">
        <f t="shared" si="2"/>
        <v>25</v>
      </c>
      <c r="M41">
        <f t="shared" si="3"/>
        <v>2</v>
      </c>
      <c r="N41">
        <f t="shared" si="0"/>
        <v>27</v>
      </c>
      <c r="O41">
        <f t="shared" si="4"/>
        <v>0</v>
      </c>
      <c r="P41" t="str">
        <f t="shared" si="5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1"/>
        <v>1</v>
      </c>
      <c r="L42">
        <f t="shared" si="2"/>
        <v>26</v>
      </c>
      <c r="M42">
        <f t="shared" si="3"/>
        <v>2</v>
      </c>
      <c r="N42">
        <f t="shared" si="0"/>
        <v>29</v>
      </c>
      <c r="O42">
        <f t="shared" si="4"/>
        <v>0</v>
      </c>
      <c r="P42" t="str">
        <f t="shared" si="5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1"/>
        <v>1</v>
      </c>
      <c r="L43">
        <f t="shared" si="2"/>
        <v>27</v>
      </c>
      <c r="M43">
        <f t="shared" si="3"/>
        <v>2</v>
      </c>
      <c r="N43">
        <f t="shared" si="0"/>
        <v>29</v>
      </c>
      <c r="O43">
        <f t="shared" si="4"/>
        <v>0</v>
      </c>
      <c r="P43" t="str">
        <f t="shared" si="5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1"/>
        <v>1</v>
      </c>
      <c r="L44">
        <f t="shared" si="2"/>
        <v>28</v>
      </c>
      <c r="M44">
        <f t="shared" si="3"/>
        <v>2</v>
      </c>
      <c r="N44">
        <f t="shared" si="0"/>
        <v>29</v>
      </c>
      <c r="O44">
        <f t="shared" si="4"/>
        <v>0</v>
      </c>
      <c r="P44" t="str">
        <f t="shared" si="5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1"/>
        <v>1</v>
      </c>
      <c r="L45">
        <f t="shared" si="2"/>
        <v>29</v>
      </c>
      <c r="M45">
        <f t="shared" si="3"/>
        <v>2</v>
      </c>
      <c r="N45">
        <f t="shared" si="0"/>
        <v>29</v>
      </c>
      <c r="O45">
        <f t="shared" si="4"/>
        <v>0</v>
      </c>
      <c r="P45" t="str">
        <f t="shared" si="5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1"/>
        <v>1</v>
      </c>
      <c r="L46">
        <f t="shared" si="2"/>
        <v>30</v>
      </c>
      <c r="M46">
        <f t="shared" si="3"/>
        <v>2</v>
      </c>
      <c r="N46">
        <f t="shared" si="0"/>
        <v>29</v>
      </c>
      <c r="O46">
        <f t="shared" si="4"/>
        <v>0</v>
      </c>
      <c r="P46" t="str">
        <f t="shared" si="5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1"/>
        <v>1</v>
      </c>
      <c r="L47">
        <f t="shared" si="2"/>
        <v>31</v>
      </c>
      <c r="M47">
        <f t="shared" si="3"/>
        <v>2</v>
      </c>
      <c r="N47">
        <f t="shared" si="0"/>
        <v>29</v>
      </c>
      <c r="O47">
        <f t="shared" si="4"/>
        <v>0</v>
      </c>
      <c r="P47" t="str">
        <f t="shared" si="5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1"/>
        <v>1</v>
      </c>
      <c r="L48">
        <f t="shared" si="2"/>
        <v>32</v>
      </c>
      <c r="M48">
        <f t="shared" si="3"/>
        <v>2</v>
      </c>
      <c r="N48">
        <f t="shared" si="0"/>
        <v>31</v>
      </c>
      <c r="O48">
        <f t="shared" si="4"/>
        <v>0</v>
      </c>
      <c r="P48" t="str">
        <f t="shared" si="5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1"/>
        <v>1</v>
      </c>
      <c r="L49">
        <f t="shared" si="2"/>
        <v>33</v>
      </c>
      <c r="M49">
        <f t="shared" si="3"/>
        <v>2</v>
      </c>
      <c r="N49">
        <f t="shared" si="0"/>
        <v>31</v>
      </c>
      <c r="O49">
        <f t="shared" si="4"/>
        <v>0</v>
      </c>
      <c r="P49" t="str">
        <f t="shared" si="5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1"/>
        <v>1</v>
      </c>
      <c r="L50">
        <f t="shared" si="2"/>
        <v>34</v>
      </c>
      <c r="M50">
        <f t="shared" si="3"/>
        <v>2</v>
      </c>
      <c r="N50">
        <f t="shared" si="0"/>
        <v>31</v>
      </c>
      <c r="O50">
        <f t="shared" si="4"/>
        <v>0</v>
      </c>
      <c r="P50" t="str">
        <f t="shared" si="5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1"/>
        <v>1</v>
      </c>
      <c r="L51">
        <f t="shared" si="2"/>
        <v>35</v>
      </c>
      <c r="M51">
        <f t="shared" si="3"/>
        <v>2</v>
      </c>
      <c r="N51">
        <f t="shared" si="0"/>
        <v>31</v>
      </c>
      <c r="O51">
        <f t="shared" si="4"/>
        <v>0</v>
      </c>
      <c r="P51" t="str">
        <f t="shared" si="5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1"/>
        <v>1</v>
      </c>
      <c r="L52">
        <f t="shared" si="2"/>
        <v>36</v>
      </c>
      <c r="M52">
        <f t="shared" si="3"/>
        <v>2</v>
      </c>
      <c r="N52">
        <f t="shared" si="0"/>
        <v>35</v>
      </c>
      <c r="O52">
        <f t="shared" si="4"/>
        <v>0</v>
      </c>
      <c r="P52" t="str">
        <f t="shared" si="5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1"/>
        <v>1</v>
      </c>
      <c r="L53">
        <f t="shared" si="2"/>
        <v>37</v>
      </c>
      <c r="M53">
        <f t="shared" si="3"/>
        <v>2</v>
      </c>
      <c r="N53">
        <f t="shared" si="0"/>
        <v>35</v>
      </c>
      <c r="O53">
        <f t="shared" si="4"/>
        <v>0</v>
      </c>
      <c r="P53" t="str">
        <f t="shared" si="5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1"/>
        <v>1</v>
      </c>
      <c r="L54">
        <f t="shared" si="2"/>
        <v>38</v>
      </c>
      <c r="M54">
        <f t="shared" si="3"/>
        <v>2</v>
      </c>
      <c r="N54">
        <f t="shared" si="0"/>
        <v>37</v>
      </c>
      <c r="O54">
        <f t="shared" si="4"/>
        <v>0</v>
      </c>
      <c r="P54" t="str">
        <f t="shared" si="5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1"/>
        <v>0</v>
      </c>
      <c r="L55">
        <f t="shared" si="2"/>
        <v>38</v>
      </c>
      <c r="M55">
        <f t="shared" si="3"/>
        <v>2</v>
      </c>
      <c r="N55">
        <f t="shared" si="0"/>
        <v>37</v>
      </c>
      <c r="O55">
        <f t="shared" si="4"/>
        <v>0</v>
      </c>
      <c r="P55" t="str">
        <f t="shared" si="5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1"/>
        <v>1</v>
      </c>
      <c r="L56">
        <f t="shared" si="2"/>
        <v>39</v>
      </c>
      <c r="M56">
        <f t="shared" si="3"/>
        <v>2</v>
      </c>
      <c r="N56">
        <f t="shared" si="0"/>
        <v>39</v>
      </c>
      <c r="O56">
        <f t="shared" si="4"/>
        <v>0</v>
      </c>
      <c r="P56" t="str">
        <f t="shared" si="5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1"/>
        <v>1</v>
      </c>
      <c r="L57">
        <f t="shared" si="2"/>
        <v>40</v>
      </c>
      <c r="M57">
        <f t="shared" si="3"/>
        <v>2</v>
      </c>
      <c r="N57">
        <f t="shared" si="0"/>
        <v>41</v>
      </c>
      <c r="O57">
        <f t="shared" si="4"/>
        <v>0</v>
      </c>
      <c r="P57" t="str">
        <f t="shared" si="5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1"/>
        <v>1</v>
      </c>
      <c r="L58">
        <f t="shared" si="2"/>
        <v>41</v>
      </c>
      <c r="M58">
        <f t="shared" si="3"/>
        <v>2</v>
      </c>
      <c r="N58">
        <f t="shared" si="0"/>
        <v>41</v>
      </c>
      <c r="O58">
        <f t="shared" si="4"/>
        <v>0</v>
      </c>
      <c r="P58" t="str">
        <f t="shared" si="5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1"/>
        <v>1</v>
      </c>
      <c r="L59">
        <f t="shared" ref="L59" si="6">L58+K59</f>
        <v>42</v>
      </c>
      <c r="M59">
        <f t="shared" si="3"/>
        <v>2</v>
      </c>
      <c r="N59">
        <f t="shared" si="0"/>
        <v>45</v>
      </c>
      <c r="O59">
        <f t="shared" si="4"/>
        <v>0</v>
      </c>
      <c r="P59" t="str">
        <f t="shared" ref="P59" si="7">IF(L59&lt;N59,"未達成（"&amp;N59-L59&amp;"）",IF(L59=N59,"達成","前倒し（"&amp;L59-N59&amp;"）"))</f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1"/>
        <v>0</v>
      </c>
      <c r="L60">
        <f t="shared" ref="L60" si="8">L59+K60</f>
        <v>42</v>
      </c>
      <c r="M60">
        <f t="shared" si="3"/>
        <v>2</v>
      </c>
      <c r="N60">
        <f t="shared" si="0"/>
        <v>45</v>
      </c>
      <c r="O60">
        <f t="shared" si="4"/>
        <v>0</v>
      </c>
      <c r="P60" t="str">
        <f t="shared" ref="P60" si="9">IF(L60&lt;N60,"未達成（"&amp;N60-L60&amp;"）",IF(L60=N60,"達成","前倒し（"&amp;L60-N60&amp;"）"))</f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1"/>
        <v>0</v>
      </c>
      <c r="L61">
        <f t="shared" ref="L61" si="10">L60+K61</f>
        <v>42</v>
      </c>
      <c r="M61">
        <f t="shared" si="3"/>
        <v>2</v>
      </c>
      <c r="N61">
        <f t="shared" si="0"/>
        <v>45</v>
      </c>
      <c r="O61">
        <f t="shared" si="4"/>
        <v>0</v>
      </c>
      <c r="P61" t="str">
        <f t="shared" ref="P61" si="11">IF(L61&lt;N61,"未達成（"&amp;N61-L61&amp;"）",IF(L61=N61,"達成","前倒し（"&amp;L61-N61&amp;"）"))</f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1"/>
        <v>1</v>
      </c>
      <c r="L62">
        <f t="shared" ref="L62" si="12">L61+K62</f>
        <v>43</v>
      </c>
      <c r="M62">
        <f t="shared" si="3"/>
        <v>2</v>
      </c>
      <c r="N62">
        <f t="shared" si="0"/>
        <v>45</v>
      </c>
      <c r="O62">
        <f t="shared" si="4"/>
        <v>0</v>
      </c>
      <c r="P62" t="str">
        <f t="shared" ref="P62" si="13">IF(L62&lt;N62,"未達成（"&amp;N62-L62&amp;"）",IF(L62=N62,"達成","前倒し（"&amp;L62-N62&amp;"）"))</f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181</v>
      </c>
      <c r="I63" t="s">
        <v>182</v>
      </c>
      <c r="J63">
        <v>0</v>
      </c>
      <c r="K63">
        <f t="shared" ref="K63" si="14">IF(A63&lt;DATEVALUE("2025/11/20"),1,IF(B63-SUM(D63:F63)&lt;&gt;60,0,MAX(2-INT(G63*24*60/10),0)))</f>
        <v>2</v>
      </c>
      <c r="L63">
        <f t="shared" ref="L63" si="15">L62+K63</f>
        <v>45</v>
      </c>
      <c r="M63">
        <f t="shared" si="3"/>
        <v>2</v>
      </c>
      <c r="N63">
        <f t="shared" si="0"/>
        <v>45</v>
      </c>
      <c r="O63">
        <f t="shared" si="4"/>
        <v>0</v>
      </c>
      <c r="P63" t="str">
        <f t="shared" ref="P63" si="16">IF(L63&lt;N63,"未達成（"&amp;N63-L63&amp;"）",IF(L63=N63,"達成","前倒し（"&amp;L63-N63&amp;"）"))</f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183</v>
      </c>
      <c r="I64" t="s">
        <v>184</v>
      </c>
      <c r="J64">
        <v>0</v>
      </c>
      <c r="K64">
        <f t="shared" ref="K64" si="17">IF(A64&lt;DATEVALUE("2025/11/20"),1,IF(B64-SUM(D64:F64)&lt;&gt;60,0,MAX(2-INT(G64*24*60/10),0)))</f>
        <v>2</v>
      </c>
      <c r="L64">
        <f t="shared" ref="L64" si="18">L63+K64</f>
        <v>47</v>
      </c>
      <c r="M64">
        <f t="shared" si="3"/>
        <v>2</v>
      </c>
      <c r="N64">
        <f t="shared" ref="N64" si="19">N63+M64*(INT(A64-6/24)-INT(A63-6/24))+O64</f>
        <v>47</v>
      </c>
      <c r="O64">
        <f t="shared" si="4"/>
        <v>0</v>
      </c>
      <c r="P64" t="str">
        <f t="shared" ref="P64" si="20">IF(L64&lt;N64,"未達成（"&amp;N64-L64&amp;"）",IF(L64=N64,"達成","前倒し（"&amp;L64-N64&amp;"）"))</f>
        <v>達成</v>
      </c>
    </row>
    <row r="65" spans="1:16">
      <c r="A65" s="3">
        <v>45987.58321759259</v>
      </c>
      <c r="B65">
        <v>57</v>
      </c>
      <c r="C65">
        <v>20</v>
      </c>
      <c r="D65">
        <v>0</v>
      </c>
      <c r="E65">
        <v>3</v>
      </c>
      <c r="F65">
        <v>2</v>
      </c>
      <c r="G65" s="5">
        <v>7.696759254031349E-3</v>
      </c>
      <c r="H65" t="s">
        <v>185</v>
      </c>
      <c r="I65" t="s">
        <v>186</v>
      </c>
      <c r="J65">
        <v>0</v>
      </c>
      <c r="K65">
        <f t="shared" ref="K65" si="21">IF(A65&lt;DATEVALUE("2025/11/20"),1,IF(B65-SUM(D65:F65)&lt;&gt;60,0,MAX(2-INT(G65*24*60/10),0)))</f>
        <v>0</v>
      </c>
      <c r="L65">
        <f t="shared" ref="L65" si="22">L64+K65</f>
        <v>47</v>
      </c>
      <c r="M65">
        <f t="shared" si="3"/>
        <v>2</v>
      </c>
      <c r="N65">
        <f t="shared" ref="N65" si="23">N64+M65*(INT(A65-6/24)-INT(A64-6/24))+O65</f>
        <v>49</v>
      </c>
      <c r="O65">
        <f t="shared" si="4"/>
        <v>0</v>
      </c>
      <c r="P65" t="str">
        <f t="shared" ref="P65" si="24">IF(L65&lt;N65,"未達成（"&amp;N65-L65&amp;"）",IF(L65=N65,"達成","前倒し（"&amp;L65-N65&amp;"）"))</f>
        <v>未達成（2）</v>
      </c>
    </row>
    <row r="66" spans="1:16">
      <c r="A66" s="3">
        <v>45987.616712962961</v>
      </c>
      <c r="B66">
        <v>60</v>
      </c>
      <c r="C66">
        <v>28</v>
      </c>
      <c r="D66">
        <v>0</v>
      </c>
      <c r="E66">
        <v>0</v>
      </c>
      <c r="F66">
        <v>0</v>
      </c>
      <c r="G66" s="5">
        <v>6.6782407375285402E-3</v>
      </c>
      <c r="H66" t="s">
        <v>187</v>
      </c>
      <c r="I66" t="s">
        <v>188</v>
      </c>
      <c r="J66">
        <v>0</v>
      </c>
      <c r="K66">
        <f t="shared" ref="K66" si="25">IF(A66&lt;DATEVALUE("2025/11/20"),1,IF(B66-SUM(D66:F66)&lt;&gt;60,0,MAX(2-INT(G66*24*60/10),0)))</f>
        <v>2</v>
      </c>
      <c r="L66">
        <f t="shared" ref="L66" si="26">L65+K66</f>
        <v>49</v>
      </c>
      <c r="M66">
        <f t="shared" si="3"/>
        <v>2</v>
      </c>
      <c r="N66">
        <f t="shared" ref="N66" si="27">N65+M66*(INT(A66-6/24)-INT(A65-6/24))+O66</f>
        <v>49</v>
      </c>
      <c r="O66">
        <f t="shared" si="4"/>
        <v>0</v>
      </c>
      <c r="P66" t="str">
        <f t="shared" ref="P66" si="28">IF(L66&lt;N66,"未達成（"&amp;N66-L66&amp;"）",IF(L66=N66,"達成","前倒し（"&amp;L66-N66&amp;"）"))</f>
        <v>達成</v>
      </c>
    </row>
    <row r="67" spans="1:16">
      <c r="A67" s="3">
        <v>45988.290625000001</v>
      </c>
      <c r="B67">
        <v>60</v>
      </c>
      <c r="C67">
        <v>25</v>
      </c>
      <c r="D67">
        <v>0</v>
      </c>
      <c r="E67">
        <v>0</v>
      </c>
      <c r="F67">
        <v>0</v>
      </c>
      <c r="G67" s="5">
        <v>1.0150462963792961E-2</v>
      </c>
      <c r="H67" t="s">
        <v>189</v>
      </c>
      <c r="I67" t="s">
        <v>190</v>
      </c>
      <c r="J67">
        <v>0</v>
      </c>
      <c r="K67">
        <f t="shared" ref="K67" si="29">IF(A67&lt;DATEVALUE("2025/11/20"),1,IF(B67-SUM(D67:F67)&lt;&gt;60,0,MAX(2-INT(G67*24*60/10),0)))</f>
        <v>1</v>
      </c>
      <c r="L67">
        <f t="shared" ref="L67" si="30">L66+K67</f>
        <v>50</v>
      </c>
      <c r="M67">
        <f t="shared" si="3"/>
        <v>2</v>
      </c>
      <c r="N67">
        <f t="shared" ref="N67" si="31">N66+M67*(INT(A67-6/24)-INT(A66-6/24))+O67</f>
        <v>51</v>
      </c>
      <c r="O67">
        <f t="shared" si="4"/>
        <v>0</v>
      </c>
      <c r="P67" t="str">
        <f t="shared" ref="P67" si="32">IF(L67&lt;N67,"未達成（"&amp;N67-L67&amp;"）",IF(L67=N67,"達成","前倒し（"&amp;L67-N67&amp;"）"))</f>
        <v>未達成（1）</v>
      </c>
    </row>
    <row r="68" spans="1:16">
      <c r="A68" s="3">
        <v>45988.529618055552</v>
      </c>
      <c r="B68">
        <v>60</v>
      </c>
      <c r="C68">
        <v>21</v>
      </c>
      <c r="D68">
        <v>0</v>
      </c>
      <c r="E68">
        <v>0</v>
      </c>
      <c r="F68">
        <v>0</v>
      </c>
      <c r="G68" s="5">
        <v>1.7013888886140194E-2</v>
      </c>
      <c r="H68" t="s">
        <v>191</v>
      </c>
      <c r="I68" t="s">
        <v>192</v>
      </c>
      <c r="J68">
        <v>0</v>
      </c>
      <c r="K68">
        <f t="shared" ref="K68" si="33">IF(A68&lt;DATEVALUE("2025/11/20"),1,IF(B68-SUM(D68:F68)&lt;&gt;60,0,MAX(2-INT(G68*24*60/10),0)))</f>
        <v>0</v>
      </c>
      <c r="L68">
        <f t="shared" ref="L68" si="34">L67+K68</f>
        <v>50</v>
      </c>
      <c r="M68">
        <f t="shared" si="3"/>
        <v>2</v>
      </c>
      <c r="N68">
        <f t="shared" ref="N68" si="35">N67+M68*(INT(A68-6/24)-INT(A67-6/24))+O68</f>
        <v>51</v>
      </c>
      <c r="O68">
        <f t="shared" si="4"/>
        <v>0</v>
      </c>
      <c r="P68" t="str">
        <f t="shared" ref="P68" si="36">IF(L68&lt;N68,"未達成（"&amp;N68-L68&amp;"）",IF(L68=N68,"達成","前倒し（"&amp;L68-N68&amp;"）"))</f>
        <v>未達成（1）</v>
      </c>
    </row>
    <row r="69" spans="1:16">
      <c r="A69" s="3">
        <v>45988.852812500001</v>
      </c>
      <c r="B69">
        <v>60</v>
      </c>
      <c r="C69">
        <v>31</v>
      </c>
      <c r="D69">
        <v>0</v>
      </c>
      <c r="E69">
        <v>0</v>
      </c>
      <c r="F69">
        <v>0</v>
      </c>
      <c r="G69" s="5">
        <v>1.0983796295477077E-2</v>
      </c>
      <c r="H69" t="s">
        <v>193</v>
      </c>
      <c r="I69" t="s">
        <v>194</v>
      </c>
      <c r="J69">
        <v>0</v>
      </c>
      <c r="K69">
        <f t="shared" ref="K69" si="37">IF(A69&lt;DATEVALUE("2025/11/20"),1,IF(B69-SUM(D69:F69)&lt;&gt;60,0,MAX(2-INT(G69*24*60/10),0)))</f>
        <v>1</v>
      </c>
      <c r="L69">
        <f t="shared" ref="L69" si="38">L68+K69</f>
        <v>51</v>
      </c>
      <c r="M69">
        <f t="shared" si="3"/>
        <v>2</v>
      </c>
      <c r="N69">
        <f t="shared" ref="N69" si="39">N68+M69*(INT(A69-6/24)-INT(A68-6/24))+O69</f>
        <v>51</v>
      </c>
      <c r="O69">
        <f t="shared" si="4"/>
        <v>0</v>
      </c>
      <c r="P69" t="str">
        <f t="shared" ref="P69" si="40">IF(L69&lt;N69,"未達成（"&amp;N69-L69&amp;"）",IF(L69=N69,"達成","前倒し（"&amp;L69-N69&amp;"）"))</f>
        <v>達成</v>
      </c>
    </row>
    <row r="70" spans="1:16">
      <c r="A70" s="3">
        <v>45989.291273148148</v>
      </c>
      <c r="B70">
        <v>53</v>
      </c>
      <c r="C70">
        <v>13</v>
      </c>
      <c r="D70">
        <v>0</v>
      </c>
      <c r="E70">
        <v>7</v>
      </c>
      <c r="F70">
        <v>0</v>
      </c>
      <c r="G70" s="5">
        <v>7.9861111080390401E-3</v>
      </c>
      <c r="H70" t="s">
        <v>195</v>
      </c>
      <c r="I70" t="s">
        <v>196</v>
      </c>
      <c r="J70">
        <v>0</v>
      </c>
      <c r="K70">
        <f t="shared" ref="K70" si="41">IF(A70&lt;DATEVALUE("2025/11/20"),1,IF(B70-SUM(D70:F70)&lt;&gt;60,0,MAX(2-INT(G70*24*60/10),0)))</f>
        <v>0</v>
      </c>
      <c r="L70">
        <f t="shared" ref="L70" si="42">L69+K70</f>
        <v>51</v>
      </c>
      <c r="M70">
        <f t="shared" si="3"/>
        <v>2</v>
      </c>
      <c r="N70">
        <f t="shared" ref="N70" si="43">N69+M70*(INT(A70-6/24)-INT(A69-6/24))+O70</f>
        <v>53</v>
      </c>
      <c r="O70">
        <f t="shared" si="4"/>
        <v>0</v>
      </c>
      <c r="P70" t="str">
        <f t="shared" ref="P70" si="44">IF(L70&lt;N70,"未達成（"&amp;N70-L70&amp;"）",IF(L70=N70,"達成","前倒し（"&amp;L70-N70&amp;"）"))</f>
        <v>未達成（2）</v>
      </c>
    </row>
    <row r="71" spans="1:16">
      <c r="A71" s="3">
        <v>45989.299722222226</v>
      </c>
      <c r="B71">
        <v>60</v>
      </c>
      <c r="C71">
        <v>42</v>
      </c>
      <c r="D71">
        <v>0</v>
      </c>
      <c r="E71">
        <v>0</v>
      </c>
      <c r="F71">
        <v>0</v>
      </c>
      <c r="G71" s="5">
        <v>7.6967592613073066E-3</v>
      </c>
      <c r="H71" t="s">
        <v>197</v>
      </c>
      <c r="I71" t="s">
        <v>198</v>
      </c>
      <c r="J71">
        <v>0</v>
      </c>
      <c r="K71">
        <f t="shared" ref="K71" si="45">IF(A71&lt;DATEVALUE("2025/11/20"),1,IF(B71-SUM(D71:F71)&lt;&gt;60,0,MAX(2-INT(G71*24*60/10),0)))</f>
        <v>1</v>
      </c>
      <c r="L71">
        <f t="shared" ref="L71" si="46">L70+K71</f>
        <v>52</v>
      </c>
      <c r="M71">
        <f t="shared" si="3"/>
        <v>2</v>
      </c>
      <c r="N71">
        <f t="shared" ref="N71" si="47">N70+M71*(INT(A71-6/24)-INT(A70-6/24))+O71</f>
        <v>53</v>
      </c>
      <c r="O71">
        <f t="shared" si="4"/>
        <v>0</v>
      </c>
      <c r="P71" t="str">
        <f t="shared" ref="P71" si="48">IF(L71&lt;N71,"未達成（"&amp;N71-L71&amp;"）",IF(L71=N71,"達成","前倒し（"&amp;L71-N71&amp;"）"))</f>
        <v>未達成（1）</v>
      </c>
    </row>
    <row r="72" spans="1:16">
      <c r="A72" s="3">
        <v>45989.308298611111</v>
      </c>
      <c r="B72">
        <v>60</v>
      </c>
      <c r="C72">
        <v>19</v>
      </c>
      <c r="D72">
        <v>0</v>
      </c>
      <c r="E72">
        <v>0</v>
      </c>
      <c r="F72">
        <v>0</v>
      </c>
      <c r="G72" s="5">
        <v>7.7662037074333057E-3</v>
      </c>
      <c r="H72" t="s">
        <v>199</v>
      </c>
      <c r="I72" t="s">
        <v>200</v>
      </c>
      <c r="J72">
        <v>0</v>
      </c>
      <c r="K72">
        <f t="shared" ref="K72" si="49">IF(A72&lt;DATEVALUE("2025/11/20"),1,IF(B72-SUM(D72:F72)&lt;&gt;60,0,MAX(2-INT(G72*24*60/10),0)))</f>
        <v>1</v>
      </c>
      <c r="L72">
        <f t="shared" ref="L72" si="50">L71+K72</f>
        <v>53</v>
      </c>
      <c r="M72">
        <f t="shared" si="3"/>
        <v>2</v>
      </c>
      <c r="N72">
        <f t="shared" ref="N72" si="51">N71+M72*(INT(A72-6/24)-INT(A71-6/24))+O72</f>
        <v>53</v>
      </c>
      <c r="O72">
        <f t="shared" si="4"/>
        <v>0</v>
      </c>
      <c r="P72" t="str">
        <f t="shared" ref="P72" si="52">IF(L72&lt;N72,"未達成（"&amp;N72-L72&amp;"）",IF(L72=N72,"達成","前倒し（"&amp;L72-N72&amp;"）"))</f>
        <v>達成</v>
      </c>
    </row>
    <row r="73" spans="1:16">
      <c r="A73" s="3">
        <v>45990.459027777775</v>
      </c>
      <c r="B73">
        <v>60</v>
      </c>
      <c r="C73">
        <v>13</v>
      </c>
      <c r="D73">
        <v>0</v>
      </c>
      <c r="E73">
        <v>0</v>
      </c>
      <c r="F73">
        <v>0</v>
      </c>
      <c r="G73" s="5">
        <v>9.814814809942618E-3</v>
      </c>
      <c r="H73" t="s">
        <v>201</v>
      </c>
      <c r="I73" t="s">
        <v>202</v>
      </c>
      <c r="J73">
        <v>0</v>
      </c>
      <c r="K73">
        <f t="shared" ref="K73" si="53">IF(A73&lt;DATEVALUE("2025/11/20"),1,IF(B73-SUM(D73:F73)&lt;&gt;60,0,MAX(2-INT(G73*24*60/10),0)))</f>
        <v>1</v>
      </c>
      <c r="L73">
        <f t="shared" ref="L73" si="54">L72+K73</f>
        <v>54</v>
      </c>
      <c r="M73">
        <f t="shared" si="3"/>
        <v>2</v>
      </c>
      <c r="N73">
        <f t="shared" ref="N73" si="55">N72+M73*(INT(A73-6/24)-INT(A72-6/24))+O73</f>
        <v>55</v>
      </c>
      <c r="O73">
        <f t="shared" si="4"/>
        <v>0</v>
      </c>
      <c r="P73" t="str">
        <f t="shared" ref="P73" si="56">IF(L73&lt;N73,"未達成（"&amp;N73-L73&amp;"）",IF(L73=N73,"達成","前倒し（"&amp;L73-N73&amp;"）"))</f>
        <v>未達成（1）</v>
      </c>
    </row>
    <row r="74" spans="1:16">
      <c r="A74" s="3">
        <v>45990.539907407408</v>
      </c>
      <c r="B74">
        <v>60</v>
      </c>
      <c r="C74">
        <v>10</v>
      </c>
      <c r="D74">
        <v>0</v>
      </c>
      <c r="E74">
        <v>0</v>
      </c>
      <c r="F74">
        <v>0</v>
      </c>
      <c r="G74" s="5">
        <v>1.1226851849642117E-2</v>
      </c>
      <c r="H74" t="s">
        <v>203</v>
      </c>
      <c r="I74" t="s">
        <v>204</v>
      </c>
      <c r="J74">
        <v>0</v>
      </c>
      <c r="K74">
        <f t="shared" ref="K74" si="57">IF(A74&lt;DATEVALUE("2025/11/20"),1,IF(B74-SUM(D74:F74)&lt;&gt;60,0,MAX(2-INT(G74*24*60/10),0)))</f>
        <v>1</v>
      </c>
      <c r="L74">
        <f t="shared" ref="L74" si="58">L73+K74</f>
        <v>55</v>
      </c>
      <c r="M74">
        <f t="shared" si="3"/>
        <v>2</v>
      </c>
      <c r="N74">
        <f t="shared" ref="N74" si="59">N73+M74*(INT(A74-6/24)-INT(A73-6/24))+O74</f>
        <v>55</v>
      </c>
      <c r="O74">
        <f t="shared" si="4"/>
        <v>0</v>
      </c>
      <c r="P74" t="str">
        <f t="shared" ref="P74" si="60">IF(L74&lt;N74,"未達成（"&amp;N74-L74&amp;"）",IF(L74=N74,"達成","前倒し（"&amp;L74-N74&amp;"）"))</f>
        <v>達成</v>
      </c>
    </row>
    <row r="75" spans="1:16">
      <c r="A75" s="3">
        <v>45991.563125000001</v>
      </c>
      <c r="B75">
        <v>60</v>
      </c>
      <c r="C75">
        <v>14</v>
      </c>
      <c r="D75">
        <v>0</v>
      </c>
      <c r="E75">
        <v>0</v>
      </c>
      <c r="F75">
        <v>0</v>
      </c>
      <c r="G75" s="5">
        <v>5.694444444088731E-3</v>
      </c>
      <c r="H75" t="s">
        <v>205</v>
      </c>
      <c r="I75" t="s">
        <v>206</v>
      </c>
      <c r="J75">
        <v>0</v>
      </c>
      <c r="K75">
        <f t="shared" ref="K75" si="61">IF(A75&lt;DATEVALUE("2025/11/20"),1,IF(B75-SUM(D75:F75)&lt;&gt;60,0,MAX(2-INT(G75*24*60/10),0)))</f>
        <v>2</v>
      </c>
      <c r="L75">
        <f t="shared" ref="L75" si="62">L74+K75</f>
        <v>57</v>
      </c>
      <c r="M75">
        <f t="shared" si="3"/>
        <v>3</v>
      </c>
      <c r="N75">
        <f t="shared" ref="N75" si="63">N74+M75*(INT(A75-6/24)-INT(A74-6/24))+O75</f>
        <v>58</v>
      </c>
      <c r="O75">
        <f t="shared" si="4"/>
        <v>0</v>
      </c>
      <c r="P75" t="str">
        <f t="shared" ref="P75" si="64">IF(L75&lt;N75,"未達成（"&amp;N75-L75&amp;"）",IF(L75=N75,"達成","前倒し（"&amp;L75-N75&amp;"）"))</f>
        <v>未達成（1）</v>
      </c>
    </row>
    <row r="76" spans="1:16">
      <c r="A76" s="3">
        <v>45991.575856481482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5.5324074055533856E-3</v>
      </c>
      <c r="H76" t="s">
        <v>208</v>
      </c>
      <c r="I76" t="s">
        <v>209</v>
      </c>
      <c r="J76">
        <v>0</v>
      </c>
      <c r="K76">
        <f t="shared" ref="K76" si="65">IF(A76&lt;DATEVALUE("2025/11/20"),1,IF(B76-SUM(D76:F76)&lt;&gt;60,0,MAX(2-INT(G76*24*60/10),0)))</f>
        <v>2</v>
      </c>
      <c r="L76">
        <f t="shared" ref="L76" si="66">L75+K76</f>
        <v>59</v>
      </c>
      <c r="M76">
        <f t="shared" ref="M76" si="67">2+IF(A76&gt;=DATEVALUE("2025/11/30"),1,0)</f>
        <v>3</v>
      </c>
      <c r="N76">
        <f t="shared" ref="N76" si="68">N75+M76*(INT(A76-6/24)-INT(A75-6/24))+O76</f>
        <v>58</v>
      </c>
      <c r="O76">
        <f t="shared" ref="O76" si="69">IF(A76&gt;=DATEVALUE("2025/11/8"),1,0)-IF(A75&gt;=DATEVALUE("2025/11/8"),1,0)</f>
        <v>0</v>
      </c>
      <c r="P76" t="str">
        <f t="shared" ref="P76" si="70">IF(L76&lt;N76,"未達成（"&amp;N76-L76&amp;"）",IF(L76=N76,"達成","前倒し（"&amp;L76-N76&amp;"）"))</f>
        <v>前倒し（1）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4">
        <v>45991.570324074077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2025-11-30T04:51:26Z</dcterms:modified>
</cp:coreProperties>
</file>
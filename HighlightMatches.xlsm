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EB3B115F-410F-478B-9AC1-51A59B991E26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45" i="4" l="1"/>
  <c r="O345" i="4"/>
  <c r="M345" i="4"/>
  <c r="N345" i="4" s="1"/>
  <c r="K345" i="4"/>
  <c r="L345" i="4" s="1"/>
  <c r="P345" i="4" s="1"/>
  <c r="Q344" i="4"/>
  <c r="O344" i="4"/>
  <c r="M344" i="4"/>
  <c r="N344" i="4" s="1"/>
  <c r="K344" i="4"/>
  <c r="L344" i="4" s="1"/>
  <c r="P344" i="4" s="1"/>
  <c r="Q343" i="4"/>
  <c r="O343" i="4"/>
  <c r="M343" i="4"/>
  <c r="N343" i="4" s="1"/>
  <c r="K343" i="4"/>
  <c r="L343" i="4" s="1"/>
  <c r="P343" i="4" s="1"/>
  <c r="Q342" i="4"/>
  <c r="O342" i="4"/>
  <c r="M342" i="4"/>
  <c r="N342" i="4" s="1"/>
  <c r="K342" i="4"/>
  <c r="L342" i="4" s="1"/>
  <c r="Q341" i="4"/>
  <c r="O341" i="4"/>
  <c r="M341" i="4"/>
  <c r="N341" i="4" s="1"/>
  <c r="K341" i="4"/>
  <c r="L341" i="4" s="1"/>
  <c r="Q340" i="4"/>
  <c r="O340" i="4"/>
  <c r="M340" i="4"/>
  <c r="N340" i="4" s="1"/>
  <c r="K340" i="4"/>
  <c r="L340" i="4" s="1"/>
  <c r="P340" i="4" s="1"/>
  <c r="Q339" i="4"/>
  <c r="O339" i="4"/>
  <c r="M339" i="4"/>
  <c r="N339" i="4" s="1"/>
  <c r="K339" i="4"/>
  <c r="L339" i="4" s="1"/>
  <c r="Q338" i="4"/>
  <c r="O338" i="4"/>
  <c r="M338" i="4"/>
  <c r="N338" i="4" s="1"/>
  <c r="K338" i="4"/>
  <c r="L338" i="4" s="1"/>
  <c r="Q337" i="4"/>
  <c r="O337" i="4"/>
  <c r="M337" i="4"/>
  <c r="N337" i="4" s="1"/>
  <c r="K337" i="4"/>
  <c r="L337" i="4" s="1"/>
  <c r="Q336" i="4"/>
  <c r="O336" i="4"/>
  <c r="M336" i="4"/>
  <c r="N336" i="4" s="1"/>
  <c r="K336" i="4"/>
  <c r="L336" i="4" s="1"/>
  <c r="Q335" i="4"/>
  <c r="O335" i="4"/>
  <c r="M335" i="4"/>
  <c r="N335" i="4" s="1"/>
  <c r="K335" i="4"/>
  <c r="L335" i="4" s="1"/>
  <c r="Q334" i="4"/>
  <c r="O334" i="4"/>
  <c r="M334" i="4"/>
  <c r="N334" i="4" s="1"/>
  <c r="K334" i="4"/>
  <c r="L334" i="4" s="1"/>
  <c r="Q333" i="4"/>
  <c r="O333" i="4"/>
  <c r="M333" i="4"/>
  <c r="N333" i="4" s="1"/>
  <c r="K333" i="4"/>
  <c r="L333" i="4" s="1"/>
  <c r="P333" i="4" s="1"/>
  <c r="Q332" i="4"/>
  <c r="O332" i="4"/>
  <c r="M332" i="4"/>
  <c r="N332" i="4" s="1"/>
  <c r="K332" i="4"/>
  <c r="L332" i="4" s="1"/>
  <c r="Q331" i="4"/>
  <c r="O331" i="4"/>
  <c r="M331" i="4"/>
  <c r="K331" i="4"/>
  <c r="Q330" i="4"/>
  <c r="O330" i="4"/>
  <c r="M330" i="4"/>
  <c r="K330" i="4"/>
  <c r="Q329" i="4"/>
  <c r="O329" i="4"/>
  <c r="M329" i="4"/>
  <c r="K329" i="4"/>
  <c r="Q328" i="4"/>
  <c r="O328" i="4"/>
  <c r="M328" i="4"/>
  <c r="K328" i="4"/>
  <c r="Q327" i="4"/>
  <c r="O327" i="4"/>
  <c r="M327" i="4"/>
  <c r="K327" i="4"/>
  <c r="Q326" i="4"/>
  <c r="O326" i="4"/>
  <c r="M326" i="4"/>
  <c r="K326" i="4"/>
  <c r="Q325" i="4"/>
  <c r="O325" i="4"/>
  <c r="M325" i="4"/>
  <c r="K325" i="4"/>
  <c r="Q324" i="4"/>
  <c r="O324" i="4"/>
  <c r="M324" i="4"/>
  <c r="K324" i="4"/>
  <c r="Q323" i="4"/>
  <c r="O323" i="4"/>
  <c r="M323" i="4"/>
  <c r="K323" i="4"/>
  <c r="Q322" i="4"/>
  <c r="O322" i="4"/>
  <c r="M322" i="4"/>
  <c r="K322" i="4"/>
  <c r="Q321" i="4"/>
  <c r="O321" i="4"/>
  <c r="M321" i="4"/>
  <c r="K321" i="4"/>
  <c r="Q320" i="4"/>
  <c r="O320" i="4"/>
  <c r="M320" i="4"/>
  <c r="K320" i="4"/>
  <c r="Q319" i="4"/>
  <c r="O319" i="4"/>
  <c r="M319" i="4"/>
  <c r="K319" i="4"/>
  <c r="Q318" i="4"/>
  <c r="O318" i="4"/>
  <c r="M318" i="4"/>
  <c r="K318" i="4"/>
  <c r="Q317" i="4"/>
  <c r="O317" i="4"/>
  <c r="M317" i="4"/>
  <c r="K317" i="4"/>
  <c r="Q316" i="4"/>
  <c r="O316" i="4"/>
  <c r="M316" i="4"/>
  <c r="K316" i="4"/>
  <c r="Q315" i="4"/>
  <c r="O315" i="4"/>
  <c r="M315" i="4"/>
  <c r="K315" i="4"/>
  <c r="Q314" i="4"/>
  <c r="O314" i="4"/>
  <c r="M314" i="4"/>
  <c r="K314" i="4"/>
  <c r="Q313" i="4"/>
  <c r="O313" i="4"/>
  <c r="M313" i="4"/>
  <c r="K313" i="4"/>
  <c r="Q312" i="4"/>
  <c r="O312" i="4"/>
  <c r="M312" i="4"/>
  <c r="K312" i="4"/>
  <c r="Q311" i="4"/>
  <c r="O311" i="4"/>
  <c r="M311" i="4"/>
  <c r="K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K310" i="4"/>
  <c r="Q309" i="4"/>
  <c r="M309" i="4"/>
  <c r="K309" i="4"/>
  <c r="Q308" i="4"/>
  <c r="M308" i="4"/>
  <c r="K308" i="4"/>
  <c r="Q307" i="4"/>
  <c r="M307" i="4"/>
  <c r="K307" i="4"/>
  <c r="Q306" i="4"/>
  <c r="M306" i="4"/>
  <c r="K306" i="4"/>
  <c r="Q305" i="4"/>
  <c r="M305" i="4"/>
  <c r="K305" i="4"/>
  <c r="Q304" i="4"/>
  <c r="M304" i="4"/>
  <c r="K304" i="4"/>
  <c r="Q303" i="4"/>
  <c r="M303" i="4"/>
  <c r="K303" i="4"/>
  <c r="Q302" i="4"/>
  <c r="M302" i="4"/>
  <c r="K302" i="4"/>
  <c r="Q301" i="4"/>
  <c r="M301" i="4"/>
  <c r="K301" i="4"/>
  <c r="Q300" i="4"/>
  <c r="M300" i="4"/>
  <c r="K300" i="4"/>
  <c r="Q299" i="4"/>
  <c r="M299" i="4"/>
  <c r="K299" i="4"/>
  <c r="Q298" i="4"/>
  <c r="M298" i="4"/>
  <c r="K298" i="4"/>
  <c r="Q297" i="4"/>
  <c r="M297" i="4"/>
  <c r="K297" i="4"/>
  <c r="Q296" i="4"/>
  <c r="M296" i="4"/>
  <c r="K296" i="4"/>
  <c r="Q295" i="4"/>
  <c r="M295" i="4"/>
  <c r="K295" i="4"/>
  <c r="Q294" i="4"/>
  <c r="M294" i="4"/>
  <c r="K294" i="4"/>
  <c r="Q293" i="4"/>
  <c r="M293" i="4"/>
  <c r="K293" i="4"/>
  <c r="Q292" i="4"/>
  <c r="M292" i="4"/>
  <c r="K292" i="4"/>
  <c r="Q291" i="4"/>
  <c r="M291" i="4"/>
  <c r="K291" i="4"/>
  <c r="Q290" i="4"/>
  <c r="M290" i="4"/>
  <c r="K290" i="4"/>
  <c r="Q289" i="4"/>
  <c r="M289" i="4"/>
  <c r="K289" i="4"/>
  <c r="Q288" i="4"/>
  <c r="M288" i="4"/>
  <c r="K288" i="4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42" i="4" l="1"/>
  <c r="P341" i="4"/>
  <c r="P339" i="4"/>
  <c r="P338" i="4"/>
  <c r="P337" i="4"/>
  <c r="P336" i="4"/>
  <c r="P335" i="4"/>
  <c r="P334" i="4"/>
  <c r="P332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L55" i="4"/>
  <c r="P54" i="4"/>
  <c r="N290" i="4" l="1"/>
  <c r="L56" i="4"/>
  <c r="P55" i="4"/>
  <c r="N291" i="4" l="1"/>
  <c r="P56" i="4"/>
  <c r="L57" i="4"/>
  <c r="N292" i="4" l="1"/>
  <c r="L58" i="4"/>
  <c r="P57" i="4"/>
  <c r="N293" i="4" l="1"/>
  <c r="L59" i="4"/>
  <c r="P58" i="4"/>
  <c r="N294" i="4" l="1"/>
  <c r="L60" i="4"/>
  <c r="P59" i="4"/>
  <c r="N295" i="4" l="1"/>
  <c r="P60" i="4"/>
  <c r="L61" i="4"/>
  <c r="N296" i="4" l="1"/>
  <c r="L62" i="4"/>
  <c r="P61" i="4"/>
  <c r="N297" i="4" l="1"/>
  <c r="L63" i="4"/>
  <c r="P62" i="4"/>
  <c r="N298" i="4" l="1"/>
  <c r="L64" i="4"/>
  <c r="P63" i="4"/>
  <c r="N299" i="4" l="1"/>
  <c r="P64" i="4"/>
  <c r="L65" i="4"/>
  <c r="N300" i="4" l="1"/>
  <c r="L66" i="4"/>
  <c r="P65" i="4"/>
  <c r="N301" i="4" l="1"/>
  <c r="L67" i="4"/>
  <c r="P66" i="4"/>
  <c r="N302" i="4" l="1"/>
  <c r="L68" i="4"/>
  <c r="P67" i="4"/>
  <c r="N303" i="4" l="1"/>
  <c r="P68" i="4"/>
  <c r="L69" i="4"/>
  <c r="N304" i="4" l="1"/>
  <c r="L70" i="4"/>
  <c r="P69" i="4"/>
  <c r="N305" i="4" l="1"/>
  <c r="P70" i="4"/>
  <c r="L71" i="4"/>
  <c r="N306" i="4" l="1"/>
  <c r="L72" i="4"/>
  <c r="P71" i="4"/>
  <c r="N307" i="4" l="1"/>
  <c r="L73" i="4"/>
  <c r="P72" i="4"/>
  <c r="N308" i="4" l="1"/>
  <c r="L74" i="4"/>
  <c r="P73" i="4"/>
  <c r="N309" i="4" l="1"/>
  <c r="P74" i="4"/>
  <c r="L75" i="4"/>
  <c r="N310" i="4" l="1"/>
  <c r="L76" i="4"/>
  <c r="P75" i="4"/>
  <c r="N311" i="4" l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L77" i="4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l="1"/>
  <c r="L288" i="4"/>
  <c r="L289" i="4" l="1"/>
  <c r="P288" i="4"/>
  <c r="L290" i="4" l="1"/>
  <c r="P289" i="4"/>
  <c r="L291" i="4" l="1"/>
  <c r="P290" i="4"/>
  <c r="L292" i="4" l="1"/>
  <c r="P291" i="4"/>
  <c r="L293" i="4" l="1"/>
  <c r="P292" i="4"/>
  <c r="L294" i="4" l="1"/>
  <c r="P293" i="4"/>
  <c r="L295" i="4" l="1"/>
  <c r="P294" i="4"/>
  <c r="L296" i="4" l="1"/>
  <c r="P295" i="4"/>
  <c r="L297" i="4" l="1"/>
  <c r="P296" i="4"/>
  <c r="L298" i="4" l="1"/>
  <c r="P297" i="4"/>
  <c r="L299" i="4" l="1"/>
  <c r="P298" i="4"/>
  <c r="L300" i="4" l="1"/>
  <c r="P299" i="4"/>
  <c r="L301" i="4" l="1"/>
  <c r="P300" i="4"/>
  <c r="L302" i="4" l="1"/>
  <c r="P301" i="4"/>
  <c r="L303" i="4" l="1"/>
  <c r="P302" i="4"/>
  <c r="L304" i="4" l="1"/>
  <c r="P303" i="4"/>
  <c r="L305" i="4" l="1"/>
  <c r="P304" i="4"/>
  <c r="L306" i="4" l="1"/>
  <c r="P305" i="4"/>
  <c r="L307" i="4" l="1"/>
  <c r="P306" i="4"/>
  <c r="L308" i="4" l="1"/>
  <c r="P307" i="4"/>
  <c r="L309" i="4" l="1"/>
  <c r="P308" i="4"/>
  <c r="L310" i="4" l="1"/>
  <c r="P309" i="4"/>
  <c r="L311" i="4" l="1"/>
  <c r="P310" i="4"/>
  <c r="L312" i="4" l="1"/>
  <c r="P311" i="4"/>
  <c r="P312" i="4" l="1"/>
  <c r="L313" i="4"/>
  <c r="P313" i="4" l="1"/>
  <c r="L314" i="4"/>
  <c r="L315" i="4" l="1"/>
  <c r="P314" i="4"/>
  <c r="P315" i="4" l="1"/>
  <c r="L316" i="4"/>
  <c r="L317" i="4" l="1"/>
  <c r="P316" i="4"/>
  <c r="L318" i="4" l="1"/>
  <c r="P317" i="4"/>
  <c r="P318" i="4" l="1"/>
  <c r="L319" i="4"/>
  <c r="P319" i="4" l="1"/>
  <c r="L320" i="4"/>
  <c r="P320" i="4" l="1"/>
  <c r="L321" i="4"/>
  <c r="P321" i="4" l="1"/>
  <c r="L322" i="4"/>
  <c r="L323" i="4" l="1"/>
  <c r="P322" i="4"/>
  <c r="L324" i="4" l="1"/>
  <c r="P323" i="4"/>
  <c r="P324" i="4" l="1"/>
  <c r="L325" i="4"/>
  <c r="L326" i="4" l="1"/>
  <c r="P325" i="4"/>
  <c r="P326" i="4" l="1"/>
  <c r="L327" i="4"/>
  <c r="L328" i="4" l="1"/>
  <c r="P327" i="4"/>
  <c r="P328" i="4" l="1"/>
  <c r="L329" i="4"/>
  <c r="P329" i="4" l="1"/>
  <c r="L330" i="4"/>
  <c r="L331" i="4" l="1"/>
  <c r="P330" i="4"/>
  <c r="P331" i="4" l="1"/>
</calcChain>
</file>

<file path=xl/sharedStrings.xml><?xml version="1.0" encoding="utf-8"?>
<sst xmlns="http://schemas.openxmlformats.org/spreadsheetml/2006/main" count="767" uniqueCount="746">
  <si>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</si>
  <si>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</si>
  <si>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</si>
  <si>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</si>
  <si>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</si>
  <si>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</si>
  <si>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</si>
  <si>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</si>
  <si>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</si>
  <si>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</si>
  <si>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</si>
  <si>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</si>
  <si>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</si>
  <si>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</si>
  <si>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</si>
  <si>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</si>
  <si>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</si>
  <si>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</si>
  <si>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</si>
  <si>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</si>
  <si>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</si>
  <si>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</si>
  <si>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</si>
  <si>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</si>
  <si>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</si>
  <si>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</si>
  <si>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</si>
  <si>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</si>
  <si>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</si>
  <si>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</si>
  <si>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</si>
  <si>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</si>
  <si>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</si>
  <si>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</si>
  <si>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</si>
  <si>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</si>
  <si>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</si>
  <si>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</si>
  <si>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</si>
  <si>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</si>
  <si>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</si>
  <si>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</si>
  <si>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</si>
  <si>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</si>
  <si>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</si>
  <si>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</si>
  <si>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</si>
  <si>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</si>
  <si>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</si>
  <si>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</si>
  <si>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</si>
  <si>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</si>
  <si>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</si>
  <si>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</si>
  <si>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</si>
  <si>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</si>
  <si>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</si>
  <si>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</si>
  <si>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</si>
  <si>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</si>
  <si>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</si>
  <si>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</si>
  <si>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</si>
  <si>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</si>
  <si>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</si>
  <si>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</si>
  <si>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</si>
  <si>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</si>
  <si>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</si>
  <si>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</si>
  <si>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</si>
  <si>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</si>
  <si>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</si>
  <si>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</si>
  <si>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</si>
  <si>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</si>
  <si>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</si>
  <si>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</si>
  <si>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</si>
  <si>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</si>
  <si>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</si>
  <si>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</si>
  <si>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</si>
  <si>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</si>
  <si>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</si>
  <si>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</si>
  <si>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</si>
  <si>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</si>
  <si>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</si>
  <si>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</si>
  <si>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</si>
  <si>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</si>
  <si>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</si>
  <si>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</si>
  <si>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</si>
  <si>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</si>
  <si>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</si>
  <si>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</si>
  <si>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</si>
  <si>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</si>
  <si>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</si>
  <si>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</si>
  <si>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</si>
  <si>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</si>
  <si>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</si>
  <si>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</si>
  <si>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</si>
  <si>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</si>
  <si>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</si>
  <si>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</si>
  <si>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</si>
  <si>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</si>
  <si>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</si>
  <si>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</si>
  <si>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</si>
  <si>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</si>
  <si>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</si>
  <si>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</si>
  <si>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</si>
  <si>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</si>
  <si>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</si>
  <si>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</si>
  <si>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</si>
  <si>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</si>
  <si>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</si>
  <si>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</si>
  <si>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</si>
  <si>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</si>
  <si>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</si>
  <si>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</si>
  <si>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</si>
  <si>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</si>
  <si>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</si>
  <si>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</si>
  <si>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</si>
  <si>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</si>
  <si>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</si>
  <si>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</si>
  <si>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</si>
  <si>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</si>
  <si>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</si>
  <si>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</si>
  <si>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</si>
  <si>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</si>
  <si>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</si>
  <si>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</si>
  <si>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</si>
  <si>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</si>
  <si>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</si>
  <si>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</si>
  <si>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</si>
  <si>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</si>
  <si>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</si>
  <si>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</si>
  <si>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</si>
  <si>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</si>
  <si>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</si>
  <si>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</si>
  <si>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</si>
  <si>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</si>
  <si>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</si>
  <si>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</si>
  <si>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</si>
  <si>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</si>
  <si>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</si>
  <si>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</si>
  <si>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</si>
  <si>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</si>
  <si>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</si>
  <si>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</si>
  <si>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</si>
  <si>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</si>
  <si>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</si>
  <si>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</si>
  <si>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</si>
  <si>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</si>
  <si>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</si>
  <si>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</si>
  <si>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</si>
  <si>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</si>
  <si>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</si>
  <si>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</si>
  <si>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</si>
  <si>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</si>
  <si>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</si>
  <si>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</si>
  <si>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</si>
  <si>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</si>
  <si>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</si>
  <si>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</si>
  <si>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</si>
  <si>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</si>
  <si>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</si>
  <si>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</si>
  <si>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</si>
  <si>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</si>
  <si>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</si>
  <si>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</si>
  <si>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</si>
  <si>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</si>
  <si>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</si>
  <si>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</si>
  <si>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</si>
  <si>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</si>
  <si>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</si>
  <si>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</si>
  <si>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</si>
  <si>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</si>
  <si>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</si>
  <si>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</si>
  <si>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</si>
  <si>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</si>
  <si>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</si>
  <si>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</si>
  <si>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</si>
  <si>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</si>
  <si>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</si>
  <si>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</si>
  <si>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</si>
  <si>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</si>
  <si>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</si>
  <si>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</si>
  <si>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</si>
  <si>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</si>
  <si>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</si>
  <si>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</si>
  <si>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</si>
  <si>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</si>
  <si>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</si>
  <si>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</si>
  <si>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</si>
  <si>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</si>
  <si>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</si>
  <si>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</si>
  <si>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</si>
  <si>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</si>
  <si>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</si>
  <si>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</si>
  <si>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</si>
  <si>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</si>
  <si>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</si>
  <si>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</si>
  <si>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</si>
  <si>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</si>
  <si>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</si>
  <si>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</si>
  <si>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</si>
  <si>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</si>
  <si>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</si>
  <si>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</si>
  <si>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</si>
  <si>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</si>
  <si>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</si>
  <si>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</si>
  <si>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</si>
  <si>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</si>
  <si>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</si>
  <si>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</si>
  <si>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</si>
  <si>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</si>
  <si>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</si>
  <si>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</si>
  <si>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</si>
  <si>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</si>
  <si>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</si>
  <si>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</si>
  <si>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</si>
  <si>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</si>
  <si>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</si>
  <si>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</si>
  <si>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</si>
  <si>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</si>
  <si>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</si>
  <si>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</si>
  <si>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</si>
  <si>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</si>
  <si>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</si>
  <si>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</si>
  <si>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</si>
  <si>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</si>
  <si>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</si>
  <si>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</si>
  <si>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</si>
  <si>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</si>
  <si>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</si>
  <si>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</si>
  <si>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</si>
  <si>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</si>
  <si>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</si>
  <si>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</si>
  <si>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</si>
  <si>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</si>
  <si>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</si>
  <si>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</si>
  <si>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</si>
  <si>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</si>
  <si>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</si>
  <si>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</si>
  <si>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</si>
  <si>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</si>
  <si>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</si>
  <si>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</si>
  <si>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</si>
  <si>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</si>
  <si>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</si>
  <si>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</si>
  <si>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</si>
  <si>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</si>
  <si>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</si>
  <si>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</si>
  <si>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</si>
  <si>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</si>
  <si>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</si>
  <si>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</si>
  <si>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</si>
  <si>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</si>
  <si>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</si>
  <si>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</si>
  <si>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</si>
  <si>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</si>
  <si>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</si>
  <si>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</si>
  <si>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</si>
  <si>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</si>
  <si>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</si>
  <si>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</si>
  <si>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</si>
  <si>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</si>
  <si>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</si>
  <si>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</si>
  <si>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</si>
  <si>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</si>
  <si>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</si>
  <si>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</si>
  <si>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</si>
  <si>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</si>
  <si>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</si>
  <si>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</si>
  <si>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</si>
  <si>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</si>
  <si>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</si>
  <si>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</si>
  <si>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</si>
  <si>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</si>
  <si>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</si>
  <si>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</si>
  <si>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</si>
  <si>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</si>
  <si>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</si>
  <si>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</si>
  <si>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</si>
  <si>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</si>
  <si>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</si>
  <si>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</si>
  <si>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</si>
  <si>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</si>
  <si>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</si>
  <si>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</si>
  <si>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</si>
  <si>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</si>
  <si>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</si>
  <si>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</si>
  <si>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</si>
  <si>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</si>
  <si>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</si>
  <si>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</si>
  <si>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</si>
  <si>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</si>
  <si>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</si>
  <si>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</si>
  <si>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</si>
  <si>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</si>
  <si>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</si>
  <si>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</si>
  <si>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</si>
  <si>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</si>
  <si>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</si>
  <si>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</si>
  <si>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</si>
  <si>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</si>
  <si>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</si>
  <si>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</si>
  <si>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</si>
  <si>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</si>
  <si>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</si>
  <si>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</si>
  <si>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</si>
  <si>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</si>
  <si>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</si>
  <si>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</si>
  <si>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</si>
  <si>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</si>
  <si>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</si>
  <si>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</si>
  <si>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</si>
  <si>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</si>
  <si>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</si>
  <si>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</si>
  <si>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</si>
  <si>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</si>
  <si>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</si>
  <si>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</si>
  <si>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</si>
  <si>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</si>
  <si>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</si>
  <si>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</si>
  <si>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</si>
  <si>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</si>
  <si>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</si>
  <si>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</si>
  <si>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</si>
  <si>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</si>
  <si>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</si>
  <si>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</si>
  <si>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</si>
  <si>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</si>
  <si>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</si>
  <si>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</si>
  <si>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</si>
  <si>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</si>
  <si>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</si>
  <si>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</si>
  <si>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</si>
  <si>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</si>
  <si>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</si>
  <si>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</si>
  <si>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</si>
  <si>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</si>
  <si>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</si>
  <si>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</si>
  <si>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</si>
  <si>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</si>
  <si>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</si>
  <si>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</si>
  <si>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</si>
  <si>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</si>
  <si>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</si>
  <si>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</si>
  <si>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</si>
  <si>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</si>
  <si>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</si>
  <si>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</si>
  <si>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</si>
  <si>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</si>
  <si>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</si>
  <si>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</si>
  <si>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</si>
  <si>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</si>
  <si>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</si>
  <si>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</si>
  <si>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</si>
  <si>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</si>
  <si>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</si>
  <si>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</si>
  <si>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</si>
  <si>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</si>
  <si>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</si>
  <si>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</si>
  <si>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</si>
  <si>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</si>
  <si>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</si>
  <si>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</si>
  <si>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</si>
  <si>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</si>
  <si>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</si>
  <si>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</si>
  <si>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</si>
  <si>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</si>
  <si>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</si>
  <si>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</si>
  <si>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</si>
  <si>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</si>
  <si>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</si>
  <si>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</si>
  <si>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</si>
  <si>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</si>
  <si>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</si>
  <si>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</si>
  <si>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</si>
  <si>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</si>
  <si>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</si>
  <si>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</si>
  <si>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</si>
  <si>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</si>
  <si>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</si>
  <si>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</si>
  <si>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</si>
  <si>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</si>
  <si>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</si>
  <si>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</si>
  <si>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</si>
  <si>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</si>
  <si>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</si>
  <si>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</si>
  <si>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</si>
  <si>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</si>
  <si>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</si>
  <si>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</si>
  <si>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</si>
  <si>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</si>
  <si>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</si>
  <si>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</si>
  <si>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</si>
  <si>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</si>
  <si>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</si>
  <si>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</si>
  <si>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</si>
  <si>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</si>
  <si>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</si>
  <si>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</si>
  <si>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</si>
  <si>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</si>
  <si>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</si>
  <si>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</si>
  <si>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</si>
  <si>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</si>
  <si>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</si>
  <si>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</si>
  <si>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</si>
  <si>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</si>
  <si>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</si>
  <si>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</si>
  <si>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</si>
  <si>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</si>
  <si>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</si>
  <si>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</si>
  <si>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</si>
  <si>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</si>
  <si>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</si>
  <si>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</si>
  <si>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</si>
  <si>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</si>
  <si>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</si>
  <si>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</si>
  <si>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</si>
  <si>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</si>
  <si>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</si>
  <si>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</si>
  <si>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</si>
  <si>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</si>
  <si>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</si>
  <si>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</si>
  <si>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</si>
  <si>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</si>
  <si>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</si>
  <si>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</si>
  <si>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</si>
  <si>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</si>
  <si>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</si>
  <si>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</si>
  <si>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</si>
  <si>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</si>
  <si>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</si>
  <si>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</si>
  <si>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</si>
  <si>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</si>
  <si>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</si>
  <si>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</si>
  <si>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</si>
  <si>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</si>
  <si>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</si>
  <si>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</si>
  <si>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</si>
  <si>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</si>
  <si>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</si>
  <si>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</si>
  <si>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</si>
  <si>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</si>
  <si>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</si>
  <si>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</si>
  <si>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</si>
  <si>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</si>
  <si>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</si>
  <si>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</si>
  <si>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</si>
  <si>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</si>
  <si>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</si>
  <si>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</si>
  <si>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</si>
  <si>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</si>
  <si>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</si>
  <si>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</si>
  <si>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</si>
  <si>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</si>
  <si>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</si>
  <si>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</si>
  <si>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</si>
  <si>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</si>
  <si>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</si>
  <si>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</si>
  <si>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</si>
  <si>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</si>
  <si>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</si>
  <si>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</si>
  <si>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</si>
  <si>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</si>
  <si>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</si>
  <si>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</si>
  <si>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</si>
  <si>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</si>
  <si>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</si>
  <si>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</si>
  <si>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</si>
  <si>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</si>
  <si>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</si>
  <si>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</si>
  <si>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</si>
  <si>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</si>
  <si>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</si>
  <si>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</si>
  <si>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</si>
  <si>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</si>
  <si>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</si>
  <si>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</si>
  <si>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</si>
  <si>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</si>
  <si>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</si>
  <si>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</si>
  <si>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</si>
  <si>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</si>
  <si>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</si>
  <si>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</si>
  <si>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</si>
  <si>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</si>
  <si>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</si>
  <si>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</si>
  <si>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</si>
  <si>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</si>
  <si>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</si>
  <si>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</si>
  <si>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</si>
  <si>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</si>
  <si>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</si>
  <si>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</si>
  <si>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</si>
  <si>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</si>
  <si>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</si>
  <si>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</si>
  <si>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</si>
  <si>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</si>
  <si>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</si>
  <si>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</si>
  <si>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</si>
  <si>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</si>
  <si>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</si>
  <si>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</si>
  <si>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</si>
  <si>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</si>
  <si>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</si>
  <si>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</si>
  <si>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</si>
  <si>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</si>
  <si>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</si>
  <si>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</si>
  <si>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</si>
  <si>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</si>
  <si>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</si>
  <si>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</si>
  <si>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</si>
  <si>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</si>
  <si>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</si>
  <si>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</si>
  <si>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</si>
  <si>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</si>
  <si>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</si>
  <si>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</si>
  <si>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</si>
  <si>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</si>
  <si>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</si>
  <si>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</si>
  <si>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</si>
  <si>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</si>
  <si>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</si>
  <si>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</si>
  <si>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</si>
  <si>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</si>
  <si>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</si>
  <si>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</si>
  <si>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</si>
  <si>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</si>
  <si>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</si>
  <si>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</si>
  <si>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</si>
  <si>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</si>
  <si>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</si>
  <si>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</si>
  <si>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</si>
  <si>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</si>
  <si>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</si>
  <si>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</si>
  <si>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</si>
  <si>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</si>
  <si>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</si>
  <si>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</si>
  <si>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</si>
  <si>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</si>
  <si>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</si>
  <si>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</si>
  <si>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</si>
  <si>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</si>
  <si>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</si>
  <si>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</si>
  <si>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</si>
  <si>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</si>
  <si>
    <t>(9,7,2,6,3,*1,4,*8,2,*7,*8,*8),(3,*3,2,1,4,7,*2,3,*7,5,5,3),(9,*5,*1,1,1,4,4,*4,2,*5,8,4),(1,4,7,*7,2,8,6,7,*4,9,*9,1),(4,1,4,*4,*7,6,9,3,1,*5,5,*2),(2,*8,*5,6,2,*6,4,*2,5,2,*7,7),(2,5,4,3,3,*5,*1,7,*2,1,2,*8),(7,5,5,8,4,4,*4,6,8,*7,6,3),(*7,*9,*4,*6,5,9,6,*8,5,8,*6,4),(4,8,*7,2,*3,*4,*5,*1,*8,*2,*6,*4),(6,*8,7,7,*1,*8,*7,*1,*1,*1,*3,4),(*7,9,7,4,9,*8,*1,*3,*2,*3,1,6)</t>
  </si>
  <si>
    <t>47,53,87592,3111781,58,845,518264,6722,787,34,8754421,16771,7946,81323,788</t>
  </si>
  <si>
    <t>(6,8,9,7,2,*6,*4,*7,*3,*7,*3,*9),(7,6,9,8,4,*8,9,8,3,9,9,*1),(7,9,6,5,*9,8,3,1,9,8,6,*4),(2,1,7,*2,*3,*5,*6,*7,5,5,8,*3),(3,3,*9,*5,6,*9,3,5,7,8,9,*1),(7,*3,*2,7,4,9,*6,8,8,1,1,*4),(7,*8,*9,*4,1,3,*9,1,9,8,6,*1),(*3,3,2,4,3,3,8,3,8,1,8,4),(*2,*1,4,4,5,6,6,3,8,6,2,7),(*8,3,*3,4,*3,*8,*5,*3,*7,*1,*2,9),(*3,9,4,3,*1,*8,*7,*1,*1,3,4,7),(*6,*4,*2,*1,*3,*7,5,7,*3,1,6,2)</t>
  </si>
  <si>
    <t>59,3853712,18,3528,96,713,73124,143141,9373746,1178,32836,567,313,94,89293</t>
  </si>
  <si>
    <t>(*9,*8,*5,*4,*2,*5,*5,8,3,6,8,8),(8,1,3,1,6,6,3,2,3,5,*9,5),(7,2,3,1,6,7,8,8,9,*9,9,3),(5,8,8,7,*9,9,6,2,*2,6,4,*4),(7,9,5,8,7,*4,8,*1,2,6,4,*6),(3,2,6,*3,*1,*4,*8,*3,*3,*5,9,*5),(8,6,*3,2,9,3,9,*5,5,5,4,*1),(5,*7,1,*2,*7,*1,*9,5,*5,9,*8,*6),(*9,8,2,1,4,3,8,9,8,*1,5,*7),(3,*9,*5,*2,*4,*6,*2,*1,*3,1,4,*5),(7,5,6,7,8,7,*6,*2,*9,*7,*8,2),(6,6,*3,*7,*8,*4,*8,1,9,7,3,1)</t>
  </si>
  <si>
    <t>973,38,35,5524589,55849,2719,413,68,4651675,9921,126425,62978,231,95,84873</t>
  </si>
  <si>
    <t>(9,1,5,3,*1,*8,*2,*9,9,4,2,*8),(5,9,*8,*8,7,4,*9,6,2,1,*8,4),(2,1,2,*2,9,3,7,*8,4,*2,7,4),(5,6,8,1,*1,5,9,*4,*2,4,3,3),(6,*1,1,6,*8,*5,*3,*6,9,6,3,1),(4,3,*6,*6,*3,*7,*3,5,*9,2,9,*1),(*3,2,*8,*1,*7,*2,1,2,1,*7,*1,5),(*2,*9,8,*5,*6,2,4,9,7,*2,7,4),(*2,3,9,3,5,*3,1,7,*2,2,*3,1),(*5,7,3,5,7,4,*2,*2,4,8,*9,7),(*9,*6,5,5,5,9,5,5,5,4,*3,5),(2,8,*5,*5,*7,*8,*5,*1,*7,4,*4,7)</t>
  </si>
  <si>
    <t>2362288,83,689,81,829,97,69,4393,161632,95223,11222,5128,43775,289,5578517</t>
  </si>
  <si>
    <t>(*9,*6,*4,*1,*9,*3,*1,2,6,2,4,4),(2,3,2,8,8,2,3,4,2,4,7,6),(6,4,4,3,2,8,6,7,2,*7,6,3),(*9,*2,*1,*2,*7,1,1,*3,*4,1,*7,*5),(*2,*9,*5,5,2,4,*6,*1,*5,5,9,*6),(3,8,6,7,6,*3,*2,9,*3,1,7,9),(*5,*7,*5,*2,*3,*7,5,5,*1,*6,4,8),(*9,*5,*9,*4,*9,8,3,4,*9,*9,4,*1),(*6,*9,*4,*8,5,4,6,3,*4,*8,*7,5),(4,1,3,5,9,1,*4,4,*1,*8,6,7),(5,*8,*6,7,8,6,*4,2,*9,*3,4,2),(8,1,7,3,5,7,3,2,9,*1,3,5)</t>
  </si>
  <si>
    <t>592,5319419,44,94959,68,363,4127,6948,32575,65,677,9641931,72129,17,138896</t>
  </si>
  <si>
    <t>(1,*9,4,6,5,*5,1,3,9,9,5,3),(5,*9,*2,1,*2,4,6,9,3,9,1,1),(*1,*6,5,*3,5,4,9,3,2,5,5,7),(1,*4,6,4,*3,3,4,*6,8,6,5,4),(6,*3,4,8,6,*6,2,*9,3,2,5,*4),(3,*2,5,3,5,*1,*3,*5,2,8,*8,5),(9,9,6,2,*8,3,3,*6,5,*5,7,3),(6,5,8,6,8,9,5,*5,*6,*8,6,6),(*6,3,8,3,3,6,2,*7,5,8,6,1),(*4,7,6,8,*2,4,7,6,3,6,2,3),(*5,9,4,1,*2,3,6,3,3,3,9,2),(5,4,7,4,5,4,7,7,8,7,2,9)</t>
  </si>
  <si>
    <t>48567,923363,96432,18,56596,*9832,5477872,523,421,3674,22,4123633,546,68,16</t>
    <phoneticPr fontId="1"/>
  </si>
  <si>
    <t>(1,*9,4,6,5,*5,1,3,9,9,5,3),(5,*9,*2,1,*2,4,6,9,3,9,1,1),(*1,*6,5,*3,5,4,9,3,2,5,5,7),(1,*4,6,4,*3,3,4,*6,8,6,5,4),(6,*3,4,8,6,*6,2,*9,3,2,5,*4),(3,*2,5,3,5,*1,*3,*5,2,8,*8,5),(9,*9,6,2,*8,3,3,*6,5,*5,7,3),(6,5,*8,6,8,9,5,*5,*6,*8,6,6),(*6,3,8,*3,3,6,2,*7,5,8,6,1),(*4,7,6,8,*2,4,7,6,3,6,2,3),(*5,9,4,1,*2,3,6,3,3,3,9,2),(5,4,7,4,5,4,7,7,8,7,2,9)</t>
  </si>
  <si>
    <t>48567,923363,96432,18,56596,9832,*5477872,523,421,3674,22,4123633,546,68,16</t>
    <phoneticPr fontId="1"/>
  </si>
  <si>
    <t>(1,*9,4,6,5,*5,1,3,9,9,5,3),(5,*9,*2,*1,*2,*4,6,9,3,9,1,1),(*1,*6,5,*3,5,4,9,3,2,5,5,7),(1,*4,6,4,*3,3,4,*6,8,6,5,4),(6,*3,4,8,6,*6,2,*9,3,2,5,*4),(3,*2,5,3,5,*1,*3,*5,2,8,*8,5),(9,*9,6,2,*8,3,3,*6,5,*5,7,3),(6,5,*8,6,8,9,5,*5,*6,*8,6,6),(*6,3,8,*3,3,6,2,*7,5,8,6,1),(*4,7,6,8,*2,*4,*7,*6,*3,6,2,3),(*5,9,*4,*1,*2,*3,*6,*3,*3,3,9,2),(5,4,7,4,*5,*4,*7,*7,*8,*7,*2,9)</t>
    <phoneticPr fontId="1"/>
  </si>
  <si>
    <t>48567,923363,96432,18,56596,9832,5477872,523,421,3674,22,4123633,546,68,16</t>
    <phoneticPr fontId="1"/>
  </si>
  <si>
    <t>(1,6,6,5,1,1,9,5,1,4,4,1),(3,*9,5,5,*4,*5,5,1,5,5,4,8),(1,*9,2,3,*3,*9,8,2,4,2,9,*5),(8,*3,9,3,*8,*3,4,2,3,3,*3,7),(2,8,1,8,*5,*5,2,3,*9,*6,6,*9),(*8,1,7,9,*2,*3,8,*5,*3,4,*3,*6),(9,*8,*4,*1,*5,1,*6,*7,*8,1,*6,*1),(1,6,*2,5,*9,*8,1,*8,*4,9,*9,*1),(4,7,3,2,*1,3,*4,3,6,*5,*4,1),(6,4,9,*8,5,*5,2,8,5,*4,*9,2),(4,5,*1,6,*3,*2,*2,*2,*2,*6,*7,*2),(1,8,9,6,9,7,4,5,5,2,7,6)</t>
  </si>
  <si>
    <t>4385259,35395,762222,78,74592,9568181,41,3635,44,1169,88453,51,399,882,369</t>
  </si>
  <si>
    <t>(*8,*7,*5,*5,*1,3,2,*1,5,3,4,9),(1,4,3,4,4,4,*9,3,4,*5,*3,6),(*2,*9,*8,*2,4,*8,*4,7,*5,*1,6,*2),(2,5,6,8,*3,2,1,*3,*6,2,1,*2),(2,1,7,*5,*8,9,7,*2,*7,2,6,*6),(1,3,*3,*9,2,*5,*5,6,9,4,7,6),(6,*6,5,*4,*6,*2,*3,*3,*1,*6,*1,*1),(1,4,*1,*4,2,5,6,*5,8,2,4,8),(9,7,7,*5,3,7,6,9,*9,2,7,4),(1,1,2,7,*4,3,7,8,1,*1,9,9),(2,1,6,7,4,9,6,6,1,6,*3,3),(8,2,*7,*6,*6,*4,*3,*9,*7,*6,*4,4)</t>
  </si>
  <si>
    <t>44,154,8535913,7664,1983536,72,46793,355,622,2892,43,69,252613,15578,31611</t>
  </si>
  <si>
    <t>(4,2,6,6,9,4,1,1,5,5,*2,*1),(8,4,9,4,*7,*7,*9,2,6,9,*4,7),(*7,*2,*3,*7,*5,*3,*7,3,3,7,*6,6),(5,9,3,2,9,7,1,*3,8,2,1,7),(*1,5,9,5,7,3,*8,7,4,4,9,*7),(*3,3,1,9,4,*7,4,9,4,*4,*8,*3),(*3,1,8,7,*7,*6,*7,*9,*3,*5,*9,*2),(*2,*6,*2,4,2,6,*1,9,7,*1,*3,*5),(*8,3,3,5,9,*4,5,5,9,*6,*3,*7),(*6,3,8,2,*7,2,3,5,8,*6,*8,3),(3,7,5,2,2,2,7,4,9,4,*3,5),(3,*4,*8,*7,*8,*6,*8,*3,6,3,2,1)</t>
  </si>
  <si>
    <t>64,66154,7237537,741,4878683,483,6793,133286,977,75237,62,85,7783,38339,12</t>
  </si>
  <si>
    <t>(5,3,*4,*1,*8,*3,2,7,2,4,4,1),(4,*9,7,3,9,4,9,*8,8,5,8,6),(6,*1,8,4,7,2,4,*2,5,9,3,1),(2,8,*8,*5,*9,*5,*1,*2,9,4,6,*6),(6,*3,*5,*3,*9,*8,*1,*6,*3,*6,7,*7),(3,5,*1,4,*2,*3,*5,*9,*7,7,3,*5),(9,*1,*6,1,2,1,9,*8,*2,7,1,*1),(3,*4,*9,7,7,3,7,2,*6,1,8,*2),(5,*4,*6,3,1,3,4,4,1,*1,8,*2),(4,6,*4,*4,*6,*2,*4,5,5,1,*5,*9),(6,3,*1,*1,*1,3,1,9,1,9,1,*2),(1,4,6,3,9,7,5,3,3,8,7,1)</t>
  </si>
  <si>
    <t>79532,19,2644,31,859512,372,28,3814,69615,441,6751229,111,86152,24,6361893</t>
  </si>
  <si>
    <t>(4,3,3,4,1,1,7,1,7,9,5,8),(4,*8,3,3,*4,*6,*9,*1,*2,9,5,2),(7,*6,*9,6,5,1,1,5,2,*3,2,*7),(*1,*8,*8,*8,9,2,4,8,*4,7,*2,*5),(*1,*5,*1,9,*7,5,6,*5,1,*5,*7,*9),(4,*2,*4,1,2,*3,*4,3,*8,9,*7,*7),(1,2,*8,1,6,1,*9,*6,3,1,*5,*3),(4,9,*9,7,1,5,*3,2,2,5,*7,*3),(8,5,*3,5,2,*6,*2,1,2,7,5,*7),(4,9,*4,*7,*3,2,9,1,7,4,3,*4),(6,9,*6,*6,3,6,2,3,1,7,5,*2),(3,6,*7,9,3,1,7,1,9,5,4,1)</t>
  </si>
  <si>
    <t>25868,4543,42,8739,27757,759,981,51,11,5863636,7643984,74,733795,239,46912</t>
  </si>
  <si>
    <t>(6,*4,*6,*2,*9,*1,5,8,*4,8,9,4),(4,4,5,*7,4,6,*1,*5,2,*5,9,4),(7,2,*7,2,9,5,9,7,1,9,*9,6),(4,*5,5,8,*2,*8,*2,6,9,*2,8,*9),(*3,*2,*9,*3,*5,*8,*3,6,*2,2,9,*7),(2,9,2,1,1,5,*3,*9,2,6,9,*3),(8,9,7,6,*3,*1,*2,*5,2,1,5,*7),(9,1,9,*5,*2,*7,6,1,5,*6,*6,*5),(8,3,*6,*9,*3,7,5,2,7,7,6,*5),(8,*9,*4,*5,1,*3,*4,7,7,3,8,7),(*3,4,6,1,9,1,4,*4,*9,*9,*2,5),(2,4,7,3,9,8,*9,*8,*7,*6,2,3)</t>
  </si>
  <si>
    <t>51,2994,35693,282,775,34,49213,46291,459,2292735,3853923,6789,25,66,557379</t>
  </si>
  <si>
    <t>(*1,2,*8,9,4,7,1,5,7,9,2,6),(2,*9,9,*6,1,6,6,*4,*9,*1,3,1),(1,7,*2,2,*2,3,4,*6,5,*9,4,*8),(5,3,2,*5,*3,*1,*5,1,4,*6,4,*8),(5,1,4,*2,*2,*7,1,*1,8,*5,4,*5),(7,6,*3,4,2,9,*4,5,5,*3,*3,*9),(1,6,3,3,9,*6,8,8,3,*3,*3,*4),(4,6,1,2,*4,1,2,4,1,*4,*3,5),(7,*8,*1,*4,5,*5,8,1,2,4,*3,4),(8,*6,*7,5,6,4,6,*2,2,6,*5,3),(4,5,*3,*8,*2,*7,*2,*3,*7,9,*7,4),(6,6,4,*9,*8,*8,9,6,4,9,1,7)</t>
  </si>
  <si>
    <t>1268,87,889,3827237,9657,44641,194,323,88594,333357,25291,1965334,45,16,22</t>
  </si>
  <si>
    <t>(1,*8,*3,*7,*1,*8,*5,*3,4,8,8,6),(6,8,*2,*4,*5,*9,*3,*6,1,8,2,4),(9,7,7,8,3,2,3,8,8,4,6,3),(8,3,*3,6,8,9,9,2,6,9,5,9),(4,9,*6,4,7,5,6,8,1,1,*4,2),(5,8,*6,6,5,7,*8,1,2,*1,*8,3),(9,7,*4,9,4,4,*1,9,*3,*1,*2,4),(5,9,*6,1,4,3,*4,7,*3,*5,*7,6),(3,9,*7,*9,*3,*9,*5,*6,*2,1,*4,8),(1,4,*8,8,5,*9,9,*2,*6,*2,6,6),(2,9,*9,1,*7,*6,*7,*6,*8,*2,*2,*1),(*5,*5,*9,*8,3,1,8,4,8,6,7,8)</t>
  </si>
  <si>
    <t>262,418,48274,13,639542,4663,115,8955,99876,79,23,25,6768221,93956,8371853</t>
  </si>
  <si>
    <t>(8,*6,*2,*8,*1,*9,*4,*3,8,4,*4,*8),(2,5,1,1,4,1,9,5,3,1,*1,*6),(8,*4,1,5,9,2,7,1,4,9,*5,*8),(8,*6,4,*3,*9,*1,*2,*1,3,2,*8,*3),(*3,*5,*3,*8,*5,*4,*9,5,1,*1,3,*5),(7,4,4,*3,*9,*4,*5,1,1,*2,7,3),(*8,*4,*8,5,2,2,*2,9,6,*6,8,1),(4,*7,8,*1,3,*3,3,8,1,*8,4,5),(7,*8,*6,5,*8,4,8,7,6,*1,7,1),(5,*4,4,*7,1,*6,*2,*3,1,*1,8,3),(6,1,*5,8,9,9,9,8,6,*3,5,8),(3,8,8,6,7,8,8,8,8,8,6,8)</t>
  </si>
  <si>
    <t>86835,326,23875,848,12193,59,3118621,4158,458353,5493,46,16,6281943,67,487</t>
  </si>
  <si>
    <t>(4,2,*5,*7,*5,*6,*4,5,4,9,6,*8),(2,8,1,1,*9,3,6,*3,*8,*8,7,*3),(*3,*8,*5,*4,*6,*4,2,4,1,1,6,*6),(*5,5,9,4,7,*3,6,6,1,3,8,*9),(*1,3,9,1,*6,3,3,1,3,5,8,*8),(*2,4,8,*3,9,3,*9,4,4,4,6,*6),(*5,7,*1,5,3,4,2,*3,5,5,9,6),(*2,*5,*3,*8,*6,*2,*5,*2,*9,7,7,1),(*1,1,5,4,6,1,*1,*6,6,1,6,9),(3,*7,*7,1,3,*2,9,*2,8,8,5,4),(9,8,5,9,*1,4,5,8,*5,2,8,7),(5,1,8,*1,*7,*2,*1,*1,2,*9,5,9)</t>
  </si>
  <si>
    <t>1211,77,1252153,57564,51363,94,939,836986,1127,61,3862529,883,85464,952,71</t>
  </si>
  <si>
    <t>(1,5,1,3,*7,*3,*7,*4,*2,*8,2,4),(7,8,*3,*6,4,*1,5,7,5,8,3,5),(7,2,7,*2,*7,9,*4,2,*6,8,4,7),(2,3,3,5,*2,6,4,*2,4,*1,9,4),(*6,*4,*8,*3,5,*4,*7,6,*1,4,*2,7),(3,*8,9,3,2,*7,*8,*9,7,*8,*9,*6),(5,2,6,2,*7,9,3,*7,9,3,*8,8),(4,5,5,*5,*7,*4,9,5,*3,5,*4,2),(6,6,*6,*1,*9,*3,4,1,9,6,*8,3),(2,*4,*2,8,1,*2,6,2,5,8,*8,8),(*8,*1,7,5,1,9,*2,9,1,1,1,8),(*9,2,3,4,7,1,*6,*5,*7,*8,*5,9)</t>
  </si>
  <si>
    <t>67,216,8848,86,14218,698,43,3224873,71219,2295,824737,384,79,65785,7775648</t>
  </si>
  <si>
    <t>(3,9,2,2,6,2,*2,*7,*2,*4,7,2),(6,2,7,4,4,*4,*1,*1,*7,*7,*6,*5),(*4,*1,*8,*6,*9,*7,*3,1,1,4,*8,7),(*3,*8,7,4,3,2,2,1,5,*1,2,8),(8,*3,5,*9,2,3,2,1,5,*4,5,6),(*9,6,8,*2,7,3,1,4,8,*7,2,5),(4,*6,5,*6,9,2,8,7,*3,*7,8,5),(5,1,*2,7,*2,6,6,1,*7,*1,3,*9),(3,2,3,5,9,*8,3,2,*4,*9,*7,5),(6,8,*3,7,7,9,*1,2,*2,*7,8,8),(*1,*4,*8,*5,*6,*9,*4,*5,*5,5,4,8),(1,6,2,1,1,6,2,*4,*2,1,4,8)</t>
  </si>
  <si>
    <t>83,13,185,25182,926,3796814,2473,47719,677114,269,97754,4965841,43,2724,35</t>
  </si>
  <si>
    <t>(*2,8,9,2,4,5,4,4,7,7,8,5),(*9,6,2,*2,*5,*7,*5,*8,*2,*7,4,3),(*4,9,*7,*4,7,*8,*1,*5,*9,*1,1,3),(*6,7,6,*1,*7,8,2,2,2,2,2,1),(*6,9,3,*7,*1,*4,*4,*6,*5,3,2,3),(4,6,*7,6,5,*1,9,*3,*9,7,1,8),(7,*7,*4,*4,8,1,*7,7,*6,*3,1,6),(6,7,*7,9,8,8,1,8,9,3,*6,7),(3,8,*7,9,1,2,*8,*7,1,1,5,*7),(*3,*3,*3,*2,*5,*6,*2,1,4,6,7,7),(3,2,2,8,7,3,5,1,4,5,2,4),(1,4,*2,*2,*6,*3,*6,*9,2,9,1,9)</t>
  </si>
  <si>
    <t>14,7285752,3332562,226369,71117,44,7639,465,24,66492,634,87,7777,81591,477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</si>
</sst>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データ!$A$3:$A$345</c:f>
              <c:numCache>
                <c:formatCode>m/d/yyyy\ h:mm</c:formatCode>
                <c:ptCount val="34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  <c:pt idx="341">
                  <c:v>46088.323182870372</c:v>
                </c:pt>
                <c:pt idx="342">
                  <c:v>46088.329710648148</c:v>
                </c:pt>
              </c:numCache>
            </c:numRef>
          </c:xVal>
          <c:yVal>
            <c:numRef>
              <c:f>データ!$B$3:$B$345</c:f>
              <c:numCache>
                <c:formatCode>General</c:formatCode>
                <c:ptCount val="343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2E-4B2D-8637-DBA227E9AF8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02E-4B2D-8637-DBA227E9A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413232"/>
        <c:axId val="174042475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データ!$A$3:$A$345</c:f>
              <c:numCache>
                <c:formatCode>m/d/yyyy\ h:mm</c:formatCode>
                <c:ptCount val="34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  <c:pt idx="341">
                  <c:v>46088.323182870372</c:v>
                </c:pt>
                <c:pt idx="342">
                  <c:v>46088.329710648148</c:v>
                </c:pt>
              </c:numCache>
            </c:numRef>
          </c:xVal>
          <c:yVal>
            <c:numRef>
              <c:f>データ!$Q$3:$Q$345</c:f>
              <c:numCache>
                <c:formatCode>[h]:mm</c:formatCode>
                <c:ptCount val="343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  <c:pt idx="322" formatCode="General">
                  <c:v>6.5162037062691525E-3</c:v>
                </c:pt>
                <c:pt idx="323" formatCode="General">
                  <c:v>4.5486111121135764E-3</c:v>
                </c:pt>
                <c:pt idx="324" formatCode="General">
                  <c:v>7.6736111150239594E-3</c:v>
                </c:pt>
                <c:pt idx="325" formatCode="General">
                  <c:v>6.7824074067175388E-3</c:v>
                </c:pt>
                <c:pt idx="326" formatCode="General">
                  <c:v>7.4652777766459621E-3</c:v>
                </c:pt>
                <c:pt idx="327" formatCode="General">
                  <c:v>#N/A</c:v>
                </c:pt>
                <c:pt idx="328" formatCode="General">
                  <c:v>#N/A</c:v>
                </c:pt>
                <c:pt idx="329" formatCode="General">
                  <c:v>5.9259259214741178E-3</c:v>
                </c:pt>
                <c:pt idx="330" formatCode="General">
                  <c:v>5.5555555518367328E-3</c:v>
                </c:pt>
                <c:pt idx="331" formatCode="General">
                  <c:v>5.0694444435066544E-3</c:v>
                </c:pt>
                <c:pt idx="332" formatCode="General">
                  <c:v>8.6689814779674634E-3</c:v>
                </c:pt>
                <c:pt idx="333" formatCode="General">
                  <c:v>6.7476851836545393E-3</c:v>
                </c:pt>
                <c:pt idx="334" formatCode="General">
                  <c:v>6.4120370370801538E-3</c:v>
                </c:pt>
                <c:pt idx="335" formatCode="General">
                  <c:v>7.4884259302052669E-3</c:v>
                </c:pt>
                <c:pt idx="336" formatCode="General">
                  <c:v>6.8634259296231903E-3</c:v>
                </c:pt>
                <c:pt idx="337" formatCode="General">
                  <c:v>6.1689814829151146E-3</c:v>
                </c:pt>
                <c:pt idx="338" formatCode="General">
                  <c:v>7.9398148154723458E-3</c:v>
                </c:pt>
                <c:pt idx="339" formatCode="General">
                  <c:v>6.956018514756579E-3</c:v>
                </c:pt>
                <c:pt idx="340" formatCode="General">
                  <c:v>5.914351851970423E-3</c:v>
                </c:pt>
                <c:pt idx="341" formatCode="General">
                  <c:v>8.55324073927477E-3</c:v>
                </c:pt>
                <c:pt idx="342" formatCode="General">
                  <c:v>5.0347222204436548E-3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2E-4B2D-8637-DBA227E9A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382512"/>
        <c:axId val="1740417072"/>
      </c:scatterChart>
      <c:valAx>
        <c:axId val="174041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40424752"/>
        <c:crosses val="autoZero"/>
        <c:crossBetween val="midCat"/>
      </c:valAx>
      <c:valAx>
        <c:axId val="174042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40413232"/>
        <c:crosses val="autoZero"/>
        <c:crossBetween val="midCat"/>
      </c:valAx>
      <c:valAx>
        <c:axId val="174041707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40382512"/>
        <c:crosses val="max"/>
        <c:crossBetween val="midCat"/>
      </c:valAx>
      <c:valAx>
        <c:axId val="174038251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4041707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57" name="Match0">
          <a:extLst>
            <a:ext uri="{FF2B5EF4-FFF2-40B4-BE49-F238E27FC236}">
              <a16:creationId xmlns:a16="http://schemas.microsoft.com/office/drawing/2014/main" id="{EB4EE3D8-3811-EB9A-843E-6D98C7CC8763}"/>
            </a:ext>
          </a:extLst>
        </xdr:cNvPr>
        <xdr:cNvCxnSpPr/>
      </xdr:nvCxnSpPr>
      <xdr:spPr>
        <a:xfrm flipV="1">
          <a:off x="40266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58" name="Match1">
          <a:extLst>
            <a:ext uri="{FF2B5EF4-FFF2-40B4-BE49-F238E27FC236}">
              <a16:creationId xmlns:a16="http://schemas.microsoft.com/office/drawing/2014/main" id="{F29DE25B-0BE1-77D0-B30C-891EE69F0418}"/>
            </a:ext>
          </a:extLst>
        </xdr:cNvPr>
        <xdr:cNvCxnSpPr/>
      </xdr:nvCxnSpPr>
      <xdr:spPr>
        <a:xfrm flipV="1">
          <a:off x="445055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59" name="Match2">
          <a:extLst>
            <a:ext uri="{FF2B5EF4-FFF2-40B4-BE49-F238E27FC236}">
              <a16:creationId xmlns:a16="http://schemas.microsoft.com/office/drawing/2014/main" id="{151CA0DF-C812-D1A2-57B9-7655B5BA1FB7}"/>
            </a:ext>
          </a:extLst>
        </xdr:cNvPr>
        <xdr:cNvCxnSpPr/>
      </xdr:nvCxnSpPr>
      <xdr:spPr>
        <a:xfrm flipV="1">
          <a:off x="148351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5</xdr:col>
      <xdr:colOff>211931</xdr:colOff>
      <xdr:row>4</xdr:row>
      <xdr:rowOff>178594</xdr:rowOff>
    </xdr:to>
    <xdr:cxnSp macro="">
      <xdr:nvCxnSpPr>
        <xdr:cNvPr id="60" name="Match3">
          <a:extLst>
            <a:ext uri="{FF2B5EF4-FFF2-40B4-BE49-F238E27FC236}">
              <a16:creationId xmlns:a16="http://schemas.microsoft.com/office/drawing/2014/main" id="{C58F7C77-1F9E-7ED7-05AA-8138B95F41DF}"/>
            </a:ext>
          </a:extLst>
        </xdr:cNvPr>
        <xdr:cNvCxnSpPr/>
      </xdr:nvCxnSpPr>
      <xdr:spPr>
        <a:xfrm>
          <a:off x="1907381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61" name="Match4">
          <a:extLst>
            <a:ext uri="{FF2B5EF4-FFF2-40B4-BE49-F238E27FC236}">
              <a16:creationId xmlns:a16="http://schemas.microsoft.com/office/drawing/2014/main" id="{94E9D1B5-1CD5-F8B2-D8DE-61165A0ED357}"/>
            </a:ext>
          </a:extLst>
        </xdr:cNvPr>
        <xdr:cNvCxnSpPr/>
      </xdr:nvCxnSpPr>
      <xdr:spPr>
        <a:xfrm flipV="1">
          <a:off x="233124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6</xdr:col>
      <xdr:colOff>237331</xdr:colOff>
      <xdr:row>5</xdr:row>
      <xdr:rowOff>203993</xdr:rowOff>
    </xdr:to>
    <xdr:cxnSp macro="">
      <xdr:nvCxnSpPr>
        <xdr:cNvPr id="62" name="Match5">
          <a:extLst>
            <a:ext uri="{FF2B5EF4-FFF2-40B4-BE49-F238E27FC236}">
              <a16:creationId xmlns:a16="http://schemas.microsoft.com/office/drawing/2014/main" id="{CEE7DEBE-059B-10CA-C8E9-22E5C58825F0}"/>
            </a:ext>
          </a:extLst>
        </xdr:cNvPr>
        <xdr:cNvCxnSpPr/>
      </xdr:nvCxnSpPr>
      <xdr:spPr>
        <a:xfrm flipV="1">
          <a:off x="235664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8</xdr:col>
      <xdr:colOff>211931</xdr:colOff>
      <xdr:row>9</xdr:row>
      <xdr:rowOff>178593</xdr:rowOff>
    </xdr:to>
    <xdr:cxnSp macro="">
      <xdr:nvCxnSpPr>
        <xdr:cNvPr id="63" name="Match6">
          <a:extLst>
            <a:ext uri="{FF2B5EF4-FFF2-40B4-BE49-F238E27FC236}">
              <a16:creationId xmlns:a16="http://schemas.microsoft.com/office/drawing/2014/main" id="{222C3F99-80B8-CA86-FF70-41A3455613DE}"/>
            </a:ext>
          </a:extLst>
        </xdr:cNvPr>
        <xdr:cNvCxnSpPr/>
      </xdr:nvCxnSpPr>
      <xdr:spPr>
        <a:xfrm>
          <a:off x="360283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024" name="Match7">
          <a:extLst>
            <a:ext uri="{FF2B5EF4-FFF2-40B4-BE49-F238E27FC236}">
              <a16:creationId xmlns:a16="http://schemas.microsoft.com/office/drawing/2014/main" id="{CE4B2DE5-9B31-113A-1E7B-D78F0414A925}"/>
            </a:ext>
          </a:extLst>
        </xdr:cNvPr>
        <xdr:cNvCxnSpPr/>
      </xdr:nvCxnSpPr>
      <xdr:spPr>
        <a:xfrm flipH="1">
          <a:off x="36028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1025" name="Match8">
          <a:extLst>
            <a:ext uri="{FF2B5EF4-FFF2-40B4-BE49-F238E27FC236}">
              <a16:creationId xmlns:a16="http://schemas.microsoft.com/office/drawing/2014/main" id="{A405926B-C11B-07A6-41D4-1E7C545E06BA}"/>
            </a:ext>
          </a:extLst>
        </xdr:cNvPr>
        <xdr:cNvCxnSpPr/>
      </xdr:nvCxnSpPr>
      <xdr:spPr>
        <a:xfrm>
          <a:off x="3178969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9</xdr:row>
      <xdr:rowOff>203993</xdr:rowOff>
    </xdr:from>
    <xdr:to>
      <xdr:col>8</xdr:col>
      <xdr:colOff>237331</xdr:colOff>
      <xdr:row>10</xdr:row>
      <xdr:rowOff>203994</xdr:rowOff>
    </xdr:to>
    <xdr:cxnSp macro="">
      <xdr:nvCxnSpPr>
        <xdr:cNvPr id="1026" name="Match9">
          <a:extLst>
            <a:ext uri="{FF2B5EF4-FFF2-40B4-BE49-F238E27FC236}">
              <a16:creationId xmlns:a16="http://schemas.microsoft.com/office/drawing/2014/main" id="{501BAC3D-646E-8145-C9D8-97B7C9371352}"/>
            </a:ext>
          </a:extLst>
        </xdr:cNvPr>
        <xdr:cNvCxnSpPr/>
      </xdr:nvCxnSpPr>
      <xdr:spPr>
        <a:xfrm>
          <a:off x="3204369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027" name="Match10">
          <a:extLst>
            <a:ext uri="{FF2B5EF4-FFF2-40B4-BE49-F238E27FC236}">
              <a16:creationId xmlns:a16="http://schemas.microsoft.com/office/drawing/2014/main" id="{B28F157F-75FB-5847-94CB-EF8EDB6B60C0}"/>
            </a:ext>
          </a:extLst>
        </xdr:cNvPr>
        <xdr:cNvCxnSpPr/>
      </xdr:nvCxnSpPr>
      <xdr:spPr>
        <a:xfrm>
          <a:off x="3178969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9</xdr:row>
      <xdr:rowOff>203993</xdr:rowOff>
    </xdr:from>
    <xdr:to>
      <xdr:col>8</xdr:col>
      <xdr:colOff>237331</xdr:colOff>
      <xdr:row>10</xdr:row>
      <xdr:rowOff>203994</xdr:rowOff>
    </xdr:to>
    <xdr:cxnSp macro="">
      <xdr:nvCxnSpPr>
        <xdr:cNvPr id="1028" name="Match11">
          <a:extLst>
            <a:ext uri="{FF2B5EF4-FFF2-40B4-BE49-F238E27FC236}">
              <a16:creationId xmlns:a16="http://schemas.microsoft.com/office/drawing/2014/main" id="{855F51D0-E096-1DD8-E254-AFE94CFEE1BF}"/>
            </a:ext>
          </a:extLst>
        </xdr:cNvPr>
        <xdr:cNvCxnSpPr/>
      </xdr:nvCxnSpPr>
      <xdr:spPr>
        <a:xfrm flipV="1">
          <a:off x="3204369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1</xdr:col>
      <xdr:colOff>211931</xdr:colOff>
      <xdr:row>11</xdr:row>
      <xdr:rowOff>178593</xdr:rowOff>
    </xdr:to>
    <xdr:cxnSp macro="">
      <xdr:nvCxnSpPr>
        <xdr:cNvPr id="1029" name="Match12">
          <a:extLst>
            <a:ext uri="{FF2B5EF4-FFF2-40B4-BE49-F238E27FC236}">
              <a16:creationId xmlns:a16="http://schemas.microsoft.com/office/drawing/2014/main" id="{973323BF-AF65-68C2-B59C-C6CE7BB037B6}"/>
            </a:ext>
          </a:extLst>
        </xdr:cNvPr>
        <xdr:cNvCxnSpPr/>
      </xdr:nvCxnSpPr>
      <xdr:spPr>
        <a:xfrm>
          <a:off x="2119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030" name="Match13">
          <a:extLst>
            <a:ext uri="{FF2B5EF4-FFF2-40B4-BE49-F238E27FC236}">
              <a16:creationId xmlns:a16="http://schemas.microsoft.com/office/drawing/2014/main" id="{AE453C3B-106E-5A3B-5A28-42553547721D}"/>
            </a:ext>
          </a:extLst>
        </xdr:cNvPr>
        <xdr:cNvCxnSpPr/>
      </xdr:nvCxnSpPr>
      <xdr:spPr>
        <a:xfrm flipV="1"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9</xdr:col>
      <xdr:colOff>211931</xdr:colOff>
      <xdr:row>1</xdr:row>
      <xdr:rowOff>178593</xdr:rowOff>
    </xdr:to>
    <xdr:cxnSp macro="">
      <xdr:nvCxnSpPr>
        <xdr:cNvPr id="1031" name="Match14">
          <a:extLst>
            <a:ext uri="{FF2B5EF4-FFF2-40B4-BE49-F238E27FC236}">
              <a16:creationId xmlns:a16="http://schemas.microsoft.com/office/drawing/2014/main" id="{A78CD6FD-3F09-CE11-BC0C-9ED8C6043941}"/>
            </a:ext>
          </a:extLst>
        </xdr:cNvPr>
        <xdr:cNvCxnSpPr/>
      </xdr:nvCxnSpPr>
      <xdr:spPr>
        <a:xfrm flipH="1">
          <a:off x="1483519" y="5357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6</xdr:col>
      <xdr:colOff>211931</xdr:colOff>
      <xdr:row>9</xdr:row>
      <xdr:rowOff>178593</xdr:rowOff>
    </xdr:to>
    <xdr:cxnSp macro="">
      <xdr:nvCxnSpPr>
        <xdr:cNvPr id="1032" name="Match15">
          <a:extLst>
            <a:ext uri="{FF2B5EF4-FFF2-40B4-BE49-F238E27FC236}">
              <a16:creationId xmlns:a16="http://schemas.microsoft.com/office/drawing/2014/main" id="{ED8F842E-68EC-3236-1BD1-39A120FD491D}"/>
            </a:ext>
          </a:extLst>
        </xdr:cNvPr>
        <xdr:cNvCxnSpPr/>
      </xdr:nvCxnSpPr>
      <xdr:spPr>
        <a:xfrm>
          <a:off x="211931" y="33932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033" name="Match16">
          <a:extLst>
            <a:ext uri="{FF2B5EF4-FFF2-40B4-BE49-F238E27FC236}">
              <a16:creationId xmlns:a16="http://schemas.microsoft.com/office/drawing/2014/main" id="{A4F7E18A-7AB8-832E-95DD-1F512B1F18A6}"/>
            </a:ext>
          </a:extLst>
        </xdr:cNvPr>
        <xdr:cNvCxnSpPr/>
      </xdr:nvCxnSpPr>
      <xdr:spPr>
        <a:xfrm>
          <a:off x="1059656" y="4107656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6</xdr:col>
      <xdr:colOff>211931</xdr:colOff>
      <xdr:row>6</xdr:row>
      <xdr:rowOff>178594</xdr:rowOff>
    </xdr:to>
    <xdr:cxnSp macro="">
      <xdr:nvCxnSpPr>
        <xdr:cNvPr id="1034" name="Match17">
          <a:extLst>
            <a:ext uri="{FF2B5EF4-FFF2-40B4-BE49-F238E27FC236}">
              <a16:creationId xmlns:a16="http://schemas.microsoft.com/office/drawing/2014/main" id="{97E3713D-BAB2-942C-559A-63DF29DC9BA4}"/>
            </a:ext>
          </a:extLst>
        </xdr:cNvPr>
        <xdr:cNvCxnSpPr/>
      </xdr:nvCxnSpPr>
      <xdr:spPr>
        <a:xfrm>
          <a:off x="1059656" y="89296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6</xdr:col>
      <xdr:colOff>211931</xdr:colOff>
      <xdr:row>6</xdr:row>
      <xdr:rowOff>178594</xdr:rowOff>
    </xdr:to>
    <xdr:cxnSp macro="">
      <xdr:nvCxnSpPr>
        <xdr:cNvPr id="1035" name="Match18">
          <a:extLst>
            <a:ext uri="{FF2B5EF4-FFF2-40B4-BE49-F238E27FC236}">
              <a16:creationId xmlns:a16="http://schemas.microsoft.com/office/drawing/2014/main" id="{89E655F9-EEA8-89B0-B4B9-879B6841E4C1}"/>
            </a:ext>
          </a:extLst>
        </xdr:cNvPr>
        <xdr:cNvCxnSpPr/>
      </xdr:nvCxnSpPr>
      <xdr:spPr>
        <a:xfrm flipH="1" flipV="1">
          <a:off x="1059656" y="89296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0</xdr:row>
      <xdr:rowOff>178594</xdr:rowOff>
    </xdr:to>
    <xdr:cxnSp macro="">
      <xdr:nvCxnSpPr>
        <xdr:cNvPr id="1036" name="Match19">
          <a:extLst>
            <a:ext uri="{FF2B5EF4-FFF2-40B4-BE49-F238E27FC236}">
              <a16:creationId xmlns:a16="http://schemas.microsoft.com/office/drawing/2014/main" id="{EA8BBFB5-2FA6-B627-4860-5CC1AAF238A4}"/>
            </a:ext>
          </a:extLst>
        </xdr:cNvPr>
        <xdr:cNvCxnSpPr/>
      </xdr:nvCxnSpPr>
      <xdr:spPr>
        <a:xfrm>
          <a:off x="275510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0</xdr:row>
      <xdr:rowOff>178594</xdr:rowOff>
    </xdr:to>
    <xdr:cxnSp macro="">
      <xdr:nvCxnSpPr>
        <xdr:cNvPr id="1037" name="Match20">
          <a:extLst>
            <a:ext uri="{FF2B5EF4-FFF2-40B4-BE49-F238E27FC236}">
              <a16:creationId xmlns:a16="http://schemas.microsoft.com/office/drawing/2014/main" id="{142BA761-2A77-0CA4-9DE2-D961B2C151FE}"/>
            </a:ext>
          </a:extLst>
        </xdr:cNvPr>
        <xdr:cNvCxnSpPr/>
      </xdr:nvCxnSpPr>
      <xdr:spPr>
        <a:xfrm flipH="1">
          <a:off x="275510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038" name="Match21">
          <a:extLst>
            <a:ext uri="{FF2B5EF4-FFF2-40B4-BE49-F238E27FC236}">
              <a16:creationId xmlns:a16="http://schemas.microsoft.com/office/drawing/2014/main" id="{28E5ACD4-6034-AEE7-3058-DD95A34EF712}"/>
            </a:ext>
          </a:extLst>
        </xdr:cNvPr>
        <xdr:cNvCxnSpPr/>
      </xdr:nvCxnSpPr>
      <xdr:spPr>
        <a:xfrm>
          <a:off x="233124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039" name="Match22">
          <a:extLst>
            <a:ext uri="{FF2B5EF4-FFF2-40B4-BE49-F238E27FC236}">
              <a16:creationId xmlns:a16="http://schemas.microsoft.com/office/drawing/2014/main" id="{546B2C78-D6FB-0E31-F1CE-76C7BD44CB7A}"/>
            </a:ext>
          </a:extLst>
        </xdr:cNvPr>
        <xdr:cNvCxnSpPr/>
      </xdr:nvCxnSpPr>
      <xdr:spPr>
        <a:xfrm flipH="1">
          <a:off x="233124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040" name="Match23">
          <a:extLst>
            <a:ext uri="{FF2B5EF4-FFF2-40B4-BE49-F238E27FC236}">
              <a16:creationId xmlns:a16="http://schemas.microsoft.com/office/drawing/2014/main" id="{38E93085-E6F1-10C3-D6E7-AE423D431257}"/>
            </a:ext>
          </a:extLst>
        </xdr:cNvPr>
        <xdr:cNvCxnSpPr/>
      </xdr:nvCxnSpPr>
      <xdr:spPr>
        <a:xfrm>
          <a:off x="10596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041" name="Match24">
          <a:extLst>
            <a:ext uri="{FF2B5EF4-FFF2-40B4-BE49-F238E27FC236}">
              <a16:creationId xmlns:a16="http://schemas.microsoft.com/office/drawing/2014/main" id="{CD7A9CFB-5A0A-6AAE-31A2-F0794C325F24}"/>
            </a:ext>
          </a:extLst>
        </xdr:cNvPr>
        <xdr:cNvCxnSpPr/>
      </xdr:nvCxnSpPr>
      <xdr:spPr>
        <a:xfrm flipH="1">
          <a:off x="10596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8</xdr:col>
      <xdr:colOff>211931</xdr:colOff>
      <xdr:row>10</xdr:row>
      <xdr:rowOff>178594</xdr:rowOff>
    </xdr:to>
    <xdr:cxnSp macro="">
      <xdr:nvCxnSpPr>
        <xdr:cNvPr id="1042" name="Match25">
          <a:extLst>
            <a:ext uri="{FF2B5EF4-FFF2-40B4-BE49-F238E27FC236}">
              <a16:creationId xmlns:a16="http://schemas.microsoft.com/office/drawing/2014/main" id="{B3D252CA-EBAA-059E-E513-1BE638EA2A68}"/>
            </a:ext>
          </a:extLst>
        </xdr:cNvPr>
        <xdr:cNvCxnSpPr/>
      </xdr:nvCxnSpPr>
      <xdr:spPr>
        <a:xfrm>
          <a:off x="3602831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8</xdr:col>
      <xdr:colOff>211931</xdr:colOff>
      <xdr:row>10</xdr:row>
      <xdr:rowOff>178594</xdr:rowOff>
    </xdr:to>
    <xdr:cxnSp macro="">
      <xdr:nvCxnSpPr>
        <xdr:cNvPr id="1043" name="Match26">
          <a:extLst>
            <a:ext uri="{FF2B5EF4-FFF2-40B4-BE49-F238E27FC236}">
              <a16:creationId xmlns:a16="http://schemas.microsoft.com/office/drawing/2014/main" id="{1F374D98-602D-E8B5-958D-8077146D9B9E}"/>
            </a:ext>
          </a:extLst>
        </xdr:cNvPr>
        <xdr:cNvCxnSpPr/>
      </xdr:nvCxnSpPr>
      <xdr:spPr>
        <a:xfrm flipV="1">
          <a:off x="3602831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1044" name="Match27">
          <a:extLst>
            <a:ext uri="{FF2B5EF4-FFF2-40B4-BE49-F238E27FC236}">
              <a16:creationId xmlns:a16="http://schemas.microsoft.com/office/drawing/2014/main" id="{D47F7F06-01CA-2948-1A4E-D1018616EEA6}"/>
            </a:ext>
          </a:extLst>
        </xdr:cNvPr>
        <xdr:cNvCxnSpPr/>
      </xdr:nvCxnSpPr>
      <xdr:spPr>
        <a:xfrm flipH="1">
          <a:off x="3602831" y="2678906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045" name="Match28">
          <a:extLst>
            <a:ext uri="{FF2B5EF4-FFF2-40B4-BE49-F238E27FC236}">
              <a16:creationId xmlns:a16="http://schemas.microsoft.com/office/drawing/2014/main" id="{ADD8F009-B46A-7F4D-FA7C-5DF1FC6D4D19}"/>
            </a:ext>
          </a:extLst>
        </xdr:cNvPr>
        <xdr:cNvCxnSpPr/>
      </xdr:nvCxnSpPr>
      <xdr:spPr>
        <a:xfrm flipH="1" flipV="1">
          <a:off x="3602831" y="1964531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8</xdr:col>
      <xdr:colOff>237331</xdr:colOff>
      <xdr:row>4</xdr:row>
      <xdr:rowOff>203994</xdr:rowOff>
    </xdr:to>
    <xdr:cxnSp macro="">
      <xdr:nvCxnSpPr>
        <xdr:cNvPr id="1046" name="Match29">
          <a:extLst>
            <a:ext uri="{FF2B5EF4-FFF2-40B4-BE49-F238E27FC236}">
              <a16:creationId xmlns:a16="http://schemas.microsoft.com/office/drawing/2014/main" id="{EBD0E9B7-F26A-393F-8A94-A8A71D1ABE69}"/>
            </a:ext>
          </a:extLst>
        </xdr:cNvPr>
        <xdr:cNvCxnSpPr/>
      </xdr:nvCxnSpPr>
      <xdr:spPr>
        <a:xfrm>
          <a:off x="2780506" y="1632744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8</xdr:row>
      <xdr:rowOff>203994</xdr:rowOff>
    </xdr:from>
    <xdr:to>
      <xdr:col>10</xdr:col>
      <xdr:colOff>237331</xdr:colOff>
      <xdr:row>10</xdr:row>
      <xdr:rowOff>203994</xdr:rowOff>
    </xdr:to>
    <xdr:cxnSp macro="">
      <xdr:nvCxnSpPr>
        <xdr:cNvPr id="1047" name="Match30">
          <a:extLst>
            <a:ext uri="{FF2B5EF4-FFF2-40B4-BE49-F238E27FC236}">
              <a16:creationId xmlns:a16="http://schemas.microsoft.com/office/drawing/2014/main" id="{F5553356-B4A2-E1B0-B7EA-81B72A1754AA}"/>
            </a:ext>
          </a:extLst>
        </xdr:cNvPr>
        <xdr:cNvCxnSpPr/>
      </xdr:nvCxnSpPr>
      <xdr:spPr>
        <a:xfrm flipV="1">
          <a:off x="3628231" y="3061494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0</xdr:row>
      <xdr:rowOff>178594</xdr:rowOff>
    </xdr:to>
    <xdr:cxnSp macro="">
      <xdr:nvCxnSpPr>
        <xdr:cNvPr id="1048" name="Match31">
          <a:extLst>
            <a:ext uri="{FF2B5EF4-FFF2-40B4-BE49-F238E27FC236}">
              <a16:creationId xmlns:a16="http://schemas.microsoft.com/office/drawing/2014/main" id="{833A4954-E764-CD03-08F3-FDA3AB784EC9}"/>
            </a:ext>
          </a:extLst>
        </xdr:cNvPr>
        <xdr:cNvCxnSpPr/>
      </xdr:nvCxnSpPr>
      <xdr:spPr>
        <a:xfrm>
          <a:off x="148351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049" name="Match32">
          <a:extLst>
            <a:ext uri="{FF2B5EF4-FFF2-40B4-BE49-F238E27FC236}">
              <a16:creationId xmlns:a16="http://schemas.microsoft.com/office/drawing/2014/main" id="{0EE6559E-8CB5-B6EA-C353-E3E826DC36E0}"/>
            </a:ext>
          </a:extLst>
        </xdr:cNvPr>
        <xdr:cNvCxnSpPr/>
      </xdr:nvCxnSpPr>
      <xdr:spPr>
        <a:xfrm>
          <a:off x="10596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055" name="Match33">
          <a:extLst>
            <a:ext uri="{FF2B5EF4-FFF2-40B4-BE49-F238E27FC236}">
              <a16:creationId xmlns:a16="http://schemas.microsoft.com/office/drawing/2014/main" id="{F1691169-6AE8-24B0-58EA-21EBEDC335FD}"/>
            </a:ext>
          </a:extLst>
        </xdr:cNvPr>
        <xdr:cNvCxnSpPr/>
      </xdr:nvCxnSpPr>
      <xdr:spPr>
        <a:xfrm>
          <a:off x="14835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4</xdr:col>
      <xdr:colOff>237331</xdr:colOff>
      <xdr:row>1</xdr:row>
      <xdr:rowOff>203993</xdr:rowOff>
    </xdr:to>
    <xdr:cxnSp macro="">
      <xdr:nvCxnSpPr>
        <xdr:cNvPr id="1056" name="Match34">
          <a:extLst>
            <a:ext uri="{FF2B5EF4-FFF2-40B4-BE49-F238E27FC236}">
              <a16:creationId xmlns:a16="http://schemas.microsoft.com/office/drawing/2014/main" id="{9186B4F8-9329-B792-CB62-68ACCDBC9E16}"/>
            </a:ext>
          </a:extLst>
        </xdr:cNvPr>
        <xdr:cNvCxnSpPr/>
      </xdr:nvCxnSpPr>
      <xdr:spPr>
        <a:xfrm flipV="1">
          <a:off x="150891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057" name="Match35">
          <a:extLst>
            <a:ext uri="{FF2B5EF4-FFF2-40B4-BE49-F238E27FC236}">
              <a16:creationId xmlns:a16="http://schemas.microsoft.com/office/drawing/2014/main" id="{94D2A1D9-7104-06EE-DD56-355665D6FB38}"/>
            </a:ext>
          </a:extLst>
        </xdr:cNvPr>
        <xdr:cNvCxnSpPr/>
      </xdr:nvCxnSpPr>
      <xdr:spPr>
        <a:xfrm flipH="1" flipV="1"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061" name="Match36">
          <a:extLst>
            <a:ext uri="{FF2B5EF4-FFF2-40B4-BE49-F238E27FC236}">
              <a16:creationId xmlns:a16="http://schemas.microsoft.com/office/drawing/2014/main" id="{CE1498D4-EA51-02AC-7F61-96BB7DF98EDE}"/>
            </a:ext>
          </a:extLst>
        </xdr:cNvPr>
        <xdr:cNvCxnSpPr/>
      </xdr:nvCxnSpPr>
      <xdr:spPr>
        <a:xfrm>
          <a:off x="275510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3</xdr:row>
      <xdr:rowOff>203993</xdr:rowOff>
    </xdr:from>
    <xdr:to>
      <xdr:col>6</xdr:col>
      <xdr:colOff>237331</xdr:colOff>
      <xdr:row>4</xdr:row>
      <xdr:rowOff>203994</xdr:rowOff>
    </xdr:to>
    <xdr:cxnSp macro="">
      <xdr:nvCxnSpPr>
        <xdr:cNvPr id="1064" name="Match37">
          <a:extLst>
            <a:ext uri="{FF2B5EF4-FFF2-40B4-BE49-F238E27FC236}">
              <a16:creationId xmlns:a16="http://schemas.microsoft.com/office/drawing/2014/main" id="{B675AEBC-5A1A-E598-3F7B-9039F28CBF01}"/>
            </a:ext>
          </a:extLst>
        </xdr:cNvPr>
        <xdr:cNvCxnSpPr/>
      </xdr:nvCxnSpPr>
      <xdr:spPr>
        <a:xfrm flipH="1">
          <a:off x="2356644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7</xdr:col>
      <xdr:colOff>211931</xdr:colOff>
      <xdr:row>4</xdr:row>
      <xdr:rowOff>178594</xdr:rowOff>
    </xdr:to>
    <xdr:cxnSp macro="">
      <xdr:nvCxnSpPr>
        <xdr:cNvPr id="1065" name="Match38">
          <a:extLst>
            <a:ext uri="{FF2B5EF4-FFF2-40B4-BE49-F238E27FC236}">
              <a16:creationId xmlns:a16="http://schemas.microsoft.com/office/drawing/2014/main" id="{E343D987-EB47-1C8E-CF35-79BD943D1EDE}"/>
            </a:ext>
          </a:extLst>
        </xdr:cNvPr>
        <xdr:cNvCxnSpPr/>
      </xdr:nvCxnSpPr>
      <xdr:spPr>
        <a:xfrm flipH="1">
          <a:off x="275510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066" name="Match39">
          <a:extLst>
            <a:ext uri="{FF2B5EF4-FFF2-40B4-BE49-F238E27FC236}">
              <a16:creationId xmlns:a16="http://schemas.microsoft.com/office/drawing/2014/main" id="{EE89D909-44CA-DCC2-6E88-D3AA6F65CE85}"/>
            </a:ext>
          </a:extLst>
        </xdr:cNvPr>
        <xdr:cNvCxnSpPr/>
      </xdr:nvCxnSpPr>
      <xdr:spPr>
        <a:xfrm>
          <a:off x="63579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1067" name="Match40">
          <a:extLst>
            <a:ext uri="{FF2B5EF4-FFF2-40B4-BE49-F238E27FC236}">
              <a16:creationId xmlns:a16="http://schemas.microsoft.com/office/drawing/2014/main" id="{7C771C19-C06A-B4ED-5118-E7BC955DF657}"/>
            </a:ext>
          </a:extLst>
        </xdr:cNvPr>
        <xdr:cNvCxnSpPr/>
      </xdr:nvCxnSpPr>
      <xdr:spPr>
        <a:xfrm flipH="1">
          <a:off x="6357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068" name="Match41">
          <a:extLst>
            <a:ext uri="{FF2B5EF4-FFF2-40B4-BE49-F238E27FC236}">
              <a16:creationId xmlns:a16="http://schemas.microsoft.com/office/drawing/2014/main" id="{0E529DA2-601C-33AC-A124-F9EA02D1C0D2}"/>
            </a:ext>
          </a:extLst>
        </xdr:cNvPr>
        <xdr:cNvCxnSpPr/>
      </xdr:nvCxnSpPr>
      <xdr:spPr>
        <a:xfrm>
          <a:off x="445055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11</xdr:row>
      <xdr:rowOff>203993</xdr:rowOff>
    </xdr:from>
    <xdr:to>
      <xdr:col>2</xdr:col>
      <xdr:colOff>237331</xdr:colOff>
      <xdr:row>11</xdr:row>
      <xdr:rowOff>203993</xdr:rowOff>
    </xdr:to>
    <xdr:cxnSp macro="">
      <xdr:nvCxnSpPr>
        <xdr:cNvPr id="1069" name="Match42">
          <a:extLst>
            <a:ext uri="{FF2B5EF4-FFF2-40B4-BE49-F238E27FC236}">
              <a16:creationId xmlns:a16="http://schemas.microsoft.com/office/drawing/2014/main" id="{E33EB835-221E-7CE1-EE9A-A05B49F34DB9}"/>
            </a:ext>
          </a:extLst>
        </xdr:cNvPr>
        <xdr:cNvCxnSpPr/>
      </xdr:nvCxnSpPr>
      <xdr:spPr>
        <a:xfrm flipH="1">
          <a:off x="661194" y="413305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070" name="Match43">
          <a:extLst>
            <a:ext uri="{FF2B5EF4-FFF2-40B4-BE49-F238E27FC236}">
              <a16:creationId xmlns:a16="http://schemas.microsoft.com/office/drawing/2014/main" id="{823FB3F0-D62A-1689-DE10-F911CBCD1101}"/>
            </a:ext>
          </a:extLst>
        </xdr:cNvPr>
        <xdr:cNvCxnSpPr/>
      </xdr:nvCxnSpPr>
      <xdr:spPr>
        <a:xfrm flipV="1">
          <a:off x="36028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0</xdr:col>
      <xdr:colOff>211931</xdr:colOff>
      <xdr:row>4</xdr:row>
      <xdr:rowOff>178594</xdr:rowOff>
    </xdr:to>
    <xdr:cxnSp macro="">
      <xdr:nvCxnSpPr>
        <xdr:cNvPr id="1071" name="Match44">
          <a:extLst>
            <a:ext uri="{FF2B5EF4-FFF2-40B4-BE49-F238E27FC236}">
              <a16:creationId xmlns:a16="http://schemas.microsoft.com/office/drawing/2014/main" id="{F458A54A-ACF5-6328-219E-BF5F22410617}"/>
            </a:ext>
          </a:extLst>
        </xdr:cNvPr>
        <xdr:cNvCxnSpPr/>
      </xdr:nvCxnSpPr>
      <xdr:spPr>
        <a:xfrm flipV="1">
          <a:off x="211931" y="17859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072" name="Match45">
          <a:extLst>
            <a:ext uri="{FF2B5EF4-FFF2-40B4-BE49-F238E27FC236}">
              <a16:creationId xmlns:a16="http://schemas.microsoft.com/office/drawing/2014/main" id="{8A7876B2-7AC4-F504-852E-5C8B21A48367}"/>
            </a:ext>
          </a:extLst>
        </xdr:cNvPr>
        <xdr:cNvCxnSpPr/>
      </xdr:nvCxnSpPr>
      <xdr:spPr>
        <a:xfrm flipH="1" flipV="1">
          <a:off x="2755106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1073" name="Match46">
          <a:extLst>
            <a:ext uri="{FF2B5EF4-FFF2-40B4-BE49-F238E27FC236}">
              <a16:creationId xmlns:a16="http://schemas.microsoft.com/office/drawing/2014/main" id="{27E2D299-C10B-3C77-AD86-35E216E656A4}"/>
            </a:ext>
          </a:extLst>
        </xdr:cNvPr>
        <xdr:cNvCxnSpPr/>
      </xdr:nvCxnSpPr>
      <xdr:spPr>
        <a:xfrm flipH="1">
          <a:off x="40266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0</xdr:row>
      <xdr:rowOff>203994</xdr:rowOff>
    </xdr:from>
    <xdr:to>
      <xdr:col>10</xdr:col>
      <xdr:colOff>237331</xdr:colOff>
      <xdr:row>0</xdr:row>
      <xdr:rowOff>203994</xdr:rowOff>
    </xdr:to>
    <xdr:cxnSp macro="">
      <xdr:nvCxnSpPr>
        <xdr:cNvPr id="1074" name="Match47">
          <a:extLst>
            <a:ext uri="{FF2B5EF4-FFF2-40B4-BE49-F238E27FC236}">
              <a16:creationId xmlns:a16="http://schemas.microsoft.com/office/drawing/2014/main" id="{32F013F1-EB00-D575-1977-8EEE677CDC8D}"/>
            </a:ext>
          </a:extLst>
        </xdr:cNvPr>
        <xdr:cNvCxnSpPr/>
      </xdr:nvCxnSpPr>
      <xdr:spPr>
        <a:xfrm flipH="1">
          <a:off x="4052094" y="2039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075" name="Match48">
          <a:extLst>
            <a:ext uri="{FF2B5EF4-FFF2-40B4-BE49-F238E27FC236}">
              <a16:creationId xmlns:a16="http://schemas.microsoft.com/office/drawing/2014/main" id="{59EF0F5E-EBCB-E0B7-17EE-8292E2D6CEBA}"/>
            </a:ext>
          </a:extLst>
        </xdr:cNvPr>
        <xdr:cNvCxnSpPr/>
      </xdr:nvCxnSpPr>
      <xdr:spPr>
        <a:xfrm flipV="1"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076" name="Match49">
          <a:extLst>
            <a:ext uri="{FF2B5EF4-FFF2-40B4-BE49-F238E27FC236}">
              <a16:creationId xmlns:a16="http://schemas.microsoft.com/office/drawing/2014/main" id="{7271946B-7869-C63E-D5BC-B76C8070C4C9}"/>
            </a:ext>
          </a:extLst>
        </xdr:cNvPr>
        <xdr:cNvCxnSpPr/>
      </xdr:nvCxnSpPr>
      <xdr:spPr>
        <a:xfrm flipH="1">
          <a:off x="190738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2</xdr:row>
      <xdr:rowOff>203994</xdr:rowOff>
    </xdr:from>
    <xdr:to>
      <xdr:col>5</xdr:col>
      <xdr:colOff>237331</xdr:colOff>
      <xdr:row>2</xdr:row>
      <xdr:rowOff>203994</xdr:rowOff>
    </xdr:to>
    <xdr:cxnSp macro="">
      <xdr:nvCxnSpPr>
        <xdr:cNvPr id="1077" name="Match50">
          <a:extLst>
            <a:ext uri="{FF2B5EF4-FFF2-40B4-BE49-F238E27FC236}">
              <a16:creationId xmlns:a16="http://schemas.microsoft.com/office/drawing/2014/main" id="{A9BA3A2A-D79B-7767-4467-1B83A7AB19CA}"/>
            </a:ext>
          </a:extLst>
        </xdr:cNvPr>
        <xdr:cNvCxnSpPr/>
      </xdr:nvCxnSpPr>
      <xdr:spPr>
        <a:xfrm flipH="1">
          <a:off x="1932781" y="9183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1</xdr:row>
      <xdr:rowOff>229393</xdr:rowOff>
    </xdr:from>
    <xdr:to>
      <xdr:col>5</xdr:col>
      <xdr:colOff>262731</xdr:colOff>
      <xdr:row>2</xdr:row>
      <xdr:rowOff>229394</xdr:rowOff>
    </xdr:to>
    <xdr:cxnSp macro="">
      <xdr:nvCxnSpPr>
        <xdr:cNvPr id="1078" name="Match51">
          <a:extLst>
            <a:ext uri="{FF2B5EF4-FFF2-40B4-BE49-F238E27FC236}">
              <a16:creationId xmlns:a16="http://schemas.microsoft.com/office/drawing/2014/main" id="{B5E0D2C5-9671-E9E9-6071-48AA36DCAB0F}"/>
            </a:ext>
          </a:extLst>
        </xdr:cNvPr>
        <xdr:cNvCxnSpPr/>
      </xdr:nvCxnSpPr>
      <xdr:spPr>
        <a:xfrm flipV="1">
          <a:off x="2382044" y="58658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3</xdr:row>
      <xdr:rowOff>178593</xdr:rowOff>
    </xdr:to>
    <xdr:cxnSp macro="">
      <xdr:nvCxnSpPr>
        <xdr:cNvPr id="1079" name="Match52">
          <a:extLst>
            <a:ext uri="{FF2B5EF4-FFF2-40B4-BE49-F238E27FC236}">
              <a16:creationId xmlns:a16="http://schemas.microsoft.com/office/drawing/2014/main" id="{C9DC3AC1-88D6-B7E9-6DAF-834641770112}"/>
            </a:ext>
          </a:extLst>
        </xdr:cNvPr>
        <xdr:cNvCxnSpPr/>
      </xdr:nvCxnSpPr>
      <xdr:spPr>
        <a:xfrm flipH="1">
          <a:off x="190738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2</xdr:row>
      <xdr:rowOff>203994</xdr:rowOff>
    </xdr:from>
    <xdr:to>
      <xdr:col>5</xdr:col>
      <xdr:colOff>237331</xdr:colOff>
      <xdr:row>3</xdr:row>
      <xdr:rowOff>203993</xdr:rowOff>
    </xdr:to>
    <xdr:cxnSp macro="">
      <xdr:nvCxnSpPr>
        <xdr:cNvPr id="1080" name="Match53">
          <a:extLst>
            <a:ext uri="{FF2B5EF4-FFF2-40B4-BE49-F238E27FC236}">
              <a16:creationId xmlns:a16="http://schemas.microsoft.com/office/drawing/2014/main" id="{F5FD9ECA-A83C-504D-6332-C6EDA0248F7E}"/>
            </a:ext>
          </a:extLst>
        </xdr:cNvPr>
        <xdr:cNvCxnSpPr/>
      </xdr:nvCxnSpPr>
      <xdr:spPr>
        <a:xfrm flipH="1" flipV="1">
          <a:off x="193278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081" name="Match54">
          <a:extLst>
            <a:ext uri="{FF2B5EF4-FFF2-40B4-BE49-F238E27FC236}">
              <a16:creationId xmlns:a16="http://schemas.microsoft.com/office/drawing/2014/main" id="{78BBB3C8-94F1-D70F-513D-E732E3564B2B}"/>
            </a:ext>
          </a:extLst>
        </xdr:cNvPr>
        <xdr:cNvCxnSpPr/>
      </xdr:nvCxnSpPr>
      <xdr:spPr>
        <a:xfrm flipV="1"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7</xdr:col>
      <xdr:colOff>211931</xdr:colOff>
      <xdr:row>8</xdr:row>
      <xdr:rowOff>178594</xdr:rowOff>
    </xdr:to>
    <xdr:cxnSp macro="">
      <xdr:nvCxnSpPr>
        <xdr:cNvPr id="1082" name="Match55">
          <a:extLst>
            <a:ext uri="{FF2B5EF4-FFF2-40B4-BE49-F238E27FC236}">
              <a16:creationId xmlns:a16="http://schemas.microsoft.com/office/drawing/2014/main" id="{D33C6EF0-9CEF-E6B7-19CD-1E54CBD144FB}"/>
            </a:ext>
          </a:extLst>
        </xdr:cNvPr>
        <xdr:cNvCxnSpPr/>
      </xdr:nvCxnSpPr>
      <xdr:spPr>
        <a:xfrm>
          <a:off x="3178969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6</xdr:row>
      <xdr:rowOff>203994</xdr:rowOff>
    </xdr:from>
    <xdr:to>
      <xdr:col>7</xdr:col>
      <xdr:colOff>237331</xdr:colOff>
      <xdr:row>7</xdr:row>
      <xdr:rowOff>203993</xdr:rowOff>
    </xdr:to>
    <xdr:cxnSp macro="">
      <xdr:nvCxnSpPr>
        <xdr:cNvPr id="1083" name="Match56">
          <a:extLst>
            <a:ext uri="{FF2B5EF4-FFF2-40B4-BE49-F238E27FC236}">
              <a16:creationId xmlns:a16="http://schemas.microsoft.com/office/drawing/2014/main" id="{6C2EED80-9780-90DB-C065-0C18CD6F8B96}"/>
            </a:ext>
          </a:extLst>
        </xdr:cNvPr>
        <xdr:cNvCxnSpPr/>
      </xdr:nvCxnSpPr>
      <xdr:spPr>
        <a:xfrm flipH="1" flipV="1">
          <a:off x="278050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6</xdr:row>
      <xdr:rowOff>229394</xdr:rowOff>
    </xdr:from>
    <xdr:to>
      <xdr:col>7</xdr:col>
      <xdr:colOff>262731</xdr:colOff>
      <xdr:row>7</xdr:row>
      <xdr:rowOff>229393</xdr:rowOff>
    </xdr:to>
    <xdr:cxnSp macro="">
      <xdr:nvCxnSpPr>
        <xdr:cNvPr id="1084" name="Match57">
          <a:extLst>
            <a:ext uri="{FF2B5EF4-FFF2-40B4-BE49-F238E27FC236}">
              <a16:creationId xmlns:a16="http://schemas.microsoft.com/office/drawing/2014/main" id="{1E3B4997-FF5D-DFBF-C3FC-7E3EAAE7AAD8}"/>
            </a:ext>
          </a:extLst>
        </xdr:cNvPr>
        <xdr:cNvCxnSpPr/>
      </xdr:nvCxnSpPr>
      <xdr:spPr>
        <a:xfrm flipV="1">
          <a:off x="3229769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085" name="Match58">
          <a:extLst>
            <a:ext uri="{FF2B5EF4-FFF2-40B4-BE49-F238E27FC236}">
              <a16:creationId xmlns:a16="http://schemas.microsoft.com/office/drawing/2014/main" id="{D3A270A1-40E2-AA80-B60B-0074EC002B4A}"/>
            </a:ext>
          </a:extLst>
        </xdr:cNvPr>
        <xdr:cNvCxnSpPr/>
      </xdr:nvCxnSpPr>
      <xdr:spPr>
        <a:xfrm>
          <a:off x="6357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1</xdr:col>
      <xdr:colOff>237331</xdr:colOff>
      <xdr:row>8</xdr:row>
      <xdr:rowOff>203994</xdr:rowOff>
    </xdr:to>
    <xdr:cxnSp macro="">
      <xdr:nvCxnSpPr>
        <xdr:cNvPr id="1086" name="Match59">
          <a:extLst>
            <a:ext uri="{FF2B5EF4-FFF2-40B4-BE49-F238E27FC236}">
              <a16:creationId xmlns:a16="http://schemas.microsoft.com/office/drawing/2014/main" id="{35655E7E-D2B4-930B-858D-CB215E85BC4F}"/>
            </a:ext>
          </a:extLst>
        </xdr:cNvPr>
        <xdr:cNvCxnSpPr/>
      </xdr:nvCxnSpPr>
      <xdr:spPr>
        <a:xfrm flipV="1">
          <a:off x="661194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7</xdr:row>
      <xdr:rowOff>229393</xdr:rowOff>
    </xdr:from>
    <xdr:to>
      <xdr:col>2</xdr:col>
      <xdr:colOff>262731</xdr:colOff>
      <xdr:row>8</xdr:row>
      <xdr:rowOff>229394</xdr:rowOff>
    </xdr:to>
    <xdr:cxnSp macro="">
      <xdr:nvCxnSpPr>
        <xdr:cNvPr id="1087" name="Match60">
          <a:extLst>
            <a:ext uri="{FF2B5EF4-FFF2-40B4-BE49-F238E27FC236}">
              <a16:creationId xmlns:a16="http://schemas.microsoft.com/office/drawing/2014/main" id="{2C0407F8-432C-DB9A-C3A0-B1CEE568108B}"/>
            </a:ext>
          </a:extLst>
        </xdr:cNvPr>
        <xdr:cNvCxnSpPr/>
      </xdr:nvCxnSpPr>
      <xdr:spPr>
        <a:xfrm flipV="1">
          <a:off x="686594" y="272970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2432" name="Match61">
          <a:extLst>
            <a:ext uri="{FF2B5EF4-FFF2-40B4-BE49-F238E27FC236}">
              <a16:creationId xmlns:a16="http://schemas.microsoft.com/office/drawing/2014/main" id="{D550D1B6-EDF6-D935-A634-FED6F2D2C1FE}"/>
            </a:ext>
          </a:extLst>
        </xdr:cNvPr>
        <xdr:cNvCxnSpPr/>
      </xdr:nvCxnSpPr>
      <xdr:spPr>
        <a:xfrm>
          <a:off x="275510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2433" name="Match62">
          <a:extLst>
            <a:ext uri="{FF2B5EF4-FFF2-40B4-BE49-F238E27FC236}">
              <a16:creationId xmlns:a16="http://schemas.microsoft.com/office/drawing/2014/main" id="{D4E490D5-ED29-782B-3A03-ADBB4B3DFB84}"/>
            </a:ext>
          </a:extLst>
        </xdr:cNvPr>
        <xdr:cNvCxnSpPr/>
      </xdr:nvCxnSpPr>
      <xdr:spPr>
        <a:xfrm>
          <a:off x="1483519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2434" name="Match63">
          <a:extLst>
            <a:ext uri="{FF2B5EF4-FFF2-40B4-BE49-F238E27FC236}">
              <a16:creationId xmlns:a16="http://schemas.microsoft.com/office/drawing/2014/main" id="{BE49AEC6-8DD7-DF45-728E-31864516F646}"/>
            </a:ext>
          </a:extLst>
        </xdr:cNvPr>
        <xdr:cNvCxnSpPr/>
      </xdr:nvCxnSpPr>
      <xdr:spPr>
        <a:xfrm flipH="1">
          <a:off x="635794" y="125015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2435" name="Match64">
          <a:extLst>
            <a:ext uri="{FF2B5EF4-FFF2-40B4-BE49-F238E27FC236}">
              <a16:creationId xmlns:a16="http://schemas.microsoft.com/office/drawing/2014/main" id="{752CBCF4-E80E-AB15-617F-2B2F6954D7EE}"/>
            </a:ext>
          </a:extLst>
        </xdr:cNvPr>
        <xdr:cNvCxnSpPr/>
      </xdr:nvCxnSpPr>
      <xdr:spPr>
        <a:xfrm flipV="1">
          <a:off x="635794" y="125015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288131</xdr:colOff>
      <xdr:row>2</xdr:row>
      <xdr:rowOff>254794</xdr:rowOff>
    </xdr:from>
    <xdr:to>
      <xdr:col>9</xdr:col>
      <xdr:colOff>288131</xdr:colOff>
      <xdr:row>2</xdr:row>
      <xdr:rowOff>254794</xdr:rowOff>
    </xdr:to>
    <xdr:cxnSp macro="">
      <xdr:nvCxnSpPr>
        <xdr:cNvPr id="2436" name="Match65">
          <a:extLst>
            <a:ext uri="{FF2B5EF4-FFF2-40B4-BE49-F238E27FC236}">
              <a16:creationId xmlns:a16="http://schemas.microsoft.com/office/drawing/2014/main" id="{CC602877-F701-D26C-119F-B58EA869959C}"/>
            </a:ext>
          </a:extLst>
        </xdr:cNvPr>
        <xdr:cNvCxnSpPr/>
      </xdr:nvCxnSpPr>
      <xdr:spPr>
        <a:xfrm>
          <a:off x="2407444" y="969169"/>
          <a:ext cx="1695450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6</xdr:col>
      <xdr:colOff>237331</xdr:colOff>
      <xdr:row>2</xdr:row>
      <xdr:rowOff>203994</xdr:rowOff>
    </xdr:to>
    <xdr:cxnSp macro="">
      <xdr:nvCxnSpPr>
        <xdr:cNvPr id="2437" name="Match66">
          <a:extLst>
            <a:ext uri="{FF2B5EF4-FFF2-40B4-BE49-F238E27FC236}">
              <a16:creationId xmlns:a16="http://schemas.microsoft.com/office/drawing/2014/main" id="{4A280915-4FFC-DA24-216E-64F129A9BE90}"/>
            </a:ext>
          </a:extLst>
        </xdr:cNvPr>
        <xdr:cNvCxnSpPr/>
      </xdr:nvCxnSpPr>
      <xdr:spPr>
        <a:xfrm flipH="1">
          <a:off x="1932781" y="203994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9</xdr:col>
      <xdr:colOff>237331</xdr:colOff>
      <xdr:row>0</xdr:row>
      <xdr:rowOff>203994</xdr:rowOff>
    </xdr:to>
    <xdr:cxnSp macro="">
      <xdr:nvCxnSpPr>
        <xdr:cNvPr id="2438" name="Match67">
          <a:extLst>
            <a:ext uri="{FF2B5EF4-FFF2-40B4-BE49-F238E27FC236}">
              <a16:creationId xmlns:a16="http://schemas.microsoft.com/office/drawing/2014/main" id="{C2BD7577-D446-F8EB-E515-F37B7D2A9FAE}"/>
            </a:ext>
          </a:extLst>
        </xdr:cNvPr>
        <xdr:cNvCxnSpPr/>
      </xdr:nvCxnSpPr>
      <xdr:spPr>
        <a:xfrm>
          <a:off x="3204369" y="203994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2439" name="Match68">
          <a:extLst>
            <a:ext uri="{FF2B5EF4-FFF2-40B4-BE49-F238E27FC236}">
              <a16:creationId xmlns:a16="http://schemas.microsoft.com/office/drawing/2014/main" id="{4AFD83EB-BC36-DCC0-EFE8-EDDD0AC5661A}"/>
            </a:ext>
          </a:extLst>
        </xdr:cNvPr>
        <xdr:cNvCxnSpPr/>
      </xdr:nvCxnSpPr>
      <xdr:spPr>
        <a:xfrm>
          <a:off x="211931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2</xdr:col>
      <xdr:colOff>237331</xdr:colOff>
      <xdr:row>8</xdr:row>
      <xdr:rowOff>203994</xdr:rowOff>
    </xdr:to>
    <xdr:cxnSp macro="">
      <xdr:nvCxnSpPr>
        <xdr:cNvPr id="2440" name="Match69">
          <a:extLst>
            <a:ext uri="{FF2B5EF4-FFF2-40B4-BE49-F238E27FC236}">
              <a16:creationId xmlns:a16="http://schemas.microsoft.com/office/drawing/2014/main" id="{3AD182B8-FE6A-EE4B-8630-AF40CB8E3D60}"/>
            </a:ext>
          </a:extLst>
        </xdr:cNvPr>
        <xdr:cNvCxnSpPr/>
      </xdr:nvCxnSpPr>
      <xdr:spPr>
        <a:xfrm>
          <a:off x="1085056" y="2347119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6</xdr:row>
      <xdr:rowOff>229394</xdr:rowOff>
    </xdr:from>
    <xdr:to>
      <xdr:col>2</xdr:col>
      <xdr:colOff>262731</xdr:colOff>
      <xdr:row>6</xdr:row>
      <xdr:rowOff>229394</xdr:rowOff>
    </xdr:to>
    <xdr:cxnSp macro="">
      <xdr:nvCxnSpPr>
        <xdr:cNvPr id="2441" name="Match70">
          <a:extLst>
            <a:ext uri="{FF2B5EF4-FFF2-40B4-BE49-F238E27FC236}">
              <a16:creationId xmlns:a16="http://schemas.microsoft.com/office/drawing/2014/main" id="{59B21E2E-ED65-62D4-DCC6-CC95E9018610}"/>
            </a:ext>
          </a:extLst>
        </xdr:cNvPr>
        <xdr:cNvCxnSpPr/>
      </xdr:nvCxnSpPr>
      <xdr:spPr>
        <a:xfrm flipH="1">
          <a:off x="262731" y="2372519"/>
          <a:ext cx="847725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2442" name="Match71">
          <a:extLst>
            <a:ext uri="{FF2B5EF4-FFF2-40B4-BE49-F238E27FC236}">
              <a16:creationId xmlns:a16="http://schemas.microsoft.com/office/drawing/2014/main" id="{C3B90DCA-BA39-EF2D-FDEC-EE691A36FDCD}"/>
            </a:ext>
          </a:extLst>
        </xdr:cNvPr>
        <xdr:cNvCxnSpPr/>
      </xdr:nvCxnSpPr>
      <xdr:spPr>
        <a:xfrm flipV="1">
          <a:off x="4874419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97A4A29-7055-ADA3-496F-9B376207BD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J3" sqref="J3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2</v>
      </c>
      <c r="B1" s="27">
        <v>8</v>
      </c>
      <c r="C1" s="27">
        <v>9</v>
      </c>
      <c r="D1" s="23">
        <v>2</v>
      </c>
      <c r="E1" s="23">
        <v>4</v>
      </c>
      <c r="F1" s="27">
        <v>5</v>
      </c>
      <c r="G1" s="23">
        <v>4</v>
      </c>
      <c r="H1" s="23">
        <v>4</v>
      </c>
      <c r="I1" s="23">
        <v>7</v>
      </c>
      <c r="J1" s="23">
        <v>7</v>
      </c>
      <c r="K1" s="23">
        <v>8</v>
      </c>
      <c r="L1" s="27">
        <v>5</v>
      </c>
      <c r="N1" s="2">
        <v>14</v>
      </c>
      <c r="O1" s="1">
        <v>14</v>
      </c>
    </row>
    <row r="2" spans="1:15" s="2" customFormat="1" ht="28.25" customHeight="1">
      <c r="A2" s="22">
        <v>9</v>
      </c>
      <c r="B2" s="27">
        <v>6</v>
      </c>
      <c r="C2" s="23">
        <v>2</v>
      </c>
      <c r="D2" s="22">
        <v>2</v>
      </c>
      <c r="E2" s="22">
        <v>5</v>
      </c>
      <c r="F2" s="22">
        <v>7</v>
      </c>
      <c r="G2" s="22">
        <v>5</v>
      </c>
      <c r="H2" s="22">
        <v>8</v>
      </c>
      <c r="I2" s="22">
        <v>2</v>
      </c>
      <c r="J2" s="22">
        <v>7</v>
      </c>
      <c r="K2" s="23">
        <v>4</v>
      </c>
      <c r="L2" s="27">
        <v>3</v>
      </c>
      <c r="N2" s="2">
        <v>7285752</v>
      </c>
      <c r="O2" s="2">
        <v>1</v>
      </c>
    </row>
    <row r="3" spans="1:15" ht="28.25" customHeight="1">
      <c r="A3" s="22">
        <v>4</v>
      </c>
      <c r="B3" s="27">
        <v>9</v>
      </c>
      <c r="C3" s="22">
        <v>7</v>
      </c>
      <c r="D3" s="22">
        <v>4</v>
      </c>
      <c r="E3" s="23">
        <v>7</v>
      </c>
      <c r="F3" s="22">
        <v>8</v>
      </c>
      <c r="G3" s="22">
        <v>1</v>
      </c>
      <c r="H3" s="22">
        <v>5</v>
      </c>
      <c r="I3" s="22">
        <v>9</v>
      </c>
      <c r="J3" s="22">
        <v>1</v>
      </c>
      <c r="K3" s="23">
        <v>1</v>
      </c>
      <c r="L3" s="27">
        <v>3</v>
      </c>
      <c r="N3" s="2">
        <v>3332562</v>
      </c>
      <c r="O3" s="1">
        <v>1</v>
      </c>
    </row>
    <row r="4" spans="1:15" ht="28.25" customHeight="1">
      <c r="A4" s="22">
        <v>6</v>
      </c>
      <c r="B4" s="27">
        <v>7</v>
      </c>
      <c r="C4" s="27">
        <v>6</v>
      </c>
      <c r="D4" s="22">
        <v>1</v>
      </c>
      <c r="E4" s="22">
        <v>7</v>
      </c>
      <c r="F4" s="23">
        <v>8</v>
      </c>
      <c r="G4" s="23">
        <v>2</v>
      </c>
      <c r="H4" s="23">
        <v>2</v>
      </c>
      <c r="I4" s="27">
        <v>2</v>
      </c>
      <c r="J4" s="27">
        <v>2</v>
      </c>
      <c r="K4" s="27">
        <v>2</v>
      </c>
      <c r="L4" s="27">
        <v>1</v>
      </c>
      <c r="N4" s="2">
        <v>226369</v>
      </c>
      <c r="O4" s="1">
        <v>1</v>
      </c>
    </row>
    <row r="5" spans="1:15" ht="28.25" customHeight="1">
      <c r="A5" s="22">
        <v>6</v>
      </c>
      <c r="B5" s="27">
        <v>9</v>
      </c>
      <c r="C5" s="27">
        <v>3</v>
      </c>
      <c r="D5" s="22">
        <v>7</v>
      </c>
      <c r="E5" s="22">
        <v>1</v>
      </c>
      <c r="F5" s="22">
        <v>4</v>
      </c>
      <c r="G5" s="22">
        <v>4</v>
      </c>
      <c r="H5" s="22">
        <v>6</v>
      </c>
      <c r="I5" s="22">
        <v>5</v>
      </c>
      <c r="J5" s="27">
        <v>3</v>
      </c>
      <c r="K5" s="27">
        <v>2</v>
      </c>
      <c r="L5" s="27">
        <v>3</v>
      </c>
      <c r="N5" s="2">
        <v>71117</v>
      </c>
      <c r="O5" s="1">
        <v>2</v>
      </c>
    </row>
    <row r="6" spans="1:15" ht="28.25" customHeight="1">
      <c r="A6" s="23">
        <v>4</v>
      </c>
      <c r="B6" s="27">
        <v>6</v>
      </c>
      <c r="C6" s="22">
        <v>7</v>
      </c>
      <c r="D6" s="27">
        <v>6</v>
      </c>
      <c r="E6" s="27">
        <v>5</v>
      </c>
      <c r="F6" s="22">
        <v>1</v>
      </c>
      <c r="G6" s="27">
        <v>9</v>
      </c>
      <c r="H6" s="22">
        <v>3</v>
      </c>
      <c r="I6" s="22">
        <v>9</v>
      </c>
      <c r="J6" s="27">
        <v>7</v>
      </c>
      <c r="K6" s="27">
        <v>1</v>
      </c>
      <c r="L6" s="27">
        <v>8</v>
      </c>
      <c r="N6" s="2">
        <v>44</v>
      </c>
      <c r="O6" s="1">
        <v>8</v>
      </c>
    </row>
    <row r="7" spans="1:15" ht="28.25" customHeight="1">
      <c r="A7" s="23">
        <v>7</v>
      </c>
      <c r="B7" s="22">
        <v>7</v>
      </c>
      <c r="C7" s="22">
        <v>4</v>
      </c>
      <c r="D7" s="22">
        <v>4</v>
      </c>
      <c r="E7" s="27">
        <v>8</v>
      </c>
      <c r="F7" s="27">
        <v>1</v>
      </c>
      <c r="G7" s="22">
        <v>7</v>
      </c>
      <c r="H7" s="23">
        <v>7</v>
      </c>
      <c r="I7" s="22">
        <v>6</v>
      </c>
      <c r="J7" s="22">
        <v>3</v>
      </c>
      <c r="K7" s="27">
        <v>1</v>
      </c>
      <c r="L7" s="27">
        <v>6</v>
      </c>
      <c r="N7" s="2">
        <v>7639</v>
      </c>
      <c r="O7" s="1">
        <v>2</v>
      </c>
    </row>
    <row r="8" spans="1:15" ht="28.25" customHeight="1">
      <c r="A8" s="27">
        <v>6</v>
      </c>
      <c r="B8" s="23">
        <v>7</v>
      </c>
      <c r="C8" s="22">
        <v>7</v>
      </c>
      <c r="D8" s="27">
        <v>9</v>
      </c>
      <c r="E8" s="27">
        <v>8</v>
      </c>
      <c r="F8" s="23">
        <v>8</v>
      </c>
      <c r="G8" s="27">
        <v>1</v>
      </c>
      <c r="H8" s="23">
        <v>8</v>
      </c>
      <c r="I8" s="23">
        <v>9</v>
      </c>
      <c r="J8" s="23">
        <v>3</v>
      </c>
      <c r="K8" s="22">
        <v>6</v>
      </c>
      <c r="L8" s="23">
        <v>7</v>
      </c>
      <c r="N8" s="2">
        <v>465</v>
      </c>
      <c r="O8" s="1">
        <v>2</v>
      </c>
    </row>
    <row r="9" spans="1:15" ht="28.25" customHeight="1">
      <c r="A9" s="27">
        <v>3</v>
      </c>
      <c r="B9" s="23">
        <v>8</v>
      </c>
      <c r="C9" s="22">
        <v>7</v>
      </c>
      <c r="D9" s="27">
        <v>9</v>
      </c>
      <c r="E9" s="27">
        <v>1</v>
      </c>
      <c r="F9" s="27">
        <v>2</v>
      </c>
      <c r="G9" s="22">
        <v>8</v>
      </c>
      <c r="H9" s="22">
        <v>7</v>
      </c>
      <c r="I9" s="23">
        <v>1</v>
      </c>
      <c r="J9" s="23">
        <v>1</v>
      </c>
      <c r="K9" s="23">
        <v>5</v>
      </c>
      <c r="L9" s="22">
        <v>7</v>
      </c>
      <c r="N9" s="2">
        <v>24</v>
      </c>
      <c r="O9" s="1">
        <v>13</v>
      </c>
    </row>
    <row r="10" spans="1:15" ht="28.25" customHeight="1">
      <c r="A10" s="22">
        <v>3</v>
      </c>
      <c r="B10" s="22">
        <v>3</v>
      </c>
      <c r="C10" s="22">
        <v>3</v>
      </c>
      <c r="D10" s="22">
        <v>2</v>
      </c>
      <c r="E10" s="22">
        <v>5</v>
      </c>
      <c r="F10" s="22">
        <v>6</v>
      </c>
      <c r="G10" s="22">
        <v>2</v>
      </c>
      <c r="H10" s="23">
        <v>1</v>
      </c>
      <c r="I10" s="23">
        <v>4</v>
      </c>
      <c r="J10" s="23">
        <v>6</v>
      </c>
      <c r="K10" s="27">
        <v>7</v>
      </c>
      <c r="L10" s="23">
        <v>7</v>
      </c>
      <c r="N10" s="2">
        <v>66492</v>
      </c>
      <c r="O10" s="1">
        <v>1</v>
      </c>
    </row>
    <row r="11" spans="1:15" ht="28.25" customHeight="1">
      <c r="A11" s="27">
        <v>3</v>
      </c>
      <c r="B11" s="23">
        <v>2</v>
      </c>
      <c r="C11" s="23">
        <v>2</v>
      </c>
      <c r="D11" s="23">
        <v>8</v>
      </c>
      <c r="E11" s="23">
        <v>7</v>
      </c>
      <c r="F11" s="27">
        <v>3</v>
      </c>
      <c r="G11" s="27">
        <v>5</v>
      </c>
      <c r="H11" s="23">
        <v>1</v>
      </c>
      <c r="I11" s="23">
        <v>4</v>
      </c>
      <c r="J11" s="27">
        <v>5</v>
      </c>
      <c r="K11" s="23">
        <v>2</v>
      </c>
      <c r="L11" s="23">
        <v>4</v>
      </c>
      <c r="N11" s="2">
        <v>634</v>
      </c>
      <c r="O11" s="1">
        <v>1</v>
      </c>
    </row>
    <row r="12" spans="1:15" ht="28.25" customHeight="1">
      <c r="A12" s="23">
        <v>1</v>
      </c>
      <c r="B12" s="23">
        <v>4</v>
      </c>
      <c r="C12" s="22">
        <v>2</v>
      </c>
      <c r="D12" s="22">
        <v>2</v>
      </c>
      <c r="E12" s="22">
        <v>6</v>
      </c>
      <c r="F12" s="22">
        <v>3</v>
      </c>
      <c r="G12" s="22">
        <v>6</v>
      </c>
      <c r="H12" s="22">
        <v>9</v>
      </c>
      <c r="I12" s="23">
        <v>2</v>
      </c>
      <c r="J12" s="27">
        <v>9</v>
      </c>
      <c r="K12" s="23">
        <v>1</v>
      </c>
      <c r="L12" s="27">
        <v>9</v>
      </c>
      <c r="N12" s="2">
        <v>87</v>
      </c>
      <c r="O12" s="1">
        <v>17</v>
      </c>
    </row>
    <row r="13" spans="1:15" ht="28.25" customHeight="1">
      <c r="N13" s="2">
        <v>7777</v>
      </c>
      <c r="O13" s="1">
        <v>2</v>
      </c>
    </row>
    <row r="14" spans="1:15" ht="28.25" customHeight="1">
      <c r="N14" s="2">
        <v>81591</v>
      </c>
      <c r="O14" s="1">
        <v>1</v>
      </c>
    </row>
    <row r="15" spans="1:15" ht="28.25" customHeight="1">
      <c r="N15" s="2">
        <v>477</v>
      </c>
      <c r="O15" s="1">
        <v>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45"/>
  <sheetViews>
    <sheetView tabSelected="1" zoomScaleNormal="100" workbookViewId="0">
      <pane ySplit="2" topLeftCell="A337" activePane="bottomLeft" state="frozen"/>
      <selection pane="bottomLeft" activeCell="A345" sqref="A345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  <row r="325" spans="1:17">
      <c r="A325" s="3">
        <v>46079.309930555559</v>
      </c>
      <c r="B325">
        <v>60</v>
      </c>
      <c r="C325">
        <v>17</v>
      </c>
      <c r="D325">
        <v>0</v>
      </c>
      <c r="E325">
        <v>0</v>
      </c>
      <c r="F325">
        <v>0</v>
      </c>
      <c r="G325" s="5">
        <v>6.5162037062691525E-3</v>
      </c>
      <c r="H325" t="s">
        <v>704</v>
      </c>
      <c r="I325" t="s">
        <v>705</v>
      </c>
      <c r="J325">
        <v>0</v>
      </c>
      <c r="K325">
        <f t="shared" ref="K325" si="888">IF(A325&lt;DATEVALUE("2025/11/20")+TIMEVALUE("6:00"),1,IF(OR(B325&lt;&gt;60,SUM(D325:F325)&lt;&gt;0,G325&gt;=IF(A325&lt;DATEVALUE("2025/12/28")+TIMEVALUE("6:00"),20,18)/24/60),0,2-INT(G325*24*60/10)))</f>
        <v>2</v>
      </c>
      <c r="L325">
        <f t="shared" ref="L325" si="889">L324+K325</f>
        <v>403</v>
      </c>
      <c r="M325">
        <f t="shared" ref="M325" si="890">2+IF(A325&gt;=DATEVALUE("2025/11/30")+TIMEVALUE("6:00"),1,0)+IF(A325&gt;=DATEVALUE("2025/12/11")+TIMEVALUE("6:00"),1,0)</f>
        <v>4</v>
      </c>
      <c r="N325">
        <f t="shared" ref="N325" si="891">N324+M325*(INT(A325-6/24)-INT(A324-6/24))+O325</f>
        <v>404</v>
      </c>
      <c r="O325">
        <f t="shared" ref="O325" si="892">IF(A325&gt;=DATEVALUE("2025/11/8")+TIMEVALUE("6:00"),1,0)-IF(A324&gt;=DATEVALUE("2025/11/8")+TIMEVALUE("6:00"),1,0)
+IF(A325&gt;=DATEVALUE("2026/1/22")+TIMEVALUE("6:00"),3,0)-IF(A324&gt;=DATEVALUE("2026/1/22")+TIMEVALUE("6:00"),3,0)
+IF(A325&gt;=DATEVALUE("2026/2/21")+TIMEVALUE("6:00"),1,0)-IF(A324&gt;=DATEVALUE("2026/2/21")+TIMEVALUE("6:00"),1,0)</f>
        <v>0</v>
      </c>
      <c r="P325" t="str">
        <f t="shared" ref="P325" si="893">IF(L325&lt;N325,"未達成（"&amp;N325-L325&amp;"）",IF(L325=N325,"達成","前倒し（"&amp;L325-N325&amp;"）"))</f>
        <v>未達成（1）</v>
      </c>
      <c r="Q325">
        <f t="shared" ref="Q325" si="894">IF(B325="",NA(),G325)</f>
        <v>6.5162037062691525E-3</v>
      </c>
    </row>
    <row r="326" spans="1:17">
      <c r="A326" s="3">
        <v>46079.314895833333</v>
      </c>
      <c r="B326">
        <v>60</v>
      </c>
      <c r="C326">
        <v>21</v>
      </c>
      <c r="D326">
        <v>0</v>
      </c>
      <c r="E326">
        <v>0</v>
      </c>
      <c r="F326">
        <v>0</v>
      </c>
      <c r="G326" s="5">
        <v>4.5486111121135764E-3</v>
      </c>
      <c r="H326" t="s">
        <v>706</v>
      </c>
      <c r="I326" t="s">
        <v>707</v>
      </c>
      <c r="J326">
        <v>0</v>
      </c>
      <c r="K326">
        <f t="shared" ref="K326" si="895">IF(A326&lt;DATEVALUE("2025/11/20")+TIMEVALUE("6:00"),1,IF(OR(B326&lt;&gt;60,SUM(D326:F326)&lt;&gt;0,G326&gt;=IF(A326&lt;DATEVALUE("2025/12/28")+TIMEVALUE("6:00"),20,18)/24/60),0,2-INT(G326*24*60/10)))</f>
        <v>2</v>
      </c>
      <c r="L326">
        <f t="shared" ref="L326" si="896">L325+K326</f>
        <v>405</v>
      </c>
      <c r="M326">
        <f t="shared" ref="M326" si="897">2+IF(A326&gt;=DATEVALUE("2025/11/30")+TIMEVALUE("6:00"),1,0)+IF(A326&gt;=DATEVALUE("2025/12/11")+TIMEVALUE("6:00"),1,0)</f>
        <v>4</v>
      </c>
      <c r="N326">
        <f t="shared" ref="N326" si="898">N325+M326*(INT(A326-6/24)-INT(A325-6/24))+O326</f>
        <v>404</v>
      </c>
      <c r="O326">
        <f t="shared" ref="O326" si="899">IF(A326&gt;=DATEVALUE("2025/11/8")+TIMEVALUE("6:00"),1,0)-IF(A325&gt;=DATEVALUE("2025/11/8")+TIMEVALUE("6:00"),1,0)
+IF(A326&gt;=DATEVALUE("2026/1/22")+TIMEVALUE("6:00"),3,0)-IF(A325&gt;=DATEVALUE("2026/1/22")+TIMEVALUE("6:00"),3,0)
+IF(A326&gt;=DATEVALUE("2026/2/21")+TIMEVALUE("6:00"),1,0)-IF(A325&gt;=DATEVALUE("2026/2/21")+TIMEVALUE("6:00"),1,0)</f>
        <v>0</v>
      </c>
      <c r="P326" t="str">
        <f t="shared" ref="P326" si="900">IF(L326&lt;N326,"未達成（"&amp;N326-L326&amp;"）",IF(L326=N326,"達成","前倒し（"&amp;L326-N326&amp;"）"))</f>
        <v>前倒し（1）</v>
      </c>
      <c r="Q326">
        <f t="shared" ref="Q326" si="901">IF(B326="",NA(),G326)</f>
        <v>4.5486111121135764E-3</v>
      </c>
    </row>
    <row r="327" spans="1:17">
      <c r="A327" s="3">
        <v>46080.836446759262</v>
      </c>
      <c r="B327">
        <v>60</v>
      </c>
      <c r="C327">
        <v>8</v>
      </c>
      <c r="D327">
        <v>0</v>
      </c>
      <c r="E327">
        <v>0</v>
      </c>
      <c r="F327">
        <v>0</v>
      </c>
      <c r="G327" s="5">
        <v>7.6736111150239594E-3</v>
      </c>
      <c r="H327" t="s">
        <v>708</v>
      </c>
      <c r="I327" t="s">
        <v>709</v>
      </c>
      <c r="J327">
        <v>0</v>
      </c>
      <c r="K327">
        <f t="shared" ref="K327" si="902">IF(A327&lt;DATEVALUE("2025/11/20")+TIMEVALUE("6:00"),1,IF(OR(B327&lt;&gt;60,SUM(D327:F327)&lt;&gt;0,G327&gt;=IF(A327&lt;DATEVALUE("2025/12/28")+TIMEVALUE("6:00"),20,18)/24/60),0,2-INT(G327*24*60/10)))</f>
        <v>1</v>
      </c>
      <c r="L327">
        <f t="shared" ref="L327" si="903">L326+K327</f>
        <v>406</v>
      </c>
      <c r="M327">
        <f t="shared" ref="M327" si="904">2+IF(A327&gt;=DATEVALUE("2025/11/30")+TIMEVALUE("6:00"),1,0)+IF(A327&gt;=DATEVALUE("2025/12/11")+TIMEVALUE("6:00"),1,0)</f>
        <v>4</v>
      </c>
      <c r="N327">
        <f t="shared" ref="N327" si="905">N326+M327*(INT(A327-6/24)-INT(A326-6/24))+O327</f>
        <v>408</v>
      </c>
      <c r="O327">
        <f t="shared" ref="O327" si="906">IF(A327&gt;=DATEVALUE("2025/11/8")+TIMEVALUE("6:00"),1,0)-IF(A326&gt;=DATEVALUE("2025/11/8")+TIMEVALUE("6:00"),1,0)
+IF(A327&gt;=DATEVALUE("2026/1/22")+TIMEVALUE("6:00"),3,0)-IF(A326&gt;=DATEVALUE("2026/1/22")+TIMEVALUE("6:00"),3,0)
+IF(A327&gt;=DATEVALUE("2026/2/21")+TIMEVALUE("6:00"),1,0)-IF(A326&gt;=DATEVALUE("2026/2/21")+TIMEVALUE("6:00"),1,0)</f>
        <v>0</v>
      </c>
      <c r="P327" t="str">
        <f t="shared" ref="P327" si="907">IF(L327&lt;N327,"未達成（"&amp;N327-L327&amp;"）",IF(L327=N327,"達成","前倒し（"&amp;L327-N327&amp;"）"))</f>
        <v>未達成（2）</v>
      </c>
      <c r="Q327">
        <f t="shared" ref="Q327" si="908">IF(B327="",NA(),G327)</f>
        <v>7.6736111150239594E-3</v>
      </c>
    </row>
    <row r="328" spans="1:17">
      <c r="A328" s="3">
        <v>46080.843726851854</v>
      </c>
      <c r="B328">
        <v>60</v>
      </c>
      <c r="C328">
        <v>8</v>
      </c>
      <c r="D328">
        <v>0</v>
      </c>
      <c r="E328">
        <v>0</v>
      </c>
      <c r="F328">
        <v>0</v>
      </c>
      <c r="G328" s="5">
        <v>6.7824074067175388E-3</v>
      </c>
      <c r="H328" t="s">
        <v>710</v>
      </c>
      <c r="I328" t="s">
        <v>711</v>
      </c>
      <c r="J328">
        <v>0</v>
      </c>
      <c r="K328">
        <f t="shared" ref="K328" si="909">IF(A328&lt;DATEVALUE("2025/11/20")+TIMEVALUE("6:00"),1,IF(OR(B328&lt;&gt;60,SUM(D328:F328)&lt;&gt;0,G328&gt;=IF(A328&lt;DATEVALUE("2025/12/28")+TIMEVALUE("6:00"),20,18)/24/60),0,2-INT(G328*24*60/10)))</f>
        <v>2</v>
      </c>
      <c r="L328">
        <f t="shared" ref="L328" si="910">L327+K328</f>
        <v>408</v>
      </c>
      <c r="M328">
        <f t="shared" ref="M328" si="911">2+IF(A328&gt;=DATEVALUE("2025/11/30")+TIMEVALUE("6:00"),1,0)+IF(A328&gt;=DATEVALUE("2025/12/11")+TIMEVALUE("6:00"),1,0)</f>
        <v>4</v>
      </c>
      <c r="N328">
        <f t="shared" ref="N328" si="912">N327+M328*(INT(A328-6/24)-INT(A327-6/24))+O328</f>
        <v>408</v>
      </c>
      <c r="O328">
        <f t="shared" ref="O328" si="913">IF(A328&gt;=DATEVALUE("2025/11/8")+TIMEVALUE("6:00"),1,0)-IF(A327&gt;=DATEVALUE("2025/11/8")+TIMEVALUE("6:00"),1,0)
+IF(A328&gt;=DATEVALUE("2026/1/22")+TIMEVALUE("6:00"),3,0)-IF(A327&gt;=DATEVALUE("2026/1/22")+TIMEVALUE("6:00"),3,0)
+IF(A328&gt;=DATEVALUE("2026/2/21")+TIMEVALUE("6:00"),1,0)-IF(A327&gt;=DATEVALUE("2026/2/21")+TIMEVALUE("6:00"),1,0)</f>
        <v>0</v>
      </c>
      <c r="P328" t="str">
        <f t="shared" ref="P328" si="914">IF(L328&lt;N328,"未達成（"&amp;N328-L328&amp;"）",IF(L328=N328,"達成","前倒し（"&amp;L328-N328&amp;"）"))</f>
        <v>達成</v>
      </c>
      <c r="Q328">
        <f t="shared" ref="Q328" si="915">IF(B328="",NA(),G328)</f>
        <v>6.7824074067175388E-3</v>
      </c>
    </row>
    <row r="329" spans="1:17">
      <c r="A329" s="3">
        <v>46081.65824074074</v>
      </c>
      <c r="B329">
        <v>60</v>
      </c>
      <c r="C329">
        <v>11</v>
      </c>
      <c r="D329">
        <v>0</v>
      </c>
      <c r="E329">
        <v>0</v>
      </c>
      <c r="F329">
        <v>0</v>
      </c>
      <c r="G329" s="5">
        <v>7.4652777766459621E-3</v>
      </c>
      <c r="H329" t="s">
        <v>712</v>
      </c>
      <c r="I329" t="s">
        <v>713</v>
      </c>
      <c r="J329">
        <v>0</v>
      </c>
      <c r="K329">
        <f t="shared" ref="K329" si="916">IF(A329&lt;DATEVALUE("2025/11/20")+TIMEVALUE("6:00"),1,IF(OR(B329&lt;&gt;60,SUM(D329:F329)&lt;&gt;0,G329&gt;=IF(A329&lt;DATEVALUE("2025/12/28")+TIMEVALUE("6:00"),20,18)/24/60),0,2-INT(G329*24*60/10)))</f>
        <v>1</v>
      </c>
      <c r="L329">
        <f t="shared" ref="L329" si="917">L328+K329</f>
        <v>409</v>
      </c>
      <c r="M329">
        <f t="shared" ref="M329" si="918">2+IF(A329&gt;=DATEVALUE("2025/11/30")+TIMEVALUE("6:00"),1,0)+IF(A329&gt;=DATEVALUE("2025/12/11")+TIMEVALUE("6:00"),1,0)</f>
        <v>4</v>
      </c>
      <c r="N329">
        <f t="shared" ref="N329" si="919">N328+M329*(INT(A329-6/24)-INT(A328-6/24))+O329</f>
        <v>412</v>
      </c>
      <c r="O329">
        <f t="shared" ref="O329" si="920">IF(A329&gt;=DATEVALUE("2025/11/8")+TIMEVALUE("6:00"),1,0)-IF(A328&gt;=DATEVALUE("2025/11/8")+TIMEVALUE("6:00"),1,0)
+IF(A329&gt;=DATEVALUE("2026/1/22")+TIMEVALUE("6:00"),3,0)-IF(A328&gt;=DATEVALUE("2026/1/22")+TIMEVALUE("6:00"),3,0)
+IF(A329&gt;=DATEVALUE("2026/2/21")+TIMEVALUE("6:00"),1,0)-IF(A328&gt;=DATEVALUE("2026/2/21")+TIMEVALUE("6:00"),1,0)</f>
        <v>0</v>
      </c>
      <c r="P329" t="str">
        <f t="shared" ref="P329" si="921">IF(L329&lt;N329,"未達成（"&amp;N329-L329&amp;"）",IF(L329=N329,"達成","前倒し（"&amp;L329-N329&amp;"）"))</f>
        <v>未達成（3）</v>
      </c>
      <c r="Q329">
        <f t="shared" ref="Q329" si="922">IF(B329="",NA(),G329)</f>
        <v>7.4652777766459621E-3</v>
      </c>
    </row>
    <row r="330" spans="1:17">
      <c r="A330" s="3">
        <v>46081.662407407406</v>
      </c>
      <c r="G330" s="5">
        <v>3.7152777731535025E-3</v>
      </c>
      <c r="H330" t="s">
        <v>714</v>
      </c>
      <c r="I330" t="s">
        <v>715</v>
      </c>
      <c r="J330">
        <v>1</v>
      </c>
      <c r="K330">
        <f t="shared" ref="K330" si="923">IF(A330&lt;DATEVALUE("2025/11/20")+TIMEVALUE("6:00"),1,IF(OR(B330&lt;&gt;60,SUM(D330:F330)&lt;&gt;0,G330&gt;=IF(A330&lt;DATEVALUE("2025/12/28")+TIMEVALUE("6:00"),20,18)/24/60),0,2-INT(G330*24*60/10)))</f>
        <v>0</v>
      </c>
      <c r="L330">
        <f t="shared" ref="L330" si="924">L329+K330</f>
        <v>409</v>
      </c>
      <c r="M330">
        <f t="shared" ref="M330" si="925">2+IF(A330&gt;=DATEVALUE("2025/11/30")+TIMEVALUE("6:00"),1,0)+IF(A330&gt;=DATEVALUE("2025/12/11")+TIMEVALUE("6:00"),1,0)</f>
        <v>4</v>
      </c>
      <c r="N330">
        <f t="shared" ref="N330" si="926">N329+M330*(INT(A330-6/24)-INT(A329-6/24))+O330</f>
        <v>412</v>
      </c>
      <c r="O330">
        <f t="shared" ref="O330" si="927">IF(A330&gt;=DATEVALUE("2025/11/8")+TIMEVALUE("6:00"),1,0)-IF(A329&gt;=DATEVALUE("2025/11/8")+TIMEVALUE("6:00"),1,0)
+IF(A330&gt;=DATEVALUE("2026/1/22")+TIMEVALUE("6:00"),3,0)-IF(A329&gt;=DATEVALUE("2026/1/22")+TIMEVALUE("6:00"),3,0)
+IF(A330&gt;=DATEVALUE("2026/2/21")+TIMEVALUE("6:00"),1,0)-IF(A329&gt;=DATEVALUE("2026/2/21")+TIMEVALUE("6:00"),1,0)</f>
        <v>0</v>
      </c>
      <c r="P330" t="str">
        <f t="shared" ref="P330" si="928">IF(L330&lt;N330,"未達成（"&amp;N330-L330&amp;"）",IF(L330=N330,"達成","前倒し（"&amp;L330-N330&amp;"）"))</f>
        <v>未達成（3）</v>
      </c>
      <c r="Q330" t="e">
        <f t="shared" ref="Q330" si="929">IF(B330="",NA(),G330)</f>
        <v>#N/A</v>
      </c>
    </row>
    <row r="331" spans="1:17">
      <c r="A331" s="3">
        <v>46081.668229166666</v>
      </c>
      <c r="G331" s="5">
        <v>3.9699074040981941E-3</v>
      </c>
      <c r="H331" t="s">
        <v>716</v>
      </c>
      <c r="I331" t="s">
        <v>717</v>
      </c>
      <c r="J331">
        <v>1</v>
      </c>
      <c r="K331">
        <f t="shared" ref="K331" si="930">IF(A331&lt;DATEVALUE("2025/11/20")+TIMEVALUE("6:00"),1,IF(OR(B331&lt;&gt;60,SUM(D331:F331)&lt;&gt;0,G331&gt;=IF(A331&lt;DATEVALUE("2025/12/28")+TIMEVALUE("6:00"),20,18)/24/60),0,2-INT(G331*24*60/10)))</f>
        <v>0</v>
      </c>
      <c r="L331">
        <f t="shared" ref="L331" si="931">L330+K331</f>
        <v>409</v>
      </c>
      <c r="M331">
        <f t="shared" ref="M331" si="932">2+IF(A331&gt;=DATEVALUE("2025/11/30")+TIMEVALUE("6:00"),1,0)+IF(A331&gt;=DATEVALUE("2025/12/11")+TIMEVALUE("6:00"),1,0)</f>
        <v>4</v>
      </c>
      <c r="N331">
        <f t="shared" ref="N331" si="933">N330+M331*(INT(A331-6/24)-INT(A330-6/24))+O331</f>
        <v>412</v>
      </c>
      <c r="O331">
        <f t="shared" ref="O331" si="934">IF(A331&gt;=DATEVALUE("2025/11/8")+TIMEVALUE("6:00"),1,0)-IF(A330&gt;=DATEVALUE("2025/11/8")+TIMEVALUE("6:00"),1,0)
+IF(A331&gt;=DATEVALUE("2026/1/22")+TIMEVALUE("6:00"),3,0)-IF(A330&gt;=DATEVALUE("2026/1/22")+TIMEVALUE("6:00"),3,0)
+IF(A331&gt;=DATEVALUE("2026/2/21")+TIMEVALUE("6:00"),1,0)-IF(A330&gt;=DATEVALUE("2026/2/21")+TIMEVALUE("6:00"),1,0)</f>
        <v>0</v>
      </c>
      <c r="P331" t="str">
        <f t="shared" ref="P331" si="935">IF(L331&lt;N331,"未達成（"&amp;N331-L331&amp;"）",IF(L331=N331,"達成","前倒し（"&amp;L331-N331&amp;"）"))</f>
        <v>未達成（3）</v>
      </c>
      <c r="Q331" t="e">
        <f t="shared" ref="Q331" si="936">IF(B331="",NA(),G331)</f>
        <v>#N/A</v>
      </c>
    </row>
    <row r="332" spans="1:17">
      <c r="A332" s="3">
        <v>46081.675543981481</v>
      </c>
      <c r="B332">
        <v>60</v>
      </c>
      <c r="C332">
        <v>4</v>
      </c>
      <c r="D332">
        <v>0</v>
      </c>
      <c r="E332">
        <v>0</v>
      </c>
      <c r="F332">
        <v>0</v>
      </c>
      <c r="G332" s="5">
        <v>5.9259259214741178E-3</v>
      </c>
      <c r="H332" t="s">
        <v>718</v>
      </c>
      <c r="I332" t="s">
        <v>719</v>
      </c>
      <c r="J332">
        <v>0</v>
      </c>
      <c r="K332">
        <f t="shared" ref="K332" si="937">IF(A332&lt;DATEVALUE("2025/11/20")+TIMEVALUE("6:00"),1,IF(OR(B332&lt;&gt;60,SUM(D332:F332)&lt;&gt;0,G332&gt;=IF(A332&lt;DATEVALUE("2025/12/28")+TIMEVALUE("6:00"),20,18)/24/60),0,2-INT(G332*24*60/10)))</f>
        <v>2</v>
      </c>
      <c r="L332">
        <f t="shared" ref="L332" si="938">L331+K332</f>
        <v>411</v>
      </c>
      <c r="M332">
        <f t="shared" ref="M332" si="939">2+IF(A332&gt;=DATEVALUE("2025/11/30")+TIMEVALUE("6:00"),1,0)+IF(A332&gt;=DATEVALUE("2025/12/11")+TIMEVALUE("6:00"),1,0)</f>
        <v>4</v>
      </c>
      <c r="N332">
        <f t="shared" ref="N332" si="940">N331+M332*(INT(A332-6/24)-INT(A331-6/24))+O332</f>
        <v>412</v>
      </c>
      <c r="O332">
        <f t="shared" ref="O332" si="941">IF(A332&gt;=DATEVALUE("2025/11/8")+TIMEVALUE("6:00"),1,0)-IF(A331&gt;=DATEVALUE("2025/11/8")+TIMEVALUE("6:00"),1,0)
+IF(A332&gt;=DATEVALUE("2026/1/22")+TIMEVALUE("6:00"),3,0)-IF(A331&gt;=DATEVALUE("2026/1/22")+TIMEVALUE("6:00"),3,0)
+IF(A332&gt;=DATEVALUE("2026/2/21")+TIMEVALUE("6:00"),1,0)-IF(A331&gt;=DATEVALUE("2026/2/21")+TIMEVALUE("6:00"),1,0)</f>
        <v>0</v>
      </c>
      <c r="P332" t="str">
        <f t="shared" ref="P332" si="942">IF(L332&lt;N332,"未達成（"&amp;N332-L332&amp;"）",IF(L332=N332,"達成","前倒し（"&amp;L332-N332&amp;"）"))</f>
        <v>未達成（1）</v>
      </c>
      <c r="Q332">
        <f t="shared" ref="Q332" si="943">IF(B332="",NA(),G332)</f>
        <v>5.9259259214741178E-3</v>
      </c>
    </row>
    <row r="333" spans="1:17">
      <c r="A333" s="3">
        <v>46081.683912037035</v>
      </c>
      <c r="B333">
        <v>60</v>
      </c>
      <c r="C333">
        <v>8</v>
      </c>
      <c r="D333">
        <v>0</v>
      </c>
      <c r="E333">
        <v>0</v>
      </c>
      <c r="F333">
        <v>0</v>
      </c>
      <c r="G333" s="5">
        <v>5.5555555518367328E-3</v>
      </c>
      <c r="H333" t="s">
        <v>720</v>
      </c>
      <c r="I333" t="s">
        <v>721</v>
      </c>
      <c r="J333">
        <v>0</v>
      </c>
      <c r="K333">
        <f t="shared" ref="K333" si="944">IF(A333&lt;DATEVALUE("2025/11/20")+TIMEVALUE("6:00"),1,IF(OR(B333&lt;&gt;60,SUM(D333:F333)&lt;&gt;0,G333&gt;=IF(A333&lt;DATEVALUE("2025/12/28")+TIMEVALUE("6:00"),20,18)/24/60),0,2-INT(G333*24*60/10)))</f>
        <v>2</v>
      </c>
      <c r="L333">
        <f t="shared" ref="L333" si="945">L332+K333</f>
        <v>413</v>
      </c>
      <c r="M333">
        <f t="shared" ref="M333" si="946">2+IF(A333&gt;=DATEVALUE("2025/11/30")+TIMEVALUE("6:00"),1,0)+IF(A333&gt;=DATEVALUE("2025/12/11")+TIMEVALUE("6:00"),1,0)</f>
        <v>4</v>
      </c>
      <c r="N333">
        <f t="shared" ref="N333" si="947">N332+M333*(INT(A333-6/24)-INT(A332-6/24))+O333</f>
        <v>412</v>
      </c>
      <c r="O333">
        <f t="shared" ref="O333" si="948">IF(A333&gt;=DATEVALUE("2025/11/8")+TIMEVALUE("6:00"),1,0)-IF(A332&gt;=DATEVALUE("2025/11/8")+TIMEVALUE("6:00"),1,0)
+IF(A333&gt;=DATEVALUE("2026/1/22")+TIMEVALUE("6:00"),3,0)-IF(A332&gt;=DATEVALUE("2026/1/22")+TIMEVALUE("6:00"),3,0)
+IF(A333&gt;=DATEVALUE("2026/2/21")+TIMEVALUE("6:00"),1,0)-IF(A332&gt;=DATEVALUE("2026/2/21")+TIMEVALUE("6:00"),1,0)</f>
        <v>0</v>
      </c>
      <c r="P333" t="str">
        <f t="shared" ref="P333" si="949">IF(L333&lt;N333,"未達成（"&amp;N333-L333&amp;"）",IF(L333=N333,"達成","前倒し（"&amp;L333-N333&amp;"）"))</f>
        <v>前倒し（1）</v>
      </c>
      <c r="Q333">
        <f t="shared" ref="Q333" si="950">IF(B333="",NA(),G333)</f>
        <v>5.5555555518367328E-3</v>
      </c>
    </row>
    <row r="334" spans="1:17">
      <c r="A334" s="3">
        <v>46082.948981481481</v>
      </c>
      <c r="B334">
        <v>60</v>
      </c>
      <c r="C334">
        <v>8</v>
      </c>
      <c r="D334">
        <v>0</v>
      </c>
      <c r="E334">
        <v>0</v>
      </c>
      <c r="F334">
        <v>0</v>
      </c>
      <c r="G334" s="5">
        <v>5.0694444435066544E-3</v>
      </c>
      <c r="H334" t="s">
        <v>722</v>
      </c>
      <c r="I334" t="s">
        <v>723</v>
      </c>
      <c r="J334">
        <v>0</v>
      </c>
      <c r="K334">
        <f t="shared" ref="K334" si="951">IF(A334&lt;DATEVALUE("2025/11/20")+TIMEVALUE("6:00"),1,IF(OR(B334&lt;&gt;60,SUM(D334:F334)&lt;&gt;0,G334&gt;=IF(A334&lt;DATEVALUE("2025/12/28")+TIMEVALUE("6:00"),20,18)/24/60),0,2-INT(G334*24*60/10)))</f>
        <v>2</v>
      </c>
      <c r="L334">
        <f t="shared" ref="L334" si="952">L333+K334</f>
        <v>415</v>
      </c>
      <c r="M334">
        <f t="shared" ref="M334" si="953">2+IF(A334&gt;=DATEVALUE("2025/11/30")+TIMEVALUE("6:00"),1,0)+IF(A334&gt;=DATEVALUE("2025/12/11")+TIMEVALUE("6:00"),1,0)</f>
        <v>4</v>
      </c>
      <c r="N334">
        <f t="shared" ref="N334" si="954">N333+M334*(INT(A334-6/24)-INT(A333-6/24))+O334</f>
        <v>416</v>
      </c>
      <c r="O334">
        <f t="shared" ref="O334" si="955">IF(A334&gt;=DATEVALUE("2025/11/8")+TIMEVALUE("6:00"),1,0)-IF(A333&gt;=DATEVALUE("2025/11/8")+TIMEVALUE("6:00"),1,0)
+IF(A334&gt;=DATEVALUE("2026/1/22")+TIMEVALUE("6:00"),3,0)-IF(A333&gt;=DATEVALUE("2026/1/22")+TIMEVALUE("6:00"),3,0)
+IF(A334&gt;=DATEVALUE("2026/2/21")+TIMEVALUE("6:00"),1,0)-IF(A333&gt;=DATEVALUE("2026/2/21")+TIMEVALUE("6:00"),1,0)</f>
        <v>0</v>
      </c>
      <c r="P334" t="str">
        <f t="shared" ref="P334" si="956">IF(L334&lt;N334,"未達成（"&amp;N334-L334&amp;"）",IF(L334=N334,"達成","前倒し（"&amp;L334-N334&amp;"）"))</f>
        <v>未達成（1）</v>
      </c>
      <c r="Q334">
        <f t="shared" ref="Q334" si="957">IF(B334="",NA(),G334)</f>
        <v>5.0694444435066544E-3</v>
      </c>
    </row>
    <row r="335" spans="1:17">
      <c r="A335" s="3">
        <v>46082.958090277774</v>
      </c>
      <c r="B335">
        <v>60</v>
      </c>
      <c r="C335">
        <v>2</v>
      </c>
      <c r="D335">
        <v>0</v>
      </c>
      <c r="E335">
        <v>0</v>
      </c>
      <c r="F335">
        <v>0</v>
      </c>
      <c r="G335" s="5">
        <v>8.6689814779674634E-3</v>
      </c>
      <c r="H335" t="s">
        <v>724</v>
      </c>
      <c r="I335" t="s">
        <v>725</v>
      </c>
      <c r="J335">
        <v>0</v>
      </c>
      <c r="K335">
        <f t="shared" ref="K335" si="958">IF(A335&lt;DATEVALUE("2025/11/20")+TIMEVALUE("6:00"),1,IF(OR(B335&lt;&gt;60,SUM(D335:F335)&lt;&gt;0,G335&gt;=IF(A335&lt;DATEVALUE("2025/12/28")+TIMEVALUE("6:00"),20,18)/24/60),0,2-INT(G335*24*60/10)))</f>
        <v>1</v>
      </c>
      <c r="L335">
        <f t="shared" ref="L335" si="959">L334+K335</f>
        <v>416</v>
      </c>
      <c r="M335">
        <f t="shared" ref="M335" si="960">2+IF(A335&gt;=DATEVALUE("2025/11/30")+TIMEVALUE("6:00"),1,0)+IF(A335&gt;=DATEVALUE("2025/12/11")+TIMEVALUE("6:00"),1,0)</f>
        <v>4</v>
      </c>
      <c r="N335">
        <f t="shared" ref="N335" si="961">N334+M335*(INT(A335-6/24)-INT(A334-6/24))+O335</f>
        <v>416</v>
      </c>
      <c r="O335">
        <f t="shared" ref="O335" si="962">IF(A335&gt;=DATEVALUE("2025/11/8")+TIMEVALUE("6:00"),1,0)-IF(A334&gt;=DATEVALUE("2025/11/8")+TIMEVALUE("6:00"),1,0)
+IF(A335&gt;=DATEVALUE("2026/1/22")+TIMEVALUE("6:00"),3,0)-IF(A334&gt;=DATEVALUE("2026/1/22")+TIMEVALUE("6:00"),3,0)
+IF(A335&gt;=DATEVALUE("2026/2/21")+TIMEVALUE("6:00"),1,0)-IF(A334&gt;=DATEVALUE("2026/2/21")+TIMEVALUE("6:00"),1,0)</f>
        <v>0</v>
      </c>
      <c r="P335" t="str">
        <f t="shared" ref="P335" si="963">IF(L335&lt;N335,"未達成（"&amp;N335-L335&amp;"）",IF(L335=N335,"達成","前倒し（"&amp;L335-N335&amp;"）"))</f>
        <v>達成</v>
      </c>
      <c r="Q335">
        <f t="shared" ref="Q335" si="964">IF(B335="",NA(),G335)</f>
        <v>8.6689814779674634E-3</v>
      </c>
    </row>
    <row r="336" spans="1:17">
      <c r="A336" s="3">
        <v>46087.298900462964</v>
      </c>
      <c r="B336">
        <v>60</v>
      </c>
      <c r="C336">
        <v>18</v>
      </c>
      <c r="D336">
        <v>0</v>
      </c>
      <c r="E336">
        <v>0</v>
      </c>
      <c r="F336">
        <v>0</v>
      </c>
      <c r="G336" s="5">
        <v>6.7476851836545393E-3</v>
      </c>
      <c r="H336" t="s">
        <v>726</v>
      </c>
      <c r="I336" t="s">
        <v>727</v>
      </c>
      <c r="J336">
        <v>0</v>
      </c>
      <c r="K336">
        <f t="shared" ref="K336" si="965">IF(A336&lt;DATEVALUE("2025/11/20")+TIMEVALUE("6:00"),1,IF(OR(B336&lt;&gt;60,SUM(D336:F336)&lt;&gt;0,G336&gt;=IF(A336&lt;DATEVALUE("2025/12/28")+TIMEVALUE("6:00"),20,18)/24/60),0,2-INT(G336*24*60/10)))</f>
        <v>2</v>
      </c>
      <c r="L336">
        <f t="shared" ref="L336" si="966">L335+K336</f>
        <v>418</v>
      </c>
      <c r="M336">
        <f t="shared" ref="M336" si="967">2+IF(A336&gt;=DATEVALUE("2025/11/30")+TIMEVALUE("6:00"),1,0)+IF(A336&gt;=DATEVALUE("2025/12/11")+TIMEVALUE("6:00"),1,0)</f>
        <v>4</v>
      </c>
      <c r="N336">
        <f t="shared" ref="N336" si="968">N335+M336*(INT(A336-6/24)-INT(A335-6/24))+O336</f>
        <v>436</v>
      </c>
      <c r="O336">
        <f t="shared" ref="O336" si="969">IF(A336&gt;=DATEVALUE("2025/11/8")+TIMEVALUE("6:00"),1,0)-IF(A335&gt;=DATEVALUE("2025/11/8")+TIMEVALUE("6:00"),1,0)
+IF(A336&gt;=DATEVALUE("2026/1/22")+TIMEVALUE("6:00"),3,0)-IF(A335&gt;=DATEVALUE("2026/1/22")+TIMEVALUE("6:00"),3,0)
+IF(A336&gt;=DATEVALUE("2026/2/21")+TIMEVALUE("6:00"),1,0)-IF(A335&gt;=DATEVALUE("2026/2/21")+TIMEVALUE("6:00"),1,0)</f>
        <v>0</v>
      </c>
      <c r="P336" t="str">
        <f t="shared" ref="P336" si="970">IF(L336&lt;N336,"未達成（"&amp;N336-L336&amp;"）",IF(L336=N336,"達成","前倒し（"&amp;L336-N336&amp;"）"))</f>
        <v>未達成（18）</v>
      </c>
      <c r="Q336">
        <f t="shared" ref="Q336" si="971">IF(B336="",NA(),G336)</f>
        <v>6.7476851836545393E-3</v>
      </c>
    </row>
    <row r="337" spans="1:17">
      <c r="A337" s="3">
        <v>46087.306388888886</v>
      </c>
      <c r="B337">
        <v>60</v>
      </c>
      <c r="C337">
        <v>13</v>
      </c>
      <c r="D337">
        <v>0</v>
      </c>
      <c r="E337">
        <v>0</v>
      </c>
      <c r="F337">
        <v>0</v>
      </c>
      <c r="G337" s="5">
        <v>6.4120370370801538E-3</v>
      </c>
      <c r="H337" t="s">
        <v>728</v>
      </c>
      <c r="I337" t="s">
        <v>729</v>
      </c>
      <c r="J337">
        <v>0</v>
      </c>
      <c r="K337">
        <f t="shared" ref="K337" si="972">IF(A337&lt;DATEVALUE("2025/11/20")+TIMEVALUE("6:00"),1,IF(OR(B337&lt;&gt;60,SUM(D337:F337)&lt;&gt;0,G337&gt;=IF(A337&lt;DATEVALUE("2025/12/28")+TIMEVALUE("6:00"),20,18)/24/60),0,2-INT(G337*24*60/10)))</f>
        <v>2</v>
      </c>
      <c r="L337">
        <f t="shared" ref="L337" si="973">L336+K337</f>
        <v>420</v>
      </c>
      <c r="M337">
        <f t="shared" ref="M337" si="974">2+IF(A337&gt;=DATEVALUE("2025/11/30")+TIMEVALUE("6:00"),1,0)+IF(A337&gt;=DATEVALUE("2025/12/11")+TIMEVALUE("6:00"),1,0)</f>
        <v>4</v>
      </c>
      <c r="N337">
        <f t="shared" ref="N337" si="975">N336+M337*(INT(A337-6/24)-INT(A336-6/24))+O337</f>
        <v>436</v>
      </c>
      <c r="O337">
        <f t="shared" ref="O337" si="976">IF(A337&gt;=DATEVALUE("2025/11/8")+TIMEVALUE("6:00"),1,0)-IF(A336&gt;=DATEVALUE("2025/11/8")+TIMEVALUE("6:00"),1,0)
+IF(A337&gt;=DATEVALUE("2026/1/22")+TIMEVALUE("6:00"),3,0)-IF(A336&gt;=DATEVALUE("2026/1/22")+TIMEVALUE("6:00"),3,0)
+IF(A337&gt;=DATEVALUE("2026/2/21")+TIMEVALUE("6:00"),1,0)-IF(A336&gt;=DATEVALUE("2026/2/21")+TIMEVALUE("6:00"),1,0)</f>
        <v>0</v>
      </c>
      <c r="P337" t="str">
        <f t="shared" ref="P337" si="977">IF(L337&lt;N337,"未達成（"&amp;N337-L337&amp;"）",IF(L337=N337,"達成","前倒し（"&amp;L337-N337&amp;"）"))</f>
        <v>未達成（16）</v>
      </c>
      <c r="Q337">
        <f t="shared" ref="Q337" si="978">IF(B337="",NA(),G337)</f>
        <v>6.4120370370801538E-3</v>
      </c>
    </row>
    <row r="338" spans="1:17">
      <c r="A338" s="3">
        <v>46087.317523148151</v>
      </c>
      <c r="B338">
        <v>60</v>
      </c>
      <c r="C338">
        <v>11</v>
      </c>
      <c r="D338">
        <v>0</v>
      </c>
      <c r="E338">
        <v>0</v>
      </c>
      <c r="F338">
        <v>0</v>
      </c>
      <c r="G338" s="5">
        <v>7.4884259302052669E-3</v>
      </c>
      <c r="H338" t="s">
        <v>730</v>
      </c>
      <c r="I338" t="s">
        <v>731</v>
      </c>
      <c r="J338">
        <v>0</v>
      </c>
      <c r="K338">
        <f t="shared" ref="K338" si="979">IF(A338&lt;DATEVALUE("2025/11/20")+TIMEVALUE("6:00"),1,IF(OR(B338&lt;&gt;60,SUM(D338:F338)&lt;&gt;0,G338&gt;=IF(A338&lt;DATEVALUE("2025/12/28")+TIMEVALUE("6:00"),20,18)/24/60),0,2-INT(G338*24*60/10)))</f>
        <v>1</v>
      </c>
      <c r="L338">
        <f t="shared" ref="L338" si="980">L337+K338</f>
        <v>421</v>
      </c>
      <c r="M338">
        <f t="shared" ref="M338" si="981">2+IF(A338&gt;=DATEVALUE("2025/11/30")+TIMEVALUE("6:00"),1,0)+IF(A338&gt;=DATEVALUE("2025/12/11")+TIMEVALUE("6:00"),1,0)</f>
        <v>4</v>
      </c>
      <c r="N338">
        <f t="shared" ref="N338" si="982">N337+M338*(INT(A338-6/24)-INT(A337-6/24))+O338</f>
        <v>436</v>
      </c>
      <c r="O338">
        <f t="shared" ref="O338" si="983">IF(A338&gt;=DATEVALUE("2025/11/8")+TIMEVALUE("6:00"),1,0)-IF(A337&gt;=DATEVALUE("2025/11/8")+TIMEVALUE("6:00"),1,0)
+IF(A338&gt;=DATEVALUE("2026/1/22")+TIMEVALUE("6:00"),3,0)-IF(A337&gt;=DATEVALUE("2026/1/22")+TIMEVALUE("6:00"),3,0)
+IF(A338&gt;=DATEVALUE("2026/2/21")+TIMEVALUE("6:00"),1,0)-IF(A337&gt;=DATEVALUE("2026/2/21")+TIMEVALUE("6:00"),1,0)</f>
        <v>0</v>
      </c>
      <c r="P338" t="str">
        <f t="shared" ref="P338" si="984">IF(L338&lt;N338,"未達成（"&amp;N338-L338&amp;"）",IF(L338=N338,"達成","前倒し（"&amp;L338-N338&amp;"）"))</f>
        <v>未達成（15）</v>
      </c>
      <c r="Q338">
        <f t="shared" ref="Q338" si="985">IF(B338="",NA(),G338)</f>
        <v>7.4884259302052669E-3</v>
      </c>
    </row>
    <row r="339" spans="1:17">
      <c r="A339" s="3">
        <v>46087.325023148151</v>
      </c>
      <c r="B339">
        <v>60</v>
      </c>
      <c r="C339">
        <v>15</v>
      </c>
      <c r="D339">
        <v>0</v>
      </c>
      <c r="E339">
        <v>0</v>
      </c>
      <c r="F339">
        <v>0</v>
      </c>
      <c r="G339" s="5">
        <v>6.8634259296231903E-3</v>
      </c>
      <c r="H339" t="s">
        <v>732</v>
      </c>
      <c r="I339" t="s">
        <v>733</v>
      </c>
      <c r="J339">
        <v>0</v>
      </c>
      <c r="K339">
        <f t="shared" ref="K339" si="986">IF(A339&lt;DATEVALUE("2025/11/20")+TIMEVALUE("6:00"),1,IF(OR(B339&lt;&gt;60,SUM(D339:F339)&lt;&gt;0,G339&gt;=IF(A339&lt;DATEVALUE("2025/12/28")+TIMEVALUE("6:00"),20,18)/24/60),0,2-INT(G339*24*60/10)))</f>
        <v>2</v>
      </c>
      <c r="L339">
        <f t="shared" ref="L339" si="987">L338+K339</f>
        <v>423</v>
      </c>
      <c r="M339">
        <f t="shared" ref="M339" si="988">2+IF(A339&gt;=DATEVALUE("2025/11/30")+TIMEVALUE("6:00"),1,0)+IF(A339&gt;=DATEVALUE("2025/12/11")+TIMEVALUE("6:00"),1,0)</f>
        <v>4</v>
      </c>
      <c r="N339">
        <f t="shared" ref="N339" si="989">N338+M339*(INT(A339-6/24)-INT(A338-6/24))+O339</f>
        <v>436</v>
      </c>
      <c r="O339">
        <f t="shared" ref="O339" si="990">IF(A339&gt;=DATEVALUE("2025/11/8")+TIMEVALUE("6:00"),1,0)-IF(A338&gt;=DATEVALUE("2025/11/8")+TIMEVALUE("6:00"),1,0)
+IF(A339&gt;=DATEVALUE("2026/1/22")+TIMEVALUE("6:00"),3,0)-IF(A338&gt;=DATEVALUE("2026/1/22")+TIMEVALUE("6:00"),3,0)
+IF(A339&gt;=DATEVALUE("2026/2/21")+TIMEVALUE("6:00"),1,0)-IF(A338&gt;=DATEVALUE("2026/2/21")+TIMEVALUE("6:00"),1,0)</f>
        <v>0</v>
      </c>
      <c r="P339" t="str">
        <f t="shared" ref="P339" si="991">IF(L339&lt;N339,"未達成（"&amp;N339-L339&amp;"）",IF(L339=N339,"達成","前倒し（"&amp;L339-N339&amp;"）"))</f>
        <v>未達成（13）</v>
      </c>
      <c r="Q339">
        <f t="shared" ref="Q339" si="992">IF(B339="",NA(),G339)</f>
        <v>6.8634259296231903E-3</v>
      </c>
    </row>
    <row r="340" spans="1:17">
      <c r="A340" s="3">
        <v>46087.332395833335</v>
      </c>
      <c r="B340">
        <v>60</v>
      </c>
      <c r="C340">
        <v>17</v>
      </c>
      <c r="D340">
        <v>0</v>
      </c>
      <c r="E340">
        <v>0</v>
      </c>
      <c r="F340">
        <v>0</v>
      </c>
      <c r="G340" s="5">
        <v>6.1689814829151146E-3</v>
      </c>
      <c r="H340" t="s">
        <v>734</v>
      </c>
      <c r="I340" t="s">
        <v>735</v>
      </c>
      <c r="J340">
        <v>0</v>
      </c>
      <c r="K340">
        <f t="shared" ref="K340" si="993">IF(A340&lt;DATEVALUE("2025/11/20")+TIMEVALUE("6:00"),1,IF(OR(B340&lt;&gt;60,SUM(D340:F340)&lt;&gt;0,G340&gt;=IF(A340&lt;DATEVALUE("2025/12/28")+TIMEVALUE("6:00"),20,18)/24/60),0,2-INT(G340*24*60/10)))</f>
        <v>2</v>
      </c>
      <c r="L340">
        <f t="shared" ref="L340" si="994">L339+K340</f>
        <v>425</v>
      </c>
      <c r="M340">
        <f t="shared" ref="M340" si="995">2+IF(A340&gt;=DATEVALUE("2025/11/30")+TIMEVALUE("6:00"),1,0)+IF(A340&gt;=DATEVALUE("2025/12/11")+TIMEVALUE("6:00"),1,0)</f>
        <v>4</v>
      </c>
      <c r="N340">
        <f t="shared" ref="N340" si="996">N339+M340*(INT(A340-6/24)-INT(A339-6/24))+O340</f>
        <v>436</v>
      </c>
      <c r="O340">
        <f t="shared" ref="O340" si="997">IF(A340&gt;=DATEVALUE("2025/11/8")+TIMEVALUE("6:00"),1,0)-IF(A339&gt;=DATEVALUE("2025/11/8")+TIMEVALUE("6:00"),1,0)
+IF(A340&gt;=DATEVALUE("2026/1/22")+TIMEVALUE("6:00"),3,0)-IF(A339&gt;=DATEVALUE("2026/1/22")+TIMEVALUE("6:00"),3,0)
+IF(A340&gt;=DATEVALUE("2026/2/21")+TIMEVALUE("6:00"),1,0)-IF(A339&gt;=DATEVALUE("2026/2/21")+TIMEVALUE("6:00"),1,0)</f>
        <v>0</v>
      </c>
      <c r="P340" t="str">
        <f t="shared" ref="P340" si="998">IF(L340&lt;N340,"未達成（"&amp;N340-L340&amp;"）",IF(L340=N340,"達成","前倒し（"&amp;L340-N340&amp;"）"))</f>
        <v>未達成（11）</v>
      </c>
      <c r="Q340">
        <f t="shared" ref="Q340" si="999">IF(B340="",NA(),G340)</f>
        <v>6.1689814829151146E-3</v>
      </c>
    </row>
    <row r="341" spans="1:17">
      <c r="A341" s="3">
        <v>46088.298182870371</v>
      </c>
      <c r="B341">
        <v>60</v>
      </c>
      <c r="C341">
        <v>15</v>
      </c>
      <c r="D341">
        <v>0</v>
      </c>
      <c r="E341">
        <v>0</v>
      </c>
      <c r="F341">
        <v>0</v>
      </c>
      <c r="G341" s="5">
        <v>7.9398148154723458E-3</v>
      </c>
      <c r="H341" t="s">
        <v>736</v>
      </c>
      <c r="I341" t="s">
        <v>737</v>
      </c>
      <c r="J341">
        <v>0</v>
      </c>
      <c r="K341">
        <f t="shared" ref="K341" si="1000">IF(A341&lt;DATEVALUE("2025/11/20")+TIMEVALUE("6:00"),1,IF(OR(B341&lt;&gt;60,SUM(D341:F341)&lt;&gt;0,G341&gt;=IF(A341&lt;DATEVALUE("2025/12/28")+TIMEVALUE("6:00"),20,18)/24/60),0,2-INT(G341*24*60/10)))</f>
        <v>1</v>
      </c>
      <c r="L341">
        <f t="shared" ref="L341" si="1001">L340+K341</f>
        <v>426</v>
      </c>
      <c r="M341">
        <f t="shared" ref="M341" si="1002">2+IF(A341&gt;=DATEVALUE("2025/11/30")+TIMEVALUE("6:00"),1,0)+IF(A341&gt;=DATEVALUE("2025/12/11")+TIMEVALUE("6:00"),1,0)</f>
        <v>4</v>
      </c>
      <c r="N341">
        <f t="shared" ref="N341" si="1003">N340+M341*(INT(A341-6/24)-INT(A340-6/24))+O341</f>
        <v>440</v>
      </c>
      <c r="O341">
        <f t="shared" ref="O341" si="1004">IF(A341&gt;=DATEVALUE("2025/11/8")+TIMEVALUE("6:00"),1,0)-IF(A340&gt;=DATEVALUE("2025/11/8")+TIMEVALUE("6:00"),1,0)
+IF(A341&gt;=DATEVALUE("2026/1/22")+TIMEVALUE("6:00"),3,0)-IF(A340&gt;=DATEVALUE("2026/1/22")+TIMEVALUE("6:00"),3,0)
+IF(A341&gt;=DATEVALUE("2026/2/21")+TIMEVALUE("6:00"),1,0)-IF(A340&gt;=DATEVALUE("2026/2/21")+TIMEVALUE("6:00"),1,0)</f>
        <v>0</v>
      </c>
      <c r="P341" t="str">
        <f t="shared" ref="P341" si="1005">IF(L341&lt;N341,"未達成（"&amp;N341-L341&amp;"）",IF(L341=N341,"達成","前倒し（"&amp;L341-N341&amp;"）"))</f>
        <v>未達成（14）</v>
      </c>
      <c r="Q341">
        <f t="shared" ref="Q341" si="1006">IF(B341="",NA(),G341)</f>
        <v>7.9398148154723458E-3</v>
      </c>
    </row>
    <row r="342" spans="1:17">
      <c r="A342" s="3">
        <v>46088.306388888886</v>
      </c>
      <c r="B342">
        <v>60</v>
      </c>
      <c r="C342">
        <v>11</v>
      </c>
      <c r="D342">
        <v>0</v>
      </c>
      <c r="E342">
        <v>0</v>
      </c>
      <c r="F342">
        <v>0</v>
      </c>
      <c r="G342" s="5">
        <v>6.956018514756579E-3</v>
      </c>
      <c r="H342" t="s">
        <v>738</v>
      </c>
      <c r="I342" t="s">
        <v>739</v>
      </c>
      <c r="J342">
        <v>0</v>
      </c>
      <c r="K342">
        <f t="shared" ref="K342" si="1007">IF(A342&lt;DATEVALUE("2025/11/20")+TIMEVALUE("6:00"),1,IF(OR(B342&lt;&gt;60,SUM(D342:F342)&lt;&gt;0,G342&gt;=IF(A342&lt;DATEVALUE("2025/12/28")+TIMEVALUE("6:00"),20,18)/24/60),0,2-INT(G342*24*60/10)))</f>
        <v>1</v>
      </c>
      <c r="L342">
        <f t="shared" ref="L342" si="1008">L341+K342</f>
        <v>427</v>
      </c>
      <c r="M342">
        <f t="shared" ref="M342" si="1009">2+IF(A342&gt;=DATEVALUE("2025/11/30")+TIMEVALUE("6:00"),1,0)+IF(A342&gt;=DATEVALUE("2025/12/11")+TIMEVALUE("6:00"),1,0)</f>
        <v>4</v>
      </c>
      <c r="N342">
        <f t="shared" ref="N342" si="1010">N341+M342*(INT(A342-6/24)-INT(A341-6/24))+O342</f>
        <v>440</v>
      </c>
      <c r="O342">
        <f t="shared" ref="O342" si="1011">IF(A342&gt;=DATEVALUE("2025/11/8")+TIMEVALUE("6:00"),1,0)-IF(A341&gt;=DATEVALUE("2025/11/8")+TIMEVALUE("6:00"),1,0)
+IF(A342&gt;=DATEVALUE("2026/1/22")+TIMEVALUE("6:00"),3,0)-IF(A341&gt;=DATEVALUE("2026/1/22")+TIMEVALUE("6:00"),3,0)
+IF(A342&gt;=DATEVALUE("2026/2/21")+TIMEVALUE("6:00"),1,0)-IF(A341&gt;=DATEVALUE("2026/2/21")+TIMEVALUE("6:00"),1,0)</f>
        <v>0</v>
      </c>
      <c r="P342" t="str">
        <f t="shared" ref="P342" si="1012">IF(L342&lt;N342,"未達成（"&amp;N342-L342&amp;"）",IF(L342=N342,"達成","前倒し（"&amp;L342-N342&amp;"）"))</f>
        <v>未達成（13）</v>
      </c>
      <c r="Q342">
        <f t="shared" ref="Q342" si="1013">IF(B342="",NA(),G342)</f>
        <v>6.956018514756579E-3</v>
      </c>
    </row>
    <row r="343" spans="1:17">
      <c r="A343" s="3">
        <v>46088.312905092593</v>
      </c>
      <c r="B343">
        <v>60</v>
      </c>
      <c r="C343">
        <v>8</v>
      </c>
      <c r="D343">
        <v>0</v>
      </c>
      <c r="E343">
        <v>0</v>
      </c>
      <c r="F343">
        <v>0</v>
      </c>
      <c r="G343" s="5">
        <v>5.914351851970423E-3</v>
      </c>
      <c r="H343" t="s">
        <v>740</v>
      </c>
      <c r="I343" t="s">
        <v>741</v>
      </c>
      <c r="J343">
        <v>0</v>
      </c>
      <c r="K343">
        <f t="shared" ref="K343" si="1014">IF(A343&lt;DATEVALUE("2025/11/20")+TIMEVALUE("6:00"),1,IF(OR(B343&lt;&gt;60,SUM(D343:F343)&lt;&gt;0,G343&gt;=IF(A343&lt;DATEVALUE("2025/12/28")+TIMEVALUE("6:00"),20,18)/24/60),0,2-INT(G343*24*60/10)))</f>
        <v>2</v>
      </c>
      <c r="L343">
        <f t="shared" ref="L343" si="1015">L342+K343</f>
        <v>429</v>
      </c>
      <c r="M343">
        <f t="shared" ref="M343" si="1016">2+IF(A343&gt;=DATEVALUE("2025/11/30")+TIMEVALUE("6:00"),1,0)+IF(A343&gt;=DATEVALUE("2025/12/11")+TIMEVALUE("6:00"),1,0)</f>
        <v>4</v>
      </c>
      <c r="N343">
        <f t="shared" ref="N343" si="1017">N342+M343*(INT(A343-6/24)-INT(A342-6/24))+O343</f>
        <v>440</v>
      </c>
      <c r="O343">
        <f t="shared" ref="O343" si="1018">IF(A343&gt;=DATEVALUE("2025/11/8")+TIMEVALUE("6:00"),1,0)-IF(A342&gt;=DATEVALUE("2025/11/8")+TIMEVALUE("6:00"),1,0)
+IF(A343&gt;=DATEVALUE("2026/1/22")+TIMEVALUE("6:00"),3,0)-IF(A342&gt;=DATEVALUE("2026/1/22")+TIMEVALUE("6:00"),3,0)
+IF(A343&gt;=DATEVALUE("2026/2/21")+TIMEVALUE("6:00"),1,0)-IF(A342&gt;=DATEVALUE("2026/2/21")+TIMEVALUE("6:00"),1,0)</f>
        <v>0</v>
      </c>
      <c r="P343" t="str">
        <f t="shared" ref="P343" si="1019">IF(L343&lt;N343,"未達成（"&amp;N343-L343&amp;"）",IF(L343=N343,"達成","前倒し（"&amp;L343-N343&amp;"）"))</f>
        <v>未達成（11）</v>
      </c>
      <c r="Q343">
        <f t="shared" ref="Q343" si="1020">IF(B343="",NA(),G343)</f>
        <v>5.914351851970423E-3</v>
      </c>
    </row>
    <row r="344" spans="1:17">
      <c r="A344" s="3">
        <v>46088.323182870372</v>
      </c>
      <c r="B344">
        <v>60</v>
      </c>
      <c r="C344">
        <v>14</v>
      </c>
      <c r="D344">
        <v>0</v>
      </c>
      <c r="E344">
        <v>0</v>
      </c>
      <c r="F344">
        <v>0</v>
      </c>
      <c r="G344" s="5">
        <v>8.55324073927477E-3</v>
      </c>
      <c r="H344" t="s">
        <v>742</v>
      </c>
      <c r="I344" t="s">
        <v>743</v>
      </c>
      <c r="J344">
        <v>0</v>
      </c>
      <c r="K344">
        <f t="shared" ref="K344" si="1021">IF(A344&lt;DATEVALUE("2025/11/20")+TIMEVALUE("6:00"),1,IF(OR(B344&lt;&gt;60,SUM(D344:F344)&lt;&gt;0,G344&gt;=IF(A344&lt;DATEVALUE("2025/12/28")+TIMEVALUE("6:00"),20,18)/24/60),0,2-INT(G344*24*60/10)))</f>
        <v>1</v>
      </c>
      <c r="L344">
        <f t="shared" ref="L344" si="1022">L343+K344</f>
        <v>430</v>
      </c>
      <c r="M344">
        <f t="shared" ref="M344" si="1023">2+IF(A344&gt;=DATEVALUE("2025/11/30")+TIMEVALUE("6:00"),1,0)+IF(A344&gt;=DATEVALUE("2025/12/11")+TIMEVALUE("6:00"),1,0)</f>
        <v>4</v>
      </c>
      <c r="N344">
        <f t="shared" ref="N344" si="1024">N343+M344*(INT(A344-6/24)-INT(A343-6/24))+O344</f>
        <v>440</v>
      </c>
      <c r="O344">
        <f t="shared" ref="O344" si="1025">IF(A344&gt;=DATEVALUE("2025/11/8")+TIMEVALUE("6:00"),1,0)-IF(A343&gt;=DATEVALUE("2025/11/8")+TIMEVALUE("6:00"),1,0)
+IF(A344&gt;=DATEVALUE("2026/1/22")+TIMEVALUE("6:00"),3,0)-IF(A343&gt;=DATEVALUE("2026/1/22")+TIMEVALUE("6:00"),3,0)
+IF(A344&gt;=DATEVALUE("2026/2/21")+TIMEVALUE("6:00"),1,0)-IF(A343&gt;=DATEVALUE("2026/2/21")+TIMEVALUE("6:00"),1,0)</f>
        <v>0</v>
      </c>
      <c r="P344" t="str">
        <f t="shared" ref="P344" si="1026">IF(L344&lt;N344,"未達成（"&amp;N344-L344&amp;"）",IF(L344=N344,"達成","前倒し（"&amp;L344-N344&amp;"）"))</f>
        <v>未達成（10）</v>
      </c>
      <c r="Q344">
        <f t="shared" ref="Q344" si="1027">IF(B344="",NA(),G344)</f>
        <v>8.55324073927477E-3</v>
      </c>
    </row>
    <row r="345" spans="1:17">
      <c r="A345" s="3">
        <v>46088.329710648148</v>
      </c>
      <c r="B345">
        <v>60</v>
      </c>
      <c r="C345">
        <v>25</v>
      </c>
      <c r="D345">
        <v>0</v>
      </c>
      <c r="E345">
        <v>0</v>
      </c>
      <c r="F345">
        <v>0</v>
      </c>
      <c r="G345" s="5">
        <v>5.0347222204436548E-3</v>
      </c>
      <c r="H345" t="s">
        <v>744</v>
      </c>
      <c r="I345" t="s">
        <v>745</v>
      </c>
      <c r="J345">
        <v>0</v>
      </c>
      <c r="K345">
        <f t="shared" ref="K345" si="1028">IF(A345&lt;DATEVALUE("2025/11/20")+TIMEVALUE("6:00"),1,IF(OR(B345&lt;&gt;60,SUM(D345:F345)&lt;&gt;0,G345&gt;=IF(A345&lt;DATEVALUE("2025/12/28")+TIMEVALUE("6:00"),20,18)/24/60),0,2-INT(G345*24*60/10)))</f>
        <v>2</v>
      </c>
      <c r="L345">
        <f t="shared" ref="L345" si="1029">L344+K345</f>
        <v>432</v>
      </c>
      <c r="M345">
        <f t="shared" ref="M345" si="1030">2+IF(A345&gt;=DATEVALUE("2025/11/30")+TIMEVALUE("6:00"),1,0)+IF(A345&gt;=DATEVALUE("2025/12/11")+TIMEVALUE("6:00"),1,0)</f>
        <v>4</v>
      </c>
      <c r="N345">
        <f t="shared" ref="N345" si="1031">N344+M345*(INT(A345-6/24)-INT(A344-6/24))+O345</f>
        <v>440</v>
      </c>
      <c r="O345">
        <f t="shared" ref="O345" si="1032">IF(A345&gt;=DATEVALUE("2025/11/8")+TIMEVALUE("6:00"),1,0)-IF(A344&gt;=DATEVALUE("2025/11/8")+TIMEVALUE("6:00"),1,0)
+IF(A345&gt;=DATEVALUE("2026/1/22")+TIMEVALUE("6:00"),3,0)-IF(A344&gt;=DATEVALUE("2026/1/22")+TIMEVALUE("6:00"),3,0)
+IF(A345&gt;=DATEVALUE("2026/2/21")+TIMEVALUE("6:00"),1,0)-IF(A344&gt;=DATEVALUE("2026/2/21")+TIMEVALUE("6:00"),1,0)</f>
        <v>0</v>
      </c>
      <c r="P345" t="str">
        <f t="shared" ref="P345" si="1033">IF(L345&lt;N345,"未達成（"&amp;N345-L345&amp;"）",IF(L345=N345,"達成","前倒し（"&amp;L345-N345&amp;"）"))</f>
        <v>未達成（8）</v>
      </c>
      <c r="Q345">
        <f t="shared" ref="Q345" si="1034">IF(B345="",NA(),G345)</f>
        <v>5.0347222204436548E-3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46088.324675925927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2026-03-06T22:54:56Z</dcterms:modified>
</cp:coreProperties>
</file>
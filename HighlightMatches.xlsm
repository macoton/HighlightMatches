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271955CD-5484-4276-A490-D71E6B8EDDD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1" i="4" l="1"/>
  <c r="M171" i="4"/>
  <c r="N171" i="4" s="1"/>
  <c r="K171" i="4"/>
  <c r="L171" i="4" s="1"/>
  <c r="P171" i="4" s="1"/>
  <c r="O170" i="4"/>
  <c r="M170" i="4"/>
  <c r="N170" i="4" s="1"/>
  <c r="K170" i="4"/>
  <c r="L170" i="4" s="1"/>
  <c r="O169" i="4"/>
  <c r="M169" i="4"/>
  <c r="N169" i="4" s="1"/>
  <c r="K169" i="4"/>
  <c r="L169" i="4" s="1"/>
  <c r="O168" i="4"/>
  <c r="M168" i="4"/>
  <c r="N168" i="4" s="1"/>
  <c r="K168" i="4"/>
  <c r="L168" i="4" s="1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70" i="4" l="1"/>
  <c r="P169" i="4"/>
  <c r="P16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L143" i="4" s="1"/>
  <c r="P139" i="4"/>
  <c r="P143" i="4" l="1"/>
  <c r="L144" i="4"/>
  <c r="P142" i="4"/>
  <c r="P141" i="4"/>
  <c r="L145" i="4" l="1"/>
  <c r="P144" i="4"/>
  <c r="L146" i="4" l="1"/>
  <c r="P145" i="4"/>
  <c r="P146" i="4" l="1"/>
  <c r="L147" i="4"/>
  <c r="P147" i="4" l="1"/>
  <c r="L148" i="4"/>
  <c r="P148" i="4" l="1"/>
  <c r="L149" i="4"/>
  <c r="P149" i="4" l="1"/>
  <c r="L150" i="4"/>
  <c r="P150" i="4" l="1"/>
  <c r="L151" i="4"/>
  <c r="L152" i="4" l="1"/>
  <c r="P151" i="4"/>
  <c r="P152" i="4" l="1"/>
  <c r="L153" i="4"/>
  <c r="L154" i="4" l="1"/>
  <c r="P153" i="4"/>
  <c r="L155" i="4" l="1"/>
  <c r="P154" i="4"/>
  <c r="L156" i="4" l="1"/>
  <c r="P155" i="4"/>
  <c r="P156" i="4" l="1"/>
  <c r="L157" i="4"/>
  <c r="P157" i="4" l="1"/>
  <c r="L158" i="4"/>
  <c r="P158" i="4" l="1"/>
  <c r="L159" i="4"/>
  <c r="P159" i="4" l="1"/>
  <c r="L160" i="4"/>
  <c r="L161" i="4" s="1"/>
  <c r="P161" i="4" l="1"/>
  <c r="L162" i="4"/>
  <c r="P160" i="4"/>
  <c r="P162" i="4" l="1"/>
  <c r="L163" i="4"/>
  <c r="L164" i="4" l="1"/>
  <c r="L165" i="4" s="1"/>
  <c r="P163" i="4"/>
  <c r="P165" i="4" l="1"/>
  <c r="L166" i="4"/>
  <c r="P164" i="4"/>
  <c r="L167" i="4" l="1"/>
  <c r="P167" i="4" s="1"/>
  <c r="P166" i="4"/>
</calcChain>
</file>

<file path=xl/sharedStrings.xml><?xml version="1.0" encoding="utf-8"?>
<sst xmlns="http://schemas.openxmlformats.org/spreadsheetml/2006/main" count="418" uniqueCount="399">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</sst>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データ!$P$2:$P$170</c:f>
              <c:strCache>
                <c:ptCount val="169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  <c:pt idx="162">
                  <c:v>前倒し（1）</c:v>
                </c:pt>
                <c:pt idx="163">
                  <c:v>未達成（2）</c:v>
                </c:pt>
                <c:pt idx="164">
                  <c:v>未達成（1）</c:v>
                </c:pt>
                <c:pt idx="165">
                  <c:v>前倒し（1）</c:v>
                </c:pt>
                <c:pt idx="166">
                  <c:v>未達成（2）</c:v>
                </c:pt>
                <c:pt idx="167">
                  <c:v>達成</c:v>
                </c:pt>
                <c:pt idx="168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データ!$A$3:$A$171</c:f>
              <c:numCache>
                <c:formatCode>m/d/yyyy\ h:mm</c:formatCode>
                <c:ptCount val="16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</c:numCache>
            </c:numRef>
          </c:xVal>
          <c:yVal>
            <c:numRef>
              <c:f>データ!$B$3:$B$171</c:f>
              <c:numCache>
                <c:formatCode>General</c:formatCode>
                <c:ptCount val="169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6-436B-AF84-11334BEB48C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B16-436B-AF84-11334BEB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146944"/>
        <c:axId val="120214742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データ!$A$3:$A$171</c:f>
              <c:numCache>
                <c:formatCode>m/d/yyyy\ h:mm</c:formatCode>
                <c:ptCount val="169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</c:numCache>
            </c:numRef>
          </c:xVal>
          <c:yVal>
            <c:numRef>
              <c:f>データ!$G$3:$G$171</c:f>
              <c:numCache>
                <c:formatCode>[h]:mm</c:formatCode>
                <c:ptCount val="169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6-436B-AF84-11334BEB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990800"/>
        <c:axId val="1307994640"/>
      </c:scatterChart>
      <c:valAx>
        <c:axId val="12021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2147424"/>
        <c:crosses val="autoZero"/>
        <c:crossBetween val="midCat"/>
      </c:valAx>
      <c:valAx>
        <c:axId val="120214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02146944"/>
        <c:crosses val="autoZero"/>
        <c:crossBetween val="midCat"/>
      </c:valAx>
      <c:valAx>
        <c:axId val="130799464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7990800"/>
        <c:crosses val="max"/>
        <c:crossBetween val="midCat"/>
      </c:valAx>
      <c:valAx>
        <c:axId val="130799080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799464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7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030" name="Match0">
          <a:extLst>
            <a:ext uri="{FF2B5EF4-FFF2-40B4-BE49-F238E27FC236}">
              <a16:creationId xmlns:a16="http://schemas.microsoft.com/office/drawing/2014/main" id="{6DFC2C04-7E4C-6957-7E23-CB9E13A3DA94}"/>
            </a:ext>
          </a:extLst>
        </xdr:cNvPr>
        <xdr:cNvCxnSpPr/>
      </xdr:nvCxnSpPr>
      <xdr:spPr>
        <a:xfrm flipV="1">
          <a:off x="1059656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031" name="Match1">
          <a:extLst>
            <a:ext uri="{FF2B5EF4-FFF2-40B4-BE49-F238E27FC236}">
              <a16:creationId xmlns:a16="http://schemas.microsoft.com/office/drawing/2014/main" id="{E4285FC2-93D0-94A5-C85E-CEE38755CD84}"/>
            </a:ext>
          </a:extLst>
        </xdr:cNvPr>
        <xdr:cNvCxnSpPr/>
      </xdr:nvCxnSpPr>
      <xdr:spPr>
        <a:xfrm>
          <a:off x="1907381" y="160734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9</xdr:row>
      <xdr:rowOff>178593</xdr:rowOff>
    </xdr:to>
    <xdr:cxnSp macro="">
      <xdr:nvCxnSpPr>
        <xdr:cNvPr id="1032" name="Match2">
          <a:extLst>
            <a:ext uri="{FF2B5EF4-FFF2-40B4-BE49-F238E27FC236}">
              <a16:creationId xmlns:a16="http://schemas.microsoft.com/office/drawing/2014/main" id="{C5B256D2-E3AB-EAB0-C6E1-E2058EA52ADE}"/>
            </a:ext>
          </a:extLst>
        </xdr:cNvPr>
        <xdr:cNvCxnSpPr/>
      </xdr:nvCxnSpPr>
      <xdr:spPr>
        <a:xfrm>
          <a:off x="21193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9</xdr:row>
      <xdr:rowOff>178593</xdr:rowOff>
    </xdr:to>
    <xdr:cxnSp macro="">
      <xdr:nvCxnSpPr>
        <xdr:cNvPr id="1033" name="Match3">
          <a:extLst>
            <a:ext uri="{FF2B5EF4-FFF2-40B4-BE49-F238E27FC236}">
              <a16:creationId xmlns:a16="http://schemas.microsoft.com/office/drawing/2014/main" id="{8F20671C-7621-CD81-17BD-92DAB0828676}"/>
            </a:ext>
          </a:extLst>
        </xdr:cNvPr>
        <xdr:cNvCxnSpPr/>
      </xdr:nvCxnSpPr>
      <xdr:spPr>
        <a:xfrm flipV="1">
          <a:off x="21193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034" name="Match4">
          <a:extLst>
            <a:ext uri="{FF2B5EF4-FFF2-40B4-BE49-F238E27FC236}">
              <a16:creationId xmlns:a16="http://schemas.microsoft.com/office/drawing/2014/main" id="{3B42881B-7526-3DA7-9030-F7E968E55EA7}"/>
            </a:ext>
          </a:extLst>
        </xdr:cNvPr>
        <xdr:cNvCxnSpPr/>
      </xdr:nvCxnSpPr>
      <xdr:spPr>
        <a:xfrm>
          <a:off x="2331244" y="2321719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035" name="Match5">
          <a:extLst>
            <a:ext uri="{FF2B5EF4-FFF2-40B4-BE49-F238E27FC236}">
              <a16:creationId xmlns:a16="http://schemas.microsoft.com/office/drawing/2014/main" id="{B5550CC6-0BF2-FE75-47BB-BF0AA8044790}"/>
            </a:ext>
          </a:extLst>
        </xdr:cNvPr>
        <xdr:cNvCxnSpPr/>
      </xdr:nvCxnSpPr>
      <xdr:spPr>
        <a:xfrm flipV="1">
          <a:off x="1907381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036" name="Match6">
          <a:extLst>
            <a:ext uri="{FF2B5EF4-FFF2-40B4-BE49-F238E27FC236}">
              <a16:creationId xmlns:a16="http://schemas.microsoft.com/office/drawing/2014/main" id="{31D3E9CB-E866-2F2A-3812-A02604872B7E}"/>
            </a:ext>
          </a:extLst>
        </xdr:cNvPr>
        <xdr:cNvCxnSpPr/>
      </xdr:nvCxnSpPr>
      <xdr:spPr>
        <a:xfrm>
          <a:off x="1483519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037" name="Match7">
          <a:extLst>
            <a:ext uri="{FF2B5EF4-FFF2-40B4-BE49-F238E27FC236}">
              <a16:creationId xmlns:a16="http://schemas.microsoft.com/office/drawing/2014/main" id="{26C5F472-BAAC-E95A-6399-6D018573A75C}"/>
            </a:ext>
          </a:extLst>
        </xdr:cNvPr>
        <xdr:cNvCxnSpPr/>
      </xdr:nvCxnSpPr>
      <xdr:spPr>
        <a:xfrm flipV="1">
          <a:off x="190738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4</xdr:col>
      <xdr:colOff>211931</xdr:colOff>
      <xdr:row>9</xdr:row>
      <xdr:rowOff>178593</xdr:rowOff>
    </xdr:to>
    <xdr:cxnSp macro="">
      <xdr:nvCxnSpPr>
        <xdr:cNvPr id="1038" name="Match8">
          <a:extLst>
            <a:ext uri="{FF2B5EF4-FFF2-40B4-BE49-F238E27FC236}">
              <a16:creationId xmlns:a16="http://schemas.microsoft.com/office/drawing/2014/main" id="{7BD9296A-720E-3B8F-E641-11BB48836EDD}"/>
            </a:ext>
          </a:extLst>
        </xdr:cNvPr>
        <xdr:cNvCxnSpPr/>
      </xdr:nvCxnSpPr>
      <xdr:spPr>
        <a:xfrm>
          <a:off x="1059656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039" name="Match9">
          <a:extLst>
            <a:ext uri="{FF2B5EF4-FFF2-40B4-BE49-F238E27FC236}">
              <a16:creationId xmlns:a16="http://schemas.microsoft.com/office/drawing/2014/main" id="{5A6F6480-D6CE-54DB-7FC4-56DDF31DFA5C}"/>
            </a:ext>
          </a:extLst>
        </xdr:cNvPr>
        <xdr:cNvCxnSpPr/>
      </xdr:nvCxnSpPr>
      <xdr:spPr>
        <a:xfrm flipV="1"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040" name="Match10">
          <a:extLst>
            <a:ext uri="{FF2B5EF4-FFF2-40B4-BE49-F238E27FC236}">
              <a16:creationId xmlns:a16="http://schemas.microsoft.com/office/drawing/2014/main" id="{EDFB6B6A-D914-EDCD-EF65-342302C371ED}"/>
            </a:ext>
          </a:extLst>
        </xdr:cNvPr>
        <xdr:cNvCxnSpPr/>
      </xdr:nvCxnSpPr>
      <xdr:spPr>
        <a:xfrm flipH="1"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6</xdr:row>
      <xdr:rowOff>203994</xdr:rowOff>
    </xdr:to>
    <xdr:cxnSp macro="">
      <xdr:nvCxnSpPr>
        <xdr:cNvPr id="1041" name="Match11">
          <a:extLst>
            <a:ext uri="{FF2B5EF4-FFF2-40B4-BE49-F238E27FC236}">
              <a16:creationId xmlns:a16="http://schemas.microsoft.com/office/drawing/2014/main" id="{28A547DE-8551-C47C-F828-0030356F4C89}"/>
            </a:ext>
          </a:extLst>
        </xdr:cNvPr>
        <xdr:cNvCxnSpPr/>
      </xdr:nvCxnSpPr>
      <xdr:spPr>
        <a:xfrm>
          <a:off x="193278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1042" name="Match12">
          <a:extLst>
            <a:ext uri="{FF2B5EF4-FFF2-40B4-BE49-F238E27FC236}">
              <a16:creationId xmlns:a16="http://schemas.microsoft.com/office/drawing/2014/main" id="{4E34CE35-4E69-27D9-94BA-E30630CF11FC}"/>
            </a:ext>
          </a:extLst>
        </xdr:cNvPr>
        <xdr:cNvCxnSpPr/>
      </xdr:nvCxnSpPr>
      <xdr:spPr>
        <a:xfrm flipV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043" name="Match13">
          <a:extLst>
            <a:ext uri="{FF2B5EF4-FFF2-40B4-BE49-F238E27FC236}">
              <a16:creationId xmlns:a16="http://schemas.microsoft.com/office/drawing/2014/main" id="{E1081EF2-6BF1-6AF7-DDA1-ACAAAA56612F}"/>
            </a:ext>
          </a:extLst>
        </xdr:cNvPr>
        <xdr:cNvCxnSpPr/>
      </xdr:nvCxnSpPr>
      <xdr:spPr>
        <a:xfrm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3</xdr:col>
      <xdr:colOff>237331</xdr:colOff>
      <xdr:row>8</xdr:row>
      <xdr:rowOff>203994</xdr:rowOff>
    </xdr:to>
    <xdr:cxnSp macro="">
      <xdr:nvCxnSpPr>
        <xdr:cNvPr id="1044" name="Match14">
          <a:extLst>
            <a:ext uri="{FF2B5EF4-FFF2-40B4-BE49-F238E27FC236}">
              <a16:creationId xmlns:a16="http://schemas.microsoft.com/office/drawing/2014/main" id="{20080D72-EB52-8339-9669-2083798A646B}"/>
            </a:ext>
          </a:extLst>
        </xdr:cNvPr>
        <xdr:cNvCxnSpPr/>
      </xdr:nvCxnSpPr>
      <xdr:spPr>
        <a:xfrm>
          <a:off x="150891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7</xdr:row>
      <xdr:rowOff>229393</xdr:rowOff>
    </xdr:from>
    <xdr:to>
      <xdr:col>3</xdr:col>
      <xdr:colOff>262731</xdr:colOff>
      <xdr:row>7</xdr:row>
      <xdr:rowOff>229393</xdr:rowOff>
    </xdr:to>
    <xdr:cxnSp macro="">
      <xdr:nvCxnSpPr>
        <xdr:cNvPr id="1045" name="Match15">
          <a:extLst>
            <a:ext uri="{FF2B5EF4-FFF2-40B4-BE49-F238E27FC236}">
              <a16:creationId xmlns:a16="http://schemas.microsoft.com/office/drawing/2014/main" id="{A88DE793-0AA3-6069-AB94-BE908847E838}"/>
            </a:ext>
          </a:extLst>
        </xdr:cNvPr>
        <xdr:cNvCxnSpPr/>
      </xdr:nvCxnSpPr>
      <xdr:spPr>
        <a:xfrm flipH="1">
          <a:off x="1110456" y="2729706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046" name="Match16">
          <a:extLst>
            <a:ext uri="{FF2B5EF4-FFF2-40B4-BE49-F238E27FC236}">
              <a16:creationId xmlns:a16="http://schemas.microsoft.com/office/drawing/2014/main" id="{223806B0-C114-86A1-7B11-52FA6B53A187}"/>
            </a:ext>
          </a:extLst>
        </xdr:cNvPr>
        <xdr:cNvCxnSpPr/>
      </xdr:nvCxnSpPr>
      <xdr:spPr>
        <a:xfrm flipV="1">
          <a:off x="10850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47" name="Match17">
          <a:extLst>
            <a:ext uri="{FF2B5EF4-FFF2-40B4-BE49-F238E27FC236}">
              <a16:creationId xmlns:a16="http://schemas.microsoft.com/office/drawing/2014/main" id="{73088EAB-5EB3-0647-A342-C476352DAC4F}"/>
            </a:ext>
          </a:extLst>
        </xdr:cNvPr>
        <xdr:cNvCxnSpPr/>
      </xdr:nvCxnSpPr>
      <xdr:spPr>
        <a:xfrm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48" name="Match18">
          <a:extLst>
            <a:ext uri="{FF2B5EF4-FFF2-40B4-BE49-F238E27FC236}">
              <a16:creationId xmlns:a16="http://schemas.microsoft.com/office/drawing/2014/main" id="{03581FBE-6699-A977-4667-BEE5E0224152}"/>
            </a:ext>
          </a:extLst>
        </xdr:cNvPr>
        <xdr:cNvCxnSpPr/>
      </xdr:nvCxnSpPr>
      <xdr:spPr>
        <a:xfrm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10</xdr:row>
      <xdr:rowOff>203994</xdr:rowOff>
    </xdr:from>
    <xdr:to>
      <xdr:col>7</xdr:col>
      <xdr:colOff>237331</xdr:colOff>
      <xdr:row>11</xdr:row>
      <xdr:rowOff>203993</xdr:rowOff>
    </xdr:to>
    <xdr:cxnSp macro="">
      <xdr:nvCxnSpPr>
        <xdr:cNvPr id="1049" name="Match19">
          <a:extLst>
            <a:ext uri="{FF2B5EF4-FFF2-40B4-BE49-F238E27FC236}">
              <a16:creationId xmlns:a16="http://schemas.microsoft.com/office/drawing/2014/main" id="{92A2D395-1F2A-DFA2-EA07-B116D44A980F}"/>
            </a:ext>
          </a:extLst>
        </xdr:cNvPr>
        <xdr:cNvCxnSpPr/>
      </xdr:nvCxnSpPr>
      <xdr:spPr>
        <a:xfrm>
          <a:off x="3204369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10</xdr:row>
      <xdr:rowOff>229394</xdr:rowOff>
    </xdr:from>
    <xdr:to>
      <xdr:col>7</xdr:col>
      <xdr:colOff>262731</xdr:colOff>
      <xdr:row>11</xdr:row>
      <xdr:rowOff>229393</xdr:rowOff>
    </xdr:to>
    <xdr:cxnSp macro="">
      <xdr:nvCxnSpPr>
        <xdr:cNvPr id="1055" name="Match20">
          <a:extLst>
            <a:ext uri="{FF2B5EF4-FFF2-40B4-BE49-F238E27FC236}">
              <a16:creationId xmlns:a16="http://schemas.microsoft.com/office/drawing/2014/main" id="{B17A9FEC-C26E-6DFD-D89C-C1F20C31AFC2}"/>
            </a:ext>
          </a:extLst>
        </xdr:cNvPr>
        <xdr:cNvCxnSpPr/>
      </xdr:nvCxnSpPr>
      <xdr:spPr>
        <a:xfrm flipH="1">
          <a:off x="2805906" y="38012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9</xdr:row>
      <xdr:rowOff>254793</xdr:rowOff>
    </xdr:from>
    <xdr:to>
      <xdr:col>8</xdr:col>
      <xdr:colOff>288131</xdr:colOff>
      <xdr:row>10</xdr:row>
      <xdr:rowOff>254794</xdr:rowOff>
    </xdr:to>
    <xdr:cxnSp macro="">
      <xdr:nvCxnSpPr>
        <xdr:cNvPr id="1056" name="Match21">
          <a:extLst>
            <a:ext uri="{FF2B5EF4-FFF2-40B4-BE49-F238E27FC236}">
              <a16:creationId xmlns:a16="http://schemas.microsoft.com/office/drawing/2014/main" id="{D1AF8C63-74B1-4523-6642-233F3928F73C}"/>
            </a:ext>
          </a:extLst>
        </xdr:cNvPr>
        <xdr:cNvCxnSpPr/>
      </xdr:nvCxnSpPr>
      <xdr:spPr>
        <a:xfrm flipV="1">
          <a:off x="3255169" y="3469481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057" name="Match22">
          <a:extLst>
            <a:ext uri="{FF2B5EF4-FFF2-40B4-BE49-F238E27FC236}">
              <a16:creationId xmlns:a16="http://schemas.microsoft.com/office/drawing/2014/main" id="{728D5DA8-C66A-76DE-753C-EEC3E37079F9}"/>
            </a:ext>
          </a:extLst>
        </xdr:cNvPr>
        <xdr:cNvCxnSpPr/>
      </xdr:nvCxnSpPr>
      <xdr:spPr>
        <a:xfrm>
          <a:off x="635794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061" name="Match23">
          <a:extLst>
            <a:ext uri="{FF2B5EF4-FFF2-40B4-BE49-F238E27FC236}">
              <a16:creationId xmlns:a16="http://schemas.microsoft.com/office/drawing/2014/main" id="{B28DA604-ECA1-2D13-6B5A-2A9EC3E49DCA}"/>
            </a:ext>
          </a:extLst>
        </xdr:cNvPr>
        <xdr:cNvCxnSpPr/>
      </xdr:nvCxnSpPr>
      <xdr:spPr>
        <a:xfrm flipH="1">
          <a:off x="2755106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64" name="Match24">
          <a:extLst>
            <a:ext uri="{FF2B5EF4-FFF2-40B4-BE49-F238E27FC236}">
              <a16:creationId xmlns:a16="http://schemas.microsoft.com/office/drawing/2014/main" id="{5822E28A-EAB6-3C95-B290-2E7F42683D46}"/>
            </a:ext>
          </a:extLst>
        </xdr:cNvPr>
        <xdr:cNvCxnSpPr/>
      </xdr:nvCxnSpPr>
      <xdr:spPr>
        <a:xfrm flipH="1" flipV="1"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065" name="Match25">
          <a:extLst>
            <a:ext uri="{FF2B5EF4-FFF2-40B4-BE49-F238E27FC236}">
              <a16:creationId xmlns:a16="http://schemas.microsoft.com/office/drawing/2014/main" id="{8D5C64B7-DAA3-BB21-6DDA-7FCE045599A6}"/>
            </a:ext>
          </a:extLst>
        </xdr:cNvPr>
        <xdr:cNvCxnSpPr/>
      </xdr:nvCxnSpPr>
      <xdr:spPr>
        <a:xfrm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5</xdr:col>
      <xdr:colOff>237331</xdr:colOff>
      <xdr:row>1</xdr:row>
      <xdr:rowOff>203993</xdr:rowOff>
    </xdr:to>
    <xdr:cxnSp macro="">
      <xdr:nvCxnSpPr>
        <xdr:cNvPr id="1066" name="Match26">
          <a:extLst>
            <a:ext uri="{FF2B5EF4-FFF2-40B4-BE49-F238E27FC236}">
              <a16:creationId xmlns:a16="http://schemas.microsoft.com/office/drawing/2014/main" id="{24D3538E-6C70-1686-5EB9-20F9BA9647B3}"/>
            </a:ext>
          </a:extLst>
        </xdr:cNvPr>
        <xdr:cNvCxnSpPr/>
      </xdr:nvCxnSpPr>
      <xdr:spPr>
        <a:xfrm flipH="1">
          <a:off x="1932781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067" name="Match27">
          <a:extLst>
            <a:ext uri="{FF2B5EF4-FFF2-40B4-BE49-F238E27FC236}">
              <a16:creationId xmlns:a16="http://schemas.microsoft.com/office/drawing/2014/main" id="{AE1C5504-9717-6013-AB1F-EC63C8EB9145}"/>
            </a:ext>
          </a:extLst>
        </xdr:cNvPr>
        <xdr:cNvCxnSpPr/>
      </xdr:nvCxnSpPr>
      <xdr:spPr>
        <a:xfrm flipV="1">
          <a:off x="190738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068" name="Match28">
          <a:extLst>
            <a:ext uri="{FF2B5EF4-FFF2-40B4-BE49-F238E27FC236}">
              <a16:creationId xmlns:a16="http://schemas.microsoft.com/office/drawing/2014/main" id="{81154B87-7815-9B3E-4D45-2F1061C280FA}"/>
            </a:ext>
          </a:extLst>
        </xdr:cNvPr>
        <xdr:cNvCxnSpPr/>
      </xdr:nvCxnSpPr>
      <xdr:spPr>
        <a:xfrm flipV="1"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069" name="Match29">
          <a:extLst>
            <a:ext uri="{FF2B5EF4-FFF2-40B4-BE49-F238E27FC236}">
              <a16:creationId xmlns:a16="http://schemas.microsoft.com/office/drawing/2014/main" id="{8FC913CF-B0D1-54D3-FD8C-A9BB320C67C3}"/>
            </a:ext>
          </a:extLst>
        </xdr:cNvPr>
        <xdr:cNvCxnSpPr/>
      </xdr:nvCxnSpPr>
      <xdr:spPr>
        <a:xfrm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070" name="Match30">
          <a:extLst>
            <a:ext uri="{FF2B5EF4-FFF2-40B4-BE49-F238E27FC236}">
              <a16:creationId xmlns:a16="http://schemas.microsoft.com/office/drawing/2014/main" id="{33507347-BE49-1F55-4CBD-F92E8E53C486}"/>
            </a:ext>
          </a:extLst>
        </xdr:cNvPr>
        <xdr:cNvCxnSpPr/>
      </xdr:nvCxnSpPr>
      <xdr:spPr>
        <a:xfrm flipH="1"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071" name="Match31">
          <a:extLst>
            <a:ext uri="{FF2B5EF4-FFF2-40B4-BE49-F238E27FC236}">
              <a16:creationId xmlns:a16="http://schemas.microsoft.com/office/drawing/2014/main" id="{BF21727C-953D-10F3-D089-ACE59F67CB92}"/>
            </a:ext>
          </a:extLst>
        </xdr:cNvPr>
        <xdr:cNvCxnSpPr/>
      </xdr:nvCxnSpPr>
      <xdr:spPr>
        <a:xfrm>
          <a:off x="40266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9</xdr:col>
      <xdr:colOff>237331</xdr:colOff>
      <xdr:row>4</xdr:row>
      <xdr:rowOff>203994</xdr:rowOff>
    </xdr:to>
    <xdr:cxnSp macro="">
      <xdr:nvCxnSpPr>
        <xdr:cNvPr id="1072" name="Match32">
          <a:extLst>
            <a:ext uri="{FF2B5EF4-FFF2-40B4-BE49-F238E27FC236}">
              <a16:creationId xmlns:a16="http://schemas.microsoft.com/office/drawing/2014/main" id="{6D52F7FC-3020-2F4D-5C99-F438561191D5}"/>
            </a:ext>
          </a:extLst>
        </xdr:cNvPr>
        <xdr:cNvCxnSpPr/>
      </xdr:nvCxnSpPr>
      <xdr:spPr>
        <a:xfrm flipV="1">
          <a:off x="40520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1073" name="Match33">
          <a:extLst>
            <a:ext uri="{FF2B5EF4-FFF2-40B4-BE49-F238E27FC236}">
              <a16:creationId xmlns:a16="http://schemas.microsoft.com/office/drawing/2014/main" id="{A5EDC575-4EB4-908D-54D4-8DD4813193FF}"/>
            </a:ext>
          </a:extLst>
        </xdr:cNvPr>
        <xdr:cNvCxnSpPr/>
      </xdr:nvCxnSpPr>
      <xdr:spPr>
        <a:xfrm flipH="1"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1074" name="Match34">
          <a:extLst>
            <a:ext uri="{FF2B5EF4-FFF2-40B4-BE49-F238E27FC236}">
              <a16:creationId xmlns:a16="http://schemas.microsoft.com/office/drawing/2014/main" id="{51715A6C-F226-B9C6-63E9-459574105944}"/>
            </a:ext>
          </a:extLst>
        </xdr:cNvPr>
        <xdr:cNvCxnSpPr/>
      </xdr:nvCxnSpPr>
      <xdr:spPr>
        <a:xfrm flipH="1" flipV="1">
          <a:off x="23733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4</xdr:row>
      <xdr:rowOff>229394</xdr:rowOff>
    </xdr:from>
    <xdr:to>
      <xdr:col>1</xdr:col>
      <xdr:colOff>262731</xdr:colOff>
      <xdr:row>5</xdr:row>
      <xdr:rowOff>229393</xdr:rowOff>
    </xdr:to>
    <xdr:cxnSp macro="">
      <xdr:nvCxnSpPr>
        <xdr:cNvPr id="1075" name="Match35">
          <a:extLst>
            <a:ext uri="{FF2B5EF4-FFF2-40B4-BE49-F238E27FC236}">
              <a16:creationId xmlns:a16="http://schemas.microsoft.com/office/drawing/2014/main" id="{5BAB1131-C6A3-4282-D5CA-9A723FD24064}"/>
            </a:ext>
          </a:extLst>
        </xdr:cNvPr>
        <xdr:cNvCxnSpPr/>
      </xdr:nvCxnSpPr>
      <xdr:spPr>
        <a:xfrm flipV="1">
          <a:off x="68659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4</xdr:row>
      <xdr:rowOff>254794</xdr:rowOff>
    </xdr:from>
    <xdr:to>
      <xdr:col>2</xdr:col>
      <xdr:colOff>288131</xdr:colOff>
      <xdr:row>5</xdr:row>
      <xdr:rowOff>254793</xdr:rowOff>
    </xdr:to>
    <xdr:cxnSp macro="">
      <xdr:nvCxnSpPr>
        <xdr:cNvPr id="1076" name="Match36">
          <a:extLst>
            <a:ext uri="{FF2B5EF4-FFF2-40B4-BE49-F238E27FC236}">
              <a16:creationId xmlns:a16="http://schemas.microsoft.com/office/drawing/2014/main" id="{F7F82260-F1FD-51BA-8C3C-A0EC2EB150C3}"/>
            </a:ext>
          </a:extLst>
        </xdr:cNvPr>
        <xdr:cNvCxnSpPr/>
      </xdr:nvCxnSpPr>
      <xdr:spPr>
        <a:xfrm flipV="1">
          <a:off x="711994" y="168354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9</xdr:col>
      <xdr:colOff>237331</xdr:colOff>
      <xdr:row>6</xdr:row>
      <xdr:rowOff>203994</xdr:rowOff>
    </xdr:to>
    <xdr:cxnSp macro="">
      <xdr:nvCxnSpPr>
        <xdr:cNvPr id="1077" name="Match37">
          <a:extLst>
            <a:ext uri="{FF2B5EF4-FFF2-40B4-BE49-F238E27FC236}">
              <a16:creationId xmlns:a16="http://schemas.microsoft.com/office/drawing/2014/main" id="{B61565FE-AA43-5746-F76F-5258E589D8EA}"/>
            </a:ext>
          </a:extLst>
        </xdr:cNvPr>
        <xdr:cNvCxnSpPr/>
      </xdr:nvCxnSpPr>
      <xdr:spPr>
        <a:xfrm flipV="1">
          <a:off x="36282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1078" name="Match38">
          <a:extLst>
            <a:ext uri="{FF2B5EF4-FFF2-40B4-BE49-F238E27FC236}">
              <a16:creationId xmlns:a16="http://schemas.microsoft.com/office/drawing/2014/main" id="{306DDF0A-0D37-27D6-8555-0F26789E3261}"/>
            </a:ext>
          </a:extLst>
        </xdr:cNvPr>
        <xdr:cNvCxnSpPr/>
      </xdr:nvCxnSpPr>
      <xdr:spPr>
        <a:xfrm flipH="1">
          <a:off x="445055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11</xdr:col>
      <xdr:colOff>237331</xdr:colOff>
      <xdr:row>9</xdr:row>
      <xdr:rowOff>203993</xdr:rowOff>
    </xdr:to>
    <xdr:cxnSp macro="">
      <xdr:nvCxnSpPr>
        <xdr:cNvPr id="1079" name="Match39">
          <a:extLst>
            <a:ext uri="{FF2B5EF4-FFF2-40B4-BE49-F238E27FC236}">
              <a16:creationId xmlns:a16="http://schemas.microsoft.com/office/drawing/2014/main" id="{01F4EC7B-274F-49FD-9998-B541E3D46B3D}"/>
            </a:ext>
          </a:extLst>
        </xdr:cNvPr>
        <xdr:cNvCxnSpPr/>
      </xdr:nvCxnSpPr>
      <xdr:spPr>
        <a:xfrm flipH="1" flipV="1">
          <a:off x="44759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080" name="Match40">
          <a:extLst>
            <a:ext uri="{FF2B5EF4-FFF2-40B4-BE49-F238E27FC236}">
              <a16:creationId xmlns:a16="http://schemas.microsoft.com/office/drawing/2014/main" id="{C5C69209-6E63-87EF-CDD2-C9789A1C09AA}"/>
            </a:ext>
          </a:extLst>
        </xdr:cNvPr>
        <xdr:cNvCxnSpPr/>
      </xdr:nvCxnSpPr>
      <xdr:spPr>
        <a:xfrm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81" name="Match41">
          <a:extLst>
            <a:ext uri="{FF2B5EF4-FFF2-40B4-BE49-F238E27FC236}">
              <a16:creationId xmlns:a16="http://schemas.microsoft.com/office/drawing/2014/main" id="{FF94754A-3B7C-F2BC-D8D3-AB3DBDEBF855}"/>
            </a:ext>
          </a:extLst>
        </xdr:cNvPr>
        <xdr:cNvCxnSpPr/>
      </xdr:nvCxnSpPr>
      <xdr:spPr>
        <a:xfrm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082" name="Match42">
          <a:extLst>
            <a:ext uri="{FF2B5EF4-FFF2-40B4-BE49-F238E27FC236}">
              <a16:creationId xmlns:a16="http://schemas.microsoft.com/office/drawing/2014/main" id="{3953E98C-A389-231A-9D59-84E749C8BC90}"/>
            </a:ext>
          </a:extLst>
        </xdr:cNvPr>
        <xdr:cNvCxnSpPr/>
      </xdr:nvCxnSpPr>
      <xdr:spPr>
        <a:xfrm flipH="1" flipV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1</xdr:row>
      <xdr:rowOff>203993</xdr:rowOff>
    </xdr:to>
    <xdr:cxnSp macro="">
      <xdr:nvCxnSpPr>
        <xdr:cNvPr id="1083" name="Match43">
          <a:extLst>
            <a:ext uri="{FF2B5EF4-FFF2-40B4-BE49-F238E27FC236}">
              <a16:creationId xmlns:a16="http://schemas.microsoft.com/office/drawing/2014/main" id="{A001F941-CF47-9E6E-27D7-70F69532AA3A}"/>
            </a:ext>
          </a:extLst>
        </xdr:cNvPr>
        <xdr:cNvCxnSpPr/>
      </xdr:nvCxnSpPr>
      <xdr:spPr>
        <a:xfrm>
          <a:off x="3204369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1</xdr:row>
      <xdr:rowOff>203993</xdr:rowOff>
    </xdr:to>
    <xdr:cxnSp macro="">
      <xdr:nvCxnSpPr>
        <xdr:cNvPr id="1084" name="Match44">
          <a:extLst>
            <a:ext uri="{FF2B5EF4-FFF2-40B4-BE49-F238E27FC236}">
              <a16:creationId xmlns:a16="http://schemas.microsoft.com/office/drawing/2014/main" id="{1D03592D-0100-2A5B-3C97-9EC1513A5BBB}"/>
            </a:ext>
          </a:extLst>
        </xdr:cNvPr>
        <xdr:cNvCxnSpPr/>
      </xdr:nvCxnSpPr>
      <xdr:spPr>
        <a:xfrm flipH="1">
          <a:off x="3204369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85" name="Match45">
          <a:extLst>
            <a:ext uri="{FF2B5EF4-FFF2-40B4-BE49-F238E27FC236}">
              <a16:creationId xmlns:a16="http://schemas.microsoft.com/office/drawing/2014/main" id="{AE0D0AAB-75BE-05D3-7148-1FDDF1297603}"/>
            </a:ext>
          </a:extLst>
        </xdr:cNvPr>
        <xdr:cNvCxnSpPr/>
      </xdr:nvCxnSpPr>
      <xdr:spPr>
        <a:xfrm flipH="1" flipV="1"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6</xdr:row>
      <xdr:rowOff>229394</xdr:rowOff>
    </xdr:from>
    <xdr:to>
      <xdr:col>4</xdr:col>
      <xdr:colOff>262731</xdr:colOff>
      <xdr:row>7</xdr:row>
      <xdr:rowOff>229393</xdr:rowOff>
    </xdr:to>
    <xdr:cxnSp macro="">
      <xdr:nvCxnSpPr>
        <xdr:cNvPr id="1086" name="Match46">
          <a:extLst>
            <a:ext uri="{FF2B5EF4-FFF2-40B4-BE49-F238E27FC236}">
              <a16:creationId xmlns:a16="http://schemas.microsoft.com/office/drawing/2014/main" id="{10F6E10C-FA46-E979-AAE3-94DB4467CC57}"/>
            </a:ext>
          </a:extLst>
        </xdr:cNvPr>
        <xdr:cNvCxnSpPr/>
      </xdr:nvCxnSpPr>
      <xdr:spPr>
        <a:xfrm flipH="1">
          <a:off x="1534319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288131</xdr:colOff>
      <xdr:row>6</xdr:row>
      <xdr:rowOff>254794</xdr:rowOff>
    </xdr:from>
    <xdr:to>
      <xdr:col>4</xdr:col>
      <xdr:colOff>288131</xdr:colOff>
      <xdr:row>7</xdr:row>
      <xdr:rowOff>254793</xdr:rowOff>
    </xdr:to>
    <xdr:cxnSp macro="">
      <xdr:nvCxnSpPr>
        <xdr:cNvPr id="1087" name="Match47">
          <a:extLst>
            <a:ext uri="{FF2B5EF4-FFF2-40B4-BE49-F238E27FC236}">
              <a16:creationId xmlns:a16="http://schemas.microsoft.com/office/drawing/2014/main" id="{7CF6C034-9886-9228-7326-A698E886ACAD}"/>
            </a:ext>
          </a:extLst>
        </xdr:cNvPr>
        <xdr:cNvCxnSpPr/>
      </xdr:nvCxnSpPr>
      <xdr:spPr>
        <a:xfrm flipV="1">
          <a:off x="1559719" y="239791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088" name="Match48">
          <a:extLst>
            <a:ext uri="{FF2B5EF4-FFF2-40B4-BE49-F238E27FC236}">
              <a16:creationId xmlns:a16="http://schemas.microsoft.com/office/drawing/2014/main" id="{E3540470-2F68-9155-A26D-44D8610DCDDA}"/>
            </a:ext>
          </a:extLst>
        </xdr:cNvPr>
        <xdr:cNvCxnSpPr/>
      </xdr:nvCxnSpPr>
      <xdr:spPr>
        <a:xfrm flipH="1">
          <a:off x="1483519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089" name="Match49">
          <a:extLst>
            <a:ext uri="{FF2B5EF4-FFF2-40B4-BE49-F238E27FC236}">
              <a16:creationId xmlns:a16="http://schemas.microsoft.com/office/drawing/2014/main" id="{12F2C804-97DF-92A4-D83A-73153B6ADFAF}"/>
            </a:ext>
          </a:extLst>
        </xdr:cNvPr>
        <xdr:cNvCxnSpPr/>
      </xdr:nvCxnSpPr>
      <xdr:spPr>
        <a:xfrm>
          <a:off x="1483519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090" name="Match50">
          <a:extLst>
            <a:ext uri="{FF2B5EF4-FFF2-40B4-BE49-F238E27FC236}">
              <a16:creationId xmlns:a16="http://schemas.microsoft.com/office/drawing/2014/main" id="{1BCFB93B-B388-3B7C-199A-A247527A72AF}"/>
            </a:ext>
          </a:extLst>
        </xdr:cNvPr>
        <xdr:cNvCxnSpPr/>
      </xdr:nvCxnSpPr>
      <xdr:spPr>
        <a:xfrm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091" name="Match51">
          <a:extLst>
            <a:ext uri="{FF2B5EF4-FFF2-40B4-BE49-F238E27FC236}">
              <a16:creationId xmlns:a16="http://schemas.microsoft.com/office/drawing/2014/main" id="{35A731AC-6A6D-88DB-9582-325F06D33AE0}"/>
            </a:ext>
          </a:extLst>
        </xdr:cNvPr>
        <xdr:cNvCxnSpPr/>
      </xdr:nvCxnSpPr>
      <xdr:spPr>
        <a:xfrm flipV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092" name="Match52">
          <a:extLst>
            <a:ext uri="{FF2B5EF4-FFF2-40B4-BE49-F238E27FC236}">
              <a16:creationId xmlns:a16="http://schemas.microsoft.com/office/drawing/2014/main" id="{F5EB7CFA-611F-0DFD-28F8-AFBAAE047C0E}"/>
            </a:ext>
          </a:extLst>
        </xdr:cNvPr>
        <xdr:cNvCxnSpPr/>
      </xdr:nvCxnSpPr>
      <xdr:spPr>
        <a:xfrm flipH="1" flipV="1"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093" name="Match53">
          <a:extLst>
            <a:ext uri="{FF2B5EF4-FFF2-40B4-BE49-F238E27FC236}">
              <a16:creationId xmlns:a16="http://schemas.microsoft.com/office/drawing/2014/main" id="{C6A8071B-E6F1-3807-4734-A4C74FE0CA64}"/>
            </a:ext>
          </a:extLst>
        </xdr:cNvPr>
        <xdr:cNvCxnSpPr/>
      </xdr:nvCxnSpPr>
      <xdr:spPr>
        <a:xfrm flipH="1"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094" name="Match54">
          <a:extLst>
            <a:ext uri="{FF2B5EF4-FFF2-40B4-BE49-F238E27FC236}">
              <a16:creationId xmlns:a16="http://schemas.microsoft.com/office/drawing/2014/main" id="{85564EC3-5E02-FBAB-8F05-58A792C5A42E}"/>
            </a:ext>
          </a:extLst>
        </xdr:cNvPr>
        <xdr:cNvCxnSpPr/>
      </xdr:nvCxnSpPr>
      <xdr:spPr>
        <a:xfrm flipV="1">
          <a:off x="36282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95" name="Match55">
          <a:extLst>
            <a:ext uri="{FF2B5EF4-FFF2-40B4-BE49-F238E27FC236}">
              <a16:creationId xmlns:a16="http://schemas.microsoft.com/office/drawing/2014/main" id="{EA3F7F11-DBC6-80B8-2BD6-A9994D93F552}"/>
            </a:ext>
          </a:extLst>
        </xdr:cNvPr>
        <xdr:cNvCxnSpPr/>
      </xdr:nvCxnSpPr>
      <xdr:spPr>
        <a:xfrm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096" name="Match56">
          <a:extLst>
            <a:ext uri="{FF2B5EF4-FFF2-40B4-BE49-F238E27FC236}">
              <a16:creationId xmlns:a16="http://schemas.microsoft.com/office/drawing/2014/main" id="{3251E1BD-AD1B-37DA-81B8-7766700B54F8}"/>
            </a:ext>
          </a:extLst>
        </xdr:cNvPr>
        <xdr:cNvCxnSpPr/>
      </xdr:nvCxnSpPr>
      <xdr:spPr>
        <a:xfrm flipV="1">
          <a:off x="1483519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097" name="Match57">
          <a:extLst>
            <a:ext uri="{FF2B5EF4-FFF2-40B4-BE49-F238E27FC236}">
              <a16:creationId xmlns:a16="http://schemas.microsoft.com/office/drawing/2014/main" id="{2F3DC0B0-C899-02F0-BCF3-18FBBE444D8C}"/>
            </a:ext>
          </a:extLst>
        </xdr:cNvPr>
        <xdr:cNvCxnSpPr/>
      </xdr:nvCxnSpPr>
      <xdr:spPr>
        <a:xfrm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098" name="Match58">
          <a:extLst>
            <a:ext uri="{FF2B5EF4-FFF2-40B4-BE49-F238E27FC236}">
              <a16:creationId xmlns:a16="http://schemas.microsoft.com/office/drawing/2014/main" id="{A86F47B0-3108-A3F7-8546-019A844FAAB2}"/>
            </a:ext>
          </a:extLst>
        </xdr:cNvPr>
        <xdr:cNvCxnSpPr/>
      </xdr:nvCxnSpPr>
      <xdr:spPr>
        <a:xfrm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099" name="Match59">
          <a:extLst>
            <a:ext uri="{FF2B5EF4-FFF2-40B4-BE49-F238E27FC236}">
              <a16:creationId xmlns:a16="http://schemas.microsoft.com/office/drawing/2014/main" id="{9F88B755-1EA3-65FF-24AF-37565717009C}"/>
            </a:ext>
          </a:extLst>
        </xdr:cNvPr>
        <xdr:cNvCxnSpPr/>
      </xdr:nvCxnSpPr>
      <xdr:spPr>
        <a:xfrm>
          <a:off x="40266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100" name="Match60">
          <a:extLst>
            <a:ext uri="{FF2B5EF4-FFF2-40B4-BE49-F238E27FC236}">
              <a16:creationId xmlns:a16="http://schemas.microsoft.com/office/drawing/2014/main" id="{98601621-9486-79FC-097F-20BFDE4ADF54}"/>
            </a:ext>
          </a:extLst>
        </xdr:cNvPr>
        <xdr:cNvCxnSpPr/>
      </xdr:nvCxnSpPr>
      <xdr:spPr>
        <a:xfrm flipH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101" name="Match61">
          <a:extLst>
            <a:ext uri="{FF2B5EF4-FFF2-40B4-BE49-F238E27FC236}">
              <a16:creationId xmlns:a16="http://schemas.microsoft.com/office/drawing/2014/main" id="{C6624C99-174E-C07D-AC2C-5FD972A95D9A}"/>
            </a:ext>
          </a:extLst>
        </xdr:cNvPr>
        <xdr:cNvCxnSpPr/>
      </xdr:nvCxnSpPr>
      <xdr:spPr>
        <a:xfrm flipV="1">
          <a:off x="235664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1102" name="Match62">
          <a:extLst>
            <a:ext uri="{FF2B5EF4-FFF2-40B4-BE49-F238E27FC236}">
              <a16:creationId xmlns:a16="http://schemas.microsoft.com/office/drawing/2014/main" id="{87DA34F8-CF63-8C7B-910B-BF2C20986F38}"/>
            </a:ext>
          </a:extLst>
        </xdr:cNvPr>
        <xdr:cNvCxnSpPr/>
      </xdr:nvCxnSpPr>
      <xdr:spPr>
        <a:xfrm>
          <a:off x="40266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1103" name="Match63">
          <a:extLst>
            <a:ext uri="{FF2B5EF4-FFF2-40B4-BE49-F238E27FC236}">
              <a16:creationId xmlns:a16="http://schemas.microsoft.com/office/drawing/2014/main" id="{42B77E2C-5EDF-E8AA-3CEF-F28894B991BE}"/>
            </a:ext>
          </a:extLst>
        </xdr:cNvPr>
        <xdr:cNvCxnSpPr/>
      </xdr:nvCxnSpPr>
      <xdr:spPr>
        <a:xfrm flipH="1"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104" name="Match64">
          <a:extLst>
            <a:ext uri="{FF2B5EF4-FFF2-40B4-BE49-F238E27FC236}">
              <a16:creationId xmlns:a16="http://schemas.microsoft.com/office/drawing/2014/main" id="{60D23C2F-C20C-CAE4-A9A2-DDBBA9D66902}"/>
            </a:ext>
          </a:extLst>
        </xdr:cNvPr>
        <xdr:cNvCxnSpPr/>
      </xdr:nvCxnSpPr>
      <xdr:spPr>
        <a:xfrm flipV="1">
          <a:off x="190738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105" name="Match65">
          <a:extLst>
            <a:ext uri="{FF2B5EF4-FFF2-40B4-BE49-F238E27FC236}">
              <a16:creationId xmlns:a16="http://schemas.microsoft.com/office/drawing/2014/main" id="{067D730A-B51C-7D50-2E5A-7B3D1406765A}"/>
            </a:ext>
          </a:extLst>
        </xdr:cNvPr>
        <xdr:cNvCxnSpPr/>
      </xdr:nvCxnSpPr>
      <xdr:spPr>
        <a:xfrm flipH="1"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106" name="Match66">
          <a:extLst>
            <a:ext uri="{FF2B5EF4-FFF2-40B4-BE49-F238E27FC236}">
              <a16:creationId xmlns:a16="http://schemas.microsoft.com/office/drawing/2014/main" id="{B62CDB49-157D-0F6F-9A80-ECEA22065BD4}"/>
            </a:ext>
          </a:extLst>
        </xdr:cNvPr>
        <xdr:cNvCxnSpPr/>
      </xdr:nvCxnSpPr>
      <xdr:spPr>
        <a:xfrm flipV="1">
          <a:off x="40266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107" name="Match67">
          <a:extLst>
            <a:ext uri="{FF2B5EF4-FFF2-40B4-BE49-F238E27FC236}">
              <a16:creationId xmlns:a16="http://schemas.microsoft.com/office/drawing/2014/main" id="{1A6AE4D0-6358-D280-4EF1-0DC9FD3F173B}"/>
            </a:ext>
          </a:extLst>
        </xdr:cNvPr>
        <xdr:cNvCxnSpPr/>
      </xdr:nvCxnSpPr>
      <xdr:spPr>
        <a:xfrm flipV="1">
          <a:off x="4874419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30EE2DD7-47D7-2178-95BC-B94622FB1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3" sqref="L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2">
        <v>5</v>
      </c>
      <c r="C1" s="22">
        <v>8</v>
      </c>
      <c r="D1" s="27">
        <v>9</v>
      </c>
      <c r="E1" s="27">
        <v>6</v>
      </c>
      <c r="F1" s="22">
        <v>3</v>
      </c>
      <c r="G1" s="27">
        <v>6</v>
      </c>
      <c r="H1" s="22">
        <v>4</v>
      </c>
      <c r="I1" s="22">
        <v>5</v>
      </c>
      <c r="J1" s="27">
        <v>9</v>
      </c>
      <c r="K1" s="27">
        <v>4</v>
      </c>
      <c r="L1" s="27">
        <v>1</v>
      </c>
      <c r="N1" s="2">
        <v>6874</v>
      </c>
      <c r="O1" s="1">
        <v>1</v>
      </c>
    </row>
    <row r="2" spans="1:15" s="2" customFormat="1" ht="28.25" customHeight="1">
      <c r="A2" s="23">
        <v>8</v>
      </c>
      <c r="B2" s="27">
        <v>9</v>
      </c>
      <c r="C2" s="22">
        <v>2</v>
      </c>
      <c r="D2" s="23">
        <v>8</v>
      </c>
      <c r="E2" s="22">
        <v>5</v>
      </c>
      <c r="F2" s="22">
        <v>2</v>
      </c>
      <c r="G2" s="22">
        <v>5</v>
      </c>
      <c r="H2" s="22">
        <v>8</v>
      </c>
      <c r="I2" s="22">
        <v>8</v>
      </c>
      <c r="J2" s="22">
        <v>3</v>
      </c>
      <c r="K2" s="27">
        <v>1</v>
      </c>
      <c r="L2" s="23">
        <v>2</v>
      </c>
      <c r="N2" s="2">
        <v>4187</v>
      </c>
      <c r="O2" s="2">
        <v>1</v>
      </c>
    </row>
    <row r="3" spans="1:15" ht="28.25" customHeight="1">
      <c r="A3" s="27">
        <v>9</v>
      </c>
      <c r="B3" s="23">
        <v>8</v>
      </c>
      <c r="C3" s="27">
        <v>7</v>
      </c>
      <c r="D3" s="23">
        <v>1</v>
      </c>
      <c r="E3" s="22">
        <v>2</v>
      </c>
      <c r="F3" s="27">
        <v>7</v>
      </c>
      <c r="G3" s="22">
        <v>2</v>
      </c>
      <c r="H3" s="22">
        <v>2</v>
      </c>
      <c r="I3" s="22">
        <v>5</v>
      </c>
      <c r="J3" s="27">
        <v>7</v>
      </c>
      <c r="K3" s="23">
        <v>1</v>
      </c>
      <c r="L3" s="23">
        <v>3</v>
      </c>
      <c r="N3" s="2">
        <v>191</v>
      </c>
      <c r="O3" s="1">
        <v>2</v>
      </c>
    </row>
    <row r="4" spans="1:15" ht="28.25" customHeight="1">
      <c r="A4" s="27">
        <v>6</v>
      </c>
      <c r="B4" s="27">
        <v>9</v>
      </c>
      <c r="C4" s="27">
        <v>1</v>
      </c>
      <c r="D4" s="23">
        <v>3</v>
      </c>
      <c r="E4" s="27">
        <v>1</v>
      </c>
      <c r="F4" s="27">
        <v>1</v>
      </c>
      <c r="G4" s="27">
        <v>7</v>
      </c>
      <c r="H4" s="22">
        <v>3</v>
      </c>
      <c r="I4" s="27">
        <v>7</v>
      </c>
      <c r="J4" s="23">
        <v>5</v>
      </c>
      <c r="K4" s="27">
        <v>6</v>
      </c>
      <c r="L4" s="23">
        <v>4</v>
      </c>
      <c r="N4" s="2">
        <v>436436</v>
      </c>
      <c r="O4" s="1">
        <v>1</v>
      </c>
    </row>
    <row r="5" spans="1:15" ht="28.25" customHeight="1">
      <c r="A5" s="22">
        <v>5</v>
      </c>
      <c r="B5" s="22">
        <v>5</v>
      </c>
      <c r="C5" s="22">
        <v>5</v>
      </c>
      <c r="D5" s="22">
        <v>5</v>
      </c>
      <c r="E5" s="23">
        <v>4</v>
      </c>
      <c r="F5" s="22">
        <v>5</v>
      </c>
      <c r="G5" s="22">
        <v>3</v>
      </c>
      <c r="H5" s="27">
        <v>7</v>
      </c>
      <c r="I5" s="23">
        <v>7</v>
      </c>
      <c r="J5" s="22">
        <v>2</v>
      </c>
      <c r="K5" s="27">
        <v>1</v>
      </c>
      <c r="L5" s="23">
        <v>9</v>
      </c>
      <c r="N5" s="2">
        <v>4931751</v>
      </c>
      <c r="O5" s="1">
        <v>1</v>
      </c>
    </row>
    <row r="6" spans="1:15" ht="28.25" customHeight="1">
      <c r="A6" s="22">
        <v>5</v>
      </c>
      <c r="B6" s="22">
        <v>2</v>
      </c>
      <c r="C6" s="27">
        <v>9</v>
      </c>
      <c r="D6" s="27">
        <v>6</v>
      </c>
      <c r="E6" s="23">
        <v>1</v>
      </c>
      <c r="F6" s="22">
        <v>1</v>
      </c>
      <c r="G6" s="22">
        <v>3</v>
      </c>
      <c r="H6" s="23">
        <v>1</v>
      </c>
      <c r="I6" s="22">
        <v>4</v>
      </c>
      <c r="J6" s="22">
        <v>5</v>
      </c>
      <c r="K6" s="22">
        <v>3</v>
      </c>
      <c r="L6" s="23">
        <v>2</v>
      </c>
      <c r="N6" s="2">
        <v>813</v>
      </c>
      <c r="O6" s="1">
        <v>3</v>
      </c>
    </row>
    <row r="7" spans="1:15" ht="28.25" customHeight="1">
      <c r="A7" s="27">
        <v>1</v>
      </c>
      <c r="B7" s="23">
        <v>4</v>
      </c>
      <c r="C7" s="27">
        <v>3</v>
      </c>
      <c r="D7" s="27">
        <v>7</v>
      </c>
      <c r="E7" s="23">
        <v>8</v>
      </c>
      <c r="F7" s="23">
        <v>4</v>
      </c>
      <c r="G7" s="23">
        <v>3</v>
      </c>
      <c r="H7" s="22">
        <v>8</v>
      </c>
      <c r="I7" s="23">
        <v>2</v>
      </c>
      <c r="J7" s="27">
        <v>6</v>
      </c>
      <c r="K7" s="27">
        <v>8</v>
      </c>
      <c r="L7" s="23">
        <v>6</v>
      </c>
      <c r="N7" s="2">
        <v>84</v>
      </c>
      <c r="O7" s="1">
        <v>13</v>
      </c>
    </row>
    <row r="8" spans="1:15" ht="28.25" customHeight="1">
      <c r="A8" s="23">
        <v>1</v>
      </c>
      <c r="B8" s="23">
        <v>1</v>
      </c>
      <c r="C8" s="23">
        <v>4</v>
      </c>
      <c r="D8" s="23">
        <v>8</v>
      </c>
      <c r="E8" s="23">
        <v>7</v>
      </c>
      <c r="F8" s="23">
        <v>9</v>
      </c>
      <c r="G8" s="23">
        <v>3</v>
      </c>
      <c r="H8" s="23">
        <v>3</v>
      </c>
      <c r="I8" s="27">
        <v>7</v>
      </c>
      <c r="J8" s="27">
        <v>9</v>
      </c>
      <c r="K8" s="27">
        <v>1</v>
      </c>
      <c r="L8" s="23">
        <v>5</v>
      </c>
      <c r="N8" s="2">
        <v>41165</v>
      </c>
      <c r="O8" s="1">
        <v>1</v>
      </c>
    </row>
    <row r="9" spans="1:15" ht="28.25" customHeight="1">
      <c r="A9" s="23">
        <v>9</v>
      </c>
      <c r="B9" s="23">
        <v>1</v>
      </c>
      <c r="C9" s="23">
        <v>7</v>
      </c>
      <c r="D9" s="22">
        <v>4</v>
      </c>
      <c r="E9" s="23">
        <v>4</v>
      </c>
      <c r="F9" s="23">
        <v>5</v>
      </c>
      <c r="G9" s="23">
        <v>1</v>
      </c>
      <c r="H9" s="23">
        <v>6</v>
      </c>
      <c r="I9" s="27">
        <v>4</v>
      </c>
      <c r="J9" s="27">
        <v>5</v>
      </c>
      <c r="K9" s="23">
        <v>5</v>
      </c>
      <c r="L9" s="27">
        <v>6</v>
      </c>
      <c r="N9" s="2">
        <v>231</v>
      </c>
      <c r="O9" s="1">
        <v>1</v>
      </c>
    </row>
    <row r="10" spans="1:15" ht="28.25" customHeight="1">
      <c r="A10" s="23">
        <v>1</v>
      </c>
      <c r="B10" s="23">
        <v>6</v>
      </c>
      <c r="C10" s="23">
        <v>8</v>
      </c>
      <c r="D10" s="23">
        <v>1</v>
      </c>
      <c r="E10" s="23">
        <v>3</v>
      </c>
      <c r="F10" s="23">
        <v>4</v>
      </c>
      <c r="G10" s="23">
        <v>9</v>
      </c>
      <c r="H10" s="23">
        <v>1</v>
      </c>
      <c r="I10" s="23">
        <v>4</v>
      </c>
      <c r="J10" s="22">
        <v>5</v>
      </c>
      <c r="K10" s="22">
        <v>8</v>
      </c>
      <c r="L10" s="23">
        <v>2</v>
      </c>
      <c r="N10" s="2">
        <v>25</v>
      </c>
      <c r="O10" s="1">
        <v>16</v>
      </c>
    </row>
    <row r="11" spans="1:15" ht="28.25" customHeight="1">
      <c r="A11" s="22">
        <v>3</v>
      </c>
      <c r="B11" s="23">
        <v>5</v>
      </c>
      <c r="C11" s="23">
        <v>6</v>
      </c>
      <c r="D11" s="27">
        <v>9</v>
      </c>
      <c r="E11" s="22">
        <v>5</v>
      </c>
      <c r="F11" s="27">
        <v>9</v>
      </c>
      <c r="G11" s="27">
        <v>6</v>
      </c>
      <c r="H11" s="22">
        <v>8</v>
      </c>
      <c r="I11" s="27">
        <v>6</v>
      </c>
      <c r="J11" s="23">
        <v>3</v>
      </c>
      <c r="K11" s="22">
        <v>5</v>
      </c>
      <c r="L11" s="22">
        <v>4</v>
      </c>
      <c r="N11" s="2">
        <v>88</v>
      </c>
      <c r="O11" s="1">
        <v>8</v>
      </c>
    </row>
    <row r="12" spans="1:15" ht="28.25" customHeight="1">
      <c r="A12" s="27">
        <v>7</v>
      </c>
      <c r="B12" s="27">
        <v>8</v>
      </c>
      <c r="C12" s="27">
        <v>6</v>
      </c>
      <c r="D12" s="23">
        <v>7</v>
      </c>
      <c r="E12" s="23">
        <v>5</v>
      </c>
      <c r="F12" s="23">
        <v>1</v>
      </c>
      <c r="G12" s="23">
        <v>4</v>
      </c>
      <c r="H12" s="23">
        <v>4</v>
      </c>
      <c r="I12" s="22">
        <v>4</v>
      </c>
      <c r="J12" s="22">
        <v>5</v>
      </c>
      <c r="K12" s="23">
        <v>6</v>
      </c>
      <c r="L12" s="27">
        <v>6</v>
      </c>
      <c r="N12" s="2">
        <v>19431</v>
      </c>
      <c r="O12" s="1">
        <v>1</v>
      </c>
    </row>
    <row r="13" spans="1:15" ht="28.25" customHeight="1">
      <c r="N13" s="2">
        <v>75144</v>
      </c>
      <c r="O13" s="1">
        <v>1</v>
      </c>
    </row>
    <row r="14" spans="1:15" ht="28.25" customHeight="1">
      <c r="N14" s="2">
        <v>53</v>
      </c>
      <c r="O14" s="1">
        <v>17</v>
      </c>
    </row>
    <row r="15" spans="1:15" ht="28.25" customHeight="1">
      <c r="N15" s="2">
        <v>5629432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71"/>
  <sheetViews>
    <sheetView tabSelected="1" zoomScaleNormal="100" workbookViewId="0">
      <pane ySplit="2" topLeftCell="A165" activePane="bottomLeft" state="frozen"/>
      <selection pane="bottomLeft" activeCell="A171" sqref="A17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363</v>
      </c>
      <c r="I154" t="s">
        <v>364</v>
      </c>
      <c r="J154">
        <v>0</v>
      </c>
      <c r="K154">
        <f t="shared" ref="K154" si="344">IF(A154&lt;DATEVALUE("2025/11/20")+TIMEVALUE("6:00"),1,IF(B154-SUM(D154:F154)&lt;&gt;60,0,MAX(2-INT(G154*24*60/10),0)))</f>
        <v>1</v>
      </c>
      <c r="L154">
        <f t="shared" ref="L154" si="345">L153+K154</f>
        <v>161</v>
      </c>
      <c r="M154">
        <f t="shared" ref="M154" si="346">2+IF(A154&gt;=DATEVALUE("2025/11/30")+TIMEVALUE("6:00"),1,0)+IF(A154&gt;=DATEVALUE("2025/12/11")+TIMEVALUE("6:00"),1,0)</f>
        <v>4</v>
      </c>
      <c r="N154">
        <f t="shared" ref="N154" si="347">N153+M154*(INT(A154-6/24)-INT(A153-6/24))+O154</f>
        <v>164</v>
      </c>
      <c r="O154">
        <f t="shared" ref="O154" si="348">IF(A154&gt;=DATEVALUE("2025/11/8")+TIMEVALUE("6:00"),1,0)-IF(A153&gt;=DATEVALUE("2025/11/8")+TIMEVALUE("6:00"),1,0)</f>
        <v>0</v>
      </c>
      <c r="P154" t="str">
        <f t="shared" ref="P154" si="349">IF(L154&lt;N154,"未達成（"&amp;N154-L154&amp;"）",IF(L154=N154,"達成","前倒し（"&amp;L154-N154&amp;"）"))</f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365</v>
      </c>
      <c r="I155" t="s">
        <v>366</v>
      </c>
      <c r="J155">
        <v>0</v>
      </c>
      <c r="K155">
        <f t="shared" ref="K155" si="350">IF(A155&lt;DATEVALUE("2025/11/20")+TIMEVALUE("6:00"),1,IF(B155-SUM(D155:F155)&lt;&gt;60,0,MAX(2-INT(G155*24*60/10),0)))</f>
        <v>2</v>
      </c>
      <c r="L155">
        <f t="shared" ref="L155" si="351">L154+K155</f>
        <v>163</v>
      </c>
      <c r="M155">
        <f t="shared" ref="M155" si="352">2+IF(A155&gt;=DATEVALUE("2025/11/30")+TIMEVALUE("6:00"),1,0)+IF(A155&gt;=DATEVALUE("2025/12/11")+TIMEVALUE("6:00"),1,0)</f>
        <v>4</v>
      </c>
      <c r="N155">
        <f t="shared" ref="N155" si="353">N154+M155*(INT(A155-6/24)-INT(A154-6/24))+O155</f>
        <v>164</v>
      </c>
      <c r="O155">
        <f t="shared" ref="O155" si="354">IF(A155&gt;=DATEVALUE("2025/11/8")+TIMEVALUE("6:00"),1,0)-IF(A154&gt;=DATEVALUE("2025/11/8")+TIMEVALUE("6:00"),1,0)</f>
        <v>0</v>
      </c>
      <c r="P155" t="str">
        <f t="shared" ref="P155" si="355">IF(L155&lt;N155,"未達成（"&amp;N155-L155&amp;"）",IF(L155=N155,"達成","前倒し（"&amp;L155-N155&amp;"）"))</f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367</v>
      </c>
      <c r="I156" t="s">
        <v>368</v>
      </c>
      <c r="J156">
        <v>0</v>
      </c>
      <c r="K156">
        <f t="shared" ref="K156" si="356">IF(A156&lt;DATEVALUE("2025/11/20")+TIMEVALUE("6:00"),1,IF(B156-SUM(D156:F156)&lt;&gt;60,0,MAX(2-INT(G156*24*60/10),0)))</f>
        <v>2</v>
      </c>
      <c r="L156">
        <f t="shared" ref="L156" si="357">L155+K156</f>
        <v>165</v>
      </c>
      <c r="M156">
        <f t="shared" ref="M156" si="358">2+IF(A156&gt;=DATEVALUE("2025/11/30")+TIMEVALUE("6:00"),1,0)+IF(A156&gt;=DATEVALUE("2025/12/11")+TIMEVALUE("6:00"),1,0)</f>
        <v>4</v>
      </c>
      <c r="N156">
        <f t="shared" ref="N156" si="359">N155+M156*(INT(A156-6/24)-INT(A155-6/24))+O156</f>
        <v>164</v>
      </c>
      <c r="O156">
        <f t="shared" ref="O156" si="360">IF(A156&gt;=DATEVALUE("2025/11/8")+TIMEVALUE("6:00"),1,0)-IF(A155&gt;=DATEVALUE("2025/11/8")+TIMEVALUE("6:00"),1,0)</f>
        <v>0</v>
      </c>
      <c r="P156" t="str">
        <f t="shared" ref="P156" si="361">IF(L156&lt;N156,"未達成（"&amp;N156-L156&amp;"）",IF(L156=N156,"達成","前倒し（"&amp;L156-N156&amp;"）"))</f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369</v>
      </c>
      <c r="I157" t="s">
        <v>370</v>
      </c>
      <c r="J157">
        <v>0</v>
      </c>
      <c r="K157">
        <f t="shared" ref="K157" si="362">IF(A157&lt;DATEVALUE("2025/11/20")+TIMEVALUE("6:00"),1,IF(B157-SUM(D157:F157)&lt;&gt;60,0,MAX(2-INT(G157*24*60/10),0)))</f>
        <v>2</v>
      </c>
      <c r="L157">
        <f t="shared" ref="L157" si="363">L156+K157</f>
        <v>167</v>
      </c>
      <c r="M157">
        <f t="shared" ref="M157" si="364">2+IF(A157&gt;=DATEVALUE("2025/11/30")+TIMEVALUE("6:00"),1,0)+IF(A157&gt;=DATEVALUE("2025/12/11")+TIMEVALUE("6:00"),1,0)</f>
        <v>4</v>
      </c>
      <c r="N157">
        <f t="shared" ref="N157" si="365">N156+M157*(INT(A157-6/24)-INT(A156-6/24))+O157</f>
        <v>168</v>
      </c>
      <c r="O157">
        <f t="shared" ref="O157" si="366">IF(A157&gt;=DATEVALUE("2025/11/8")+TIMEVALUE("6:00"),1,0)-IF(A156&gt;=DATEVALUE("2025/11/8")+TIMEVALUE("6:00"),1,0)</f>
        <v>0</v>
      </c>
      <c r="P157" t="str">
        <f t="shared" ref="P157" si="367">IF(L157&lt;N157,"未達成（"&amp;N157-L157&amp;"）",IF(L157=N157,"達成","前倒し（"&amp;L157-N157&amp;"）"))</f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371</v>
      </c>
      <c r="I158" t="s">
        <v>372</v>
      </c>
      <c r="J158">
        <v>0</v>
      </c>
      <c r="K158">
        <f t="shared" ref="K158" si="368">IF(A158&lt;DATEVALUE("2025/11/20")+TIMEVALUE("6:00"),1,IF(B158-SUM(D158:F158)&lt;&gt;60,0,MAX(2-INT(G158*24*60/10),0)))</f>
        <v>1</v>
      </c>
      <c r="L158">
        <f t="shared" ref="L158" si="369">L157+K158</f>
        <v>168</v>
      </c>
      <c r="M158">
        <f t="shared" ref="M158" si="370">2+IF(A158&gt;=DATEVALUE("2025/11/30")+TIMEVALUE("6:00"),1,0)+IF(A158&gt;=DATEVALUE("2025/12/11")+TIMEVALUE("6:00"),1,0)</f>
        <v>4</v>
      </c>
      <c r="N158">
        <f t="shared" ref="N158" si="371">N157+M158*(INT(A158-6/24)-INT(A157-6/24))+O158</f>
        <v>168</v>
      </c>
      <c r="O158">
        <f t="shared" ref="O158" si="372">IF(A158&gt;=DATEVALUE("2025/11/8")+TIMEVALUE("6:00"),1,0)-IF(A157&gt;=DATEVALUE("2025/11/8")+TIMEVALUE("6:00"),1,0)</f>
        <v>0</v>
      </c>
      <c r="P158" t="str">
        <f t="shared" ref="P158" si="373">IF(L158&lt;N158,"未達成（"&amp;N158-L158&amp;"）",IF(L158=N158,"達成","前倒し（"&amp;L158-N158&amp;"）"))</f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373</v>
      </c>
      <c r="I159" t="s">
        <v>374</v>
      </c>
      <c r="J159">
        <v>0</v>
      </c>
      <c r="K159">
        <f t="shared" ref="K159" si="374">IF(A159&lt;DATEVALUE("2025/11/20")+TIMEVALUE("6:00"),1,IF(B159-SUM(D159:F159)&lt;&gt;60,0,MAX(2-INT(G159*24*60/10),0)))</f>
        <v>1</v>
      </c>
      <c r="L159">
        <f t="shared" ref="L159" si="375">L158+K159</f>
        <v>169</v>
      </c>
      <c r="M159">
        <f t="shared" ref="M159" si="376">2+IF(A159&gt;=DATEVALUE("2025/11/30")+TIMEVALUE("6:00"),1,0)+IF(A159&gt;=DATEVALUE("2025/12/11")+TIMEVALUE("6:00"),1,0)</f>
        <v>4</v>
      </c>
      <c r="N159">
        <f t="shared" ref="N159" si="377">N158+M159*(INT(A159-6/24)-INT(A158-6/24))+O159</f>
        <v>172</v>
      </c>
      <c r="O159">
        <f t="shared" ref="O159" si="378">IF(A159&gt;=DATEVALUE("2025/11/8")+TIMEVALUE("6:00"),1,0)-IF(A158&gt;=DATEVALUE("2025/11/8")+TIMEVALUE("6:00"),1,0)</f>
        <v>0</v>
      </c>
      <c r="P159" t="str">
        <f t="shared" ref="P159" si="379">IF(L159&lt;N159,"未達成（"&amp;N159-L159&amp;"）",IF(L159=N159,"達成","前倒し（"&amp;L159-N159&amp;"）"))</f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375</v>
      </c>
      <c r="I160" t="s">
        <v>376</v>
      </c>
      <c r="J160">
        <v>0</v>
      </c>
      <c r="K160">
        <f t="shared" ref="K160" si="380">IF(A160&lt;DATEVALUE("2025/11/20")+TIMEVALUE("6:00"),1,IF(B160-SUM(D160:F160)&lt;&gt;60,0,MAX(2-INT(G160*24*60/10),0)))</f>
        <v>2</v>
      </c>
      <c r="L160">
        <f t="shared" ref="L160" si="381">L159+K160</f>
        <v>171</v>
      </c>
      <c r="M160">
        <f t="shared" ref="M160" si="382">2+IF(A160&gt;=DATEVALUE("2025/11/30")+TIMEVALUE("6:00"),1,0)+IF(A160&gt;=DATEVALUE("2025/12/11")+TIMEVALUE("6:00"),1,0)</f>
        <v>4</v>
      </c>
      <c r="N160">
        <f t="shared" ref="N160" si="383">N159+M160*(INT(A160-6/24)-INT(A159-6/24))+O160</f>
        <v>172</v>
      </c>
      <c r="O160">
        <f t="shared" ref="O160" si="384">IF(A160&gt;=DATEVALUE("2025/11/8")+TIMEVALUE("6:00"),1,0)-IF(A159&gt;=DATEVALUE("2025/11/8")+TIMEVALUE("6:00"),1,0)</f>
        <v>0</v>
      </c>
      <c r="P160" t="str">
        <f t="shared" ref="P160" si="385">IF(L160&lt;N160,"未達成（"&amp;N160-L160&amp;"）",IF(L160=N160,"達成","前倒し（"&amp;L160-N160&amp;"）"))</f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377</v>
      </c>
      <c r="I161" t="s">
        <v>378</v>
      </c>
      <c r="J161">
        <v>0</v>
      </c>
      <c r="K161">
        <f t="shared" ref="K161" si="386">IF(A161&lt;DATEVALUE("2025/11/20")+TIMEVALUE("6:00"),1,IF(B161-SUM(D161:F161)&lt;&gt;60,0,MAX(2-INT(G161*24*60/10),0)))</f>
        <v>1</v>
      </c>
      <c r="L161">
        <f t="shared" ref="L161" si="387">L160+K161</f>
        <v>172</v>
      </c>
      <c r="M161">
        <f t="shared" ref="M161" si="388">2+IF(A161&gt;=DATEVALUE("2025/11/30")+TIMEVALUE("6:00"),1,0)+IF(A161&gt;=DATEVALUE("2025/12/11")+TIMEVALUE("6:00"),1,0)</f>
        <v>4</v>
      </c>
      <c r="N161">
        <f t="shared" ref="N161" si="389">N160+M161*(INT(A161-6/24)-INT(A160-6/24))+O161</f>
        <v>172</v>
      </c>
      <c r="O161">
        <f t="shared" ref="O161" si="390">IF(A161&gt;=DATEVALUE("2025/11/8")+TIMEVALUE("6:00"),1,0)-IF(A160&gt;=DATEVALUE("2025/11/8")+TIMEVALUE("6:00"),1,0)</f>
        <v>0</v>
      </c>
      <c r="P161" t="str">
        <f t="shared" ref="P161" si="391">IF(L161&lt;N161,"未達成（"&amp;N161-L161&amp;"）",IF(L161=N161,"達成","前倒し（"&amp;L161-N161&amp;"）"))</f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379</v>
      </c>
      <c r="I162" t="s">
        <v>380</v>
      </c>
      <c r="J162">
        <v>0</v>
      </c>
      <c r="K162">
        <f t="shared" ref="K162" si="392">IF(A162&lt;DATEVALUE("2025/11/20")+TIMEVALUE("6:00"),1,IF(B162-SUM(D162:F162)&lt;&gt;60,0,MAX(2-INT(G162*24*60/10),0)))</f>
        <v>2</v>
      </c>
      <c r="L162">
        <f t="shared" ref="L162" si="393">L161+K162</f>
        <v>174</v>
      </c>
      <c r="M162">
        <f t="shared" ref="M162" si="394">2+IF(A162&gt;=DATEVALUE("2025/11/30")+TIMEVALUE("6:00"),1,0)+IF(A162&gt;=DATEVALUE("2025/12/11")+TIMEVALUE("6:00"),1,0)</f>
        <v>4</v>
      </c>
      <c r="N162">
        <f t="shared" ref="N162" si="395">N161+M162*(INT(A162-6/24)-INT(A161-6/24))+O162</f>
        <v>176</v>
      </c>
      <c r="O162">
        <f t="shared" ref="O162" si="396">IF(A162&gt;=DATEVALUE("2025/11/8")+TIMEVALUE("6:00"),1,0)-IF(A161&gt;=DATEVALUE("2025/11/8")+TIMEVALUE("6:00"),1,0)</f>
        <v>0</v>
      </c>
      <c r="P162" t="str">
        <f t="shared" ref="P162" si="397">IF(L162&lt;N162,"未達成（"&amp;N162-L162&amp;"）",IF(L162=N162,"達成","前倒し（"&amp;L162-N162&amp;"）"))</f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381</v>
      </c>
      <c r="I163" t="s">
        <v>382</v>
      </c>
      <c r="J163">
        <v>0</v>
      </c>
      <c r="K163">
        <f t="shared" ref="K163" si="398">IF(A163&lt;DATEVALUE("2025/11/20")+TIMEVALUE("6:00"),1,IF(B163-SUM(D163:F163)&lt;&gt;60,0,MAX(2-INT(G163*24*60/10),0)))</f>
        <v>1</v>
      </c>
      <c r="L163">
        <f t="shared" ref="L163" si="399">L162+K163</f>
        <v>175</v>
      </c>
      <c r="M163">
        <f t="shared" ref="M163" si="400">2+IF(A163&gt;=DATEVALUE("2025/11/30")+TIMEVALUE("6:00"),1,0)+IF(A163&gt;=DATEVALUE("2025/12/11")+TIMEVALUE("6:00"),1,0)</f>
        <v>4</v>
      </c>
      <c r="N163">
        <f t="shared" ref="N163" si="401">N162+M163*(INT(A163-6/24)-INT(A162-6/24))+O163</f>
        <v>176</v>
      </c>
      <c r="O163">
        <f t="shared" ref="O163" si="402">IF(A163&gt;=DATEVALUE("2025/11/8")+TIMEVALUE("6:00"),1,0)-IF(A162&gt;=DATEVALUE("2025/11/8")+TIMEVALUE("6:00"),1,0)</f>
        <v>0</v>
      </c>
      <c r="P163" t="str">
        <f t="shared" ref="P163" si="403">IF(L163&lt;N163,"未達成（"&amp;N163-L163&amp;"）",IF(L163=N163,"達成","前倒し（"&amp;L163-N163&amp;"）"))</f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383</v>
      </c>
      <c r="I164" t="s">
        <v>384</v>
      </c>
      <c r="J164">
        <v>0</v>
      </c>
      <c r="K164">
        <f t="shared" ref="K164" si="404">IF(A164&lt;DATEVALUE("2025/11/20")+TIMEVALUE("6:00"),1,IF(B164-SUM(D164:F164)&lt;&gt;60,0,MAX(2-INT(G164*24*60/10),0)))</f>
        <v>2</v>
      </c>
      <c r="L164">
        <f t="shared" ref="L164" si="405">L163+K164</f>
        <v>177</v>
      </c>
      <c r="M164">
        <f t="shared" ref="M164" si="406">2+IF(A164&gt;=DATEVALUE("2025/11/30")+TIMEVALUE("6:00"),1,0)+IF(A164&gt;=DATEVALUE("2025/12/11")+TIMEVALUE("6:00"),1,0)</f>
        <v>4</v>
      </c>
      <c r="N164">
        <f t="shared" ref="N164" si="407">N163+M164*(INT(A164-6/24)-INT(A163-6/24))+O164</f>
        <v>176</v>
      </c>
      <c r="O164">
        <f t="shared" ref="O164" si="408">IF(A164&gt;=DATEVALUE("2025/11/8")+TIMEVALUE("6:00"),1,0)-IF(A163&gt;=DATEVALUE("2025/11/8")+TIMEVALUE("6:00"),1,0)</f>
        <v>0</v>
      </c>
      <c r="P164" t="str">
        <f t="shared" ref="P164" si="409">IF(L164&lt;N164,"未達成（"&amp;N164-L164&amp;"）",IF(L164=N164,"達成","前倒し（"&amp;L164-N164&amp;"）"))</f>
        <v>前倒し（1）</v>
      </c>
    </row>
    <row r="165" spans="1:16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385</v>
      </c>
      <c r="I165" t="s">
        <v>386</v>
      </c>
      <c r="J165">
        <v>0</v>
      </c>
      <c r="K165">
        <f t="shared" ref="K165" si="410">IF(A165&lt;DATEVALUE("2025/11/20")+TIMEVALUE("6:00"),1,IF(B165-SUM(D165:F165)&lt;&gt;60,0,MAX(2-INT(G165*24*60/10),0)))</f>
        <v>1</v>
      </c>
      <c r="L165">
        <f t="shared" ref="L165" si="411">L164+K165</f>
        <v>178</v>
      </c>
      <c r="M165">
        <f t="shared" ref="M165" si="412">2+IF(A165&gt;=DATEVALUE("2025/11/30")+TIMEVALUE("6:00"),1,0)+IF(A165&gt;=DATEVALUE("2025/12/11")+TIMEVALUE("6:00"),1,0)</f>
        <v>4</v>
      </c>
      <c r="N165">
        <f t="shared" ref="N165" si="413">N164+M165*(INT(A165-6/24)-INT(A164-6/24))+O165</f>
        <v>180</v>
      </c>
      <c r="O165">
        <f t="shared" ref="O165" si="414">IF(A165&gt;=DATEVALUE("2025/11/8")+TIMEVALUE("6:00"),1,0)-IF(A164&gt;=DATEVALUE("2025/11/8")+TIMEVALUE("6:00"),1,0)</f>
        <v>0</v>
      </c>
      <c r="P165" t="str">
        <f t="shared" ref="P165" si="415">IF(L165&lt;N165,"未達成（"&amp;N165-L165&amp;"）",IF(L165=N165,"達成","前倒し（"&amp;L165-N165&amp;"）"))</f>
        <v>未達成（2）</v>
      </c>
    </row>
    <row r="166" spans="1:16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387</v>
      </c>
      <c r="I166" t="s">
        <v>388</v>
      </c>
      <c r="J166">
        <v>0</v>
      </c>
      <c r="K166">
        <f t="shared" ref="K166" si="416">IF(A166&lt;DATEVALUE("2025/11/20")+TIMEVALUE("6:00"),1,IF(B166-SUM(D166:F166)&lt;&gt;60,0,MAX(2-INT(G166*24*60/10),0)))</f>
        <v>1</v>
      </c>
      <c r="L166">
        <f t="shared" ref="L166" si="417">L165+K166</f>
        <v>179</v>
      </c>
      <c r="M166">
        <f t="shared" ref="M166" si="418">2+IF(A166&gt;=DATEVALUE("2025/11/30")+TIMEVALUE("6:00"),1,0)+IF(A166&gt;=DATEVALUE("2025/12/11")+TIMEVALUE("6:00"),1,0)</f>
        <v>4</v>
      </c>
      <c r="N166">
        <f t="shared" ref="N166" si="419">N165+M166*(INT(A166-6/24)-INT(A165-6/24))+O166</f>
        <v>180</v>
      </c>
      <c r="O166">
        <f t="shared" ref="O166" si="420">IF(A166&gt;=DATEVALUE("2025/11/8")+TIMEVALUE("6:00"),1,0)-IF(A165&gt;=DATEVALUE("2025/11/8")+TIMEVALUE("6:00"),1,0)</f>
        <v>0</v>
      </c>
      <c r="P166" t="str">
        <f t="shared" ref="P166" si="421">IF(L166&lt;N166,"未達成（"&amp;N166-L166&amp;"）",IF(L166=N166,"達成","前倒し（"&amp;L166-N166&amp;"）"))</f>
        <v>未達成（1）</v>
      </c>
    </row>
    <row r="167" spans="1:16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389</v>
      </c>
      <c r="I167" t="s">
        <v>390</v>
      </c>
      <c r="J167">
        <v>0</v>
      </c>
      <c r="K167">
        <f t="shared" ref="K167" si="422">IF(A167&lt;DATEVALUE("2025/11/20")+TIMEVALUE("6:00"),1,IF(B167-SUM(D167:F167)&lt;&gt;60,0,MAX(2-INT(G167*24*60/10),0)))</f>
        <v>2</v>
      </c>
      <c r="L167">
        <f t="shared" ref="L167" si="423">L166+K167</f>
        <v>181</v>
      </c>
      <c r="M167">
        <f t="shared" ref="M167" si="424">2+IF(A167&gt;=DATEVALUE("2025/11/30")+TIMEVALUE("6:00"),1,0)+IF(A167&gt;=DATEVALUE("2025/12/11")+TIMEVALUE("6:00"),1,0)</f>
        <v>4</v>
      </c>
      <c r="N167">
        <f t="shared" ref="N167" si="425">N166+M167*(INT(A167-6/24)-INT(A166-6/24))+O167</f>
        <v>180</v>
      </c>
      <c r="O167">
        <f t="shared" ref="O167" si="426">IF(A167&gt;=DATEVALUE("2025/11/8")+TIMEVALUE("6:00"),1,0)-IF(A166&gt;=DATEVALUE("2025/11/8")+TIMEVALUE("6:00"),1,0)</f>
        <v>0</v>
      </c>
      <c r="P167" t="str">
        <f t="shared" ref="P167" si="427">IF(L167&lt;N167,"未達成（"&amp;N167-L167&amp;"）",IF(L167=N167,"達成","前倒し（"&amp;L167-N167&amp;"）"))</f>
        <v>前倒し（1）</v>
      </c>
    </row>
    <row r="168" spans="1:16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392</v>
      </c>
      <c r="I168" t="s">
        <v>391</v>
      </c>
      <c r="J168">
        <v>0</v>
      </c>
      <c r="K168">
        <f t="shared" ref="K168" si="428">IF(A168&lt;DATEVALUE("2025/11/20")+TIMEVALUE("6:00"),1,IF(B168-SUM(D168:F168)&lt;&gt;60,0,MAX(2-INT(G168*24*60/10),0)))</f>
        <v>1</v>
      </c>
      <c r="L168">
        <f t="shared" ref="L168" si="429">L167+K168</f>
        <v>182</v>
      </c>
      <c r="M168">
        <f t="shared" ref="M168" si="430">2+IF(A168&gt;=DATEVALUE("2025/11/30")+TIMEVALUE("6:00"),1,0)+IF(A168&gt;=DATEVALUE("2025/12/11")+TIMEVALUE("6:00"),1,0)</f>
        <v>4</v>
      </c>
      <c r="N168">
        <f t="shared" ref="N168" si="431">N167+M168*(INT(A168-6/24)-INT(A167-6/24))+O168</f>
        <v>184</v>
      </c>
      <c r="O168">
        <f t="shared" ref="O168" si="432">IF(A168&gt;=DATEVALUE("2025/11/8")+TIMEVALUE("6:00"),1,0)-IF(A167&gt;=DATEVALUE("2025/11/8")+TIMEVALUE("6:00"),1,0)</f>
        <v>0</v>
      </c>
      <c r="P168" t="str">
        <f t="shared" ref="P168" si="433">IF(L168&lt;N168,"未達成（"&amp;N168-L168&amp;"）",IF(L168=N168,"達成","前倒し（"&amp;L168-N168&amp;"）"))</f>
        <v>未達成（2）</v>
      </c>
    </row>
    <row r="169" spans="1:16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393</v>
      </c>
      <c r="I169" t="s">
        <v>394</v>
      </c>
      <c r="J169">
        <v>0</v>
      </c>
      <c r="K169">
        <f t="shared" ref="K169" si="434">IF(A169&lt;DATEVALUE("2025/11/20")+TIMEVALUE("6:00"),1,IF(B169-SUM(D169:F169)&lt;&gt;60,0,MAX(2-INT(G169*24*60/10),0)))</f>
        <v>2</v>
      </c>
      <c r="L169">
        <f t="shared" ref="L169" si="435">L168+K169</f>
        <v>184</v>
      </c>
      <c r="M169">
        <f t="shared" ref="M169" si="436">2+IF(A169&gt;=DATEVALUE("2025/11/30")+TIMEVALUE("6:00"),1,0)+IF(A169&gt;=DATEVALUE("2025/12/11")+TIMEVALUE("6:00"),1,0)</f>
        <v>4</v>
      </c>
      <c r="N169">
        <f t="shared" ref="N169" si="437">N168+M169*(INT(A169-6/24)-INT(A168-6/24))+O169</f>
        <v>184</v>
      </c>
      <c r="O169">
        <f t="shared" ref="O169" si="438">IF(A169&gt;=DATEVALUE("2025/11/8")+TIMEVALUE("6:00"),1,0)-IF(A168&gt;=DATEVALUE("2025/11/8")+TIMEVALUE("6:00"),1,0)</f>
        <v>0</v>
      </c>
      <c r="P169" t="str">
        <f t="shared" ref="P169" si="439">IF(L169&lt;N169,"未達成（"&amp;N169-L169&amp;"）",IF(L169=N169,"達成","前倒し（"&amp;L169-N169&amp;"）"))</f>
        <v>達成</v>
      </c>
    </row>
    <row r="170" spans="1:16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395</v>
      </c>
      <c r="I170" t="s">
        <v>396</v>
      </c>
      <c r="J170">
        <v>0</v>
      </c>
      <c r="K170">
        <f t="shared" ref="K170" si="440">IF(A170&lt;DATEVALUE("2025/11/20")+TIMEVALUE("6:00"),1,IF(B170-SUM(D170:F170)&lt;&gt;60,0,MAX(2-INT(G170*24*60/10),0)))</f>
        <v>2</v>
      </c>
      <c r="L170">
        <f t="shared" ref="L170" si="441">L169+K170</f>
        <v>186</v>
      </c>
      <c r="M170">
        <f t="shared" ref="M170" si="442">2+IF(A170&gt;=DATEVALUE("2025/11/30")+TIMEVALUE("6:00"),1,0)+IF(A170&gt;=DATEVALUE("2025/12/11")+TIMEVALUE("6:00"),1,0)</f>
        <v>4</v>
      </c>
      <c r="N170">
        <f t="shared" ref="N170" si="443">N169+M170*(INT(A170-6/24)-INT(A169-6/24))+O170</f>
        <v>188</v>
      </c>
      <c r="O170">
        <f t="shared" ref="O170" si="444">IF(A170&gt;=DATEVALUE("2025/11/8")+TIMEVALUE("6:00"),1,0)-IF(A169&gt;=DATEVALUE("2025/11/8")+TIMEVALUE("6:00"),1,0)</f>
        <v>0</v>
      </c>
      <c r="P170" t="str">
        <f t="shared" ref="P170" si="445">IF(L170&lt;N170,"未達成（"&amp;N170-L170&amp;"）",IF(L170=N170,"達成","前倒し（"&amp;L170-N170&amp;"）"))</f>
        <v>未達成（2）</v>
      </c>
    </row>
    <row r="171" spans="1:16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397</v>
      </c>
      <c r="I171" t="s">
        <v>398</v>
      </c>
      <c r="J171">
        <v>0</v>
      </c>
      <c r="K171">
        <f t="shared" ref="K171" si="446">IF(A171&lt;DATEVALUE("2025/11/20")+TIMEVALUE("6:00"),1,IF(B171-SUM(D171:F171)&lt;&gt;60,0,MAX(2-INT(G171*24*60/10),0)))</f>
        <v>2</v>
      </c>
      <c r="L171">
        <f t="shared" ref="L171" si="447">L170+K171</f>
        <v>188</v>
      </c>
      <c r="M171">
        <f t="shared" ref="M171" si="448">2+IF(A171&gt;=DATEVALUE("2025/11/30")+TIMEVALUE("6:00"),1,0)+IF(A171&gt;=DATEVALUE("2025/12/11")+TIMEVALUE("6:00"),1,0)</f>
        <v>4</v>
      </c>
      <c r="N171">
        <f t="shared" ref="N171" si="449">N170+M171*(INT(A171-6/24)-INT(A170-6/24))+O171</f>
        <v>188</v>
      </c>
      <c r="O171">
        <f t="shared" ref="O171" si="450">IF(A171&gt;=DATEVALUE("2025/11/8")+TIMEVALUE("6:00"),1,0)-IF(A170&gt;=DATEVALUE("2025/11/8")+TIMEVALUE("6:00"),1,0)</f>
        <v>0</v>
      </c>
      <c r="P171" t="str">
        <f t="shared" ref="P171" si="451">IF(L171&lt;N171,"未達成（"&amp;N171-L171&amp;"）",IF(L171=N171,"達成","前倒し（"&amp;L171-N171&amp;"）"))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46026.706388888888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2026-01-04T08:06:14Z</dcterms:modified>
</cp:coreProperties>
</file>
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80C498C6-9DA0-4D9A-B2D9-41B86056237E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DATEVALUE" hidden="1" xlm="1">#NAME?</definedName>
    <definedName name="_xleta.N" hidden="1" xlm="1">#NAME?</definedName>
    <definedName name="_xleta.NOW" hidden="1" xlm="1">#NAME?</definedName>
    <definedName name="_xlpm.A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05" i="4" l="1"/>
  <c r="M105" i="4"/>
  <c r="N105" i="4" s="1"/>
  <c r="K105" i="4"/>
  <c r="L105" i="4" s="1"/>
  <c r="O104" i="4"/>
  <c r="M104" i="4"/>
  <c r="N104" i="4" s="1"/>
  <c r="K104" i="4"/>
  <c r="L104" i="4" s="1"/>
  <c r="O103" i="4"/>
  <c r="M103" i="4"/>
  <c r="N103" i="4" s="1"/>
  <c r="K103" i="4"/>
  <c r="L103" i="4" s="1"/>
  <c r="P103" i="4" s="1"/>
  <c r="O102" i="4"/>
  <c r="M102" i="4"/>
  <c r="N102" i="4" s="1"/>
  <c r="K102" i="4"/>
  <c r="L102" i="4" s="1"/>
  <c r="P102" i="4" s="1"/>
  <c r="O101" i="4"/>
  <c r="M101" i="4"/>
  <c r="N101" i="4" s="1"/>
  <c r="K101" i="4"/>
  <c r="L101" i="4" s="1"/>
  <c r="O100" i="4"/>
  <c r="M100" i="4"/>
  <c r="N100" i="4" s="1"/>
  <c r="K100" i="4"/>
  <c r="L100" i="4" s="1"/>
  <c r="P100" i="4" s="1"/>
  <c r="O99" i="4"/>
  <c r="M99" i="4"/>
  <c r="N99" i="4" s="1"/>
  <c r="K99" i="4"/>
  <c r="L99" i="4" s="1"/>
  <c r="O98" i="4"/>
  <c r="M98" i="4"/>
  <c r="K98" i="4"/>
  <c r="O97" i="4"/>
  <c r="M97" i="4"/>
  <c r="K97" i="4"/>
  <c r="O96" i="4"/>
  <c r="M96" i="4"/>
  <c r="K96" i="4"/>
  <c r="O95" i="4"/>
  <c r="M95" i="4"/>
  <c r="K95" i="4"/>
  <c r="O94" i="4"/>
  <c r="M94" i="4"/>
  <c r="K94" i="4"/>
  <c r="O93" i="4"/>
  <c r="M93" i="4"/>
  <c r="K93" i="4"/>
  <c r="O92" i="4"/>
  <c r="M92" i="4"/>
  <c r="K92" i="4"/>
  <c r="O91" i="4"/>
  <c r="M91" i="4"/>
  <c r="K91" i="4"/>
  <c r="O90" i="4"/>
  <c r="M90" i="4"/>
  <c r="K90" i="4"/>
  <c r="O89" i="4"/>
  <c r="M89" i="4"/>
  <c r="K89" i="4"/>
  <c r="O88" i="4"/>
  <c r="M88" i="4"/>
  <c r="K88" i="4"/>
  <c r="O87" i="4"/>
  <c r="M87" i="4"/>
  <c r="K87" i="4"/>
  <c r="O86" i="4"/>
  <c r="M86" i="4"/>
  <c r="K86" i="4"/>
  <c r="O85" i="4"/>
  <c r="M85" i="4"/>
  <c r="K85" i="4"/>
  <c r="O84" i="4"/>
  <c r="M84" i="4"/>
  <c r="K84" i="4"/>
  <c r="O83" i="4"/>
  <c r="M83" i="4"/>
  <c r="K83" i="4"/>
  <c r="O82" i="4"/>
  <c r="M82" i="4"/>
  <c r="K82" i="4"/>
  <c r="O81" i="4"/>
  <c r="M81" i="4"/>
  <c r="K81" i="4"/>
  <c r="O80" i="4"/>
  <c r="M80" i="4"/>
  <c r="K80" i="4"/>
  <c r="O79" i="4"/>
  <c r="M79" i="4"/>
  <c r="K79" i="4"/>
  <c r="O78" i="4"/>
  <c r="M78" i="4"/>
  <c r="K78" i="4"/>
  <c r="O77" i="4"/>
  <c r="M77" i="4"/>
  <c r="K77" i="4"/>
  <c r="O76" i="4"/>
  <c r="M76" i="4"/>
  <c r="K76" i="4"/>
  <c r="O75" i="4"/>
  <c r="M75" i="4"/>
  <c r="K75" i="4"/>
  <c r="O74" i="4"/>
  <c r="M74" i="4"/>
  <c r="K74" i="4"/>
  <c r="O73" i="4"/>
  <c r="M73" i="4"/>
  <c r="K73" i="4"/>
  <c r="O72" i="4"/>
  <c r="M72" i="4"/>
  <c r="K72" i="4"/>
  <c r="O71" i="4"/>
  <c r="M71" i="4"/>
  <c r="K71" i="4"/>
  <c r="O70" i="4"/>
  <c r="M70" i="4"/>
  <c r="K70" i="4"/>
  <c r="O69" i="4"/>
  <c r="M69" i="4"/>
  <c r="K69" i="4"/>
  <c r="O68" i="4"/>
  <c r="M68" i="4"/>
  <c r="K68" i="4"/>
  <c r="O67" i="4"/>
  <c r="M67" i="4"/>
  <c r="K67" i="4"/>
  <c r="O66" i="4"/>
  <c r="M66" i="4"/>
  <c r="K66" i="4"/>
  <c r="O65" i="4"/>
  <c r="M65" i="4"/>
  <c r="K65" i="4"/>
  <c r="O64" i="4"/>
  <c r="M64" i="4"/>
  <c r="K64" i="4"/>
  <c r="O63" i="4"/>
  <c r="M63" i="4"/>
  <c r="K63" i="4"/>
  <c r="O62" i="4"/>
  <c r="M62" i="4"/>
  <c r="K62" i="4"/>
  <c r="O61" i="4"/>
  <c r="M61" i="4"/>
  <c r="K61" i="4"/>
  <c r="O60" i="4"/>
  <c r="M60" i="4"/>
  <c r="K60" i="4"/>
  <c r="O59" i="4"/>
  <c r="M59" i="4"/>
  <c r="K59" i="4"/>
  <c r="O58" i="4"/>
  <c r="M58" i="4"/>
  <c r="K58" i="4"/>
  <c r="O57" i="4"/>
  <c r="M57" i="4"/>
  <c r="K57" i="4"/>
  <c r="O56" i="4"/>
  <c r="M56" i="4"/>
  <c r="K56" i="4"/>
  <c r="O55" i="4"/>
  <c r="M55" i="4"/>
  <c r="K55" i="4"/>
  <c r="O54" i="4"/>
  <c r="M54" i="4"/>
  <c r="K54" i="4"/>
  <c r="O53" i="4"/>
  <c r="M53" i="4"/>
  <c r="K53" i="4"/>
  <c r="O52" i="4"/>
  <c r="M52" i="4"/>
  <c r="K52" i="4"/>
  <c r="O51" i="4"/>
  <c r="M51" i="4"/>
  <c r="K51" i="4"/>
  <c r="O50" i="4"/>
  <c r="M50" i="4"/>
  <c r="K50" i="4"/>
  <c r="O49" i="4"/>
  <c r="M49" i="4"/>
  <c r="K49" i="4"/>
  <c r="O48" i="4"/>
  <c r="M48" i="4"/>
  <c r="K48" i="4"/>
  <c r="O47" i="4"/>
  <c r="M47" i="4"/>
  <c r="K47" i="4"/>
  <c r="O46" i="4"/>
  <c r="M46" i="4"/>
  <c r="K46" i="4"/>
  <c r="O45" i="4"/>
  <c r="M45" i="4"/>
  <c r="K45" i="4"/>
  <c r="O44" i="4"/>
  <c r="M44" i="4"/>
  <c r="K44" i="4"/>
  <c r="O43" i="4"/>
  <c r="M43" i="4"/>
  <c r="K43" i="4"/>
  <c r="O42" i="4"/>
  <c r="M42" i="4"/>
  <c r="K42" i="4"/>
  <c r="O41" i="4"/>
  <c r="M41" i="4"/>
  <c r="K41" i="4"/>
  <c r="O40" i="4"/>
  <c r="M40" i="4"/>
  <c r="K40" i="4"/>
  <c r="O39" i="4"/>
  <c r="M39" i="4"/>
  <c r="K39" i="4"/>
  <c r="O38" i="4"/>
  <c r="M38" i="4"/>
  <c r="K38" i="4"/>
  <c r="O37" i="4"/>
  <c r="M37" i="4"/>
  <c r="K37" i="4"/>
  <c r="O36" i="4"/>
  <c r="M36" i="4"/>
  <c r="K36" i="4"/>
  <c r="O35" i="4"/>
  <c r="M35" i="4"/>
  <c r="K35" i="4"/>
  <c r="O34" i="4"/>
  <c r="M34" i="4"/>
  <c r="K34" i="4"/>
  <c r="O33" i="4"/>
  <c r="M33" i="4"/>
  <c r="K33" i="4"/>
  <c r="O32" i="4"/>
  <c r="M32" i="4"/>
  <c r="K32" i="4"/>
  <c r="O31" i="4"/>
  <c r="M31" i="4"/>
  <c r="K31" i="4"/>
  <c r="O30" i="4"/>
  <c r="M30" i="4"/>
  <c r="K30" i="4"/>
  <c r="O29" i="4"/>
  <c r="M29" i="4"/>
  <c r="K29" i="4"/>
  <c r="O28" i="4"/>
  <c r="M28" i="4"/>
  <c r="K28" i="4"/>
  <c r="O27" i="4"/>
  <c r="M27" i="4"/>
  <c r="K27" i="4"/>
  <c r="O26" i="4"/>
  <c r="M26" i="4"/>
  <c r="K26" i="4"/>
  <c r="O25" i="4"/>
  <c r="M25" i="4"/>
  <c r="K25" i="4"/>
  <c r="O24" i="4"/>
  <c r="M24" i="4"/>
  <c r="K24" i="4"/>
  <c r="O23" i="4"/>
  <c r="M23" i="4"/>
  <c r="K23" i="4"/>
  <c r="O22" i="4"/>
  <c r="M22" i="4"/>
  <c r="K22" i="4"/>
  <c r="O21" i="4"/>
  <c r="M21" i="4"/>
  <c r="K21" i="4"/>
  <c r="O20" i="4"/>
  <c r="M20" i="4"/>
  <c r="K20" i="4"/>
  <c r="O19" i="4"/>
  <c r="M19" i="4"/>
  <c r="K19" i="4"/>
  <c r="O18" i="4"/>
  <c r="M18" i="4"/>
  <c r="K18" i="4"/>
  <c r="O17" i="4"/>
  <c r="M17" i="4"/>
  <c r="K17" i="4"/>
  <c r="P105" i="4" l="1"/>
  <c r="P104" i="4"/>
  <c r="P101" i="4"/>
  <c r="P99" i="4"/>
  <c r="L17" i="4"/>
  <c r="L18" i="4" s="1"/>
  <c r="N17" i="4"/>
  <c r="N18" i="4" s="1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L19" i="4" l="1"/>
  <c r="P18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L20" i="4" l="1"/>
  <c r="P19" i="4"/>
  <c r="T2" i="5"/>
  <c r="T3" i="5"/>
  <c r="T4" i="3"/>
  <c r="S5" i="3"/>
  <c r="L21" i="4" l="1"/>
  <c r="P20" i="4"/>
  <c r="T4" i="5"/>
  <c r="S6" i="3"/>
  <c r="T6" i="3" s="1"/>
  <c r="T5" i="3"/>
  <c r="P21" i="4" l="1"/>
  <c r="L22" i="4"/>
  <c r="T6" i="5"/>
  <c r="T5" i="5"/>
  <c r="L23" i="4" l="1"/>
  <c r="P22" i="4"/>
  <c r="P17" i="4"/>
  <c r="L24" i="4" l="1"/>
  <c r="P23" i="4"/>
  <c r="L25" i="4" l="1"/>
  <c r="P24" i="4"/>
  <c r="P25" i="4" l="1"/>
  <c r="L26" i="4"/>
  <c r="L27" i="4" l="1"/>
  <c r="P26" i="4"/>
  <c r="L28" i="4" l="1"/>
  <c r="P27" i="4"/>
  <c r="L29" i="4" l="1"/>
  <c r="P28" i="4"/>
  <c r="P29" i="4" l="1"/>
  <c r="L30" i="4"/>
  <c r="L31" i="4" l="1"/>
  <c r="P30" i="4"/>
  <c r="L32" i="4" l="1"/>
  <c r="P31" i="4"/>
  <c r="L33" i="4" l="1"/>
  <c r="P32" i="4"/>
  <c r="P33" i="4" l="1"/>
  <c r="L34" i="4"/>
  <c r="L35" i="4" l="1"/>
  <c r="P34" i="4"/>
  <c r="L36" i="4" l="1"/>
  <c r="P35" i="4"/>
  <c r="L37" i="4" l="1"/>
  <c r="P36" i="4"/>
  <c r="P37" i="4" l="1"/>
  <c r="L38" i="4"/>
  <c r="L39" i="4" l="1"/>
  <c r="P38" i="4"/>
  <c r="L40" i="4" l="1"/>
  <c r="P39" i="4"/>
  <c r="L41" i="4" l="1"/>
  <c r="P40" i="4"/>
  <c r="P41" i="4" l="1"/>
  <c r="L42" i="4"/>
  <c r="L43" i="4" l="1"/>
  <c r="P42" i="4"/>
  <c r="L44" i="4" l="1"/>
  <c r="P43" i="4"/>
  <c r="L45" i="4" l="1"/>
  <c r="P44" i="4"/>
  <c r="P45" i="4" l="1"/>
  <c r="L46" i="4"/>
  <c r="L47" i="4" l="1"/>
  <c r="P46" i="4"/>
  <c r="L48" i="4" l="1"/>
  <c r="P47" i="4"/>
  <c r="L49" i="4" l="1"/>
  <c r="P48" i="4"/>
  <c r="P49" i="4" l="1"/>
  <c r="L50" i="4"/>
  <c r="L51" i="4" l="1"/>
  <c r="P50" i="4"/>
  <c r="L52" i="4" l="1"/>
  <c r="P51" i="4"/>
  <c r="L53" i="4" l="1"/>
  <c r="P52" i="4"/>
  <c r="P53" i="4" l="1"/>
  <c r="L54" i="4"/>
  <c r="L55" i="4" l="1"/>
  <c r="P54" i="4"/>
  <c r="L56" i="4" l="1"/>
  <c r="P55" i="4"/>
  <c r="L57" i="4" l="1"/>
  <c r="P56" i="4"/>
  <c r="P57" i="4" l="1"/>
  <c r="L58" i="4"/>
  <c r="L59" i="4" l="1"/>
  <c r="P58" i="4"/>
  <c r="L60" i="4" l="1"/>
  <c r="P59" i="4"/>
  <c r="L61" i="4" l="1"/>
  <c r="P60" i="4"/>
  <c r="P61" i="4" l="1"/>
  <c r="L62" i="4"/>
  <c r="L63" i="4" l="1"/>
  <c r="P62" i="4"/>
  <c r="L64" i="4" l="1"/>
  <c r="P63" i="4"/>
  <c r="L65" i="4" l="1"/>
  <c r="P64" i="4"/>
  <c r="P65" i="4" l="1"/>
  <c r="L66" i="4"/>
  <c r="L67" i="4" l="1"/>
  <c r="P66" i="4"/>
  <c r="L68" i="4" l="1"/>
  <c r="P67" i="4"/>
  <c r="L69" i="4" l="1"/>
  <c r="P68" i="4"/>
  <c r="P69" i="4" l="1"/>
  <c r="L70" i="4"/>
  <c r="L71" i="4" l="1"/>
  <c r="P70" i="4"/>
  <c r="L72" i="4" l="1"/>
  <c r="P71" i="4"/>
  <c r="L73" i="4" l="1"/>
  <c r="P72" i="4"/>
  <c r="P73" i="4" l="1"/>
  <c r="L74" i="4"/>
  <c r="L75" i="4" l="1"/>
  <c r="P74" i="4"/>
  <c r="L76" i="4" l="1"/>
  <c r="P75" i="4"/>
  <c r="L77" i="4" l="1"/>
  <c r="P76" i="4"/>
  <c r="P77" i="4" l="1"/>
  <c r="L78" i="4"/>
  <c r="L79" i="4" l="1"/>
  <c r="P78" i="4"/>
  <c r="L80" i="4" l="1"/>
  <c r="P79" i="4"/>
  <c r="L81" i="4" l="1"/>
  <c r="P80" i="4"/>
  <c r="P81" i="4" l="1"/>
  <c r="L82" i="4"/>
  <c r="L83" i="4" l="1"/>
  <c r="P82" i="4"/>
  <c r="L84" i="4" l="1"/>
  <c r="P83" i="4"/>
  <c r="L85" i="4" l="1"/>
  <c r="P84" i="4"/>
  <c r="P85" i="4" l="1"/>
  <c r="L86" i="4"/>
  <c r="L87" i="4" l="1"/>
  <c r="P86" i="4"/>
  <c r="L88" i="4" l="1"/>
  <c r="P87" i="4"/>
  <c r="L89" i="4" l="1"/>
  <c r="P88" i="4"/>
  <c r="P89" i="4" l="1"/>
  <c r="L90" i="4"/>
  <c r="L91" i="4" l="1"/>
  <c r="P90" i="4"/>
  <c r="L92" i="4" l="1"/>
  <c r="P91" i="4"/>
  <c r="L93" i="4" l="1"/>
  <c r="P92" i="4"/>
  <c r="P93" i="4" l="1"/>
  <c r="L94" i="4"/>
  <c r="L95" i="4" l="1"/>
  <c r="P94" i="4"/>
  <c r="L96" i="4" l="1"/>
  <c r="P95" i="4"/>
  <c r="L97" i="4" l="1"/>
  <c r="P96" i="4"/>
  <c r="P97" i="4" l="1"/>
  <c r="L98" i="4"/>
  <c r="P98" i="4" s="1"/>
</calcChain>
</file>

<file path=xl/sharedStrings.xml><?xml version="1.0" encoding="utf-8"?>
<sst xmlns="http://schemas.openxmlformats.org/spreadsheetml/2006/main" count="287" uniqueCount="268">
  <si>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</si>
  <si>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</si>
  <si>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</si>
  <si>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</si>
  <si>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</si>
  <si>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</si>
  <si>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</si>
  <si>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</si>
  <si>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</si>
  <si>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</si>
  <si>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</si>
  <si>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</si>
  <si>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</si>
  <si>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</si>
  <si>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</si>
  <si>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</si>
  <si>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</si>
  <si>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</si>
  <si>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</si>
  <si>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</si>
  <si>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</si>
  <si>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</si>
  <si>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</si>
  <si>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</si>
  <si>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</si>
  <si>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</si>
  <si>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</si>
  <si>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</si>
  <si>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</si>
  <si>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</si>
  <si>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</si>
  <si>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</si>
  <si>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</si>
  <si>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</si>
  <si>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</si>
  <si>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</si>
  <si>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</si>
  <si>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</si>
  <si>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</si>
  <si>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</si>
  <si>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</si>
  <si>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</si>
  <si>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</si>
  <si>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</si>
  <si>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</si>
  <si>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</si>
  <si>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</si>
  <si>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</si>
  <si>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</si>
  <si>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</si>
  <si>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</si>
  <si>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</si>
  <si>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</si>
  <si>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</si>
  <si>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</si>
  <si>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</si>
  <si>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</si>
  <si>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</si>
  <si>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</si>
  <si>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</si>
  <si>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</si>
  <si>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</si>
  <si>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</si>
  <si>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</si>
  <si>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</si>
  <si>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</si>
  <si>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</si>
  <si>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</si>
  <si>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</si>
  <si>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</si>
  <si>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</si>
  <si>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</si>
  <si>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</si>
  <si>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</si>
  <si>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</si>
  <si>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</si>
  <si>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</si>
  <si>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</si>
  <si>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</si>
  <si>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</si>
  <si>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</si>
  <si>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</si>
  <si>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</si>
  <si>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</si>
  <si>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</si>
  <si>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</si>
  <si>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</si>
  <si>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</si>
  <si>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</si>
  <si>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</si>
  <si>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</si>
  <si>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</si>
  <si>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</si>
  <si>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</si>
  <si>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</si>
  <si>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</si>
  <si>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</si>
  <si>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</si>
  <si>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</si>
  <si>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</si>
  <si>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</si>
  <si>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</si>
  <si>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</si>
  <si>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</si>
  <si>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</si>
  <si>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</si>
  <si>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</si>
  <si>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</si>
  <si>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</si>
  <si>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</si>
  <si>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</si>
  <si>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</si>
  <si>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</si>
  <si>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</si>
  <si>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</si>
  <si>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</si>
  <si>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</si>
  <si>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</si>
  <si>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</si>
  <si>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</si>
  <si>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</si>
  <si>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</si>
  <si>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</si>
  <si>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</si>
  <si>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</si>
  <si>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</si>
  <si>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</si>
  <si>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</si>
  <si>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</si>
  <si>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</si>
  <si>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</si>
  <si>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</si>
  <si>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</si>
  <si>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</si>
  <si>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</si>
  <si>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</si>
  <si>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</si>
  <si>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</si>
  <si>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</si>
  <si>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</si>
  <si>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</si>
  <si>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</si>
  <si>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</si>
  <si>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</si>
  <si>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</si>
  <si>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</si>
  <si>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</si>
  <si>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</si>
  <si>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</si>
  <si>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</si>
  <si>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</si>
  <si>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</si>
  <si>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</si>
  <si>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</si>
  <si>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</si>
  <si>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</si>
  <si>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</si>
  <si>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</si>
  <si>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</si>
  <si>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</si>
  <si>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</si>
  <si>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</si>
  <si>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</si>
  <si>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</si>
  <si>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</si>
  <si>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</si>
  <si>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</si>
  <si>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</si>
  <si>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</si>
  <si>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</si>
  <si>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</si>
  <si>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</si>
  <si>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</si>
  <si>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</si>
  <si>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</si>
  <si>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</si>
  <si>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</si>
  <si>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</si>
  <si>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</si>
  <si>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ポイント
（2025/11/20未満は１、2025/11/20以上は得点１が６０点、減点全てが０点に限り、１０分台が１、0分台が２）</t>
    <rPh sb="16" eb="18">
      <t>ミマン</t>
    </rPh>
    <rPh sb="31" eb="33">
      <t>イジョウ</t>
    </rPh>
    <rPh sb="34" eb="36">
      <t>トクテン</t>
    </rPh>
    <rPh sb="40" eb="41">
      <t>テン</t>
    </rPh>
    <rPh sb="42" eb="44">
      <t>ゲンテン</t>
    </rPh>
    <rPh sb="44" eb="45">
      <t>スベ</t>
    </rPh>
    <rPh sb="48" eb="49">
      <t>テン</t>
    </rPh>
    <rPh sb="50" eb="51">
      <t>カギ</t>
    </rPh>
    <rPh sb="55" eb="57">
      <t>フンダイ</t>
    </rPh>
    <rPh sb="61" eb="63">
      <t>フンダイ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</si>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</sst>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データ!$P$1:$P$104</c:f>
              <c:strCache>
                <c:ptCount val="104"/>
                <c:pt idx="0">
                  <c:v>目標達成／目標未達</c:v>
                </c:pt>
                <c:pt idx="16">
                  <c:v>未達成（1）</c:v>
                </c:pt>
                <c:pt idx="17">
                  <c:v>達成</c:v>
                </c:pt>
                <c:pt idx="18">
                  <c:v>未達成（1）</c:v>
                </c:pt>
                <c:pt idx="19">
                  <c:v>達成</c:v>
                </c:pt>
                <c:pt idx="20">
                  <c:v>未達成（1）</c:v>
                </c:pt>
                <c:pt idx="21">
                  <c:v>達成</c:v>
                </c:pt>
                <c:pt idx="22">
                  <c:v>未達成（1）</c:v>
                </c:pt>
                <c:pt idx="23">
                  <c:v>達成</c:v>
                </c:pt>
                <c:pt idx="24">
                  <c:v>未達成（1）</c:v>
                </c:pt>
                <c:pt idx="25">
                  <c:v>達成</c:v>
                </c:pt>
                <c:pt idx="26">
                  <c:v>未達成（2）</c:v>
                </c:pt>
                <c:pt idx="27">
                  <c:v>未達成（1）</c:v>
                </c:pt>
                <c:pt idx="28">
                  <c:v>達成</c:v>
                </c:pt>
                <c:pt idx="29">
                  <c:v>未達成（1）</c:v>
                </c:pt>
                <c:pt idx="30">
                  <c:v>達成</c:v>
                </c:pt>
                <c:pt idx="31">
                  <c:v>未達成（1）</c:v>
                </c:pt>
                <c:pt idx="32">
                  <c:v>達成</c:v>
                </c:pt>
                <c:pt idx="33">
                  <c:v>未達成（1）</c:v>
                </c:pt>
                <c:pt idx="34">
                  <c:v>達成</c:v>
                </c:pt>
                <c:pt idx="35">
                  <c:v>未達成（1）</c:v>
                </c:pt>
                <c:pt idx="36">
                  <c:v>達成</c:v>
                </c:pt>
                <c:pt idx="37">
                  <c:v>未達成（3）</c:v>
                </c:pt>
                <c:pt idx="38">
                  <c:v>未達成（2）</c:v>
                </c:pt>
                <c:pt idx="39">
                  <c:v>未達成（3）</c:v>
                </c:pt>
                <c:pt idx="40">
                  <c:v>未達成（2）</c:v>
                </c:pt>
                <c:pt idx="41">
                  <c:v>未達成（3）</c:v>
                </c:pt>
                <c:pt idx="42">
                  <c:v>未達成（2）</c:v>
                </c:pt>
                <c:pt idx="43">
                  <c:v>未達成（1）</c:v>
                </c:pt>
                <c:pt idx="44">
                  <c:v>達成</c:v>
                </c:pt>
                <c:pt idx="45">
                  <c:v>前倒し（1）</c:v>
                </c:pt>
                <c:pt idx="46">
                  <c:v>前倒し（2）</c:v>
                </c:pt>
                <c:pt idx="47">
                  <c:v>前倒し（1）</c:v>
                </c:pt>
                <c:pt idx="48">
                  <c:v>前倒し（2）</c:v>
                </c:pt>
                <c:pt idx="49">
                  <c:v>前倒し（3）</c:v>
                </c:pt>
                <c:pt idx="50">
                  <c:v>前倒し（4）</c:v>
                </c:pt>
                <c:pt idx="51">
                  <c:v>前倒し（1）</c:v>
                </c:pt>
                <c:pt idx="52">
                  <c:v>前倒し（2）</c:v>
                </c:pt>
                <c:pt idx="53">
                  <c:v>前倒し（1）</c:v>
                </c:pt>
                <c:pt idx="54">
                  <c:v>前倒し（1）</c:v>
                </c:pt>
                <c:pt idx="55">
                  <c:v>達成</c:v>
                </c:pt>
                <c:pt idx="56">
                  <c:v>未達成（1）</c:v>
                </c:pt>
                <c:pt idx="57">
                  <c:v>達成</c:v>
                </c:pt>
                <c:pt idx="58">
                  <c:v>未達成（3）</c:v>
                </c:pt>
                <c:pt idx="59">
                  <c:v>未達成（3）</c:v>
                </c:pt>
                <c:pt idx="60">
                  <c:v>未達成（3）</c:v>
                </c:pt>
                <c:pt idx="61">
                  <c:v>未達成（2）</c:v>
                </c:pt>
                <c:pt idx="62">
                  <c:v>達成</c:v>
                </c:pt>
                <c:pt idx="63">
                  <c:v>達成</c:v>
                </c:pt>
                <c:pt idx="64">
                  <c:v>未達成（2）</c:v>
                </c:pt>
                <c:pt idx="65">
                  <c:v>達成</c:v>
                </c:pt>
                <c:pt idx="66">
                  <c:v>未達成（1）</c:v>
                </c:pt>
                <c:pt idx="67">
                  <c:v>未達成（1）</c:v>
                </c:pt>
                <c:pt idx="68">
                  <c:v>達成</c:v>
                </c:pt>
                <c:pt idx="69">
                  <c:v>未達成（2）</c:v>
                </c:pt>
                <c:pt idx="70">
                  <c:v>未達成（1）</c:v>
                </c:pt>
                <c:pt idx="71">
                  <c:v>達成</c:v>
                </c:pt>
                <c:pt idx="72">
                  <c:v>未達成（1）</c:v>
                </c:pt>
                <c:pt idx="73">
                  <c:v>達成</c:v>
                </c:pt>
                <c:pt idx="74">
                  <c:v>未達成（1）</c:v>
                </c:pt>
                <c:pt idx="75">
                  <c:v>前倒し（1）</c:v>
                </c:pt>
                <c:pt idx="76">
                  <c:v>未達成（1）</c:v>
                </c:pt>
                <c:pt idx="77">
                  <c:v>前倒し（1）</c:v>
                </c:pt>
                <c:pt idx="78">
                  <c:v>未達成（2）</c:v>
                </c:pt>
                <c:pt idx="79">
                  <c:v>達成</c:v>
                </c:pt>
                <c:pt idx="80">
                  <c:v>未達成（2）</c:v>
                </c:pt>
                <c:pt idx="81">
                  <c:v>未達成（1）</c:v>
                </c:pt>
                <c:pt idx="82">
                  <c:v>達成</c:v>
                </c:pt>
                <c:pt idx="83">
                  <c:v>未達成（2）</c:v>
                </c:pt>
                <c:pt idx="84">
                  <c:v>未達成（1）</c:v>
                </c:pt>
                <c:pt idx="85">
                  <c:v>前倒し（1）</c:v>
                </c:pt>
                <c:pt idx="86">
                  <c:v>未達成（1）</c:v>
                </c:pt>
                <c:pt idx="87">
                  <c:v>達成</c:v>
                </c:pt>
                <c:pt idx="88">
                  <c:v>未達成（1）</c:v>
                </c:pt>
                <c:pt idx="89">
                  <c:v>前倒し（1）</c:v>
                </c:pt>
                <c:pt idx="90">
                  <c:v>達成</c:v>
                </c:pt>
                <c:pt idx="91">
                  <c:v>未達成（2）</c:v>
                </c:pt>
                <c:pt idx="92">
                  <c:v>未達成（1）</c:v>
                </c:pt>
                <c:pt idx="93">
                  <c:v>前倒し（1）</c:v>
                </c:pt>
                <c:pt idx="94">
                  <c:v>未達成（1）</c:v>
                </c:pt>
                <c:pt idx="95">
                  <c:v>前倒し（1）</c:v>
                </c:pt>
                <c:pt idx="96">
                  <c:v>達成</c:v>
                </c:pt>
                <c:pt idx="97">
                  <c:v>未達成（3）</c:v>
                </c:pt>
                <c:pt idx="98">
                  <c:v>未達成（3）</c:v>
                </c:pt>
                <c:pt idx="99">
                  <c:v>未達成（2）</c:v>
                </c:pt>
                <c:pt idx="100">
                  <c:v>未達成（1）</c:v>
                </c:pt>
                <c:pt idx="101">
                  <c:v>達成</c:v>
                </c:pt>
                <c:pt idx="102">
                  <c:v>未達成（2）</c:v>
                </c:pt>
                <c:pt idx="103">
                  <c:v>未達成（1）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データ!$A$2:$A$105</c:f>
              <c:numCache>
                <c:formatCode>m/d/yyyy\ h:mm</c:formatCode>
                <c:ptCount val="104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</c:numCache>
            </c:numRef>
          </c:xVal>
          <c:yVal>
            <c:numRef>
              <c:f>データ!$B$2:$B$105</c:f>
              <c:numCache>
                <c:formatCode>General</c:formatCode>
                <c:ptCount val="104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E0-4422-938F-89EA067EF04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00E0-4422-938F-89EA067EF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0812144"/>
        <c:axId val="1320813104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データ!$A$2:$A$105</c:f>
              <c:numCache>
                <c:formatCode>m/d/yyyy\ h:mm</c:formatCode>
                <c:ptCount val="104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</c:numCache>
            </c:numRef>
          </c:xVal>
          <c:yVal>
            <c:numRef>
              <c:f>データ!$G$2:$G$105</c:f>
              <c:numCache>
                <c:formatCode>[h]:mm</c:formatCode>
                <c:ptCount val="104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E0-4422-938F-89EA067EF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0818384"/>
        <c:axId val="1320812145"/>
      </c:scatterChart>
      <c:valAx>
        <c:axId val="1320812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20813104"/>
        <c:crosses val="autoZero"/>
        <c:crossBetween val="midCat"/>
      </c:valAx>
      <c:valAx>
        <c:axId val="132081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20812144"/>
        <c:crosses val="autoZero"/>
        <c:crossBetween val="midCat"/>
      </c:valAx>
      <c:valAx>
        <c:axId val="1320812145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20818384"/>
        <c:crosses val="max"/>
        <c:crossBetween val="midCat"/>
      </c:valAx>
      <c:valAx>
        <c:axId val="1320818384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20812145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セルを黄色" lockText="1" noThreeD="1"/>
</file>

<file path=xl/ctrlProps/ctrlProp15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211931</xdr:colOff>
      <xdr:row>2</xdr:row>
      <xdr:rowOff>178594</xdr:rowOff>
    </xdr:from>
    <xdr:to>
      <xdr:col>11</xdr:col>
      <xdr:colOff>211931</xdr:colOff>
      <xdr:row>4</xdr:row>
      <xdr:rowOff>178594</xdr:rowOff>
    </xdr:to>
    <xdr:cxnSp macro="">
      <xdr:nvCxnSpPr>
        <xdr:cNvPr id="1048" name="Match0">
          <a:extLst>
            <a:ext uri="{FF2B5EF4-FFF2-40B4-BE49-F238E27FC236}">
              <a16:creationId xmlns:a16="http://schemas.microsoft.com/office/drawing/2014/main" id="{3EF9C9C8-4D96-6CA5-4090-952489135468}"/>
            </a:ext>
          </a:extLst>
        </xdr:cNvPr>
        <xdr:cNvCxnSpPr/>
      </xdr:nvCxnSpPr>
      <xdr:spPr>
        <a:xfrm>
          <a:off x="4874419" y="892969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5</xdr:row>
      <xdr:rowOff>178593</xdr:rowOff>
    </xdr:from>
    <xdr:to>
      <xdr:col>5</xdr:col>
      <xdr:colOff>211931</xdr:colOff>
      <xdr:row>9</xdr:row>
      <xdr:rowOff>178593</xdr:rowOff>
    </xdr:to>
    <xdr:cxnSp macro="">
      <xdr:nvCxnSpPr>
        <xdr:cNvPr id="1049" name="Match1">
          <a:extLst>
            <a:ext uri="{FF2B5EF4-FFF2-40B4-BE49-F238E27FC236}">
              <a16:creationId xmlns:a16="http://schemas.microsoft.com/office/drawing/2014/main" id="{A86C4B7D-1855-A488-EAA4-A78D9A929543}"/>
            </a:ext>
          </a:extLst>
        </xdr:cNvPr>
        <xdr:cNvCxnSpPr/>
      </xdr:nvCxnSpPr>
      <xdr:spPr>
        <a:xfrm flipV="1">
          <a:off x="2331244" y="1964531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0</xdr:row>
      <xdr:rowOff>178594</xdr:rowOff>
    </xdr:from>
    <xdr:to>
      <xdr:col>1</xdr:col>
      <xdr:colOff>211931</xdr:colOff>
      <xdr:row>4</xdr:row>
      <xdr:rowOff>178594</xdr:rowOff>
    </xdr:to>
    <xdr:cxnSp macro="">
      <xdr:nvCxnSpPr>
        <xdr:cNvPr id="1055" name="Match2">
          <a:extLst>
            <a:ext uri="{FF2B5EF4-FFF2-40B4-BE49-F238E27FC236}">
              <a16:creationId xmlns:a16="http://schemas.microsoft.com/office/drawing/2014/main" id="{B79FDD6E-2D02-A8F6-62B4-3ECDD49527E6}"/>
            </a:ext>
          </a:extLst>
        </xdr:cNvPr>
        <xdr:cNvCxnSpPr/>
      </xdr:nvCxnSpPr>
      <xdr:spPr>
        <a:xfrm>
          <a:off x="635794" y="178594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</xdr:row>
      <xdr:rowOff>178593</xdr:rowOff>
    </xdr:from>
    <xdr:to>
      <xdr:col>1</xdr:col>
      <xdr:colOff>211931</xdr:colOff>
      <xdr:row>1</xdr:row>
      <xdr:rowOff>178593</xdr:rowOff>
    </xdr:to>
    <xdr:cxnSp macro="">
      <xdr:nvCxnSpPr>
        <xdr:cNvPr id="1056" name="Match3">
          <a:extLst>
            <a:ext uri="{FF2B5EF4-FFF2-40B4-BE49-F238E27FC236}">
              <a16:creationId xmlns:a16="http://schemas.microsoft.com/office/drawing/2014/main" id="{0C626EAB-1EC6-E11F-356A-22FB60959F00}"/>
            </a:ext>
          </a:extLst>
        </xdr:cNvPr>
        <xdr:cNvCxnSpPr/>
      </xdr:nvCxnSpPr>
      <xdr:spPr>
        <a:xfrm>
          <a:off x="211931" y="5357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</xdr:row>
      <xdr:rowOff>178593</xdr:rowOff>
    </xdr:from>
    <xdr:to>
      <xdr:col>1</xdr:col>
      <xdr:colOff>211931</xdr:colOff>
      <xdr:row>1</xdr:row>
      <xdr:rowOff>178593</xdr:rowOff>
    </xdr:to>
    <xdr:cxnSp macro="">
      <xdr:nvCxnSpPr>
        <xdr:cNvPr id="1057" name="Match4">
          <a:extLst>
            <a:ext uri="{FF2B5EF4-FFF2-40B4-BE49-F238E27FC236}">
              <a16:creationId xmlns:a16="http://schemas.microsoft.com/office/drawing/2014/main" id="{C4601C15-E417-0BC8-6B7A-EE3A86928A5D}"/>
            </a:ext>
          </a:extLst>
        </xdr:cNvPr>
        <xdr:cNvCxnSpPr/>
      </xdr:nvCxnSpPr>
      <xdr:spPr>
        <a:xfrm flipH="1">
          <a:off x="211931" y="5357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4</xdr:row>
      <xdr:rowOff>178594</xdr:rowOff>
    </xdr:from>
    <xdr:to>
      <xdr:col>7</xdr:col>
      <xdr:colOff>211931</xdr:colOff>
      <xdr:row>5</xdr:row>
      <xdr:rowOff>178593</xdr:rowOff>
    </xdr:to>
    <xdr:cxnSp macro="">
      <xdr:nvCxnSpPr>
        <xdr:cNvPr id="1061" name="Match5">
          <a:extLst>
            <a:ext uri="{FF2B5EF4-FFF2-40B4-BE49-F238E27FC236}">
              <a16:creationId xmlns:a16="http://schemas.microsoft.com/office/drawing/2014/main" id="{961A4738-E100-D1ED-DB97-636BA850B3DA}"/>
            </a:ext>
          </a:extLst>
        </xdr:cNvPr>
        <xdr:cNvCxnSpPr/>
      </xdr:nvCxnSpPr>
      <xdr:spPr>
        <a:xfrm>
          <a:off x="2755106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5</xdr:row>
      <xdr:rowOff>178593</xdr:rowOff>
    </xdr:from>
    <xdr:to>
      <xdr:col>8</xdr:col>
      <xdr:colOff>211931</xdr:colOff>
      <xdr:row>6</xdr:row>
      <xdr:rowOff>178594</xdr:rowOff>
    </xdr:to>
    <xdr:cxnSp macro="">
      <xdr:nvCxnSpPr>
        <xdr:cNvPr id="1063" name="Match6">
          <a:extLst>
            <a:ext uri="{FF2B5EF4-FFF2-40B4-BE49-F238E27FC236}">
              <a16:creationId xmlns:a16="http://schemas.microsoft.com/office/drawing/2014/main" id="{BE712336-687A-F58A-7484-CD1CF9A2D2AC}"/>
            </a:ext>
          </a:extLst>
        </xdr:cNvPr>
        <xdr:cNvCxnSpPr/>
      </xdr:nvCxnSpPr>
      <xdr:spPr>
        <a:xfrm>
          <a:off x="3178969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5</xdr:row>
      <xdr:rowOff>203993</xdr:rowOff>
    </xdr:from>
    <xdr:to>
      <xdr:col>7</xdr:col>
      <xdr:colOff>237331</xdr:colOff>
      <xdr:row>6</xdr:row>
      <xdr:rowOff>203994</xdr:rowOff>
    </xdr:to>
    <xdr:cxnSp macro="">
      <xdr:nvCxnSpPr>
        <xdr:cNvPr id="1064" name="Match7">
          <a:extLst>
            <a:ext uri="{FF2B5EF4-FFF2-40B4-BE49-F238E27FC236}">
              <a16:creationId xmlns:a16="http://schemas.microsoft.com/office/drawing/2014/main" id="{EF05B246-8587-820E-BE88-C99243EC43C5}"/>
            </a:ext>
          </a:extLst>
        </xdr:cNvPr>
        <xdr:cNvCxnSpPr/>
      </xdr:nvCxnSpPr>
      <xdr:spPr>
        <a:xfrm>
          <a:off x="3204369" y="198993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262731</xdr:colOff>
      <xdr:row>4</xdr:row>
      <xdr:rowOff>229394</xdr:rowOff>
    </xdr:from>
    <xdr:to>
      <xdr:col>7</xdr:col>
      <xdr:colOff>262731</xdr:colOff>
      <xdr:row>5</xdr:row>
      <xdr:rowOff>229393</xdr:rowOff>
    </xdr:to>
    <xdr:cxnSp macro="">
      <xdr:nvCxnSpPr>
        <xdr:cNvPr id="1065" name="Match8">
          <a:extLst>
            <a:ext uri="{FF2B5EF4-FFF2-40B4-BE49-F238E27FC236}">
              <a16:creationId xmlns:a16="http://schemas.microsoft.com/office/drawing/2014/main" id="{4781BA1C-CC57-F5CE-67AB-8235FE4BB130}"/>
            </a:ext>
          </a:extLst>
        </xdr:cNvPr>
        <xdr:cNvCxnSpPr/>
      </xdr:nvCxnSpPr>
      <xdr:spPr>
        <a:xfrm flipH="1" flipV="1">
          <a:off x="2805906" y="1658144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5</xdr:row>
      <xdr:rowOff>178593</xdr:rowOff>
    </xdr:from>
    <xdr:to>
      <xdr:col>11</xdr:col>
      <xdr:colOff>211931</xdr:colOff>
      <xdr:row>6</xdr:row>
      <xdr:rowOff>178594</xdr:rowOff>
    </xdr:to>
    <xdr:cxnSp macro="">
      <xdr:nvCxnSpPr>
        <xdr:cNvPr id="1066" name="Match9">
          <a:extLst>
            <a:ext uri="{FF2B5EF4-FFF2-40B4-BE49-F238E27FC236}">
              <a16:creationId xmlns:a16="http://schemas.microsoft.com/office/drawing/2014/main" id="{2ED34EC4-10AF-E4EA-896F-5CA275B1E1F9}"/>
            </a:ext>
          </a:extLst>
        </xdr:cNvPr>
        <xdr:cNvCxnSpPr/>
      </xdr:nvCxnSpPr>
      <xdr:spPr>
        <a:xfrm>
          <a:off x="4874419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5</xdr:row>
      <xdr:rowOff>203993</xdr:rowOff>
    </xdr:from>
    <xdr:to>
      <xdr:col>11</xdr:col>
      <xdr:colOff>237331</xdr:colOff>
      <xdr:row>6</xdr:row>
      <xdr:rowOff>203994</xdr:rowOff>
    </xdr:to>
    <xdr:cxnSp macro="">
      <xdr:nvCxnSpPr>
        <xdr:cNvPr id="1067" name="Match10">
          <a:extLst>
            <a:ext uri="{FF2B5EF4-FFF2-40B4-BE49-F238E27FC236}">
              <a16:creationId xmlns:a16="http://schemas.microsoft.com/office/drawing/2014/main" id="{92F61CC8-8E7F-167D-6C96-18552A23F8BA}"/>
            </a:ext>
          </a:extLst>
        </xdr:cNvPr>
        <xdr:cNvCxnSpPr/>
      </xdr:nvCxnSpPr>
      <xdr:spPr>
        <a:xfrm flipH="1">
          <a:off x="4475956" y="198993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6</xdr:row>
      <xdr:rowOff>178594</xdr:rowOff>
    </xdr:from>
    <xdr:to>
      <xdr:col>8</xdr:col>
      <xdr:colOff>211931</xdr:colOff>
      <xdr:row>6</xdr:row>
      <xdr:rowOff>178594</xdr:rowOff>
    </xdr:to>
    <xdr:cxnSp macro="">
      <xdr:nvCxnSpPr>
        <xdr:cNvPr id="1068" name="Match11">
          <a:extLst>
            <a:ext uri="{FF2B5EF4-FFF2-40B4-BE49-F238E27FC236}">
              <a16:creationId xmlns:a16="http://schemas.microsoft.com/office/drawing/2014/main" id="{3DDFD58A-C686-9C0D-5FCB-F9F0F205BC1B}"/>
            </a:ext>
          </a:extLst>
        </xdr:cNvPr>
        <xdr:cNvCxnSpPr/>
      </xdr:nvCxnSpPr>
      <xdr:spPr>
        <a:xfrm>
          <a:off x="3178969" y="232171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5</xdr:row>
      <xdr:rowOff>203993</xdr:rowOff>
    </xdr:from>
    <xdr:to>
      <xdr:col>7</xdr:col>
      <xdr:colOff>237331</xdr:colOff>
      <xdr:row>6</xdr:row>
      <xdr:rowOff>203994</xdr:rowOff>
    </xdr:to>
    <xdr:cxnSp macro="">
      <xdr:nvCxnSpPr>
        <xdr:cNvPr id="1069" name="Match12">
          <a:extLst>
            <a:ext uri="{FF2B5EF4-FFF2-40B4-BE49-F238E27FC236}">
              <a16:creationId xmlns:a16="http://schemas.microsoft.com/office/drawing/2014/main" id="{159FD773-E8D1-AC0B-7BB8-729906E51FEB}"/>
            </a:ext>
          </a:extLst>
        </xdr:cNvPr>
        <xdr:cNvCxnSpPr/>
      </xdr:nvCxnSpPr>
      <xdr:spPr>
        <a:xfrm flipV="1">
          <a:off x="3204369" y="198993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6</xdr:row>
      <xdr:rowOff>178594</xdr:rowOff>
    </xdr:from>
    <xdr:to>
      <xdr:col>8</xdr:col>
      <xdr:colOff>211931</xdr:colOff>
      <xdr:row>6</xdr:row>
      <xdr:rowOff>178594</xdr:rowOff>
    </xdr:to>
    <xdr:cxnSp macro="">
      <xdr:nvCxnSpPr>
        <xdr:cNvPr id="1070" name="Match13">
          <a:extLst>
            <a:ext uri="{FF2B5EF4-FFF2-40B4-BE49-F238E27FC236}">
              <a16:creationId xmlns:a16="http://schemas.microsoft.com/office/drawing/2014/main" id="{75867024-76EF-2D07-FA01-05E0BDEBD800}"/>
            </a:ext>
          </a:extLst>
        </xdr:cNvPr>
        <xdr:cNvCxnSpPr/>
      </xdr:nvCxnSpPr>
      <xdr:spPr>
        <a:xfrm flipH="1">
          <a:off x="3178969" y="232171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5</xdr:row>
      <xdr:rowOff>203993</xdr:rowOff>
    </xdr:from>
    <xdr:to>
      <xdr:col>8</xdr:col>
      <xdr:colOff>237331</xdr:colOff>
      <xdr:row>6</xdr:row>
      <xdr:rowOff>203994</xdr:rowOff>
    </xdr:to>
    <xdr:cxnSp macro="">
      <xdr:nvCxnSpPr>
        <xdr:cNvPr id="1071" name="Match14">
          <a:extLst>
            <a:ext uri="{FF2B5EF4-FFF2-40B4-BE49-F238E27FC236}">
              <a16:creationId xmlns:a16="http://schemas.microsoft.com/office/drawing/2014/main" id="{F42D2398-BB8C-FA5D-FEC5-F6C856774A82}"/>
            </a:ext>
          </a:extLst>
        </xdr:cNvPr>
        <xdr:cNvCxnSpPr/>
      </xdr:nvCxnSpPr>
      <xdr:spPr>
        <a:xfrm flipH="1" flipV="1">
          <a:off x="3204369" y="198993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6</xdr:row>
      <xdr:rowOff>178594</xdr:rowOff>
    </xdr:from>
    <xdr:to>
      <xdr:col>11</xdr:col>
      <xdr:colOff>211931</xdr:colOff>
      <xdr:row>6</xdr:row>
      <xdr:rowOff>178594</xdr:rowOff>
    </xdr:to>
    <xdr:cxnSp macro="">
      <xdr:nvCxnSpPr>
        <xdr:cNvPr id="1072" name="Match15">
          <a:extLst>
            <a:ext uri="{FF2B5EF4-FFF2-40B4-BE49-F238E27FC236}">
              <a16:creationId xmlns:a16="http://schemas.microsoft.com/office/drawing/2014/main" id="{374B883B-A9EB-F2C9-888C-A996A708589A}"/>
            </a:ext>
          </a:extLst>
        </xdr:cNvPr>
        <xdr:cNvCxnSpPr/>
      </xdr:nvCxnSpPr>
      <xdr:spPr>
        <a:xfrm>
          <a:off x="4450556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6</xdr:row>
      <xdr:rowOff>203994</xdr:rowOff>
    </xdr:from>
    <xdr:to>
      <xdr:col>11</xdr:col>
      <xdr:colOff>237331</xdr:colOff>
      <xdr:row>7</xdr:row>
      <xdr:rowOff>203993</xdr:rowOff>
    </xdr:to>
    <xdr:cxnSp macro="">
      <xdr:nvCxnSpPr>
        <xdr:cNvPr id="1073" name="Match16">
          <a:extLst>
            <a:ext uri="{FF2B5EF4-FFF2-40B4-BE49-F238E27FC236}">
              <a16:creationId xmlns:a16="http://schemas.microsoft.com/office/drawing/2014/main" id="{70A6553B-16A7-893D-424F-B3021AD310F0}"/>
            </a:ext>
          </a:extLst>
        </xdr:cNvPr>
        <xdr:cNvCxnSpPr/>
      </xdr:nvCxnSpPr>
      <xdr:spPr>
        <a:xfrm>
          <a:off x="4475956" y="234711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262731</xdr:colOff>
      <xdr:row>5</xdr:row>
      <xdr:rowOff>229393</xdr:rowOff>
    </xdr:from>
    <xdr:to>
      <xdr:col>11</xdr:col>
      <xdr:colOff>262731</xdr:colOff>
      <xdr:row>6</xdr:row>
      <xdr:rowOff>229394</xdr:rowOff>
    </xdr:to>
    <xdr:cxnSp macro="">
      <xdr:nvCxnSpPr>
        <xdr:cNvPr id="1074" name="Match17">
          <a:extLst>
            <a:ext uri="{FF2B5EF4-FFF2-40B4-BE49-F238E27FC236}">
              <a16:creationId xmlns:a16="http://schemas.microsoft.com/office/drawing/2014/main" id="{BE9A3B3E-8399-C3E2-8211-5B086B4BF22B}"/>
            </a:ext>
          </a:extLst>
        </xdr:cNvPr>
        <xdr:cNvCxnSpPr/>
      </xdr:nvCxnSpPr>
      <xdr:spPr>
        <a:xfrm flipV="1">
          <a:off x="4501356" y="2015331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6</xdr:row>
      <xdr:rowOff>178594</xdr:rowOff>
    </xdr:from>
    <xdr:to>
      <xdr:col>11</xdr:col>
      <xdr:colOff>211931</xdr:colOff>
      <xdr:row>7</xdr:row>
      <xdr:rowOff>178593</xdr:rowOff>
    </xdr:to>
    <xdr:cxnSp macro="">
      <xdr:nvCxnSpPr>
        <xdr:cNvPr id="1075" name="Match18">
          <a:extLst>
            <a:ext uri="{FF2B5EF4-FFF2-40B4-BE49-F238E27FC236}">
              <a16:creationId xmlns:a16="http://schemas.microsoft.com/office/drawing/2014/main" id="{9543D73D-6D06-B698-99A5-9ADC8948ED3C}"/>
            </a:ext>
          </a:extLst>
        </xdr:cNvPr>
        <xdr:cNvCxnSpPr/>
      </xdr:nvCxnSpPr>
      <xdr:spPr>
        <a:xfrm>
          <a:off x="4874419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6</xdr:row>
      <xdr:rowOff>203994</xdr:rowOff>
    </xdr:from>
    <xdr:to>
      <xdr:col>11</xdr:col>
      <xdr:colOff>237331</xdr:colOff>
      <xdr:row>6</xdr:row>
      <xdr:rowOff>203994</xdr:rowOff>
    </xdr:to>
    <xdr:cxnSp macro="">
      <xdr:nvCxnSpPr>
        <xdr:cNvPr id="1076" name="Match19">
          <a:extLst>
            <a:ext uri="{FF2B5EF4-FFF2-40B4-BE49-F238E27FC236}">
              <a16:creationId xmlns:a16="http://schemas.microsoft.com/office/drawing/2014/main" id="{A77A6622-4985-895C-050E-927DC030A12B}"/>
            </a:ext>
          </a:extLst>
        </xdr:cNvPr>
        <xdr:cNvCxnSpPr/>
      </xdr:nvCxnSpPr>
      <xdr:spPr>
        <a:xfrm flipH="1">
          <a:off x="4475956" y="2347119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262731</xdr:colOff>
      <xdr:row>5</xdr:row>
      <xdr:rowOff>229393</xdr:rowOff>
    </xdr:from>
    <xdr:to>
      <xdr:col>11</xdr:col>
      <xdr:colOff>262731</xdr:colOff>
      <xdr:row>6</xdr:row>
      <xdr:rowOff>229394</xdr:rowOff>
    </xdr:to>
    <xdr:cxnSp macro="">
      <xdr:nvCxnSpPr>
        <xdr:cNvPr id="1077" name="Match20">
          <a:extLst>
            <a:ext uri="{FF2B5EF4-FFF2-40B4-BE49-F238E27FC236}">
              <a16:creationId xmlns:a16="http://schemas.microsoft.com/office/drawing/2014/main" id="{CA54536D-1FBF-F58B-8314-EC5A8D52888F}"/>
            </a:ext>
          </a:extLst>
        </xdr:cNvPr>
        <xdr:cNvCxnSpPr/>
      </xdr:nvCxnSpPr>
      <xdr:spPr>
        <a:xfrm flipV="1">
          <a:off x="4925219" y="2015331"/>
          <a:ext cx="0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7</xdr:row>
      <xdr:rowOff>178593</xdr:rowOff>
    </xdr:from>
    <xdr:to>
      <xdr:col>1</xdr:col>
      <xdr:colOff>211931</xdr:colOff>
      <xdr:row>7</xdr:row>
      <xdr:rowOff>178593</xdr:rowOff>
    </xdr:to>
    <xdr:cxnSp macro="">
      <xdr:nvCxnSpPr>
        <xdr:cNvPr id="1078" name="Match21">
          <a:extLst>
            <a:ext uri="{FF2B5EF4-FFF2-40B4-BE49-F238E27FC236}">
              <a16:creationId xmlns:a16="http://schemas.microsoft.com/office/drawing/2014/main" id="{9E2DA4AB-7AEF-87E2-04B4-3FF74E6B8B60}"/>
            </a:ext>
          </a:extLst>
        </xdr:cNvPr>
        <xdr:cNvCxnSpPr/>
      </xdr:nvCxnSpPr>
      <xdr:spPr>
        <a:xfrm>
          <a:off x="211931" y="267890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7</xdr:row>
      <xdr:rowOff>178593</xdr:rowOff>
    </xdr:from>
    <xdr:to>
      <xdr:col>1</xdr:col>
      <xdr:colOff>211931</xdr:colOff>
      <xdr:row>7</xdr:row>
      <xdr:rowOff>178593</xdr:rowOff>
    </xdr:to>
    <xdr:cxnSp macro="">
      <xdr:nvCxnSpPr>
        <xdr:cNvPr id="1079" name="Match22">
          <a:extLst>
            <a:ext uri="{FF2B5EF4-FFF2-40B4-BE49-F238E27FC236}">
              <a16:creationId xmlns:a16="http://schemas.microsoft.com/office/drawing/2014/main" id="{03E333C2-6712-48CC-8A28-D246EBD0CD23}"/>
            </a:ext>
          </a:extLst>
        </xdr:cNvPr>
        <xdr:cNvCxnSpPr/>
      </xdr:nvCxnSpPr>
      <xdr:spPr>
        <a:xfrm flipH="1">
          <a:off x="211931" y="267890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6</xdr:row>
      <xdr:rowOff>178594</xdr:rowOff>
    </xdr:from>
    <xdr:to>
      <xdr:col>11</xdr:col>
      <xdr:colOff>211931</xdr:colOff>
      <xdr:row>7</xdr:row>
      <xdr:rowOff>178593</xdr:rowOff>
    </xdr:to>
    <xdr:cxnSp macro="">
      <xdr:nvCxnSpPr>
        <xdr:cNvPr id="1080" name="Match23">
          <a:extLst>
            <a:ext uri="{FF2B5EF4-FFF2-40B4-BE49-F238E27FC236}">
              <a16:creationId xmlns:a16="http://schemas.microsoft.com/office/drawing/2014/main" id="{B2612778-1CB7-FE2E-FBDD-24FF9A20D7BB}"/>
            </a:ext>
          </a:extLst>
        </xdr:cNvPr>
        <xdr:cNvCxnSpPr/>
      </xdr:nvCxnSpPr>
      <xdr:spPr>
        <a:xfrm flipH="1" flipV="1">
          <a:off x="4450556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237331</xdr:colOff>
      <xdr:row>6</xdr:row>
      <xdr:rowOff>203994</xdr:rowOff>
    </xdr:from>
    <xdr:to>
      <xdr:col>11</xdr:col>
      <xdr:colOff>237331</xdr:colOff>
      <xdr:row>7</xdr:row>
      <xdr:rowOff>203993</xdr:rowOff>
    </xdr:to>
    <xdr:cxnSp macro="">
      <xdr:nvCxnSpPr>
        <xdr:cNvPr id="1081" name="Match24">
          <a:extLst>
            <a:ext uri="{FF2B5EF4-FFF2-40B4-BE49-F238E27FC236}">
              <a16:creationId xmlns:a16="http://schemas.microsoft.com/office/drawing/2014/main" id="{910E8567-7FCA-7D8D-CA17-08E26789550D}"/>
            </a:ext>
          </a:extLst>
        </xdr:cNvPr>
        <xdr:cNvCxnSpPr/>
      </xdr:nvCxnSpPr>
      <xdr:spPr>
        <a:xfrm flipV="1">
          <a:off x="4899819" y="234711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9</xdr:row>
      <xdr:rowOff>178593</xdr:rowOff>
    </xdr:from>
    <xdr:to>
      <xdr:col>5</xdr:col>
      <xdr:colOff>211931</xdr:colOff>
      <xdr:row>10</xdr:row>
      <xdr:rowOff>178594</xdr:rowOff>
    </xdr:to>
    <xdr:cxnSp macro="">
      <xdr:nvCxnSpPr>
        <xdr:cNvPr id="1082" name="Match25">
          <a:extLst>
            <a:ext uri="{FF2B5EF4-FFF2-40B4-BE49-F238E27FC236}">
              <a16:creationId xmlns:a16="http://schemas.microsoft.com/office/drawing/2014/main" id="{87C520E3-36B3-31CA-FDF7-7DDBAE69C796}"/>
            </a:ext>
          </a:extLst>
        </xdr:cNvPr>
        <xdr:cNvCxnSpPr/>
      </xdr:nvCxnSpPr>
      <xdr:spPr>
        <a:xfrm>
          <a:off x="1907381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9</xdr:row>
      <xdr:rowOff>178593</xdr:rowOff>
    </xdr:from>
    <xdr:to>
      <xdr:col>9</xdr:col>
      <xdr:colOff>211931</xdr:colOff>
      <xdr:row>10</xdr:row>
      <xdr:rowOff>178594</xdr:rowOff>
    </xdr:to>
    <xdr:cxnSp macro="">
      <xdr:nvCxnSpPr>
        <xdr:cNvPr id="1083" name="Match26">
          <a:extLst>
            <a:ext uri="{FF2B5EF4-FFF2-40B4-BE49-F238E27FC236}">
              <a16:creationId xmlns:a16="http://schemas.microsoft.com/office/drawing/2014/main" id="{39EA0EDA-4270-0039-ED96-6C4F5039C60F}"/>
            </a:ext>
          </a:extLst>
        </xdr:cNvPr>
        <xdr:cNvCxnSpPr/>
      </xdr:nvCxnSpPr>
      <xdr:spPr>
        <a:xfrm>
          <a:off x="4026694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9</xdr:row>
      <xdr:rowOff>178593</xdr:rowOff>
    </xdr:from>
    <xdr:to>
      <xdr:col>5</xdr:col>
      <xdr:colOff>211931</xdr:colOff>
      <xdr:row>10</xdr:row>
      <xdr:rowOff>178594</xdr:rowOff>
    </xdr:to>
    <xdr:cxnSp macro="">
      <xdr:nvCxnSpPr>
        <xdr:cNvPr id="1084" name="Match27">
          <a:extLst>
            <a:ext uri="{FF2B5EF4-FFF2-40B4-BE49-F238E27FC236}">
              <a16:creationId xmlns:a16="http://schemas.microsoft.com/office/drawing/2014/main" id="{774F856B-EE40-E4A3-87C4-79BA9F47DC8A}"/>
            </a:ext>
          </a:extLst>
        </xdr:cNvPr>
        <xdr:cNvCxnSpPr/>
      </xdr:nvCxnSpPr>
      <xdr:spPr>
        <a:xfrm flipH="1" flipV="1">
          <a:off x="1907381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10</xdr:row>
      <xdr:rowOff>178594</xdr:rowOff>
    </xdr:from>
    <xdr:to>
      <xdr:col>10</xdr:col>
      <xdr:colOff>211931</xdr:colOff>
      <xdr:row>11</xdr:row>
      <xdr:rowOff>178593</xdr:rowOff>
    </xdr:to>
    <xdr:cxnSp macro="">
      <xdr:nvCxnSpPr>
        <xdr:cNvPr id="1085" name="Match28">
          <a:extLst>
            <a:ext uri="{FF2B5EF4-FFF2-40B4-BE49-F238E27FC236}">
              <a16:creationId xmlns:a16="http://schemas.microsoft.com/office/drawing/2014/main" id="{2F5443C8-B2A7-24F4-0014-91902678C726}"/>
            </a:ext>
          </a:extLst>
        </xdr:cNvPr>
        <xdr:cNvCxnSpPr/>
      </xdr:nvCxnSpPr>
      <xdr:spPr>
        <a:xfrm>
          <a:off x="4026694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9</xdr:row>
      <xdr:rowOff>203993</xdr:rowOff>
    </xdr:from>
    <xdr:to>
      <xdr:col>9</xdr:col>
      <xdr:colOff>237331</xdr:colOff>
      <xdr:row>10</xdr:row>
      <xdr:rowOff>203994</xdr:rowOff>
    </xdr:to>
    <xdr:cxnSp macro="">
      <xdr:nvCxnSpPr>
        <xdr:cNvPr id="1086" name="Match29">
          <a:extLst>
            <a:ext uri="{FF2B5EF4-FFF2-40B4-BE49-F238E27FC236}">
              <a16:creationId xmlns:a16="http://schemas.microsoft.com/office/drawing/2014/main" id="{E9C9D4E6-BEBB-2C76-3BBB-DD5269B3F77F}"/>
            </a:ext>
          </a:extLst>
        </xdr:cNvPr>
        <xdr:cNvCxnSpPr/>
      </xdr:nvCxnSpPr>
      <xdr:spPr>
        <a:xfrm flipV="1">
          <a:off x="4052094" y="34186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10</xdr:row>
      <xdr:rowOff>178594</xdr:rowOff>
    </xdr:from>
    <xdr:to>
      <xdr:col>10</xdr:col>
      <xdr:colOff>211931</xdr:colOff>
      <xdr:row>11</xdr:row>
      <xdr:rowOff>178593</xdr:rowOff>
    </xdr:to>
    <xdr:cxnSp macro="">
      <xdr:nvCxnSpPr>
        <xdr:cNvPr id="1087" name="Match30">
          <a:extLst>
            <a:ext uri="{FF2B5EF4-FFF2-40B4-BE49-F238E27FC236}">
              <a16:creationId xmlns:a16="http://schemas.microsoft.com/office/drawing/2014/main" id="{80F9879F-DEBE-FB5C-585E-2C2A00C0C75D}"/>
            </a:ext>
          </a:extLst>
        </xdr:cNvPr>
        <xdr:cNvCxnSpPr/>
      </xdr:nvCxnSpPr>
      <xdr:spPr>
        <a:xfrm flipH="1" flipV="1">
          <a:off x="4026694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</xdr:row>
      <xdr:rowOff>178593</xdr:rowOff>
    </xdr:from>
    <xdr:to>
      <xdr:col>11</xdr:col>
      <xdr:colOff>211931</xdr:colOff>
      <xdr:row>2</xdr:row>
      <xdr:rowOff>178594</xdr:rowOff>
    </xdr:to>
    <xdr:cxnSp macro="">
      <xdr:nvCxnSpPr>
        <xdr:cNvPr id="1280" name="Match31">
          <a:extLst>
            <a:ext uri="{FF2B5EF4-FFF2-40B4-BE49-F238E27FC236}">
              <a16:creationId xmlns:a16="http://schemas.microsoft.com/office/drawing/2014/main" id="{0193B4C1-94DD-6520-D7B1-5A43FD38D997}"/>
            </a:ext>
          </a:extLst>
        </xdr:cNvPr>
        <xdr:cNvCxnSpPr/>
      </xdr:nvCxnSpPr>
      <xdr:spPr>
        <a:xfrm flipH="1">
          <a:off x="4450556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4</xdr:row>
      <xdr:rowOff>178594</xdr:rowOff>
    </xdr:from>
    <xdr:to>
      <xdr:col>3</xdr:col>
      <xdr:colOff>211931</xdr:colOff>
      <xdr:row>5</xdr:row>
      <xdr:rowOff>178593</xdr:rowOff>
    </xdr:to>
    <xdr:cxnSp macro="">
      <xdr:nvCxnSpPr>
        <xdr:cNvPr id="1281" name="Match32">
          <a:extLst>
            <a:ext uri="{FF2B5EF4-FFF2-40B4-BE49-F238E27FC236}">
              <a16:creationId xmlns:a16="http://schemas.microsoft.com/office/drawing/2014/main" id="{1E656426-F207-7204-CA6F-4D3C06EB3B1D}"/>
            </a:ext>
          </a:extLst>
        </xdr:cNvPr>
        <xdr:cNvCxnSpPr/>
      </xdr:nvCxnSpPr>
      <xdr:spPr>
        <a:xfrm>
          <a:off x="1059656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4</xdr:row>
      <xdr:rowOff>203994</xdr:rowOff>
    </xdr:from>
    <xdr:to>
      <xdr:col>2</xdr:col>
      <xdr:colOff>237331</xdr:colOff>
      <xdr:row>4</xdr:row>
      <xdr:rowOff>203994</xdr:rowOff>
    </xdr:to>
    <xdr:cxnSp macro="">
      <xdr:nvCxnSpPr>
        <xdr:cNvPr id="1282" name="Match33">
          <a:extLst>
            <a:ext uri="{FF2B5EF4-FFF2-40B4-BE49-F238E27FC236}">
              <a16:creationId xmlns:a16="http://schemas.microsoft.com/office/drawing/2014/main" id="{6C6FCCF3-BD4C-E4AD-B82B-28C34799D7C2}"/>
            </a:ext>
          </a:extLst>
        </xdr:cNvPr>
        <xdr:cNvCxnSpPr/>
      </xdr:nvCxnSpPr>
      <xdr:spPr>
        <a:xfrm flipH="1">
          <a:off x="661194" y="1632744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262731</xdr:colOff>
      <xdr:row>3</xdr:row>
      <xdr:rowOff>229393</xdr:rowOff>
    </xdr:from>
    <xdr:to>
      <xdr:col>2</xdr:col>
      <xdr:colOff>262731</xdr:colOff>
      <xdr:row>4</xdr:row>
      <xdr:rowOff>229394</xdr:rowOff>
    </xdr:to>
    <xdr:cxnSp macro="">
      <xdr:nvCxnSpPr>
        <xdr:cNvPr id="1283" name="Match34">
          <a:extLst>
            <a:ext uri="{FF2B5EF4-FFF2-40B4-BE49-F238E27FC236}">
              <a16:creationId xmlns:a16="http://schemas.microsoft.com/office/drawing/2014/main" id="{3B93D420-1717-00C5-5433-F756C7760376}"/>
            </a:ext>
          </a:extLst>
        </xdr:cNvPr>
        <xdr:cNvCxnSpPr/>
      </xdr:nvCxnSpPr>
      <xdr:spPr>
        <a:xfrm flipH="1" flipV="1">
          <a:off x="686594" y="1300956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4</xdr:row>
      <xdr:rowOff>178594</xdr:rowOff>
    </xdr:from>
    <xdr:to>
      <xdr:col>9</xdr:col>
      <xdr:colOff>211931</xdr:colOff>
      <xdr:row>5</xdr:row>
      <xdr:rowOff>178593</xdr:rowOff>
    </xdr:to>
    <xdr:cxnSp macro="">
      <xdr:nvCxnSpPr>
        <xdr:cNvPr id="1284" name="Match35">
          <a:extLst>
            <a:ext uri="{FF2B5EF4-FFF2-40B4-BE49-F238E27FC236}">
              <a16:creationId xmlns:a16="http://schemas.microsoft.com/office/drawing/2014/main" id="{A4FAC575-7AB6-4144-F9C4-3E3C91CA83DA}"/>
            </a:ext>
          </a:extLst>
        </xdr:cNvPr>
        <xdr:cNvCxnSpPr/>
      </xdr:nvCxnSpPr>
      <xdr:spPr>
        <a:xfrm flipH="1" flipV="1">
          <a:off x="3602831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6</xdr:row>
      <xdr:rowOff>178594</xdr:rowOff>
    </xdr:from>
    <xdr:to>
      <xdr:col>2</xdr:col>
      <xdr:colOff>211931</xdr:colOff>
      <xdr:row>7</xdr:row>
      <xdr:rowOff>178593</xdr:rowOff>
    </xdr:to>
    <xdr:cxnSp macro="">
      <xdr:nvCxnSpPr>
        <xdr:cNvPr id="1285" name="Match36">
          <a:extLst>
            <a:ext uri="{FF2B5EF4-FFF2-40B4-BE49-F238E27FC236}">
              <a16:creationId xmlns:a16="http://schemas.microsoft.com/office/drawing/2014/main" id="{16998E14-AC28-598C-4D32-13DA94360D6F}"/>
            </a:ext>
          </a:extLst>
        </xdr:cNvPr>
        <xdr:cNvCxnSpPr/>
      </xdr:nvCxnSpPr>
      <xdr:spPr>
        <a:xfrm>
          <a:off x="635794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7</xdr:row>
      <xdr:rowOff>178593</xdr:rowOff>
    </xdr:from>
    <xdr:to>
      <xdr:col>9</xdr:col>
      <xdr:colOff>211931</xdr:colOff>
      <xdr:row>8</xdr:row>
      <xdr:rowOff>178594</xdr:rowOff>
    </xdr:to>
    <xdr:cxnSp macro="">
      <xdr:nvCxnSpPr>
        <xdr:cNvPr id="1286" name="Match37">
          <a:extLst>
            <a:ext uri="{FF2B5EF4-FFF2-40B4-BE49-F238E27FC236}">
              <a16:creationId xmlns:a16="http://schemas.microsoft.com/office/drawing/2014/main" id="{CAE6E61C-DB15-F6CD-4F6E-F7580A41CEFF}"/>
            </a:ext>
          </a:extLst>
        </xdr:cNvPr>
        <xdr:cNvCxnSpPr/>
      </xdr:nvCxnSpPr>
      <xdr:spPr>
        <a:xfrm>
          <a:off x="3602831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7</xdr:row>
      <xdr:rowOff>178593</xdr:rowOff>
    </xdr:from>
    <xdr:to>
      <xdr:col>9</xdr:col>
      <xdr:colOff>211931</xdr:colOff>
      <xdr:row>8</xdr:row>
      <xdr:rowOff>178594</xdr:rowOff>
    </xdr:to>
    <xdr:cxnSp macro="">
      <xdr:nvCxnSpPr>
        <xdr:cNvPr id="1287" name="Match38">
          <a:extLst>
            <a:ext uri="{FF2B5EF4-FFF2-40B4-BE49-F238E27FC236}">
              <a16:creationId xmlns:a16="http://schemas.microsoft.com/office/drawing/2014/main" id="{D255E41E-73F8-6258-A67F-C78B1D34DFC4}"/>
            </a:ext>
          </a:extLst>
        </xdr:cNvPr>
        <xdr:cNvCxnSpPr/>
      </xdr:nvCxnSpPr>
      <xdr:spPr>
        <a:xfrm>
          <a:off x="4026694" y="267890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7</xdr:row>
      <xdr:rowOff>178593</xdr:rowOff>
    </xdr:from>
    <xdr:to>
      <xdr:col>10</xdr:col>
      <xdr:colOff>211931</xdr:colOff>
      <xdr:row>8</xdr:row>
      <xdr:rowOff>178594</xdr:rowOff>
    </xdr:to>
    <xdr:cxnSp macro="">
      <xdr:nvCxnSpPr>
        <xdr:cNvPr id="1288" name="Match39">
          <a:extLst>
            <a:ext uri="{FF2B5EF4-FFF2-40B4-BE49-F238E27FC236}">
              <a16:creationId xmlns:a16="http://schemas.microsoft.com/office/drawing/2014/main" id="{2E7D0033-EC16-955B-E203-AC1D444A6E0C}"/>
            </a:ext>
          </a:extLst>
        </xdr:cNvPr>
        <xdr:cNvCxnSpPr/>
      </xdr:nvCxnSpPr>
      <xdr:spPr>
        <a:xfrm flipH="1">
          <a:off x="4026694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8</xdr:row>
      <xdr:rowOff>178594</xdr:rowOff>
    </xdr:from>
    <xdr:to>
      <xdr:col>1</xdr:col>
      <xdr:colOff>211931</xdr:colOff>
      <xdr:row>8</xdr:row>
      <xdr:rowOff>178594</xdr:rowOff>
    </xdr:to>
    <xdr:cxnSp macro="">
      <xdr:nvCxnSpPr>
        <xdr:cNvPr id="1289" name="Match40">
          <a:extLst>
            <a:ext uri="{FF2B5EF4-FFF2-40B4-BE49-F238E27FC236}">
              <a16:creationId xmlns:a16="http://schemas.microsoft.com/office/drawing/2014/main" id="{DF845787-7E79-C382-77CE-E114CF799129}"/>
            </a:ext>
          </a:extLst>
        </xdr:cNvPr>
        <xdr:cNvCxnSpPr/>
      </xdr:nvCxnSpPr>
      <xdr:spPr>
        <a:xfrm>
          <a:off x="211931" y="30360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8</xdr:row>
      <xdr:rowOff>178594</xdr:rowOff>
    </xdr:from>
    <xdr:to>
      <xdr:col>2</xdr:col>
      <xdr:colOff>211931</xdr:colOff>
      <xdr:row>9</xdr:row>
      <xdr:rowOff>178593</xdr:rowOff>
    </xdr:to>
    <xdr:cxnSp macro="">
      <xdr:nvCxnSpPr>
        <xdr:cNvPr id="1290" name="Match41">
          <a:extLst>
            <a:ext uri="{FF2B5EF4-FFF2-40B4-BE49-F238E27FC236}">
              <a16:creationId xmlns:a16="http://schemas.microsoft.com/office/drawing/2014/main" id="{A0966904-2C3C-8325-86FE-3D3FDC00DF7D}"/>
            </a:ext>
          </a:extLst>
        </xdr:cNvPr>
        <xdr:cNvCxnSpPr/>
      </xdr:nvCxnSpPr>
      <xdr:spPr>
        <a:xfrm>
          <a:off x="1059656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8</xdr:row>
      <xdr:rowOff>203994</xdr:rowOff>
    </xdr:from>
    <xdr:to>
      <xdr:col>2</xdr:col>
      <xdr:colOff>237331</xdr:colOff>
      <xdr:row>8</xdr:row>
      <xdr:rowOff>203994</xdr:rowOff>
    </xdr:to>
    <xdr:cxnSp macro="">
      <xdr:nvCxnSpPr>
        <xdr:cNvPr id="1291" name="Match42">
          <a:extLst>
            <a:ext uri="{FF2B5EF4-FFF2-40B4-BE49-F238E27FC236}">
              <a16:creationId xmlns:a16="http://schemas.microsoft.com/office/drawing/2014/main" id="{4AD0EADA-4B3A-483F-6659-EE6DA1BB7682}"/>
            </a:ext>
          </a:extLst>
        </xdr:cNvPr>
        <xdr:cNvCxnSpPr/>
      </xdr:nvCxnSpPr>
      <xdr:spPr>
        <a:xfrm flipH="1">
          <a:off x="661194" y="3061494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262731</xdr:colOff>
      <xdr:row>7</xdr:row>
      <xdr:rowOff>229393</xdr:rowOff>
    </xdr:from>
    <xdr:to>
      <xdr:col>2</xdr:col>
      <xdr:colOff>262731</xdr:colOff>
      <xdr:row>8</xdr:row>
      <xdr:rowOff>229394</xdr:rowOff>
    </xdr:to>
    <xdr:cxnSp macro="">
      <xdr:nvCxnSpPr>
        <xdr:cNvPr id="1292" name="Match43">
          <a:extLst>
            <a:ext uri="{FF2B5EF4-FFF2-40B4-BE49-F238E27FC236}">
              <a16:creationId xmlns:a16="http://schemas.microsoft.com/office/drawing/2014/main" id="{1E82AF54-7068-2746-E962-D9E84ECDB66C}"/>
            </a:ext>
          </a:extLst>
        </xdr:cNvPr>
        <xdr:cNvCxnSpPr/>
      </xdr:nvCxnSpPr>
      <xdr:spPr>
        <a:xfrm flipV="1">
          <a:off x="1110456" y="2729706"/>
          <a:ext cx="0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8</xdr:row>
      <xdr:rowOff>178594</xdr:rowOff>
    </xdr:from>
    <xdr:to>
      <xdr:col>11</xdr:col>
      <xdr:colOff>211931</xdr:colOff>
      <xdr:row>9</xdr:row>
      <xdr:rowOff>178593</xdr:rowOff>
    </xdr:to>
    <xdr:cxnSp macro="">
      <xdr:nvCxnSpPr>
        <xdr:cNvPr id="1293" name="Match44">
          <a:extLst>
            <a:ext uri="{FF2B5EF4-FFF2-40B4-BE49-F238E27FC236}">
              <a16:creationId xmlns:a16="http://schemas.microsoft.com/office/drawing/2014/main" id="{4A71EAF0-BC73-67AA-F7D4-C20F75461EA6}"/>
            </a:ext>
          </a:extLst>
        </xdr:cNvPr>
        <xdr:cNvCxnSpPr/>
      </xdr:nvCxnSpPr>
      <xdr:spPr>
        <a:xfrm>
          <a:off x="4874419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10</xdr:row>
      <xdr:rowOff>178594</xdr:rowOff>
    </xdr:from>
    <xdr:to>
      <xdr:col>3</xdr:col>
      <xdr:colOff>211931</xdr:colOff>
      <xdr:row>11</xdr:row>
      <xdr:rowOff>178593</xdr:rowOff>
    </xdr:to>
    <xdr:cxnSp macro="">
      <xdr:nvCxnSpPr>
        <xdr:cNvPr id="1294" name="Match45">
          <a:extLst>
            <a:ext uri="{FF2B5EF4-FFF2-40B4-BE49-F238E27FC236}">
              <a16:creationId xmlns:a16="http://schemas.microsoft.com/office/drawing/2014/main" id="{8BA52B53-A299-433D-A77C-E39056383186}"/>
            </a:ext>
          </a:extLst>
        </xdr:cNvPr>
        <xdr:cNvCxnSpPr/>
      </xdr:nvCxnSpPr>
      <xdr:spPr>
        <a:xfrm flipH="1" flipV="1">
          <a:off x="1059656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</xdr:row>
      <xdr:rowOff>178593</xdr:rowOff>
    </xdr:from>
    <xdr:to>
      <xdr:col>4</xdr:col>
      <xdr:colOff>211931</xdr:colOff>
      <xdr:row>7</xdr:row>
      <xdr:rowOff>178593</xdr:rowOff>
    </xdr:to>
    <xdr:cxnSp macro="">
      <xdr:nvCxnSpPr>
        <xdr:cNvPr id="1295" name="Match46">
          <a:extLst>
            <a:ext uri="{FF2B5EF4-FFF2-40B4-BE49-F238E27FC236}">
              <a16:creationId xmlns:a16="http://schemas.microsoft.com/office/drawing/2014/main" id="{E21C995E-B1C3-6141-F511-F3E888FC2769}"/>
            </a:ext>
          </a:extLst>
        </xdr:cNvPr>
        <xdr:cNvCxnSpPr/>
      </xdr:nvCxnSpPr>
      <xdr:spPr>
        <a:xfrm>
          <a:off x="1907381" y="535781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8</xdr:row>
      <xdr:rowOff>178594</xdr:rowOff>
    </xdr:from>
    <xdr:to>
      <xdr:col>7</xdr:col>
      <xdr:colOff>211931</xdr:colOff>
      <xdr:row>11</xdr:row>
      <xdr:rowOff>178593</xdr:rowOff>
    </xdr:to>
    <xdr:cxnSp macro="">
      <xdr:nvCxnSpPr>
        <xdr:cNvPr id="1296" name="Match47">
          <a:extLst>
            <a:ext uri="{FF2B5EF4-FFF2-40B4-BE49-F238E27FC236}">
              <a16:creationId xmlns:a16="http://schemas.microsoft.com/office/drawing/2014/main" id="{F6B66D07-84A6-32CA-2AE3-581E30DCF47E}"/>
            </a:ext>
          </a:extLst>
        </xdr:cNvPr>
        <xdr:cNvCxnSpPr/>
      </xdr:nvCxnSpPr>
      <xdr:spPr>
        <a:xfrm flipH="1">
          <a:off x="1907381" y="3036094"/>
          <a:ext cx="1271588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2</xdr:row>
      <xdr:rowOff>178594</xdr:rowOff>
    </xdr:from>
    <xdr:to>
      <xdr:col>10</xdr:col>
      <xdr:colOff>211931</xdr:colOff>
      <xdr:row>6</xdr:row>
      <xdr:rowOff>178594</xdr:rowOff>
    </xdr:to>
    <xdr:cxnSp macro="">
      <xdr:nvCxnSpPr>
        <xdr:cNvPr id="1297" name="Match48">
          <a:extLst>
            <a:ext uri="{FF2B5EF4-FFF2-40B4-BE49-F238E27FC236}">
              <a16:creationId xmlns:a16="http://schemas.microsoft.com/office/drawing/2014/main" id="{3A12CCC0-01A4-805B-DE0B-A21BCE3EFAFB}"/>
            </a:ext>
          </a:extLst>
        </xdr:cNvPr>
        <xdr:cNvCxnSpPr/>
      </xdr:nvCxnSpPr>
      <xdr:spPr>
        <a:xfrm flipV="1">
          <a:off x="2755106" y="892969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0</xdr:row>
      <xdr:rowOff>178594</xdr:rowOff>
    </xdr:from>
    <xdr:to>
      <xdr:col>3</xdr:col>
      <xdr:colOff>211931</xdr:colOff>
      <xdr:row>6</xdr:row>
      <xdr:rowOff>178594</xdr:rowOff>
    </xdr:to>
    <xdr:cxnSp macro="">
      <xdr:nvCxnSpPr>
        <xdr:cNvPr id="1298" name="Match49">
          <a:extLst>
            <a:ext uri="{FF2B5EF4-FFF2-40B4-BE49-F238E27FC236}">
              <a16:creationId xmlns:a16="http://schemas.microsoft.com/office/drawing/2014/main" id="{0E320994-E4CA-DA31-7735-10DC1D97FECC}"/>
            </a:ext>
          </a:extLst>
        </xdr:cNvPr>
        <xdr:cNvCxnSpPr/>
      </xdr:nvCxnSpPr>
      <xdr:spPr>
        <a:xfrm flipV="1">
          <a:off x="1483519" y="178594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0</xdr:row>
      <xdr:rowOff>178594</xdr:rowOff>
    </xdr:from>
    <xdr:to>
      <xdr:col>8</xdr:col>
      <xdr:colOff>211931</xdr:colOff>
      <xdr:row>1</xdr:row>
      <xdr:rowOff>178593</xdr:rowOff>
    </xdr:to>
    <xdr:cxnSp macro="">
      <xdr:nvCxnSpPr>
        <xdr:cNvPr id="1299" name="Match50">
          <a:extLst>
            <a:ext uri="{FF2B5EF4-FFF2-40B4-BE49-F238E27FC236}">
              <a16:creationId xmlns:a16="http://schemas.microsoft.com/office/drawing/2014/main" id="{DEC08D73-237E-618A-5EFD-CC4E380FCE31}"/>
            </a:ext>
          </a:extLst>
        </xdr:cNvPr>
        <xdr:cNvCxnSpPr/>
      </xdr:nvCxnSpPr>
      <xdr:spPr>
        <a:xfrm>
          <a:off x="3178969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0</xdr:row>
      <xdr:rowOff>178594</xdr:rowOff>
    </xdr:from>
    <xdr:to>
      <xdr:col>8</xdr:col>
      <xdr:colOff>211931</xdr:colOff>
      <xdr:row>1</xdr:row>
      <xdr:rowOff>178593</xdr:rowOff>
    </xdr:to>
    <xdr:cxnSp macro="">
      <xdr:nvCxnSpPr>
        <xdr:cNvPr id="1300" name="Match51">
          <a:extLst>
            <a:ext uri="{FF2B5EF4-FFF2-40B4-BE49-F238E27FC236}">
              <a16:creationId xmlns:a16="http://schemas.microsoft.com/office/drawing/2014/main" id="{541EAEC0-A06C-9A65-D415-0EF9C87ECDB4}"/>
            </a:ext>
          </a:extLst>
        </xdr:cNvPr>
        <xdr:cNvCxnSpPr/>
      </xdr:nvCxnSpPr>
      <xdr:spPr>
        <a:xfrm>
          <a:off x="3602831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0</xdr:row>
      <xdr:rowOff>178594</xdr:rowOff>
    </xdr:from>
    <xdr:to>
      <xdr:col>9</xdr:col>
      <xdr:colOff>211931</xdr:colOff>
      <xdr:row>1</xdr:row>
      <xdr:rowOff>178593</xdr:rowOff>
    </xdr:to>
    <xdr:cxnSp macro="">
      <xdr:nvCxnSpPr>
        <xdr:cNvPr id="1301" name="Match52">
          <a:extLst>
            <a:ext uri="{FF2B5EF4-FFF2-40B4-BE49-F238E27FC236}">
              <a16:creationId xmlns:a16="http://schemas.microsoft.com/office/drawing/2014/main" id="{6CBE8197-3B29-6C08-8308-B7BB78ABE2B7}"/>
            </a:ext>
          </a:extLst>
        </xdr:cNvPr>
        <xdr:cNvCxnSpPr/>
      </xdr:nvCxnSpPr>
      <xdr:spPr>
        <a:xfrm flipH="1">
          <a:off x="3602831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</xdr:row>
      <xdr:rowOff>178593</xdr:rowOff>
    </xdr:from>
    <xdr:to>
      <xdr:col>9</xdr:col>
      <xdr:colOff>211931</xdr:colOff>
      <xdr:row>1</xdr:row>
      <xdr:rowOff>178593</xdr:rowOff>
    </xdr:to>
    <xdr:cxnSp macro="">
      <xdr:nvCxnSpPr>
        <xdr:cNvPr id="1408" name="Match53">
          <a:extLst>
            <a:ext uri="{FF2B5EF4-FFF2-40B4-BE49-F238E27FC236}">
              <a16:creationId xmlns:a16="http://schemas.microsoft.com/office/drawing/2014/main" id="{D47F63A0-F808-7C5E-1A04-1A5A57E41068}"/>
            </a:ext>
          </a:extLst>
        </xdr:cNvPr>
        <xdr:cNvCxnSpPr/>
      </xdr:nvCxnSpPr>
      <xdr:spPr>
        <a:xfrm flipH="1">
          <a:off x="3602831" y="5357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2</xdr:row>
      <xdr:rowOff>178594</xdr:rowOff>
    </xdr:from>
    <xdr:to>
      <xdr:col>1</xdr:col>
      <xdr:colOff>211931</xdr:colOff>
      <xdr:row>2</xdr:row>
      <xdr:rowOff>178594</xdr:rowOff>
    </xdr:to>
    <xdr:cxnSp macro="">
      <xdr:nvCxnSpPr>
        <xdr:cNvPr id="1409" name="Match54">
          <a:extLst>
            <a:ext uri="{FF2B5EF4-FFF2-40B4-BE49-F238E27FC236}">
              <a16:creationId xmlns:a16="http://schemas.microsoft.com/office/drawing/2014/main" id="{BEE25CE9-AFC7-8C44-F179-A710785131B9}"/>
            </a:ext>
          </a:extLst>
        </xdr:cNvPr>
        <xdr:cNvCxnSpPr/>
      </xdr:nvCxnSpPr>
      <xdr:spPr>
        <a:xfrm>
          <a:off x="211931" y="8929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2</xdr:col>
      <xdr:colOff>211931</xdr:colOff>
      <xdr:row>2</xdr:row>
      <xdr:rowOff>178594</xdr:rowOff>
    </xdr:to>
    <xdr:cxnSp macro="">
      <xdr:nvCxnSpPr>
        <xdr:cNvPr id="1410" name="Match55">
          <a:extLst>
            <a:ext uri="{FF2B5EF4-FFF2-40B4-BE49-F238E27FC236}">
              <a16:creationId xmlns:a16="http://schemas.microsoft.com/office/drawing/2014/main" id="{E731E8AC-13F6-F5B1-B36F-DA10F53AE654}"/>
            </a:ext>
          </a:extLst>
        </xdr:cNvPr>
        <xdr:cNvCxnSpPr/>
      </xdr:nvCxnSpPr>
      <xdr:spPr>
        <a:xfrm flipH="1">
          <a:off x="635794" y="8929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</xdr:row>
      <xdr:rowOff>178593</xdr:rowOff>
    </xdr:from>
    <xdr:to>
      <xdr:col>9</xdr:col>
      <xdr:colOff>211931</xdr:colOff>
      <xdr:row>2</xdr:row>
      <xdr:rowOff>178594</xdr:rowOff>
    </xdr:to>
    <xdr:cxnSp macro="">
      <xdr:nvCxnSpPr>
        <xdr:cNvPr id="1411" name="Match56">
          <a:extLst>
            <a:ext uri="{FF2B5EF4-FFF2-40B4-BE49-F238E27FC236}">
              <a16:creationId xmlns:a16="http://schemas.microsoft.com/office/drawing/2014/main" id="{BDD9D1A8-EEF3-7A02-4532-FBADFA333C81}"/>
            </a:ext>
          </a:extLst>
        </xdr:cNvPr>
        <xdr:cNvCxnSpPr/>
      </xdr:nvCxnSpPr>
      <xdr:spPr>
        <a:xfrm flipH="1" flipV="1">
          <a:off x="3602831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5</xdr:row>
      <xdr:rowOff>178593</xdr:rowOff>
    </xdr:from>
    <xdr:to>
      <xdr:col>3</xdr:col>
      <xdr:colOff>211931</xdr:colOff>
      <xdr:row>6</xdr:row>
      <xdr:rowOff>178594</xdr:rowOff>
    </xdr:to>
    <xdr:cxnSp macro="">
      <xdr:nvCxnSpPr>
        <xdr:cNvPr id="1412" name="Match57">
          <a:extLst>
            <a:ext uri="{FF2B5EF4-FFF2-40B4-BE49-F238E27FC236}">
              <a16:creationId xmlns:a16="http://schemas.microsoft.com/office/drawing/2014/main" id="{8E650531-8F44-AC15-85AD-B01CFDA2D7FD}"/>
            </a:ext>
          </a:extLst>
        </xdr:cNvPr>
        <xdr:cNvCxnSpPr/>
      </xdr:nvCxnSpPr>
      <xdr:spPr>
        <a:xfrm>
          <a:off x="1059656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5</xdr:row>
      <xdr:rowOff>203993</xdr:rowOff>
    </xdr:from>
    <xdr:to>
      <xdr:col>2</xdr:col>
      <xdr:colOff>237331</xdr:colOff>
      <xdr:row>5</xdr:row>
      <xdr:rowOff>203993</xdr:rowOff>
    </xdr:to>
    <xdr:cxnSp macro="">
      <xdr:nvCxnSpPr>
        <xdr:cNvPr id="1413" name="Match58">
          <a:extLst>
            <a:ext uri="{FF2B5EF4-FFF2-40B4-BE49-F238E27FC236}">
              <a16:creationId xmlns:a16="http://schemas.microsoft.com/office/drawing/2014/main" id="{324830B6-6A33-E44A-5A55-3A6538513DB6}"/>
            </a:ext>
          </a:extLst>
        </xdr:cNvPr>
        <xdr:cNvCxnSpPr/>
      </xdr:nvCxnSpPr>
      <xdr:spPr>
        <a:xfrm flipH="1">
          <a:off x="661194" y="1989931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8</xdr:row>
      <xdr:rowOff>178594</xdr:rowOff>
    </xdr:from>
    <xdr:to>
      <xdr:col>8</xdr:col>
      <xdr:colOff>211931</xdr:colOff>
      <xdr:row>9</xdr:row>
      <xdr:rowOff>178593</xdr:rowOff>
    </xdr:to>
    <xdr:cxnSp macro="">
      <xdr:nvCxnSpPr>
        <xdr:cNvPr id="1414" name="Match59">
          <a:extLst>
            <a:ext uri="{FF2B5EF4-FFF2-40B4-BE49-F238E27FC236}">
              <a16:creationId xmlns:a16="http://schemas.microsoft.com/office/drawing/2014/main" id="{1EE2934D-C4CC-47B0-D05D-5931AE3ED60B}"/>
            </a:ext>
          </a:extLst>
        </xdr:cNvPr>
        <xdr:cNvCxnSpPr/>
      </xdr:nvCxnSpPr>
      <xdr:spPr>
        <a:xfrm flipV="1">
          <a:off x="3602831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10</xdr:row>
      <xdr:rowOff>178594</xdr:rowOff>
    </xdr:from>
    <xdr:to>
      <xdr:col>3</xdr:col>
      <xdr:colOff>211931</xdr:colOff>
      <xdr:row>11</xdr:row>
      <xdr:rowOff>178593</xdr:rowOff>
    </xdr:to>
    <xdr:cxnSp macro="">
      <xdr:nvCxnSpPr>
        <xdr:cNvPr id="1415" name="Match60">
          <a:extLst>
            <a:ext uri="{FF2B5EF4-FFF2-40B4-BE49-F238E27FC236}">
              <a16:creationId xmlns:a16="http://schemas.microsoft.com/office/drawing/2014/main" id="{FC186882-E74C-F37F-5904-724835664667}"/>
            </a:ext>
          </a:extLst>
        </xdr:cNvPr>
        <xdr:cNvCxnSpPr/>
      </xdr:nvCxnSpPr>
      <xdr:spPr>
        <a:xfrm flipH="1">
          <a:off x="1059656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9</xdr:row>
      <xdr:rowOff>203993</xdr:rowOff>
    </xdr:from>
    <xdr:to>
      <xdr:col>3</xdr:col>
      <xdr:colOff>237331</xdr:colOff>
      <xdr:row>10</xdr:row>
      <xdr:rowOff>203994</xdr:rowOff>
    </xdr:to>
    <xdr:cxnSp macro="">
      <xdr:nvCxnSpPr>
        <xdr:cNvPr id="1416" name="Match61">
          <a:extLst>
            <a:ext uri="{FF2B5EF4-FFF2-40B4-BE49-F238E27FC236}">
              <a16:creationId xmlns:a16="http://schemas.microsoft.com/office/drawing/2014/main" id="{11D7B006-F346-12FE-7F75-FF2EEA621627}"/>
            </a:ext>
          </a:extLst>
        </xdr:cNvPr>
        <xdr:cNvCxnSpPr/>
      </xdr:nvCxnSpPr>
      <xdr:spPr>
        <a:xfrm flipV="1">
          <a:off x="1508919" y="34186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</xdr:row>
      <xdr:rowOff>178593</xdr:rowOff>
    </xdr:from>
    <xdr:to>
      <xdr:col>5</xdr:col>
      <xdr:colOff>211931</xdr:colOff>
      <xdr:row>4</xdr:row>
      <xdr:rowOff>178594</xdr:rowOff>
    </xdr:to>
    <xdr:cxnSp macro="">
      <xdr:nvCxnSpPr>
        <xdr:cNvPr id="1417" name="Match62">
          <a:extLst>
            <a:ext uri="{FF2B5EF4-FFF2-40B4-BE49-F238E27FC236}">
              <a16:creationId xmlns:a16="http://schemas.microsoft.com/office/drawing/2014/main" id="{5CD02470-98D7-CD7D-32A2-4826D6E60034}"/>
            </a:ext>
          </a:extLst>
        </xdr:cNvPr>
        <xdr:cNvCxnSpPr/>
      </xdr:nvCxnSpPr>
      <xdr:spPr>
        <a:xfrm flipV="1">
          <a:off x="2331244" y="535781"/>
          <a:ext cx="0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</xdr:row>
      <xdr:rowOff>178593</xdr:rowOff>
    </xdr:from>
    <xdr:to>
      <xdr:col>2</xdr:col>
      <xdr:colOff>211931</xdr:colOff>
      <xdr:row>6</xdr:row>
      <xdr:rowOff>178594</xdr:rowOff>
    </xdr:to>
    <xdr:cxnSp macro="">
      <xdr:nvCxnSpPr>
        <xdr:cNvPr id="1418" name="Match63">
          <a:extLst>
            <a:ext uri="{FF2B5EF4-FFF2-40B4-BE49-F238E27FC236}">
              <a16:creationId xmlns:a16="http://schemas.microsoft.com/office/drawing/2014/main" id="{D50A12DB-4AF2-BECF-E92D-99D240C7300D}"/>
            </a:ext>
          </a:extLst>
        </xdr:cNvPr>
        <xdr:cNvCxnSpPr/>
      </xdr:nvCxnSpPr>
      <xdr:spPr>
        <a:xfrm>
          <a:off x="1059656" y="535781"/>
          <a:ext cx="0" cy="178593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10</xdr:row>
      <xdr:rowOff>178594</xdr:rowOff>
    </xdr:from>
    <xdr:to>
      <xdr:col>4</xdr:col>
      <xdr:colOff>211931</xdr:colOff>
      <xdr:row>10</xdr:row>
      <xdr:rowOff>178594</xdr:rowOff>
    </xdr:to>
    <xdr:cxnSp macro="">
      <xdr:nvCxnSpPr>
        <xdr:cNvPr id="1419" name="Match64">
          <a:extLst>
            <a:ext uri="{FF2B5EF4-FFF2-40B4-BE49-F238E27FC236}">
              <a16:creationId xmlns:a16="http://schemas.microsoft.com/office/drawing/2014/main" id="{C6E64730-71EE-3034-8960-10BE3383760F}"/>
            </a:ext>
          </a:extLst>
        </xdr:cNvPr>
        <xdr:cNvCxnSpPr/>
      </xdr:nvCxnSpPr>
      <xdr:spPr>
        <a:xfrm flipH="1">
          <a:off x="1059656" y="3750469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0</xdr:row>
      <xdr:rowOff>203994</xdr:rowOff>
    </xdr:from>
    <xdr:to>
      <xdr:col>7</xdr:col>
      <xdr:colOff>237331</xdr:colOff>
      <xdr:row>2</xdr:row>
      <xdr:rowOff>203994</xdr:rowOff>
    </xdr:to>
    <xdr:cxnSp macro="">
      <xdr:nvCxnSpPr>
        <xdr:cNvPr id="1420" name="Match65">
          <a:extLst>
            <a:ext uri="{FF2B5EF4-FFF2-40B4-BE49-F238E27FC236}">
              <a16:creationId xmlns:a16="http://schemas.microsoft.com/office/drawing/2014/main" id="{1276E466-91CA-8EE6-5276-4FB69A90B37F}"/>
            </a:ext>
          </a:extLst>
        </xdr:cNvPr>
        <xdr:cNvCxnSpPr/>
      </xdr:nvCxnSpPr>
      <xdr:spPr>
        <a:xfrm>
          <a:off x="3204369" y="203994"/>
          <a:ext cx="0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6</xdr:row>
      <xdr:rowOff>178594</xdr:rowOff>
    </xdr:from>
    <xdr:to>
      <xdr:col>5</xdr:col>
      <xdr:colOff>211931</xdr:colOff>
      <xdr:row>6</xdr:row>
      <xdr:rowOff>178594</xdr:rowOff>
    </xdr:to>
    <xdr:cxnSp macro="">
      <xdr:nvCxnSpPr>
        <xdr:cNvPr id="1421" name="Match66">
          <a:extLst>
            <a:ext uri="{FF2B5EF4-FFF2-40B4-BE49-F238E27FC236}">
              <a16:creationId xmlns:a16="http://schemas.microsoft.com/office/drawing/2014/main" id="{911A0818-1D70-D6D6-43CA-FDA6A5C7FCFF}"/>
            </a:ext>
          </a:extLst>
        </xdr:cNvPr>
        <xdr:cNvCxnSpPr/>
      </xdr:nvCxnSpPr>
      <xdr:spPr>
        <a:xfrm flipH="1">
          <a:off x="1483519" y="2321719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8</xdr:row>
      <xdr:rowOff>178594</xdr:rowOff>
    </xdr:from>
    <xdr:to>
      <xdr:col>8</xdr:col>
      <xdr:colOff>211931</xdr:colOff>
      <xdr:row>10</xdr:row>
      <xdr:rowOff>178594</xdr:rowOff>
    </xdr:to>
    <xdr:cxnSp macro="">
      <xdr:nvCxnSpPr>
        <xdr:cNvPr id="1422" name="Match67">
          <a:extLst>
            <a:ext uri="{FF2B5EF4-FFF2-40B4-BE49-F238E27FC236}">
              <a16:creationId xmlns:a16="http://schemas.microsoft.com/office/drawing/2014/main" id="{1453AB7D-C368-CA32-B81D-BA0E00A3FCCF}"/>
            </a:ext>
          </a:extLst>
        </xdr:cNvPr>
        <xdr:cNvCxnSpPr/>
      </xdr:nvCxnSpPr>
      <xdr:spPr>
        <a:xfrm flipV="1">
          <a:off x="2755106" y="30360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2</xdr:row>
      <xdr:rowOff>178594</xdr:rowOff>
    </xdr:from>
    <xdr:to>
      <xdr:col>11</xdr:col>
      <xdr:colOff>211931</xdr:colOff>
      <xdr:row>3</xdr:row>
      <xdr:rowOff>178593</xdr:rowOff>
    </xdr:to>
    <xdr:cxnSp macro="">
      <xdr:nvCxnSpPr>
        <xdr:cNvPr id="1423" name="Match68">
          <a:extLst>
            <a:ext uri="{FF2B5EF4-FFF2-40B4-BE49-F238E27FC236}">
              <a16:creationId xmlns:a16="http://schemas.microsoft.com/office/drawing/2014/main" id="{2975F36E-8510-1426-60F2-A5F590B2A6D1}"/>
            </a:ext>
          </a:extLst>
        </xdr:cNvPr>
        <xdr:cNvCxnSpPr/>
      </xdr:nvCxnSpPr>
      <xdr:spPr>
        <a:xfrm>
          <a:off x="4450556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4</xdr:row>
      <xdr:rowOff>178594</xdr:rowOff>
    </xdr:from>
    <xdr:to>
      <xdr:col>5</xdr:col>
      <xdr:colOff>211931</xdr:colOff>
      <xdr:row>4</xdr:row>
      <xdr:rowOff>178594</xdr:rowOff>
    </xdr:to>
    <xdr:cxnSp macro="">
      <xdr:nvCxnSpPr>
        <xdr:cNvPr id="1424" name="Match69">
          <a:extLst>
            <a:ext uri="{FF2B5EF4-FFF2-40B4-BE49-F238E27FC236}">
              <a16:creationId xmlns:a16="http://schemas.microsoft.com/office/drawing/2014/main" id="{3C573A4D-E026-8327-A3E2-521344227954}"/>
            </a:ext>
          </a:extLst>
        </xdr:cNvPr>
        <xdr:cNvCxnSpPr/>
      </xdr:nvCxnSpPr>
      <xdr:spPr>
        <a:xfrm>
          <a:off x="1907381" y="160734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4</xdr:row>
      <xdr:rowOff>203994</xdr:rowOff>
    </xdr:from>
    <xdr:to>
      <xdr:col>5</xdr:col>
      <xdr:colOff>237331</xdr:colOff>
      <xdr:row>5</xdr:row>
      <xdr:rowOff>203993</xdr:rowOff>
    </xdr:to>
    <xdr:cxnSp macro="">
      <xdr:nvCxnSpPr>
        <xdr:cNvPr id="1425" name="Match70">
          <a:extLst>
            <a:ext uri="{FF2B5EF4-FFF2-40B4-BE49-F238E27FC236}">
              <a16:creationId xmlns:a16="http://schemas.microsoft.com/office/drawing/2014/main" id="{6754B12A-5E58-2FBD-F3AB-E61B2C2DF35F}"/>
            </a:ext>
          </a:extLst>
        </xdr:cNvPr>
        <xdr:cNvCxnSpPr/>
      </xdr:nvCxnSpPr>
      <xdr:spPr>
        <a:xfrm>
          <a:off x="1932781" y="163274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4</xdr:row>
      <xdr:rowOff>178594</xdr:rowOff>
    </xdr:from>
    <xdr:to>
      <xdr:col>8</xdr:col>
      <xdr:colOff>211931</xdr:colOff>
      <xdr:row>5</xdr:row>
      <xdr:rowOff>178593</xdr:rowOff>
    </xdr:to>
    <xdr:cxnSp macro="">
      <xdr:nvCxnSpPr>
        <xdr:cNvPr id="1426" name="Match71">
          <a:extLst>
            <a:ext uri="{FF2B5EF4-FFF2-40B4-BE49-F238E27FC236}">
              <a16:creationId xmlns:a16="http://schemas.microsoft.com/office/drawing/2014/main" id="{0F2715C5-7BB9-EF61-09A5-EAE301F25091}"/>
            </a:ext>
          </a:extLst>
        </xdr:cNvPr>
        <xdr:cNvCxnSpPr/>
      </xdr:nvCxnSpPr>
      <xdr:spPr>
        <a:xfrm>
          <a:off x="3602831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5</xdr:row>
      <xdr:rowOff>178593</xdr:rowOff>
    </xdr:from>
    <xdr:to>
      <xdr:col>5</xdr:col>
      <xdr:colOff>211931</xdr:colOff>
      <xdr:row>5</xdr:row>
      <xdr:rowOff>178593</xdr:rowOff>
    </xdr:to>
    <xdr:cxnSp macro="">
      <xdr:nvCxnSpPr>
        <xdr:cNvPr id="1427" name="Match72">
          <a:extLst>
            <a:ext uri="{FF2B5EF4-FFF2-40B4-BE49-F238E27FC236}">
              <a16:creationId xmlns:a16="http://schemas.microsoft.com/office/drawing/2014/main" id="{DDFE0BD0-8D9C-B89A-3440-421F4AB50E12}"/>
            </a:ext>
          </a:extLst>
        </xdr:cNvPr>
        <xdr:cNvCxnSpPr/>
      </xdr:nvCxnSpPr>
      <xdr:spPr>
        <a:xfrm>
          <a:off x="1907381" y="196453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4</xdr:row>
      <xdr:rowOff>203994</xdr:rowOff>
    </xdr:from>
    <xdr:to>
      <xdr:col>5</xdr:col>
      <xdr:colOff>237331</xdr:colOff>
      <xdr:row>5</xdr:row>
      <xdr:rowOff>203993</xdr:rowOff>
    </xdr:to>
    <xdr:cxnSp macro="">
      <xdr:nvCxnSpPr>
        <xdr:cNvPr id="1428" name="Match73">
          <a:extLst>
            <a:ext uri="{FF2B5EF4-FFF2-40B4-BE49-F238E27FC236}">
              <a16:creationId xmlns:a16="http://schemas.microsoft.com/office/drawing/2014/main" id="{41638ECB-91C9-673D-3FF9-456CA655D1E9}"/>
            </a:ext>
          </a:extLst>
        </xdr:cNvPr>
        <xdr:cNvCxnSpPr/>
      </xdr:nvCxnSpPr>
      <xdr:spPr>
        <a:xfrm flipV="1">
          <a:off x="1932781" y="163274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5</xdr:row>
      <xdr:rowOff>178593</xdr:rowOff>
    </xdr:from>
    <xdr:to>
      <xdr:col>5</xdr:col>
      <xdr:colOff>211931</xdr:colOff>
      <xdr:row>6</xdr:row>
      <xdr:rowOff>178594</xdr:rowOff>
    </xdr:to>
    <xdr:cxnSp macro="">
      <xdr:nvCxnSpPr>
        <xdr:cNvPr id="1429" name="Match74">
          <a:extLst>
            <a:ext uri="{FF2B5EF4-FFF2-40B4-BE49-F238E27FC236}">
              <a16:creationId xmlns:a16="http://schemas.microsoft.com/office/drawing/2014/main" id="{C81D00BF-5689-52AC-CA7D-A9AC5474F52A}"/>
            </a:ext>
          </a:extLst>
        </xdr:cNvPr>
        <xdr:cNvCxnSpPr/>
      </xdr:nvCxnSpPr>
      <xdr:spPr>
        <a:xfrm flipV="1">
          <a:off x="1907381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8</xdr:row>
      <xdr:rowOff>178594</xdr:rowOff>
    </xdr:from>
    <xdr:to>
      <xdr:col>1</xdr:col>
      <xdr:colOff>211931</xdr:colOff>
      <xdr:row>9</xdr:row>
      <xdr:rowOff>178593</xdr:rowOff>
    </xdr:to>
    <xdr:cxnSp macro="">
      <xdr:nvCxnSpPr>
        <xdr:cNvPr id="1430" name="Match75">
          <a:extLst>
            <a:ext uri="{FF2B5EF4-FFF2-40B4-BE49-F238E27FC236}">
              <a16:creationId xmlns:a16="http://schemas.microsoft.com/office/drawing/2014/main" id="{C1261F0A-96C3-9ED9-FE10-DF1D5A13A561}"/>
            </a:ext>
          </a:extLst>
        </xdr:cNvPr>
        <xdr:cNvCxnSpPr/>
      </xdr:nvCxnSpPr>
      <xdr:spPr>
        <a:xfrm flipH="1">
          <a:off x="211931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9</xdr:row>
      <xdr:rowOff>178593</xdr:rowOff>
    </xdr:from>
    <xdr:to>
      <xdr:col>7</xdr:col>
      <xdr:colOff>211931</xdr:colOff>
      <xdr:row>10</xdr:row>
      <xdr:rowOff>178594</xdr:rowOff>
    </xdr:to>
    <xdr:cxnSp macro="">
      <xdr:nvCxnSpPr>
        <xdr:cNvPr id="1431" name="Match76">
          <a:extLst>
            <a:ext uri="{FF2B5EF4-FFF2-40B4-BE49-F238E27FC236}">
              <a16:creationId xmlns:a16="http://schemas.microsoft.com/office/drawing/2014/main" id="{72C95B2E-9B77-90EC-23FA-4EBEE9751C11}"/>
            </a:ext>
          </a:extLst>
        </xdr:cNvPr>
        <xdr:cNvCxnSpPr/>
      </xdr:nvCxnSpPr>
      <xdr:spPr>
        <a:xfrm>
          <a:off x="3178969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9</xdr:row>
      <xdr:rowOff>203993</xdr:rowOff>
    </xdr:from>
    <xdr:to>
      <xdr:col>7</xdr:col>
      <xdr:colOff>237331</xdr:colOff>
      <xdr:row>9</xdr:row>
      <xdr:rowOff>203993</xdr:rowOff>
    </xdr:to>
    <xdr:cxnSp macro="">
      <xdr:nvCxnSpPr>
        <xdr:cNvPr id="1432" name="Match77">
          <a:extLst>
            <a:ext uri="{FF2B5EF4-FFF2-40B4-BE49-F238E27FC236}">
              <a16:creationId xmlns:a16="http://schemas.microsoft.com/office/drawing/2014/main" id="{24EC2C55-A2BE-9A33-2478-422EC5E315CD}"/>
            </a:ext>
          </a:extLst>
        </xdr:cNvPr>
        <xdr:cNvCxnSpPr/>
      </xdr:nvCxnSpPr>
      <xdr:spPr>
        <a:xfrm flipH="1">
          <a:off x="2780506" y="3418681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9</xdr:row>
      <xdr:rowOff>178593</xdr:rowOff>
    </xdr:from>
    <xdr:to>
      <xdr:col>1</xdr:col>
      <xdr:colOff>211931</xdr:colOff>
      <xdr:row>10</xdr:row>
      <xdr:rowOff>178594</xdr:rowOff>
    </xdr:to>
    <xdr:cxnSp macro="">
      <xdr:nvCxnSpPr>
        <xdr:cNvPr id="1433" name="Match78">
          <a:extLst>
            <a:ext uri="{FF2B5EF4-FFF2-40B4-BE49-F238E27FC236}">
              <a16:creationId xmlns:a16="http://schemas.microsoft.com/office/drawing/2014/main" id="{08026C64-8C28-AB2C-F62F-9D55E67726C0}"/>
            </a:ext>
          </a:extLst>
        </xdr:cNvPr>
        <xdr:cNvCxnSpPr/>
      </xdr:nvCxnSpPr>
      <xdr:spPr>
        <a:xfrm flipH="1" flipV="1">
          <a:off x="211931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10</xdr:row>
      <xdr:rowOff>178594</xdr:rowOff>
    </xdr:from>
    <xdr:to>
      <xdr:col>8</xdr:col>
      <xdr:colOff>211931</xdr:colOff>
      <xdr:row>10</xdr:row>
      <xdr:rowOff>178594</xdr:rowOff>
    </xdr:to>
    <xdr:cxnSp macro="">
      <xdr:nvCxnSpPr>
        <xdr:cNvPr id="1434" name="Match79">
          <a:extLst>
            <a:ext uri="{FF2B5EF4-FFF2-40B4-BE49-F238E27FC236}">
              <a16:creationId xmlns:a16="http://schemas.microsoft.com/office/drawing/2014/main" id="{8F9DBFAA-0777-BBFB-0EBF-75E2CA6A7122}"/>
            </a:ext>
          </a:extLst>
        </xdr:cNvPr>
        <xdr:cNvCxnSpPr/>
      </xdr:nvCxnSpPr>
      <xdr:spPr>
        <a:xfrm flipH="1">
          <a:off x="3178969" y="37504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11</xdr:row>
      <xdr:rowOff>178593</xdr:rowOff>
    </xdr:from>
    <xdr:to>
      <xdr:col>6</xdr:col>
      <xdr:colOff>211931</xdr:colOff>
      <xdr:row>11</xdr:row>
      <xdr:rowOff>178593</xdr:rowOff>
    </xdr:to>
    <xdr:cxnSp macro="">
      <xdr:nvCxnSpPr>
        <xdr:cNvPr id="1435" name="Match80">
          <a:extLst>
            <a:ext uri="{FF2B5EF4-FFF2-40B4-BE49-F238E27FC236}">
              <a16:creationId xmlns:a16="http://schemas.microsoft.com/office/drawing/2014/main" id="{874BB279-5B8D-18BB-F23C-0D6F668BB84B}"/>
            </a:ext>
          </a:extLst>
        </xdr:cNvPr>
        <xdr:cNvCxnSpPr/>
      </xdr:nvCxnSpPr>
      <xdr:spPr>
        <a:xfrm>
          <a:off x="2331244" y="41076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0</xdr:rowOff>
        </xdr:from>
        <xdr:to>
          <xdr:col>18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0</xdr:row>
          <xdr:rowOff>0</xdr:rowOff>
        </xdr:from>
        <xdr:to>
          <xdr:col>19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0</xdr:row>
      <xdr:rowOff>0</xdr:rowOff>
    </xdr:from>
    <xdr:to>
      <xdr:col>25</xdr:col>
      <xdr:colOff>457200</xdr:colOff>
      <xdr:row>0</xdr:row>
      <xdr:rowOff>2743200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25642296-C730-9865-9C20-FA3E37B709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C11" sqref="C11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6">
        <v>1</v>
      </c>
      <c r="B1" s="22">
        <v>7</v>
      </c>
      <c r="C1" s="26">
        <v>9</v>
      </c>
      <c r="D1" s="22">
        <v>8</v>
      </c>
      <c r="E1" s="26">
        <v>5</v>
      </c>
      <c r="F1" s="26">
        <v>9</v>
      </c>
      <c r="G1" s="26">
        <v>9</v>
      </c>
      <c r="H1" s="22">
        <v>9</v>
      </c>
      <c r="I1" s="23">
        <v>9</v>
      </c>
      <c r="J1" s="23">
        <v>9</v>
      </c>
      <c r="K1" s="26">
        <v>4</v>
      </c>
      <c r="L1" s="26">
        <v>2</v>
      </c>
      <c r="N1" s="2">
        <v>655</v>
      </c>
      <c r="O1" s="1">
        <v>1</v>
      </c>
    </row>
    <row r="2" spans="1:15" ht="28.25" customHeight="1">
      <c r="A2" s="22">
        <v>8</v>
      </c>
      <c r="B2" s="22">
        <v>8</v>
      </c>
      <c r="C2" s="22">
        <v>5</v>
      </c>
      <c r="D2" s="22">
        <v>6</v>
      </c>
      <c r="E2" s="22">
        <v>4</v>
      </c>
      <c r="F2" s="22">
        <v>4</v>
      </c>
      <c r="G2" s="26">
        <v>7</v>
      </c>
      <c r="H2" s="22">
        <v>1</v>
      </c>
      <c r="I2" s="22">
        <v>3</v>
      </c>
      <c r="J2" s="22">
        <v>9</v>
      </c>
      <c r="K2" s="26">
        <v>6</v>
      </c>
      <c r="L2" s="23">
        <v>2</v>
      </c>
      <c r="N2" s="2">
        <v>22795</v>
      </c>
      <c r="O2" s="1">
        <v>1</v>
      </c>
    </row>
    <row r="3" spans="1:15" ht="28.25" customHeight="1">
      <c r="A3" s="23">
        <v>9</v>
      </c>
      <c r="B3" s="22">
        <v>3</v>
      </c>
      <c r="C3" s="22">
        <v>9</v>
      </c>
      <c r="D3" s="22">
        <v>8</v>
      </c>
      <c r="E3" s="22">
        <v>3</v>
      </c>
      <c r="F3" s="22">
        <v>4</v>
      </c>
      <c r="G3" s="26">
        <v>4</v>
      </c>
      <c r="H3" s="22">
        <v>3</v>
      </c>
      <c r="I3" s="26">
        <v>6</v>
      </c>
      <c r="J3" s="23">
        <v>9</v>
      </c>
      <c r="K3" s="22">
        <v>1</v>
      </c>
      <c r="L3" s="22">
        <v>6</v>
      </c>
      <c r="N3" s="2">
        <v>78311</v>
      </c>
      <c r="O3" s="1">
        <v>1</v>
      </c>
    </row>
    <row r="4" spans="1:15" ht="28.25" customHeight="1">
      <c r="A4" s="26">
        <v>1</v>
      </c>
      <c r="B4" s="22">
        <v>1</v>
      </c>
      <c r="C4" s="22">
        <v>6</v>
      </c>
      <c r="D4" s="22">
        <v>7</v>
      </c>
      <c r="E4" s="22">
        <v>7</v>
      </c>
      <c r="F4" s="22">
        <v>7</v>
      </c>
      <c r="G4" s="26">
        <v>2</v>
      </c>
      <c r="H4" s="26">
        <v>6</v>
      </c>
      <c r="I4" s="26">
        <v>4</v>
      </c>
      <c r="J4" s="22">
        <v>1</v>
      </c>
      <c r="K4" s="26">
        <v>6</v>
      </c>
      <c r="L4" s="22">
        <v>5</v>
      </c>
      <c r="N4" s="2">
        <v>88</v>
      </c>
      <c r="O4" s="1">
        <v>28</v>
      </c>
    </row>
    <row r="5" spans="1:15" ht="28.25" customHeight="1">
      <c r="A5" s="26">
        <v>6</v>
      </c>
      <c r="B5" s="22">
        <v>1</v>
      </c>
      <c r="C5" s="22">
        <v>2</v>
      </c>
      <c r="D5" s="22">
        <v>8</v>
      </c>
      <c r="E5" s="22">
        <v>1</v>
      </c>
      <c r="F5" s="22">
        <v>5</v>
      </c>
      <c r="G5" s="23">
        <v>8</v>
      </c>
      <c r="H5" s="26">
        <v>7</v>
      </c>
      <c r="I5" s="22">
        <v>1</v>
      </c>
      <c r="J5" s="26">
        <v>4</v>
      </c>
      <c r="K5" s="26">
        <v>3</v>
      </c>
      <c r="L5" s="22">
        <v>5</v>
      </c>
      <c r="N5" s="2">
        <v>21</v>
      </c>
      <c r="O5" s="1">
        <v>15</v>
      </c>
    </row>
    <row r="6" spans="1:15" ht="28.25" customHeight="1">
      <c r="A6" s="26">
        <v>4</v>
      </c>
      <c r="B6" s="23">
        <v>3</v>
      </c>
      <c r="C6" s="22">
        <v>9</v>
      </c>
      <c r="D6" s="22">
        <v>1</v>
      </c>
      <c r="E6" s="22">
        <v>1</v>
      </c>
      <c r="F6" s="22">
        <v>5</v>
      </c>
      <c r="G6" s="26">
        <v>7</v>
      </c>
      <c r="H6" s="22">
        <v>8</v>
      </c>
      <c r="I6" s="23">
        <v>5</v>
      </c>
      <c r="J6" s="23">
        <v>2</v>
      </c>
      <c r="K6" s="26">
        <v>7</v>
      </c>
      <c r="L6" s="23">
        <v>8</v>
      </c>
      <c r="N6" s="2">
        <v>4371116</v>
      </c>
      <c r="O6" s="1">
        <v>1</v>
      </c>
    </row>
    <row r="7" spans="1:15" ht="28.25" customHeight="1">
      <c r="A7" s="26">
        <v>4</v>
      </c>
      <c r="B7" s="23">
        <v>2</v>
      </c>
      <c r="C7" s="22">
        <v>6</v>
      </c>
      <c r="D7" s="22">
        <v>3</v>
      </c>
      <c r="E7" s="22">
        <v>1</v>
      </c>
      <c r="F7" s="22">
        <v>9</v>
      </c>
      <c r="G7" s="22">
        <v>5</v>
      </c>
      <c r="H7" s="23">
        <v>8</v>
      </c>
      <c r="I7" s="23">
        <v>8</v>
      </c>
      <c r="J7" s="26">
        <v>4</v>
      </c>
      <c r="K7" s="23">
        <v>8</v>
      </c>
      <c r="L7" s="23">
        <v>8</v>
      </c>
      <c r="N7" s="2">
        <v>7586</v>
      </c>
      <c r="O7" s="1">
        <v>1</v>
      </c>
    </row>
    <row r="8" spans="1:15" ht="28.25" customHeight="1">
      <c r="A8" s="23">
        <v>8</v>
      </c>
      <c r="B8" s="23">
        <v>8</v>
      </c>
      <c r="C8" s="23">
        <v>1</v>
      </c>
      <c r="D8" s="26">
        <v>3</v>
      </c>
      <c r="E8" s="22">
        <v>6</v>
      </c>
      <c r="F8" s="22">
        <v>7</v>
      </c>
      <c r="G8" s="26">
        <v>6</v>
      </c>
      <c r="H8" s="26">
        <v>7</v>
      </c>
      <c r="I8" s="23">
        <v>2</v>
      </c>
      <c r="J8" s="22">
        <v>2</v>
      </c>
      <c r="K8" s="23">
        <v>2</v>
      </c>
      <c r="L8" s="23">
        <v>8</v>
      </c>
      <c r="N8" s="2">
        <v>58111</v>
      </c>
      <c r="O8" s="1">
        <v>1</v>
      </c>
    </row>
    <row r="9" spans="1:15" ht="28.25" customHeight="1">
      <c r="A9" s="23">
        <v>2</v>
      </c>
      <c r="B9" s="23">
        <v>1</v>
      </c>
      <c r="C9" s="23">
        <v>2</v>
      </c>
      <c r="D9" s="26">
        <v>6</v>
      </c>
      <c r="E9" s="26">
        <v>5</v>
      </c>
      <c r="F9" s="22">
        <v>2</v>
      </c>
      <c r="G9" s="26">
        <v>8</v>
      </c>
      <c r="H9" s="22">
        <v>7</v>
      </c>
      <c r="I9" s="23">
        <v>3</v>
      </c>
      <c r="J9" s="22">
        <v>1</v>
      </c>
      <c r="K9" s="26">
        <v>6</v>
      </c>
      <c r="L9" s="23">
        <v>2</v>
      </c>
      <c r="N9" s="2">
        <v>3187868</v>
      </c>
      <c r="O9" s="1">
        <v>1</v>
      </c>
    </row>
    <row r="10" spans="1:15" ht="28.25" customHeight="1">
      <c r="A10" s="23">
        <v>5</v>
      </c>
      <c r="B10" s="26">
        <v>4</v>
      </c>
      <c r="C10" s="23">
        <v>1</v>
      </c>
      <c r="D10" s="23">
        <v>3</v>
      </c>
      <c r="E10" s="23">
        <v>8</v>
      </c>
      <c r="F10" s="22">
        <v>2</v>
      </c>
      <c r="G10" s="22">
        <v>5</v>
      </c>
      <c r="H10" s="23">
        <v>1</v>
      </c>
      <c r="I10" s="23">
        <v>9</v>
      </c>
      <c r="J10" s="23">
        <v>8</v>
      </c>
      <c r="K10" s="26">
        <v>4</v>
      </c>
      <c r="L10" s="23">
        <v>1</v>
      </c>
      <c r="N10" s="2">
        <v>93</v>
      </c>
      <c r="O10" s="1">
        <v>12</v>
      </c>
    </row>
    <row r="11" spans="1:15" ht="28.25" customHeight="1">
      <c r="A11" s="26">
        <v>4</v>
      </c>
      <c r="B11" s="23">
        <v>1</v>
      </c>
      <c r="C11" s="22">
        <v>1</v>
      </c>
      <c r="D11" s="22">
        <v>9</v>
      </c>
      <c r="E11" s="22">
        <v>4</v>
      </c>
      <c r="F11" s="22">
        <v>8</v>
      </c>
      <c r="G11" s="23">
        <v>9</v>
      </c>
      <c r="H11" s="23">
        <v>5</v>
      </c>
      <c r="I11" s="23">
        <v>1</v>
      </c>
      <c r="J11" s="23">
        <v>8</v>
      </c>
      <c r="K11" s="26">
        <v>4</v>
      </c>
      <c r="L11" s="26">
        <v>7</v>
      </c>
      <c r="N11" s="2">
        <v>5744</v>
      </c>
      <c r="O11" s="1">
        <v>1</v>
      </c>
    </row>
    <row r="12" spans="1:15" ht="28.25" customHeight="1">
      <c r="A12" s="26">
        <v>1</v>
      </c>
      <c r="B12" s="26">
        <v>4</v>
      </c>
      <c r="C12" s="23">
        <v>3</v>
      </c>
      <c r="D12" s="23">
        <v>2</v>
      </c>
      <c r="E12" s="22">
        <v>6</v>
      </c>
      <c r="F12" s="23">
        <v>1</v>
      </c>
      <c r="G12" s="23">
        <v>5</v>
      </c>
      <c r="H12" s="26">
        <v>9</v>
      </c>
      <c r="I12" s="26">
        <v>4</v>
      </c>
      <c r="J12" s="26">
        <v>9</v>
      </c>
      <c r="K12" s="23">
        <v>8</v>
      </c>
      <c r="L12" s="26">
        <v>9</v>
      </c>
      <c r="N12" s="2">
        <v>596296</v>
      </c>
      <c r="O12" s="1">
        <v>1</v>
      </c>
    </row>
    <row r="13" spans="1:15" ht="28.25" customHeight="1">
      <c r="N13" s="2">
        <v>491</v>
      </c>
      <c r="O13" s="1">
        <v>1</v>
      </c>
    </row>
    <row r="14" spans="1:15" ht="28.25" customHeight="1">
      <c r="N14" s="2">
        <v>913</v>
      </c>
      <c r="O14" s="1">
        <v>3</v>
      </c>
    </row>
    <row r="15" spans="1:15" ht="28.25" customHeight="1">
      <c r="N15" s="2">
        <v>15</v>
      </c>
      <c r="O15" s="1">
        <v>13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I105"/>
  <sheetViews>
    <sheetView tabSelected="1" zoomScaleNormal="100" workbookViewId="0">
      <pane ySplit="1" topLeftCell="A98" activePane="bottomLeft" state="frozen"/>
      <selection pane="bottomLeft" activeCell="A105" sqref="A105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7" max="27" width="16.0625" bestFit="1" customWidth="1"/>
  </cols>
  <sheetData>
    <row r="1" spans="1:35" ht="246.75">
      <c r="A1" t="s">
        <v>0</v>
      </c>
      <c r="B1" s="4" t="s">
        <v>171</v>
      </c>
      <c r="C1" s="4" t="s">
        <v>172</v>
      </c>
      <c r="D1" s="4" t="s">
        <v>173</v>
      </c>
      <c r="E1" s="4" t="s">
        <v>174</v>
      </c>
      <c r="F1" s="4" t="s">
        <v>175</v>
      </c>
      <c r="G1" s="4" t="s">
        <v>10</v>
      </c>
      <c r="H1" s="4" t="s">
        <v>16</v>
      </c>
      <c r="I1" s="4" t="s">
        <v>15</v>
      </c>
      <c r="J1" s="4" t="s">
        <v>11</v>
      </c>
      <c r="K1" s="4" t="s">
        <v>179</v>
      </c>
      <c r="L1" s="4" t="s">
        <v>163</v>
      </c>
      <c r="M1" s="4" t="s">
        <v>251</v>
      </c>
      <c r="N1" s="4" t="s">
        <v>178</v>
      </c>
      <c r="O1" s="4" t="s">
        <v>180</v>
      </c>
      <c r="P1" s="4" t="s">
        <v>170</v>
      </c>
      <c r="AA1" t="s">
        <v>0</v>
      </c>
      <c r="AB1" s="4" t="s">
        <v>49</v>
      </c>
      <c r="AC1" s="4" t="s">
        <v>1</v>
      </c>
      <c r="AD1" s="4" t="s">
        <v>2</v>
      </c>
      <c r="AE1" s="4" t="s">
        <v>3</v>
      </c>
      <c r="AF1" s="4" t="s">
        <v>10</v>
      </c>
      <c r="AG1" s="4" t="s">
        <v>16</v>
      </c>
      <c r="AH1" s="4" t="s">
        <v>15</v>
      </c>
      <c r="AI1" s="4" t="s">
        <v>11</v>
      </c>
    </row>
    <row r="2" spans="1:35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66</v>
      </c>
      <c r="I2" t="s">
        <v>48</v>
      </c>
      <c r="J2">
        <v>0</v>
      </c>
      <c r="AA2" s="3">
        <v>45951.701574074075</v>
      </c>
      <c r="AB2">
        <v>20</v>
      </c>
      <c r="AC2">
        <v>0</v>
      </c>
      <c r="AD2">
        <v>3</v>
      </c>
      <c r="AE2">
        <v>0</v>
      </c>
      <c r="AF2" s="5">
        <v>1.4050925929041114E-2</v>
      </c>
      <c r="AG2" t="s">
        <v>17</v>
      </c>
      <c r="AH2" t="s">
        <v>48</v>
      </c>
      <c r="AI2">
        <v>0</v>
      </c>
    </row>
    <row r="3" spans="1:35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64</v>
      </c>
      <c r="I3" t="s">
        <v>65</v>
      </c>
      <c r="J3">
        <v>0</v>
      </c>
      <c r="AA3" s="3">
        <v>45951.867650462962</v>
      </c>
      <c r="AB3">
        <v>19</v>
      </c>
      <c r="AC3">
        <v>0</v>
      </c>
      <c r="AD3">
        <v>0</v>
      </c>
      <c r="AE3">
        <v>0</v>
      </c>
      <c r="AF3" s="5">
        <v>1.0868055556784384E-2</v>
      </c>
      <c r="AG3" t="s">
        <v>18</v>
      </c>
      <c r="AH3" t="s">
        <v>19</v>
      </c>
      <c r="AI3">
        <v>0</v>
      </c>
    </row>
    <row r="4" spans="1:35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62</v>
      </c>
      <c r="I4" t="s">
        <v>63</v>
      </c>
      <c r="J4">
        <v>0</v>
      </c>
      <c r="AA4" s="3">
        <v>45952.483495370368</v>
      </c>
      <c r="AB4">
        <v>15</v>
      </c>
      <c r="AC4">
        <v>0</v>
      </c>
      <c r="AD4">
        <v>5</v>
      </c>
      <c r="AE4">
        <v>0</v>
      </c>
      <c r="AF4" s="5">
        <v>1.7534722217533272E-2</v>
      </c>
      <c r="AG4" t="s">
        <v>20</v>
      </c>
      <c r="AH4" t="s">
        <v>21</v>
      </c>
      <c r="AI4">
        <v>0</v>
      </c>
    </row>
    <row r="5" spans="1:35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60</v>
      </c>
      <c r="I5" t="s">
        <v>61</v>
      </c>
      <c r="J5">
        <v>0</v>
      </c>
      <c r="AA5" s="3">
        <v>45952.864699074074</v>
      </c>
      <c r="AB5">
        <v>29</v>
      </c>
      <c r="AC5">
        <v>0</v>
      </c>
      <c r="AD5">
        <v>1</v>
      </c>
      <c r="AE5">
        <v>0</v>
      </c>
      <c r="AF5" s="5">
        <v>1.9606481480877846E-2</v>
      </c>
      <c r="AG5" t="s">
        <v>22</v>
      </c>
      <c r="AH5" t="s">
        <v>23</v>
      </c>
      <c r="AI5">
        <v>0</v>
      </c>
    </row>
    <row r="6" spans="1:35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58</v>
      </c>
      <c r="I6" t="s">
        <v>59</v>
      </c>
      <c r="J6">
        <v>0</v>
      </c>
      <c r="AA6" s="3">
        <v>45953.849791666667</v>
      </c>
      <c r="AB6">
        <v>65</v>
      </c>
      <c r="AC6">
        <v>0</v>
      </c>
      <c r="AD6">
        <v>1</v>
      </c>
      <c r="AE6">
        <v>0</v>
      </c>
      <c r="AF6" s="5">
        <v>1.4953703706851229E-2</v>
      </c>
      <c r="AG6" t="s">
        <v>32</v>
      </c>
      <c r="AH6" t="s">
        <v>33</v>
      </c>
      <c r="AI6">
        <v>0</v>
      </c>
    </row>
    <row r="7" spans="1:35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56</v>
      </c>
      <c r="I7" t="s">
        <v>57</v>
      </c>
      <c r="J7">
        <v>0</v>
      </c>
      <c r="AA7" s="3">
        <v>45953.869490740741</v>
      </c>
      <c r="AB7">
        <v>54</v>
      </c>
      <c r="AC7">
        <v>0</v>
      </c>
      <c r="AD7">
        <v>1</v>
      </c>
      <c r="AE7">
        <v>0</v>
      </c>
      <c r="AF7" s="5">
        <v>1.8831018518540077E-2</v>
      </c>
      <c r="AG7" t="s">
        <v>34</v>
      </c>
      <c r="AH7" t="s">
        <v>35</v>
      </c>
      <c r="AI7">
        <v>0</v>
      </c>
    </row>
    <row r="8" spans="1:35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54</v>
      </c>
      <c r="I8" t="s">
        <v>55</v>
      </c>
      <c r="J8">
        <v>0</v>
      </c>
      <c r="AA8" s="3">
        <v>45954.406076388892</v>
      </c>
      <c r="AB8">
        <v>45</v>
      </c>
      <c r="AC8">
        <v>0</v>
      </c>
      <c r="AD8">
        <v>3</v>
      </c>
      <c r="AE8">
        <v>0</v>
      </c>
      <c r="AF8" s="5">
        <v>1.0740740741312038E-2</v>
      </c>
      <c r="AG8" t="s">
        <v>36</v>
      </c>
      <c r="AH8" t="s">
        <v>37</v>
      </c>
      <c r="AI8">
        <v>0</v>
      </c>
    </row>
    <row r="9" spans="1:35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52</v>
      </c>
      <c r="I9" t="s">
        <v>53</v>
      </c>
      <c r="J9">
        <v>0</v>
      </c>
      <c r="AA9" s="3">
        <v>45954.875092592592</v>
      </c>
      <c r="AB9">
        <v>43</v>
      </c>
      <c r="AC9">
        <v>0</v>
      </c>
      <c r="AD9">
        <v>2</v>
      </c>
      <c r="AE9">
        <v>0</v>
      </c>
      <c r="AF9" s="5">
        <v>2.0335648150648922E-2</v>
      </c>
      <c r="AG9" t="s">
        <v>38</v>
      </c>
      <c r="AH9" t="s">
        <v>39</v>
      </c>
      <c r="AI9">
        <v>0</v>
      </c>
    </row>
    <row r="10" spans="1:35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50</v>
      </c>
      <c r="I10" t="s">
        <v>51</v>
      </c>
      <c r="J10">
        <v>0</v>
      </c>
    </row>
    <row r="11" spans="1:35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67</v>
      </c>
      <c r="I11" t="s">
        <v>68</v>
      </c>
      <c r="J11">
        <v>0</v>
      </c>
    </row>
    <row r="12" spans="1:35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69</v>
      </c>
      <c r="I12" t="s">
        <v>70</v>
      </c>
      <c r="J12">
        <v>0</v>
      </c>
    </row>
    <row r="13" spans="1:35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71</v>
      </c>
      <c r="I13" t="s">
        <v>72</v>
      </c>
      <c r="J13">
        <v>0</v>
      </c>
    </row>
    <row r="14" spans="1:35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73</v>
      </c>
      <c r="I14" t="s">
        <v>74</v>
      </c>
      <c r="J14">
        <v>0</v>
      </c>
    </row>
    <row r="15" spans="1:35">
      <c r="A15" s="3">
        <v>45963.852662037039</v>
      </c>
      <c r="B15">
        <v>60</v>
      </c>
      <c r="C15">
        <v>14</v>
      </c>
      <c r="D15">
        <v>0</v>
      </c>
      <c r="E15">
        <v>0</v>
      </c>
      <c r="F15">
        <v>0</v>
      </c>
      <c r="G15" s="5">
        <v>1.2187500004074536E-2</v>
      </c>
      <c r="H15" t="s">
        <v>75</v>
      </c>
      <c r="I15" t="s">
        <v>76</v>
      </c>
      <c r="J15">
        <v>0</v>
      </c>
    </row>
    <row r="16" spans="1:35">
      <c r="A16" s="3">
        <v>45963.866400462961</v>
      </c>
      <c r="B16">
        <v>60</v>
      </c>
      <c r="C16">
        <v>34</v>
      </c>
      <c r="D16">
        <v>1</v>
      </c>
      <c r="E16">
        <v>0</v>
      </c>
      <c r="F16">
        <v>0</v>
      </c>
      <c r="G16" s="5">
        <v>1.2881944443506654E-2</v>
      </c>
      <c r="H16" t="s">
        <v>77</v>
      </c>
      <c r="I16" t="s">
        <v>78</v>
      </c>
      <c r="J16">
        <v>0</v>
      </c>
    </row>
    <row r="17" spans="1:16">
      <c r="A17" s="3">
        <v>45964.374537037038</v>
      </c>
      <c r="B17">
        <v>55</v>
      </c>
      <c r="C17">
        <v>22</v>
      </c>
      <c r="D17">
        <v>1</v>
      </c>
      <c r="E17">
        <v>5</v>
      </c>
      <c r="F17">
        <v>0</v>
      </c>
      <c r="G17" s="5">
        <v>1.7210648147738539E-2</v>
      </c>
      <c r="H17" t="s">
        <v>79</v>
      </c>
      <c r="I17" t="s">
        <v>80</v>
      </c>
      <c r="J17">
        <v>0</v>
      </c>
      <c r="K17">
        <f>IF(A17&lt;DATEVALUE("2025/11/20")+TIMEVALUE("6:00"),1,IF(B17-SUM(D17:F17)&lt;&gt;60,0,MAX(2-INT(G17*24*60/10),0)))</f>
        <v>1</v>
      </c>
      <c r="L17">
        <f>L16+K17</f>
        <v>1</v>
      </c>
      <c r="M17">
        <f t="shared" ref="M17" si="0">2+IF(A17&gt;=DATEVALUE("2025/11/30")+TIMEVALUE("6:00"),1,0)+IF(A17&gt;=DATEVALUE("2025/12/11")+TIMEVALUE("6:00"),1,0)</f>
        <v>2</v>
      </c>
      <c r="N17">
        <f t="shared" ref="N17" si="1">N16+M17*(INT(A17-6/24)-INT(A16-6/24))+O17</f>
        <v>2</v>
      </c>
      <c r="O17">
        <f>IF(A17&gt;=DATEVALUE("2025/11/8")+TIMEVALUE("6:00"),1,0)-IF(A16&gt;=DATEVALUE("2025/11/8")+TIMEVALUE("6:00"),1,0)</f>
        <v>0</v>
      </c>
      <c r="P17" t="str">
        <f>IF(L17&lt;N17,"未達成（"&amp;N17-L17&amp;"）",IF(L17=N17,"達成","前倒し（"&amp;L17-N17&amp;"）"))</f>
        <v>未達成（1）</v>
      </c>
    </row>
    <row r="18" spans="1:16">
      <c r="A18" s="3">
        <v>45964.485486111109</v>
      </c>
      <c r="B18">
        <v>53</v>
      </c>
      <c r="C18">
        <v>20</v>
      </c>
      <c r="D18">
        <v>0</v>
      </c>
      <c r="E18">
        <v>7</v>
      </c>
      <c r="F18">
        <v>0</v>
      </c>
      <c r="G18" s="5">
        <v>1.5312499999708962E-2</v>
      </c>
      <c r="H18" t="s">
        <v>81</v>
      </c>
      <c r="I18" t="s">
        <v>82</v>
      </c>
      <c r="J18">
        <v>0</v>
      </c>
      <c r="K18">
        <f t="shared" ref="K18:K81" si="2">IF(A18&lt;DATEVALUE("2025/11/20")+TIMEVALUE("6:00"),1,IF(B18-SUM(D18:F18)&lt;&gt;60,0,MAX(2-INT(G18*24*60/10),0)))</f>
        <v>1</v>
      </c>
      <c r="L18">
        <f t="shared" ref="L18:L81" si="3">L17+K18</f>
        <v>2</v>
      </c>
      <c r="M18">
        <f t="shared" ref="M18:M81" si="4">2+IF(A18&gt;=DATEVALUE("2025/11/30")+TIMEVALUE("6:00"),1,0)+IF(A18&gt;=DATEVALUE("2025/12/11")+TIMEVALUE("6:00"),1,0)</f>
        <v>2</v>
      </c>
      <c r="N18">
        <f t="shared" ref="N18:N81" si="5">N17+M18*(INT(A18-6/24)-INT(A17-6/24))+O18</f>
        <v>2</v>
      </c>
      <c r="O18">
        <f t="shared" ref="O18:O81" si="6">IF(A18&gt;=DATEVALUE("2025/11/8")+TIMEVALUE("6:00"),1,0)-IF(A17&gt;=DATEVALUE("2025/11/8")+TIMEVALUE("6:00"),1,0)</f>
        <v>0</v>
      </c>
      <c r="P18" t="str">
        <f t="shared" ref="P18:P81" si="7">IF(L18&lt;N18,"未達成（"&amp;N18-L18&amp;"）",IF(L18=N18,"達成","前倒し（"&amp;L18-N18&amp;"）"))</f>
        <v>達成</v>
      </c>
    </row>
    <row r="19" spans="1:16">
      <c r="A19" s="3">
        <v>45965.688217592593</v>
      </c>
      <c r="B19">
        <v>60</v>
      </c>
      <c r="C19">
        <v>23</v>
      </c>
      <c r="D19">
        <v>0</v>
      </c>
      <c r="E19">
        <v>0</v>
      </c>
      <c r="F19">
        <v>0</v>
      </c>
      <c r="G19" s="5">
        <v>1.5277777776645962E-2</v>
      </c>
      <c r="H19" t="s">
        <v>83</v>
      </c>
      <c r="I19" t="s">
        <v>84</v>
      </c>
      <c r="J19">
        <v>0</v>
      </c>
      <c r="K19">
        <f t="shared" si="2"/>
        <v>1</v>
      </c>
      <c r="L19">
        <f t="shared" si="3"/>
        <v>3</v>
      </c>
      <c r="M19">
        <f t="shared" si="4"/>
        <v>2</v>
      </c>
      <c r="N19">
        <f t="shared" si="5"/>
        <v>4</v>
      </c>
      <c r="O19">
        <f t="shared" si="6"/>
        <v>0</v>
      </c>
      <c r="P19" t="str">
        <f t="shared" si="7"/>
        <v>未達成（1）</v>
      </c>
    </row>
    <row r="20" spans="1:16">
      <c r="A20" s="3">
        <v>45965.84888888889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1.4004629629198462E-2</v>
      </c>
      <c r="H20" t="s">
        <v>85</v>
      </c>
      <c r="I20" t="s">
        <v>86</v>
      </c>
      <c r="J20">
        <v>0</v>
      </c>
      <c r="K20">
        <f t="shared" si="2"/>
        <v>1</v>
      </c>
      <c r="L20">
        <f t="shared" si="3"/>
        <v>4</v>
      </c>
      <c r="M20">
        <f t="shared" si="4"/>
        <v>2</v>
      </c>
      <c r="N20">
        <f t="shared" si="5"/>
        <v>4</v>
      </c>
      <c r="O20">
        <f t="shared" si="6"/>
        <v>0</v>
      </c>
      <c r="P20" t="str">
        <f t="shared" si="7"/>
        <v>達成</v>
      </c>
    </row>
    <row r="21" spans="1:16">
      <c r="A21" s="3">
        <v>45966.436736111114</v>
      </c>
      <c r="B21">
        <v>56</v>
      </c>
      <c r="C21">
        <v>61</v>
      </c>
      <c r="D21">
        <v>0</v>
      </c>
      <c r="E21">
        <v>4</v>
      </c>
      <c r="F21">
        <v>0</v>
      </c>
      <c r="G21" s="5">
        <v>7.9398148154723458E-3</v>
      </c>
      <c r="H21" t="s">
        <v>87</v>
      </c>
      <c r="I21" t="s">
        <v>88</v>
      </c>
      <c r="J21">
        <v>0</v>
      </c>
      <c r="K21">
        <f t="shared" si="2"/>
        <v>1</v>
      </c>
      <c r="L21">
        <f t="shared" si="3"/>
        <v>5</v>
      </c>
      <c r="M21">
        <f t="shared" si="4"/>
        <v>2</v>
      </c>
      <c r="N21">
        <f t="shared" si="5"/>
        <v>6</v>
      </c>
      <c r="O21">
        <f t="shared" si="6"/>
        <v>0</v>
      </c>
      <c r="P21" t="str">
        <f t="shared" si="7"/>
        <v>未達成（1）</v>
      </c>
    </row>
    <row r="22" spans="1:16">
      <c r="A22" s="3">
        <v>45966.85869212963</v>
      </c>
      <c r="B22">
        <v>60</v>
      </c>
      <c r="C22">
        <v>80</v>
      </c>
      <c r="D22">
        <v>0</v>
      </c>
      <c r="E22">
        <v>0</v>
      </c>
      <c r="F22">
        <v>0</v>
      </c>
      <c r="G22" s="5">
        <v>1.4085648152104113E-2</v>
      </c>
      <c r="H22" t="s">
        <v>89</v>
      </c>
      <c r="I22" t="s">
        <v>90</v>
      </c>
      <c r="J22">
        <v>0</v>
      </c>
      <c r="K22">
        <f t="shared" si="2"/>
        <v>1</v>
      </c>
      <c r="L22">
        <f t="shared" si="3"/>
        <v>6</v>
      </c>
      <c r="M22">
        <f t="shared" si="4"/>
        <v>2</v>
      </c>
      <c r="N22">
        <f t="shared" si="5"/>
        <v>6</v>
      </c>
      <c r="O22">
        <f t="shared" si="6"/>
        <v>0</v>
      </c>
      <c r="P22" t="str">
        <f t="shared" si="7"/>
        <v>達成</v>
      </c>
    </row>
    <row r="23" spans="1:16">
      <c r="A23" s="3">
        <v>45967.811736111114</v>
      </c>
      <c r="B23">
        <v>60</v>
      </c>
      <c r="C23">
        <v>104</v>
      </c>
      <c r="D23">
        <v>0</v>
      </c>
      <c r="E23">
        <v>0</v>
      </c>
      <c r="F23">
        <v>0</v>
      </c>
      <c r="G23" s="5">
        <v>1.5046296299260575E-2</v>
      </c>
      <c r="H23" t="s">
        <v>91</v>
      </c>
      <c r="I23" t="s">
        <v>92</v>
      </c>
      <c r="J23">
        <v>0</v>
      </c>
      <c r="K23">
        <f t="shared" si="2"/>
        <v>1</v>
      </c>
      <c r="L23">
        <f t="shared" si="3"/>
        <v>7</v>
      </c>
      <c r="M23">
        <f t="shared" si="4"/>
        <v>2</v>
      </c>
      <c r="N23">
        <f t="shared" si="5"/>
        <v>8</v>
      </c>
      <c r="O23">
        <f t="shared" si="6"/>
        <v>0</v>
      </c>
      <c r="P23" t="str">
        <f t="shared" si="7"/>
        <v>未達成（1）</v>
      </c>
    </row>
    <row r="24" spans="1:16">
      <c r="A24" s="3">
        <v>45967.82545138889</v>
      </c>
      <c r="B24">
        <v>60</v>
      </c>
      <c r="C24">
        <v>92</v>
      </c>
      <c r="D24">
        <v>0</v>
      </c>
      <c r="E24">
        <v>0</v>
      </c>
      <c r="F24">
        <v>0</v>
      </c>
      <c r="G24" s="5">
        <v>1.226851851970423E-2</v>
      </c>
      <c r="H24" t="s">
        <v>93</v>
      </c>
      <c r="I24" t="s">
        <v>94</v>
      </c>
      <c r="J24">
        <v>0</v>
      </c>
      <c r="K24">
        <f t="shared" si="2"/>
        <v>1</v>
      </c>
      <c r="L24">
        <f t="shared" si="3"/>
        <v>8</v>
      </c>
      <c r="M24">
        <f t="shared" si="4"/>
        <v>2</v>
      </c>
      <c r="N24">
        <f t="shared" si="5"/>
        <v>8</v>
      </c>
      <c r="O24">
        <f t="shared" si="6"/>
        <v>0</v>
      </c>
      <c r="P24" t="str">
        <f t="shared" si="7"/>
        <v>達成</v>
      </c>
    </row>
    <row r="25" spans="1:16">
      <c r="A25" s="3">
        <v>45968.850543981483</v>
      </c>
      <c r="B25">
        <v>60</v>
      </c>
      <c r="C25">
        <v>102</v>
      </c>
      <c r="D25">
        <v>0</v>
      </c>
      <c r="E25">
        <v>0</v>
      </c>
      <c r="F25">
        <v>0</v>
      </c>
      <c r="G25" s="5">
        <v>2.5509259263344575E-2</v>
      </c>
      <c r="H25" t="s">
        <v>95</v>
      </c>
      <c r="I25" t="s">
        <v>96</v>
      </c>
      <c r="J25">
        <v>0</v>
      </c>
      <c r="K25">
        <f t="shared" si="2"/>
        <v>1</v>
      </c>
      <c r="L25">
        <f t="shared" si="3"/>
        <v>9</v>
      </c>
      <c r="M25">
        <f t="shared" si="4"/>
        <v>2</v>
      </c>
      <c r="N25">
        <f t="shared" si="5"/>
        <v>10</v>
      </c>
      <c r="O25">
        <f t="shared" si="6"/>
        <v>0</v>
      </c>
      <c r="P25" t="str">
        <f t="shared" si="7"/>
        <v>未達成（1）</v>
      </c>
    </row>
    <row r="26" spans="1:16">
      <c r="A26" s="3">
        <v>45968.864317129628</v>
      </c>
      <c r="B26">
        <v>60</v>
      </c>
      <c r="C26">
        <v>115</v>
      </c>
      <c r="D26">
        <v>0</v>
      </c>
      <c r="E26">
        <v>0</v>
      </c>
      <c r="F26">
        <v>0</v>
      </c>
      <c r="G26" s="5">
        <v>1.2974537035916001E-2</v>
      </c>
      <c r="H26" t="s">
        <v>97</v>
      </c>
      <c r="I26" t="s">
        <v>98</v>
      </c>
      <c r="J26">
        <v>0</v>
      </c>
      <c r="K26">
        <f t="shared" si="2"/>
        <v>1</v>
      </c>
      <c r="L26">
        <f t="shared" si="3"/>
        <v>10</v>
      </c>
      <c r="M26">
        <f t="shared" si="4"/>
        <v>2</v>
      </c>
      <c r="N26">
        <f t="shared" si="5"/>
        <v>10</v>
      </c>
      <c r="O26">
        <f t="shared" si="6"/>
        <v>0</v>
      </c>
      <c r="P26" t="str">
        <f t="shared" si="7"/>
        <v>達成</v>
      </c>
    </row>
    <row r="27" spans="1:16">
      <c r="A27" s="3">
        <v>45969.555104166669</v>
      </c>
      <c r="B27">
        <v>55</v>
      </c>
      <c r="C27">
        <v>72</v>
      </c>
      <c r="D27">
        <v>0</v>
      </c>
      <c r="E27">
        <v>5</v>
      </c>
      <c r="F27">
        <v>0</v>
      </c>
      <c r="G27" s="5">
        <v>1.0231481486698613E-2</v>
      </c>
      <c r="H27" t="s">
        <v>99</v>
      </c>
      <c r="I27" t="s">
        <v>100</v>
      </c>
      <c r="J27">
        <v>0</v>
      </c>
      <c r="K27">
        <f t="shared" si="2"/>
        <v>1</v>
      </c>
      <c r="L27">
        <f t="shared" si="3"/>
        <v>11</v>
      </c>
      <c r="M27">
        <f t="shared" si="4"/>
        <v>2</v>
      </c>
      <c r="N27">
        <f t="shared" si="5"/>
        <v>13</v>
      </c>
      <c r="O27">
        <f t="shared" si="6"/>
        <v>1</v>
      </c>
      <c r="P27" t="str">
        <f t="shared" si="7"/>
        <v>未達成（2）</v>
      </c>
    </row>
    <row r="28" spans="1:16">
      <c r="A28" s="3">
        <v>45969.845405092594</v>
      </c>
      <c r="B28">
        <v>60</v>
      </c>
      <c r="C28">
        <v>25</v>
      </c>
      <c r="D28">
        <v>0</v>
      </c>
      <c r="E28">
        <v>0</v>
      </c>
      <c r="F28">
        <v>0</v>
      </c>
      <c r="G28" s="5">
        <v>1.1145833334012423E-2</v>
      </c>
      <c r="H28" t="s">
        <v>101</v>
      </c>
      <c r="I28" t="s">
        <v>102</v>
      </c>
      <c r="J28">
        <v>0</v>
      </c>
      <c r="K28">
        <f t="shared" si="2"/>
        <v>1</v>
      </c>
      <c r="L28">
        <f t="shared" si="3"/>
        <v>12</v>
      </c>
      <c r="M28">
        <f t="shared" si="4"/>
        <v>2</v>
      </c>
      <c r="N28">
        <f t="shared" si="5"/>
        <v>13</v>
      </c>
      <c r="O28">
        <f t="shared" si="6"/>
        <v>0</v>
      </c>
      <c r="P28" t="str">
        <f t="shared" si="7"/>
        <v>未達成（1）</v>
      </c>
    </row>
    <row r="29" spans="1:16">
      <c r="A29" s="3">
        <v>45969.862083333333</v>
      </c>
      <c r="B29">
        <v>60</v>
      </c>
      <c r="C29">
        <v>32</v>
      </c>
      <c r="D29">
        <v>0</v>
      </c>
      <c r="E29">
        <v>0</v>
      </c>
      <c r="F29">
        <v>0</v>
      </c>
      <c r="G29" s="5">
        <v>1.6215277777519077E-2</v>
      </c>
      <c r="H29" t="s">
        <v>103</v>
      </c>
      <c r="I29" t="s">
        <v>104</v>
      </c>
      <c r="J29">
        <v>0</v>
      </c>
      <c r="K29">
        <f t="shared" si="2"/>
        <v>1</v>
      </c>
      <c r="L29">
        <f t="shared" si="3"/>
        <v>13</v>
      </c>
      <c r="M29">
        <f t="shared" si="4"/>
        <v>2</v>
      </c>
      <c r="N29">
        <f t="shared" si="5"/>
        <v>13</v>
      </c>
      <c r="O29">
        <f t="shared" si="6"/>
        <v>0</v>
      </c>
      <c r="P29" t="str">
        <f t="shared" si="7"/>
        <v>達成</v>
      </c>
    </row>
    <row r="30" spans="1:16">
      <c r="A30" s="3">
        <v>45970.704884259256</v>
      </c>
      <c r="B30">
        <v>60</v>
      </c>
      <c r="C30">
        <v>30</v>
      </c>
      <c r="D30">
        <v>0</v>
      </c>
      <c r="E30">
        <v>0</v>
      </c>
      <c r="F30">
        <v>0</v>
      </c>
      <c r="G30" s="5">
        <v>8.5648148087784648E-3</v>
      </c>
      <c r="H30" t="s">
        <v>105</v>
      </c>
      <c r="I30" t="s">
        <v>106</v>
      </c>
      <c r="J30">
        <v>0</v>
      </c>
      <c r="K30">
        <f t="shared" si="2"/>
        <v>1</v>
      </c>
      <c r="L30">
        <f t="shared" si="3"/>
        <v>14</v>
      </c>
      <c r="M30">
        <f t="shared" si="4"/>
        <v>2</v>
      </c>
      <c r="N30">
        <f t="shared" si="5"/>
        <v>15</v>
      </c>
      <c r="O30">
        <f t="shared" si="6"/>
        <v>0</v>
      </c>
      <c r="P30" t="str">
        <f t="shared" si="7"/>
        <v>未達成（1）</v>
      </c>
    </row>
    <row r="31" spans="1:16">
      <c r="A31" s="3">
        <v>45970.721099537041</v>
      </c>
      <c r="B31">
        <v>60</v>
      </c>
      <c r="C31">
        <v>33</v>
      </c>
      <c r="D31">
        <v>0</v>
      </c>
      <c r="E31">
        <v>0</v>
      </c>
      <c r="F31">
        <v>0</v>
      </c>
      <c r="G31" s="5">
        <v>1.4189814821293112E-2</v>
      </c>
      <c r="H31" t="s">
        <v>107</v>
      </c>
      <c r="I31" t="s">
        <v>108</v>
      </c>
      <c r="J31">
        <v>0</v>
      </c>
      <c r="K31">
        <f t="shared" si="2"/>
        <v>1</v>
      </c>
      <c r="L31">
        <f t="shared" si="3"/>
        <v>15</v>
      </c>
      <c r="M31">
        <f t="shared" si="4"/>
        <v>2</v>
      </c>
      <c r="N31">
        <f t="shared" si="5"/>
        <v>15</v>
      </c>
      <c r="O31">
        <f t="shared" si="6"/>
        <v>0</v>
      </c>
      <c r="P31" t="str">
        <f t="shared" si="7"/>
        <v>達成</v>
      </c>
    </row>
    <row r="32" spans="1:16">
      <c r="A32" s="3">
        <v>45971.832638888889</v>
      </c>
      <c r="B32">
        <v>56</v>
      </c>
      <c r="C32">
        <v>26</v>
      </c>
      <c r="D32">
        <v>0</v>
      </c>
      <c r="E32">
        <v>4</v>
      </c>
      <c r="F32">
        <v>0</v>
      </c>
      <c r="G32" s="5">
        <v>1.2141203704231884E-2</v>
      </c>
      <c r="H32" t="s">
        <v>109</v>
      </c>
      <c r="I32" t="s">
        <v>110</v>
      </c>
      <c r="J32">
        <v>0</v>
      </c>
      <c r="K32">
        <f t="shared" si="2"/>
        <v>1</v>
      </c>
      <c r="L32">
        <f t="shared" si="3"/>
        <v>16</v>
      </c>
      <c r="M32">
        <f t="shared" si="4"/>
        <v>2</v>
      </c>
      <c r="N32">
        <f t="shared" si="5"/>
        <v>17</v>
      </c>
      <c r="O32">
        <f t="shared" si="6"/>
        <v>0</v>
      </c>
      <c r="P32" t="str">
        <f t="shared" si="7"/>
        <v>未達成（1）</v>
      </c>
    </row>
    <row r="33" spans="1:16">
      <c r="A33" s="3">
        <v>45971.844918981478</v>
      </c>
      <c r="B33">
        <v>60</v>
      </c>
      <c r="C33">
        <v>16</v>
      </c>
      <c r="D33">
        <v>0</v>
      </c>
      <c r="E33">
        <v>0</v>
      </c>
      <c r="F33">
        <v>0</v>
      </c>
      <c r="G33" s="5">
        <v>1.1770833327318542E-2</v>
      </c>
      <c r="H33" t="s">
        <v>111</v>
      </c>
      <c r="I33" t="s">
        <v>112</v>
      </c>
      <c r="J33">
        <v>0</v>
      </c>
      <c r="K33">
        <f t="shared" si="2"/>
        <v>1</v>
      </c>
      <c r="L33">
        <f t="shared" si="3"/>
        <v>17</v>
      </c>
      <c r="M33">
        <f t="shared" si="4"/>
        <v>2</v>
      </c>
      <c r="N33">
        <f t="shared" si="5"/>
        <v>17</v>
      </c>
      <c r="O33">
        <f t="shared" si="6"/>
        <v>0</v>
      </c>
      <c r="P33" t="str">
        <f t="shared" si="7"/>
        <v>達成</v>
      </c>
    </row>
    <row r="34" spans="1:16">
      <c r="A34" s="3">
        <v>45972.780532407407</v>
      </c>
      <c r="B34">
        <v>60</v>
      </c>
      <c r="C34">
        <v>29</v>
      </c>
      <c r="D34">
        <v>0</v>
      </c>
      <c r="E34">
        <v>0</v>
      </c>
      <c r="F34">
        <v>0</v>
      </c>
      <c r="G34" s="5">
        <v>9.3750000014551915E-3</v>
      </c>
      <c r="H34" t="s">
        <v>113</v>
      </c>
      <c r="I34" t="s">
        <v>114</v>
      </c>
      <c r="J34">
        <v>0</v>
      </c>
      <c r="K34">
        <f t="shared" si="2"/>
        <v>1</v>
      </c>
      <c r="L34">
        <f t="shared" si="3"/>
        <v>18</v>
      </c>
      <c r="M34">
        <f t="shared" si="4"/>
        <v>2</v>
      </c>
      <c r="N34">
        <f t="shared" si="5"/>
        <v>19</v>
      </c>
      <c r="O34">
        <f t="shared" si="6"/>
        <v>0</v>
      </c>
      <c r="P34" t="str">
        <f t="shared" si="7"/>
        <v>未達成（1）</v>
      </c>
    </row>
    <row r="35" spans="1:16">
      <c r="A35" s="3">
        <v>45972.793865740743</v>
      </c>
      <c r="B35">
        <v>60</v>
      </c>
      <c r="C35">
        <v>25</v>
      </c>
      <c r="D35">
        <v>0</v>
      </c>
      <c r="E35">
        <v>0</v>
      </c>
      <c r="F35">
        <v>0</v>
      </c>
      <c r="G35" s="5">
        <v>1.2557870373711921E-2</v>
      </c>
      <c r="H35" t="s">
        <v>115</v>
      </c>
      <c r="I35" t="s">
        <v>116</v>
      </c>
      <c r="J35">
        <v>0</v>
      </c>
      <c r="K35">
        <f t="shared" si="2"/>
        <v>1</v>
      </c>
      <c r="L35">
        <f t="shared" si="3"/>
        <v>19</v>
      </c>
      <c r="M35">
        <f t="shared" si="4"/>
        <v>2</v>
      </c>
      <c r="N35">
        <f t="shared" si="5"/>
        <v>19</v>
      </c>
      <c r="O35">
        <f t="shared" si="6"/>
        <v>0</v>
      </c>
      <c r="P35" t="str">
        <f t="shared" si="7"/>
        <v>達成</v>
      </c>
    </row>
    <row r="36" spans="1:16">
      <c r="A36" s="3">
        <v>45973.843310185184</v>
      </c>
      <c r="B36">
        <v>55</v>
      </c>
      <c r="C36">
        <v>21</v>
      </c>
      <c r="D36">
        <v>0</v>
      </c>
      <c r="E36">
        <v>5</v>
      </c>
      <c r="F36">
        <v>3</v>
      </c>
      <c r="G36" s="5">
        <v>1.0891203703067731E-2</v>
      </c>
      <c r="H36" t="s">
        <v>119</v>
      </c>
      <c r="I36" t="s">
        <v>120</v>
      </c>
      <c r="J36">
        <v>0</v>
      </c>
      <c r="K36">
        <f t="shared" si="2"/>
        <v>1</v>
      </c>
      <c r="L36">
        <f t="shared" si="3"/>
        <v>20</v>
      </c>
      <c r="M36">
        <f t="shared" si="4"/>
        <v>2</v>
      </c>
      <c r="N36">
        <f t="shared" si="5"/>
        <v>21</v>
      </c>
      <c r="O36">
        <f t="shared" si="6"/>
        <v>0</v>
      </c>
      <c r="P36" t="str">
        <f t="shared" si="7"/>
        <v>未達成（1）</v>
      </c>
    </row>
    <row r="37" spans="1:16">
      <c r="A37" s="3">
        <v>45973.856666666667</v>
      </c>
      <c r="B37">
        <v>60</v>
      </c>
      <c r="C37">
        <v>27</v>
      </c>
      <c r="D37">
        <v>0</v>
      </c>
      <c r="E37">
        <v>0</v>
      </c>
      <c r="F37">
        <v>0</v>
      </c>
      <c r="G37" s="5">
        <v>1.0324074071832001E-2</v>
      </c>
      <c r="H37" t="s">
        <v>117</v>
      </c>
      <c r="I37" t="s">
        <v>118</v>
      </c>
      <c r="J37">
        <v>0</v>
      </c>
      <c r="K37">
        <f t="shared" si="2"/>
        <v>1</v>
      </c>
      <c r="L37">
        <f t="shared" si="3"/>
        <v>21</v>
      </c>
      <c r="M37">
        <f t="shared" si="4"/>
        <v>2</v>
      </c>
      <c r="N37">
        <f t="shared" si="5"/>
        <v>21</v>
      </c>
      <c r="O37">
        <f t="shared" si="6"/>
        <v>0</v>
      </c>
      <c r="P37" t="str">
        <f t="shared" si="7"/>
        <v>達成</v>
      </c>
    </row>
    <row r="38" spans="1:16">
      <c r="A38" s="3">
        <v>45975.317916666667</v>
      </c>
      <c r="B38">
        <v>60</v>
      </c>
      <c r="C38">
        <v>14</v>
      </c>
      <c r="D38">
        <v>0</v>
      </c>
      <c r="E38">
        <v>0</v>
      </c>
      <c r="F38">
        <v>0</v>
      </c>
      <c r="G38" s="5">
        <v>1.0081018517666962E-2</v>
      </c>
      <c r="H38" t="s">
        <v>121</v>
      </c>
      <c r="I38" t="s">
        <v>122</v>
      </c>
      <c r="J38">
        <v>0</v>
      </c>
      <c r="K38">
        <f t="shared" si="2"/>
        <v>1</v>
      </c>
      <c r="L38">
        <f t="shared" si="3"/>
        <v>22</v>
      </c>
      <c r="M38">
        <f t="shared" si="4"/>
        <v>2</v>
      </c>
      <c r="N38">
        <f t="shared" si="5"/>
        <v>25</v>
      </c>
      <c r="O38">
        <f t="shared" si="6"/>
        <v>0</v>
      </c>
      <c r="P38" t="str">
        <f t="shared" si="7"/>
        <v>未達成（3）</v>
      </c>
    </row>
    <row r="39" spans="1:16">
      <c r="A39" s="3">
        <v>45975.32885416667</v>
      </c>
      <c r="B39">
        <v>60</v>
      </c>
      <c r="C39">
        <v>21</v>
      </c>
      <c r="D39">
        <v>0</v>
      </c>
      <c r="E39">
        <v>0</v>
      </c>
      <c r="F39">
        <v>0</v>
      </c>
      <c r="G39" s="5">
        <v>1.0335648148611654E-2</v>
      </c>
      <c r="H39" t="s">
        <v>123</v>
      </c>
      <c r="I39" t="s">
        <v>124</v>
      </c>
      <c r="J39">
        <v>0</v>
      </c>
      <c r="K39">
        <f t="shared" si="2"/>
        <v>1</v>
      </c>
      <c r="L39">
        <f t="shared" si="3"/>
        <v>23</v>
      </c>
      <c r="M39">
        <f t="shared" si="4"/>
        <v>2</v>
      </c>
      <c r="N39">
        <f t="shared" si="5"/>
        <v>25</v>
      </c>
      <c r="O39">
        <f t="shared" si="6"/>
        <v>0</v>
      </c>
      <c r="P39" t="str">
        <f t="shared" si="7"/>
        <v>未達成（2）</v>
      </c>
    </row>
    <row r="40" spans="1:16">
      <c r="A40" s="3">
        <v>45976.853715277779</v>
      </c>
      <c r="B40">
        <v>60</v>
      </c>
      <c r="C40">
        <v>33</v>
      </c>
      <c r="D40">
        <v>0</v>
      </c>
      <c r="E40">
        <v>0</v>
      </c>
      <c r="F40">
        <v>0</v>
      </c>
      <c r="G40" s="5">
        <v>8.3912037080153823E-3</v>
      </c>
      <c r="H40" t="s">
        <v>125</v>
      </c>
      <c r="I40" t="s">
        <v>126</v>
      </c>
      <c r="J40">
        <v>0</v>
      </c>
      <c r="K40">
        <f t="shared" si="2"/>
        <v>1</v>
      </c>
      <c r="L40">
        <f t="shared" si="3"/>
        <v>24</v>
      </c>
      <c r="M40">
        <f t="shared" si="4"/>
        <v>2</v>
      </c>
      <c r="N40">
        <f t="shared" si="5"/>
        <v>27</v>
      </c>
      <c r="O40">
        <f t="shared" si="6"/>
        <v>0</v>
      </c>
      <c r="P40" t="str">
        <f t="shared" si="7"/>
        <v>未達成（3）</v>
      </c>
    </row>
    <row r="41" spans="1:16">
      <c r="A41" s="3">
        <v>45976.862627314818</v>
      </c>
      <c r="B41">
        <v>60</v>
      </c>
      <c r="C41">
        <v>11</v>
      </c>
      <c r="D41">
        <v>0</v>
      </c>
      <c r="E41">
        <v>0</v>
      </c>
      <c r="F41">
        <v>0</v>
      </c>
      <c r="G41" s="5">
        <v>8.4722222236450762E-3</v>
      </c>
      <c r="H41" t="s">
        <v>127</v>
      </c>
      <c r="I41" t="s">
        <v>128</v>
      </c>
      <c r="J41">
        <v>0</v>
      </c>
      <c r="K41">
        <f t="shared" si="2"/>
        <v>1</v>
      </c>
      <c r="L41">
        <f t="shared" si="3"/>
        <v>25</v>
      </c>
      <c r="M41">
        <f t="shared" si="4"/>
        <v>2</v>
      </c>
      <c r="N41">
        <f t="shared" si="5"/>
        <v>27</v>
      </c>
      <c r="O41">
        <f t="shared" si="6"/>
        <v>0</v>
      </c>
      <c r="P41" t="str">
        <f t="shared" si="7"/>
        <v>未達成（2）</v>
      </c>
    </row>
    <row r="42" spans="1:16">
      <c r="A42" s="3">
        <v>45977.309733796297</v>
      </c>
      <c r="B42">
        <v>60</v>
      </c>
      <c r="C42">
        <v>19</v>
      </c>
      <c r="D42">
        <v>0</v>
      </c>
      <c r="E42">
        <v>0</v>
      </c>
      <c r="F42">
        <v>0</v>
      </c>
      <c r="G42" s="5">
        <v>7.7546296306536533E-3</v>
      </c>
      <c r="H42" t="s">
        <v>129</v>
      </c>
      <c r="I42" t="s">
        <v>130</v>
      </c>
      <c r="J42">
        <v>0</v>
      </c>
      <c r="K42">
        <f t="shared" si="2"/>
        <v>1</v>
      </c>
      <c r="L42">
        <f t="shared" si="3"/>
        <v>26</v>
      </c>
      <c r="M42">
        <f t="shared" si="4"/>
        <v>2</v>
      </c>
      <c r="N42">
        <f t="shared" si="5"/>
        <v>29</v>
      </c>
      <c r="O42">
        <f t="shared" si="6"/>
        <v>0</v>
      </c>
      <c r="P42" t="str">
        <f t="shared" si="7"/>
        <v>未達成（3）</v>
      </c>
    </row>
    <row r="43" spans="1:16">
      <c r="A43" s="3">
        <v>45977.319560185184</v>
      </c>
      <c r="B43">
        <v>60</v>
      </c>
      <c r="C43">
        <v>24</v>
      </c>
      <c r="D43">
        <v>0</v>
      </c>
      <c r="E43">
        <v>0</v>
      </c>
      <c r="F43">
        <v>0</v>
      </c>
      <c r="G43" s="5">
        <v>8.5300925929914229E-3</v>
      </c>
      <c r="H43" t="s">
        <v>131</v>
      </c>
      <c r="I43" t="s">
        <v>132</v>
      </c>
      <c r="J43">
        <v>0</v>
      </c>
      <c r="K43">
        <f t="shared" si="2"/>
        <v>1</v>
      </c>
      <c r="L43">
        <f t="shared" si="3"/>
        <v>27</v>
      </c>
      <c r="M43">
        <f t="shared" si="4"/>
        <v>2</v>
      </c>
      <c r="N43">
        <f t="shared" si="5"/>
        <v>29</v>
      </c>
      <c r="O43">
        <f t="shared" si="6"/>
        <v>0</v>
      </c>
      <c r="P43" t="str">
        <f t="shared" si="7"/>
        <v>未達成（2）</v>
      </c>
    </row>
    <row r="44" spans="1:16">
      <c r="A44" s="3">
        <v>45977.560624999998</v>
      </c>
      <c r="B44">
        <v>60</v>
      </c>
      <c r="C44">
        <v>32</v>
      </c>
      <c r="D44">
        <v>0</v>
      </c>
      <c r="E44">
        <v>0</v>
      </c>
      <c r="F44">
        <v>0</v>
      </c>
      <c r="G44" s="5">
        <v>8.9004629626288079E-3</v>
      </c>
      <c r="H44" t="s">
        <v>133</v>
      </c>
      <c r="I44" t="s">
        <v>134</v>
      </c>
      <c r="J44">
        <v>0</v>
      </c>
      <c r="K44">
        <f t="shared" si="2"/>
        <v>1</v>
      </c>
      <c r="L44">
        <f t="shared" si="3"/>
        <v>28</v>
      </c>
      <c r="M44">
        <f t="shared" si="4"/>
        <v>2</v>
      </c>
      <c r="N44">
        <f t="shared" si="5"/>
        <v>29</v>
      </c>
      <c r="O44">
        <f t="shared" si="6"/>
        <v>0</v>
      </c>
      <c r="P44" t="str">
        <f t="shared" si="7"/>
        <v>未達成（1）</v>
      </c>
    </row>
    <row r="45" spans="1:16">
      <c r="A45" s="3">
        <v>45977.569733796299</v>
      </c>
      <c r="B45">
        <v>60</v>
      </c>
      <c r="C45">
        <v>12</v>
      </c>
      <c r="D45">
        <v>0</v>
      </c>
      <c r="E45">
        <v>0</v>
      </c>
      <c r="F45">
        <v>0</v>
      </c>
      <c r="G45" s="5">
        <v>7.6967592613073066E-3</v>
      </c>
      <c r="H45" t="s">
        <v>135</v>
      </c>
      <c r="I45" t="s">
        <v>136</v>
      </c>
      <c r="J45">
        <v>0</v>
      </c>
      <c r="K45">
        <f t="shared" si="2"/>
        <v>1</v>
      </c>
      <c r="L45">
        <f t="shared" si="3"/>
        <v>29</v>
      </c>
      <c r="M45">
        <f t="shared" si="4"/>
        <v>2</v>
      </c>
      <c r="N45">
        <f t="shared" si="5"/>
        <v>29</v>
      </c>
      <c r="O45">
        <f t="shared" si="6"/>
        <v>0</v>
      </c>
      <c r="P45" t="str">
        <f t="shared" si="7"/>
        <v>達成</v>
      </c>
    </row>
    <row r="46" spans="1:16">
      <c r="A46" s="3">
        <v>45977.856840277775</v>
      </c>
      <c r="B46">
        <v>60</v>
      </c>
      <c r="C46">
        <v>31</v>
      </c>
      <c r="D46">
        <v>0</v>
      </c>
      <c r="E46">
        <v>0</v>
      </c>
      <c r="F46">
        <v>0</v>
      </c>
      <c r="G46" s="5">
        <v>5.7870370364980772E-3</v>
      </c>
      <c r="H46" t="s">
        <v>137</v>
      </c>
      <c r="I46" t="s">
        <v>138</v>
      </c>
      <c r="J46">
        <v>0</v>
      </c>
      <c r="K46">
        <f t="shared" si="2"/>
        <v>1</v>
      </c>
      <c r="L46">
        <f t="shared" si="3"/>
        <v>30</v>
      </c>
      <c r="M46">
        <f t="shared" si="4"/>
        <v>2</v>
      </c>
      <c r="N46">
        <f t="shared" si="5"/>
        <v>29</v>
      </c>
      <c r="O46">
        <f t="shared" si="6"/>
        <v>0</v>
      </c>
      <c r="P46" t="str">
        <f t="shared" si="7"/>
        <v>前倒し（1）</v>
      </c>
    </row>
    <row r="47" spans="1:16">
      <c r="A47" s="3">
        <v>45977.87672453704</v>
      </c>
      <c r="B47">
        <v>60</v>
      </c>
      <c r="C47">
        <v>28</v>
      </c>
      <c r="D47">
        <v>0</v>
      </c>
      <c r="E47">
        <v>0</v>
      </c>
      <c r="F47">
        <v>0</v>
      </c>
      <c r="G47" s="5">
        <v>7.291666668606922E-3</v>
      </c>
      <c r="H47" t="s">
        <v>139</v>
      </c>
      <c r="I47" t="s">
        <v>140</v>
      </c>
      <c r="J47">
        <v>0</v>
      </c>
      <c r="K47">
        <f t="shared" si="2"/>
        <v>1</v>
      </c>
      <c r="L47">
        <f t="shared" si="3"/>
        <v>31</v>
      </c>
      <c r="M47">
        <f t="shared" si="4"/>
        <v>2</v>
      </c>
      <c r="N47">
        <f t="shared" si="5"/>
        <v>29</v>
      </c>
      <c r="O47">
        <f t="shared" si="6"/>
        <v>0</v>
      </c>
      <c r="P47" t="str">
        <f t="shared" si="7"/>
        <v>前倒し（2）</v>
      </c>
    </row>
    <row r="48" spans="1:16">
      <c r="A48" s="3">
        <v>45978.468275462961</v>
      </c>
      <c r="B48">
        <v>60</v>
      </c>
      <c r="C48">
        <v>23</v>
      </c>
      <c r="D48">
        <v>0</v>
      </c>
      <c r="E48">
        <v>0</v>
      </c>
      <c r="F48">
        <v>0</v>
      </c>
      <c r="G48" s="5">
        <v>5.277777774608694E-3</v>
      </c>
      <c r="H48" t="s">
        <v>141</v>
      </c>
      <c r="I48" t="s">
        <v>142</v>
      </c>
      <c r="J48">
        <v>0</v>
      </c>
      <c r="K48">
        <f t="shared" si="2"/>
        <v>1</v>
      </c>
      <c r="L48">
        <f t="shared" si="3"/>
        <v>32</v>
      </c>
      <c r="M48">
        <f t="shared" si="4"/>
        <v>2</v>
      </c>
      <c r="N48">
        <f t="shared" si="5"/>
        <v>31</v>
      </c>
      <c r="O48">
        <f t="shared" si="6"/>
        <v>0</v>
      </c>
      <c r="P48" t="str">
        <f t="shared" si="7"/>
        <v>前倒し（1）</v>
      </c>
    </row>
    <row r="49" spans="1:16">
      <c r="A49" s="3">
        <v>45978.476666666669</v>
      </c>
      <c r="B49">
        <v>60</v>
      </c>
      <c r="C49">
        <v>18</v>
      </c>
      <c r="D49">
        <v>0</v>
      </c>
      <c r="E49">
        <v>0</v>
      </c>
      <c r="F49">
        <v>0</v>
      </c>
      <c r="G49" s="5">
        <v>6.8518518528435379E-3</v>
      </c>
      <c r="H49" t="s">
        <v>143</v>
      </c>
      <c r="I49" t="s">
        <v>144</v>
      </c>
      <c r="J49">
        <v>0</v>
      </c>
      <c r="K49">
        <f t="shared" si="2"/>
        <v>1</v>
      </c>
      <c r="L49">
        <f t="shared" si="3"/>
        <v>33</v>
      </c>
      <c r="M49">
        <f t="shared" si="4"/>
        <v>2</v>
      </c>
      <c r="N49">
        <f t="shared" si="5"/>
        <v>31</v>
      </c>
      <c r="O49">
        <f t="shared" si="6"/>
        <v>0</v>
      </c>
      <c r="P49" t="str">
        <f t="shared" si="7"/>
        <v>前倒し（2）</v>
      </c>
    </row>
    <row r="50" spans="1:16">
      <c r="A50" s="3">
        <v>45978.71597222222</v>
      </c>
      <c r="B50">
        <v>60</v>
      </c>
      <c r="C50">
        <v>25</v>
      </c>
      <c r="D50">
        <v>0</v>
      </c>
      <c r="E50">
        <v>0</v>
      </c>
      <c r="F50">
        <v>0</v>
      </c>
      <c r="G50" s="5">
        <v>8.4027777775190771E-3</v>
      </c>
      <c r="H50" t="s">
        <v>145</v>
      </c>
      <c r="I50" t="s">
        <v>146</v>
      </c>
      <c r="J50">
        <v>0</v>
      </c>
      <c r="K50">
        <f t="shared" si="2"/>
        <v>1</v>
      </c>
      <c r="L50">
        <f t="shared" si="3"/>
        <v>34</v>
      </c>
      <c r="M50">
        <f t="shared" si="4"/>
        <v>2</v>
      </c>
      <c r="N50">
        <f t="shared" si="5"/>
        <v>31</v>
      </c>
      <c r="O50">
        <f t="shared" si="6"/>
        <v>0</v>
      </c>
      <c r="P50" t="str">
        <f t="shared" si="7"/>
        <v>前倒し（3）</v>
      </c>
    </row>
    <row r="51" spans="1:16">
      <c r="A51" s="3">
        <v>45978.727893518517</v>
      </c>
      <c r="B51">
        <v>60</v>
      </c>
      <c r="C51">
        <v>28</v>
      </c>
      <c r="D51">
        <v>0</v>
      </c>
      <c r="E51">
        <v>0</v>
      </c>
      <c r="F51">
        <v>0</v>
      </c>
      <c r="G51" s="5">
        <v>1.1284722218988463E-2</v>
      </c>
      <c r="H51" t="s">
        <v>147</v>
      </c>
      <c r="I51" t="s">
        <v>148</v>
      </c>
      <c r="J51">
        <v>0</v>
      </c>
      <c r="K51">
        <f t="shared" si="2"/>
        <v>1</v>
      </c>
      <c r="L51">
        <f t="shared" si="3"/>
        <v>35</v>
      </c>
      <c r="M51">
        <f t="shared" si="4"/>
        <v>2</v>
      </c>
      <c r="N51">
        <f t="shared" si="5"/>
        <v>31</v>
      </c>
      <c r="O51">
        <f t="shared" si="6"/>
        <v>0</v>
      </c>
      <c r="P51" t="str">
        <f t="shared" si="7"/>
        <v>前倒し（4）</v>
      </c>
    </row>
    <row r="52" spans="1:16">
      <c r="A52" s="3">
        <v>45980.706655092596</v>
      </c>
      <c r="B52">
        <v>60</v>
      </c>
      <c r="C52">
        <v>17</v>
      </c>
      <c r="D52">
        <v>0</v>
      </c>
      <c r="E52">
        <v>0</v>
      </c>
      <c r="F52">
        <v>0</v>
      </c>
      <c r="G52" s="5">
        <v>6.4004629675764591E-3</v>
      </c>
      <c r="H52" t="s">
        <v>149</v>
      </c>
      <c r="I52" t="s">
        <v>150</v>
      </c>
      <c r="J52">
        <v>0</v>
      </c>
      <c r="K52">
        <f t="shared" si="2"/>
        <v>1</v>
      </c>
      <c r="L52">
        <f t="shared" si="3"/>
        <v>36</v>
      </c>
      <c r="M52">
        <f t="shared" si="4"/>
        <v>2</v>
      </c>
      <c r="N52">
        <f t="shared" si="5"/>
        <v>35</v>
      </c>
      <c r="O52">
        <f t="shared" si="6"/>
        <v>0</v>
      </c>
      <c r="P52" t="str">
        <f t="shared" si="7"/>
        <v>前倒し（1）</v>
      </c>
    </row>
    <row r="53" spans="1:16">
      <c r="A53" s="3">
        <v>45980.717303240737</v>
      </c>
      <c r="B53">
        <v>60</v>
      </c>
      <c r="C53">
        <v>18</v>
      </c>
      <c r="D53">
        <v>0</v>
      </c>
      <c r="E53">
        <v>0</v>
      </c>
      <c r="F53">
        <v>0</v>
      </c>
      <c r="G53" s="5">
        <v>1.0150462956517003E-2</v>
      </c>
      <c r="H53" t="s">
        <v>151</v>
      </c>
      <c r="I53" t="s">
        <v>152</v>
      </c>
      <c r="J53">
        <v>0</v>
      </c>
      <c r="K53">
        <f t="shared" si="2"/>
        <v>1</v>
      </c>
      <c r="L53">
        <f t="shared" si="3"/>
        <v>37</v>
      </c>
      <c r="M53">
        <f t="shared" si="4"/>
        <v>2</v>
      </c>
      <c r="N53">
        <f t="shared" si="5"/>
        <v>35</v>
      </c>
      <c r="O53">
        <f t="shared" si="6"/>
        <v>0</v>
      </c>
      <c r="P53" t="str">
        <f t="shared" si="7"/>
        <v>前倒し（2）</v>
      </c>
    </row>
    <row r="54" spans="1:16">
      <c r="A54" s="3">
        <v>45981.721944444442</v>
      </c>
      <c r="B54">
        <v>60</v>
      </c>
      <c r="C54">
        <v>10</v>
      </c>
      <c r="D54">
        <v>0</v>
      </c>
      <c r="E54">
        <v>0</v>
      </c>
      <c r="F54">
        <v>0</v>
      </c>
      <c r="G54" s="5">
        <v>7.8125E-3</v>
      </c>
      <c r="H54" t="s">
        <v>153</v>
      </c>
      <c r="I54" t="s">
        <v>154</v>
      </c>
      <c r="J54">
        <v>0</v>
      </c>
      <c r="K54">
        <f t="shared" si="2"/>
        <v>1</v>
      </c>
      <c r="L54">
        <f t="shared" si="3"/>
        <v>38</v>
      </c>
      <c r="M54">
        <f t="shared" si="4"/>
        <v>2</v>
      </c>
      <c r="N54">
        <f t="shared" si="5"/>
        <v>37</v>
      </c>
      <c r="O54">
        <f t="shared" si="6"/>
        <v>0</v>
      </c>
      <c r="P54" t="str">
        <f t="shared" si="7"/>
        <v>前倒し（1）</v>
      </c>
    </row>
    <row r="55" spans="1:16">
      <c r="A55" s="3">
        <v>45981.741168981483</v>
      </c>
      <c r="B55">
        <v>60</v>
      </c>
      <c r="C55">
        <v>16</v>
      </c>
      <c r="D55">
        <v>0</v>
      </c>
      <c r="E55">
        <v>0</v>
      </c>
      <c r="F55">
        <v>0</v>
      </c>
      <c r="G55" s="5">
        <v>1.8877314818382729E-2</v>
      </c>
      <c r="H55" t="s">
        <v>155</v>
      </c>
      <c r="I55" t="s">
        <v>156</v>
      </c>
      <c r="J55">
        <v>0</v>
      </c>
      <c r="K55">
        <f t="shared" si="2"/>
        <v>0</v>
      </c>
      <c r="L55">
        <f t="shared" si="3"/>
        <v>38</v>
      </c>
      <c r="M55">
        <f t="shared" si="4"/>
        <v>2</v>
      </c>
      <c r="N55">
        <f t="shared" si="5"/>
        <v>37</v>
      </c>
      <c r="O55">
        <f t="shared" si="6"/>
        <v>0</v>
      </c>
      <c r="P55" t="str">
        <f t="shared" si="7"/>
        <v>前倒し（1）</v>
      </c>
    </row>
    <row r="56" spans="1:16">
      <c r="A56" s="3">
        <v>45982.730763888889</v>
      </c>
      <c r="B56">
        <v>60</v>
      </c>
      <c r="C56">
        <v>20</v>
      </c>
      <c r="D56">
        <v>0</v>
      </c>
      <c r="E56">
        <v>0</v>
      </c>
      <c r="F56">
        <v>0</v>
      </c>
      <c r="G56" s="5">
        <v>9.29398147854954E-3</v>
      </c>
      <c r="H56" t="s">
        <v>157</v>
      </c>
      <c r="I56" t="s">
        <v>158</v>
      </c>
      <c r="J56">
        <v>0</v>
      </c>
      <c r="K56">
        <f t="shared" si="2"/>
        <v>1</v>
      </c>
      <c r="L56">
        <f t="shared" si="3"/>
        <v>39</v>
      </c>
      <c r="M56">
        <f t="shared" si="4"/>
        <v>2</v>
      </c>
      <c r="N56">
        <f t="shared" si="5"/>
        <v>39</v>
      </c>
      <c r="O56">
        <f t="shared" si="6"/>
        <v>0</v>
      </c>
      <c r="P56" t="str">
        <f t="shared" si="7"/>
        <v>達成</v>
      </c>
    </row>
    <row r="57" spans="1:16">
      <c r="A57" s="3">
        <v>45983.588194444441</v>
      </c>
      <c r="B57">
        <v>60</v>
      </c>
      <c r="C57">
        <v>15</v>
      </c>
      <c r="D57">
        <v>0</v>
      </c>
      <c r="E57">
        <v>0</v>
      </c>
      <c r="F57">
        <v>0</v>
      </c>
      <c r="G57" s="5">
        <v>9.7453703638166189E-3</v>
      </c>
      <c r="H57" t="s">
        <v>159</v>
      </c>
      <c r="I57" t="s">
        <v>160</v>
      </c>
      <c r="J57">
        <v>0</v>
      </c>
      <c r="K57">
        <f t="shared" si="2"/>
        <v>1</v>
      </c>
      <c r="L57">
        <f t="shared" si="3"/>
        <v>40</v>
      </c>
      <c r="M57">
        <f t="shared" si="4"/>
        <v>2</v>
      </c>
      <c r="N57">
        <f t="shared" si="5"/>
        <v>41</v>
      </c>
      <c r="O57">
        <f t="shared" si="6"/>
        <v>0</v>
      </c>
      <c r="P57" t="str">
        <f t="shared" si="7"/>
        <v>未達成（1）</v>
      </c>
    </row>
    <row r="58" spans="1:16">
      <c r="A58" s="3">
        <v>45983.599224537036</v>
      </c>
      <c r="B58">
        <v>60</v>
      </c>
      <c r="C58">
        <v>20</v>
      </c>
      <c r="D58">
        <v>0</v>
      </c>
      <c r="E58">
        <v>0</v>
      </c>
      <c r="F58">
        <v>0</v>
      </c>
      <c r="G58" s="5">
        <v>1.0347222218115348E-2</v>
      </c>
      <c r="H58" t="s">
        <v>161</v>
      </c>
      <c r="I58" t="s">
        <v>162</v>
      </c>
      <c r="J58">
        <v>0</v>
      </c>
      <c r="K58">
        <f t="shared" si="2"/>
        <v>1</v>
      </c>
      <c r="L58">
        <f t="shared" si="3"/>
        <v>41</v>
      </c>
      <c r="M58">
        <f t="shared" si="4"/>
        <v>2</v>
      </c>
      <c r="N58">
        <f t="shared" si="5"/>
        <v>41</v>
      </c>
      <c r="O58">
        <f t="shared" si="6"/>
        <v>0</v>
      </c>
      <c r="P58" t="str">
        <f t="shared" si="7"/>
        <v>達成</v>
      </c>
    </row>
    <row r="59" spans="1:16">
      <c r="A59" s="3">
        <v>45985.354814814818</v>
      </c>
      <c r="B59">
        <v>60</v>
      </c>
      <c r="C59">
        <v>7</v>
      </c>
      <c r="D59">
        <v>0</v>
      </c>
      <c r="E59">
        <v>0</v>
      </c>
      <c r="F59">
        <v>0</v>
      </c>
      <c r="G59" s="5">
        <v>7.2453703760402277E-3</v>
      </c>
      <c r="H59" t="s">
        <v>164</v>
      </c>
      <c r="I59" t="s">
        <v>165</v>
      </c>
      <c r="J59">
        <v>0</v>
      </c>
      <c r="K59">
        <f t="shared" si="2"/>
        <v>1</v>
      </c>
      <c r="L59">
        <f t="shared" si="3"/>
        <v>42</v>
      </c>
      <c r="M59">
        <f t="shared" si="4"/>
        <v>2</v>
      </c>
      <c r="N59">
        <f t="shared" si="5"/>
        <v>45</v>
      </c>
      <c r="O59">
        <f t="shared" si="6"/>
        <v>0</v>
      </c>
      <c r="P59" t="str">
        <f t="shared" si="7"/>
        <v>未達成（3）</v>
      </c>
    </row>
    <row r="60" spans="1:16">
      <c r="A60" s="3">
        <v>45985.363796296297</v>
      </c>
      <c r="B60">
        <v>54</v>
      </c>
      <c r="C60">
        <v>20</v>
      </c>
      <c r="D60">
        <v>0</v>
      </c>
      <c r="E60">
        <v>6</v>
      </c>
      <c r="F60">
        <v>0</v>
      </c>
      <c r="G60" s="5">
        <v>8.3101851851097308E-3</v>
      </c>
      <c r="H60" t="s">
        <v>166</v>
      </c>
      <c r="I60" t="s">
        <v>167</v>
      </c>
      <c r="J60">
        <v>0</v>
      </c>
      <c r="K60">
        <f t="shared" si="2"/>
        <v>0</v>
      </c>
      <c r="L60">
        <f t="shared" si="3"/>
        <v>42</v>
      </c>
      <c r="M60">
        <f t="shared" si="4"/>
        <v>2</v>
      </c>
      <c r="N60">
        <f t="shared" si="5"/>
        <v>45</v>
      </c>
      <c r="O60">
        <f t="shared" si="6"/>
        <v>0</v>
      </c>
      <c r="P60" t="str">
        <f t="shared" si="7"/>
        <v>未達成（3）</v>
      </c>
    </row>
    <row r="61" spans="1:16">
      <c r="A61" s="3">
        <v>45985.538761574076</v>
      </c>
      <c r="B61">
        <v>60</v>
      </c>
      <c r="C61">
        <v>36</v>
      </c>
      <c r="D61">
        <v>1</v>
      </c>
      <c r="E61">
        <v>0</v>
      </c>
      <c r="F61">
        <v>0</v>
      </c>
      <c r="G61" s="5">
        <v>8.5069444467080757E-3</v>
      </c>
      <c r="H61" t="s">
        <v>168</v>
      </c>
      <c r="I61" t="s">
        <v>169</v>
      </c>
      <c r="J61">
        <v>0</v>
      </c>
      <c r="K61">
        <f t="shared" si="2"/>
        <v>0</v>
      </c>
      <c r="L61">
        <f t="shared" si="3"/>
        <v>42</v>
      </c>
      <c r="M61">
        <f t="shared" si="4"/>
        <v>2</v>
      </c>
      <c r="N61">
        <f t="shared" si="5"/>
        <v>45</v>
      </c>
      <c r="O61">
        <f t="shared" si="6"/>
        <v>0</v>
      </c>
      <c r="P61" t="str">
        <f t="shared" si="7"/>
        <v>未達成（3）</v>
      </c>
    </row>
    <row r="62" spans="1:16">
      <c r="A62" s="3">
        <v>45985.598680555559</v>
      </c>
      <c r="B62">
        <v>60</v>
      </c>
      <c r="C62">
        <v>6</v>
      </c>
      <c r="D62">
        <v>0</v>
      </c>
      <c r="E62">
        <v>0</v>
      </c>
      <c r="F62">
        <v>0</v>
      </c>
      <c r="G62" s="5">
        <v>1.0196759263635613E-2</v>
      </c>
      <c r="H62" t="s">
        <v>176</v>
      </c>
      <c r="I62" t="s">
        <v>177</v>
      </c>
      <c r="J62">
        <v>0</v>
      </c>
      <c r="K62">
        <f t="shared" si="2"/>
        <v>1</v>
      </c>
      <c r="L62">
        <f t="shared" si="3"/>
        <v>43</v>
      </c>
      <c r="M62">
        <f t="shared" si="4"/>
        <v>2</v>
      </c>
      <c r="N62">
        <f t="shared" si="5"/>
        <v>45</v>
      </c>
      <c r="O62">
        <f t="shared" si="6"/>
        <v>0</v>
      </c>
      <c r="P62" t="str">
        <f t="shared" si="7"/>
        <v>未達成（2）</v>
      </c>
    </row>
    <row r="63" spans="1:16">
      <c r="A63" s="3">
        <v>45985.709016203706</v>
      </c>
      <c r="B63">
        <v>60</v>
      </c>
      <c r="C63">
        <v>21</v>
      </c>
      <c r="D63">
        <v>0</v>
      </c>
      <c r="E63">
        <v>0</v>
      </c>
      <c r="F63">
        <v>0</v>
      </c>
      <c r="G63" s="5">
        <v>5.7175925976480357E-3</v>
      </c>
      <c r="H63" t="s">
        <v>181</v>
      </c>
      <c r="I63" t="s">
        <v>182</v>
      </c>
      <c r="J63">
        <v>0</v>
      </c>
      <c r="K63">
        <f t="shared" si="2"/>
        <v>2</v>
      </c>
      <c r="L63">
        <f t="shared" si="3"/>
        <v>45</v>
      </c>
      <c r="M63">
        <f t="shared" si="4"/>
        <v>2</v>
      </c>
      <c r="N63">
        <f t="shared" si="5"/>
        <v>45</v>
      </c>
      <c r="O63">
        <f t="shared" si="6"/>
        <v>0</v>
      </c>
      <c r="P63" t="str">
        <f t="shared" si="7"/>
        <v>達成</v>
      </c>
    </row>
    <row r="64" spans="1:16">
      <c r="A64" s="3">
        <v>45986.535011574073</v>
      </c>
      <c r="B64">
        <v>60</v>
      </c>
      <c r="C64">
        <v>41</v>
      </c>
      <c r="D64">
        <v>0</v>
      </c>
      <c r="E64">
        <v>0</v>
      </c>
      <c r="F64">
        <v>0</v>
      </c>
      <c r="G64" s="5">
        <v>6.701388891087845E-3</v>
      </c>
      <c r="H64" t="s">
        <v>183</v>
      </c>
      <c r="I64" t="s">
        <v>184</v>
      </c>
      <c r="J64">
        <v>0</v>
      </c>
      <c r="K64">
        <f t="shared" si="2"/>
        <v>2</v>
      </c>
      <c r="L64">
        <f t="shared" si="3"/>
        <v>47</v>
      </c>
      <c r="M64">
        <f t="shared" si="4"/>
        <v>2</v>
      </c>
      <c r="N64">
        <f t="shared" si="5"/>
        <v>47</v>
      </c>
      <c r="O64">
        <f t="shared" si="6"/>
        <v>0</v>
      </c>
      <c r="P64" t="str">
        <f t="shared" si="7"/>
        <v>達成</v>
      </c>
    </row>
    <row r="65" spans="1:16">
      <c r="A65" s="3">
        <v>45987.58321759259</v>
      </c>
      <c r="B65">
        <v>57</v>
      </c>
      <c r="C65">
        <v>20</v>
      </c>
      <c r="D65">
        <v>0</v>
      </c>
      <c r="E65">
        <v>3</v>
      </c>
      <c r="F65">
        <v>2</v>
      </c>
      <c r="G65" s="5">
        <v>7.696759254031349E-3</v>
      </c>
      <c r="H65" t="s">
        <v>185</v>
      </c>
      <c r="I65" t="s">
        <v>186</v>
      </c>
      <c r="J65">
        <v>0</v>
      </c>
      <c r="K65">
        <f t="shared" si="2"/>
        <v>0</v>
      </c>
      <c r="L65">
        <f t="shared" si="3"/>
        <v>47</v>
      </c>
      <c r="M65">
        <f t="shared" si="4"/>
        <v>2</v>
      </c>
      <c r="N65">
        <f t="shared" si="5"/>
        <v>49</v>
      </c>
      <c r="O65">
        <f t="shared" si="6"/>
        <v>0</v>
      </c>
      <c r="P65" t="str">
        <f t="shared" si="7"/>
        <v>未達成（2）</v>
      </c>
    </row>
    <row r="66" spans="1:16">
      <c r="A66" s="3">
        <v>45987.616712962961</v>
      </c>
      <c r="B66">
        <v>60</v>
      </c>
      <c r="C66">
        <v>28</v>
      </c>
      <c r="D66">
        <v>0</v>
      </c>
      <c r="E66">
        <v>0</v>
      </c>
      <c r="F66">
        <v>0</v>
      </c>
      <c r="G66" s="5">
        <v>6.6782407375285402E-3</v>
      </c>
      <c r="H66" t="s">
        <v>187</v>
      </c>
      <c r="I66" t="s">
        <v>188</v>
      </c>
      <c r="J66">
        <v>0</v>
      </c>
      <c r="K66">
        <f t="shared" si="2"/>
        <v>2</v>
      </c>
      <c r="L66">
        <f t="shared" si="3"/>
        <v>49</v>
      </c>
      <c r="M66">
        <f t="shared" si="4"/>
        <v>2</v>
      </c>
      <c r="N66">
        <f t="shared" si="5"/>
        <v>49</v>
      </c>
      <c r="O66">
        <f t="shared" si="6"/>
        <v>0</v>
      </c>
      <c r="P66" t="str">
        <f t="shared" si="7"/>
        <v>達成</v>
      </c>
    </row>
    <row r="67" spans="1:16">
      <c r="A67" s="3">
        <v>45988.290625000001</v>
      </c>
      <c r="B67">
        <v>60</v>
      </c>
      <c r="C67">
        <v>25</v>
      </c>
      <c r="D67">
        <v>0</v>
      </c>
      <c r="E67">
        <v>0</v>
      </c>
      <c r="F67">
        <v>0</v>
      </c>
      <c r="G67" s="5">
        <v>1.0150462963792961E-2</v>
      </c>
      <c r="H67" t="s">
        <v>189</v>
      </c>
      <c r="I67" t="s">
        <v>190</v>
      </c>
      <c r="J67">
        <v>0</v>
      </c>
      <c r="K67">
        <f t="shared" si="2"/>
        <v>1</v>
      </c>
      <c r="L67">
        <f t="shared" si="3"/>
        <v>50</v>
      </c>
      <c r="M67">
        <f t="shared" si="4"/>
        <v>2</v>
      </c>
      <c r="N67">
        <f t="shared" si="5"/>
        <v>51</v>
      </c>
      <c r="O67">
        <f t="shared" si="6"/>
        <v>0</v>
      </c>
      <c r="P67" t="str">
        <f t="shared" si="7"/>
        <v>未達成（1）</v>
      </c>
    </row>
    <row r="68" spans="1:16">
      <c r="A68" s="3">
        <v>45988.529618055552</v>
      </c>
      <c r="B68">
        <v>60</v>
      </c>
      <c r="C68">
        <v>21</v>
      </c>
      <c r="D68">
        <v>0</v>
      </c>
      <c r="E68">
        <v>0</v>
      </c>
      <c r="F68">
        <v>0</v>
      </c>
      <c r="G68" s="5">
        <v>1.7013888886140194E-2</v>
      </c>
      <c r="H68" t="s">
        <v>191</v>
      </c>
      <c r="I68" t="s">
        <v>192</v>
      </c>
      <c r="J68">
        <v>0</v>
      </c>
      <c r="K68">
        <f t="shared" si="2"/>
        <v>0</v>
      </c>
      <c r="L68">
        <f t="shared" si="3"/>
        <v>50</v>
      </c>
      <c r="M68">
        <f t="shared" si="4"/>
        <v>2</v>
      </c>
      <c r="N68">
        <f t="shared" si="5"/>
        <v>51</v>
      </c>
      <c r="O68">
        <f t="shared" si="6"/>
        <v>0</v>
      </c>
      <c r="P68" t="str">
        <f t="shared" si="7"/>
        <v>未達成（1）</v>
      </c>
    </row>
    <row r="69" spans="1:16">
      <c r="A69" s="3">
        <v>45988.852812500001</v>
      </c>
      <c r="B69">
        <v>60</v>
      </c>
      <c r="C69">
        <v>31</v>
      </c>
      <c r="D69">
        <v>0</v>
      </c>
      <c r="E69">
        <v>0</v>
      </c>
      <c r="F69">
        <v>0</v>
      </c>
      <c r="G69" s="5">
        <v>1.0983796295477077E-2</v>
      </c>
      <c r="H69" t="s">
        <v>193</v>
      </c>
      <c r="I69" t="s">
        <v>194</v>
      </c>
      <c r="J69">
        <v>0</v>
      </c>
      <c r="K69">
        <f t="shared" si="2"/>
        <v>1</v>
      </c>
      <c r="L69">
        <f t="shared" si="3"/>
        <v>51</v>
      </c>
      <c r="M69">
        <f t="shared" si="4"/>
        <v>2</v>
      </c>
      <c r="N69">
        <f t="shared" si="5"/>
        <v>51</v>
      </c>
      <c r="O69">
        <f t="shared" si="6"/>
        <v>0</v>
      </c>
      <c r="P69" t="str">
        <f t="shared" si="7"/>
        <v>達成</v>
      </c>
    </row>
    <row r="70" spans="1:16">
      <c r="A70" s="3">
        <v>45989.291273148148</v>
      </c>
      <c r="B70">
        <v>53</v>
      </c>
      <c r="C70">
        <v>13</v>
      </c>
      <c r="D70">
        <v>0</v>
      </c>
      <c r="E70">
        <v>7</v>
      </c>
      <c r="F70">
        <v>0</v>
      </c>
      <c r="G70" s="5">
        <v>7.9861111080390401E-3</v>
      </c>
      <c r="H70" t="s">
        <v>195</v>
      </c>
      <c r="I70" t="s">
        <v>196</v>
      </c>
      <c r="J70">
        <v>0</v>
      </c>
      <c r="K70">
        <f t="shared" si="2"/>
        <v>0</v>
      </c>
      <c r="L70">
        <f t="shared" si="3"/>
        <v>51</v>
      </c>
      <c r="M70">
        <f t="shared" si="4"/>
        <v>2</v>
      </c>
      <c r="N70">
        <f t="shared" si="5"/>
        <v>53</v>
      </c>
      <c r="O70">
        <f t="shared" si="6"/>
        <v>0</v>
      </c>
      <c r="P70" t="str">
        <f t="shared" si="7"/>
        <v>未達成（2）</v>
      </c>
    </row>
    <row r="71" spans="1:16">
      <c r="A71" s="3">
        <v>45989.299722222226</v>
      </c>
      <c r="B71">
        <v>60</v>
      </c>
      <c r="C71">
        <v>42</v>
      </c>
      <c r="D71">
        <v>0</v>
      </c>
      <c r="E71">
        <v>0</v>
      </c>
      <c r="F71">
        <v>0</v>
      </c>
      <c r="G71" s="5">
        <v>7.6967592613073066E-3</v>
      </c>
      <c r="H71" t="s">
        <v>197</v>
      </c>
      <c r="I71" t="s">
        <v>198</v>
      </c>
      <c r="J71">
        <v>0</v>
      </c>
      <c r="K71">
        <f t="shared" si="2"/>
        <v>1</v>
      </c>
      <c r="L71">
        <f t="shared" si="3"/>
        <v>52</v>
      </c>
      <c r="M71">
        <f t="shared" si="4"/>
        <v>2</v>
      </c>
      <c r="N71">
        <f t="shared" si="5"/>
        <v>53</v>
      </c>
      <c r="O71">
        <f t="shared" si="6"/>
        <v>0</v>
      </c>
      <c r="P71" t="str">
        <f t="shared" si="7"/>
        <v>未達成（1）</v>
      </c>
    </row>
    <row r="72" spans="1:16">
      <c r="A72" s="3">
        <v>45989.308298611111</v>
      </c>
      <c r="B72">
        <v>60</v>
      </c>
      <c r="C72">
        <v>19</v>
      </c>
      <c r="D72">
        <v>0</v>
      </c>
      <c r="E72">
        <v>0</v>
      </c>
      <c r="F72">
        <v>0</v>
      </c>
      <c r="G72" s="5">
        <v>7.7662037074333057E-3</v>
      </c>
      <c r="H72" t="s">
        <v>199</v>
      </c>
      <c r="I72" t="s">
        <v>200</v>
      </c>
      <c r="J72">
        <v>0</v>
      </c>
      <c r="K72">
        <f t="shared" si="2"/>
        <v>1</v>
      </c>
      <c r="L72">
        <f t="shared" si="3"/>
        <v>53</v>
      </c>
      <c r="M72">
        <f t="shared" si="4"/>
        <v>2</v>
      </c>
      <c r="N72">
        <f t="shared" si="5"/>
        <v>53</v>
      </c>
      <c r="O72">
        <f t="shared" si="6"/>
        <v>0</v>
      </c>
      <c r="P72" t="str">
        <f t="shared" si="7"/>
        <v>達成</v>
      </c>
    </row>
    <row r="73" spans="1:16">
      <c r="A73" s="3">
        <v>45990.459027777775</v>
      </c>
      <c r="B73">
        <v>60</v>
      </c>
      <c r="C73">
        <v>13</v>
      </c>
      <c r="D73">
        <v>0</v>
      </c>
      <c r="E73">
        <v>0</v>
      </c>
      <c r="F73">
        <v>0</v>
      </c>
      <c r="G73" s="5">
        <v>9.814814809942618E-3</v>
      </c>
      <c r="H73" t="s">
        <v>201</v>
      </c>
      <c r="I73" t="s">
        <v>202</v>
      </c>
      <c r="J73">
        <v>0</v>
      </c>
      <c r="K73">
        <f t="shared" si="2"/>
        <v>1</v>
      </c>
      <c r="L73">
        <f t="shared" si="3"/>
        <v>54</v>
      </c>
      <c r="M73">
        <f t="shared" si="4"/>
        <v>2</v>
      </c>
      <c r="N73">
        <f t="shared" si="5"/>
        <v>55</v>
      </c>
      <c r="O73">
        <f t="shared" si="6"/>
        <v>0</v>
      </c>
      <c r="P73" t="str">
        <f t="shared" si="7"/>
        <v>未達成（1）</v>
      </c>
    </row>
    <row r="74" spans="1:16">
      <c r="A74" s="3">
        <v>45990.539907407408</v>
      </c>
      <c r="B74">
        <v>60</v>
      </c>
      <c r="C74">
        <v>10</v>
      </c>
      <c r="D74">
        <v>0</v>
      </c>
      <c r="E74">
        <v>0</v>
      </c>
      <c r="F74">
        <v>0</v>
      </c>
      <c r="G74" s="5">
        <v>1.1226851849642117E-2</v>
      </c>
      <c r="H74" t="s">
        <v>203</v>
      </c>
      <c r="I74" t="s">
        <v>204</v>
      </c>
      <c r="J74">
        <v>0</v>
      </c>
      <c r="K74">
        <f t="shared" si="2"/>
        <v>1</v>
      </c>
      <c r="L74">
        <f t="shared" si="3"/>
        <v>55</v>
      </c>
      <c r="M74">
        <f t="shared" si="4"/>
        <v>2</v>
      </c>
      <c r="N74">
        <f t="shared" si="5"/>
        <v>55</v>
      </c>
      <c r="O74">
        <f t="shared" si="6"/>
        <v>0</v>
      </c>
      <c r="P74" t="str">
        <f t="shared" si="7"/>
        <v>達成</v>
      </c>
    </row>
    <row r="75" spans="1:16">
      <c r="A75" s="3">
        <v>45991.563125000001</v>
      </c>
      <c r="B75">
        <v>60</v>
      </c>
      <c r="C75">
        <v>14</v>
      </c>
      <c r="D75">
        <v>0</v>
      </c>
      <c r="E75">
        <v>0</v>
      </c>
      <c r="F75">
        <v>0</v>
      </c>
      <c r="G75" s="5">
        <v>5.694444444088731E-3</v>
      </c>
      <c r="H75" t="s">
        <v>205</v>
      </c>
      <c r="I75" t="s">
        <v>206</v>
      </c>
      <c r="J75">
        <v>0</v>
      </c>
      <c r="K75">
        <f t="shared" si="2"/>
        <v>2</v>
      </c>
      <c r="L75">
        <f t="shared" si="3"/>
        <v>57</v>
      </c>
      <c r="M75">
        <f t="shared" si="4"/>
        <v>3</v>
      </c>
      <c r="N75">
        <f t="shared" si="5"/>
        <v>58</v>
      </c>
      <c r="O75">
        <f t="shared" si="6"/>
        <v>0</v>
      </c>
      <c r="P75" t="str">
        <f t="shared" si="7"/>
        <v>未達成（1）</v>
      </c>
    </row>
    <row r="76" spans="1:16">
      <c r="A76" s="3">
        <v>45991.575856481482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5.5324074055533856E-3</v>
      </c>
      <c r="H76" t="s">
        <v>207</v>
      </c>
      <c r="I76" t="s">
        <v>208</v>
      </c>
      <c r="J76">
        <v>0</v>
      </c>
      <c r="K76">
        <f t="shared" si="2"/>
        <v>2</v>
      </c>
      <c r="L76">
        <f t="shared" si="3"/>
        <v>59</v>
      </c>
      <c r="M76">
        <f t="shared" si="4"/>
        <v>3</v>
      </c>
      <c r="N76">
        <f t="shared" si="5"/>
        <v>58</v>
      </c>
      <c r="O76">
        <f t="shared" si="6"/>
        <v>0</v>
      </c>
      <c r="P76" t="str">
        <f t="shared" si="7"/>
        <v>前倒し（1）</v>
      </c>
    </row>
    <row r="77" spans="1:16">
      <c r="A77" s="3">
        <v>45992.289467592593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1.0162037040572613E-2</v>
      </c>
      <c r="H77" t="s">
        <v>209</v>
      </c>
      <c r="I77" t="s">
        <v>210</v>
      </c>
      <c r="J77">
        <v>0</v>
      </c>
      <c r="K77">
        <f t="shared" si="2"/>
        <v>1</v>
      </c>
      <c r="L77">
        <f t="shared" si="3"/>
        <v>60</v>
      </c>
      <c r="M77">
        <f t="shared" si="4"/>
        <v>3</v>
      </c>
      <c r="N77">
        <f t="shared" si="5"/>
        <v>61</v>
      </c>
      <c r="O77">
        <f t="shared" si="6"/>
        <v>0</v>
      </c>
      <c r="P77" t="str">
        <f t="shared" si="7"/>
        <v>未達成（1）</v>
      </c>
    </row>
    <row r="78" spans="1:16">
      <c r="A78" s="3">
        <v>45992.298761574071</v>
      </c>
      <c r="B78">
        <v>60</v>
      </c>
      <c r="C78">
        <v>8</v>
      </c>
      <c r="D78">
        <v>0</v>
      </c>
      <c r="E78">
        <v>0</v>
      </c>
      <c r="F78">
        <v>0</v>
      </c>
      <c r="G78" s="5">
        <v>6.168981475639157E-3</v>
      </c>
      <c r="H78" t="s">
        <v>211</v>
      </c>
      <c r="I78" t="s">
        <v>212</v>
      </c>
      <c r="J78">
        <v>0</v>
      </c>
      <c r="K78">
        <f t="shared" si="2"/>
        <v>2</v>
      </c>
      <c r="L78">
        <f t="shared" si="3"/>
        <v>62</v>
      </c>
      <c r="M78">
        <f t="shared" si="4"/>
        <v>3</v>
      </c>
      <c r="N78">
        <f t="shared" si="5"/>
        <v>61</v>
      </c>
      <c r="O78">
        <f t="shared" si="6"/>
        <v>0</v>
      </c>
      <c r="P78" t="str">
        <f t="shared" si="7"/>
        <v>前倒し（1）</v>
      </c>
    </row>
    <row r="79" spans="1:16">
      <c r="A79" s="3">
        <v>45993.285081018519</v>
      </c>
      <c r="B79">
        <v>48</v>
      </c>
      <c r="C79">
        <v>7</v>
      </c>
      <c r="D79">
        <v>0</v>
      </c>
      <c r="E79">
        <v>12</v>
      </c>
      <c r="F79">
        <v>0</v>
      </c>
      <c r="G79" s="5">
        <v>7.8703703693463467E-3</v>
      </c>
      <c r="H79" t="s">
        <v>213</v>
      </c>
      <c r="I79" t="s">
        <v>214</v>
      </c>
      <c r="J79">
        <v>0</v>
      </c>
      <c r="K79">
        <f t="shared" si="2"/>
        <v>0</v>
      </c>
      <c r="L79">
        <f t="shared" si="3"/>
        <v>62</v>
      </c>
      <c r="M79">
        <f t="shared" si="4"/>
        <v>3</v>
      </c>
      <c r="N79">
        <f t="shared" si="5"/>
        <v>64</v>
      </c>
      <c r="O79">
        <f t="shared" si="6"/>
        <v>0</v>
      </c>
      <c r="P79" t="str">
        <f t="shared" si="7"/>
        <v>未達成（2）</v>
      </c>
    </row>
    <row r="80" spans="1:16">
      <c r="A80" s="3">
        <v>45993.29241898148</v>
      </c>
      <c r="B80">
        <v>60</v>
      </c>
      <c r="C80">
        <v>18</v>
      </c>
      <c r="D80">
        <v>0</v>
      </c>
      <c r="E80">
        <v>0</v>
      </c>
      <c r="F80">
        <v>0</v>
      </c>
      <c r="G80" s="5">
        <v>6.7476851836545393E-3</v>
      </c>
      <c r="H80" t="s">
        <v>217</v>
      </c>
      <c r="I80" t="s">
        <v>218</v>
      </c>
      <c r="J80">
        <v>0</v>
      </c>
      <c r="K80">
        <f t="shared" si="2"/>
        <v>2</v>
      </c>
      <c r="L80">
        <f t="shared" si="3"/>
        <v>64</v>
      </c>
      <c r="M80">
        <f t="shared" si="4"/>
        <v>3</v>
      </c>
      <c r="N80">
        <f t="shared" si="5"/>
        <v>64</v>
      </c>
      <c r="O80">
        <f t="shared" si="6"/>
        <v>0</v>
      </c>
      <c r="P80" t="str">
        <f t="shared" si="7"/>
        <v>達成</v>
      </c>
    </row>
    <row r="81" spans="1:16">
      <c r="A81" s="3">
        <v>45994.309050925927</v>
      </c>
      <c r="B81">
        <v>60</v>
      </c>
      <c r="C81">
        <v>10</v>
      </c>
      <c r="D81">
        <v>0</v>
      </c>
      <c r="E81">
        <v>0</v>
      </c>
      <c r="F81">
        <v>0</v>
      </c>
      <c r="G81" s="5">
        <v>8.8773148163454607E-3</v>
      </c>
      <c r="H81" t="s">
        <v>215</v>
      </c>
      <c r="I81" t="s">
        <v>216</v>
      </c>
      <c r="J81">
        <v>0</v>
      </c>
      <c r="K81">
        <f t="shared" si="2"/>
        <v>1</v>
      </c>
      <c r="L81">
        <f t="shared" si="3"/>
        <v>65</v>
      </c>
      <c r="M81">
        <f t="shared" si="4"/>
        <v>3</v>
      </c>
      <c r="N81">
        <f t="shared" si="5"/>
        <v>67</v>
      </c>
      <c r="O81">
        <f t="shared" si="6"/>
        <v>0</v>
      </c>
      <c r="P81" t="str">
        <f t="shared" si="7"/>
        <v>未達成（2）</v>
      </c>
    </row>
    <row r="82" spans="1:16">
      <c r="A82" s="3">
        <v>45994.372615740744</v>
      </c>
      <c r="B82">
        <v>60</v>
      </c>
      <c r="C82">
        <v>21</v>
      </c>
      <c r="D82">
        <v>0</v>
      </c>
      <c r="E82">
        <v>0</v>
      </c>
      <c r="F82">
        <v>0</v>
      </c>
      <c r="G82" s="5">
        <v>8.9930555550381541E-3</v>
      </c>
      <c r="H82" t="s">
        <v>219</v>
      </c>
      <c r="I82" t="s">
        <v>220</v>
      </c>
      <c r="J82">
        <v>0</v>
      </c>
      <c r="K82">
        <f t="shared" ref="K82:K97" si="8">IF(A82&lt;DATEVALUE("2025/11/20")+TIMEVALUE("6:00"),1,IF(B82-SUM(D82:F82)&lt;&gt;60,0,MAX(2-INT(G82*24*60/10),0)))</f>
        <v>1</v>
      </c>
      <c r="L82">
        <f t="shared" ref="L82:L97" si="9">L81+K82</f>
        <v>66</v>
      </c>
      <c r="M82">
        <f t="shared" ref="M82:M97" si="10">2+IF(A82&gt;=DATEVALUE("2025/11/30")+TIMEVALUE("6:00"),1,0)+IF(A82&gt;=DATEVALUE("2025/12/11")+TIMEVALUE("6:00"),1,0)</f>
        <v>3</v>
      </c>
      <c r="N82">
        <f t="shared" ref="N82:N97" si="11">N81+M82*(INT(A82-6/24)-INT(A81-6/24))+O82</f>
        <v>67</v>
      </c>
      <c r="O82">
        <f t="shared" ref="O82:O97" si="12">IF(A82&gt;=DATEVALUE("2025/11/8")+TIMEVALUE("6:00"),1,0)-IF(A81&gt;=DATEVALUE("2025/11/8")+TIMEVALUE("6:00"),1,0)</f>
        <v>0</v>
      </c>
      <c r="P82" t="str">
        <f t="shared" ref="P82:P97" si="13">IF(L82&lt;N82,"未達成（"&amp;N82-L82&amp;"）",IF(L82=N82,"達成","前倒し（"&amp;L82-N82&amp;"）"))</f>
        <v>未達成（1）</v>
      </c>
    </row>
    <row r="83" spans="1:16">
      <c r="A83" s="3">
        <v>45994.573900462965</v>
      </c>
      <c r="B83">
        <v>60</v>
      </c>
      <c r="C83">
        <v>24</v>
      </c>
      <c r="D83">
        <v>0</v>
      </c>
      <c r="E83">
        <v>0</v>
      </c>
      <c r="F83">
        <v>0</v>
      </c>
      <c r="G83" s="5">
        <v>7.3263888916699216E-3</v>
      </c>
      <c r="H83" t="s">
        <v>221</v>
      </c>
      <c r="I83" t="s">
        <v>222</v>
      </c>
      <c r="J83">
        <v>0</v>
      </c>
      <c r="K83">
        <f t="shared" si="8"/>
        <v>1</v>
      </c>
      <c r="L83">
        <f t="shared" si="9"/>
        <v>67</v>
      </c>
      <c r="M83">
        <f t="shared" si="10"/>
        <v>3</v>
      </c>
      <c r="N83">
        <f t="shared" si="11"/>
        <v>67</v>
      </c>
      <c r="O83">
        <f t="shared" si="12"/>
        <v>0</v>
      </c>
      <c r="P83" t="str">
        <f t="shared" si="13"/>
        <v>達成</v>
      </c>
    </row>
    <row r="84" spans="1:16">
      <c r="A84" s="3">
        <v>45995.297349537039</v>
      </c>
      <c r="B84">
        <v>60</v>
      </c>
      <c r="C84">
        <v>13</v>
      </c>
      <c r="D84">
        <v>0</v>
      </c>
      <c r="E84">
        <v>0</v>
      </c>
      <c r="F84">
        <v>0</v>
      </c>
      <c r="G84" s="5">
        <v>8.8888888931251131E-3</v>
      </c>
      <c r="H84" t="s">
        <v>223</v>
      </c>
      <c r="I84" t="s">
        <v>224</v>
      </c>
      <c r="J84">
        <v>0</v>
      </c>
      <c r="K84">
        <f t="shared" si="8"/>
        <v>1</v>
      </c>
      <c r="L84">
        <f t="shared" si="9"/>
        <v>68</v>
      </c>
      <c r="M84">
        <f t="shared" si="10"/>
        <v>3</v>
      </c>
      <c r="N84">
        <f t="shared" si="11"/>
        <v>70</v>
      </c>
      <c r="O84">
        <f t="shared" si="12"/>
        <v>0</v>
      </c>
      <c r="P84" t="str">
        <f t="shared" si="13"/>
        <v>未達成（2）</v>
      </c>
    </row>
    <row r="85" spans="1:16">
      <c r="A85" s="3">
        <v>45995.308217592596</v>
      </c>
      <c r="B85">
        <v>60</v>
      </c>
      <c r="C85">
        <v>12</v>
      </c>
      <c r="D85">
        <v>0</v>
      </c>
      <c r="E85">
        <v>0</v>
      </c>
      <c r="F85">
        <v>0</v>
      </c>
      <c r="G85" s="5">
        <v>7.7777777842129581E-3</v>
      </c>
      <c r="H85" t="s">
        <v>225</v>
      </c>
      <c r="I85" t="s">
        <v>226</v>
      </c>
      <c r="J85">
        <v>0</v>
      </c>
      <c r="K85">
        <f t="shared" si="8"/>
        <v>1</v>
      </c>
      <c r="L85">
        <f t="shared" si="9"/>
        <v>69</v>
      </c>
      <c r="M85">
        <f t="shared" si="10"/>
        <v>3</v>
      </c>
      <c r="N85">
        <f t="shared" si="11"/>
        <v>70</v>
      </c>
      <c r="O85">
        <f t="shared" si="12"/>
        <v>0</v>
      </c>
      <c r="P85" t="str">
        <f t="shared" si="13"/>
        <v>未達成（1）</v>
      </c>
    </row>
    <row r="86" spans="1:16">
      <c r="A86" s="3">
        <v>45995.571805555555</v>
      </c>
      <c r="B86">
        <v>60</v>
      </c>
      <c r="C86">
        <v>16</v>
      </c>
      <c r="D86">
        <v>0</v>
      </c>
      <c r="E86">
        <v>0</v>
      </c>
      <c r="F86">
        <v>0</v>
      </c>
      <c r="G86" s="5">
        <v>6.1226851830724627E-3</v>
      </c>
      <c r="H86" t="s">
        <v>227</v>
      </c>
      <c r="I86" t="s">
        <v>228</v>
      </c>
      <c r="J86">
        <v>0</v>
      </c>
      <c r="K86">
        <f t="shared" si="8"/>
        <v>2</v>
      </c>
      <c r="L86">
        <f t="shared" si="9"/>
        <v>71</v>
      </c>
      <c r="M86">
        <f t="shared" si="10"/>
        <v>3</v>
      </c>
      <c r="N86">
        <f t="shared" si="11"/>
        <v>70</v>
      </c>
      <c r="O86">
        <f t="shared" si="12"/>
        <v>0</v>
      </c>
      <c r="P86" t="str">
        <f t="shared" si="13"/>
        <v>前倒し（1）</v>
      </c>
    </row>
    <row r="87" spans="1:16">
      <c r="A87" s="3">
        <v>45996.284409722219</v>
      </c>
      <c r="B87">
        <v>60</v>
      </c>
      <c r="C87">
        <v>6</v>
      </c>
      <c r="D87">
        <v>0</v>
      </c>
      <c r="E87">
        <v>0</v>
      </c>
      <c r="F87">
        <v>0</v>
      </c>
      <c r="G87" s="5">
        <v>7.3842592537403107E-3</v>
      </c>
      <c r="H87" t="s">
        <v>229</v>
      </c>
      <c r="I87" t="s">
        <v>230</v>
      </c>
      <c r="J87">
        <v>0</v>
      </c>
      <c r="K87">
        <f t="shared" si="8"/>
        <v>1</v>
      </c>
      <c r="L87">
        <f t="shared" si="9"/>
        <v>72</v>
      </c>
      <c r="M87">
        <f t="shared" si="10"/>
        <v>3</v>
      </c>
      <c r="N87">
        <f t="shared" si="11"/>
        <v>73</v>
      </c>
      <c r="O87">
        <f t="shared" si="12"/>
        <v>0</v>
      </c>
      <c r="P87" t="str">
        <f t="shared" si="13"/>
        <v>未達成（1）</v>
      </c>
    </row>
    <row r="88" spans="1:16">
      <c r="A88" s="3">
        <v>45996.311747685184</v>
      </c>
      <c r="B88">
        <v>60</v>
      </c>
      <c r="C88">
        <v>16</v>
      </c>
      <c r="D88">
        <v>0</v>
      </c>
      <c r="E88">
        <v>0</v>
      </c>
      <c r="F88">
        <v>0</v>
      </c>
      <c r="G88" s="5">
        <v>1.17013888884685E-2</v>
      </c>
      <c r="H88" t="s">
        <v>231</v>
      </c>
      <c r="I88" t="s">
        <v>232</v>
      </c>
      <c r="J88">
        <v>0</v>
      </c>
      <c r="K88">
        <f t="shared" si="8"/>
        <v>1</v>
      </c>
      <c r="L88">
        <f t="shared" si="9"/>
        <v>73</v>
      </c>
      <c r="M88">
        <f t="shared" si="10"/>
        <v>3</v>
      </c>
      <c r="N88">
        <f t="shared" si="11"/>
        <v>73</v>
      </c>
      <c r="O88">
        <f t="shared" si="12"/>
        <v>0</v>
      </c>
      <c r="P88" t="str">
        <f t="shared" si="13"/>
        <v>達成</v>
      </c>
    </row>
    <row r="89" spans="1:16">
      <c r="A89" s="3">
        <v>45997.303113425929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5.7291666671517305E-3</v>
      </c>
      <c r="H89" t="s">
        <v>233</v>
      </c>
      <c r="I89" t="s">
        <v>234</v>
      </c>
      <c r="J89">
        <v>0</v>
      </c>
      <c r="K89">
        <f t="shared" si="8"/>
        <v>2</v>
      </c>
      <c r="L89">
        <f t="shared" si="9"/>
        <v>75</v>
      </c>
      <c r="M89">
        <f t="shared" si="10"/>
        <v>3</v>
      </c>
      <c r="N89">
        <f t="shared" si="11"/>
        <v>76</v>
      </c>
      <c r="O89">
        <f t="shared" si="12"/>
        <v>0</v>
      </c>
      <c r="P89" t="str">
        <f t="shared" si="13"/>
        <v>未達成（1）</v>
      </c>
    </row>
    <row r="90" spans="1:16">
      <c r="A90" s="3">
        <v>45997.312106481484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6.4699074064265005E-3</v>
      </c>
      <c r="H90" t="s">
        <v>235</v>
      </c>
      <c r="I90" t="s">
        <v>236</v>
      </c>
      <c r="J90">
        <v>0</v>
      </c>
      <c r="K90">
        <f t="shared" si="8"/>
        <v>2</v>
      </c>
      <c r="L90">
        <f t="shared" si="9"/>
        <v>77</v>
      </c>
      <c r="M90">
        <f t="shared" si="10"/>
        <v>3</v>
      </c>
      <c r="N90">
        <f t="shared" si="11"/>
        <v>76</v>
      </c>
      <c r="O90">
        <f t="shared" si="12"/>
        <v>0</v>
      </c>
      <c r="P90" t="str">
        <f t="shared" si="13"/>
        <v>前倒し（1）</v>
      </c>
    </row>
    <row r="91" spans="1:16">
      <c r="A91" s="3">
        <v>45998.290590277778</v>
      </c>
      <c r="B91">
        <v>60</v>
      </c>
      <c r="C91">
        <v>4</v>
      </c>
      <c r="D91">
        <v>0</v>
      </c>
      <c r="E91">
        <v>0</v>
      </c>
      <c r="F91">
        <v>0</v>
      </c>
      <c r="G91" s="5">
        <v>6.805555553000886E-3</v>
      </c>
      <c r="H91" t="s">
        <v>237</v>
      </c>
      <c r="I91" t="s">
        <v>238</v>
      </c>
      <c r="J91">
        <v>0</v>
      </c>
      <c r="K91">
        <f t="shared" si="8"/>
        <v>2</v>
      </c>
      <c r="L91">
        <f t="shared" si="9"/>
        <v>79</v>
      </c>
      <c r="M91">
        <f t="shared" si="10"/>
        <v>3</v>
      </c>
      <c r="N91">
        <f t="shared" si="11"/>
        <v>79</v>
      </c>
      <c r="O91">
        <f t="shared" si="12"/>
        <v>0</v>
      </c>
      <c r="P91" t="str">
        <f t="shared" si="13"/>
        <v>達成</v>
      </c>
    </row>
    <row r="92" spans="1:16">
      <c r="A92" s="3">
        <v>45999.308831018519</v>
      </c>
      <c r="B92">
        <v>60</v>
      </c>
      <c r="C92">
        <v>19</v>
      </c>
      <c r="D92">
        <v>0</v>
      </c>
      <c r="E92">
        <v>0</v>
      </c>
      <c r="F92">
        <v>0</v>
      </c>
      <c r="G92" s="5">
        <v>7.8935185229056515E-3</v>
      </c>
      <c r="H92" t="s">
        <v>239</v>
      </c>
      <c r="I92" t="s">
        <v>240</v>
      </c>
      <c r="J92">
        <v>0</v>
      </c>
      <c r="K92">
        <f t="shared" si="8"/>
        <v>1</v>
      </c>
      <c r="L92">
        <f t="shared" si="9"/>
        <v>80</v>
      </c>
      <c r="M92">
        <f t="shared" si="10"/>
        <v>3</v>
      </c>
      <c r="N92">
        <f t="shared" si="11"/>
        <v>82</v>
      </c>
      <c r="O92">
        <f t="shared" si="12"/>
        <v>0</v>
      </c>
      <c r="P92" t="str">
        <f t="shared" si="13"/>
        <v>未達成（2）</v>
      </c>
    </row>
    <row r="93" spans="1:16">
      <c r="A93" s="3">
        <v>45999.538287037038</v>
      </c>
      <c r="B93">
        <v>60</v>
      </c>
      <c r="C93">
        <v>10</v>
      </c>
      <c r="D93">
        <v>0</v>
      </c>
      <c r="E93">
        <v>0</v>
      </c>
      <c r="F93">
        <v>0</v>
      </c>
      <c r="G93" s="5">
        <v>8.2407407389837317E-3</v>
      </c>
      <c r="H93" t="s">
        <v>241</v>
      </c>
      <c r="I93" t="s">
        <v>242</v>
      </c>
      <c r="J93">
        <v>0</v>
      </c>
      <c r="K93">
        <f t="shared" si="8"/>
        <v>1</v>
      </c>
      <c r="L93">
        <f t="shared" si="9"/>
        <v>81</v>
      </c>
      <c r="M93">
        <f t="shared" si="10"/>
        <v>3</v>
      </c>
      <c r="N93">
        <f t="shared" si="11"/>
        <v>82</v>
      </c>
      <c r="O93">
        <f t="shared" si="12"/>
        <v>0</v>
      </c>
      <c r="P93" t="str">
        <f t="shared" si="13"/>
        <v>未達成（1）</v>
      </c>
    </row>
    <row r="94" spans="1:16">
      <c r="A94" s="3">
        <v>45999.866469907407</v>
      </c>
      <c r="B94">
        <v>60</v>
      </c>
      <c r="C94">
        <v>12</v>
      </c>
      <c r="D94">
        <v>0</v>
      </c>
      <c r="E94">
        <v>0</v>
      </c>
      <c r="F94">
        <v>0</v>
      </c>
      <c r="G94" s="5">
        <v>5.6134259284590371E-3</v>
      </c>
      <c r="H94" t="s">
        <v>243</v>
      </c>
      <c r="I94" t="s">
        <v>244</v>
      </c>
      <c r="J94">
        <v>0</v>
      </c>
      <c r="K94">
        <f t="shared" si="8"/>
        <v>2</v>
      </c>
      <c r="L94">
        <f t="shared" si="9"/>
        <v>83</v>
      </c>
      <c r="M94">
        <f t="shared" si="10"/>
        <v>3</v>
      </c>
      <c r="N94">
        <f t="shared" si="11"/>
        <v>82</v>
      </c>
      <c r="O94">
        <f t="shared" si="12"/>
        <v>0</v>
      </c>
      <c r="P94" t="str">
        <f t="shared" si="13"/>
        <v>前倒し（1）</v>
      </c>
    </row>
    <row r="95" spans="1:16">
      <c r="A95" s="3">
        <v>46000.300081018519</v>
      </c>
      <c r="B95">
        <v>60</v>
      </c>
      <c r="C95">
        <v>13</v>
      </c>
      <c r="D95">
        <v>0</v>
      </c>
      <c r="E95">
        <v>0</v>
      </c>
      <c r="F95">
        <v>0</v>
      </c>
      <c r="G95" s="5">
        <v>1.1423611111240461E-2</v>
      </c>
      <c r="H95" t="s">
        <v>245</v>
      </c>
      <c r="I95" t="s">
        <v>246</v>
      </c>
      <c r="J95">
        <v>0</v>
      </c>
      <c r="K95">
        <f t="shared" si="8"/>
        <v>1</v>
      </c>
      <c r="L95">
        <f t="shared" si="9"/>
        <v>84</v>
      </c>
      <c r="M95">
        <f t="shared" si="10"/>
        <v>3</v>
      </c>
      <c r="N95">
        <f t="shared" si="11"/>
        <v>85</v>
      </c>
      <c r="O95">
        <f t="shared" si="12"/>
        <v>0</v>
      </c>
      <c r="P95" t="str">
        <f t="shared" si="13"/>
        <v>未達成（1）</v>
      </c>
    </row>
    <row r="96" spans="1:16">
      <c r="A96" s="3">
        <v>46000.312152777777</v>
      </c>
      <c r="B96">
        <v>60</v>
      </c>
      <c r="C96">
        <v>9</v>
      </c>
      <c r="D96">
        <v>0</v>
      </c>
      <c r="E96">
        <v>0</v>
      </c>
      <c r="F96">
        <v>0</v>
      </c>
      <c r="G96" s="5">
        <v>5.8101851827814244E-3</v>
      </c>
      <c r="H96" t="s">
        <v>247</v>
      </c>
      <c r="I96" t="s">
        <v>248</v>
      </c>
      <c r="J96">
        <v>0</v>
      </c>
      <c r="K96">
        <f t="shared" si="8"/>
        <v>2</v>
      </c>
      <c r="L96">
        <f t="shared" si="9"/>
        <v>86</v>
      </c>
      <c r="M96">
        <f t="shared" si="10"/>
        <v>3</v>
      </c>
      <c r="N96">
        <f t="shared" si="11"/>
        <v>85</v>
      </c>
      <c r="O96">
        <f t="shared" si="12"/>
        <v>0</v>
      </c>
      <c r="P96" t="str">
        <f t="shared" si="13"/>
        <v>前倒し（1）</v>
      </c>
    </row>
    <row r="97" spans="1:16">
      <c r="A97" s="3">
        <v>46001.313842592594</v>
      </c>
      <c r="B97">
        <v>60</v>
      </c>
      <c r="C97">
        <v>7</v>
      </c>
      <c r="D97">
        <v>0</v>
      </c>
      <c r="E97">
        <v>0</v>
      </c>
      <c r="F97">
        <v>0</v>
      </c>
      <c r="G97" s="5">
        <v>5.1157407433493063E-3</v>
      </c>
      <c r="H97" t="s">
        <v>249</v>
      </c>
      <c r="I97" t="s">
        <v>250</v>
      </c>
      <c r="J97">
        <v>0</v>
      </c>
      <c r="K97">
        <f t="shared" si="8"/>
        <v>2</v>
      </c>
      <c r="L97">
        <f t="shared" si="9"/>
        <v>88</v>
      </c>
      <c r="M97">
        <f t="shared" si="10"/>
        <v>3</v>
      </c>
      <c r="N97">
        <f t="shared" si="11"/>
        <v>88</v>
      </c>
      <c r="O97">
        <f t="shared" si="12"/>
        <v>0</v>
      </c>
      <c r="P97" t="str">
        <f t="shared" si="13"/>
        <v>達成</v>
      </c>
    </row>
    <row r="98" spans="1:16">
      <c r="A98" s="3">
        <v>46002.297708333332</v>
      </c>
      <c r="B98">
        <v>60</v>
      </c>
      <c r="C98">
        <v>11</v>
      </c>
      <c r="D98">
        <v>0</v>
      </c>
      <c r="E98">
        <v>0</v>
      </c>
      <c r="F98">
        <v>0</v>
      </c>
      <c r="G98" s="5">
        <v>1.0185185186855961E-2</v>
      </c>
      <c r="H98" t="s">
        <v>252</v>
      </c>
      <c r="I98" t="s">
        <v>253</v>
      </c>
      <c r="J98">
        <v>0</v>
      </c>
      <c r="K98">
        <f t="shared" ref="K98" si="14">IF(A98&lt;DATEVALUE("2025/11/20")+TIMEVALUE("6:00"),1,IF(B98-SUM(D98:F98)&lt;&gt;60,0,MAX(2-INT(G98*24*60/10),0)))</f>
        <v>1</v>
      </c>
      <c r="L98">
        <f t="shared" ref="L98" si="15">L97+K98</f>
        <v>89</v>
      </c>
      <c r="M98">
        <f t="shared" ref="M98" si="16">2+IF(A98&gt;=DATEVALUE("2025/11/30")+TIMEVALUE("6:00"),1,0)+IF(A98&gt;=DATEVALUE("2025/12/11")+TIMEVALUE("6:00"),1,0)</f>
        <v>4</v>
      </c>
      <c r="N98">
        <f t="shared" ref="N98" si="17">N97+M98*(INT(A98-6/24)-INT(A97-6/24))+O98</f>
        <v>92</v>
      </c>
      <c r="O98">
        <f t="shared" ref="O98" si="18">IF(A98&gt;=DATEVALUE("2025/11/8")+TIMEVALUE("6:00"),1,0)-IF(A97&gt;=DATEVALUE("2025/11/8")+TIMEVALUE("6:00"),1,0)</f>
        <v>0</v>
      </c>
      <c r="P98" t="str">
        <f t="shared" ref="P98" si="19">IF(L98&lt;N98,"未達成（"&amp;N98-L98&amp;"）",IF(L98=N98,"達成","前倒し（"&amp;L98-N98&amp;"）"))</f>
        <v>未達成（3）</v>
      </c>
    </row>
    <row r="99" spans="1:16">
      <c r="A99" s="3">
        <v>46002.315185185187</v>
      </c>
      <c r="B99">
        <v>53</v>
      </c>
      <c r="C99">
        <v>14</v>
      </c>
      <c r="D99">
        <v>0</v>
      </c>
      <c r="E99">
        <v>7</v>
      </c>
      <c r="F99">
        <v>5</v>
      </c>
      <c r="G99" s="5">
        <v>8.078703707724344E-3</v>
      </c>
      <c r="H99" t="s">
        <v>254</v>
      </c>
      <c r="I99" t="s">
        <v>255</v>
      </c>
      <c r="J99">
        <v>0</v>
      </c>
      <c r="K99">
        <f t="shared" ref="K99" si="20">IF(A99&lt;DATEVALUE("2025/11/20")+TIMEVALUE("6:00"),1,IF(B99-SUM(D99:F99)&lt;&gt;60,0,MAX(2-INT(G99*24*60/10),0)))</f>
        <v>0</v>
      </c>
      <c r="L99">
        <f t="shared" ref="L99" si="21">L98+K99</f>
        <v>89</v>
      </c>
      <c r="M99">
        <f t="shared" ref="M99" si="22">2+IF(A99&gt;=DATEVALUE("2025/11/30")+TIMEVALUE("6:00"),1,0)+IF(A99&gt;=DATEVALUE("2025/12/11")+TIMEVALUE("6:00"),1,0)</f>
        <v>4</v>
      </c>
      <c r="N99">
        <f t="shared" ref="N99" si="23">N98+M99*(INT(A99-6/24)-INT(A98-6/24))+O99</f>
        <v>92</v>
      </c>
      <c r="O99">
        <f t="shared" ref="O99" si="24">IF(A99&gt;=DATEVALUE("2025/11/8")+TIMEVALUE("6:00"),1,0)-IF(A98&gt;=DATEVALUE("2025/11/8")+TIMEVALUE("6:00"),1,0)</f>
        <v>0</v>
      </c>
      <c r="P99" t="str">
        <f t="shared" ref="P99" si="25">IF(L99&lt;N99,"未達成（"&amp;N99-L99&amp;"）",IF(L99=N99,"達成","前倒し（"&amp;L99-N99&amp;"）"))</f>
        <v>未達成（3）</v>
      </c>
    </row>
    <row r="100" spans="1:16">
      <c r="A100" s="3">
        <v>46002.372048611112</v>
      </c>
      <c r="B100">
        <v>60</v>
      </c>
      <c r="C100">
        <v>18</v>
      </c>
      <c r="D100">
        <v>0</v>
      </c>
      <c r="E100">
        <v>0</v>
      </c>
      <c r="F100">
        <v>0</v>
      </c>
      <c r="G100" s="5">
        <v>9.6412037019035779E-3</v>
      </c>
      <c r="H100" t="s">
        <v>256</v>
      </c>
      <c r="I100" t="s">
        <v>257</v>
      </c>
      <c r="J100">
        <v>0</v>
      </c>
      <c r="K100">
        <f t="shared" ref="K100" si="26">IF(A100&lt;DATEVALUE("2025/11/20")+TIMEVALUE("6:00"),1,IF(B100-SUM(D100:F100)&lt;&gt;60,0,MAX(2-INT(G100*24*60/10),0)))</f>
        <v>1</v>
      </c>
      <c r="L100">
        <f t="shared" ref="L100" si="27">L99+K100</f>
        <v>90</v>
      </c>
      <c r="M100">
        <f t="shared" ref="M100" si="28">2+IF(A100&gt;=DATEVALUE("2025/11/30")+TIMEVALUE("6:00"),1,0)+IF(A100&gt;=DATEVALUE("2025/12/11")+TIMEVALUE("6:00"),1,0)</f>
        <v>4</v>
      </c>
      <c r="N100">
        <f t="shared" ref="N100" si="29">N99+M100*(INT(A100-6/24)-INT(A99-6/24))+O100</f>
        <v>92</v>
      </c>
      <c r="O100">
        <f t="shared" ref="O100" si="30">IF(A100&gt;=DATEVALUE("2025/11/8")+TIMEVALUE("6:00"),1,0)-IF(A99&gt;=DATEVALUE("2025/11/8")+TIMEVALUE("6:00"),1,0)</f>
        <v>0</v>
      </c>
      <c r="P100" t="str">
        <f t="shared" ref="P100" si="31">IF(L100&lt;N100,"未達成（"&amp;N100-L100&amp;"）",IF(L100=N100,"達成","前倒し（"&amp;L100-N100&amp;"）"))</f>
        <v>未達成（2）</v>
      </c>
    </row>
    <row r="101" spans="1:16">
      <c r="A101" s="3">
        <v>46002.381273148145</v>
      </c>
      <c r="B101">
        <v>60</v>
      </c>
      <c r="C101">
        <v>7</v>
      </c>
      <c r="D101">
        <v>0</v>
      </c>
      <c r="E101">
        <v>0</v>
      </c>
      <c r="F101">
        <v>0</v>
      </c>
      <c r="G101" s="5">
        <v>7.0833333302289248E-3</v>
      </c>
      <c r="H101" t="s">
        <v>258</v>
      </c>
      <c r="I101" t="s">
        <v>259</v>
      </c>
      <c r="J101">
        <v>0</v>
      </c>
      <c r="K101">
        <f t="shared" ref="K101" si="32">IF(A101&lt;DATEVALUE("2025/11/20")+TIMEVALUE("6:00"),1,IF(B101-SUM(D101:F101)&lt;&gt;60,0,MAX(2-INT(G101*24*60/10),0)))</f>
        <v>1</v>
      </c>
      <c r="L101">
        <f t="shared" ref="L101" si="33">L100+K101</f>
        <v>91</v>
      </c>
      <c r="M101">
        <f t="shared" ref="M101" si="34">2+IF(A101&gt;=DATEVALUE("2025/11/30")+TIMEVALUE("6:00"),1,0)+IF(A101&gt;=DATEVALUE("2025/12/11")+TIMEVALUE("6:00"),1,0)</f>
        <v>4</v>
      </c>
      <c r="N101">
        <f t="shared" ref="N101" si="35">N100+M101*(INT(A101-6/24)-INT(A100-6/24))+O101</f>
        <v>92</v>
      </c>
      <c r="O101">
        <f t="shared" ref="O101" si="36">IF(A101&gt;=DATEVALUE("2025/11/8")+TIMEVALUE("6:00"),1,0)-IF(A100&gt;=DATEVALUE("2025/11/8")+TIMEVALUE("6:00"),1,0)</f>
        <v>0</v>
      </c>
      <c r="P101" t="str">
        <f t="shared" ref="P101" si="37">IF(L101&lt;N101,"未達成（"&amp;N101-L101&amp;"）",IF(L101=N101,"達成","前倒し（"&amp;L101-N101&amp;"）"))</f>
        <v>未達成（1）</v>
      </c>
    </row>
    <row r="102" spans="1:16">
      <c r="A102" s="3">
        <v>46002.400023148148</v>
      </c>
      <c r="B102">
        <v>60</v>
      </c>
      <c r="C102">
        <v>12</v>
      </c>
      <c r="D102">
        <v>0</v>
      </c>
      <c r="E102">
        <v>0</v>
      </c>
      <c r="F102">
        <v>0</v>
      </c>
      <c r="G102" s="5">
        <v>1.2152777773735579E-2</v>
      </c>
      <c r="H102" t="s">
        <v>260</v>
      </c>
      <c r="I102" t="s">
        <v>261</v>
      </c>
      <c r="J102">
        <v>0</v>
      </c>
      <c r="K102">
        <f t="shared" ref="K102" si="38">IF(A102&lt;DATEVALUE("2025/11/20")+TIMEVALUE("6:00"),1,IF(B102-SUM(D102:F102)&lt;&gt;60,0,MAX(2-INT(G102*24*60/10),0)))</f>
        <v>1</v>
      </c>
      <c r="L102">
        <f t="shared" ref="L102" si="39">L101+K102</f>
        <v>92</v>
      </c>
      <c r="M102">
        <f t="shared" ref="M102" si="40">2+IF(A102&gt;=DATEVALUE("2025/11/30")+TIMEVALUE("6:00"),1,0)+IF(A102&gt;=DATEVALUE("2025/12/11")+TIMEVALUE("6:00"),1,0)</f>
        <v>4</v>
      </c>
      <c r="N102">
        <f t="shared" ref="N102" si="41">N101+M102*(INT(A102-6/24)-INT(A101-6/24))+O102</f>
        <v>92</v>
      </c>
      <c r="O102">
        <f t="shared" ref="O102" si="42">IF(A102&gt;=DATEVALUE("2025/11/8")+TIMEVALUE("6:00"),1,0)-IF(A101&gt;=DATEVALUE("2025/11/8")+TIMEVALUE("6:00"),1,0)</f>
        <v>0</v>
      </c>
      <c r="P102" t="str">
        <f t="shared" ref="P102" si="43">IF(L102&lt;N102,"未達成（"&amp;N102-L102&amp;"）",IF(L102=N102,"達成","前倒し（"&amp;L102-N102&amp;"）"))</f>
        <v>達成</v>
      </c>
    </row>
    <row r="103" spans="1:16">
      <c r="A103" s="3">
        <v>46003.272280092591</v>
      </c>
      <c r="B103">
        <v>60</v>
      </c>
      <c r="C103">
        <v>22</v>
      </c>
      <c r="D103">
        <v>0</v>
      </c>
      <c r="E103">
        <v>0</v>
      </c>
      <c r="F103">
        <v>0</v>
      </c>
      <c r="G103" s="5">
        <v>6.655092591245193E-3</v>
      </c>
      <c r="H103" t="s">
        <v>262</v>
      </c>
      <c r="I103" t="s">
        <v>263</v>
      </c>
      <c r="J103">
        <v>0</v>
      </c>
      <c r="K103">
        <f t="shared" ref="K103" si="44">IF(A103&lt;DATEVALUE("2025/11/20")+TIMEVALUE("6:00"),1,IF(B103-SUM(D103:F103)&lt;&gt;60,0,MAX(2-INT(G103*24*60/10),0)))</f>
        <v>2</v>
      </c>
      <c r="L103">
        <f t="shared" ref="L103" si="45">L102+K103</f>
        <v>94</v>
      </c>
      <c r="M103">
        <f t="shared" ref="M103" si="46">2+IF(A103&gt;=DATEVALUE("2025/11/30")+TIMEVALUE("6:00"),1,0)+IF(A103&gt;=DATEVALUE("2025/12/11")+TIMEVALUE("6:00"),1,0)</f>
        <v>4</v>
      </c>
      <c r="N103">
        <f t="shared" ref="N103" si="47">N102+M103*(INT(A103-6/24)-INT(A102-6/24))+O103</f>
        <v>96</v>
      </c>
      <c r="O103">
        <f t="shared" ref="O103" si="48">IF(A103&gt;=DATEVALUE("2025/11/8")+TIMEVALUE("6:00"),1,0)-IF(A102&gt;=DATEVALUE("2025/11/8")+TIMEVALUE("6:00"),1,0)</f>
        <v>0</v>
      </c>
      <c r="P103" t="str">
        <f t="shared" ref="P103" si="49">IF(L103&lt;N103,"未達成（"&amp;N103-L103&amp;"）",IF(L103=N103,"達成","前倒し（"&amp;L103-N103&amp;"）"))</f>
        <v>未達成（2）</v>
      </c>
    </row>
    <row r="104" spans="1:16">
      <c r="A104" s="3">
        <v>46003.28633101852</v>
      </c>
      <c r="B104">
        <v>60</v>
      </c>
      <c r="C104">
        <v>6</v>
      </c>
      <c r="D104">
        <v>0</v>
      </c>
      <c r="E104">
        <v>0</v>
      </c>
      <c r="F104">
        <v>0</v>
      </c>
      <c r="G104" s="5">
        <v>9.9074074096279219E-3</v>
      </c>
      <c r="H104" t="s">
        <v>264</v>
      </c>
      <c r="I104" t="s">
        <v>265</v>
      </c>
      <c r="J104">
        <v>0</v>
      </c>
      <c r="K104">
        <f t="shared" ref="K104" si="50">IF(A104&lt;DATEVALUE("2025/11/20")+TIMEVALUE("6:00"),1,IF(B104-SUM(D104:F104)&lt;&gt;60,0,MAX(2-INT(G104*24*60/10),0)))</f>
        <v>1</v>
      </c>
      <c r="L104">
        <f t="shared" ref="L104" si="51">L103+K104</f>
        <v>95</v>
      </c>
      <c r="M104">
        <f t="shared" ref="M104" si="52">2+IF(A104&gt;=DATEVALUE("2025/11/30")+TIMEVALUE("6:00"),1,0)+IF(A104&gt;=DATEVALUE("2025/12/11")+TIMEVALUE("6:00"),1,0)</f>
        <v>4</v>
      </c>
      <c r="N104">
        <f t="shared" ref="N104" si="53">N103+M104*(INT(A104-6/24)-INT(A103-6/24))+O104</f>
        <v>96</v>
      </c>
      <c r="O104">
        <f t="shared" ref="O104" si="54">IF(A104&gt;=DATEVALUE("2025/11/8")+TIMEVALUE("6:00"),1,0)-IF(A103&gt;=DATEVALUE("2025/11/8")+TIMEVALUE("6:00"),1,0)</f>
        <v>0</v>
      </c>
      <c r="P104" t="str">
        <f t="shared" ref="P104" si="55">IF(L104&lt;N104,"未達成（"&amp;N104-L104&amp;"）",IF(L104=N104,"達成","前倒し（"&amp;L104-N104&amp;"）"))</f>
        <v>未達成（1）</v>
      </c>
    </row>
    <row r="105" spans="1:16">
      <c r="A105" s="3">
        <v>46003.295949074076</v>
      </c>
      <c r="B105">
        <v>60</v>
      </c>
      <c r="C105">
        <v>27</v>
      </c>
      <c r="D105">
        <v>0</v>
      </c>
      <c r="E105">
        <v>0</v>
      </c>
      <c r="F105">
        <v>0</v>
      </c>
      <c r="G105" s="5">
        <v>6.8981481526861899E-3</v>
      </c>
      <c r="H105" t="s">
        <v>266</v>
      </c>
      <c r="I105" t="s">
        <v>267</v>
      </c>
      <c r="J105">
        <v>0</v>
      </c>
      <c r="K105">
        <f t="shared" ref="K105" si="56">IF(A105&lt;DATEVALUE("2025/11/20")+TIMEVALUE("6:00"),1,IF(B105-SUM(D105:F105)&lt;&gt;60,0,MAX(2-INT(G105*24*60/10),0)))</f>
        <v>2</v>
      </c>
      <c r="L105">
        <f t="shared" ref="L105" si="57">L104+K105</f>
        <v>97</v>
      </c>
      <c r="M105">
        <f t="shared" ref="M105" si="58">2+IF(A105&gt;=DATEVALUE("2025/11/30")+TIMEVALUE("6:00"),1,0)+IF(A105&gt;=DATEVALUE("2025/12/11")+TIMEVALUE("6:00"),1,0)</f>
        <v>4</v>
      </c>
      <c r="N105">
        <f t="shared" ref="N105" si="59">N104+M105*(INT(A105-6/24)-INT(A104-6/24))+O105</f>
        <v>96</v>
      </c>
      <c r="O105">
        <f t="shared" ref="O105" si="60">IF(A105&gt;=DATEVALUE("2025/11/8")+TIMEVALUE("6:00"),1,0)-IF(A104&gt;=DATEVALUE("2025/11/8")+TIMEVALUE("6:00"),1,0)</f>
        <v>0</v>
      </c>
      <c r="P105" t="str">
        <f t="shared" ref="P105" si="61">IF(L105&lt;N105,"未達成（"&amp;N105-L105&amp;"）",IF(L105=N105,"達成","前倒し（"&amp;L105-N105&amp;"）"))</f>
        <v>前倒し（1）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17</xdr:col>
                    <xdr:colOff>0</xdr:colOff>
                    <xdr:row>0</xdr:row>
                    <xdr:rowOff>0</xdr:rowOff>
                  </from>
                  <to>
                    <xdr:col>18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18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46003.289050925923</v>
      </c>
      <c r="D3" s="25"/>
    </row>
    <row r="4" spans="1:4">
      <c r="A4" t="s">
        <v>42</v>
      </c>
      <c r="C4" s="6">
        <v>2</v>
      </c>
    </row>
    <row r="5" spans="1:4">
      <c r="C5" s="6">
        <v>3</v>
      </c>
    </row>
    <row r="6" spans="1:4">
      <c r="C6" s="6">
        <v>7</v>
      </c>
    </row>
    <row r="7" spans="1:4">
      <c r="C7" s="6">
        <v>5</v>
      </c>
    </row>
    <row r="8" spans="1:4">
      <c r="C8" s="6">
        <v>2</v>
      </c>
    </row>
    <row r="9" spans="1:4">
      <c r="C9" s="6">
        <v>5</v>
      </c>
    </row>
    <row r="10" spans="1:4">
      <c r="C10" s="6">
        <v>3</v>
      </c>
    </row>
    <row r="11" spans="1:4">
      <c r="C11" s="6">
        <v>4</v>
      </c>
    </row>
    <row r="12" spans="1:4">
      <c r="C12" s="6">
        <v>2</v>
      </c>
    </row>
    <row r="13" spans="1:4">
      <c r="C13" s="6">
        <v>6</v>
      </c>
    </row>
    <row r="14" spans="1:4">
      <c r="C14" s="6">
        <v>2</v>
      </c>
    </row>
    <row r="15" spans="1:4">
      <c r="C15" s="6">
        <v>4</v>
      </c>
    </row>
    <row r="16" spans="1:4">
      <c r="C16" s="6">
        <v>7</v>
      </c>
    </row>
    <row r="17" spans="1:3">
      <c r="C17" s="6">
        <v>3</v>
      </c>
    </row>
    <row r="18" spans="1:3">
      <c r="C18" s="6">
        <v>5</v>
      </c>
    </row>
    <row r="19" spans="1:3">
      <c r="A19" t="s">
        <v>43</v>
      </c>
    </row>
    <row r="20" spans="1:3">
      <c r="B20">
        <v>2</v>
      </c>
      <c r="C20" s="6">
        <v>2</v>
      </c>
    </row>
    <row r="21" spans="1:3">
      <c r="B21">
        <v>3</v>
      </c>
      <c r="C21" s="6">
        <v>3</v>
      </c>
    </row>
    <row r="22" spans="1:3">
      <c r="B22">
        <v>4</v>
      </c>
      <c r="C22" s="6">
        <v>4</v>
      </c>
    </row>
    <row r="23" spans="1:3">
      <c r="B23">
        <v>5</v>
      </c>
      <c r="C23" s="6">
        <v>5</v>
      </c>
    </row>
    <row r="24" spans="1:3">
      <c r="B24">
        <v>6</v>
      </c>
      <c r="C24" s="6">
        <v>6</v>
      </c>
    </row>
    <row r="25" spans="1:3">
      <c r="B25">
        <v>7</v>
      </c>
      <c r="C25" s="6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2025-12-11T22:07:12Z</dcterms:modified>
</cp:coreProperties>
</file>
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3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HighlightMatches\"/>
    </mc:Choice>
  </mc:AlternateContent>
  <xr:revisionPtr revIDLastSave="0" documentId="13_ncr:1_{2E93A150-8CB4-4C73-8BF6-B676D9A51401}" xr6:coauthVersionLast="47" xr6:coauthVersionMax="47" xr10:uidLastSave="{00000000-0000-0000-0000-000000000000}"/>
  <bookViews>
    <workbookView xWindow="-98" yWindow="-98" windowWidth="20715" windowHeight="13155" activeTab="2" xr2:uid="{2EB94F1F-85D9-4214-98B9-F9D05AFDF3F8}"/>
  </bookViews>
  <sheets>
    <sheet name="説明" sheetId="6" r:id="rId1"/>
    <sheet name="画面" sheetId="1" r:id="rId2"/>
    <sheet name="データ" sheetId="4" r:id="rId3"/>
    <sheet name="設定" sheetId="2" r:id="rId4"/>
    <sheet name="Sheet5" sheetId="3" r:id="rId5"/>
    <sheet name="Sheet6" sheetId="5" r:id="rId6"/>
  </sheets>
  <definedNames>
    <definedName name="_xleta.AND" hidden="1" xlm="1">#NAME?</definedName>
    <definedName name="_xleta.CHAR" hidden="1" xlm="1">#NAME?</definedName>
    <definedName name="_xleta.DATEVALUE" hidden="1" xlm="1">#NAME?</definedName>
    <definedName name="_xleta.MAX" hidden="1" xlm="1">#NAME?</definedName>
    <definedName name="_xleta.N" hidden="1" xlm="1">#NAME?</definedName>
    <definedName name="_xleta.NA" hidden="1" xlm="1">#NAME?</definedName>
    <definedName name="_xleta.NOW" hidden="1" xlm="1">#NAME?</definedName>
    <definedName name="_xlpm.A" hidden="1" xlm="1">#NAME?</definedName>
    <definedName name="サーチワードの長さ">設定!$C$5:$C$19</definedName>
    <definedName name="サーチワードの長さに対する加点">設定!$C$21:$C$26</definedName>
    <definedName name="セルを黄色">設定!$C$1</definedName>
    <definedName name="開始時間">設定!$C$3</definedName>
    <definedName name="再開時間">設定!$C$4</definedName>
    <definedName name="線を引く">設定!$C$2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209" i="4" l="1"/>
  <c r="O209" i="4"/>
  <c r="M209" i="4"/>
  <c r="N209" i="4" s="1"/>
  <c r="K209" i="4"/>
  <c r="L209" i="4" s="1"/>
  <c r="P209" i="4" s="1"/>
  <c r="Q208" i="4"/>
  <c r="O208" i="4"/>
  <c r="M208" i="4"/>
  <c r="N208" i="4" s="1"/>
  <c r="K208" i="4"/>
  <c r="L208" i="4" s="1"/>
  <c r="Q207" i="4"/>
  <c r="O207" i="4"/>
  <c r="M207" i="4"/>
  <c r="N207" i="4" s="1"/>
  <c r="K207" i="4"/>
  <c r="L207" i="4" s="1"/>
  <c r="Q206" i="4"/>
  <c r="O206" i="4"/>
  <c r="M206" i="4"/>
  <c r="N206" i="4" s="1"/>
  <c r="K206" i="4"/>
  <c r="L206" i="4" s="1"/>
  <c r="P206" i="4" s="1"/>
  <c r="Q205" i="4"/>
  <c r="O205" i="4"/>
  <c r="M205" i="4"/>
  <c r="N205" i="4" s="1"/>
  <c r="K205" i="4"/>
  <c r="L205" i="4" s="1"/>
  <c r="P205" i="4" s="1"/>
  <c r="Q204" i="4"/>
  <c r="O204" i="4"/>
  <c r="M204" i="4"/>
  <c r="N204" i="4" s="1"/>
  <c r="K204" i="4"/>
  <c r="L204" i="4" s="1"/>
  <c r="P204" i="4" s="1"/>
  <c r="Q203" i="4"/>
  <c r="O203" i="4"/>
  <c r="M203" i="4"/>
  <c r="N203" i="4" s="1"/>
  <c r="K203" i="4"/>
  <c r="L203" i="4" s="1"/>
  <c r="P203" i="4" s="1"/>
  <c r="Q202" i="4"/>
  <c r="O202" i="4"/>
  <c r="M202" i="4"/>
  <c r="N202" i="4" s="1"/>
  <c r="K202" i="4"/>
  <c r="L202" i="4" s="1"/>
  <c r="P202" i="4" s="1"/>
  <c r="Q201" i="4"/>
  <c r="O201" i="4"/>
  <c r="M201" i="4"/>
  <c r="N201" i="4" s="1"/>
  <c r="K201" i="4"/>
  <c r="L201" i="4" s="1"/>
  <c r="Q200" i="4"/>
  <c r="O200" i="4"/>
  <c r="M200" i="4"/>
  <c r="N200" i="4" s="1"/>
  <c r="K200" i="4"/>
  <c r="L200" i="4" s="1"/>
  <c r="Q199" i="4"/>
  <c r="O199" i="4"/>
  <c r="M199" i="4"/>
  <c r="N199" i="4" s="1"/>
  <c r="K199" i="4"/>
  <c r="L199" i="4" s="1"/>
  <c r="P199" i="4" s="1"/>
  <c r="Q198" i="4"/>
  <c r="O198" i="4"/>
  <c r="M198" i="4"/>
  <c r="N198" i="4" s="1"/>
  <c r="K198" i="4"/>
  <c r="L198" i="4" s="1"/>
  <c r="Q197" i="4"/>
  <c r="O197" i="4"/>
  <c r="M197" i="4"/>
  <c r="N197" i="4" s="1"/>
  <c r="K197" i="4"/>
  <c r="L197" i="4" s="1"/>
  <c r="P197" i="4" s="1"/>
  <c r="Q196" i="4"/>
  <c r="O196" i="4"/>
  <c r="M196" i="4"/>
  <c r="N196" i="4" s="1"/>
  <c r="K196" i="4"/>
  <c r="L196" i="4" s="1"/>
  <c r="P196" i="4" s="1"/>
  <c r="Q195" i="4"/>
  <c r="O195" i="4"/>
  <c r="M195" i="4"/>
  <c r="N195" i="4" s="1"/>
  <c r="K195" i="4"/>
  <c r="L195" i="4" s="1"/>
  <c r="P195" i="4" s="1"/>
  <c r="Q194" i="4"/>
  <c r="O194" i="4"/>
  <c r="M194" i="4"/>
  <c r="N194" i="4" s="1"/>
  <c r="K194" i="4"/>
  <c r="L194" i="4" s="1"/>
  <c r="P194" i="4" s="1"/>
  <c r="Q193" i="4"/>
  <c r="O193" i="4"/>
  <c r="M193" i="4"/>
  <c r="N193" i="4" s="1"/>
  <c r="K193" i="4"/>
  <c r="L193" i="4" s="1"/>
  <c r="P193" i="4" s="1"/>
  <c r="Q192" i="4"/>
  <c r="O192" i="4"/>
  <c r="M192" i="4"/>
  <c r="N192" i="4" s="1"/>
  <c r="K192" i="4"/>
  <c r="L192" i="4" s="1"/>
  <c r="Q191" i="4"/>
  <c r="O191" i="4"/>
  <c r="M191" i="4"/>
  <c r="N191" i="4" s="1"/>
  <c r="K191" i="4"/>
  <c r="L191" i="4" s="1"/>
  <c r="P191" i="4" s="1"/>
  <c r="Q190" i="4"/>
  <c r="O190" i="4"/>
  <c r="M190" i="4"/>
  <c r="N190" i="4" s="1"/>
  <c r="K190" i="4"/>
  <c r="L190" i="4" s="1"/>
  <c r="P190" i="4" s="1"/>
  <c r="Q189" i="4"/>
  <c r="O189" i="4"/>
  <c r="M189" i="4"/>
  <c r="N189" i="4" s="1"/>
  <c r="K189" i="4"/>
  <c r="L189" i="4" s="1"/>
  <c r="Q188" i="4"/>
  <c r="O188" i="4"/>
  <c r="M188" i="4"/>
  <c r="N188" i="4" s="1"/>
  <c r="K188" i="4"/>
  <c r="L188" i="4" s="1"/>
  <c r="P188" i="4" s="1"/>
  <c r="Q187" i="4"/>
  <c r="O187" i="4"/>
  <c r="M187" i="4"/>
  <c r="N187" i="4" s="1"/>
  <c r="K187" i="4"/>
  <c r="L187" i="4" s="1"/>
  <c r="Q186" i="4"/>
  <c r="O186" i="4"/>
  <c r="M186" i="4"/>
  <c r="N186" i="4" s="1"/>
  <c r="K186" i="4"/>
  <c r="L186" i="4" s="1"/>
  <c r="P186" i="4" s="1"/>
  <c r="Q185" i="4"/>
  <c r="Q184" i="4"/>
  <c r="Q183" i="4"/>
  <c r="Q182" i="4"/>
  <c r="Q181" i="4"/>
  <c r="Q180" i="4"/>
  <c r="Q179" i="4"/>
  <c r="Q178" i="4"/>
  <c r="Q177" i="4"/>
  <c r="Q176" i="4"/>
  <c r="Q175" i="4"/>
  <c r="Q174" i="4"/>
  <c r="Q173" i="4"/>
  <c r="Q172" i="4"/>
  <c r="Q171" i="4"/>
  <c r="Q170" i="4"/>
  <c r="Q169" i="4"/>
  <c r="Q168" i="4"/>
  <c r="Q167" i="4"/>
  <c r="Q166" i="4"/>
  <c r="Q165" i="4"/>
  <c r="Q164" i="4"/>
  <c r="Q163" i="4"/>
  <c r="Q162" i="4"/>
  <c r="Q161" i="4"/>
  <c r="Q160" i="4"/>
  <c r="Q159" i="4"/>
  <c r="Q158" i="4"/>
  <c r="Q157" i="4"/>
  <c r="Q156" i="4"/>
  <c r="Q155" i="4"/>
  <c r="Q154" i="4"/>
  <c r="Q153" i="4"/>
  <c r="Q152" i="4"/>
  <c r="Q151" i="4"/>
  <c r="Q150" i="4"/>
  <c r="Q149" i="4"/>
  <c r="Q148" i="4"/>
  <c r="Q147" i="4"/>
  <c r="Q146" i="4"/>
  <c r="Q145" i="4"/>
  <c r="Q144" i="4"/>
  <c r="Q143" i="4"/>
  <c r="Q142" i="4"/>
  <c r="Q141" i="4"/>
  <c r="Q140" i="4"/>
  <c r="Q139" i="4"/>
  <c r="Q138" i="4"/>
  <c r="Q137" i="4"/>
  <c r="Q136" i="4"/>
  <c r="Q135" i="4"/>
  <c r="Q134" i="4"/>
  <c r="Q133" i="4"/>
  <c r="Q132" i="4"/>
  <c r="Q131" i="4"/>
  <c r="Q130" i="4"/>
  <c r="Q129" i="4"/>
  <c r="Q128" i="4"/>
  <c r="Q127" i="4"/>
  <c r="Q126" i="4"/>
  <c r="Q125" i="4"/>
  <c r="Q124" i="4"/>
  <c r="Q123" i="4"/>
  <c r="Q122" i="4"/>
  <c r="Q121" i="4"/>
  <c r="Q120" i="4"/>
  <c r="Q119" i="4"/>
  <c r="Q118" i="4"/>
  <c r="Q117" i="4"/>
  <c r="Q116" i="4"/>
  <c r="Q115" i="4"/>
  <c r="Q114" i="4"/>
  <c r="Q113" i="4"/>
  <c r="Q112" i="4"/>
  <c r="Q111" i="4"/>
  <c r="Q110" i="4"/>
  <c r="Q109" i="4"/>
  <c r="Q108" i="4"/>
  <c r="Q107" i="4"/>
  <c r="Q106" i="4"/>
  <c r="Q105" i="4"/>
  <c r="Q104" i="4"/>
  <c r="Q103" i="4"/>
  <c r="Q102" i="4"/>
  <c r="Q101" i="4"/>
  <c r="Q100" i="4"/>
  <c r="Q99" i="4"/>
  <c r="Q98" i="4"/>
  <c r="Q97" i="4"/>
  <c r="Q96" i="4"/>
  <c r="Q95" i="4"/>
  <c r="Q94" i="4"/>
  <c r="Q93" i="4"/>
  <c r="Q92" i="4"/>
  <c r="Q91" i="4"/>
  <c r="Q90" i="4"/>
  <c r="Q89" i="4"/>
  <c r="Q88" i="4"/>
  <c r="Q87" i="4"/>
  <c r="Q86" i="4"/>
  <c r="Q85" i="4"/>
  <c r="Q84" i="4"/>
  <c r="Q83" i="4"/>
  <c r="Q82" i="4"/>
  <c r="Q81" i="4"/>
  <c r="Q80" i="4"/>
  <c r="Q79" i="4"/>
  <c r="Q78" i="4"/>
  <c r="Q77" i="4"/>
  <c r="Q76" i="4"/>
  <c r="Q75" i="4"/>
  <c r="Q74" i="4"/>
  <c r="Q73" i="4"/>
  <c r="Q72" i="4"/>
  <c r="Q71" i="4"/>
  <c r="Q70" i="4"/>
  <c r="Q69" i="4"/>
  <c r="Q68" i="4"/>
  <c r="Q67" i="4"/>
  <c r="Q66" i="4"/>
  <c r="Q65" i="4"/>
  <c r="Q64" i="4"/>
  <c r="Q63" i="4"/>
  <c r="Q62" i="4"/>
  <c r="Q61" i="4"/>
  <c r="Q60" i="4"/>
  <c r="Q59" i="4"/>
  <c r="Q58" i="4"/>
  <c r="Q57" i="4"/>
  <c r="Q56" i="4"/>
  <c r="Q55" i="4"/>
  <c r="Q54" i="4"/>
  <c r="Q53" i="4"/>
  <c r="Q52" i="4"/>
  <c r="Q51" i="4"/>
  <c r="Q50" i="4"/>
  <c r="Q49" i="4"/>
  <c r="Q48" i="4"/>
  <c r="Q47" i="4"/>
  <c r="Q46" i="4"/>
  <c r="Q45" i="4"/>
  <c r="Q44" i="4"/>
  <c r="Q43" i="4"/>
  <c r="Q42" i="4"/>
  <c r="Q41" i="4"/>
  <c r="Q40" i="4"/>
  <c r="Q39" i="4"/>
  <c r="Q38" i="4"/>
  <c r="Q37" i="4"/>
  <c r="Q36" i="4"/>
  <c r="Q35" i="4"/>
  <c r="Q34" i="4"/>
  <c r="Q33" i="4"/>
  <c r="Q32" i="4"/>
  <c r="Q31" i="4"/>
  <c r="Q30" i="4"/>
  <c r="Q29" i="4"/>
  <c r="Q28" i="4"/>
  <c r="Q27" i="4"/>
  <c r="Q26" i="4"/>
  <c r="Q25" i="4"/>
  <c r="Q24" i="4"/>
  <c r="Q23" i="4"/>
  <c r="Q22" i="4"/>
  <c r="Q21" i="4"/>
  <c r="Q20" i="4"/>
  <c r="Q19" i="4"/>
  <c r="Q18" i="4"/>
  <c r="Q17" i="4"/>
  <c r="Q16" i="4"/>
  <c r="Q15" i="4"/>
  <c r="Q14" i="4"/>
  <c r="Q13" i="4"/>
  <c r="Q12" i="4"/>
  <c r="Q11" i="4"/>
  <c r="Q10" i="4"/>
  <c r="Q9" i="4"/>
  <c r="Q8" i="4"/>
  <c r="Q7" i="4"/>
  <c r="Q6" i="4"/>
  <c r="Q5" i="4"/>
  <c r="Q4" i="4"/>
  <c r="Q3" i="4"/>
  <c r="O185" i="4"/>
  <c r="M185" i="4"/>
  <c r="N185" i="4" s="1"/>
  <c r="K185" i="4"/>
  <c r="L185" i="4" s="1"/>
  <c r="O184" i="4"/>
  <c r="M184" i="4"/>
  <c r="N184" i="4" s="1"/>
  <c r="K184" i="4"/>
  <c r="L184" i="4" s="1"/>
  <c r="P184" i="4" s="1"/>
  <c r="O183" i="4"/>
  <c r="M183" i="4"/>
  <c r="N183" i="4" s="1"/>
  <c r="K183" i="4"/>
  <c r="L183" i="4" s="1"/>
  <c r="O182" i="4"/>
  <c r="M182" i="4"/>
  <c r="K182" i="4"/>
  <c r="O181" i="4"/>
  <c r="M181" i="4"/>
  <c r="K181" i="4"/>
  <c r="O180" i="4"/>
  <c r="M180" i="4"/>
  <c r="K180" i="4"/>
  <c r="O179" i="4"/>
  <c r="M179" i="4"/>
  <c r="K179" i="4"/>
  <c r="O178" i="4"/>
  <c r="M178" i="4"/>
  <c r="K178" i="4"/>
  <c r="O177" i="4"/>
  <c r="M177" i="4"/>
  <c r="K177" i="4"/>
  <c r="O176" i="4"/>
  <c r="M176" i="4"/>
  <c r="K176" i="4"/>
  <c r="O175" i="4"/>
  <c r="M175" i="4"/>
  <c r="K175" i="4"/>
  <c r="O174" i="4"/>
  <c r="M174" i="4"/>
  <c r="K174" i="4"/>
  <c r="O173" i="4"/>
  <c r="M173" i="4"/>
  <c r="K173" i="4"/>
  <c r="O172" i="4"/>
  <c r="M172" i="4"/>
  <c r="K172" i="4"/>
  <c r="O171" i="4"/>
  <c r="M171" i="4"/>
  <c r="K171" i="4"/>
  <c r="O170" i="4"/>
  <c r="M170" i="4"/>
  <c r="K170" i="4"/>
  <c r="O169" i="4"/>
  <c r="M169" i="4"/>
  <c r="K169" i="4"/>
  <c r="O168" i="4"/>
  <c r="M168" i="4"/>
  <c r="K168" i="4"/>
  <c r="O167" i="4"/>
  <c r="M167" i="4"/>
  <c r="K167" i="4"/>
  <c r="O166" i="4"/>
  <c r="M166" i="4"/>
  <c r="K166" i="4"/>
  <c r="O165" i="4"/>
  <c r="M165" i="4"/>
  <c r="K165" i="4"/>
  <c r="O164" i="4"/>
  <c r="M164" i="4"/>
  <c r="K164" i="4"/>
  <c r="O163" i="4"/>
  <c r="M163" i="4"/>
  <c r="K163" i="4"/>
  <c r="O162" i="4"/>
  <c r="M162" i="4"/>
  <c r="K162" i="4"/>
  <c r="O161" i="4"/>
  <c r="M161" i="4"/>
  <c r="K161" i="4"/>
  <c r="O160" i="4"/>
  <c r="M160" i="4"/>
  <c r="K160" i="4"/>
  <c r="O159" i="4"/>
  <c r="M159" i="4"/>
  <c r="K159" i="4"/>
  <c r="O158" i="4"/>
  <c r="M158" i="4"/>
  <c r="K158" i="4"/>
  <c r="O157" i="4"/>
  <c r="M157" i="4"/>
  <c r="K157" i="4"/>
  <c r="O156" i="4"/>
  <c r="M156" i="4"/>
  <c r="K156" i="4"/>
  <c r="O155" i="4"/>
  <c r="M155" i="4"/>
  <c r="K155" i="4"/>
  <c r="O154" i="4"/>
  <c r="M154" i="4"/>
  <c r="K154" i="4"/>
  <c r="O153" i="4"/>
  <c r="M153" i="4"/>
  <c r="K153" i="4"/>
  <c r="O152" i="4"/>
  <c r="M152" i="4"/>
  <c r="K152" i="4"/>
  <c r="O151" i="4"/>
  <c r="M151" i="4"/>
  <c r="K151" i="4"/>
  <c r="O150" i="4"/>
  <c r="M150" i="4"/>
  <c r="K150" i="4"/>
  <c r="O149" i="4"/>
  <c r="M149" i="4"/>
  <c r="K149" i="4"/>
  <c r="O148" i="4"/>
  <c r="M148" i="4"/>
  <c r="K148" i="4"/>
  <c r="O147" i="4"/>
  <c r="M147" i="4"/>
  <c r="K147" i="4"/>
  <c r="O146" i="4"/>
  <c r="M146" i="4"/>
  <c r="K146" i="4"/>
  <c r="O145" i="4"/>
  <c r="M145" i="4"/>
  <c r="K145" i="4"/>
  <c r="O144" i="4"/>
  <c r="M144" i="4"/>
  <c r="K144" i="4"/>
  <c r="O143" i="4"/>
  <c r="M143" i="4"/>
  <c r="K143" i="4"/>
  <c r="O142" i="4"/>
  <c r="M142" i="4"/>
  <c r="K142" i="4"/>
  <c r="O141" i="4"/>
  <c r="M141" i="4"/>
  <c r="K141" i="4"/>
  <c r="O140" i="4"/>
  <c r="M140" i="4"/>
  <c r="K140" i="4"/>
  <c r="O139" i="4"/>
  <c r="M139" i="4"/>
  <c r="K139" i="4"/>
  <c r="O138" i="4"/>
  <c r="M138" i="4"/>
  <c r="K138" i="4"/>
  <c r="O137" i="4"/>
  <c r="M137" i="4"/>
  <c r="K137" i="4"/>
  <c r="O136" i="4"/>
  <c r="M136" i="4"/>
  <c r="K136" i="4"/>
  <c r="O135" i="4"/>
  <c r="M135" i="4"/>
  <c r="K135" i="4"/>
  <c r="O134" i="4"/>
  <c r="M134" i="4"/>
  <c r="K134" i="4"/>
  <c r="O133" i="4"/>
  <c r="M133" i="4"/>
  <c r="K133" i="4"/>
  <c r="O132" i="4"/>
  <c r="M132" i="4"/>
  <c r="K132" i="4"/>
  <c r="O131" i="4"/>
  <c r="M131" i="4"/>
  <c r="K131" i="4"/>
  <c r="O130" i="4"/>
  <c r="M130" i="4"/>
  <c r="K130" i="4"/>
  <c r="O129" i="4"/>
  <c r="M129" i="4"/>
  <c r="K129" i="4"/>
  <c r="O128" i="4"/>
  <c r="M128" i="4"/>
  <c r="K128" i="4"/>
  <c r="O127" i="4"/>
  <c r="M127" i="4"/>
  <c r="K127" i="4"/>
  <c r="O126" i="4"/>
  <c r="M126" i="4"/>
  <c r="K126" i="4"/>
  <c r="O125" i="4"/>
  <c r="M125" i="4"/>
  <c r="K125" i="4"/>
  <c r="O124" i="4"/>
  <c r="M124" i="4"/>
  <c r="K124" i="4"/>
  <c r="O123" i="4"/>
  <c r="M123" i="4"/>
  <c r="K123" i="4"/>
  <c r="O122" i="4"/>
  <c r="M122" i="4"/>
  <c r="K122" i="4"/>
  <c r="O121" i="4"/>
  <c r="M121" i="4"/>
  <c r="K121" i="4"/>
  <c r="O120" i="4"/>
  <c r="M120" i="4"/>
  <c r="K120" i="4"/>
  <c r="O119" i="4"/>
  <c r="M119" i="4"/>
  <c r="K119" i="4"/>
  <c r="O118" i="4"/>
  <c r="M118" i="4"/>
  <c r="K118" i="4"/>
  <c r="O117" i="4"/>
  <c r="M117" i="4"/>
  <c r="K117" i="4"/>
  <c r="O116" i="4"/>
  <c r="M116" i="4"/>
  <c r="K116" i="4"/>
  <c r="O115" i="4"/>
  <c r="M115" i="4"/>
  <c r="K115" i="4"/>
  <c r="O114" i="4"/>
  <c r="M114" i="4"/>
  <c r="K114" i="4"/>
  <c r="O113" i="4"/>
  <c r="M113" i="4"/>
  <c r="K113" i="4"/>
  <c r="O112" i="4"/>
  <c r="M112" i="4"/>
  <c r="K112" i="4"/>
  <c r="O111" i="4"/>
  <c r="M111" i="4"/>
  <c r="K111" i="4"/>
  <c r="O110" i="4"/>
  <c r="M110" i="4"/>
  <c r="K110" i="4"/>
  <c r="O109" i="4"/>
  <c r="M109" i="4"/>
  <c r="K109" i="4"/>
  <c r="O108" i="4"/>
  <c r="M108" i="4"/>
  <c r="K108" i="4"/>
  <c r="O107" i="4"/>
  <c r="M107" i="4"/>
  <c r="K107" i="4"/>
  <c r="O106" i="4"/>
  <c r="M106" i="4"/>
  <c r="K106" i="4"/>
  <c r="O105" i="4"/>
  <c r="M105" i="4"/>
  <c r="K105" i="4"/>
  <c r="O104" i="4"/>
  <c r="M104" i="4"/>
  <c r="K104" i="4"/>
  <c r="O103" i="4"/>
  <c r="M103" i="4"/>
  <c r="K103" i="4"/>
  <c r="O102" i="4"/>
  <c r="M102" i="4"/>
  <c r="K102" i="4"/>
  <c r="O101" i="4"/>
  <c r="M101" i="4"/>
  <c r="K101" i="4"/>
  <c r="O100" i="4"/>
  <c r="M100" i="4"/>
  <c r="K100" i="4"/>
  <c r="O99" i="4"/>
  <c r="M99" i="4"/>
  <c r="K99" i="4"/>
  <c r="O98" i="4"/>
  <c r="M98" i="4"/>
  <c r="K98" i="4"/>
  <c r="O97" i="4"/>
  <c r="M97" i="4"/>
  <c r="K97" i="4"/>
  <c r="O96" i="4"/>
  <c r="M96" i="4"/>
  <c r="K96" i="4"/>
  <c r="O95" i="4"/>
  <c r="M95" i="4"/>
  <c r="K95" i="4"/>
  <c r="O94" i="4"/>
  <c r="M94" i="4"/>
  <c r="K94" i="4"/>
  <c r="O93" i="4"/>
  <c r="M93" i="4"/>
  <c r="K93" i="4"/>
  <c r="O92" i="4"/>
  <c r="M92" i="4"/>
  <c r="K92" i="4"/>
  <c r="O91" i="4"/>
  <c r="M91" i="4"/>
  <c r="K91" i="4"/>
  <c r="O90" i="4"/>
  <c r="M90" i="4"/>
  <c r="K90" i="4"/>
  <c r="O89" i="4"/>
  <c r="M89" i="4"/>
  <c r="K89" i="4"/>
  <c r="O88" i="4"/>
  <c r="M88" i="4"/>
  <c r="K88" i="4"/>
  <c r="O87" i="4"/>
  <c r="M87" i="4"/>
  <c r="K87" i="4"/>
  <c r="O86" i="4"/>
  <c r="M86" i="4"/>
  <c r="K86" i="4"/>
  <c r="O85" i="4"/>
  <c r="M85" i="4"/>
  <c r="K85" i="4"/>
  <c r="O84" i="4"/>
  <c r="M84" i="4"/>
  <c r="K84" i="4"/>
  <c r="O83" i="4"/>
  <c r="M83" i="4"/>
  <c r="K83" i="4"/>
  <c r="O82" i="4"/>
  <c r="M82" i="4"/>
  <c r="K82" i="4"/>
  <c r="O81" i="4"/>
  <c r="M81" i="4"/>
  <c r="K81" i="4"/>
  <c r="O80" i="4"/>
  <c r="M80" i="4"/>
  <c r="K80" i="4"/>
  <c r="O79" i="4"/>
  <c r="M79" i="4"/>
  <c r="K79" i="4"/>
  <c r="O78" i="4"/>
  <c r="M78" i="4"/>
  <c r="K78" i="4"/>
  <c r="O77" i="4"/>
  <c r="M77" i="4"/>
  <c r="K77" i="4"/>
  <c r="O76" i="4"/>
  <c r="M76" i="4"/>
  <c r="K76" i="4"/>
  <c r="O75" i="4"/>
  <c r="M75" i="4"/>
  <c r="K75" i="4"/>
  <c r="O74" i="4"/>
  <c r="M74" i="4"/>
  <c r="K74" i="4"/>
  <c r="O73" i="4"/>
  <c r="M73" i="4"/>
  <c r="K73" i="4"/>
  <c r="O72" i="4"/>
  <c r="M72" i="4"/>
  <c r="K72" i="4"/>
  <c r="O71" i="4"/>
  <c r="M71" i="4"/>
  <c r="K71" i="4"/>
  <c r="O70" i="4"/>
  <c r="M70" i="4"/>
  <c r="K70" i="4"/>
  <c r="O69" i="4"/>
  <c r="M69" i="4"/>
  <c r="K69" i="4"/>
  <c r="O68" i="4"/>
  <c r="M68" i="4"/>
  <c r="K68" i="4"/>
  <c r="O67" i="4"/>
  <c r="M67" i="4"/>
  <c r="K67" i="4"/>
  <c r="O66" i="4"/>
  <c r="M66" i="4"/>
  <c r="K66" i="4"/>
  <c r="O65" i="4"/>
  <c r="M65" i="4"/>
  <c r="K65" i="4"/>
  <c r="O64" i="4"/>
  <c r="M64" i="4"/>
  <c r="K64" i="4"/>
  <c r="O63" i="4"/>
  <c r="M63" i="4"/>
  <c r="K63" i="4"/>
  <c r="O62" i="4"/>
  <c r="M62" i="4"/>
  <c r="K62" i="4"/>
  <c r="O61" i="4"/>
  <c r="M61" i="4"/>
  <c r="K61" i="4"/>
  <c r="O60" i="4"/>
  <c r="M60" i="4"/>
  <c r="K60" i="4"/>
  <c r="O59" i="4"/>
  <c r="M59" i="4"/>
  <c r="K59" i="4"/>
  <c r="O58" i="4"/>
  <c r="M58" i="4"/>
  <c r="K58" i="4"/>
  <c r="O57" i="4"/>
  <c r="M57" i="4"/>
  <c r="K57" i="4"/>
  <c r="O56" i="4"/>
  <c r="M56" i="4"/>
  <c r="K56" i="4"/>
  <c r="O55" i="4"/>
  <c r="M55" i="4"/>
  <c r="K55" i="4"/>
  <c r="O54" i="4"/>
  <c r="M54" i="4"/>
  <c r="K54" i="4"/>
  <c r="O53" i="4"/>
  <c r="M53" i="4"/>
  <c r="K53" i="4"/>
  <c r="O52" i="4"/>
  <c r="M52" i="4"/>
  <c r="K52" i="4"/>
  <c r="O51" i="4"/>
  <c r="M51" i="4"/>
  <c r="K51" i="4"/>
  <c r="O50" i="4"/>
  <c r="M50" i="4"/>
  <c r="K50" i="4"/>
  <c r="O49" i="4"/>
  <c r="M49" i="4"/>
  <c r="K49" i="4"/>
  <c r="O48" i="4"/>
  <c r="M48" i="4"/>
  <c r="K48" i="4"/>
  <c r="O47" i="4"/>
  <c r="M47" i="4"/>
  <c r="K47" i="4"/>
  <c r="O46" i="4"/>
  <c r="M46" i="4"/>
  <c r="K46" i="4"/>
  <c r="O45" i="4"/>
  <c r="M45" i="4"/>
  <c r="K45" i="4"/>
  <c r="O44" i="4"/>
  <c r="M44" i="4"/>
  <c r="K44" i="4"/>
  <c r="O43" i="4"/>
  <c r="M43" i="4"/>
  <c r="K43" i="4"/>
  <c r="O42" i="4"/>
  <c r="M42" i="4"/>
  <c r="K42" i="4"/>
  <c r="O41" i="4"/>
  <c r="M41" i="4"/>
  <c r="K41" i="4"/>
  <c r="O40" i="4"/>
  <c r="M40" i="4"/>
  <c r="K40" i="4"/>
  <c r="O39" i="4"/>
  <c r="M39" i="4"/>
  <c r="K39" i="4"/>
  <c r="O38" i="4"/>
  <c r="M38" i="4"/>
  <c r="K38" i="4"/>
  <c r="O37" i="4"/>
  <c r="M37" i="4"/>
  <c r="K37" i="4"/>
  <c r="O36" i="4"/>
  <c r="M36" i="4"/>
  <c r="K36" i="4"/>
  <c r="O35" i="4"/>
  <c r="M35" i="4"/>
  <c r="K35" i="4"/>
  <c r="O34" i="4"/>
  <c r="M34" i="4"/>
  <c r="K34" i="4"/>
  <c r="O33" i="4"/>
  <c r="M33" i="4"/>
  <c r="K33" i="4"/>
  <c r="O32" i="4"/>
  <c r="M32" i="4"/>
  <c r="K32" i="4"/>
  <c r="O31" i="4"/>
  <c r="M31" i="4"/>
  <c r="K31" i="4"/>
  <c r="O30" i="4"/>
  <c r="M30" i="4"/>
  <c r="K30" i="4"/>
  <c r="O29" i="4"/>
  <c r="M29" i="4"/>
  <c r="K29" i="4"/>
  <c r="O28" i="4"/>
  <c r="M28" i="4"/>
  <c r="K28" i="4"/>
  <c r="O27" i="4"/>
  <c r="M27" i="4"/>
  <c r="K27" i="4"/>
  <c r="O26" i="4"/>
  <c r="M26" i="4"/>
  <c r="K26" i="4"/>
  <c r="O25" i="4"/>
  <c r="M25" i="4"/>
  <c r="K25" i="4"/>
  <c r="O24" i="4"/>
  <c r="M24" i="4"/>
  <c r="K24" i="4"/>
  <c r="O23" i="4"/>
  <c r="M23" i="4"/>
  <c r="K23" i="4"/>
  <c r="O22" i="4"/>
  <c r="M22" i="4"/>
  <c r="K22" i="4"/>
  <c r="O21" i="4"/>
  <c r="M21" i="4"/>
  <c r="K21" i="4"/>
  <c r="O20" i="4"/>
  <c r="M20" i="4"/>
  <c r="K20" i="4"/>
  <c r="O19" i="4"/>
  <c r="M19" i="4"/>
  <c r="K19" i="4"/>
  <c r="K18" i="4"/>
  <c r="O18" i="4"/>
  <c r="M18" i="4"/>
  <c r="P208" i="4" l="1"/>
  <c r="P207" i="4"/>
  <c r="P201" i="4"/>
  <c r="P200" i="4"/>
  <c r="P198" i="4"/>
  <c r="P192" i="4"/>
  <c r="P189" i="4"/>
  <c r="P187" i="4"/>
  <c r="P185" i="4"/>
  <c r="P183" i="4"/>
  <c r="L18" i="4"/>
  <c r="L19" i="4" s="1"/>
  <c r="N18" i="4"/>
  <c r="N19" i="4" s="1"/>
  <c r="N20" i="4" s="1"/>
  <c r="N21" i="4" s="1"/>
  <c r="N22" i="4" s="1"/>
  <c r="N23" i="4" s="1"/>
  <c r="N24" i="4" s="1"/>
  <c r="N25" i="4" s="1"/>
  <c r="N26" i="4" s="1"/>
  <c r="N27" i="4" s="1"/>
  <c r="N28" i="4" s="1"/>
  <c r="N29" i="4" s="1"/>
  <c r="N30" i="4" s="1"/>
  <c r="N31" i="4" s="1"/>
  <c r="N32" i="4" s="1"/>
  <c r="N33" i="4" s="1"/>
  <c r="N34" i="4" s="1"/>
  <c r="N35" i="4" s="1"/>
  <c r="N36" i="4" s="1"/>
  <c r="N37" i="4" s="1"/>
  <c r="N38" i="4" s="1"/>
  <c r="N39" i="4" s="1"/>
  <c r="N40" i="4" s="1"/>
  <c r="N41" i="4" s="1"/>
  <c r="N42" i="4" s="1"/>
  <c r="N43" i="4" s="1"/>
  <c r="N44" i="4" s="1"/>
  <c r="N45" i="4" s="1"/>
  <c r="N46" i="4" s="1"/>
  <c r="N47" i="4" s="1"/>
  <c r="N48" i="4" s="1"/>
  <c r="N49" i="4" s="1"/>
  <c r="N50" i="4" s="1"/>
  <c r="N51" i="4" s="1"/>
  <c r="N52" i="4" s="1"/>
  <c r="N53" i="4" s="1"/>
  <c r="N54" i="4" s="1"/>
  <c r="N55" i="4" s="1"/>
  <c r="N56" i="4" s="1"/>
  <c r="N57" i="4" s="1"/>
  <c r="N58" i="4" s="1"/>
  <c r="N59" i="4" s="1"/>
  <c r="N60" i="4" s="1"/>
  <c r="N61" i="4" s="1"/>
  <c r="N62" i="4" s="1"/>
  <c r="N63" i="4" s="1"/>
  <c r="N64" i="4" s="1"/>
  <c r="N65" i="4" s="1"/>
  <c r="N66" i="4" s="1"/>
  <c r="N67" i="4" s="1"/>
  <c r="N68" i="4" s="1"/>
  <c r="N69" i="4" s="1"/>
  <c r="N70" i="4" s="1"/>
  <c r="N71" i="4" s="1"/>
  <c r="N72" i="4" s="1"/>
  <c r="N73" i="4" s="1"/>
  <c r="N74" i="4" s="1"/>
  <c r="N75" i="4" s="1"/>
  <c r="N76" i="4" s="1"/>
  <c r="N77" i="4" s="1"/>
  <c r="N78" i="4" s="1"/>
  <c r="N79" i="4" s="1"/>
  <c r="N80" i="4" s="1"/>
  <c r="N81" i="4" s="1"/>
  <c r="N82" i="4" s="1"/>
  <c r="N83" i="4" s="1"/>
  <c r="N84" i="4" s="1"/>
  <c r="N85" i="4" s="1"/>
  <c r="N86" i="4" s="1"/>
  <c r="N87" i="4" s="1"/>
  <c r="N88" i="4" s="1"/>
  <c r="N89" i="4" s="1"/>
  <c r="N90" i="4" s="1"/>
  <c r="N91" i="4" s="1"/>
  <c r="N92" i="4" s="1"/>
  <c r="N93" i="4" s="1"/>
  <c r="N94" i="4" s="1"/>
  <c r="N95" i="4" s="1"/>
  <c r="N96" i="4" s="1"/>
  <c r="N97" i="4" s="1"/>
  <c r="N98" i="4" s="1"/>
  <c r="N99" i="4" s="1"/>
  <c r="N100" i="4" s="1"/>
  <c r="N101" i="4" s="1"/>
  <c r="N102" i="4" s="1"/>
  <c r="N103" i="4" s="1"/>
  <c r="N104" i="4" s="1"/>
  <c r="N105" i="4" s="1"/>
  <c r="N106" i="4" s="1"/>
  <c r="N107" i="4" s="1"/>
  <c r="N108" i="4" s="1"/>
  <c r="N109" i="4" s="1"/>
  <c r="N110" i="4" s="1"/>
  <c r="N111" i="4" s="1"/>
  <c r="N112" i="4" s="1"/>
  <c r="N113" i="4" s="1"/>
  <c r="N114" i="4" s="1"/>
  <c r="N115" i="4" s="1"/>
  <c r="N116" i="4" s="1"/>
  <c r="N117" i="4" s="1"/>
  <c r="N118" i="4" s="1"/>
  <c r="N119" i="4" s="1"/>
  <c r="N120" i="4" s="1"/>
  <c r="N121" i="4" s="1"/>
  <c r="N122" i="4" s="1"/>
  <c r="N123" i="4" s="1"/>
  <c r="N124" i="4" s="1"/>
  <c r="N125" i="4" s="1"/>
  <c r="N126" i="4" s="1"/>
  <c r="N127" i="4" s="1"/>
  <c r="N128" i="4" s="1"/>
  <c r="N129" i="4" s="1"/>
  <c r="N130" i="4" s="1"/>
  <c r="N131" i="4" s="1"/>
  <c r="N132" i="4" s="1"/>
  <c r="N133" i="4" s="1"/>
  <c r="N134" i="4" s="1"/>
  <c r="N135" i="4" s="1"/>
  <c r="N136" i="4" s="1"/>
  <c r="N137" i="4" s="1"/>
  <c r="N138" i="4" s="1"/>
  <c r="N139" i="4" s="1"/>
  <c r="N140" i="4" s="1"/>
  <c r="N141" i="4" s="1"/>
  <c r="N142" i="4" s="1"/>
  <c r="N143" i="4" s="1"/>
  <c r="N144" i="4" s="1"/>
  <c r="N145" i="4" s="1"/>
  <c r="N146" i="4" s="1"/>
  <c r="N147" i="4" s="1"/>
  <c r="N148" i="4" s="1"/>
  <c r="N149" i="4" s="1"/>
  <c r="N150" i="4" s="1"/>
  <c r="N151" i="4" s="1"/>
  <c r="N152" i="4" s="1"/>
  <c r="N153" i="4" s="1"/>
  <c r="N154" i="4" s="1"/>
  <c r="N155" i="4" s="1"/>
  <c r="N156" i="4" s="1"/>
  <c r="N157" i="4" s="1"/>
  <c r="N158" i="4" s="1"/>
  <c r="N159" i="4" s="1"/>
  <c r="N160" i="4" s="1"/>
  <c r="N161" i="4" s="1"/>
  <c r="N162" i="4" s="1"/>
  <c r="N163" i="4" s="1"/>
  <c r="N164" i="4" s="1"/>
  <c r="N165" i="4" s="1"/>
  <c r="N166" i="4" s="1"/>
  <c r="N167" i="4" s="1"/>
  <c r="N168" i="4" s="1"/>
  <c r="N169" i="4" s="1"/>
  <c r="N170" i="4" s="1"/>
  <c r="N171" i="4" s="1"/>
  <c r="N172" i="4" s="1"/>
  <c r="N173" i="4" s="1"/>
  <c r="N174" i="4" s="1"/>
  <c r="N175" i="4" s="1"/>
  <c r="N176" i="4" s="1"/>
  <c r="N177" i="4" s="1"/>
  <c r="N178" i="4" s="1"/>
  <c r="N179" i="4" s="1"/>
  <c r="N180" i="4" s="1"/>
  <c r="N181" i="4" s="1"/>
  <c r="N182" i="4" s="1"/>
  <c r="L20" i="4" l="1"/>
  <c r="P19" i="4"/>
  <c r="S2" i="5"/>
  <c r="S3" i="5" s="1"/>
  <c r="S4" i="5" s="1"/>
  <c r="S5" i="5" s="1"/>
  <c r="S6" i="5" s="1"/>
  <c r="T1" i="5"/>
  <c r="T1" i="3"/>
  <c r="S2" i="3"/>
  <c r="T2" i="3"/>
  <c r="S3" i="3"/>
  <c r="S4" i="3" s="1"/>
  <c r="T3" i="3"/>
  <c r="Q15" i="5"/>
  <c r="Q14" i="5"/>
  <c r="Q13" i="5"/>
  <c r="Q12" i="5"/>
  <c r="Q11" i="5"/>
  <c r="Q10" i="5"/>
  <c r="Q9" i="5"/>
  <c r="Q8" i="5"/>
  <c r="Q7" i="5"/>
  <c r="Q6" i="5"/>
  <c r="Q5" i="5"/>
  <c r="Q4" i="5"/>
  <c r="Q3" i="5"/>
  <c r="Q2" i="5"/>
  <c r="Q1" i="5"/>
  <c r="Q15" i="3"/>
  <c r="Q14" i="3"/>
  <c r="Q13" i="3"/>
  <c r="Q12" i="3"/>
  <c r="Q11" i="3"/>
  <c r="Q10" i="3"/>
  <c r="Q9" i="3"/>
  <c r="Q8" i="3"/>
  <c r="Q7" i="3"/>
  <c r="Q6" i="3"/>
  <c r="Q5" i="3"/>
  <c r="Q4" i="3"/>
  <c r="Q3" i="3"/>
  <c r="Q2" i="3"/>
  <c r="Q1" i="3"/>
  <c r="P20" i="4" l="1"/>
  <c r="L21" i="4"/>
  <c r="T2" i="5"/>
  <c r="T3" i="5"/>
  <c r="T4" i="3"/>
  <c r="S5" i="3"/>
  <c r="L22" i="4" l="1"/>
  <c r="P21" i="4"/>
  <c r="T4" i="5"/>
  <c r="S6" i="3"/>
  <c r="T6" i="3" s="1"/>
  <c r="T5" i="3"/>
  <c r="L23" i="4" l="1"/>
  <c r="P22" i="4"/>
  <c r="T6" i="5"/>
  <c r="T5" i="5"/>
  <c r="L24" i="4" l="1"/>
  <c r="P23" i="4"/>
  <c r="P18" i="4"/>
  <c r="P24" i="4" l="1"/>
  <c r="L25" i="4"/>
  <c r="L26" i="4" l="1"/>
  <c r="P25" i="4"/>
  <c r="L27" i="4" l="1"/>
  <c r="P26" i="4"/>
  <c r="L28" i="4" l="1"/>
  <c r="P27" i="4"/>
  <c r="P28" i="4" l="1"/>
  <c r="L29" i="4"/>
  <c r="L30" i="4" l="1"/>
  <c r="P29" i="4"/>
  <c r="L31" i="4" l="1"/>
  <c r="P30" i="4"/>
  <c r="L32" i="4" l="1"/>
  <c r="P31" i="4"/>
  <c r="P32" i="4" l="1"/>
  <c r="L33" i="4"/>
  <c r="L34" i="4" l="1"/>
  <c r="P33" i="4"/>
  <c r="L35" i="4" l="1"/>
  <c r="P34" i="4"/>
  <c r="L36" i="4" l="1"/>
  <c r="P35" i="4"/>
  <c r="P36" i="4" l="1"/>
  <c r="L37" i="4"/>
  <c r="L38" i="4" l="1"/>
  <c r="P37" i="4"/>
  <c r="L39" i="4" l="1"/>
  <c r="P38" i="4"/>
  <c r="L40" i="4" l="1"/>
  <c r="P39" i="4"/>
  <c r="P40" i="4" l="1"/>
  <c r="L41" i="4"/>
  <c r="L42" i="4" l="1"/>
  <c r="P41" i="4"/>
  <c r="L43" i="4" l="1"/>
  <c r="P42" i="4"/>
  <c r="L44" i="4" l="1"/>
  <c r="P43" i="4"/>
  <c r="P44" i="4" l="1"/>
  <c r="L45" i="4"/>
  <c r="L46" i="4" l="1"/>
  <c r="P45" i="4"/>
  <c r="L47" i="4" l="1"/>
  <c r="P46" i="4"/>
  <c r="L48" i="4" l="1"/>
  <c r="P47" i="4"/>
  <c r="P48" i="4" l="1"/>
  <c r="L49" i="4"/>
  <c r="L50" i="4" l="1"/>
  <c r="P49" i="4"/>
  <c r="L51" i="4" l="1"/>
  <c r="P50" i="4"/>
  <c r="L52" i="4" l="1"/>
  <c r="P51" i="4"/>
  <c r="P52" i="4" l="1"/>
  <c r="L53" i="4"/>
  <c r="L54" i="4" l="1"/>
  <c r="P53" i="4"/>
  <c r="L55" i="4" l="1"/>
  <c r="P54" i="4"/>
  <c r="L56" i="4" l="1"/>
  <c r="P55" i="4"/>
  <c r="P56" i="4" l="1"/>
  <c r="L57" i="4"/>
  <c r="L58" i="4" l="1"/>
  <c r="P57" i="4"/>
  <c r="L59" i="4" l="1"/>
  <c r="P58" i="4"/>
  <c r="L60" i="4" l="1"/>
  <c r="P59" i="4"/>
  <c r="P60" i="4" l="1"/>
  <c r="L61" i="4"/>
  <c r="L62" i="4" l="1"/>
  <c r="P61" i="4"/>
  <c r="L63" i="4" l="1"/>
  <c r="P62" i="4"/>
  <c r="L64" i="4" l="1"/>
  <c r="P63" i="4"/>
  <c r="P64" i="4" l="1"/>
  <c r="L65" i="4"/>
  <c r="L66" i="4" l="1"/>
  <c r="P65" i="4"/>
  <c r="L67" i="4" l="1"/>
  <c r="P66" i="4"/>
  <c r="L68" i="4" l="1"/>
  <c r="P67" i="4"/>
  <c r="P68" i="4" l="1"/>
  <c r="L69" i="4"/>
  <c r="L70" i="4" l="1"/>
  <c r="P69" i="4"/>
  <c r="P70" i="4" l="1"/>
  <c r="L71" i="4"/>
  <c r="L72" i="4" l="1"/>
  <c r="P71" i="4"/>
  <c r="L73" i="4" l="1"/>
  <c r="P72" i="4"/>
  <c r="L74" i="4" l="1"/>
  <c r="P73" i="4"/>
  <c r="P74" i="4" l="1"/>
  <c r="L75" i="4"/>
  <c r="L76" i="4" l="1"/>
  <c r="P75" i="4"/>
  <c r="L77" i="4" l="1"/>
  <c r="P76" i="4"/>
  <c r="L78" i="4" l="1"/>
  <c r="P77" i="4"/>
  <c r="P78" i="4" l="1"/>
  <c r="L79" i="4"/>
  <c r="L80" i="4" l="1"/>
  <c r="P79" i="4"/>
  <c r="L81" i="4" l="1"/>
  <c r="P80" i="4"/>
  <c r="L82" i="4" l="1"/>
  <c r="P81" i="4"/>
  <c r="P82" i="4" l="1"/>
  <c r="L83" i="4"/>
  <c r="L84" i="4" l="1"/>
  <c r="P83" i="4"/>
  <c r="L85" i="4" l="1"/>
  <c r="P84" i="4"/>
  <c r="L86" i="4" l="1"/>
  <c r="P85" i="4"/>
  <c r="P86" i="4" l="1"/>
  <c r="L87" i="4"/>
  <c r="L88" i="4" l="1"/>
  <c r="P87" i="4"/>
  <c r="L89" i="4" l="1"/>
  <c r="P88" i="4"/>
  <c r="L90" i="4" l="1"/>
  <c r="P89" i="4"/>
  <c r="P90" i="4" l="1"/>
  <c r="L91" i="4"/>
  <c r="L92" i="4" l="1"/>
  <c r="P91" i="4"/>
  <c r="L93" i="4" l="1"/>
  <c r="P92" i="4"/>
  <c r="L94" i="4" l="1"/>
  <c r="P93" i="4"/>
  <c r="P94" i="4" l="1"/>
  <c r="L95" i="4"/>
  <c r="L96" i="4" l="1"/>
  <c r="P95" i="4"/>
  <c r="L97" i="4" l="1"/>
  <c r="P96" i="4"/>
  <c r="L98" i="4" l="1"/>
  <c r="P97" i="4"/>
  <c r="P98" i="4" l="1"/>
  <c r="L99" i="4"/>
  <c r="L100" i="4" l="1"/>
  <c r="P99" i="4"/>
  <c r="L101" i="4" l="1"/>
  <c r="P100" i="4"/>
  <c r="L102" i="4" l="1"/>
  <c r="P101" i="4"/>
  <c r="P102" i="4" l="1"/>
  <c r="L103" i="4"/>
  <c r="L104" i="4" l="1"/>
  <c r="P103" i="4"/>
  <c r="L105" i="4" l="1"/>
  <c r="P104" i="4"/>
  <c r="L106" i="4" l="1"/>
  <c r="P105" i="4"/>
  <c r="P106" i="4" l="1"/>
  <c r="L107" i="4"/>
  <c r="L108" i="4" l="1"/>
  <c r="P107" i="4"/>
  <c r="L109" i="4" l="1"/>
  <c r="P108" i="4"/>
  <c r="L110" i="4" l="1"/>
  <c r="P109" i="4"/>
  <c r="P110" i="4" l="1"/>
  <c r="L111" i="4"/>
  <c r="L112" i="4" l="1"/>
  <c r="P111" i="4"/>
  <c r="L113" i="4" l="1"/>
  <c r="P112" i="4"/>
  <c r="L114" i="4" l="1"/>
  <c r="P113" i="4"/>
  <c r="P114" i="4" l="1"/>
  <c r="L115" i="4"/>
  <c r="L116" i="4" l="1"/>
  <c r="P115" i="4"/>
  <c r="L117" i="4" l="1"/>
  <c r="P116" i="4"/>
  <c r="L118" i="4" l="1"/>
  <c r="P117" i="4"/>
  <c r="P118" i="4" l="1"/>
  <c r="L119" i="4"/>
  <c r="L120" i="4" l="1"/>
  <c r="P119" i="4"/>
  <c r="L121" i="4" l="1"/>
  <c r="P120" i="4"/>
  <c r="L122" i="4" l="1"/>
  <c r="P121" i="4"/>
  <c r="P122" i="4" l="1"/>
  <c r="L123" i="4"/>
  <c r="L124" i="4" l="1"/>
  <c r="P123" i="4"/>
  <c r="L125" i="4" l="1"/>
  <c r="P124" i="4"/>
  <c r="L126" i="4" l="1"/>
  <c r="P125" i="4"/>
  <c r="P126" i="4" l="1"/>
  <c r="L127" i="4"/>
  <c r="L128" i="4" l="1"/>
  <c r="P127" i="4"/>
  <c r="L129" i="4" l="1"/>
  <c r="P128" i="4"/>
  <c r="L130" i="4" l="1"/>
  <c r="P129" i="4"/>
  <c r="P130" i="4" l="1"/>
  <c r="L131" i="4"/>
  <c r="L132" i="4" l="1"/>
  <c r="P131" i="4"/>
  <c r="L133" i="4" l="1"/>
  <c r="P132" i="4"/>
  <c r="L134" i="4" l="1"/>
  <c r="P133" i="4"/>
  <c r="P134" i="4" l="1"/>
  <c r="L135" i="4"/>
  <c r="L136" i="4" l="1"/>
  <c r="P135" i="4"/>
  <c r="L137" i="4" l="1"/>
  <c r="P136" i="4"/>
  <c r="L138" i="4" l="1"/>
  <c r="P137" i="4"/>
  <c r="P138" i="4" l="1"/>
  <c r="L139" i="4"/>
  <c r="L140" i="4" l="1"/>
  <c r="P139" i="4"/>
  <c r="L141" i="4" l="1"/>
  <c r="P140" i="4"/>
  <c r="L142" i="4" l="1"/>
  <c r="P141" i="4"/>
  <c r="P142" i="4" l="1"/>
  <c r="L143" i="4"/>
  <c r="L144" i="4" l="1"/>
  <c r="P143" i="4"/>
  <c r="L145" i="4" l="1"/>
  <c r="P144" i="4"/>
  <c r="L146" i="4" l="1"/>
  <c r="P145" i="4"/>
  <c r="P146" i="4" l="1"/>
  <c r="L147" i="4"/>
  <c r="L148" i="4" l="1"/>
  <c r="P147" i="4"/>
  <c r="L149" i="4" l="1"/>
  <c r="P148" i="4"/>
  <c r="L150" i="4" l="1"/>
  <c r="P149" i="4"/>
  <c r="P150" i="4" l="1"/>
  <c r="L151" i="4"/>
  <c r="L152" i="4" l="1"/>
  <c r="P151" i="4"/>
  <c r="L153" i="4" l="1"/>
  <c r="P152" i="4"/>
  <c r="L154" i="4" l="1"/>
  <c r="P153" i="4"/>
  <c r="P154" i="4" l="1"/>
  <c r="L155" i="4"/>
  <c r="L156" i="4" l="1"/>
  <c r="P155" i="4"/>
  <c r="L157" i="4" l="1"/>
  <c r="P156" i="4"/>
  <c r="L158" i="4" l="1"/>
  <c r="P157" i="4"/>
  <c r="P158" i="4" l="1"/>
  <c r="L159" i="4"/>
  <c r="L160" i="4" l="1"/>
  <c r="P159" i="4"/>
  <c r="L161" i="4" l="1"/>
  <c r="P160" i="4"/>
  <c r="L162" i="4" l="1"/>
  <c r="P161" i="4"/>
  <c r="P162" i="4" l="1"/>
  <c r="L163" i="4"/>
  <c r="L164" i="4" l="1"/>
  <c r="P163" i="4"/>
  <c r="L165" i="4" l="1"/>
  <c r="P164" i="4"/>
  <c r="L166" i="4" l="1"/>
  <c r="P165" i="4"/>
  <c r="P166" i="4" l="1"/>
  <c r="L167" i="4"/>
  <c r="L168" i="4" l="1"/>
  <c r="P167" i="4"/>
  <c r="L169" i="4" l="1"/>
  <c r="P168" i="4"/>
  <c r="L170" i="4" l="1"/>
  <c r="P169" i="4"/>
  <c r="P170" i="4" l="1"/>
  <c r="L171" i="4"/>
  <c r="L172" i="4" l="1"/>
  <c r="P171" i="4"/>
  <c r="L173" i="4" l="1"/>
  <c r="P172" i="4"/>
  <c r="L174" i="4" l="1"/>
  <c r="P173" i="4"/>
  <c r="P174" i="4" l="1"/>
  <c r="L175" i="4"/>
  <c r="L176" i="4" l="1"/>
  <c r="P175" i="4"/>
  <c r="L177" i="4" l="1"/>
  <c r="P176" i="4"/>
  <c r="L178" i="4" l="1"/>
  <c r="P177" i="4"/>
  <c r="P178" i="4" l="1"/>
  <c r="L179" i="4"/>
  <c r="L180" i="4" l="1"/>
  <c r="P179" i="4"/>
  <c r="L181" i="4" l="1"/>
  <c r="P180" i="4"/>
  <c r="L182" i="4" l="1"/>
  <c r="P182" i="4" s="1"/>
  <c r="P181" i="4"/>
</calcChain>
</file>

<file path=xl/sharedStrings.xml><?xml version="1.0" encoding="utf-8"?>
<sst xmlns="http://schemas.openxmlformats.org/spreadsheetml/2006/main" count="495" uniqueCount="475">
  <si>
    <t>日時</t>
    <rPh sb="0" eb="2">
      <t>ニチジ</t>
    </rPh>
    <phoneticPr fontId="1"/>
  </si>
  <si>
    <t>減点（サーチワードがない所を選択した数）</t>
    <rPh sb="0" eb="2">
      <t>ゲンテン</t>
    </rPh>
    <rPh sb="12" eb="13">
      <t>トコロ</t>
    </rPh>
    <rPh sb="14" eb="16">
      <t>センタク</t>
    </rPh>
    <rPh sb="18" eb="19">
      <t>カズ</t>
    </rPh>
    <phoneticPr fontId="1"/>
  </si>
  <si>
    <t>減点（サーチワードが見つけられていない数、サーチワードが赤になります）</t>
    <rPh sb="0" eb="2">
      <t>ゲンテン</t>
    </rPh>
    <rPh sb="10" eb="11">
      <t>ミ</t>
    </rPh>
    <rPh sb="19" eb="20">
      <t>カズ</t>
    </rPh>
    <rPh sb="28" eb="29">
      <t>アカ</t>
    </rPh>
    <phoneticPr fontId="1"/>
  </si>
  <si>
    <t>減点（サーチワードが部分的に選択されているためサーチワードが完成していない）</t>
    <rPh sb="0" eb="2">
      <t>ゲンテン</t>
    </rPh>
    <rPh sb="30" eb="32">
      <t>カンセイ</t>
    </rPh>
    <phoneticPr fontId="1"/>
  </si>
  <si>
    <t>はじめ</t>
    <phoneticPr fontId="1"/>
  </si>
  <si>
    <t>答え合わせ（全て）</t>
    <rPh sb="0" eb="1">
      <t>コタ</t>
    </rPh>
    <rPh sb="2" eb="3">
      <t>ア</t>
    </rPh>
    <rPh sb="6" eb="7">
      <t>スベ</t>
    </rPh>
    <phoneticPr fontId="1"/>
  </si>
  <si>
    <t>答え合わせ（選択）</t>
    <rPh sb="0" eb="1">
      <t>コタ</t>
    </rPh>
    <rPh sb="2" eb="3">
      <t>ア</t>
    </rPh>
    <rPh sb="6" eb="8">
      <t>センタク</t>
    </rPh>
    <phoneticPr fontId="1"/>
  </si>
  <si>
    <t>消す</t>
    <rPh sb="0" eb="1">
      <t>ケ</t>
    </rPh>
    <phoneticPr fontId="1"/>
  </si>
  <si>
    <t>表示</t>
    <rPh sb="0" eb="2">
      <t>ヒョウジ</t>
    </rPh>
    <phoneticPr fontId="1"/>
  </si>
  <si>
    <t>作成</t>
    <rPh sb="0" eb="2">
      <t>サクセイ</t>
    </rPh>
    <phoneticPr fontId="1"/>
  </si>
  <si>
    <t>経過時間</t>
    <rPh sb="0" eb="4">
      <t>ケイカジカン</t>
    </rPh>
    <phoneticPr fontId="1"/>
  </si>
  <si>
    <t>0／全て、1／選択</t>
    <rPh sb="2" eb="3">
      <t>スベ</t>
    </rPh>
    <rPh sb="7" eb="9">
      <t>センタク</t>
    </rPh>
    <phoneticPr fontId="1"/>
  </si>
  <si>
    <t>開始時間</t>
    <rPh sb="0" eb="4">
      <t>カイシジカン</t>
    </rPh>
    <phoneticPr fontId="1"/>
  </si>
  <si>
    <t>答え（全て）</t>
    <rPh sb="0" eb="1">
      <t>コタ</t>
    </rPh>
    <rPh sb="3" eb="4">
      <t>スベ</t>
    </rPh>
    <phoneticPr fontId="1"/>
  </si>
  <si>
    <t>答え（選択）</t>
    <rPh sb="0" eb="1">
      <t>コタ</t>
    </rPh>
    <rPh sb="3" eb="5">
      <t>センタク</t>
    </rPh>
    <phoneticPr fontId="1"/>
  </si>
  <si>
    <t>サーチワード（*なし（非選択）、*あり（選択））</t>
    <rPh sb="11" eb="14">
      <t>ヒセンタク</t>
    </rPh>
    <rPh sb="20" eb="22">
      <t>センタク</t>
    </rPh>
    <phoneticPr fontId="1"/>
  </si>
  <si>
    <t>問題（*なし（非選択）、*あり（選択））</t>
    <rPh sb="0" eb="2">
      <t>モンダイ</t>
    </rPh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</si>
  <si>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</si>
  <si>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</si>
  <si>
    <t>*6226714,24155,8977741,*55,6398854,911,26574,456299,6397,995337,41754,86873,557,987411,539</t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</si>
  <si>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</si>
  <si>
    <t>*5518,83473,6421239,*7668946,62,23146,495,7633,1426472,12225,372357,918,812315,84,842</t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</si>
  <si>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</si>
  <si>
    <t>*1799849,3831341,45,*4483919,86674,332613,4271,11271,9137,735474,1371,6271,55524,96825,643</t>
  </si>
  <si>
    <t>画面</t>
    <rPh sb="0" eb="2">
      <t>ガメン</t>
    </rPh>
    <phoneticPr fontId="1"/>
  </si>
  <si>
    <t>データ</t>
    <phoneticPr fontId="1"/>
  </si>
  <si>
    <t>シートとボタンの関係図です。</t>
    <rPh sb="8" eb="11">
      <t>カンケイズ</t>
    </rPh>
    <phoneticPr fontId="1"/>
  </si>
  <si>
    <t>ゲームを始める時は画面シートに移ってはじめボタンを押してください。</t>
    <rPh sb="4" eb="5">
      <t>ハジ</t>
    </rPh>
    <rPh sb="7" eb="8">
      <t>トキ</t>
    </rPh>
    <rPh sb="9" eb="11">
      <t>ガメン</t>
    </rPh>
    <rPh sb="15" eb="16">
      <t>ウツ</t>
    </rPh>
    <rPh sb="25" eb="26">
      <t>オ</t>
    </rPh>
    <phoneticPr fontId="1"/>
  </si>
  <si>
    <t>シート</t>
    <phoneticPr fontId="1"/>
  </si>
  <si>
    <t>ボタン</t>
    <phoneticPr fontId="1"/>
  </si>
  <si>
    <t>ボタン／シート</t>
    <phoneticPr fontId="1"/>
  </si>
  <si>
    <t>グラフ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</si>
  <si>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</si>
  <si>
    <t>*32,97915,932499,*24,88,685485,69,832,572,544353,9864624,6481,73,835,7725</t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</si>
  <si>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</si>
  <si>
    <t>*117,961935,745,*13,621,599,765,6266,777,795135,338872,414719,48142,37,738113</t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</si>
  <si>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</si>
  <si>
    <t>*2781667,56212,63,*8322854,4557,53,62665,44973,2239297,937422,378,611,42,64,682</t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</si>
  <si>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</si>
  <si>
    <t>*3839352,87152,629884,*71,47,9943,24127,2278515,585,83145,385,7341,541,7578,7227</t>
  </si>
  <si>
    <t>ロード</t>
    <phoneticPr fontId="1"/>
  </si>
  <si>
    <t>難易度を一定化</t>
    <rPh sb="0" eb="3">
      <t>ナンイド</t>
    </rPh>
    <rPh sb="4" eb="7">
      <t>イッテイカ</t>
    </rPh>
    <phoneticPr fontId="1"/>
  </si>
  <si>
    <t>サーチワードの長さ</t>
    <rPh sb="7" eb="8">
      <t>ナガ</t>
    </rPh>
    <phoneticPr fontId="1"/>
  </si>
  <si>
    <t>サーチワードの長さに対する加点</t>
    <rPh sb="7" eb="8">
      <t>ナガ</t>
    </rPh>
    <rPh sb="10" eb="11">
      <t>タイ</t>
    </rPh>
    <rPh sb="13" eb="15">
      <t>カテン</t>
    </rPh>
    <phoneticPr fontId="1"/>
  </si>
  <si>
    <t>サーチワードを偏らないように２桁から７桁の数を固定化する</t>
    <rPh sb="7" eb="8">
      <t>カタヨ</t>
    </rPh>
    <rPh sb="15" eb="16">
      <t>ケタ</t>
    </rPh>
    <rPh sb="19" eb="20">
      <t>ケタ</t>
    </rPh>
    <rPh sb="21" eb="22">
      <t>カズ</t>
    </rPh>
    <rPh sb="23" eb="26">
      <t>コテイカ</t>
    </rPh>
    <phoneticPr fontId="1"/>
  </si>
  <si>
    <t>得点はサーチワードの長さ、２桁のサーチワードは２点で７桁のサーチワードは７点</t>
    <rPh sb="0" eb="2">
      <t>トクテン</t>
    </rPh>
    <rPh sb="14" eb="15">
      <t>ケタ</t>
    </rPh>
    <rPh sb="24" eb="25">
      <t>テン</t>
    </rPh>
    <phoneticPr fontId="1"/>
  </si>
  <si>
    <t>同じサーチワードを見つけた分は得点を分けて数える</t>
    <rPh sb="0" eb="1">
      <t>オナ</t>
    </rPh>
    <rPh sb="9" eb="10">
      <t>ミ</t>
    </rPh>
    <rPh sb="13" eb="14">
      <t>ブン</t>
    </rPh>
    <rPh sb="15" eb="17">
      <t>トクテン</t>
    </rPh>
    <rPh sb="18" eb="19">
      <t>ワ</t>
    </rPh>
    <rPh sb="21" eb="22">
      <t>カゾ</t>
    </rPh>
    <phoneticPr fontId="1"/>
  </si>
  <si>
    <t>再計算</t>
    <rPh sb="0" eb="3">
      <t>サイケイサン</t>
    </rPh>
    <phoneticPr fontId="1"/>
  </si>
  <si>
    <t>*88569,32559,16,*7563,298835,5759461,8565421,7726188,478156,3533732,614,59,5366432,4596647,253</t>
    <phoneticPr fontId="1"/>
  </si>
  <si>
    <t>得点（見つけた数、同じサーチワードでも見つけたら見つけた分だけ加点します）</t>
    <rPh sb="0" eb="2">
      <t>トクテン</t>
    </rPh>
    <rPh sb="3" eb="4">
      <t>ミ</t>
    </rPh>
    <rPh sb="7" eb="8">
      <t>カズ</t>
    </rPh>
    <rPh sb="9" eb="10">
      <t>オナ</t>
    </rPh>
    <rPh sb="19" eb="20">
      <t>ミ</t>
    </rPh>
    <rPh sb="24" eb="25">
      <t>ミ</t>
    </rPh>
    <rPh sb="28" eb="29">
      <t>ブン</t>
    </rPh>
    <rPh sb="31" eb="33">
      <t>カテン</t>
    </rPh>
    <phoneticPr fontId="1"/>
  </si>
  <si>
    <t>(1,*6,3,*1,8,4,6,6,4,9,3,5),(9,*6,7,*1,2,7,7,3,6,9,2,4),(4,*1,6,*9,4,8,1,8,3,4,9,4),(6,9,9,*5,6,9,8,1,*2,1,6,1),(7,1,5,*7,8,6,*3,*9,*7,5,5,9),(8,4,6,*3,9,*4,7,*4,3,8,6,9),(2,6,8,*9,*9,7,*5,2,*8,2,5,3),(8,6,4,2,1,*9,4,*9,*5,*9,2,2),(7,5,7,2,*8,4,7,8,*9,4,*7,8),(2,8,6,8,4,7,7,2,*2,7,9,1),(9,3,3,8,7,5,5,6,*1,7,6,5),(4,5,5,2,7,4,3,3,*4,6,9,7)</t>
    <phoneticPr fontId="1"/>
  </si>
  <si>
    <t>*897,92,5287,*4129,9375911,59,74598,661,943,87649,539466,33,4362177,77492,66</t>
    <phoneticPr fontId="1"/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</si>
  <si>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  <phoneticPr fontId="1"/>
  </si>
  <si>
    <t>*3839352,87152,629884,*71,47,9943,24127,2278515,585,83145,385,7341,541,7578,7227</t>
    <phoneticPr fontId="1"/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</si>
  <si>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  <phoneticPr fontId="1"/>
  </si>
  <si>
    <t>*2781667,56212,63,*8322854,4557,53,62665,44973,2239297,937422,378,611,42,64,682</t>
    <phoneticPr fontId="1"/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</si>
  <si>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  <phoneticPr fontId="1"/>
  </si>
  <si>
    <t>*117,961935,745,*13,621,599,765,6266,777,795135,338872,414719,48142,37,738113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</si>
  <si>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  <phoneticPr fontId="1"/>
  </si>
  <si>
    <t>*32,97915,932499,*24,88,685485,69,832,572,544353,9864624,6481,73,835,7725</t>
    <phoneticPr fontId="1"/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</si>
  <si>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  <phoneticPr fontId="1"/>
  </si>
  <si>
    <t>*1799849,3831341,45,*4483919,86674,332613,4271,11271,9137,735474,1371,6271,55524,96825,643</t>
    <phoneticPr fontId="1"/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</si>
  <si>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  <phoneticPr fontId="1"/>
  </si>
  <si>
    <t>*5518,83473,6421239,*7668946,62,23146,495,7633,1426472,12225,372357,918,812315,84,842</t>
    <phoneticPr fontId="1"/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</si>
  <si>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  <phoneticPr fontId="1"/>
  </si>
  <si>
    <t>*6226714,24155,8977741,*55,6398854,911,26574,456299,6397,995337,41754,86873,557,987411,539</t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</si>
  <si>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  <phoneticPr fontId="1"/>
  </si>
  <si>
    <t>(7,2,6,*4,*9,*2,6,4,5,*1,*3,*5),(9,7,7,*2,1,5,2,7,7,2,4,*6),(1,*1,6,*3,4,9,1,6,*2,*5,*1,5),(7,*9,8,7,6,1,8,*8,*5,*6,7,8),(8,*3,3,3,4,3,*8,*3,*8,2,5,5),(3,*7,5,4,2,*9,*6,*1,5,8,2,5),(*4,5,4,*9,*4,*2,*4,8,8,5,*5,*4),(*5,9,3,4,*5,7,8,4,2,1,9,1),(*9,9,4,1,3,7,7,9,4,*2,*6,8),(*1,*3,*8,*5,*5,*1,*1,*6,9,7,8,9),(2,*9,*8,*2,*7,*1,6,1,1,5,2,1),(*8,*6,*8,*6,*5,*3,*5,7,8,7,4,1)</t>
  </si>
  <si>
    <t>23,26,17289,7391,814,61681,54,28894,135,3855116,553625,49,4591,294,8686535</t>
  </si>
  <si>
    <t>(5,*2,*7,7,1,8,7,*1,9,3,6,3),(4,*2,*9,9,*1,6,*5,4,*1,2,8,4),(5,*6,*8,2,*8,1,4,*4,6,*1,1,7),(5,*2,5,*4,*2,5,9,2,*5,7,*6,*9),(4,*7,8,6,8,4,5,8,*4,*3,*1,*6),(3,2,4,8,3,8,9,*8,8,*8,*3,4),(1,5,8,5,9,1,*9,9,*5,3,2,*1),(*6,*8,*9,*2,*2,*6,*1,7,8,4,*8,9),(4,4,*3,*5,*4,*5,*6,*9,*9,*4,*4,*7),(4,6,4,5,3,9,5,6,9,6,1,8),(3,8,2,2,1,7,*8,*8,3,2,3,7),(2,6,7,6,3,*6,*6,*4,*9,*6,*6,*4)</t>
  </si>
  <si>
    <t>133545,42,5819,489,6892261,6545,11166,78,88,4669466,182,99447,38,72622,798</t>
  </si>
  <si>
    <t>(7,*9,*1,*1,*4,*5,2,1,4,8,7,2),(1,7,4,1,7,1,2,7,8,8,*1,*3),(*1,*9,*1,*8,9,*5,1,7,3,2,*9,*3),(*7,1,4,5,3,*5,9,9,1,3,*4,*9),(*5,9,6,5,6,*1,8,5,2,9,*1,*2),(*6,*3,*7,*2,8,*7,5,8,7,8,*1,*5),(*7,4,5,4,1,*6,4,*9,*3,4,*3,9),(*1,6,2,*1,*6,*2,1,1,2,9,*7,1),(*2,1,8,*7,*9,*5,*3,*3,*5,*4,9,7),(8,3,3,*7,*7,9,*5,*7,*9,8,7,9),(7,1,3,8,*1,8,9,3,*6,1,9,4),(8,3,9,7,6,1,*3,*8,*9,*4,*7,4)</t>
  </si>
  <si>
    <t>177,551762,273,2176571,819,6971,4533,79,7311491,86,52933,91145,55,38947,93</t>
  </si>
  <si>
    <t>(6,2,2,8,4,6,7,4,6,2,8,7),(6,4,2,7,*4,5,1,4,7,*7,9,4),(*1,1,5,3,*8,1,*4,2,*2,2,1,7),(3,*6,6,*9,*6,7,*7,*3,8,8,9,8),(9,7,*2,*7,*3,1,*8,3,2,8,*3,9),(7,8,4,*1,*9,8,*1,*7,8,*3,*2,3),(1,1,1,*5,*9,*1,*5,*2,*7,7,*4,1),(3,8,8,*2,*4,*7,*6,4,2,*8,6,1),(2,5,*7,*9,9,*4,*9,3,*1,4,*2,4),(2,4,2,9,4,*9,*5,*2,4,*1,7,*2),(8,9,5,4,3,*9,*5,7,4,3,*2,6),(7,7,4,1,6,4,7,7,9,3,6,*2)</t>
  </si>
  <si>
    <t>162,423,79,925179,17499,33,12,4781,27,22877,1398747,4863994,55965,327,1122</t>
  </si>
  <si>
    <t>(5,7,7,7,6,5,3,4,9,*6,6,7),(1,1,5,6,1,6,2,7,*2,6,9,6),(9,*1,4,9,2,1,4,*9,8,*1,1,5),(*2,2,*2,*1,4,3,8,8,2,3,*7,1),(*9,7,8,*3,*5,8,2,2,3,6,7,*8),(*7,3,7,7,*5,*1,9,6,9,7,*1,9),(*7,9,7,6,*8,*2,*3,2,6,2,*7,3),(*3,*1,4,5,*1,*4,*9,*6,*6,*8,*7,1),(*2,9,*9,*6,2,2,*6,6,5,*5,*7,*3),(*8,8,7,*5,6,5,3,*4,5,*7,*2,3),(3,1,6,6,*4,9,9,3,*6,*3,*2,6),(9,6,3,6,3,*4,5,4,7,*7,*5,7)</t>
  </si>
  <si>
    <t>72,2178,95,43,216,63151,37,764648,3758,25321,926,1777225,966,19544,8237792</t>
  </si>
  <si>
    <t>(3,*3,3,7,3,9,5,1,1,7,*9,4),(7,*7,6,2,5,7,6,1,2,2,*1,5),(6,*3,*2,*8,*6,*2,*5,*1,*2,*1,*8,6),(3,*8,6,2,5,6,5,3,4,*4,*5,6),(*5,*1,6,2,7,3,8,3,3,*2,*5,2),(2,*9,4,*8,*1,7,*3,*6,4,*6,4,9),(*7,*4,*1,4,*5,8,3,*3,2,*8,8,9),(*1,2,*8,*1,2,8,2,*5,9,*5,3,9),(*8,7,7,*2,*8,4,4,*4,5,*6,9,6),(*9,*8,3,7,*5,*7,8,9,4,*6,2,9),(*1,*6,4,8,1,5,*4,*8,*5,*1,8,9),(7,*4,2,3,7,5,2,4,*9,4,8,1)</t>
  </si>
  <si>
    <t>2152682,91855,81,685661,4781195,142,15,86,468,6354,4825,584,71891,18373,59</t>
  </si>
  <si>
    <t>(6,8,8,7,3,3,9,*5,*2,*8,1,8),(8,3,9,5,9,7,6,1,5,1,7,9),(5,*5,*8,*4,3,*5,7,*2,4,7,9,*5),(5,*6,*5,*3,6,*3,5,*5,7,1,*5,1),(4,*1,*6,*9,9,*1,*1,3,*6,*6,5,5),(*5,*8,*5,*3,5,6,3,*7,*5,*1,1,7),(*4,4,*3,*9,5,8,6,*5,*5,6,*4,6),(*3,7,*8,*3,*6,*1,*2,1,2,*1,*5,*9),(*3,*1,7,*3,8,*7,5,3,2,1,*6,2),(6,5,1,*5,3,4,2,3,3,3,6,7),(3,3,2,1,5,9,5,3,1,8,5,5),(7,3,8,4,3,5,1,2,1,9,9,5)</t>
  </si>
  <si>
    <t>4393933,17516,5565527,5433,14,13,528,835658,531,8165,45,335,94165,61,51219</t>
  </si>
  <si>
    <t>(9,6,7,5,9,4,8,2,5,6,9,7),(2,4,*2,3,*1,*1,*8,*8,*9,*1,*5,1),(2,8,*5,4,8,9,8,3,9,2,2,1),(3,4,*3,9,1,3,7,*5,*9,*9,*3,*7),(2,9,5,*2,8,6,1,*8,*1,7,3,5),(*6,*4,*1,*4,*7,7,3,*7,8,8,1,4),(1,*3,*2,*9,*8,*4,3,*7,6,5,7,*2),(4,6,*8,*9,*2,*5,4,9,3,5,3,*8),(2,2,1,*7,*4,*1,*6,6,*8,8,1,*8),(6,4,6,9,6,3,*1,*1,*2,1,5,*1),(3,9,4,2,*7,8,8,7,*6,8,5,*7),(9,6,7,4,*4,1,4,4,1,*7,7,1)</t>
    <phoneticPr fontId="1"/>
  </si>
  <si>
    <t>6387,71882,59937,761658,4924,253,877,82,4294384,49,74,1188915,472,19211,81</t>
    <phoneticPr fontId="1"/>
  </si>
  <si>
    <t>(*2,2,9,*3,5,7,3,7,4,8,3,9),(8,*6,5,*6,*7,7,9,1,1,*5,7,6),(5,5,*8,7,*9,*9,6,6,3,*2,3,3),(*9,3,5,*4,4,*2,*6,*8,3,*5,3,6),(*1,2,1,*5,*7,7,*1,*3,6,*8,8,6),(*5,7,6,*9,*5,*9,4,*7,*5,*2,8,*1),(*9,9,9,*1,*2,5,*2,8,9,*5,9,*7),(6,3,*9,*8,*8,2,5,4,9,5,8,*5),(8,4,*3,*8,*2,7,*3,*8,*3,6,4,5),(*4,7,*8,*4,8,*1,8,6,7,6,6,8),(*1,2,*1,9,6,*5,*3,4,9,7,5,2),(*1,3,*6,3,2,*2,8,1,9,6,6,6)</t>
  </si>
  <si>
    <t>5282,68,383,99,114,2974862,175,9519,28525,5536973,31,488195,71296,93816,25</t>
  </si>
  <si>
    <t>(*4,7,7,1,8,7,3,*1,6,3,1,9),(*7,*2,9,3,7,1,1,*7,3,1,1,1),(4,*1,*5,6,9,2,2,*9,8,6,4,6),(*3,*5,*2,*8,2,3,1,*7,6,7,9,*9),(*2,*1,*1,*2,*2,4,8,*8,*6,2,1,*4),(*7,*5,1,3,*2,1,9,*3,2,*5,7,*7),(*5,*1,5,3,*4,8,2,*7,*8,2,*4,3),(*2,*8,2,3,*8,2,*3,*6,4,*5,4,*3),(*6,*6,8,8,*6,8,8,*6,*3,2,1,8),(*9,9,7,8,*5,8,2,*8,*4,*1,2,2),(8,2,1,6,9,5,*5,9,2,*1,2,5),(3,8,6,5,9,*3,8,8,7,9,4,4)</t>
  </si>
  <si>
    <t>463,53853,68,28524,947,42,221,6543,56842,9625723,11,79,515186,1797837,7122</t>
  </si>
  <si>
    <t>(6,2,*4,3,7,4,4,3,5,3,3,7),(6,6,*6,8,5,*9,*5,*5,*7,*4,*7,*9),(6,3,*8,1,*4,3,2,4,*4,*8,*9,1),(9,1,*8,1,*8,1,6,7,*4,*2,7,9),(7,9,*4,5,*2,*8,1,1,6,*2,2,5),(1,6,*2,9,*4,*9,*8,*9,7,6,6,9),(*4,5,5,*7,5,1,7,*9,*4,*4,5,4),(*6,*9,*6,*7,1,*4,*1,*9,*1,*7,*4,4),(*6,*9,6,8,*1,*4,*9,*5,*6,*4,2,1),(*7,3,3,*4,5,5,7,*6,*7,*1,*1,*8),(*6,3,5,6,7,*3,*5,*4,*1,*3,*4,*2),(*1,8,7,6,4,2,6,7,7,3,4,5)</t>
  </si>
  <si>
    <t>4284,81176,967,24,74,94,414,98,191,9747559,48864,46594,2431453,9629,167664</t>
  </si>
  <si>
    <t>(6,7,7,*6,2,*3,*2,*8,*4,*2,3,3),(2,5,3,*7,*4,*4,*6,*8,*9,*7,8,5),(8,4,*9,*7,*7,*6,3,2,*1,*9,4,3),(*4,*8,*4,*9,*3,*9,*2,7,2,2,9,*8),(*8,*1,*8,2,*6,3,*1,*1,*6,*9,*6,*1),(*3,*9,*9,*6,5,2,*3,*9,3,*4,*4,5),(*7,3,*5,*1,*4,*4,*9,*6,5,5,1,*6),(*3,*9,*8,*4,5,4,*7,*2,2,5,1,4),(*5,2,4,3,*8,5,*1,*1,6,6,1,4),(*4,*8,*1,*1,3,*5,*8,*5,*8,5,3,6),(2,3,9,3,*8,4,2,*3,*8,9,*6,5),(3,*8,*1,*8,*9,*4,*5,*8,5,4,*8,3)</t>
  </si>
  <si>
    <t>9621538,5144,18,68,79,699,81793,1169,4849392,24823,158,984,37354,549818,46</t>
  </si>
  <si>
    <t>(5,3,1,4,7,8,*6,1,*7,7,7,7),(7,7,3,6,5,*8,*6,2,2,*4,4,6),(4,*2,*2,*3,*6,*5,*9,*1,*1,3,*5,1),(9,*1,*1,*7,*7,*6,*1,*1,*8,*1,7,9),(*4,*5,*6,*3,*7,*2,*1,2,*6,7,7,*5),(9,3,*2,6,*9,*6,*9,*5,*8,*9,6,*4),(7,*1,*5,7,*4,*9,*3,2,*7,*1,6,*2),(*8,*8,*8,*9,*5,*1,3,*3,*8,*9,*9,*3),(*8,*1,*1,*8,*3,2,*4,*9,*5,*8,6,*5),(3,*3,*2,7,*8,*6,1,*3,*1,*1,*1,*3),(*4,2,*5,*5,*8,*9,2,7,*1,*8,4,*5),(1,3,3,*8,6,*1,4,5,3,*1,3,8)</t>
  </si>
  <si>
    <t>15878,431946,11776,4563721,547,85,812,6322,468,93,5353245,18,89,13561,1966</t>
  </si>
  <si>
    <t>(*4,*8,*1,*4,*9,*9,*7,6,*8,*3,*8,*4),(2,*1,8,*4,*4,*6,*2,*8,*1,*4,*4,*1),(9,*1,5,*4,*9,8,*6,7,6,3,*1,1),(6,*9,*4,2,*8,*1,*6,*2,*9,*6,2,7),(5,2,*9,6,*8,*8,1,*1,*8,*3,*5,*4),(9,7,*9,*4,*8,*3,*9,*7,*1,*6,5,*9),(*8,2,*3,*9,*9,2,2,*9,6,4,7,4),(*5,*8,*9,2,3,7,9,3,*4,2,*1,2),(*2,*4,*6,*2,*5,*4,*3,4,5,5,*4,3),(*6,*1,7,2,*9,*6,3,5,*4,*9,6,2),(*4,2,*1,7,*7,7,2,5,4,*3,*2,*5),(*2,*8,*4,*3,2,8,2,*6,*6,5,9,3)</t>
  </si>
  <si>
    <t>61793,4625,45381,523,3673,49,66,4814997,38,14,284,692618,886,46258,1441826</t>
  </si>
  <si>
    <t>(1,3,7,6,9,5,*5,6,*1,*4,3,2),(7,7,*1,7,9,*6,2,2,*9,*1,*6,5),(*2,*4,8,*9,*7,7,5,1,7,5,*2,6),(8,*4,7,*4,*8,*4,6,2,*7,6,*7,5),(7,*1,*1,8,*4,*2,3,*5,5,1,*9,*4),(3,*5,*7,*1,*9,*6,*7,3,*7,5,*6,8),(*5,*9,*7,5,*4,*5,*3,*8,2,*7,*7,7),(*4,*4,*9,*2,*9,7,9,*5,*3,2,*6,9),(5,*8,*5,7,*1,3,*7,*6,*2,*1,7,*8),(7,5,*3,2,*3,2,*2,5,5,*6,*4,3),(1,6,*1,*1,*8,3,*7,*4,*2,*2,*1,5),(3,3,*4,*2,7,6,*5,*1,*6,*4,*1,*1)</t>
  </si>
  <si>
    <t>138,42,41,4948,95757,8677,1162536,621,49,5514765,77953,627967,14615,727,11</t>
  </si>
  <si>
    <t>(8,9,2,6,7,1,3,5,7,2,1,6),(4,8,*9,*9,*1,*7,*3,*8,*5,*5,*6,6),(2,1,8,*5,*9,3,3,5,*9,*5,*1,3),(4,1,9,8,*1,4,7,5,*8,8,3,9),(*5,8,2,5,2,*9,*6,*7,*3,4,*5,8),(*9,7,*1,4,*1,2,*8,6,*9,*4,*1,*9),(*9,*9,4,*1,*9,*7,*7,*6,*5,*9,2,4),(*9,*1,5,*9,3,*9,7,*4,*8,8,7,8),(*1,*1,4,5,*5,*1,*7,*2,*8,*9,*9,6),(*9,2,*1,*9,3,*9,*3,*5,*6,*7,3,2),(*6,4,*2,*8,*7,*2,6,7,*5,*6,1,8),(4,*5,*7,*1,*2,*5,8,8,*3,*8,*2,*5)</t>
    <phoneticPr fontId="1"/>
  </si>
  <si>
    <t>975,51986,951,78,7974545,2175,5999196,5283,98232,917385,376,19,65,29597,99</t>
    <phoneticPr fontId="1"/>
  </si>
  <si>
    <t>(4,5,5,*5,*3,*1,*4,2,9,*8,9,6),(5,6,*1,4,7,5,7,6,*7,6,*3,1),(*3,6,*2,6,2,7,2,*6,9,*1,*7,6),(*8,9,*2,*2,2,*7,*8,*2,*2,*1,4,*8),(*7,*3,*4,*9,*2,*7,9,*8,4,*2,*1,*3),(6,*9,*8,3,*7,*1,*8,*4,6,*7,*3,*6),(1,*4,*2,*4,5,*9,2,*7,*8,2,*8,6),(6,*9,*5,*1,9,*1,4,*6,2,*4,9,4),(*7,*9,3,4,5,*1,*2,*9,*4,4,8,1),(*8,*7,*7,9,6,*3,7,*9,1,9,7,6),(4,*6,*8,6,*8,*5,*7,*9,*7,*7,4,3),(5,*2,9,5,*7,6,4,5,3,9,7,4)</t>
    <phoneticPr fontId="1"/>
  </si>
  <si>
    <t>4769,349,94486,5477867,83,21,76167,988213,11,951,57977,2679949,122,4135,87</t>
    <phoneticPr fontId="1"/>
  </si>
  <si>
    <t>(3,*7,*5,*8,*7,*7,*1,*1,5,7,1,9),(3,9,9,1,6,8,*2,9,*7,7,8,6),(3,2,3,5,3,7,9,8,6,*6,5,*2),(4,7,*3,1,5,*9,*3,*8,5,2,*7,*1),(*1,4,5,*2,4,9,8,8,2,7,1,*3),(9,*3,4,1,*9,*9,*5,*6,*4,*1,2,*2),(1,2,*7,8,4,*8,4,7,1,*9,6,*8),(6,1,3,*3,3,2,*8,2,*6,*7,3,*1),(6,8,*2,*3,*6,*9,*6,*5,*6,*1,9,*4),(2,*5,4,*8,*1,*8,*3,*4,*9,*3,*8,1),(3,*2,5,7,3,6,1,6,8,*2,6,9),(3,*8,8,9,9,4,5,1,1,*6,4,4)</t>
  </si>
  <si>
    <t>834,3731,528,7671,56,95641,623179,76,32988,2369656,839,81,2132814,12,75877</t>
  </si>
  <si>
    <t>(7,7,5,*1,*8,8,2,*4,*4,*9,5,2),(6,3,*7,9,*6,*1,1,*4,8,6,5,7),(4,7,*8,8,4,*1,*5,*9,4,6,6,7),(1,3,*9,*7,*1,*6,*6,*6,5,6,4,*5),(*2,9,*6,7,4,*8,2,*2,*4,*5,*9,3),(*6,*6,3,8,8,2,*8,7,*8,*4,2,1),(8,*5,*5,9,4,4,*5,*6,*7,*3,1,5),(7,*8,*5,*7,4,*6,8,8,*6,4,8,8),(*5,4,*7,*4,*1,*5,1,6,9,*4,9,5),(*2,8,3,*1,*9,*9,3,7,*5,*2,*5,2),(1,4,6,9,*6,*1,3,1,8,5,5,*3),(7,5,7,9,5,*1,1,3,2,7,4,6)</t>
  </si>
  <si>
    <t>81564,956,52,58,7896,16178,7495,449,617,95,194556,8866453,17562,52,3826161</t>
  </si>
  <si>
    <t>(*1,*6,*4,*7,1,*5,*1,*3,*8,*2,*6,*9),(7,1,5,*8,1,4,1,4,4,6,4,4),(1,4,5,*9,2,6,2,3,*9,7,3,*8),(4,4,8,*5,*5,*9,*3,2,*4,6,7,*8),(6,7,*5,*1,4,1,*6,4,*4,8,4,*3),(2,6,*2,*7,6,3,*6,8,1,5,4,*8),(5,2,*2,8,6,6,4,*7,*8,5,9,*9),(1,7,*2,4,4,5,*9,*2,*1,*1,*9,*7),(2,1,*6,9,9,6,4,*2,5,2,*7,3),(1,3,4,*7,7,4,1,2,*5,2,3,5),(5,4,*2,*1,*5,*4,*7,*8,*4,*6,7,1),(8,6,2,3,1,*7,*7,*6,*9,*9,*8,8)</t>
  </si>
  <si>
    <t>99677,663,5138269,92119,95,8652,67,87,789517,461,2225,77,2154784,449,98388</t>
  </si>
  <si>
    <t>(8,8,7,*5,6,4,3,8,2,3,7,1),(9,4,*4,7,2,1,4,8,2,1,2,4),(5,*9,6,8,8,9,5,*9,*9,*2,9,1),(*3,4,7,5,3,7,*2,6,*3,*1,1,3),(9,7,6,4,*9,*9,*1,*4,*1,4,4,*8),(*3,*5,*6,*3,*2,8,8,2,*8,7,*8,*6),(6,3,*9,*2,*1,*4,8,*4,*9,4,*7,*7),(6,*3,*3,9,*7,3,8,*6,*8,3,*9,*9),(9,*8,9,1,*1,5,6,*1,3,9,*8,*7),(*8,2,7,2,*2,8,4,*7,4,5,*1,*5),(3,9,9,9,*4,3,3,*3,1,9,*1,*7),(5,6,7,3,*3,2,1,4,6,7,*9,5)</t>
  </si>
  <si>
    <t>356,141,37164,31898,12,5493,41,7579768,9118978,992,21,3939,342171,92,22388</t>
  </si>
  <si>
    <t>(6,1,*4,3,7,5,1,9,*7,*8,6,1),(4,3,*4,3,6,8,9,5,9,8,8,5),(2,7,*6,9,4,7,8,8,9,3,1,1),(3,9,*9,2,*8,*9,2,7,3,7,1,3),(1,5,*2,2,9,6,5,5,5,9,*5,*5),(1,8,*8,*9,*4,*4,*2,*1,7,4,*5,*9),(9,6,*9,7,*1,*1,*3,*3,*7,*2,*8,*8),(1,*2,*1,*8,*3,*4,3,5,4,*9,*5,*3),(5,*5,*8,3,4,3,6,7,*4,8,3,*1),(4,*4,7,6,8,8,8,*3,*1,*9,*9,*6),(2,*6,9,1,1,4,*6,1,9,5,3,*1),(2,1,1,7,9,*9,5,6,8,4,4,4)</t>
    <phoneticPr fontId="1"/>
  </si>
  <si>
    <t>98,43812,289,18,5855,4469289,78,199,96349,546,55,12449,3119,273311,5983161</t>
    <phoneticPr fontId="1"/>
  </si>
  <si>
    <t>(9,3,2,*9,6,2,4,*2,*4,5,5,1),(7,*2,7,*2,*6,1,5,2,6,9,4,9),(5,*7,1,3,*6,*7,3,7,7,*8,*3,*4),(8,*4,5,7,2,*6,*3,7,3,*1,8,*1),(2,*4,7,2,*5,2,*9,*6,1,*3,4,*8),(2,9,9,*5,1,7,3,*9,6,*1,4,*3),(5,*5,*2,3,8,8,*7,6,*3,*6,2,*4),(2,*7,*7,9,9,6,*9,*4,2,*1,4,*2),(2,*6,7,5,6,7,*2,6,*6,*5,*9,*8),(*3,*2,8,6,8,9,*6,*7,*2,*4,*4,4),(2,*5,3,7,7,6,3,4,1,7,5,9),(4,3,4,6,8,*8,*5,*4,*8,*1,6,3)</t>
  </si>
  <si>
    <t>24,52675,552,83,4183428,746,763,85481,92,4472,266993,63769,4276,49,8131615</t>
  </si>
  <si>
    <t>(5,*8,*8,*5,*1,*9,*4,4,*5,3,5,2),(6,8,*9,9,8,2,6,4,*5,7,1,6),(5,6,*4,5,7,5,*7,7,*8,4,4,9),(8,9,*4,5,2,*7,6,2,*3,6,5,9),(6,5,*7,5,*8,*3,*4,*7,*1,*7,*2,3),(6,1,*7,*4,3,3,4,*1,7,1,4,5),(3,*7,*8,4,6,3,*9,*7,*2,*1,*9,1),(4,*7,*3,8,4,*1,5,1,6,4,6,4),(*5,2,3,*7,*6,4,9,5,3,3,9,9),(4,3,3,*4,8,7,*4,*3,*4,*3,*2,*2),(5,*2,*3,*9,3,1,4,1,2,4,7,2),(7,*3,6,2,*6,*6,*3,*1,*1,4,7,4)</t>
  </si>
  <si>
    <t>27174,7219,885194,11,737,3855,5784877,77449,239,366,1916433,44,37,43,22343</t>
  </si>
  <si>
    <t>(*7,3,9,8,4,9,*8,*5,*4,*6,*5,7),(*2,6,3,4,1,1,1,3,5,*6,2,4),(*6,6,7,6,9,5,3,7,8,*4,*9,2),(*7,3,8,5,1,9,7,1,7,*5,*4,7),(2,2,6,*4,6,5,9,3,*1,*4,*7,9),(2,1,*8,1,2,4,*4,*6,8,*9,*1,*2),(1,*1,4,6,4,*4,*9,*2,*7,2,*3,*1),(3,4,*8,2,*3,*4,8,4,*2,*3,*9,*1),(3,7,1,*1,*5,8,8,6,*6,7,*6,*9),(1,6,*6,*6,*3,8,6,3,7,6,*2,*3),(1,7,5,8,5,*8,1,6,8,1,7,*5),(*9,*2,*8,*3,1,6,*9,4,8,5,9,*4)</t>
  </si>
  <si>
    <t>66,49,4713962,7627,726,54961,2119354,344,27,181389,336,94546,84,85465,3829</t>
  </si>
  <si>
    <t>(5,2,4,3,9,3,3,7,*7,7,9,1),(*3,1,3,*4,4,1,7,5,8,*1,1,1),(1,*6,5,*2,*4,*5,*2,*8,*8,7,*9,5),(1,5,*7,3,*8,*4,2,6,2,6,3,*1),(7,*4,7,*9,6,*2,*9,*3,*6,*2,6,*6),(5,*1,4,3,*8,2,*6,*5,8,5,2,*5),(4,5,*4,*2,*3,*8,9,*8,*7,5,7,*9),(8,9,2,4,*1,9,6,8,3,*5,*5,*9),(*3,*1,*8,8,2,1,5,8,4,5,5,*5),(*3,*6,*8,5,6,6,6,2,4,3,7,*5),(5,9,6,7,*6,*8,*2,*9,*3,2,9,*2),(8,*4,*7,*4,*7,*7,2,9,5,7,1,5)</t>
  </si>
  <si>
    <t>5759444,367988,7191,28268,55,5288,68293,31,2559956,362,318,47477,14,42,368</t>
  </si>
  <si>
    <t>(7,*2,*4,*5,8,*3,*7,*7,*2,*8,5,1),(*2,8,8,2,*9,5,3,3,1,*1,6,3),(*2,5,9,4,6,*4,2,6,*4,*2,4,1),(*8,2,9,5,1,6,*9,8,7,*5,2,5),(*8,1,7,6,4,8,*1,*2,*3,*5,3,8),(*4,*6,*4,*6,9,2,*7,*6,8,*9,8,4),(3,5,4,4,9,*6,*7,9,8,*8,9,1),(4,6,5,7,*8,*4,5,5,5,*5,2,1),(4,9,1,*1,*3,*5,*5,*2,*9,*9,4,5),(6,1,*1,*8,2,*2,*6,*5,*3,*4,3,8),(8,*3,6,9,4,3,*5,*8,*1,7,4,6),(*9,8,9,6,3,4,9,*5,*8,*1,7,2)</t>
    <phoneticPr fontId="1"/>
  </si>
  <si>
    <t>834763,56,82949,2288,992,37728,542,42,43562,25,9311867,5895521,581,91,6464</t>
    <phoneticPr fontId="1"/>
  </si>
  <si>
    <t>(9,1,2,9,4,6,*7,*2,*6,*8,8,8),(5,*2,*2,*1,7,*6,*9,8,5,4,*7,2),(4,*7,9,9,6,*8,*6,5,8,*9,8,6),(5,*3,3,7,7,*3,*9,*9,*3,8,4,4),(4,*3,7,1,*5,*7,8,*6,1,6,9,4),(8,*7,5,*2,8,*3,*7,9,4,8,2,9),(1,*5,*3,6,8,*6,7,2,1,*3,1,9),(4,*8,5,7,*4,*7,*6,*6,*4,*6,2,5),(*2,4,7,*5,9,4,9,9,5,*6,1,9),(5,4,*1,8,2,6,2,9,8,4,5,6),(5,1,2,9,3,4,3,4,*9,6,1,1),(*2,*5,*3,*1,*3,*7,*5,*5,*5,*8,*4,*4)</t>
  </si>
  <si>
    <t>21,28325,44855,95,9697,95,268,7664,366,69,3676451,573372,793,37386,5731352</t>
  </si>
  <si>
    <t>(6,3,1,3,*1,5,4,*3,5,9,1,3),(2,2,*7,3,6,*2,6,*9,1,5,*1,2),(*3,9,*7,1,*8,8,*9,*9,6,*7,2,9),(*7,5,4,5,*2,3,4,*6,6,4,6,4),(*4,8,3,6,*5,*3,*8,1,5,1,5,6),(*1,9,*8,9,*8,*3,4,8,7,*4,*5,*4),(*7,8,*2,2,*4,*6,5,6,9,9,6,3),(*9,5,*9,5,4,*1,3,*4,*8,*9,*7,*8),(3,9,*3,*2,*1,8,1,*8,*9,*3,*4,6),(6,7,*2,8,2,6,1,6,8,2,9,3),(9,*4,*2,*6,*8,*5,*1,*8,4,2,5,3),(8,7,4,6,3,*1,*2,*9,*9,*5,*1,*6)</t>
  </si>
  <si>
    <t>454,8934,971473,1296,38,77,48978,4268518,1299516,71,361,399,82584,21,82932</t>
  </si>
  <si>
    <t>(3,1,1,2,*9,*9,*3,*8,*8,5,7,7),(5,3,9,9,4,*6,*5,*6,*5,*7,*9,*6),(6,7,*7,*9,*9,*2,*7,*6,*3,1,4,4),(6,*4,*9,*2,*9,3,*6,5,3,*6,9,8),(6,9,8,7,*8,*5,6,2,1,3,*3,*7),(6,1,8,9,*8,*6,*6,4,*2,*5,*5,3),(1,2,6,*7,6,*2,6,7,2,*3,*7,4),(2,1,7,1,1,*7,4,5,*5,*1,9,9),(3,3,*3,*4,*4,*2,9,*6,*4,4,*7,6),(2,3,*7,5,6,*3,*5,*1,6,8,*3,4),(4,*5,3,5,9,*9,*7,2,5,7,8,8),(8,8,5,1,9,*9,4,6,3,9,8,2)</t>
  </si>
  <si>
    <t>574,4929,66587,2723,363,714179,9565357,443,52,66,98,6975656,37,99388,79927</t>
  </si>
  <si>
    <t>(8,9,2,*2,*1,*9,*8,*5,1,3,4,1),(9,7,3,2,2,5,*9,*4,*4,*5,*3,*4),(3,4,*4,*3,*5,*9,*1,*1,*7,*2,6,9),(2,8,4,3,*9,*4,2,*3,*4,*4,*4,*8),(3,8,9,*9,6,4,8,1,7,6,1,9),(*6,6,7,*2,*6,*6,*9,*7,*5,*3,1,4),(*6,3,7,4,5,9,3,*3,6,8,9,8),(*5,*8,*5,1,8,3,*7,8,*2,1,9,2),(*6,4,5,2,5,9,3,*3,9,*8,1,5),(2,*2,4,4,5,3,5,7,*8,4,*5,4),(2,*9,5,8,9,7,9,2,4,7,6,2),(5,*7,*8,*5,*4,*1,9,8,4,1,2,2)</t>
  </si>
  <si>
    <t>5823,78541,435449,6656,425,2669753,92,94,34448,29,585,4359117,738,21985,72</t>
  </si>
  <si>
    <t>(2,5,8,*6,9,8,9,1,8,*3,1,5),(2,7,*9,9,2,3,5,1,*9,9,3,3),(1,*1,2,9,3,8,*8,*4,9,5,6,9),(7,*3,9,3,8,*8,*6,*7,4,8,5,2),(6,*4,*8,1,*9,*2,4,2,*5,1,4,3),(3,*6,5,*2,*3,8,9,2,4,*1,7,5),(1,*8,*2,5,*5,*8,6,*7,*5,*8,*7,4),(*3,*5,8,*7,8,*2,8,3,*4,7,1,7),(*2,*4,*6,3,8,*1,1,*6,8,5,9,2),(*9,*8,*5,*5,*8,*7,*2,5,8,1,3,9),(*7,6,7,1,8,*2,5,2,9,7,3,9),(*1,4,3,2,*6,*4,*9,*8,*2,*5,*3,2)</t>
  </si>
  <si>
    <t>691,82172,57,7517,22988,326493,32971,55,3468548,48,2648,576,35,6498253,855</t>
  </si>
  <si>
    <t>(1,8,1,7,5,1,2,4,6,7,9,2),(6,*8,*3,*1,*3,*8,*7,*3,*3,4,5,2),(2,*2,3,3,5,*8,*4,*2,*2,5,*2,6),(2,*9,*6,4,4,8,*8,*8,*3,*7,3,3),(6,*3,1,4,*8,*5,*8,9,*6,7,2,*3),(4,*6,4,1,*1,3,8,*3,2,4,*8,*9),(7,5,8,*1,*1,7,*4,8,5,*4,*5,*1),(1,4,9,*4,8,*2,4,9,*4,*7,*4,6),(2,3,6,*6,4,1,7,*8,*2,*2,9,9),(2,6,7,*5,*1,9,*1,*3,*4,*1,3,8),(4,4,2,1,*2,6,*1,*9,6,5,*2,5),(8,5,7,2,*9,*3,4,4,3,5,8,*7)</t>
  </si>
  <si>
    <t>129,384481,63928,127,883,81,3138733,62,12,9572313,1465,14249,8422,58,27634</t>
  </si>
  <si>
    <t>(2,3,2,5,4,1,7,1,4,7,7,9),(*2,4,4,4,1,6,*2,*1,*7,*8,*3,2),(6,*8,*6,*3,*8,*8,9,*8,8,3,9,3),(5,1,*9,*5,1,*4,4,*1,6,3,3,6),(1,3,*3,*8,*4,4,9,*2,9,5,6,9),(1,2,2,*5,*9,1,5,*1,2,8,8,1),(*2,8,4,7,*7,3,1,*1,2,2,1,5),(*4,8,8,2,6,7,1,*7,7,6,3,*5),(*8,5,9,*4,*1,*7,*6,*8,5,7,4,*1),(5,9,7,*5,*8,*5,*6,*1,*5,9,4,*7),(*6,*5,*1,*3,*1,*7,*1,3,7,4,6,*7),(7,5,9,1,*1,*2,*7,*1,*5,*2,4,9)</t>
  </si>
  <si>
    <t>83,79,51658,248,98982,8121178,48,6513171,7715,456,6714,753,15,38712,251721</t>
  </si>
  <si>
    <t>(7,5,4,4,2,9,4,4,3,6,8,6),(9,2,*2,*9,*5,*7,*1,*4,8,1,8,5),(5,4,6,7,*7,*2,*6,*6,*1,*5,*1,9),(4,9,7,9,*3,8,5,9,*4,*3,1,9),(*2,*9,*8,*8,*7,*3,2,4,2,5,6,2),(*3,*6,*8,3,*8,*3,2,*8,9,2,9,5),(*1,*2,*5,6,*5,*7,1,*3,9,*3,1,4),(*2,*9,8,*9,*4,*9,2,*5,5,*9,5,9),(*3,9,*5,3,*9,9,4,*5,*8,2,3,2),(3,8,7,*2,9,1,1,*1,3,*5,4,5),(9,9,7,9,*9,1,*7,*4,8,8,*5,9),(5,6,6,8,8,*2,4,*9,9,9,7,8)</t>
  </si>
  <si>
    <t>417592,89,45873,882,34,93,3213,558,3379,9415538,1516627,549,95292,79,26599</t>
  </si>
  <si>
    <t>(2,*1,8,9,5,*3,*5,*2,*2,*5,8,7),(9,*5,*2,4,*9,*4,*5,*1,*5,4,6,6),(6,*7,*4,2,8,*5,*9,*3,*5,4,6,5),(4,*2,*2,*3,*7,6,3,3,2,4,1,9),(4,1,*2,*1,*4,5,8,9,*7,*5,*7,5),(6,2,*6,*2,*2,7,1,9,6,*3,7,2),(3,8,*5,*7,*1,8,3,6,*8,7,9,3),(4,7,*4,*9,*6,8,2,*3,7,9,9,7),(9,3,*5,5,*1,2,*5,1,3,9,3,3),(1,*8,*5,*1,*6,*1,3,2,4,6,9,*1),(8,8,*6,2,*5,3,4,6,6,5,7,*8),(8,*6,*5,5,4,7,7,9,6,8,9,1)</t>
  </si>
  <si>
    <t>35225,72,5935,1572,4562242,16,757,851,31279,383515,94515,18,7421616,556,56</t>
  </si>
  <si>
    <t>(3,*8,*6,*9,*8,*4,*5,3,7,6,3,9),(6,3,3,4,8,3,1,5,1,*6,*8,*8),(3,9,3,8,5,6,3,3,6,1,4,2),(8,1,7,9,1,3,*2,2,3,6,5,8),(6,*2,*7,*4,*8,*9,*8,*5,*6,*2,*8,*8),(4,7,*1,*3,*3,*8,*2,*8,*2,9,2,3),(5,5,8,5,2,*1,8,*2,*7,*8,*9,*5),(9,2,2,*8,*2,*4,*8,*2,*5,*6,5,1),(4,7,4,*4,*4,*8,3,2,1,2,4,3),(8,5,5,*9,*1,*1,1,*4,7,5,*6,*3),(4,4,4,*2,*7,*7,*8,1,7,4,2,8),(9,1,5,*1,1,*3,*2,*6,1,4,7,6)</t>
  </si>
  <si>
    <t>36,14817,6528,1338282,548968,71,92,2748985,12948,241,84,27895,8826,688,326</t>
  </si>
  <si>
    <t>(1,*5,*6,*6,*4,*4,9,5,8,2,4,4),(6,4,1,1,8,2,2,5,2,1,3,1),(*1,5,*5,*8,*4,*3,*9,*8,6,*5,3,2),(*6,3,7,2,7,4,*6,1,*7,*8,*8,5),(7,7,5,7,*7,1,*7,*3,1,*4,*5,9),(2,5,1,1,*5,9,*2,*8,*7,*2,*1,9),(8,8,8,3,*8,9,2,2,4,*3,*8,3),(5,4,4,3,*9,3,6,5,6,*6,*2,5),(1,7,5,8,1,9,4,9,6,*3,8,5),(5,5,*2,*1,*7,*5,*1,*7,*9,9,6,2),(7,6,4,7,*1,*2,*2,*2,*9,5,1,3),(1,6,*2,*3,7,*5,*1,*8,*1,*7,*3,*3)</t>
  </si>
  <si>
    <t>248,7589,5181733,87,363,5732,92221,571,56644,9715712,23,893485,85182,67,61</t>
  </si>
  <si>
    <t>(8,4,*4,7,*4,9,9,8,4,1,1,7),(3,2,*4,9,*5,5,*9,*5,*2,*2,*2,*8),(5,6,*8,3,*7,9,5,8,4,*6,*7,7),(1,*8,4,5,*3,1,7,*5,*7,*6,3,5),(*8,8,6,9,4,8,*4,*1,*1,*3,*8,1),(9,4,*4,3,1,*7,*7,*1,8,*4,6,3),(4,7,*8,*1,5,*3,5,8,*6,4,4,3),(3,5,*3,6,*3,2,9,*5,3,9,6,7),(4,6,*1,5,6,*3,*8,9,2,1,1,2),(3,5,*2,1,*4,*8,1,8,*5,8,1,3),(7,1,*6,*6,*9,*7,*6,*8,*1,*2,6,1),(6,1,*5,*8,*5,*4,*3,2,6,6,8,4)</t>
  </si>
  <si>
    <t>8543,44,888,46588,4573,5621384,337176,138,745,43,81,11678,2186796,51,95222</t>
  </si>
  <si>
    <t>(5,*1,*2,*6,*3,2,6,*1,*6,*1,*1,*6),(5,3,5,*7,5,*7,4,5,7,4,4,9),(3,4,5,*5,2,8,*8,*7,*6,8,6,3),(7,8,*3,*7,9,5,2,*4,7,3,3,4),(6,5,2,*7,8,2,5,2,*9,1,8,1),(3,7,4,*4,*9,*4,6,6,2,*9,8,3),(1,7,8,*1,3,4,4,7,1,1,*6,3),(1,2,5,*4,3,4,6,4,6,6,1,*9),(1,2,2,*5,7,4,*8,*5,*2,*9,*5,3),(2,8,1,*1,*4,*8,*8,*1,*8,4,3,3),(4,3,7,*7,*6,3,8,*6,*6,*2,*9,*4),(2,6,5,*3,*5,*3,*5,*5,*9,*4,3,4)</t>
  </si>
  <si>
    <t>59,757,76,48818,414517,9699487,66294,4955353,618,973,94,8529,3621,46,16116</t>
  </si>
  <si>
    <t>(*6,*4,*6,*2,7,3,5,1,1,3,1,*7),(4,6,1,6,5,*8,7,*2,7,7,2,*7),(7,6,3,2,5,*1,*6,3,*5,7,3,*6),(9,4,*9,2,*4,*2,1,*6,7,*3,7,*3),(4,3,*4,4,*2,*8,3,7,*4,1,3,*9),(*3,*1,7,6,*2,*8,*5,9,2,*6,4,5),(6,*6,*6,7,*3,*3,*3,*3,4,2,*3,5),(8,9,*6,*2,2,*4,*7,*2,1,8,6,6),(1,6,3,*8,*4,*3,*6,*8,5,1,2,9),(6,7,8,*7,*7,*7,*2,6,9,7,8,5),(6,5,1,2,8,*6,*1,*7,5,7,2,3),(1,1,1,3,6,4,*1,5,3,5,8,3)</t>
  </si>
  <si>
    <t>3224,66463,723,74261,49,537621,6462,253,77639,358,82,37,87,1678663,4388218</t>
  </si>
  <si>
    <t>(3,8,7,5,3,7,9,4,3,*1,4,1),(9,9,9,3,6,3,2,2,4,*3,*9,*7),(7,8,*8,*3,*8,*9,*7,7,*4,*4,1,2),(*2,*3,5,9,*7,4,9,7,*7,*2,2,6),(9,*6,3,1,*5,3,5,*7,*5,5,9,9),(1,*1,1,7,7,4,*2,8,*5,3,3,3),(6,*1,2,8,3,*7,4,9,*5,9,2,6),(6,*8,6,*9,*8,6,4,*2,*9,6,7,*2),(2,*2,*9,*6,*5,3,8,9,*2,6,4,*1),(3,*9,6,*8,3,*4,5,7,*2,2,7,*9),(7,*6,2,9,*3,5,*4,*7,*9,4,7,*5),(*3,*9,*2,*9,7,1,5,*4,*3,8,7,*4)</t>
  </si>
  <si>
    <t>2431,79838,983,3922955,95444,793,73,772786,32,6928116,475,75,9293,45912,22</t>
  </si>
  <si>
    <t>(9,5,9,7,*2,*4,*9,*7,*3,*4,*7,5),(8,4,2,2,*5,*3,*6,8,1,*3,2,*5),(5,2,9,5,*5,8,*6,*6,*1,*2,*4,2),(2,5,9,*4,2,*4,9,*5,4,*5,7,1),(4,6,*6,6,*9,*2,*4,8,*5,2,9,5),(3,*3,*9,*9,9,*8,6,*5,1,9,6,4),(*4,*8,*9,*1,*1,7,*4,6,4,7,2,2),(2,*9,*1,*7,*5,2,4,*2,9,2,3,9),(8,4,2,*8,1,*6,7,*7,6,2,9,8),(7,2,2,3,*4,9,*5,*7,6,8,2,4),(2,5,1,3,7,3,4,*3,9,4,7,5),(2,5,9,9,3,6,4,*9,*8,*9,*6,*5)</t>
  </si>
  <si>
    <t>82,7437942,612,739,98,7184513,43645,5698,27,91565,545554,635,99946,8184,65</t>
  </si>
  <si>
    <t>(6,9,3,7,1,4,9,*7,*8,*6,5,*2),(2,9,5,*9,5,4,2,1,2,8,*8,9),(9,*6,*5,*2,3,2,9,6,8,*8,2,4),(4,7,6,*9,6,4,*3,4,*7,9,8,3),(3,5,9,*2,5,3,7,*5,6,2,*9,8),(4,7,1,*4,2,3,6,6,*4,*1,2,*3),(*4,*4,*1,*7,*5,1,7,9,*6,7,7,*4),(3,5,4,*4,*3,*6,7,*2,3,2,*8,*3),(2,7,*3,2,1,4,*9,7,5,3,*4,*5),(4,*9,8,7,5,7,7,1,6,3,8,*5),(*1,6,*7,*3,*2,*4,*1,*2,*9,*5,5,*5),(*8,*3,*6,*4,*6,*9,*4,6,2,*9,*8,8)</t>
  </si>
  <si>
    <t>974,63,4417,354,65,5921423,42929,343555,84,92619,98,687,8364694,54391,7882</t>
  </si>
  <si>
    <t>(7,*3,*9,1,5,7,2,7,4,*1,9,5),(6,1,*5,*3,4,7,4,3,*4,7,9,1),(1,3,8,*6,*3,7,6,*9,4,1,*2,8),(7,*9,*4,*2,*1,*8,*3,1,4,*9,*5,*8),(2,*7,*3,8,9,*3,*5,*6,*7,1,*5,*4),(1,*4,9,*6,*8,2,5,*8,5,6,*6,*1),(8,*9,4,*6,*8,3,*3,3,*1,8,*2,*6),(5,*3,2,*3,*7,*4,3,4,3,*3,*8,*4),(9,*3,1,3,*1,5,*2,4,6,8,*2,*7),(3,3,*3,*4,8,7,*7,4,4,6,5,*2),(1,4,4,8,5,9,7,1,6,1,8,*7),(1,5,4,7,3,9,3,9,1,6,2,*9)</t>
  </si>
  <si>
    <t>6833941,1653,132,67,2978341,93385,124,647279,8639,37,43,841,82655,33947,27</t>
  </si>
  <si>
    <t>(*2,*2,*1,*5,*4,*1,*2,*1,*3,*2,*1,2),(7,2,5,2,3,9,7,9,5,8,3,6),(6,8,9,9,1,9,5,7,8,9,6,2),(*4,6,7,5,3,*2,2,7,3,*5,8,*7),(*8,8,*9,*5,*4,1,5,3,*6,5,*1,8),(*9,6,8,*1,2,7,*8,*8,*9,*7,1,6),(*1,*7,*2,1,5,*4,*4,2,*3,*7,2,6),(*8,*7,*9,3,*8,6,3,*8,6,*9,*2,6),(8,3,3,*3,*9,5,*4,*7,9,*3,*3,9),(1,1,*1,*2,*2,*2,*6,1,9,7,*1,2),(8,*2,1,*7,2,*3,9,4,9,4,2,6),(1,2,5,*5,5,1,1,9,9,4,7,7)</t>
  </si>
  <si>
    <t>7173842,572,72142,5684,367,279,1231,23979,39,2145122,31,81984,89,848312,95</t>
  </si>
  <si>
    <t>(7,2,*8,*3,*2,*7,7,3,4,6,1,7),(9,3,2,3,6,5,9,8,6,6,9,4),(7,2,*2,2,*7,*5,*4,*5,*2,*9,*1,7),(5,7,6,*8,1,7,*3,*6,6,2,1,6),(6,3,*2,*4,*5,*9,3,*6,1,3,6,1),(2,4,*1,*1,*9,5,*3,*1,5,2,2,3),(1,*5,2,*6,*3,2,*2,*9,4,*5,*1,5),(*2,9,*2,9,5,*8,*2,6,*5,5,1,3),(5,4,*4,9,*9,*1,*8,*1,2,3,5,5),(6,7,*8,3,*4,9,*7,*3,6,9,4,5),(9,6,*4,*8,*7,*5,9,4,*8,9,3,4),(9,2,*7,6,6,5,9,*8,*4,*8,*8,*5)</t>
  </si>
  <si>
    <t>46,16,7238,39962,4152,23,51,7545291,582,57155,784129,484,58848,8388312,749</t>
  </si>
  <si>
    <t>(4,*6,5,7,*2,*1,*9,*6,*6,*1,*3,9),(5,5,*3,3,8,7,*5,*6,2,7,1,5),(3,5,2,*2,*2,4,6,*8,9,7,5,5),(4,9,8,*8,*8,6,1,*2,7,7,1,2),(2,*6,*6,2,5,*4,7,1,*1,8,4,2),(5,*5,3,8,7,9,8,7,7,*1,2,1),(*9,6,4,*4,*2,1,7,7,3,7,*2,*7),(4,1,*5,5,5,3,3,8,9,3,*4,*9),(1,9,5,*5,8,5,2,8,6,*3,*1,*9),(5,4,*7,*9,*9,*1,*1,*6,*8,*6,*9,*3),(8,5,8,9,9,5,5,6,2,*1,2,*1),(5,*7,*7,*4,*2,*4,*8,*4,6,*3,3,3)</t>
  </si>
  <si>
    <t>991168,3166912,112,56,28659,48236,15,3163,24,559,7742484,97,79931,286,2419</t>
  </si>
  <si>
    <t>累計ポイント</t>
    <rPh sb="0" eb="2">
      <t>ルイケイ</t>
    </rPh>
    <phoneticPr fontId="1"/>
  </si>
  <si>
    <t>(*2,*1,*7,*9,*7,*9,7,1,4,3,5,7),(5,6,*8,5,5,*6,4,3,5,9,4,9),(8,1,*4,9,*1,4,*1,2,2,3,1,9),(2,5,*5,8,5,*8,8,*2,7,7,8,5),(9,4,9,*9,*4,1,*6,2,*5,9,6,5),(5,6,*3,*8,9,*5,6,*7,5,*1,9,8),(6,7,*4,*8,8,5,*2,7,2,5,*5,5),(*3,*1,*3,*6,6,1,*6,*8,7,1,3,*1),(*7,*4,*8,*4,*5,8,*5,*7,*4,8,4,8),(2,2,*6,*9,2,2,3,4,*3,4,9,7),(3,3,*8,*1,*7,*6,*5,*3,*3,*4,4,5),(3,8,*9,4,4,5,8,2,4,4,9,3)</t>
  </si>
  <si>
    <t>1867,845,6734,335671,46889,1515216,17979,58,895,58,217,45284,9868343,41,73</t>
  </si>
  <si>
    <t>(5,7,1,9,2,*6,*7,*3,*2,*2,7,1),(9,1,7,4,*8,*8,*9,*1,*3,*2,*8,*7),(1,5,3,9,2,*8,7,9,4,7,*2,9),(7,6,7,4,5,*3,*1,2,8,*7,5,9),(8,6,8,7,5,*5,1,*7,*6,5,1,*9),(3,8,2,8,7,*9,1,9,*7,*2,1,*3),(3,4,9,4,4,*3,*7,3,*4,*7,5,*5),(4,1,3,6,3,*5,6,*1,2,*2,*5,*4),(1,6,1,5,9,*3,*4,6,2,*8,6,*6),(4,2,1,3,5,*3,3,8,8,*2,*4,*5),(6,3,*6,*7,4,9,9,7,3,*1,7,5),(4,7,8,4,5,1,5,*9,*7,*3,*1,*9)</t>
  </si>
  <si>
    <t>76,34142,564539,8891328,2821,71,41,3539538,874,499,19,57771,7276,22376,379</t>
  </si>
  <si>
    <t>(1,9,*8,8,9,2,*7,*9,*2,9,1,7),(9,7,7,*3,6,7,9,8,1,7,8,1),(6,6,8,6,*4,1,3,9,3,3,7,1),(*5,*5,*6,*6,*6,8,*5,2,2,6,8,3),(3,9,7,4,*6,*5,*8,*9,4,4,5,7),(5,1,2,9,4,3,4,*8,*2,*9,*1,*3),(*7,*7,*6,*5,*4,*9,4,*6,*2,6,*1,2),(*4,*1,*5,*5,*1,*1,*8,2,*7,*7,3,5),(*4,*5,6,1,9,1,1,8,2,*4,6,7),(*1,1,*7,*7,*7,*5,*3,*7,*6,2,*6,3),(*3,*4,8,6,5,1,4,9,5,7,5,*3),(*4,6,6,5,1,8,7,8,9,3,9,5)</t>
    <phoneticPr fontId="1"/>
  </si>
  <si>
    <t>43,82913,754,438,776549,4134,297,11,36476,4155118,55,6589,7775376,55666,71</t>
    <phoneticPr fontId="1"/>
  </si>
  <si>
    <t>目標達成／目標未達</t>
    <phoneticPr fontId="1"/>
  </si>
  <si>
    <t>得点１（見つけたサーチワードの長さ、同じサーチワードを見つけたら１つ目はこっちに加算）</t>
    <rPh sb="0" eb="2">
      <t>トクテン</t>
    </rPh>
    <rPh sb="4" eb="5">
      <t>ミ</t>
    </rPh>
    <rPh sb="15" eb="16">
      <t>オサ</t>
    </rPh>
    <rPh sb="18" eb="19">
      <t>オナ</t>
    </rPh>
    <rPh sb="27" eb="28">
      <t>ミ</t>
    </rPh>
    <rPh sb="34" eb="35">
      <t>メ</t>
    </rPh>
    <rPh sb="40" eb="42">
      <t>カサン</t>
    </rPh>
    <phoneticPr fontId="1"/>
  </si>
  <si>
    <t>得点２（見つけたサーチワードの長さ、同じサーチワードを見つけたら２つ目以降はこっちに加算）</t>
    <phoneticPr fontId="1"/>
  </si>
  <si>
    <t>減点１（サーチワードがない所を選択した数）</t>
    <rPh sb="0" eb="2">
      <t>ゲンテン</t>
    </rPh>
    <rPh sb="13" eb="14">
      <t>トコロ</t>
    </rPh>
    <rPh sb="15" eb="17">
      <t>センタク</t>
    </rPh>
    <rPh sb="19" eb="20">
      <t>カズ</t>
    </rPh>
    <phoneticPr fontId="1"/>
  </si>
  <si>
    <t>減点２（見つけられていないサーチワードの長さ、サーチワードが赤になります）</t>
    <rPh sb="0" eb="2">
      <t>ゲンテン</t>
    </rPh>
    <rPh sb="4" eb="5">
      <t>ミ</t>
    </rPh>
    <rPh sb="20" eb="21">
      <t>オサ</t>
    </rPh>
    <rPh sb="30" eb="31">
      <t>アカ</t>
    </rPh>
    <phoneticPr fontId="1"/>
  </si>
  <si>
    <t>減点３（サーチワードが部分的に選択されているためサーチワードが完成していない）</t>
    <rPh sb="0" eb="2">
      <t>ゲンテン</t>
    </rPh>
    <rPh sb="31" eb="33">
      <t>カンセイ</t>
    </rPh>
    <phoneticPr fontId="1"/>
  </si>
  <si>
    <t>(9,4,4,8,3,3,8,*2,3,3,3,*3),(4,4,8,3,5,9,1,*1,6,8,5,*4),(7,6,4,1,3,5,5,*5,6,5,3,*8),(*6,*4,*1,*6,*8,9,5,8,4,6,6,*1),(*8,*2,*8,*6,*9,*7,*4,6,2,8,1,*7),(4,6,8,8,*1,*7,*6,*6,*8,3,2,9),(3,2,7,3,*3,8,*5,*4,*8,*9,3,1),(5,6,6,1,*2,7,1,*9,*1,*4,*6,2),(4,7,7,6,*6,5,*3,4,*9,*6,*8,*3),(8,3,9,8,*5,6,2,*7,7,*2,*4,*4),(3,2,7,5,*2,*2,4,4,*9,*8,*5,*1),(*1,*3,2,4,7,*7,*6,*2,5,8,5,3)</t>
    <phoneticPr fontId="1"/>
  </si>
  <si>
    <t>9132652,3698,973,215,77,64168,762,59925,71843,468484,58,22,31,6828,1461467</t>
    <phoneticPr fontId="1"/>
  </si>
  <si>
    <t>累計１日目標ポイント</t>
    <rPh sb="0" eb="2">
      <t>ルイケイ</t>
    </rPh>
    <rPh sb="3" eb="4">
      <t>ニチ</t>
    </rPh>
    <phoneticPr fontId="1"/>
  </si>
  <si>
    <t>罰（2025/11/8は１）</t>
    <phoneticPr fontId="1"/>
  </si>
  <si>
    <t>(1,2,1,5,*9,9,8,5,8,7,9,5),(*1,7,9,2,*7,6,*7,*1,*6,*8,*8,*1),(*7,8,*6,*7,*4,*2,*8,1,9,2,3,*2),(*2,2,4,6,*6,*7,*8,*3,9,3,*5,*6),(*3,6,2,8,*6,4,2,*4,4,*8,*3,*7),(*9,7,9,*3,5,9,*8,*4,*3,1,*2,*1),(2,5,*3,2,*7,8,6,*8,5,5,*8,7),(4,1,1,5,*9,*8,3,1,7,7,*8,2),(5,6,9,3,*6,*4,4,2,9,7,*6,2),(6,2,*1,3,*4,2,6,8,4,3,*2,3),(2,5,*6,6,*7,3,9,5,6,5,*4,8),(5,3,7,4,3,*8,*3,*7,*1,*5,*8,*8)</t>
  </si>
  <si>
    <t>17239,79647,97,2671,6783,633,3288624,84,67428,188617,85,844,843,61,8371588</t>
  </si>
  <si>
    <t>(*8,*3,*2,*1,*9,4,2,2,8,3,9,8),(9,1,9,7,*2,*1,*5,*2,*7,3,4,6),(7,1,8,2,3,*8,*2,*7,*2,3,*5,9),(8,2,6,8,6,8,1,9,9,*7,8,*6),(2,9,1,8,8,6,4,9,*8,3,7,*3),(*8,*2,7,1,*6,1,*5,*7,1,*1,5,*5),(*2,*4,9,*2,2,*9,*7,8,4,*9,*8,*4),(9,*6,*5,*6,*6,*1,4,8,9,*8,*1,*7),(2,7,5,*2,*4,3,9,*1,4,1,*6,*5),(6,8,*1,*5,*8,*5,*2,*8,*8,1,*8,*5),(6,4,9,7,6,9,3,7,6,*8,*6,5),(9,4,5,9,1,2,4,8,7,8,*2,8)</t>
  </si>
  <si>
    <t>891,881,26,28,656,24,12,4177875,72512,8272,82585,268618,5962,83219,5574536</t>
  </si>
  <si>
    <t>(8,2,2,2,*8,*4,*5,1,1,3,4,5),(5,*9,*3,*2,*5,*1,*7,*7,7,1,*2,7),(8,5,9,*5,*7,3,2,8,9,2,*6,6),(6,5,6,2,6,4,*5,*5,*1,*4,*5,5),(4,9,7,3,3,3,*3,*9,9,*3,*9,8),(1,*2,*7,*9,9,*8,*8,1,2,*2,*9,3),(*1,4,4,8,*1,*3,9,3,5,*6,3,1),(5,*6,2,*1,*2,*6,9,2,7,*6,*3,1),(3,4,*8,*1,4,8,*2,3,4,*6,7,3),(3,9,*3,*7,1,8,*2,*1,4,*2,9,8),(2,*2,1,2,*5,6,4,2,*6,8,1,4),(3,3,6,3,*3,4,5,9,9,*3,2,4)</t>
  </si>
  <si>
    <t>5514,9832132,57861,266623,263,279,3811,9325177,73,62163,63,15,845,26599,75</t>
  </si>
  <si>
    <t>(6,7,7,3,8,9,3,7,4,7,1,8),(*1,*6,*6,*6,*6,5,5,*2,4,4,*1,4),(6,4,1,4,2,*6,*3,*4,9,*2,*3,7),(8,*9,1,2,*4,*2,*3,9,7,*9,*1,3),(1,*3,8,*2,*9,*7,4,2,6,*8,*7,9),(8,*2,*9,*5,2,9,4,4,9,*4,*5,2),(8,*7,7,1,6,8,5,1,*4,*1,4,8),(7,9,*4,*4,*2,*3,*5,*9,*9,9,2,*5),(9,2,7,8,7,7,3,*3,9,2,5,*5),(4,4,4,9,3,6,7,*3,8,9,5,8),(6,1,3,*5,*1,*5,*5,*1,*1,*5,7,6),(9,6,5,7,3,*3,*5,*2,*5,*9,*4,2)</t>
  </si>
  <si>
    <t>339,9953244,66661,23295,89,59,5115515,352594,2984,41,55,734,642,13175,7239</t>
  </si>
  <si>
    <t>(7,9,*9,9,4,2,9,*9,8,8,*8,1),(1,3,2,*6,9,3,*6,6,*4,*2,6,*5),(2,5,4,8,*9,*3,8,*4,*7,7,*3,8),(3,1,5,*9,*8,9,*5,*7,5,*2,8,*9),(1,4,4,*4,3,*2,*8,*2,*6,1,*8,8),(7,5,5,6,8,*6,*7,*8,2,*2,6,*8),(9,5,9,6,2,*3,*1,8,*1,9,*6,7),(*8,4,4,2,*6,*1,6,*2,2,*8,9,9),(*1,6,5,*2,*5,2,*1,6,*2,2,3,6),(*1,1,7,2,1,*4,9,2,3,5,6,4),(*1,6,5,2,8,2,*3,*7,*8,*2,*1,*8),(*4,1,3,3,8,7,6,5,3,6,5,5)</t>
  </si>
  <si>
    <t>873,26372,41118,969,96384,1186235,25,218,8682,4452,11,54,4121289,827786,49</t>
  </si>
  <si>
    <t>(7,3,9,9,9,4,*5,*9,*3,*6,*9,*1),(8,2,9,6,9,2,*6,7,1,3,9,5),(4,*7,*2,*9,*6,*4,*6,7,9,6,6,6),(5,4,6,7,*4,4,*6,2,8,7,*4,2),(*4,5,*6,*2,6,7,*9,*4,1,*8,5,7),(6,*8,*9,*1,5,1,*5,*3,1,6,7,8),(4,*4,*4,8,*3,*9,4,*3,1,8,2,3),(*8,1,7,*3,*9,*5,5,*2,4,6,*5,*2),(9,5,2,*4,*6,*9,*5,*4,5,*4,7,1),(3,1,1,9,*7,*2,5,7,9,*5,9,5),(1,*9,*3,*6,*3,*8,*9,9,7,*8,3,4),(8,6,6,6,2,5,*2,3,1,*2,4,1)</t>
  </si>
  <si>
    <t>287,2854,83639,6442948,196395,84,9263484,55316,7296,45994,32,954,966,35,52</t>
  </si>
  <si>
    <t>(4,1,7,1,8,4,1,4,3,3,5,7),(*6,*4,*1,*8,*9,*5,*4,7,7,7,8,1),(*2,*7,*8,*8,4,7,6,8,5,6,8,9),(6,4,5,1,*8,2,5,9,4,3,1,9),(2,5,9,6,*1,*4,*3,*3,*6,*9,*5,*4),(5,6,2,1,*1,4,*3,*3,*4,*2,4,*6),(*7,*1,*1,1,*3,9,3,*4,*5,1,6,*5),(*4,8,*5,2,*4,*6,9,4,*6,1,2,*5),(*7,8,*9,5,*1,5,5,*2,3,*2,3,9),(*1,2,*5,*6,7,4,7,*9,*5,*6,*8,*1),(*7,9,*4,6,6,3,1,4,1,6,1,3),(*6,4,6,*4,*5,6,5,9,5,7,4,8)</t>
  </si>
  <si>
    <t>4311,29,59633,8843462,17,671747,278,54,45,45951,4598146,18659,342,4655,616</t>
  </si>
  <si>
    <t>(7,2,2,1,6,*5,*3,*5,*2,*8,*3,2),(9,5,7,*2,7,3,7,5,5,8,7,2),(2,1,*9,*4,7,*6,1,3,7,3,5,5),(2,9,*9,*6,*8,*1,*9,1,5,*3,4,8),(4,5,*6,*5,*4,8,7,*7,*2,2,8,7),(6,7,*6,*1,3,*8,3,*3,*9,5,6,6),(5,9,*3,*2,*2,*4,*1,*7,7,8,1,6),(7,5,6,3,*8,*9,*6,1,1,1,5,6),(4,*7,8,4,4,6,8,7,1,5,*5,6),(1,1,*2,1,1,4,3,7,3,2,*6,7),(1,2,9,*8,6,*5,*3,*1,*7,*1,*6,*4),(2,3,7,5,9,3,7,1,6,8,4,2)</t>
  </si>
  <si>
    <t>24651,698,18,95,323,4617135,535283,19,71422,827,6481,7564229,9796,99663,65</t>
  </si>
  <si>
    <t>(5,4,6,3,*5,*3,*5,*9,*3,*7,8,5),(3,6,6,8,1,*3,*1,*1,*1,*4,1,4),(2,9,4,7,5,6,*4,7,1,1,1,*7),(8,4,*7,8,1,*6,5,4,8,4,*9,4),(9,*1,7,5,*3,*1,2,6,1,*3,5,*7),(*4,*1,4,*3,3,8,*5,*8,6,4,*5,*2),(4,*8,2,1,9,9,*1,*9,9,*2,8,*4),(8,*9,3,*4,*1,*5,2,3,*5,4,*7,*1),(1,*5,8,3,*3,2,6,*6,4,2,*3,*5),(8,*2,5,*8,*9,1,*7,4,4,4,*5,*8),(5,*5,5,3,2,7,3,2,5,1,*8,*9),(8,*5,3,3,7,8,5,3,1,3,*4,4)</t>
  </si>
  <si>
    <t>89,8153,1895255,41113,41,76525,3364,951,53,7241589,397,89,739535,714,48537</t>
  </si>
  <si>
    <t>(5,5,5,1,4,5,5,5,5,*2,*1,*4),(1,*1,*7,*3,*7,*2,*5,*5,1,3,5,2),(8,9,7,2,*9,*3,*7,*4,*1,4,8,2),(2,8,*9,*6,9,6,9,1,3,7,2,9),(1,6,3,9,5,8,9,3,8,6,5,1),(*4,3,9,6,*1,*7,*5,*9,*8,*1,*4,8),(*4,*9,*7,*5,*7,6,4,8,5,*6,8,1),(*1,*2,*1,*2,*9,*5,9,7,*8,5,*1,8),(*3,9,2,3,*8,1,6,*7,2,1,8,*2),(*9,8,*6,*1,*2,*5,8,1,7,1,4,9),(*9,4,2,4,4,8,1,*4,*5,*7,*1,*4),(*7,8,5,6,*6,*7,8,*1,*8,5,1,4)</t>
  </si>
  <si>
    <t>7864,96,18,21,59212,175981,14739,76,45714,7993144,285,214,612,9757,5527371</t>
  </si>
  <si>
    <t>(3,3,2,1,1,8,3,5,*1,6,5,5),(4,5,3,6,1,6,1,*3,*9,*6,2,5),(9,*8,6,7,4,8,7,*9,*6,1,*6,5),(*8,*5,*1,*5,9,4,*4,1,6,*7,9,*7),(1,1,3,3,2,*4,2,9,9,8,*6,*2),(4,5,*7,8,*2,*5,5,7,6,6,7,*8),(5,3,*4,6,*6,*1,*4,4,1,2,1,5),(2,9,*3,4,*1,9,*1,*5,6,7,8,6),(9,2,*6,5,*1,5,6,*5,*5,4,9,9),(3,4,*6,*9,*7,4,3,7,*6,*4,7,2),(*3,*5,*7,*3,*9,*4,*6,*1,2,*4,*1,2),(7,7,*1,2,*7,*3,*6,*1,*3,6,*2,*8)</t>
  </si>
  <si>
    <t>515,24499,73613,7436671,8145545,26,88,6763,6117,827,115642,35,79,166,16493</t>
  </si>
  <si>
    <t>(1,*8,*4,*8,*6,1,4,5,*8,7,5,9),(7,4,5,3,6,5,*5,7,*6,4,8,7),(4,1,7,5,5,3,*8,3,*2,8,6,6),(2,4,8,2,6,5,*2,*3,*8,5,2,*2),(3,3,5,5,*9,4,*6,4,6,3,*9,*6),(6,5,6,7,*9,*3,*4,8,2,*5,6,5),(4,4,4,5,9,*8,*6,3,*1,4,*2,*6),(9,6,2,1,*4,6,*6,*3,9,*6,7,*2),(9,6,5,2,3,*7,5,*4,*6,7,*6,*7),(3,*5,*7,*8,*9,*7,*7,2,*4,2,9,*9),(5,*5,*7,*8,*2,*8,*2,*5,8,*2,8,*3),(6,5,7,3,6,9,1,9,7,5,*5,*3)</t>
  </si>
  <si>
    <t>5782825,53,58264,627933,63639,592,477,38,96,22,166,8486,9864425,8628,57897</t>
  </si>
  <si>
    <t>(1,7,6,6,7,*4,*1,*3,*9,*1,9,7),(*9,*5,*4,*3,*1,*5,*7,7,7,3,4,4),(2,8,7,5,4,1,*6,9,1,5,*7,8),(2,9,*7,*6,6,*1,6,8,9,*8,*3,3),(7,3,2,3,*3,6,5,*6,*9,*6,6,3),(1,7,9,*4,4,7,*1,*9,*6,2,3,2),(5,4,*3,4,*7,*2,1,*5,3,*1,*9,*4),(2,9,6,1,*7,5,*2,3,*5,8,9,7),(6,3,*3,*2,8,*4,6,*7,*2,*3,7,6),(*6,7,*2,*8,*5,2,*1,*7,2,*2,9,3),(*6,6,4,1,*1,*1,5,*9,3,7,*1,5),(*2,5,7,8,7,*4,3,*9,9,2,7,*8)</t>
  </si>
  <si>
    <t>227216,34316,76,5425663,218,266,15711,94,9987,4183,997,9543157,77,23,41391</t>
  </si>
  <si>
    <t>(*4,1,9,5,6,*4,*2,*8,*1,*7,2,3),(*4,7,*4,*1,*4,*7,7,6,6,8,7,9),(*9,*9,8,8,*5,9,2,5,*5,5,5,1),(*8,6,*2,*8,*3,7,8,7,*4,8,1,3),(*4,*9,*6,*9,*5,*7,*3,2,*7,5,5,2),(*1,*7,3,*3,*8,*8,*3,1,*6,*5,4,1),(*2,7,1,*2,*2,4,*5,5,*2,*5,4,5),(7,1,2,*3,*2,6,*3,6,1,*5,4,2),(8,5,3,*2,*5,1,*2,5,6,*9,2,2),(4,5,1,*6,*4,9,*3,5,3,*1,3,6),(4,1,3,2,*7,3,*1,4,8,1,*6,1),(2,6,5,7,1,*1,7,3,3,5,*5,3)</t>
  </si>
  <si>
    <t>4522853,7586,929,55591,54762,176,414,3232,71824,4498412,97,335323,31,65,87</t>
  </si>
  <si>
    <t>(8,5,1,*7,6,3,3,6,9,3,4,*2),(8,2,*9,7,3,*7,5,5,5,1,*7,*6),(9,*6,2,9,*1,*9,*1,1,6,*5,6,*9),(*2,3,9,4,*2,*6,*5,*9,7,8,6,*2),(1,5,8,*8,2,4,*5,1,*1,8,2,1),(*9,2,*3,9,6,*4,*6,3,8,*1,6,2),(*1,*1,8,2,*9,*2,*6,*5,*4,*6,*7,4),(*7,4,*4,*9,*4,*8,*1,*5,*1,1,*4,*8),(*9,1,4,1,3,4,6,2,6,*3,7,8),(*1,*3,*6,8,2,2,9,5,*7,9,5,7),(*1,4,1,5,2,6,3,*7,7,2,6,2),(4,2,9,3,3,6,*4,*1,7,6,8,7)</t>
  </si>
  <si>
    <t>549,57,16,8711917,13829,426,2697,36,4948151,119719,26546,47734,14,155,2692</t>
  </si>
  <si>
    <t>(*4,*2,*1,*1,*3,*5,*1,2,*2,*6,*5,5),(4,*9,*3,*4,*6,*4,1,4,1,2,7,*1),(6,*1,5,9,9,7,6,8,1,5,*4,7),(*8,1,*5,6,9,*3,8,7,*9,*3,*3,6),(7,*7,8,*2,*6,*4,*7,*7,*7,3,*9,9),(1,1,*2,*3,*8,9,1,*2,5,9,*5,2),(9,4,*4,*8,2,*7,2,5,8,6,*8,4),(9,*3,*9,1,*6,1,4,8,9,*1,5,9),(*7,7,*6,*7,*1,*9,7,2,*8,5,3,7),(3,7,*8,1,6,6,*8,7,8,*2,2,2),(3,4,*7,5,9,3,8,6,5,5,*6,4),(8,6,8,7,6,4,8,5,2,7,1,1)</t>
  </si>
  <si>
    <t>734363,774,8968278,14372,265,9687,15287,57,97,4211351,3958,18,826,93464,71</t>
  </si>
  <si>
    <t>(4,4,1,5,8,*7,*8,*8,*5,*1,3,5),(7,9,2,4,1,1,6,9,*5,*9,6,6),(8,*1,*1,8,4,3,8,*3,7,*2,*5,4),(1,9,6,2,*1,*9,*3,1,7,*4,*7,3),(3,*1,2,*6,9,*8,7,8,4,*2,6,2),(3,*5,1,*5,7,*4,*4,4,*9,*1,4,1),(9,*8,3,1,9,*3,5,*6,9,*4,3,1),(1,*4,1,7,5,9,*7,4,*7,2,9,5),(4,*7,1,7,9,5,*3,*8,4,8,1,7),(2,*7,1,6,2,7,*7,3,4,3,6,8),(8,*7,5,5,7,*1,9,3,2,9,2,5),(9,4,6,7,*9,7,8,8,4,4,7,3)</t>
  </si>
  <si>
    <t>11,27,737,9178,7774851,769,18467,412429,45,44887,1294794,78851,3489,533,65</t>
  </si>
  <si>
    <t>(7,9,7,3,*5,*8,*2,*5,*9,*1,*8,*5),(*2,7,4,8,4,5,9,3,3,2,5,4),(*6,5,3,*7,9,*7,*4,*1,*8,*1,4,5),(*5,2,4,*8,5,6,*1,*3,4,4,5,8),(*8,4,4,*3,6,6,*9,2,7,4,7,2),(7,9,*9,*8,3,7,*6,2,8,5,1,1),(6,3,*5,*2,9,4,*6,4,4,1,7,1),(*1,6,*9,*2,3,1,*8,*7,*2,8,5,9),(1,*6,*9,*2,4,4,*2,*6,*7,*7,6,5),(4,2,*8,*8,3,1,*4,*5,*2,9,*6,1),(2,2,8,2,5,5,6,*3,*9,*3,8,*1),(2,2,1,7,7,7,5,8,*4,4,6,8)</t>
    <phoneticPr fontId="1"/>
  </si>
  <si>
    <t>3567,88,2228387,168,74181,761,8562,95998,23,4286691,43,17,259185,27294,582</t>
    <phoneticPr fontId="1"/>
  </si>
  <si>
    <t>(4,3,*2,*2,*1,*9,*1,*6,*2,*8,8,3),(7,*8,2,2,*2,1,8,8,5,*1,4,6),(2,*3,2,1,*7,*7,*4,*8,7,7,8,*7),(*7,*7,8,6,7,7,8,6,3,5,*7,*5),(*3,*6,9,4,3,3,8,8,6,3,*7,*8),(*5,*4,*4,1,1,1,8,*1,*1,4,*6,9),(5,*1,*7,*9,*8,*2,*3,*3,*4,9,*1,3),(*5,9,*1,7,1,6,7,*8,*8,7,*3,8),(5,5,*7,4,2,4,4,5,9,7,6,4),(2,4,*7,*2,*3,*7,*8,*7,1,6,4,2),(6,7,2,6,*7,*1,*5,*6,*1,*3,*1,3),(8,5,3,1,8,3,6,7,9,3,2,9)</t>
    <phoneticPr fontId="1"/>
  </si>
  <si>
    <t>81,31677,2619122,1316517,514,11,433289,23787,88,7717,758,72,83764,537,7748</t>
    <phoneticPr fontId="1"/>
  </si>
  <si>
    <t>(9,4,2,3,5,8,4,6,7,*8,9,*8),(4,9,2,*1,9,8,*8,8,*5,2,*2,*4),(2,6,4,4,*7,*1,7,*5,1,1,*6,*1),(3,2,2,*3,*9,*7,*3,9,8,7,*7,2),(7,1,*9,*5,2,*5,*7,7,9,7,*3,7),(1,*3,4,1,1,7,*8,*6,*8,3,*5,*4),(8,*9,*7,*8,*9,*9,*6,*2,*2,3,*5,*5),(6,6,2,*2,*5,*4,2,7,7,*4,*5,*5),(8,6,7,4,5,5,5,9,*9,9,6,*6),(*5,*3,*8,*3,*4,*5,1,*6,3,6,3,*2),(6,*6,9,6,8,1,*9,1,1,5,8,1),(3,9,*7,6,3,8,5,8,7,7,2,8)</t>
  </si>
  <si>
    <t>393,2673555,86,9789962,46,52,53558,267771,5918,26554,82,54383,9694,765,148</t>
  </si>
  <si>
    <t>(9,9,6,*2,*2,4,*2,3,2,2,6,9),(3,7,9,8,3,*9,4,2,8,6,4,3),(3,2,9,*8,*4,1,8,5,1,5,7,8),(6,3,2,*8,5,8,3,*1,5,6,7,9),(5,7,*5,3,*4,*4,*9,*9,9,8,9,5),(5,2,*7,*1,*7,*6,*2,*7,*2,*4,9,3),(2,2,*3,8,*4,2,*1,*6,*4,*3,5,7),(*7,5,*3,*8,9,*8,7,*7,*3,8,3,8),(3,*4,*2,*2,*3,*6,*8,5,8,*4,1,1),(5,*6,*6,*8,*1,*3,5,9,7,6,*9,9),(4,6,*5,*1,*4,*7,1,5,8,9,4,*2),(3,*8,9,*4,*5,9,9,1,4,2,9,7)</t>
  </si>
  <si>
    <t>7123,58492,29436,2726717,19,236,22,4478344,6284,88,183858,74615,944,923,33</t>
  </si>
  <si>
    <t>(2,7,7,*4,*2,1,8,*9,7,5,3,6),(1,8,1,6,1,2,*2,8,*5,1,8,*6),(3,*3,*1,*9,*6,8,1,*1,4,*9,*6,5),(6,3,1,5,9,2,8,1,*9,*8,7,*9),(4,3,7,8,9,8,1,5,7,*6,*3,1),(*8,6,2,5,5,7,3,1,9,*3,*8,7),(*9,*7,9,*7,*1,*5,*4,*4,*7,4,5,2),(*8,*4,*7,*2,*1,*4,9,*4,5,8,2,1),(*4,8,*4,*3,3,5,*5,4,4,4,4,*7),(7,5,2,*6,*1,*8,*8,*9,*1,*3,*6,*4),(1,1,*2,*8,*5,*9,*5,*2,*9,3,2,*1),(3,7,8,2,1,4,1,3,4,7,7,*5)</t>
  </si>
  <si>
    <t>24,78,86912,36,71544,959,9259582,6913,489,7415,6188913,668,41274,43,933745</t>
  </si>
  <si>
    <t>(5,8,1,6,7,8,*2,*6,*4,4,9,1),(9,8,9,6,3,5,*3,*1,*3,*3,*7,*2),(5,*1,4,7,*6,7,5,3,8,1,1,*4),(8,9,*9,7,5,*2,5,2,3,1,1,*1),(6,6,6,*5,*5,6,*7,9,2,*9,6,*3),(6,2,3,*8,*4,4,8,*6,*7,*3,1,*8),(9,2,*4,5,2,*8,8,4,*5,*4,3,*4),(6,*5,4,4,*1,*2,*4,9,8,*1,*1,*2),(*3,2,6,9,7,5,*7,*4,4,5,*1,*2),(1,*1,*7,*6,*3,5,2,*8,*5,3,2,9),(9,1,6,*7,*4,*8,2,3,*6,*6,2,1),(5,2,3,2,6,6,4,7,6,3,*1,8)</t>
  </si>
  <si>
    <t>44561,273313,439,2248314,57,3671,19548,462,1156726,12,66,6872,18,847,35485</t>
  </si>
  <si>
    <t>(*6,6,*5,4,8,3,4,5,2,3,3,*5),(*2,8,2,*3,9,9,2,4,1,3,*3,8),(*7,9,6,3,*4,7,7,3,4,*8,3,4),(*1,5,*5,*1,*4,*1,9,*4,1,3,5,8),(*5,5,*6,*6,9,4,*3,6,*1,2,1,2),(*4,8,*2,*7,*5,*8,*4,*6,*3,*1,9,*7),(*2,*3,*8,*3,*1,*9,*5,9,3,3,*5,*5),(7,*3,*5,*8,*1,*9,*9,6,7,3,6,*6),(7,9,6,2,2,1,*4,*7,*4,*3,2,*8),(7,1,6,3,*4,7,3,5,4,9,5,*8),(9,3,7,8,8,*9,8,7,7,4,7,5),(*2,*4,9,5,2,3,*2,5,4,3,4,7)</t>
  </si>
  <si>
    <t>2383195,835,66,514,294,24,3648572,99,4115,44,88657,4743,91853,53413,627154</t>
  </si>
  <si>
    <t>(*6,1,7,*6,*4,*8,*8,*7,*6,*3,1,2),(*7,9,8,*6,*2,*9,*8,9,*5,8,3,1),(*4,7,8,6,4,9,3,*8,*8,*4,*2,*5),(*2,6,*2,*3,*6,4,*9,8,9,6,1,3),(5,1,6,9,*1,*6,9,9,8,8,8,5),(8,2,4,8,*2,*2,*1,*3,*4,*3,*1,2),(6,6,6,*8,*1,*2,*4,*8,*4,*2,*2,9),(9,*4,*9,2,*7,2,5,6,3,4,2,3),(1,*5,6,3,*3,5,*1,*4,2,*2,2,6),(4,*7,2,8,*6,6,8,*7,1,9,*6,4),(4,*3,4,8,5,6,3,5,*9,3,2,*6),(9,*5,6,2,7,2,9,2,2,6,4,4)</t>
  </si>
  <si>
    <t>6742,6488763,56,213431,14,61,1248422,662,8926,637,236,97,45735,98269,88425</t>
  </si>
  <si>
    <t>(7,7,9,5,3,*9,*7,*3,*5,5,4,4),(6,1,3,5,9,4,2,3,8,4,9,8),(8,2,4,6,2,5,4,1,8,7,6,3),(*5,1,6,5,9,5,5,2,6,2,*1,6),(*4,*9,6,9,*5,*6,*1,*1,*4,*3,8,9),(*4,*8,7,*8,7,*9,9,9,*3,2,1,*5),(3,*5,4,*7,5,*2,3,*8,8,*6,*1,*8),(3,*3,*8,6,3,7,4,7,7,*1,7,8),(5,*5,*2,*9,8,7,1,*4,1,5,5,9),(3,7,*8,2,*9,*7,*2,*7,*6,*3,4,6),(6,3,*5,8,5,*9,*3,*8,*6,*3,*1,*3),(7,4,*8,4,1,*3,*3,*5,*7,*9,*5,*3)</t>
  </si>
  <si>
    <t>8331,3136839,3597533,78,544,82858,618,56114,99,367279,511,29,47,9735,98535</t>
  </si>
  <si>
    <t>(9,6,6,2,9,*4,8,4,2,4,7,*7),(8,9,7,2,7,7,*8,8,2,6,7,*8),(7,2,7,8,1,*7,*2,*7,6,2,7,*7),(4,*7,2,5,*6,*7,*2,4,*9,2,9,2),(3,6,*3,*9,*7,*5,*7,9,6,*7,9,6),(2,9,3,3,9,7,*5,7,2,*9,*5,1),(7,8,8,6,2,1,*4,*7,*2,*8,*4,*4),(5,3,8,6,7,7,4,9,3,9,7,4),(3,2,9,*4,*5,*9,*8,*2,*3,3,*9,4),(9,1,3,8,*5,*5,*6,*3,*1,*6,8,9),(6,7,8,2,*4,*5,*3,*1,*1,3,4,9),(*9,*2,*5,*9,*9,*8,*1,8,4,7,1,3)</t>
  </si>
  <si>
    <t>11354,897,727,22754,73,9259981,7284,76,4879754,5793,787,28954,23,613655,96</t>
  </si>
  <si>
    <t>(4,9,2,2,2,2,7,4,7,*3,3,3),(5,5,7,*7,*2,*6,*7,*1,*4,*1,7,1),(5,8,5,*5,3,9,6,*8,7,*3,*8,8),(*4,*3,*3,3,*1,4,7,9,7,*1,*5,5),(*9,4,4,3,6,*9,9,5,*2,4,*3,1),(*3,6,*2,*9,2,4,9,*2,2,2,*6,9),(*1,*1,*7,*8,8,8,*9,9,9,3,*7,2),(*8,*7,*5,*6,*9,*2,8,*7,*4,4,9,*1),(*5,*5,*8,*8,*4,8,6,5,5,3,*2,8),(1,*5,*1,*9,6,3,9,5,1,*7,1,8),(4,*3,*4,7,8,6,4,2,*3,1,1,4),(8,6,3,7,9,3,7,9,2,5,1,3)</t>
  </si>
  <si>
    <t>519,334,49,83,98689,74,8122924,93185,7267141,348,35571,7635,3721,11,275814</t>
  </si>
  <si>
    <t>(3,6,9,5,7,5,4,9,1,3,2,8),(*6,*8,*1,6,8,8,*2,5,8,4,1,*1),(8,*4,1,7,4,*4,1,*6,9,5,2,*6),(5,*8,2,7,*7,3,*8,6,2,6,5,*9),(2,*8,*9,*5,*2,*5,2,6,2,2,3,*8),(7,*4,3,5,*5,9,5,2,5,5,*3,*7),(5,*7,4,*8,4,8,8,8,*8,3,*2,2),(1,8,*6,*2,*8,*1,*7,*8,*5,6,*7,8),(1,*1,*9,*2,2,1,*6,*3,8,5,*4,8),(9,1,3,4,9,2,5,5,5,3,*9,2),(4,2,*9,*3,*7,*8,*3,*2,*1,*4,*8,1),(5,3,7,7,9,*8,*1,*2,*3,*8,*1,5)</t>
  </si>
  <si>
    <t>74884,42,7182,5259,29,812381,886,1685586,7832148,739,681,78961,75,94723,53</t>
  </si>
  <si>
    <t>(4,1,1,1,9,*3,4,7,8,4,6,4),(2,1,5,1,*2,*2,*3,*9,*9,*5,9,6),(3,8,*2,*9,8,5,*5,*3,*6,2,9,*7),(9,7,*9,*2,2,4,6,1,7,1,*1,6),(5,5,4,*3,*4,4,2,2,3,*6,3,6),(3,8,5,*3,4,*8,1,9,*2,9,1,1),(4,1,*6,*6,6,*4,*7,*1,4,8,6,*7),(4,5,*5,*6,*9,2,*3,8,3,*9,*8,*8),(4,5,1,*8,7,*4,3,9,8,9,3,*7),(4,6,*3,*3,*8,*4,*1,*3,*4,*6,*6,9),(6,*7,4,3,5,1,8,*1,*8,*4,*7,*8),(*1,9,*1,*8,*8,*7,6,9,7,7,2,1)</t>
  </si>
  <si>
    <t>22487,7162134,23995,9923,87481,635,386633,89,44,49,173,8413466,7881,65,787</t>
  </si>
  <si>
    <t>(4,5,*6,*6,*4,*2,*4,*2,*1,5,2,2),(3,4,*1,*4,*9,*3,1,*1,*4,*3,*9,5),(6,9,3,3,9,*7,3,7,4,*9,4,*5),(3,1,7,6,*6,*9,*8,*2,*4,*7,*7,*3),(*3,*1,*3,*7,*4,*1,1,*8,*2,*4,6,*9),(7,1,6,1,5,*9,3,*6,*2,3,7,*8),(5,6,7,8,8,*4,*4,*9,4,*5,3,8),(7,1,2,4,1,*7,*7,7,7,*6,8,4),(5,8,9,6,2,*3,6,9,4,7,5,6),(2,9,5,4,7,9,8,3,5,*7,*1,*5),(2,7,7,7,4,1,5,4,8,4,1,2),(2,8,1,*1,*6,*4,*1,*9,*4,*2,8,8)</t>
  </si>
  <si>
    <t>2491461,893,82,57,65,517,849,69,72647,1493,6642421,742973,79194,31374,1439</t>
  </si>
  <si>
    <t>(4,5,9,4,5,1,5,6,2,1,1,*3),(4,*1,3,6,2,8,5,3,*4,7,7,*5),(7,8,*1,*6,*4,*4,*2,*9,4,4,9,*7),(2,8,4,6,3,*5,*4,3,8,4,5,*3),(4,1,8,7,*6,*5,*9,*9,*2,*3,2,*4),(3,6,4,9,*8,5,6,4,9,5,*1,5),(7,7,6,*8,9,8,1,*4,8,*8,8,*5),(4,8,*4,*9,1,5,1,*7,*3,2,*6,4),(3,8,*5,7,4,8,8,*6,9,*1,7,5),(5,*6,*4,*3,*4,*3,*1,*9,*6,8,*1,7),(*6,*6,*3,*6,*1,*8,8,*6,3,1,*5,4),(5,3,1,2,*2,*9,*6,*8,*1,9,*8,9)</t>
  </si>
  <si>
    <t>256,9134346,11,47,41836,3753,4885494,9923,59,816366,56166,644,851,29681,89</t>
  </si>
  <si>
    <t>(2,1,*9,2,2,*2,2,1,2,6,1,8),(8,5,2,*6,*5,9,7,3,6,*2,2,6),(5,8,6,*3,*3,7,6,7,3,*1,5,4),(1,2,*2,9,4,*4,3,3,9,*4,*8,*9),(9,*9,2,4,2,*6,*2,7,1,*9,*3,7),(*7,4,5,1,7,*2,8,6,8,*6,9,3),(9,5,3,8,5,3,4,5,*7,*1,*7,6),(9,5,*5,*3,*3,*1,5,*2,*8,*7,*8,5),(2,6,7,*1,5,8,*8,6,3,*6,*4,8),(7,5,2,6,*9,*7,*7,2,4,*4,*4,2),(3,*6,*8,*7,1,*6,2,9,4,*7,*9,4),(*1,*6,*3,*4,*6,*6,*3,4,6,6,4,9)</t>
  </si>
  <si>
    <t>1335,7827639,687,253297,38,24369,78449,17647,81,73,1634663,196,2149,26,667</t>
  </si>
  <si>
    <t>(*5,9,8,1,*4,*1,*2,*6,*8,*2,3,4),(1,*6,6,8,*2,2,5,7,3,8,6,2),(5,5,*6,5,*6,*7,*8,*8,*2,*3,*9,7),(4,8,9,*1,*7,*4,*7,*2,*1,*5,4,4),(9,3,5,*6,*4,*4,4,*1,1,3,6,4),(3,3,3,*1,*4,*6,3,*5,*5,4,7,8),(9,9,2,*4,*5,*7,4,1,*6,4,5,7),(9,4,7,*3,1,7,*2,7,4,*9,6,5),(3,7,3,*7,7,1,5,*5,8,3,*6,9),(5,3,2,*3,3,3,1,*9,6,9,6,*8),(6,5,1,*4,7,2,*4,*1,*7,*4,*7,4),(1,*2,*2,*7,1,6,9,8,7,3,6,2)</t>
  </si>
  <si>
    <t>97,517,59,227,7644,12682,932887,41747,56968,5447624,35,52,4373416,512,1665</t>
  </si>
  <si>
    <t>(4,1,5,9,8,8,8,6,*5,*2,*3,8),(3,5,2,8,3,*9,1,6,9,4,4,3),(5,6,6,8,*1,9,7,3,9,4,8,3),(8,2,1,*4,*8,*2,*2,*5,*5,*5,*5,7),(3,3,*3,4,1,5,3,*7,*8,*9,5,5),(*3,*5,*5,*2,*6,*2,*4,*2,*8,*2,*1,*3),(3,9,8,*8,5,*3,*6,*2,3,*1,9,2),(*9,*9,*3,*5,*5,*3,*6,*6,*6,7,7,1),(3,6,8,7,4,*3,*3,*9,7,3,5,8),(*6,1,2,4,7,*6,*1,3,8,3,2,7),(*6,8,9,6,5,*7,*4,7,1,1,5,4),(*2,7,9,5,8,9,*5,*1,*5,*2,8,6)</t>
  </si>
  <si>
    <t>251,89,99355,29,9143,16,8213,76333,5555228,72269,68,355262,662,4663145,325</t>
  </si>
  <si>
    <t>１日目標ポイント（２と2025/11/30以降は１と2025/12/11以降は１）</t>
    <rPh sb="1" eb="2">
      <t>ニチ</t>
    </rPh>
    <rPh sb="21" eb="23">
      <t>イコウ</t>
    </rPh>
    <phoneticPr fontId="1"/>
  </si>
  <si>
    <t>(6,*9,*6,*3,*7,*9,*1,8,6,1,2,9),(7,4,3,1,7,6,5,2,9,*5,*5,8),(3,*4,4,7,4,3,5,7,8,*7,*1,9),(3,*8,8,6,*9,*2,*3,*1,*2,*3,*6,5),(4,*6,1,8,8,5,5,6,3,*9,*4,8),(2,*7,*6,*2,3,7,4,*1,6,*6,*2,6),(*7,*7,*3,*4,*9,3,*2,3,5,*5,*9,8),(1,8,*8,2,8,*7,*8,*5,4,*3,*4,7),(*2,7,*3,2,*7,*7,*7,*6,2,6,9,5),(8,*8,5,*3,8,1,6,1,8,6,*1,*9),(4,5,*4,2,9,9,5,6,4,4,*7,*8),(3,7,7,5,*3,*3,*6,*8,3,4,3,3)</t>
  </si>
  <si>
    <t>92312,5164294,62,94377,12773,776,785,8633,83,5739653,71,89,284,197369,7684</t>
  </si>
  <si>
    <t>(9,2,3,7,5,2,3,*8,7,2,7,6),(*1,*1,*7,*2,*3,8,9,*7,*6,9,*9,*2),(6,2,8,*6,*4,8,5,*7,7,7,3,8),(4,*2,*7,*3,*7,*3,*4,*3,6,8,4,4),(2,9,1,8,2,*5,6,*3,6,*2,*6,5),(6,4,2,3,*1,*1,*9,3,*5,*8,*3,8),(6,*7,*5,*7,9,5,*3,1,1,5,6,2),(9,5,7,2,8,*2,*8,*1,*8,*3,*1,9),(4,2,8,*1,*1,*6,*5,*8,*6,*6,4,8),(8,5,6,6,1,3,4,*4,5,6,2,7),(5,7,2,7,1,3,2,*7,7,*5,*5,4),(3,*6,*8,*8,*5,2,1,*9,4,5,8,2)</t>
  </si>
  <si>
    <t>3853911,55,6885,138182,757,131,37372,479,6685611,92,32711,33778,26,64,6745</t>
  </si>
  <si>
    <t>(5,2,5,*3,*9,*3,*7,*9,*8,*9,2,5),(*4,4,*4,*3,*1,*6,*3,*7,*9,8,2,4),(*2,9,*1,5,1,2,*6,2,8,7,5,3),(*1,1,9,*4,7,9,*7,*7,*2,5,8,*1),(6,1,8,*3,9,6,*5,*6,*9,3,*5,4),(1,3,3,*3,7,*8,7,*3,*9,*2,7,*5),(6,6,1,*2,*9,*9,8,*3,*9,5,9,*1),(6,7,4,*1,*6,*9,9,*4,9,6,*2,*5),(7,4,*6,*3,4,*3,6,8,8,*3,*8,*3),(2,6,*5,*1,4,*2,9,2,*1,7,2,*5),(8,1,4,6,2,6,7,*7,2,7,8,5),(1,1,4,6,9,8,*4,7,7,7,3,7)</t>
  </si>
  <si>
    <t>9992,9897393,3515,14,675,4332131,56,96,43367,58,973613,89932,124,47132,152</t>
  </si>
  <si>
    <t>(2,5,1,5,2,2,4,*1,*9,9,2,*7),(2,*9,4,8,*8,5,3,*6,4,7,8,*9),(8,*2,*8,*3,*6,*6,*9,*2,*3,*7,*3,*5),(3,*4,*4,7,3,5,*4,8,6,5,6,*7),(7,*6,9,*9,7,1,3,*9,4,3,*5,*7),(2,*8,2,1,5,7,9,7,*4,*6,*6,*1),(*5,*5,4,2,2,9,6,8,*9,*4,*4,*9),(*6,*7,8,5,6,2,*3,*7,3,9,*8,5),(*6,1,3,3,9,2,*6,*1,*2,3,*7,1),(*7,8,6,2,9,*9,1,7,9,*5,5,8),(*1,7,8,7,7,3,7,5,9,3,3,6),(7,2,1,7,1,*7,*9,*6,*3,5,2,4)</t>
  </si>
  <si>
    <t>6382,16,537,23,17665,864944,69769,7586429,249,969,9177597,31,3697,25,56487</t>
  </si>
  <si>
    <t>(5,9,4,9,4,7,7,5,6,*1,4,6),(5,3,*5,6,8,5,5,4,*3,6,6,7),(5,6,*3,9,5,*8,*2,*5,*8,6,4,2),(*5,*2,*2,*3,5,2,*1,6,*8,3,6,*5),(*8,8,4,3,3,*9,9,6,*7,7,4,*1),(*5,8,2,5,*1,2,*3,4,*5,7,7,*9),(*4,*4,7,1,4,*8,*4,*6,*8,6,1,*4),(*5,*1,3,3,*5,7,*1,9,*3,7,3,*5),(8,*4,*1,*6,8,4,7,*8,*7,3,7,*5),(1,8,*9,*7,1,7,6,8,*7,1,9,*9),(*6,*7,*5,7,*1,8,6,5,6,*9,5,4),(4,5,6,5,1,*3,8,*2,*3,*1,*2,8)</t>
  </si>
  <si>
    <t>44,14,46,18792,82,38569,5194559,231,11713,576,191531,235,8875837,3225,8545</t>
  </si>
  <si>
    <t>(5,6,5,6,7,7,6,9,7,3,8,1),(*8,4,*5,8,9,4,8,6,8,1,1,*7),(*9,8,3,*7,*6,*6,*3,*3,*9,*7,*3,*7),(*7,4,3,3,*3,*8,*6,*7,*1,*7,*4,*7),(*1,2,1,4,8,*6,2,6,6,*2,2,*6),(*1,1,7,1,6,*5,*5,6,*4,9,7,*5),(*4,5,3,*7,5,*6,*3,*4,1,9,8,*3),(1,6,3,*3,1,*7,*8,8,*6,*8,5,*8),(9,3,4,*5,*4,*6,*8,8,2,*1,2,6),(2,*1,7,5,*5,*1,7,*4,*3,5,*1,8),(4,*9,3,3,7,7,7,1,7,5,3,*6),(*2,*1,*3,2,6,8,2,1,4,9,3,7)</t>
  </si>
  <si>
    <t>5388,56761,537,61164,54,897114,3793366,86717,18,43,424,213,19,5736,7776538</t>
  </si>
  <si>
    <t>(1,9,8,9,4,1,*3,7,4,5,1,2),(2,2,2,5,7,*6,6,7,5,3,*1,9),(4,2,9,2,*9,3,8,9,4,4,*4,7),(1,4,7,*1,5,4,5,*8,2,2,8,8),(7,*1,*3,1,3,*7,9,*4,3,4,5,2),(5,4,*9,7,5,*7,*3,8,6,8,7,8),(*4,4,3,*1,8,*7,*7,*2,3,*3,8,9),(*2,1,2,1,*6,6,*6,*9,*5,9,*6,7),(*2,*3,*6,*5,*5,*1,1,*4,*3,*4,8,*7),(*6,2,8,8,6,*7,1,3,2,*3,*9,3),(*8,3,2,8,9,6,8,1,8,*8,*2,3),(*5,*1,*6,*2,*2,*1,*3,*2,*9,*7,*5,*7)</t>
  </si>
  <si>
    <t>14,467,3655,36913,19161,2975,897,732549,34,48,5162213,7233977,42268,763,71</t>
  </si>
  <si>
    <t>(1,*7,9,*8,5,9,9,*9,9,9,4,2),(*8,*8,*5,*6,*4,*4,7,*1,*3,*9,6,2),(9,*3,*9,*8,*3,*4,4,*3,6,9,*1,*6),(1,*1,*6,*7,*7,*7,2,6,4,*1,6,*5),(6,*1,*2,*8,*1,*5,8,7,*1,4,3,*5),(4,3,*9,*1,*1,*5,7,*8,5,2,7,8),(4,2,*6,*3,*1,*9,*5,8,8,4,8,8),(8,8,1,3,*6,*7,6,7,2,*2,2,8),(2,1,2,6,5,*2,8,*7,3,*1,6,2),(5,4,1,3,8,*2,*5,1,9,8,4,1),(4,1,*1,*9,*4,*8,9,5,1,8,4,7),(1,4,3,2,*6,1,5,9,4,9,8,9)</t>
  </si>
  <si>
    <t>655,22795,78311,88,21,4371116,7586,58111,3187868,93,5744,596296,491,913,15</t>
  </si>
  <si>
    <t>(*7,8,3,7,*3,*4,*3,*7,*2,*2,*1,6),(*7,4,9,4,7,4,9,5,1,7,8,8),(*2,3,9,7,*9,8,9,7,5,1,4,2),(*5,7,6,*1,2,3,*3,*3,1,7,2,9),(*3,1,*2,6,5,4,9,2,4,3,2,4),(*8,*8,1,4,*7,*1,*7,*8,*8,7,6,4),(*8,8,9,3,*9,3,*5,3,9,*9,9,*9),(*9,2,5,*6,4,*8,*7,*9,*9,*3,*9,2),(*9,8,*3,9,*2,*5,*7,*2,*1,*1,3,4),(*6,*9,5,*7,3,1,9,1,*5,3,3,1),(*1,3,*6,6,3,2,9,*5,1,9,1,7),(1,*6,1,*1,*1,9,8,2,4,9,7,2)</t>
  </si>
  <si>
    <t>96391,1275,33,91288,3437221,99155,8582766,89,799,717,1788,13,11,699,835277</t>
  </si>
  <si>
    <t>(1,8,6,*4,7,*8,*1,*4,*9,*1,*9,*7),(3,9,1,*8,1,4,*1,*3,1,2,5,3),(8,3,7,*7,4,*4,*2,9,5,9,6,4),(2,1,9,*1,*3,*4,*5,9,3,9,*9,*8),(5,2,3,6,*1,4,4,*3,*2,6,*3,*6),(1,6,1,*6,1,4,3,*1,*9,*6,*7,*1),(9,*7,7,6,4,1,*6,1,4,1,1,*1),(*5,1,*4,1,6,*6,3,*4,3,8,3,*8),(*5,9,1,*2,*5,8,*8,8,4,5,8,*1),(*5,9,9,*9,*2,*6,4,3,1,8,3,6),(*5,3,*6,4,*6,9,1,*1,*5,*7,*7,*4),(8,9,1,*4,4,3,7,7,1,1,1,8)</t>
  </si>
  <si>
    <t>48664,45,32416,31,93,52,769,47751,2166596,143,5555,861181,247,4871,7919418</t>
  </si>
  <si>
    <t>(8,*7,*1,*3,7,8,2,5,*2,8,2,*7),(5,3,*4,8,2,5,4,*6,1,4,4,*5),(8,3,2,*8,9,9,*3,1,2,9,8,*5),(2,9,6,2,*8,*4,6,*8,*5,4,4,*6),(8,2,1,1,1,*3,6,*1,3,7,3,*3),(7,3,1,3,*7,*5,*5,*4,*4,*3,*4,*7),(*9,9,1,8,*4,*3,2,*3,1,4,5,*5),(*3,6,6,4,*3,*5,1,*2,*5,*2,8,9),(*3,7,2,*5,*3,*4,3,*6,9,*2,*4,6),(9,4,5,*6,*6,*5,2,4,5,2,1,4),(6,2,8,*9,4,*1,*1,*7,*6,*2,*1,7),(5,1,*1,*4,8,*6,4,6,3,9,5,8)</t>
  </si>
  <si>
    <t>317,48835,7556375,2634,814326,6154535,12671,25,24,5694,339,63347,91,85,434</t>
  </si>
  <si>
    <t>(*3,1,9,7,2,*8,1,7,3,7,2,3),(*3,8,1,*1,*5,3,*8,7,7,6,2,3),(*2,8,*7,*1,*2,5,3,9,7,9,1,*2),(*1,*3,4,7,7,2,*7,8,2,7,9,*6),(*1,*4,*5,*9,2,2,3,*9,*3,5,8,*9),(*8,9,*4,*7,*9,*6,5,6,*7,4,1,*9),(*1,8,8,*2,*1,*1,*4,*5,7,*8,7,*1),(1,5,7,7,*9,*7,*6,*4,7,1,*4,3),(3,1,3,*6,*3,*6,4,7,1,2,4,9),(1,8,*7,*6,*9,*9,*7,*6,*1,9,3,7),(5,2,8,7,1,4,2,6,3,6,5,4),(*3,*4,*2,*2,*3,*6,2,7,5,4,2,7)</t>
  </si>
  <si>
    <t>954,51,48797,4796,636,7699761,21145,88,217,93,342236,3321181,35,4679,19962</t>
  </si>
  <si>
    <t>(3,1,8,1,3,4,1,6,9,*2,9,6),(7,7,4,4,2,3,8,3,*1,8,4,5),(2,*8,*6,*7,8,6,6,*7,2,4,2,9),(1,*5,2,5,*3,5,*7,*4,9,3,4,4),(4,*3,7,7,*2,7,*8,*5,*6,*6,*9,4),(1,5,5,*3,*9,7,2,8,8,*2,*2,4),(*9,8,5,5,*7,9,6,8,*4,4,4,6),(*1,6,*8,*5,*5,*2,*7,*9,*4,1,2,9),(*8,3,8,8,7,5,*4,*8,7,9,6,3),(*1,1,*6,*3,*5,*7,*1,*6,*6,9,9,2),(*4,2,*3,*1,*8,*8,*1,*4,*6,1,6,5),(9,7,7,4,7,6,*3,*3,*7,*1,*5,*4)</t>
  </si>
  <si>
    <t>768,92494,358,26,47,6418813,2177,39,7923,72558,41819,856,451733,84,6357166</t>
  </si>
  <si>
    <t>(6,8,*8,7,*2,7,*5,*9,*7,*2,4,2),(1,9,1,*7,*7,*5,6,6,8,1,9,5),(*1,*3,8,1,*4,7,*6,6,*4,*5,7,6),(5,*4,5,5,6,*2,6,*2,*4,*6,3,9),(*8,*4,4,7,1,2,*7,*9,*2,4,*4,*7),(6,*2,9,7,4,4,*1,*2,3,5,*5,5),(*2,7,*3,3,7,*9,5,8,9,*2,5,9),(*3,1,3,*9,*6,9,3,2,*9,7,3,4),(*3,8,*7,*4,*5,1,9,*9,*6,4,9,4),(*3,*8,8,4,3,*6,4,5,*7,5,2,8),(*6,4,*6,3,7,6,*7,8,*9,5,2,8),(1,8,7,3,1,2,6,8,*6,8,7,8)</t>
  </si>
  <si>
    <t>2795,77,4691945,31,874272,344,8239567,75299,86,745,71,6976,25622,23336,464</t>
  </si>
  <si>
    <t>(3,8,7,7,2,8,2,6,3,8,5,6),(4,9,*4,*3,*8,*2,*3,*1,*7,1,*6,7),(9,4,1,7,9,3,1,3,8,8,*6,*6),(2,*9,9,7,9,3,*1,2,9,5,*3,*3),(5,3,*3,7,8,9,*5,*2,*9,9,*8,*5),(5,*5,*5,*8,*3,6,6,*8,4,4,*2,*9),(6,9,6,1,*5,1,*3,*3,4,2,4,*8),(7,4,8,*7,*5,*1,4,9,*3,8,3,*1),(*8,9,5,8,*3,*4,*5,*9,6,3,*7,9),(5,*4,3,*1,*5,*4,*5,*4,*1,*4,8,4),(6,9,*6,8,2,1,5,3,2,1,7,7),(8,*8,1,9,4,*6,*8,*2,*5,*8,*5,9)</t>
  </si>
  <si>
    <t>174,5839,66382,585286,29,7132834,51,63598,5583,33,75,846,54541,8313168,459</t>
  </si>
  <si>
    <t>(*6,*1,*5,*1,*3,*2,*7,9,7,7,3,5),(9,7,2,2,7,5,*3,9,7,3,5,7),(1,7,7,9,7,5,5,*9,*4,*5,*8,*9),(9,2,8,6,2,*9,*5,*9,*7,3,2,7),(5,2,7,*6,*6,*5,4,1,*2,1,5,9),(7,3,3,5,*1,*3,2,*7,4,*4,3,8),(4,*3,*3,*4,*6,*1,*8,5,*5,2,2,*3),(5,*1,4,3,*7,*3,*9,2,*8,*2,*5,9),(6,*2,5,5,*6,*9,*6,1,3,*9,*6,2),(4,8,5,7,*2,*9,*8,8,*5,4,8,*8),(2,4,8,9,5,*4,*1,*3,6,8,2,2),(6,3,1,5,9,9,*8,6,5,5,9,8)</t>
  </si>
  <si>
    <t>7231516,75268,429,66,842,835953,4993135,12,334,37,94589,9597,18698,82,6761</t>
  </si>
  <si>
    <t>(3,*9,7,3,7,2,*6,7,3,4,4,2),(*9,*8,*4,9,8,7,*8,6,8,9,6,6),(7,*8,8,*3,5,5,*9,1,3,6,9,4),(*8,3,*9,8,1,5,*4,5,9,*4,*8,9),(*5,9,9,*2,9,9,*4,8,5,*6,*4,8),(*9,5,2,*4,*2,4,*1,3,8,*2,*2,7),(*6,4,5,*8,3,1,4,*5,2,*6,*9,6),(*9,3,4,*4,7,2,3,8,*2,*6,*3,*7),(*2,8,*2,2,3,8,3,4,9,*2,*6,4),(*2,9,7,*5,4,*4,*7,*2,*3,*1,*9,*4),(7,1,*7,3,*6,9,*3,1,8,5,1,8),(1,8,3,*6,6,1,3,3,9,4,6,2)</t>
  </si>
  <si>
    <t>2484,2296958,639248,1522,349,46266,988,14,97,98922,76,68944,73,4723194,256</t>
  </si>
  <si>
    <t>(1,*9,9,1,7,*5,3,*8,8,3,7,1),(5,6,*9,8,8,6,*4,8,*1,5,5,5),(5,5,5,*5,5,6,2,*7,2,*9,3,6),(4,*8,*9,5,7,7,4,4,*3,*7,*6,2),(6,*2,*8,7,7,8,7,1,1,*8,8,*6),(2,*9,*3,7,3,2,8,1,7,*8,*6,*1),(7,*1,*9,8,8,4,9,3,*5,9,*4,*3),(1,*6,*5,*9,*7,*4,*4,*4,6,*9,7,*3),(8,6,9,8,7,1,6,*2,6,9,*6,*8),(*8,*2,*5,*1,8,5,5,*1,8,8,7,*5),(*1,*9,*2,*9,*7,*9,*9,8,1,1,*6,*2),(7,1,5,6,2,8,9,3,1,*4,7,*5)</t>
  </si>
  <si>
    <t>12,67,1338525,683745,4479,66918,995,596,24,1528,465,1929799,84,82916,98395</t>
  </si>
  <si>
    <t>(1,7,2,9,9,3,*8,5,2,5,*9,9),(7,4,2,7,2,4,*6,5,7,*4,*8,9),(*3,8,9,4,1,2,*1,*2,*5,*7,*9,*5),(5,*7,2,5,1,5,*4,1,2,9,2,4),(2,4,*3,*9,*7,*1,*4,*4,*7,*1,2,3),(2,9,6,9,*5,*3,7,4,9,3,3,2),(2,4,5,8,3,9,*5,*1,*8,*8,*7,9),(*3,*1,*2,*7,*2,*6,*7,1,*4,5,1,5),(*3,*7,*9,*3,*1,*3,*8,*6,*2,*7,*2,9),(9,3,3,1,2,6,*6,9,5,6,9,8),(3,4,9,1,1,9,*1,1,9,6,7,6),(8,6,5,8,4,8,*8,*5,*1,*1,*3,*8)</t>
  </si>
  <si>
    <t>1887,7627213,53,379313,816,42,8614,59752,49,373,84,27268,51138,1744179,815</t>
  </si>
  <si>
    <t>(8,9,7,1,1,6,7,*8,1,9,*3,*1),(7,5,2,*6,*5,7,*4,1,7,*3,9,*3),(6,*2,7,3,6,*2,5,1,*8,1,7,*3),(2,1,*4,*9,*3,5,3,*5,4,4,5,*3),(7,4,*5,*7,3,5,*3,7,*8,5,3,*2),(8,4,*9,9,*3,5,8,*1,7,*7,5,*3),(8,1,*7,6,1,*5,*9,2,8,*1,*4,*8),(9,4,*4,*5,5,*1,2,2,*4,2,8,8),(*1,2,*2,8,*7,6,*9,*6,4,8,1,1),(3,*9,*2,6,*3,*7,*2,*2,*2,*6,*1,5),(9,3,*6,2,9,7,8,3,*2,*7,*6,9),(2,7,1,*6,1,5,5,1,9,9,4,9)</t>
  </si>
  <si>
    <t>53742,56,39,874,6691,8323331,1622273,45,224795,92,33853,146,672,81917,3248</t>
  </si>
  <si>
    <t>(7,3,*3,8,5,7,*5,6,*6,8,4,2),(6,*2,*1,3,5,8,3,*9,1,*4,3,8),(*5,*5,*9,*4,8,4,6,8,*1,3,2,5),(*8,*2,*2,9,*7,*1,*1,9,7,*6,6,9),(*4,*8,*3,7,2,*1,1,4,2,6,*2,*5),(*1,*9,*8,8,6,6,*4,5,8,8,*3,*7),(5,2,5,5,4,4,6,*9,*8,*4,8,7),(8,5,3,2,*5,*8,*4,*8,*8,6,1,9),(4,6,7,1,8,9,*2,6,1,*5,8,4),(9,7,3,*7,*8,*1,1,1,7,5,3,4),(*8,*6,9,1,*2,*1,*9,*8,*3,*1,*3,6),(8,*4,*2,*7,*4,*1,7,8,8,8,5,2)</t>
  </si>
  <si>
    <t>14724,64,26195,11,25289,5848,5894174,781,37,86,5841,832913,882,534,3138912</t>
  </si>
  <si>
    <t>(6,*3,4,2,8,8,6,1,5,2,8,9),(7,*7,*3,4,6,3,*4,3,6,5,7,1),(2,*1,8,*9,5,6,*3,8,1,6,8,*9),(*3,*5,2,4,*1,2,*7,4,4,5,*4,*7),(*5,*1,4,7,7,*1,*9,*3,7,4,3,*8),(*5,*1,*5,*1,*8,*9,*5,*5,*9,*5,*6,*9),(*5,*3,9,1,3,3,5,*7,*4,6,3,*7),(7,*2,*7,2,7,*4,7,*8,5,2,7,*9),(9,5,5,*8,*6,9,5,*7,7,3,7,*1),(4,6,1,*7,*1,*4,2,*5,1,*2,*4,5),(1,4,*1,9,1,*1,9,1,3,*2,*4,2),(7,*4,6,7,1,*6,9,7,8,4,3,7)</t>
  </si>
  <si>
    <t>357875,1979879,5189,3555,11933,22,44,416,7151132,41764,43795,84,956,47,781</t>
  </si>
  <si>
    <t>(4,9,8,7,*2,9,2,6,2,9,9,*2),(4,4,*3,8,*3,6,2,5,2,5,*7,6),(1,*5,*4,1,*2,9,4,5,9,*8,4,4),(2,*8,*5,1,*8,8,9,7,*4,6,8,6),(3,*6,*2,7,*4,7,7,*4,4,2,*4,5),(7,*6,2,7,*4,*1,*7,4,2,9,*3,3),(7,*4,*2,7,*6,*3,*3,*9,*1,3,*9,5),(4,2,*1,2,5,7,*6,*2,*6,*8,*3,*8),(2,7,*5,*1,4,*8,*5,*2,*2,*7,*5,9),(3,3,*1,8,*8,9,7,1,3,7,*7,5),(8,6,*5,5,2,*5,*9,6,6,9,*2,*9),(3,7,8,3,7,3,4,9,9,3,*3,*2)</t>
  </si>
  <si>
    <t>42,2328446,391,41,2784473,21515,46685,72258,185,3275,626838,439,59,29,2543</t>
  </si>
  <si>
    <t>(*3,*6,*3,*9,*7,*7,*4,4,*3,3,8,6),(3,*2,8,3,5,4,2,2,*6,5,7,5),(4,*4,1,*3,8,9,3,2,*7,9,*7,4),(6,*4,1,5,*9,2,4,5,*7,3,*4,7),(5,*9,7,4,1,*6,7,6,*4,*8,*7,4),(7,*7,3,*4,4,*2,*8,5,*1,8,*8,8),(4,*5,*7,*3,6,*9,8,*2,6,8,*3,5),(7,*2,*6,6,8,4,*6,*7,1,9,9,8),(*2,*8,*4,*7,4,5,1,*2,8,8,7,5),(4,*9,*1,*8,2,1,2,6,*4,5,7,8),(4,5,6,7,6,5,*1,*1,3,*8,9,7),(5,2,3,8,8,2,*4,*7,*8,*9,*8,4)</t>
  </si>
  <si>
    <t>11,27,88426,2579442,29,4789,43,367741,4779363,764,7482,74783,39682,819,887</t>
  </si>
  <si>
    <t>(3,*8,6,*7,*3,*4,7,5,2,2,9,7),(3,*9,1,5,2,2,3,1,1,9,5,2),(9,*1,7,5,2,3,4,2,2,1,5,1),(1,*5,*6,1,1,*8,4,*2,5,*8,*6,3),(6,*5,5,*1,*2,9,*1,2,2,9,8,*7),(8,*6,8,*6,*5,*1,7,1,7,2,8,*6),(6,*9,*2,*4,*5,*7,7,2,8,5,2,*9),(8,*3,6,*2,*9,6,*5,*9,*2,*5,3,*7),(*8,4,*5,1,6,*7,*2,*2,*4,*3,*4,*3),(7,9,5,2,2,*4,*3,*1,*2,7,*1,7),(1,2,1,8,2,8,9,4,2,5,*8,8),(5,*8,*9,*9,*2,7,6,7,3,4,5,9)</t>
  </si>
  <si>
    <t>7522,81,61575,2211525,431,9655198,49,72,925,832628,37967,2998,437,22434,68</t>
  </si>
  <si>
    <t>(3,5,1,2,3,4,9,2,2,1,7,8),(*8,*5,*5,*2,6,6,4,*8,*5,*6,*4,*5),(2,*4,5,3,3,5,9,*5,*7,*7,*9,*8),(*5,*4,3,6,2,4,9,3,*5,3,*5,3),(*4,*2,1,4,8,2,8,9,*4,1,*2,1),(*5,1,2,5,4,8,*8,2,*4,8,*6,5),(*3,9,4,9,7,*6,8,*5,*6,5,4,3),(*3,7,6,6,*8,9,*6,2,*1,*9,*6,1),(9,8,*7,*9,8,*2,6,2,*4,8,9,1),(9,*2,*5,9,9,9,8,4,6,9,1,2),(6,*6,3,6,*9,*5,*4,*8,*8,4,5,5),(*5,3,9,9,*7,*8,*6,*5,*2,*5,*2,2)</t>
  </si>
  <si>
    <t>89775,85645,442,562,8552,96,94,88,9548,544614,5659868,72,526,7865252,54533</t>
  </si>
  <si>
    <t>(*6,1,4,4,5,5,*1,1,6,8,2,9),(*5,8,8,3,2,*5,2,5,3,5,*2,3),(1,4,3,4,*7,*3,*4,1,*4,*6,*2,9),(4,8,8,*9,*5,*9,*6,3,5,8,*7,9),(2,5,7,*7,*8,*1,*3,2,8,5,*9,5),(9,8,*8,4,*9,*9,*2,6,7,6,*6,1),(2,*9,6,5,*4,*3,*9,4,2,3,4,8),(9,9,4,*2,8,*1,9,7,7,6,5,6),(6,8,5,*7,*8,*7,*9,*9,7,*1,*3,*5),(7,4,8,*4,*3,*3,*1,*5,*4,*7,*2,9),(9,4,6,*5,5,4,4,5,6,2,5,8),(7,8,3,*7,*1,*8,*8,*9,*5,*9,9,5)</t>
  </si>
  <si>
    <t>65,894,462,16,92364,3315472,69722,1579,3919317,83,9875,99,959881,75472,531</t>
  </si>
  <si>
    <t>(2,*9,*3,*7,*6,*1,*6,*1,*3,*7,*9,*2),(2,4,8,7,9,4,4,1,4,1,7,*2),(8,7,9,*2,*8,*7,*5,4,4,8,8,*7),(7,1,8,3,6,*7,*9,*9,4,*9,*8,*8),(7,9,3,7,6,2,5,3,9,5,9,*6),(8,*7,*1,*6,*6,*4,*6,8,4,3,3,*3),(*4,*4,*5,*7,*6,*3,*3,3,7,*3,9,*4),(3,*2,9,*5,1,*5,1,*7,9,*5,2,3),(*4,*1,7,2,5,*6,*9,6,5,4,5,9),(*4,*4,3,5,7,*6,2,9,1,9,6,8),(*6,*9,3,4,8,2,3,2,5,*6,*2,9),(*8,*5,1,6,3,9,2,5,3,8,1,3)</t>
  </si>
  <si>
    <t>55,646617,799,697,5782,4457633,65,53,8644,59412,62,4368722,97316,988,16739</t>
  </si>
  <si>
    <t>(6,1,9,8,5,3,4,2,8,5,*8,9),(*7,7,9,1,7,*9,*4,*3,2,*4,9,4),(*3,1,2,2,9,7,3,6,*8,8,1,3),(9,8,*6,*4,*2,*7,*7,*6,7,8,4,4),(2,7,1,*4,*1,*6,*8,7,6,6,6,9),(6,*6,*2,8,7,*1,4,9,8,2,4,*9),(9,*6,*2,*6,8,*5,*7,*2,*7,*2,*4,*7),(1,*5,*7,*5,1,3,9,7,*6,9,*1,*9),(3,*9,*5,*6,5,*3,4,*8,3,*5,5,3),(1,*5,*3,*9,*2,1,*6,8,9,*9,2,5),(1,4,*5,*4,2,*3,7,5,6,*4,9,6),(9,1,*8,4,3,2,7,7,8,4,1,5)</t>
  </si>
  <si>
    <t>6863,65694,7427275,77246,79,12,3248,848681,19,8535722,614,66595,594,349,73</t>
  </si>
  <si>
    <t>(8,8,1,8,3,1,3,5,8,2,7,7),(3,3,3,6,*2,8,6,2,*6,*4,*7,4),(*8,9,7,*3,1,1,8,7,4,*9,*6,6),(*7,*7,*9,4,1,2,*6,*7,2,*6,*4,2),(*3,*7,*4,9,3,*4,1,*8,6,*1,*6,1),(*4,*5,4,2,*9,8,9,*5,5,*5,*9,7),(1,*7,*8,*4,5,1,2,*9,8,*9,*1,7),(6,*8,*3,3,*8,*7,*2,*2,*4,*4,*5,1),(4,*2,6,5,9,*5,9,2,4,1,*2,6),(*1,2,5,8,4,*4,*4,*2,*3,*6,*6,7),(9,9,3,6,7,2,8,2,2,2,1,4),(5,6,7,6,7,4,8,5,1,9,5,3)</t>
  </si>
  <si>
    <t>79,87224,4691526,83,961594,932,8734,1234946,44236,7859,77578,874,45,746,76</t>
  </si>
  <si>
    <t>(*7,7,*4,*7,*8,*7,*5,*3,*6,8,4,8),(2,*9,*6,*6,*7,*7,*7,*7,*4,*2,6,8),(*3,8,*2,*8,*3,*1,*6,*6,*9,2,8,7),(6,2,5,*2,9,4,2,2,3,1,2,*5),(6,6,2,*8,*5,2,*6,9,1,2,2,*7),(6,4,6,1,7,*5,5,*7,3,4,4,*7),(1,4,5,*7,*3,*2,*6,*8,*6,1,3,*1),(6,3,4,6,7,4,2,9,2,7,4,*7),(5,9,2,6,5,5,5,1,5,4,5,2),(4,*7,*6,*7,*9,1,*5,*3,*3,*1,*8,4),(7,6,4,5,6,5,8,7,*4,*1,7,2),(3,2,2,6,2,4,1,2,3,3,6,3)</t>
  </si>
  <si>
    <t>46,71775,552297,85,81335,8623,96613,7679,732,283,676,93,2477776,6357874,14</t>
  </si>
  <si>
    <t>(6,3,2,*6,5,5,7,6,8,8,9,5),(5,9,9,5,*1,2,4,4,*9,4,3,2),(5,5,2,3,4,*6,*3,2,*7,1,*1,9),(7,*9,*1,*3,*4,*1,*4,*8,2,4,*2,5),(5,9,*8,*5,2,*4,7,*5,*1,6,*5,2),(*1,*7,*2,*6,*1,6,*8,6,*6,*5,*1,*8),(5,*4,3,4,7,*1,5,*8,*8,*9,*9,*2),(8,8,*6,9,9,*3,6,7,7,6,*6,*8),(5,4,5,*2,9,*5,7,7,8,3,*4,*4),(6,5,2,6,*6,5,*7,1,8,6,9,*6),(5,1,7,9,4,6,6,*2,*7,*8,5,2),(8,*1,*1,*6,*1,*1,*6,*9,*8,7,8,2)</t>
  </si>
  <si>
    <t>135,488,14319,4626,79,9611611,64828,5183,827,98,17261,85,78,654616,4691521</t>
  </si>
  <si>
    <t>(9,3,4,6,9,3,5,6,2,3,4,4),(1,4,3,6,7,5,2,7,4,4,8,9),(7,8,*6,*3,*3,*8,*4,*2,*9,*3,*6,*7),(7,7,*7,9,7,9,*8,*6,*5,*3,4,*6),(8,7,4,*9,1,8,*3,*6,*4,*2,*2,*7),(9,7,*4,4,*5,*2,*2,3,*9,*2,*2,*1),(7,5,9,*4,*5,*2,1,*4,1,5,7,*8),(9,1,5,*1,*4,*2,*5,4,*4,2,4,*6),(6,3,*7,2,*7,*9,*3,3,*1,8,6,*4),(8,*5,1,*8,*4,6,*5,*8,*9,7,1,*4),(9,8,2,2,*3,4,7,2,*9,3,4,3),(5,9,5,4,4,9,*6,*2,5,*7,6,7)</t>
  </si>
  <si>
    <t>571523,52597,19,8653,922,79832,87,244,7639248,6718644,62,336,44495,2246,43</t>
  </si>
  <si>
    <t>(4,6,9,1,6,*3,*2,*1,*5,*3,1,8),(9,8,*1,*4,*9,*3,*1,*2,*8,*2,2,*2),(2,3,1,*1,6,7,9,6,*1,2,*3,*2),(*4,5,*3,7,7,3,8,*2,4,*5,8,*6),(*7,*1,*8,*2,*1,*7,*9,*5,*1,2,3,8),(*4,*4,*5,*9,*3,*4,*9,*1,2,9,2,7),(*3,7,9,6,*4,*8,*2,1,8,8,3,1),(*1,6,6,*2,4,*9,*8,4,*4,8,5,8),(*1,2,*7,2,*3,8,9,9,*2,2,9,9),(7,*7,4,9,3,4,6,5,*1,6,9,6),(*6,2,8,4,8,5,4,2,*5,7,6,6),(3,7,9,5,8,9,6,8,*5,5,7,5)</t>
  </si>
  <si>
    <t>113474,4593,48,212,35123,91,131,3511293,226,42155,1493128,59712,44,2776,88</t>
  </si>
  <si>
    <t>(*9,*3,*4,*2,*1,*1,*6,1,7,1,3,4),(*5,7,*8,*6,*1,*4,*6,1,1,*1,1,3),(6,*1,7,6,6,4,9,4,*2,*4,6,4),(9,4,*5,4,9,*2,7,*1,1,*7,7,4),(4,6,6,3,3,6,*6,*2,9,*4,*3,3),(5,8,8,8,5,*1,*8,8,4,*9,*6,5),(9,5,5,9,*9,*4,*6,1,*5,*5,*7,2),(2,8,9,*7,*6,*8,3,*5,4,*3,*7,3),(8,6,*7,9,6,6,*6,1,*1,8,*6,3),(6,5,2,3,5,4,6,*9,4,8,*6,3),(5,1,8,3,9,5,*1,2,9,9,*3,1),(4,6,2,8,2,*4,*5,*7,*7,*4,7,7)</t>
  </si>
  <si>
    <t>3191,26,686,4741,96,515,98,284,35,6112439,64168,65593,45774,2161977,366776</t>
  </si>
  <si>
    <t>(8,*4,*8,*9,*5,6,4,9,4,1,2,5),(8,*5,1,1,2,8,*5,*6,*5,6,2,7),(1,5,*4,*4,2,4,7,*3,5,1,4,6),(2,1,8,*3,*7,7,5,*8,*2,9,4,3),(2,1,7,*8,*5,*8,8,2,*1,*3,9,7),(8,7,*2,7,2,*7,*4,6,3,5,*1,2),(9,*9,5,*6,1,*1,*6,*7,6,1,9,5),(9,1,*4,1,*9,2,*4,*4,*4,9,9,2),(*6,4,6,*7,2,*6,7,*7,4,*7,6,2),(*7,*8,2,6,*7,5,*4,8,*9,9,8,7),(3,*2,5,1,9,*7,3,*7,1,*7,8,9),(8,1,*9,8,*4,*5,*9,3,5,8,9,1)</t>
    <phoneticPr fontId="1"/>
  </si>
  <si>
    <t>28,68,4784747,5435764,3231,79741,26913,77749,746962,565,18,12,729,954,5984</t>
    <phoneticPr fontId="1"/>
  </si>
  <si>
    <t>(5,9,4,*6,*6,*5,*9,*7,*1,*6,1,8),(*6,8,2,6,2,4,5,2,6,1,2,3),(*7,2,3,3,*3,3,*5,*5,*8,*1,*5,*4),(*3,2,7,*8,1,2,4,7,6,3,1,*4),(*6,8,*7,7,8,7,7,1,8,5,*4,*7),(*4,*6,4,*4,7,*4,*6,*2,*1,6,*9,*3),(*2,7,2,9,*5,1,9,*4,*9,5,*8,*7),(*6,2,9,*1,*1,*7,*3,5,2,5,*9,8),(7,4,*3,9,2,*6,*3,4,7,*3,*8,7),(4,5,6,*2,*7,*8,8,8,*5,7,4,9),(6,3,8,*5,*4,6,*6,*5,3,3,6,9),(5,8,*7,7,7,6,7,*4,7,6,5,1)</t>
  </si>
  <si>
    <t>553,73744,264,4573,19,468,11,51855,6179566,6736426,757634,3876,48,89894,32</t>
  </si>
  <si>
    <t>(*6,*7,*5,*2,*4,*8,*8,*9,4,3,6,*2),(9,5,2,*5,*6,*7,*5,*6,4,*5,7,*7),(3,7,3,2,8,9,7,*2,4,*4,1,*7),(*5,*9,*2,*9,*6,7,2,*4,2,*3,8,7),(2,*9,5,*9,*1,*8,4,*1,3,*3,7,9),(*7,5,5,2,5,3,*3,7,2,*3,7,3),(4,6,5,1,7,3,6,*4,6,*6,4,1),(2,4,*2,5,*3,6,3,*6,*5,8,1,1),(3,9,3,*8,3,*5,*7,*4,*6,*7,4,1),(7,6,7,*6,*2,*2,*7,2,9,8,*3,6),(6,4,8,2,*3,*2,9,*2,*9,*9,4,*4),(9,1,2,3,9,*8,8,4,*4,5,1,3)</t>
  </si>
  <si>
    <t>42753,91,277,2822,64,69295,79,5765,543336,14269,836,6752488,672,8345734,99</t>
  </si>
  <si>
    <t>(2,6,1,8,4,5,9,3,6,*9,6,7),(2,5,4,3,9,9,3,9,*5,*3,5,4),(*2,*5,*1,*1,*9,7,1,*9,*1,*4,4,4),(*9,*9,*4,*5,9,1,*8,*3,7,*7,7,8),(3,5,3,2,7,2,*7,3,6,*5,4,9),(9,*7,5,3,2,*6,1,8,1,*2,7,8),(2,*3,3,5,*5,5,*6,5,1,*1,5,4),(9,*2,7,*4,3,*3,*9,6,*4,2,8,*2),(1,*3,1,8,7,8,*1,*7,1,*5,*3,*4),(7,*9,4,8,6,8,*7,*5,8,7,9,*7),(9,3,3,9,*6,*1,*9,9,*7,4,1,*5),(*7,*7,*7,*2,*7,*2,*9,6,1,*2,*2,*9)</t>
  </si>
  <si>
    <t>456731,196,22,9945,3157,35,73239,16,895,24759,25119,7772729,79,774,1257439</t>
  </si>
  <si>
    <t>(2,3,2,4,2,*8,5,*8,*4,*6,8,1),(1,3,*9,*6,*9,*2,1,*6,6,8,6,2),(*5,*9,*9,*4,*7,*1,*2,*4,3,7,4,2),(*6,*6,*2,6,4,*5,8,*6,2,8,3,6),(*1,*1,2,9,5,*4,*9,*2,*4,6,2,2),(2,5,8,1,*5,*3,1,*3,6,7,7,2),(7,7,8,*1,4,7,9,*7,9,6,6,3),(8,2,*6,4,5,2,7,*2,5,4,3,9),(9,*5,5,5,6,*6,*1,*7,*6,*7,*7,4),(9,5,7,2,7,2,7,7,1,7,9,3),(1,7,*6,*4,*3,*1,*9,*6,*5,6,4,8),(*2,*3,*7,*1,*3,*3,*1,5,9,2,4,3)</t>
  </si>
  <si>
    <t>2264,646237,969,5165,5691346,76716,82154,266,74995,27,77,2371331,11,93,846</t>
  </si>
  <si>
    <t>(1,7,5,1,1,*4,4,2,8,7,7,7),(6,8,9,6,9,1,*7,6,8,7,*6,2),(8,*3,*5,*8,9,8,7,*3,8,2,*2,3),(*6,*7,*2,*9,*8,*8,*5,6,*3,6,*3,3),(*6,*6,*4,*7,*1,*8,5,7,4,*7,*2,2),(4,7,3,7,3,6,1,*8,2,9,*8,*3),(9,3,4,8,2,3,*3,*1,2,6,*1,4),(2,3,*6,*8,1,*9,6,*9,3,*4,9,1),(1,*4,*2,*7,*3,*7,*5,*4,*1,1,6,4),(6,*5,2,*5,7,6,7,*4,1,*5,*7,*1),(3,5,1,*9,4,3,9,2,7,3,8,1),(6,5,4,3,9,*4,*2,*9,*9,*1,*9,*8)</t>
  </si>
  <si>
    <t>5889276,1413,175,938,82326,54,57372,47337,4299198,59,358,36,1944,817466,86</t>
  </si>
  <si>
    <t>(3,*5,9,6,4,6,7,3,1,3,2,3),(1,*4,*2,5,*8,*9,*5,*5,*9,*1,8,5),(9,*2,*9,6,2,*7,*3,*2,*3,*3,*4,*2),(1,3,*3,4,2,8,3,4,2,7,*5,2),(6,3,*6,7,9,2,4,4,*3,*3,6,*7),(*6,5,6,*5,9,6,6,*2,*8,6,9,*5),(*1,9,2,*1,1,9,*8,*3,4,3,8,*2),(*6,7,*4,*6,2,*1,*7,6,7,2,3,1),(*9,8,1,*9,5,*2,6,*6,4,4,1,4),(*3,3,1,*5,*2,7,*9,*2,8,3,7,6),(1,7,9,*5,3,7,5,*7,*7,*9,*9,*9),(4,3,*1,5,8,5,4,9,6,3,9,5)</t>
    <phoneticPr fontId="1"/>
  </si>
  <si>
    <t>1823,46,99977,59615,792,8372251,245,257,39616,195598,7323342,2936,62,35,78</t>
    <phoneticPr fontId="1"/>
  </si>
  <si>
    <t>(6,4,4,9,7,2,*9,*8,*7,*8,5,*4),(9,8,5,*3,2,*7,2,6,5,7,3,*6),(4,8,3,7,*1,5,*8,*8,2,*5,9,*6),(3,*2,*9,*8,3,*4,3,*7,*9,1,*8,*9),(*7,*7,*5,*7,*3,5,*8,*3,*3,9,5,*4),(2,*1,1,3,7,7,*1,*7,8,*9,*2,*2),(1,5,*4,4,1,*5,1,9,7,5,*6,4),(3,4,4,*6,*4,8,6,5,9,6,8,*3),(1,4,6,*9,*6,3,2,2,4,1,8,7),(8,*9,9,5,8,4,9,1,9,7,*8,7),(1,5,*2,8,3,*9,*6,*6,*5,*6,*7,*4),(1,2,1,*9,5,5,7,7,1,9,3,6)</t>
    <phoneticPr fontId="1"/>
  </si>
  <si>
    <t>9878,4765669,71466,88,584,22,81,298,929,31487,945139,3693787,68,7573,49664</t>
    <phoneticPr fontId="1"/>
  </si>
  <si>
    <t>(4,7,9,7,*3,*8,*6,*9,*2,*7,*9,5),(3,9,*6,*3,6,*8,*6,*3,*1,*9,*1,8),(6,*5,7,*3,*6,3,5,8,4,4,2,2),(*4,2,9,1,*5,*1,3,3,3,*4,1,4),(2,4,3,3,*1,*7,*5,5,6,*8,3,7),(2,8,3,8,3,*4,9,*1,6,*6,7,2),(5,*4,*2,*1,*9,3,*6,1,6,*5,7,4),(8,3,1,7,9,*7,3,*8,1,*6,5,8),(3,1,6,4,*5,*2,2,5,*5,*3,4,9),(6,7,7,7,5,2,*2,*6,*6,*5,*5,3),(7,5,5,2,2,9,9,4,*9,*3,6,*8),(7,9,6,8,9,*4,*7,*9,*5,*3,6,7)</t>
    <phoneticPr fontId="1"/>
  </si>
  <si>
    <t>7536,47953,25,36151,662,456,67,863191,58641,39,9729683,84,3536568,9124,358</t>
    <phoneticPr fontId="1"/>
  </si>
  <si>
    <t>再開時間</t>
    <rPh sb="0" eb="4">
      <t>サイカイジカン</t>
    </rPh>
    <phoneticPr fontId="1"/>
  </si>
  <si>
    <t>(6,5,8,1,2,6,4,6,5,*1,1,9),(*3,*4,*3,*7,*6,*4,*7,7,1,*2,3,4),(9,8,*6,*1,*8,*6,*6,*2,6,*6,*8,6),(*3,*2,*7,*3,*1,2,9,7,9,*7,*4,3),(*7,8,3,5,8,*8,*7,*1,1,*5,*2,7),(8,2,8,7,8,7,1,8,8,2,2,*5),(9,3,2,3,*9,*3,5,9,8,5,6,*4),(*3,9,6,4,2,*7,4,5,3,*6,9,*2),(*7,3,7,6,2,7,*7,5,1,*7,8,*2),(*9,4,3,*8,*8,8,1,*6,1,*6,6,*7),(3,2,4,3,1,2,4,1,*5,*9,1,*8),(3,*8,*3,3,8,5,*5,*2,5,*3,6,*4)</t>
  </si>
  <si>
    <t>12675,88,178,35677,93,4872245,32731,52,7467343,973,248,618662,6769,7627,83</t>
  </si>
  <si>
    <t>(2,*5,5,9,2,*3,5,6,8,7,4,9),(4,*4,7,7,6,*4,8,1,6,3,1,7),(8,*4,8,3,7,*6,3,5,6,*6,*2,*9),(2,*1,2,1,4,*2,8,8,6,6,*9,4),(8,*7,1,3,*9,8,2,*9,*9,4,*4,*8),(4,*7,3,3,4,*6,*7,2,*7,*9,*8,*5),(6,4,5,6,1,*7,*1,*1,*3,*1,*7,*4),(5,5,2,1,8,*3,1,5,*6,*2,*9,*9),(6,1,9,*6,2,*3,8,4,*6,*2,*5,*9),(9,6,6,*3,9,*2,1,5,3,*3,*7,*7),(7,*8,4,*6,6,*6,1,1,1,*8,*3,2),(9,7,*8,*7,5,*3,3,3,9,*1,4,1)</t>
  </si>
  <si>
    <t>896,35,6367,4879573,66379,2643,9122381,36233,88,92,11,169,79945,977,544177</t>
  </si>
  <si>
    <t>(*8,*6,*9,*1,*2,*6,*9,7,6,1,2,8),(1,3,4,6,3,4,*9,4,2,3,1,2),(4,1,2,*4,*7,8,*9,4,6,8,5,4),(3,6,4,*6,*5,*5,*5,*7,*6,*6,2,9),(5,*2,*6,9,*7,4,7,9,5,*7,2,*7),(*9,*8,*9,9,*1,6,7,*1,*3,*3,3,*5),(*3,*4,7,*2,*4,1,2,2,4,*3,2,*7),(5,1,*9,4,*5,9,3,1,8,*4,5,*8),(8,9,6,*3,5,7,4,*8,3,*8,8,*6),(8,8,*7,4,*3,4,*9,9,1,6,1,7),(3,*7,3,5,6,*4,5,5,9,*5,*1,*1),(4,1,*6,*6,*7,*9,*7,8,3,6,8,1)</t>
  </si>
  <si>
    <t>77,45,99,714,13,38667,67555,843376,75786,511,9621968,7433949,9766,894,5292</t>
  </si>
  <si>
    <t>(*7,8,3,3,2,4,8,5,*7,4,2,3),(1,*6,*5,*5,*8,*1,*9,*2,*3,1,6,2),(5,6,*6,3,8,8,4,7,*1,3,5,9),(6,7,6,*4,3,8,5,*1,*4,*4,7,7),(*6,*8,*1,*3,*3,*9,*8,*3,*3,*2,*5,*6),(9,9,*4,*7,*8,*8,*8,*4,9,8,1,3),(8,*4,3,6,9,8,9,2,*3,2,2,8),(2,*9,8,*8,*7,9,6,1,*5,6,1,*8),(3,*2,8,*1,*3,*4,9,8,*7,5,1,*8),(4,4,*4,9,6,*8,3,7,*8,3,7,*5),(4,9,2,1,4,1,*9,2,6,5,7,*7),(4,1,5,5,1,6,4,*1,9,6,9,*4)</t>
  </si>
  <si>
    <t>3291855,294,44,417,134,6523389,488874,47588,8753,73,93,11,83891,4667,68133</t>
  </si>
  <si>
    <t>(8,*3,7,7,7,*7,6,*2,*4,6,8,9),(5,*5,2,8,*4,*4,*9,*6,*8,*4,*6,8),(8,*2,9,*7,*9,1,9,1,3,3,9,1),(9,6,*9,2,*5,*4,8,9,3,*9,5,7),(9,*6,8,8,*2,*7,*7,6,*1,7,6,2),(6,5,3,*6,*5,*9,*6,*1,8,3,*5,7),(1,4,1,*3,*1,*8,*1,6,1,*4,7,7),(1,4,7,*4,*5,*2,*2,2,*6,*1,2,6),(4,2,8,*7,*4,3,*9,*7,8,*2,5,6),(8,6,7,*7,*7,8,*6,7,9,*7,*8,5),(9,9,5,*4,7,*2,1,7,8,*3,9,1),(9,5,8,*6,2,2,3,6,1,7,6,8)</t>
  </si>
  <si>
    <t>38,6347746,119,648694,67645,8974,352,65,82,3721,74796,4515259,24,92167,772</t>
  </si>
  <si>
    <t>(6,7,6,3,1,6,3,2,4,*2,2,*6),(9,5,6,8,*5,*5,5,1,6,*6,1,*8),(8,8,8,9,*7,*8,9,5,4,*4,5,*5),(*1,7,4,*2,4,7,*8,1,8,*8,5,*3),(*7,*7,*7,*3,*8,*1,7,*8,4,6,6,*1),(*1,6,*4,7,*3,*2,3,7,*9,4,7,*4),(9,*3,*2,7,1,*4,7,7,6,*1,6,5),(9,*6,*7,4,1,*8,8,3,7,2,*8,7),(9,1,*4,1,*8,*8,*6,*4,*1,*9,*4,3),(6,7,5,3,*4,*1,*6,*8,*6,4,9,3),(3,1,1,*9,*8,*7,*7,*6,2,6,7,8),(7,*5,*6,3,7,5,*3,*9,9,1,9,7)</t>
  </si>
  <si>
    <t>5888918,93,377,83,47247,1248,8864194,98776,41686,56,413586,275,8462,63,171</t>
  </si>
  <si>
    <t>(9,8,3,6,3,9,9,2,1,1,6,8),(6,*5,*1,*8,2,8,*7,1,*4,*3,*4,*1),(9,8,1,*4,2,7,4,*1,3,9,5,*4),(*7,5,1,*9,*7,*4,8,2,*1,9,2,*8),(*7,5,6,*5,4,9,*5,2,5,*3,7,*3),(*3,3,8,*2,6,3,6,*3,8,2,1,*6),(7,8,3,*6,8,3,3,6,*8,*9,3,*6),(2,*3,*4,*8,*9,*2,*7,*5,7,*1,*5,*2),(9,7,4,*1,*1,*8,*6,*6,*4,4,*8,*5),(1,1,5,3,*1,*6,*3,*8,*6,5,1,9),(5,3,1,4,6,*7,3,2,8,1,5,2),(8,4,8,6,9,4,*8,8,8,4,2,6)</t>
  </si>
  <si>
    <t>4341,67,74,81835,773,3489275,62594,16386,3117,91,466811,78,1483662,518,955</t>
  </si>
  <si>
    <t>(6,7,6,5,1,6,1,4,1,6,9,2),(1,*6,9,5,9,*6,3,*3,5,9,1,9),(3,*4,8,7,3,*1,2,*2,*9,*6,*6,*7),(5,*4,1,5,*1,*3,*2,2,7,5,6,9),(7,*1,6,7,4,*4,7,1,*5,*2,*6,*6),(*8,*9,*4,7,1,4,1,6,*7,*3,6,*6),(*8,*1,*2,6,*4,2,*1,5,*1,*4,8,*1),(2,*3,*5,*1,9,*7,*3,*3,*5,*6,9,*4),(9,3,*2,6,*7,5,5,5,*4,*6,9,7),(1,*2,3,*4,1,9,9,5,8,*7,1,4),(*7,1,*5,9,4,3,5,6,2,*7,2,4),(1,*4,*4,*4,*5,1,7,9,6,*5,8,7)</t>
  </si>
  <si>
    <t>3466775,76692,132,454771,544,3191446,33,45175,6134,425,93,26,88,4166,72214</t>
  </si>
  <si>
    <t>(*3,*6,*8,*1,*7,*6,*6,*3,*6,*3,*4,*8),(7,9,4,*8,*3,6,6,2,4,1,7,3),(4,4,5,*9,9,9,*2,6,9,7,8,2),(*9,7,5,*1,6,*7,1,3,5,6,7,3),(*9,5,*6,*5,8,7,6,9,8,7,7,*6),(*6,2,*1,*1,*5,*4,3,8,4,4,*4,*9),(*8,3,6,4,6,*5,1,3,9,*2,9,*7),(5,7,*4,*6,*7,2,6,3,*4,9,3,*4),(4,4,*8,6,7,8,5,*8,3,4,8,*7),(6,2,*7,5,1,1,*9,6,*4,*1,*7,*9),(4,7,*1,*3,*1,*4,*2,*2,*2,*3,6,8),(3,7,6,7,8,7,3,1,5,4,7,9)</t>
  </si>
  <si>
    <t>639,3222413,27,15198,36817,974796,98424,4871,511,9968,714,8436366,54,67,56</t>
  </si>
  <si>
    <t>(2,6,9,7,1,*3,*5,*6,*8,*2,*2,*7),(*9,5,1,6,2,*9,*7,8,*8,*7,5,3),(9,*6,3,1,4,5,4,8,3,6,5,8),(5,4,*2,9,7,5,6,1,5,8,5,9),(1,7,*2,*2,*2,*9,*8,*8,*5,2,3,3),(3,2,4,5,*1,5,3,2,7,7,2,4),(2,5,5,*2,*4,2,3,*1,*9,*2,*9,4),(5,2,*5,*1,*6,*9,5,1,2,9,6,1),(*8,5,*9,*3,*1,*3,*4,7,*4,3,4,9),(*8,6,2,6,9,3,2,1,*6,*7,4,6),(*2,*2,*5,*8,*5,*8,*6,9,1,*9,3,6),(6,*5,*6,*5,*4,*3,*9,*3,4,3,*9,2)</t>
  </si>
  <si>
    <t>1929,699,24,74,58892,78,222,288,5169,12269,93134,3568227,3934565,258586,79</t>
  </si>
  <si>
    <t>(4,5,5,5,5,3,2,2,7,8,4,7),(*1,*3,*9,*4,*3,*1,*6,7,8,6,9,3),(*5,5,4,4,4,9,1,6,2,4,8,3),(*3,*8,2,3,9,3,6,3,7,6,5,8),(*9,*8,3,1,7,*3,*9,*2,*5,*7,7,3),(3,*7,6,1,8,*3,*6,*4,*7,*4,1,7),(1,*7,2,5,2,*1,1,6,9,*7,6,*9),(7,*6,8,5,*6,*2,5,*5,1,*6,5,*5),(7,*6,9,*4,*9,7,*2,*4,*1,*3,*4,*3),(7,*6,*6,*1,*5,*9,*5,*6,*5,5,7,*3),(8,4,1,2,*5,7,2,9,*1,8,5,*6),(4,1,3,5,*8,6,5,9,*7,7,4,9)</t>
  </si>
  <si>
    <t>4134,36474,58,39257,8877666,42,95336,45,6461,367,539,192,71,159565,1394316</t>
  </si>
  <si>
    <t>(9,4,7,9,8,9,3,4,2,3,3,1),(4,6,8,1,6,9,4,7,9,1,3,9),(6,5,9,6,9,3,3,*2,1,7,*4,4),(7,3,*8,*1,*2,*5,*4,2,*5,*8,3,6),(3,6,*1,*4,1,8,3,4,*9,*6,1,5),(4,*6,*9,3,*9,*6,*7,*3,9,4,*1,4),(*8,*9,*5,9,9,6,*6,2,1,2,2,*9),(5,6,7,*3,3,*4,7,2,6,4,*4,4),(1,8,9,1,*6,*2,9,5,7,*3,4,9),(6,6,*5,*2,*7,*5,*4,*8,*2,5,2,2),(*1,*2,*5,*8,*5,*2,*2,*1,*8,*3,*3,*9),(7,5,4,*7,*7,*7,*9,*8,7,3,2,1)</t>
  </si>
  <si>
    <t>41,845725,91,769,45218,9432,356,598,1258522,26,4893646,77798,1652,93381,24</t>
  </si>
  <si>
    <t>(4,1,6,8,2,8,1,*9,*7,*6,*6,*2),(5,5,4,3,7,2,9,7,4,1,2,3),(5,4,3,1,*5,*1,*7,*4,4,3,4,3),(8,*7,*5,*4,*3,*8,*3,*3,7,3,*9,8),(*5,*1,*7,*6,*3,*3,*1,*7,*1,*8,6,1),(6,7,8,*4,8,8,*9,1,*6,*6,8,9),(6,2,5,7,*4,*5,9,*3,3,6,*3,5),(1,*4,*9,*2,*8,6,*9,2,7,7,9,*8),(*1,*7,*8,*7,*3,*7,*4,*2,*7,*3,*9,1),(6,1,7,*5,8,2,4,6,3,9,7,8),(5,9,3,7,*5,*9,*9,6,*3,6,9,5),(8,5,8,3,6,9,1,9,*2,9,1,8)</t>
  </si>
  <si>
    <t>1336715,937,44,294,7247378,55,83613,5174,99,754383,26679,7958,23,871,93689</t>
  </si>
  <si>
    <t>(*2,*4,*3,*8,*8,*3,*4,5,5,4,2,*6),(5,6,7,1,1,1,8,8,1,3,9,*7),(5,3,4,*4,9,5,*2,3,1,3,8,*7),(5,9,1,*3,*1,4,6,*9,7,9,7,*5),(3,*2,2,*8,5,*4,9,*9,*7,6,*1,*9),(1,*1,8,*9,3,3,*9,9,9,*4,4,*8),(8,*2,5,*2,*3,*6,3,*3,8,2,7,4),(3,*2,*2,*5,5,*7,5,3,*1,3,4,3),(7,*1,*5,*6,9,*5,3,4,6,*7,*3,4),(7,8,*6,*5,6,*6,*3,1,3,8,*5,9),(9,4,*5,*9,5,1,*7,*7,*1,*1,*3,*6),(1,9,2,*8,2,2,9,7,3,3,6,9)</t>
  </si>
  <si>
    <t>4149317,4792,657,12212,983,5652,37,71136,2438834,53,19,699,895776,32,89565</t>
  </si>
  <si>
    <t>(*5,7,5,3,2,2,6,7,6,9,9,*5),(*7,*4,*7,*5,*7,*5,*9,3,4,4,9,*3),(*7,*2,*4,*9,*2,*8,4,3,8,8,1,*8),(6,3,*6,*4,*9,*4,8,*8,8,6,8,*2),(*2,*5,*6,*1,*5,*2,4,*5,4,5,4,*2),(2,3,9,4,2,2,8,5,1,9,1,*8),(8,6,4,9,2,1,7,1,3,5,5,*7),(4,1,7,6,*1,*4,*7,*2,*3,3,*8,2),(7,4,8,*6,6,8,6,7,8,6,*8,1),(6,1,3,*6,5,9,6,4,3,5,6,2),(6,5,5,6,*2,*8,*2,*8,*9,*8,*6,9),(7,3,4,*6,*7,*7,*1,*5,*6,*2,*5,*5)</t>
  </si>
  <si>
    <t>85,7822835,6898282,55265,24928,475,256152,577,66,6771,88,723,41,6494,95757</t>
  </si>
  <si>
    <t>(4,8,*2,*5,*9,*9,*6,9,1,2,1,5),(*8,3,1,9,*8,1,1,1,*5,3,4,8),(*6,*2,8,*7,9,5,3,*2,9,3,2,*6),(*7,*6,5,7,9,8,*5,*5,*3,1,5,*5),(6,*4,7,3,*1,*5,3,9,3,6,*9,*2),(8,*2,*7,*4,*8,*6,*4,*6,4,9,*4,*3),(2,*5,8,*5,6,8,*7,7,5,2,*1,*3),(3,*9,2,5,*1,8,*4,5,3,9,*6,7),(2,*8,*1,3,4,*7,8,*6,4,2,*4,1),(2,8,2,6,6,6,*1,9,*2,9,*2,3),(2,5,1,1,4,5,3,*2,*7,*4,*6,7),(6,5,*5,*4,*3,1,7,9,*7,6,1,2)</t>
  </si>
  <si>
    <t>77,64684,69952,35,87,4624,217157,761,867,5255,18,543,2642598,9416426,65233</t>
  </si>
  <si>
    <t>(7,8,1,1,9,3,*1,*2,1,2,4,2),(4,2,5,7,2,1,*7,*6,3,4,9,8),(7,6,*3,7,5,2,*3,*1,2,9,1,*7),(*1,*6,*4,*2,*3,5,*1,*3,2,*8,1,*8),(7,4,3,2,*3,2,3,*4,*7,*4,2,*3),(1,6,*6,*1,*6,8,3,*5,*5,4,2,*6),(4,8,2,7,7,*8,9,*4,6,2,6,*7),(8,1,6,3,*9,6,3,5,1,2,*4,3),(9,9,2,*7,1,6,6,9,6,*6,9,2),(2,3,*3,*6,*6,*1,*8,*2,*6,2,3,3),(*2,6,4,7,*4,*7,*6,*4,*1,*5,*9,2),(8,*9,3,4,*8,*8,5,*1,*6,*8,*3,*8)</t>
  </si>
  <si>
    <t>75,628166,323,84,616,1731,2613454,8973,746,78367,88,4764159,32461,29,16838</t>
  </si>
  <si>
    <t>(8,7,*4,*6,*3,*8,*5,*5,*5,3,3,3),(1,7,4,9,2,7,6,*7,*5,*8,3,6),(*6,*8,4,8,1,7,*3,1,5,8,4,8),(*6,2,3,3,2,*8,*1,*4,*5,*4,*5,7),(1,*1,6,*1,*7,4,5,2,9,1,6,*7),(1,5,*5,4,8,*5,*6,5,5,6,8,*5),(1,2,3,*2,7,*9,*3,*2,5,5,5,*4),(*1,*8,5,*5,3,*4,*7,*7,*9,*7,*9,*8),(2,5,*4,2,7,*2,*4,*4,2,*7,5,*3),(2,*4,2,8,3,*7,*3,*7,3,*6,4,*9),(*7,7,8,5,9,*9,9,*8,8,3,8,8),(9,9,2,8,5,*3,9,2,8,2,7,9)</t>
  </si>
  <si>
    <t>979,14545,68,5942793,387,7445,27478,81,4638555,6152,754839,17,63743,857,67</t>
  </si>
  <si>
    <t>(8,*4,8,6,1,*5,*7,*8,*7,1,1,3),(2,*5,*9,3,3,*9,*3,*5,*8,*4,6,4),(3,*1,2,*5,9,*5,*6,*4,*5,*6,*6,*8),(8,3,1,8,*7,9,1,*6,5,8,4,1),(3,8,4,2,2,*5,3,*7,*4,2,*6,5),(8,1,3,5,4,6,*1,*4,*6,*9,6,*5),(*9,5,7,9,3,4,5,*1,*4,4,*2,6),(*3,9,1,2,*1,9,5,*1,5,*5,9,6),(*7,2,6,8,*3,5,8,*2,*8,4,7,5),(*3,5,*6,*2,1,1,4,*7,9,*3,4,4),(*5,5,4,7,4,1,5,6,8,8,*7,8),(7,1,5,5,9,*6,*9,*5,*2,*3,*9,*1)</t>
  </si>
  <si>
    <t>6741127,932596,26,53739,31,95751,154,16,5645668,5787,371,93584,5258,44,694</t>
  </si>
  <si>
    <t>(4,8,*9,*6,*4,*2,*6,*1,*6,*1,7,2),(2,6,5,*8,5,*6,*9,*1,*4,*2,1,1),(*3,3,8,*7,*8,7,8,*1,1,8,3,7),(2,*6,7,*5,6,*4,6,1,4,*4,*5,9),(*1,*4,*1,8,7,5,*1,4,1,3,5,4),(*3,7,*3,*6,8,*7,*6,*9,*8,6,*9,8),(*6,*9,2,*9,*7,6,*2,*3,6,4,*7,6),(*2,3,*2,6,*8,*2,7,1,8,3,*3,7),(*7,6,3,*6,7,*1,*4,6,4,5,8,3),(*9,6,6,8,*2,7,*7,*9,3,3,1,5),(1,2,6,2,2,*2,*1,5,7,4,9,3),(2,2,8,7,2,*5,4,1,8,5,2,7)</t>
  </si>
  <si>
    <t>8967,34,54,24196,972631,519,57,291,98841,32,4276163,973,92622,1616246,7189</t>
  </si>
  <si>
    <t>(4,5,5,3,*8,9,8,3,4,2,1,6),(7,*4,4,9,1,*4,2,*5,*3,*2,*1,3),(4,2,*7,9,4,7,*5,1,4,9,2,5),(*8,8,7,*5,4,*1,5,*4,5,7,*7,*3),(5,*4,8,*1,*1,2,*6,3,*1,4,9,*5),(5,3,*8,6,*7,*2,2,*9,7,*3,9,*7),(4,9,5,5,7,*5,*4,4,*7,9,*2,*8),(8,3,8,*8,*1,7,*9,*6,9,3,*1,*4),(7,3,*8,3,6,*6,9,*4,4,5,*3,*6),(5,*9,*1,7,*9,*3,*5,8,7,1,*4,7),(7,*1,3,7,8,*8,5,*5,8,9,*5,1),(*2,1,3,9,2,*3,1,2,*7,6,*8,8)</t>
  </si>
  <si>
    <t>935,1697,75561,85431,81,89,6421574,2314548,848,211,357846,38,37,17594,5321</t>
  </si>
  <si>
    <t>(1,4,3,1,4,*6,*8,*6,*4,*2,1,2),(7,2,7,*5,*1,*6,*6,7,8,3,8,8),(1,*7,8,2,5,*9,*8,*1,*3,*9,*5,6),(2,*1,*3,*1,*4,*8,*7,*4,*4,*9,2,3),(3,*7,*3,6,6,*7,3,6,8,5,*3,5),(2,*9,*5,7,*2,1,*8,6,2,9,3,*2),(5,*4,*4,*2,1,*1,*2,4,7,*9,3,5),(2,1,*3,2,*6,9,*4,6,*8,2,3,2),(6,1,1,*4,1,1,*9,*9,6,*1,*1,7),(5,*8,*1,3,*3,*7,*3,6,4,1,*7,*7),(4,*8,*2,5,6,5,4,2,5,5,3,7),(*6,5,6,*7,6,1,2,2,2,7,7,9)</t>
  </si>
  <si>
    <t>2493,34533,1487449,593189,6814618,227,32,6615,989,73,11,77,24686,49717,728</t>
  </si>
  <si>
    <t>(6,2,9,8,5,1,*6,9,*6,*1,*9,*2),(9,*6,*1,*4,*2,*3,*6,*2,6,3,8,2),(9,7,1,*2,9,6,*9,8,*7,9,7,6),(9,7,*5,*7,*4,5,*5,8,*1,*7,1,5),(7,*8,4,1,7,*8,*2,6,*9,6,*9,4),(2,8,*2,5,1,7,9,7,*6,*3,3,*1),(8,9,*5,*1,*8,9,3,6,*9,2,6,4),(7,6,5,*8,*3,9,8,3,*6,2,9,8),(9,5,*6,9,*9,*6,2,3,*5,8,2,6),(7,9,*5,*7,*5,*7,*7,2,*9,2,*7,5),(9,6,5,9,3,8,9,7,6,6,*1,5),(6,*9,*6,*3,*4,*3,*7,*9,1,6,6,9)</t>
    <phoneticPr fontId="1"/>
  </si>
  <si>
    <t>688,1969659,32416,9734369,821367,27791,5757,48,71,985,66952,93,47,522,6192</t>
    <phoneticPr fontId="1"/>
  </si>
  <si>
    <t>(7,1,7,3,*1,6,6,5,9,*5,2,7),(3,6,1,5,9,*9,2,2,8,*9,3,6),(7,6,3,5,*3,1,*5,9,9,*7,5,3),(*6,1,*5,*7,*4,*7,*1,*6,*6,*3,7,2),(*9,1,*3,9,3,*9,8,6,*6,1,1,6),(*2,1,4,1,6,7,*8,*6,*9,*1,*2,*7),(*8,7,9,6,5,3,8,*2,4,3,3,6),(*1,*1,4,7,5,7,6,8,6,6,*7,*7),(7,*6,*6,*5,*2,*1,9,7,8,7,8,1),(2,*8,*7,*2,*1,*2,*5,*2,6,9,9,5),(5,7,3,*4,*1,*6,*6,*9,*9,8,7,2),(3,9,*3,*3,*2,*5,*2,*5,*8,9,3,9)</t>
  </si>
  <si>
    <t>11,75,12566,66591,795,63,69127,4982,8525233,174,2521278,77,996614,6928,373</t>
  </si>
  <si>
    <t>(1,1,3,7,9,3,*8,*2,*1,*3,2,2),(4,8,8,3,9,3,8,*8,*2,*3,*4,*1),(4,3,2,4,*7,*4,*8,*1,5,7,8,7),(1,6,1,9,3,6,7,1,6,1,1,3),(9,*6,9,3,7,3,8,*9,*8,7,6,3),(*4,*8,*1,*2,*4,7,7,*9,*3,2,9,8),(4,*3,6,7,2,4,*7,*8,*7,3,2,9),(7,3,8,9,1,*6,*2,3,*7,7,7,1),(9,*2,*2,*2,*7,*9,*1,*2,7,3,8,1),(1,7,4,7,*9,*5,*9,*1,*8,*9,*3,6),(6,*8,1,1,6,7,*5,*2,*5,*6,*9,7),(*5,*2,*8,*4,*5,*2,4,1,9,1,3,3)</t>
  </si>
  <si>
    <t>773,7481,26,738,99,78,48124,254825,683,88,14328,52569,3981959,3128,2197222</t>
  </si>
  <si>
    <t>85,24513,6494824,87,7175,418,55,2332973,24125,489,43,79463,938917,972,1742</t>
  </si>
  <si>
    <t>(6,2,8,6,4,9,7,9,6,3,4,1),(9,7,8,4,3,3,8,2,7,5,*9,2),(7,*8,*7,3,8,7,5,1,5,2,*8,6),(8,1,*4,*3,*2,*4,*7,*1,3,4,*4,2),(2,7,*2,*6,*2,*3,*3,*2,*9,*7,*3,7),(*9,1,*8,*4,9,2,3,3,*5,*5,5,1),(*3,*5,*4,*9,6,4,4,*4,9,*8,4,7),(*8,*2,*9,*7,2,4,3,*3,2,8,2,2),(*9,*1,*4,5,5,2,1,2,8,5,4,5),(*1,*4,*6,3,*3,*1,*5,*4,*2,1,9,6),(*7,*2,4,*8,*1,*4,5,9,4,7,6,9),(*5,*7,*1,*7,*2,*7,*9,8,8,9,3,7)</t>
  </si>
  <si>
    <t>(8,3,5,5,1,1,2,4,*7,6,2,8),(5,*9,*5,*7,*7,*1,*9,*4,9,6,4,*8),(9,8,*3,6,5,3,*4,2,2,3,7,*7),(2,6,3,*8,*8,*1,6,6,5,1,8,*3),(7,5,7,1,*9,*2,4,*3,6,*5,3,6),(*9,3,*1,*2,2,7,4,*1,5,*9,6,2),(5,*1,*2,*7,4,4,1,*5,*1,*5,4,3),(*9,2,*7,8,8,6,2,*3,*1,*1,*9,3),(*7,4,5,*8,2,5,*9,1,*8,*6,*1,8),(*6,1,4,2,*1,*9,8,9,*6,7,*6,7),(*5,*5,*1,*9,*8,*3,5,3,*4,1,8,7),(*1,6,4,9,8,2,*3,5,*3,8,1,5)</t>
  </si>
  <si>
    <t>15679,3513,346811,21,72,99,9178133,57719,378,82,938,7441922,916,5198,59516</t>
  </si>
  <si>
    <t>(1,7,8,1,*4,*4,*6,*5,*7,*4,*8,5),(1,5,7,*2,9,3,9,7,8,2,1,7),(*7,1,*5,3,9,8,*6,6,9,9,5,3),(*7,*7,2,9,3,*6,9,7,3,8,3,6),(*6,*2,*7,*8,*1,4,*1,*1,6,*9,2,7),(*3,*6,4,*4,1,9,*9,*1,*6,*5,8,3),(*1,*7,*4,2,8,*1,*8,*4,*4,1,9,7),(*2,*3,9,9,5,2,*8,8,2,*2,9,8),(1,*9,8,1,1,*5,*9,*2,*3,*2,2,5),(*4,8,1,2,6,2,5,3,5,2,7,3),(6,2,9,5,1,4,3,1,5,6,5,2),(5,4,9,*4,*5,*1,*6,*8,*3,*9,5,3)</t>
  </si>
  <si>
    <t>58469,44166,752,72673,191,1142,18,9386154,8475644,9232,49,78,739,95,776312</t>
  </si>
  <si>
    <t>(1,5,8,9,6,3,6,4,5,9,4,1),(*8,9,2,*8,5,2,5,8,8,3,1,*2),(9,*8,7,*1,2,7,2,2,5,7,*1,*3),(6,9,1,*3,1,1,7,3,7,*5,6,*4),(5,5,5,5,*4,5,3,7,*7,2,1,*9),(5,2,9,6,*1,1,3,*1,4,5,3,*2),(1,*4,3,7,*8,*4,*3,8,*2,6,8,*6),(*1,*1,*4,*8,*7,*9,*3,*3,7,9,1,*5),(*9,*1,*7,4,*4,*5,*1,*6,4,5,*5,6),(*1,*6,*8,*1,*3,*4,*9,*1,*4,5,8,*2),(3,*5,*6,9,5,9,6,8,6,*3,5,4),(7,8,6,*7,*5,*1,*4,*4,4,5,*6,6)</t>
  </si>
  <si>
    <t>6874,4187,191,436436,4931751,813,84,41165,231,25,88,19431,75144,53,5629432</t>
  </si>
  <si>
    <t>(9,2,*8,*9,*2,*8,2,6,2,1,1,1),(9,1,6,4,*6,9,2,2,4,8,6,8),(9,9,8,*6,6,9,6,6,8,8,9,7),(8,5,*8,2,5,7,*7,1,3,1,*5,4),(6,*8,*1,8,9,*7,1,9,6,9,*8,9),(4,9,3,*5,*7,*4,*8,*4,*5,*2,*8,1),(1,7,5,*6,*3,5,7,5,9,*6,*1,3),(7,8,*3,1,1,*7,2,2,6,*3,*4,8),(7,*2,*5,*9,*2,9,*2,4,*9,*3,*1,1),(*2,7,1,9,*5,6,7,*7,8,*7,1,3),(4,3,6,*2,*3,*7,*2,*2,*6,*2,2,5),(*8,*7,*8,*3,*8,*9,*5,*4,1,*3,2,7)</t>
  </si>
  <si>
    <t>2273,295,892,33723,12,87838,4845,56,86688,97,52,459,7776322,141885,1537276</t>
  </si>
  <si>
    <t>(8,3,2,4,5,2,*2,5,*5,*5,2,6),(6,*7,*6,*1,7,8,1,*1,*2,9,5,4),(4,9,2,2,9,*1,5,*9,*8,4,3,4),(*5,2,7,6,*4,*4,*3,5,4,*3,3,3),(*6,2,6,3,5,*7,6,9,1,1,*8,8),(*7,6,*6,6,9,2,*7,*8,8,2,*3,1),(*4,2,6,*3,9,6,*3,*8,1,1,*5,*2),(*3,2,2,5,*8,*3,5,4,*2,3,*9,*4),(*7,4,4,5,*2,*2,2,4,1,*5,*4,*8),(*1,5,1,*8,7,2,9,8,9,6,2,*6),(5,5,*3,4,1,6,5,3,9,*7,*9,*3),(1,*5,6,*1,*1,*2,*4,*4,*9,2,5,5)</t>
  </si>
  <si>
    <t>8332835,55,98,2836,3594,41,167,21838,24863,47782,79,592,392,112449,5674371</t>
  </si>
  <si>
    <t>(5,8,1,5,6,2,1,*1,*5,*9,*8,*1),(6,5,*9,*8,*1,*1,*6,1,5,8,7,8),(*2,*4,*8,*3,*2,*6,*2,7,1,9,*9,6),(*8,9,1,*6,*6,*3,*6,*9,*6,*8,*5,*4),(*9,*8,1,8,7,2,2,2,7,5,*2,*2),(*1,4,*9,1,*7,4,7,8,6,2,*3,*2),(*7,4,2,*2,*9,*9,1,3,9,3,*6,3),(4,3,9,3,6,*4,*8,*5,*5,9,*6,6),(3,3,8,8,2,1,6,*1,8,3,7,3),(*5,*1,*7,*9,*1,8,6,7,*7,3,7,6),(2,2,6,5,2,4,9,6,2,*4,3,9),(7,1,3,3,8,5,9,9,*1,*5,*8,9)</t>
  </si>
  <si>
    <t>8892,51791,719,99,94,851,7981,18951,55,224,952366,8696366,2483262,47,98116</t>
  </si>
  <si>
    <t>(6,4,4,2,7,1,6,2,*6,8,5,6),(8,*9,*9,*1,*9,*5,4,*9,9,4,4,5),(2,*8,9,1,1,1,*2,7,5,5,5,9),(*2,*6,9,3,3,*2,*4,*9,7,*1,*4,6),(*7,*7,8,9,*5,2,*7,4,1,1,5,7),(*3,*5,9,*3,*8,*9,*3,*2,*2,*5,*7,*2),(*5,*1,2,8,7,2,9,9,*2,7,3,*6),(*6,8,6,*8,*4,4,5,6,*6,*9,9,*7),(*8,*9,*9,7,2,4,1,5,2,*7,*2,*4),(*8,6,7,3,5,3,4,9,7,9,*7,2),(7,2,*8,*5,7,*1,*2,*6,*1,*1,*2,*7),(2,6,5,6,8,5,6,2,1,2,1,3)</t>
  </si>
  <si>
    <t>99195,94,752,41,86751,899,893,6777,48,352296,2735688,85,4762,1261127,29227</t>
  </si>
  <si>
    <t>21781,92,55521,49,489,6686,4414241,8551,35,6676281,64,881,257,65982,836166</t>
  </si>
  <si>
    <t>(7,*1,9,2,6,*8,3,4,9,8,9,8),(7,3,*8,2,*4,7,*3,2,4,1,4,6),(7,*1,*1,*2,1,*4,9,*6,4,3,*1,1),(4,*8,*2,*1,*6,1,*1,4,*1,*5,6,3),(*8,4,7,*5,*8,*7,5,*4,*5,*6,5,8),(2,8,3,5,*5,*7,*6,*8,*2,*9,*6,4),(8,8,4,6,*2,*5,*1,*6,2,*4,3,9),(9,6,3,1,*5,1,8,*2,5,2,*1,2),(6,9,*6,2,*7,1,2,*4,*8,*9,*3,*5),(4,*4,3,8,9,9,4,9,5,6,8,5),(6,9,4,7,5,8,1,5,*9,*2,3,1),(*6,*8,*6,*6,6,*6,*5,*9,*8,*2,7,8)</t>
  </si>
  <si>
    <t>(*3,*5,8,6,*7,2,1,8,5,6,9,8),(4,*1,*5,4,2,*3,5,8,*5,*2,*7,5),(8,5,*5,*4,1,9,*1,3,3,4,*8,2),(6,9,6,*4,*3,7,7,*9,*6,2,*1,9),(1,6,*9,*3,*3,*4,2,*7,7,7,*8,9),(1,7,8,*2,5,*7,*8,1,5,1,*9,7),(*2,7,8,*6,*8,*3,*3,*8,8,8,1,7),(*8,6,1,6,*2,*3,*2,*8,*9,*8,2,9),(*7,4,9,6,*6,7,*1,3,2,*1,1,7),(*5,8,2,2,7,*8,9,*9,7,9,*1,2),(2,3,*8,*2,*6,*4,*4,*4,*4,8,2,1),(6,6,1,9,5,2,5,9,8,6,3,1)</t>
  </si>
  <si>
    <t>2898,86,23876,782,4913829,88,43455,326,52,119,826444,7319,3154373,78189,57</t>
  </si>
  <si>
    <t>(8,4,3,2,8,*4,*2,*1,4,5,6,3),(7,5,7,9,*5,*8,*3,5,*9,*3,*2,*3),(1,9,9,*9,*9,*7,1,1,2,1,5,9),(7,4,*2,*2,*8,1,*2,*3,*2,4,2,6),(2,*5,*2,*9,1,5,7,6,3,3,3,1),(*3,*6,*4,*5,1,8,*5,*2,*4,*9,*7,7),(*8,*9,3,3,*1,5,5,8,*1,*5,8,2),(*5,5,6,1,2,*6,*6,*5,*3,5,*4,6),(6,1,5,6,3,6,*6,2,*9,*9,*3,5),(1,*4,*1,*1,*7,*7,2,*2,*4,2,*8,9),(6,3,5,9,5,2,1,2,2,7,6,2),(3,6,1,5,6,7,5,3,8,*6,*3,2)</t>
    <phoneticPr fontId="1"/>
  </si>
  <si>
    <t>79425,1378949,4931,77114,459253,99,26615,3239,56,232,2892268,36,58,438,753</t>
    <phoneticPr fontId="1"/>
  </si>
  <si>
    <t>(*6,9,2,6,*7,*8,*5,*4,*2,9,6,6),(*1,8,2,1,1,5,5,2,2,5,4,8),(*2,*6,*2,*5,1,9,8,8,1,7,6,8),(*2,9,7,8,7,8,1,9,3,*4,5,4),(*6,1,*2,2,8,7,2,7,*4,3,4,3),(*8,2,*7,5,*1,8,*4,*9,5,9,4,*5),(*4,7,*1,2,2,*7,3,3,*9,8,1,*3),(4,2,6,3,3,9,*6,3,1,*8,8,*3),(*6,*3,*7,3,4,3,3,*1,*9,7,*7,*2),(7,1,*8,*5,*8,*7,*3,*3,*2,3,3,*8),(5,2,1,*3,*8,*3,*1,*6,*7,*4,7,6),(7,4,7,7,9,*8,*6,*8,*1,*6,8,9)</t>
    <phoneticPr fontId="1"/>
  </si>
  <si>
    <t>4761383,637,49,2335,61868,44,24587,526,8789,271,21671,93,6122684,88,337858</t>
    <phoneticPr fontId="1"/>
  </si>
  <si>
    <t>5511347,13624,83271,488411,322,97,44222,1865,986,5678355,77,82,354,59,5251</t>
  </si>
  <si>
    <t>(6,8,*3,*2,*2,5,1,9,1,*5,5,9),(8,*1,5,1,4,7,7,7,*5,8,8,1),(*4,5,*3,3,7,*9,4,*3,6,*6,8,1),(3,*8,5,*6,*5,5,*8,8,8,*8,7,3),(4,8,*8,*3,*2,*7,*1,9,4,*9,4,5),(9,8,*9,*4,*6,*4,5,2,7,6,2,4),(5,*7,*2,*5,*1,*5,*5,*1,*1,*3,*4,*7),(*7,*7,*8,*2,8,*1,1,*3,2,6,8,9),(4,3,3,5,*2,*5,4,5,4,3,2,1),(8,5,2,5,2,*2,*5,*6,*8,*1,8,5),(2,5,7,1,8,*5,*4,1,4,7,9,8),(9,4,1,9,8,5,1,*4,9,5,8,4)</t>
  </si>
  <si>
    <t>65688,48373,71,76,623127,89,2181,56466,626,5356168,542,4265683,29,937,7733</t>
  </si>
  <si>
    <t>(2,1,6,2,7,6,3,4,8,*8,4,1),(4,6,2,2,5,1,5,1,*8,9,8,2),(*3,3,4,4,3,*1,*7,*6,1,8,9,6),(4,*3,3,5,*3,8,*5,8,4,3,8,8),(*5,2,*7,5,*7,*6,9,4,*9,*6,1,5),(*4,*2,5,*7,*3,*2,9,7,*8,*6,2,*8),(*2,7,*1,2,*8,*9,6,6,4,*4,2,*6),(*6,7,5,*8,*4,8,*9,7,1,*6,2,*1),(*5,9,6,8,*1,4,3,*3,6,*5,2,*6),(*6,*6,1,3,1,3,8,6,*7,7,6,*5),(*8,6,*2,6,*7,*2,*1,*3,*2,*6,1,*3),(*3,7,2,*6,4,5,8,8,3,5,2,*5)</t>
  </si>
  <si>
    <t>(5,2,*2,1,1,4,2,4,*5,*9,*4,*4),(3,1,3,*2,*2,3,7,7,4,*9,6,4),(5,*1,6,1,*3,*9,*5,*9,*8,*5,*7,*4),(6,8,*5,3,7,*3,5,1,2,*6,6,5),(3,4,8,*5,5,3,*7,8,5,5,*3,4),(*2,*8,8,8,*3,7,1,*9,3,*7,9,1),(*7,9,*2,*2,6,*1,*4,9,*2,5,7,9),(*3,3,1,*3,*1,*9,3,*1,*6,6,2,7),(*3,5,2,4,*1,*7,*2,2,*7,5,3,6),(*2,7,*3,3,8,*6,*3,7,1,7,2,3),(*5,8,*6,2,4,6,*5,*2,4,2,9,9),(*6,1,6,8,7,4,8,*5,2,9,7,3)</t>
  </si>
  <si>
    <t>8231655,29,41,956,76,913,475,13551,37212,5985,5944,23712,63,6523372,223379</t>
  </si>
  <si>
    <t>(5,4,4,5,1,8,4,4,4,7,5,5),(6,6,8,7,7,6,9,1,1,3,7,8),(9,8,1,3,*7,*3,*7,*5,*5,3,9,7),(8,5,8,*1,7,2,5,6,8,1,8,6),(1,1,3,4,*5,1,7,3,2,7,9,8),(1,7,1,9,1,7,4,6,5,4,7,5),(2,7,5,*7,*6,*6,3,7,6,*9,*5,7),(4,*4,*9,4,6,4,2,6,1,7,5,8),(7,1,1,8,7,1,8,9,8,5,9,5),(3,7,1,9,7,3,4,9,9,8,4,1),(9,1,4,6,7,2,7,2,7,7,4,5),(4,3,2,3,3,9,4,6,6,1,6,4)</t>
  </si>
  <si>
    <t>766,679816,94,737,57456,27641,95,1477,8186527,55,9332,4379173,15,97237,397</t>
  </si>
  <si>
    <t>(5,4,4,5,1,8,4,4,4,7,5,5),(6,6,8,7,7,6,9,1,1,3,7,8),(9,8,1,3,*7,*3,*7,*5,*5,*3,*9,*7),(8,5,8,*1,*7,*2,*5,*6,*8,*1,*8,6),(1,1,3,4,*5,1,*7,*3,*2,*7,*9,8),(1,*7,1,9,1,7,4,*6,*5,*4,*7,*5),(2,*7,5,*7,*6,*6,3,7,*6,*9,*5,7),(4,*4,*9,4,6,4,2,6,*1,7,5,8),(7,*1,1,8,7,1,8,9,*8,5,9,5),(*3,*7,*1,*9,*7,*3,*4,9,*9,8,4,1),(9,*1,*4,*6,*7,*2,7,2,*7,7,4,5),(4,3,*2,*3,*3,*9,4,6,*6,1,6,4)</t>
  </si>
  <si>
    <t>(9,7,8,2,*3,*4,*9,*9,*1,*2,*9,*6),(8,4,2,*4,8,*9,*9,9,1,3,1,5),(7,4,3,*3,1,9,*9,*7,9,7,2,1),(9,2,4,*4,*2,8,1,*2,*1,3,5,8),(1,*5,6,*1,*9,*4,*1,*5,*5,*3,2,6),(8,7,*3,*4,9,7,*8,*8,*2,*9,*3,9),(6,1,*5,*8,*7,5,3,*9,6,4,*7,*2),(2,*7,*5,7,*3,*1,2,3,*5,9,3,5),(7,2,*7,1,4,*5,*8,2,6,4,3,7),(8,8,4,3,*7,4,*3,*6,3,5,8,9),(8,5,2,*1,*1,8,5,*6,*8,*7,5,3),(3,3,1,5,4,6,9,5,2,5,8,8)</t>
  </si>
  <si>
    <t>92597,86817,15,4341,9457,233179,82,557,5383536,4991296,175,78,59842,11,399</t>
  </si>
  <si>
    <t>グラフ化（経過時間）</t>
    <rPh sb="3" eb="4">
      <t>カ</t>
    </rPh>
    <phoneticPr fontId="1"/>
  </si>
  <si>
    <t>(3,*1,*9,*8,*3,6,4,4,5,7,9,6),(6,4,*3,7,4,*6,*7,*2,*1,*1,*6,*8),(2,4,3,*4,*4,6,2,1,8,1,*9,*7),(*8,6,8,*7,*9,*5,8,9,1,*5,2,*5),(*1,3,7,5,9,*8,*3,2,*3,6,7,*3),(*9,7,7,6,*8,5,*8,*8,9,*2,2,*1),(*8,8,6,*2,1,*3,9,*5,*2,2,*5,*9),(*4,8,*6,*4,1,*8,9,4,*7,1,5,*7),(4,*9,*4,5,7,*3,8,*5,*1,9,2,*6),(*4,8,8,5,2,*3,*7,7,*4,9,3,3),(2,1,3,6,9,*1,*2,*5,2,9,9,5),(6,3,2,8,3,1,2,2,2,5,5,3)</t>
  </si>
  <si>
    <t>44,95,14,325,521,49628,757,3833,8611276,81984,45382,588943,74,1983,7531976</t>
  </si>
  <si>
    <t>(7,8,1,7,9,*9,*8,*6,*3,*9,7,5),(9,1,9,4,3,6,1,6,*7,5,1,3),(*4,*5,*4,*4,*5,*3,*2,*1,2,8,6,3),(1,2,7,3,*3,*7,*9,*4,*1,*6,*4,1),(9,9,2,1,5,5,6,*1,*5,4,2,7),(1,5,*1,2,2,*3,*1,*4,*8,9,*5,7),(4,7,*6,3,*9,9,9,*1,*2,7,*9,8),(9,8,*8,*8,5,4,*1,*8,*8,3,*7,*1),(9,3,*5,4,8,*2,1,*4,*6,4,*5,7),(5,*8,4,3,*9,8,6,*2,1,*7,*6,2),(2,5,7,*4,3,6,6,2,4,3,8,1),(3,7,*1,3,6,9,*6,*5,*3,*5,2,7)</t>
  </si>
  <si>
    <t>17,12941,861,682851,85893,31,6535,2481414,6579,751,59,2354454,379,64,93689</t>
  </si>
  <si>
    <t>(8,6,9,*6,5,*9,*8,*2,*7,*3,*1,*1),(9,1,6,*5,*2,4,4,5,2,4,7,5),(7,8,5,9,*8,*6,2,1,1,2,8,2),(8,3,7,4,*2,*8,*4,3,5,9,5,7),(3,*9,6,4,*3,*7,*3,9,5,7,8,8),(*9,*6,3,9,6,*1,*8,*5,8,3,8,*1),(1,*6,1,6,9,5,*9,*4,6,2,*1,7),(*4,*7,*1,*9,*5,*5,*8,*7,*7,*6,3,2),(*5,*1,*7,7,2,9,1,2,*9,2,7,1),(2,*6,*8,*7,*3,*3,7,*1,1,5,6,7),(5,*1,*2,3,*2,*3,*5,1,*2,3,4,4),(3,3,*5,2,8,5,1,9,7,*2,8,1)</t>
  </si>
  <si>
    <t>74872,785591,11691,6264,58835,22,45,99,1617669,532,12,9827311,913,733,7825</t>
  </si>
  <si>
    <t>(4,6,8,6,4,6,9,2,7,6,9,8),(6,8,1,7,6,*9,*7,*9,*8,*4,*8,*4),(6,8,5,*9,8,5,6,4,*6,8,4,3),(*9,6,5,*4,4,*9,8,7,*2,*7,4,9),(*9,5,5,*8,2,*3,*8,7,3,*7,*8,5),(9,9,1,*3,*7,3,*6,*2,4,5,*7,*6),(4,6,*5,*9,4,*4,5,*8,*5,5,4,*7),(7,1,2,*7,8,5,*3,*3,*9,*1,7,8),(6,3,6,5,*3,5,*9,*4,*8,*7,*4,9),(3,2,3,3,4,1,*6,7,*5,*5,*7,*7),(8,1,6,2,*1,*9,*3,2,8,8,*8,8),(1,4,1,3,5,2,7,*7,*1,*3,1,*3)</t>
  </si>
  <si>
    <t>38583,573,93849,7415289,713,2777,33,6786,391,74345,368977,64,69,99,9798484</t>
  </si>
  <si>
    <t>(2,*8,5,5,5,4,3,5,2,7,4,9),(9,6,*6,9,1,*7,2,3,3,5,7,9),(6,2,1,*2,*8,9,4,9,5,*2,9,7),(4,5,7,*8,*4,*3,*4,*5,5,*5,7,5),(*3,9,*8,9,*2,*6,2,*5,5,*6,6,*7),(*6,3,1,2,3,7,4,2,1,*3,*1,3),(*3,8,6,7,*1,*6,*4,7,9,*6,3,*9),(*1,9,2,*4,6,5,*8,6,3,*7,1,*1),(7,1,*4,9,*4,2,6,*6,9,*2,3,*2),(6,*4,*2,*6,*1,*2,*9,*9,*2,*9,5,*8),(*3,7,3,8,3,9,4,8,8,4,5,*1),(2,2,6,4,2,8,*4,*2,*6,*7,*4,*2)</t>
  </si>
  <si>
    <t>34441,686,64268,6129929,2563672,48,244,261,3631,54,17,218219,32,7888,42674</t>
  </si>
  <si>
    <t>(1,3,6,*5,2,8,4,*3,8,9,2,5),(*7,*4,1,*4,*1,5,3,5,*4,2,5,7),(5,1,6,5,*4,*2,7,9,6,*1,4,6),(2,9,6,6,2,*4,*3,8,3,3,*7,8),(9,9,1,3,*5,1,8,*9,3,8,8,2),(*5,*8,*6,*7,*3,*8,*4,*4,*6,5,2,6),(*9,*6,4,4,8,*2,5,*5,4,7,5,7),(*8,*1,3,4,*4,5,6,8,5,*6,1,3),(*8,*3,6,*6,*2,*2,*1,*7,*6,*7,*8,8),(*1,*7,*2,5,3,8,1,7,2,*5,5,*4),(*9,*5,8,5,3,2,9,6,7,*9,6,5),(*6,*2,5,3,2,*7,*5,*7,*3,*8,8,8)</t>
  </si>
  <si>
    <t>61375,957,684,58,74,512396,2642,444,56,22176,92,83757,4483768,5988196,3417</t>
  </si>
  <si>
    <t>ポイント（2025/11/20未満は１、2025/11/20以上は得点１が６０点以外は０、減点１２３が０点以外は０、経過時間が２０分※１以上は０、１０分台は１、0分台は２）
※１2025/12/28未満は２０分、2025/12/28以上は１８分</t>
    <rPh sb="15" eb="17">
      <t>ミマン</t>
    </rPh>
    <rPh sb="30" eb="32">
      <t>イジョウ</t>
    </rPh>
    <rPh sb="33" eb="35">
      <t>トクテン</t>
    </rPh>
    <rPh sb="39" eb="40">
      <t>テン</t>
    </rPh>
    <rPh sb="40" eb="42">
      <t>イガイ</t>
    </rPh>
    <rPh sb="45" eb="47">
      <t>ゲンテン</t>
    </rPh>
    <rPh sb="52" eb="53">
      <t>テン</t>
    </rPh>
    <rPh sb="53" eb="55">
      <t>イガイ</t>
    </rPh>
    <rPh sb="65" eb="66">
      <t>フン</t>
    </rPh>
    <rPh sb="68" eb="70">
      <t>イジョウ</t>
    </rPh>
    <rPh sb="75" eb="77">
      <t>フンダイ</t>
    </rPh>
    <rPh sb="81" eb="83">
      <t>フンダイ</t>
    </rPh>
    <rPh sb="99" eb="101">
      <t>ミマン</t>
    </rPh>
    <rPh sb="104" eb="105">
      <t>フン</t>
    </rPh>
    <rPh sb="116" eb="118">
      <t>イジョウ</t>
    </rPh>
    <phoneticPr fontId="1"/>
  </si>
  <si>
    <t>(5,2,*3,7,7,8,6,2,5,3,8,3),(6,3,5,*7,1,2,9,2,8,2,2,4),(2,9,8,6,*6,2,8,8,5,4,1,5),(2,7,*6,*8,*6,*4,*6,*5,*1,3,4,*3),(4,3,2,3,2,*1,8,8,*7,*8,9,*7),(4,*7,*2,2,8,3,*4,3,*6,*5,*6,*4),(8,*2,4,*6,7,5,3,*7,*9,*6,*2,*6),(*8,5,2,4,*5,*4,*9,*2,*6,*5,*3,7),(2,*9,9,6,*2,*1,5,5,*3,*6,*2,2),(7,2,3,*3,4,2,*4,3,*4,*9,*8,4),(4,6,*5,8,4,6,1,1,*4,9,6,3),(8,*3,*1,*8,3,8,*5,*5,*4,*3,*8,4)</t>
  </si>
  <si>
    <t>7696344,6864651,72,965658,147,2353,98,57,673,83455,294,18,62328,3746,26514</t>
  </si>
  <si>
    <t>(3,6,6,4,6,1,3,1,7,8,6,*2),(2,7,4,4,8,1,5,4,4,9,8,*3),(8,*5,8,5,*9,*7,*9,*2,*8,*3,*1,*8),(*3,8,6,5,*6,*6,*3,*7,*3,*2,*4,*8),(*1,*3,*4,8,3,6,7,9,*1,3,2,2),(*3,*8,2,2,5,7,8,*8,4,*1,4,6),(6,*1,*5,2,*7,6,*3,7,*9,9,4,3),(8,*7,*7,8,*9,*4,*4,*7,7,9,4,2),(2,*7,2,*2,*9,*6,*2,*4,7,2,6,5),(6,*1,7,*8,2,*2,*1,*8,9,4,2,1),(1,*2,*6,2,5,2,8,*1,8,7,8,4),(6,*7,7,*5,5,8,2,3,*9,9,7,1)</t>
  </si>
  <si>
    <t>96119,19722,8832,134,581,6637324,35,74,48,2713,56,72177,243,894381,9792831</t>
  </si>
  <si>
    <t>(3,*9,5,2,8,5,1,*3,1,2,3,1),(2,*1,6,3,5,*1,*2,9,*5,2,2,7),(5,*6,6,9,2,*3,*4,*4,3,5,8,*8),(5,*4,3,8,*8,9,*9,*1,*7,4,8,*1),(*7,*6,7,*3,6,*7,8,3,*5,8,2,*2),(8,*7,*2,9,*4,8,6,8,7,*7,9,*5),(*4,1,*6,6,1,*6,3,1,6,9,9,*5),(*9,6,6,*3,1,5,*5,9,*1,*1,*3,*4),(*5,5,5,2,4,2,5,*2,*2,*6,6,*2),(*4,6,9,5,3,1,1,*3,1,6,7,4),(*6,9,6,1,7,8,6,*9,*6,6,4,9),(3,3,4,*1,*8,*9,*5,*7,*7,*7,1,9)</t>
  </si>
  <si>
    <t>91646,75141,74,564,635,323832,226,11,93,96,7945,7763,49546,2455218,1895777</t>
  </si>
  <si>
    <t>(1,9,4,4,7,1,1,*7,9,1,6,6),(5,5,3,7,3,8,2,*3,4,9,1,2),(9,5,*1,3,9,1,9,*2,*8,*2,9,2),(6,*1,2,8,4,*9,8,*7,*8,4,*1,4),(4,8,9,8,7,3,*8,6,*1,7,9,*3),(*6,*2,*5,*7,*9,*8,*2,*8,*4,1,5,7),(*2,1,1,9,2,2,6,*5,*4,*9,2,3),(*5,2,*2,5,*7,*7,*5,*2,*2,*9,4,8),(*8,5,*4,1,7,*6,7,6,5,*1,8,1),(*2,8,5,9,*7,5,*8,*5,*1,1,7,9),(*2,3,7,*3,*4,*8,*2,*5,3,3,4,7),(*8,9,*3,*3,*2,*9,*9,*4,9,2,3,4)</t>
  </si>
  <si>
    <t>42,889,11,22577,213,37655,199,499233,8228526,7237,4825,2579828,88144,68,51</t>
  </si>
  <si>
    <t>(3,3,6,1,7,8,3,8,4,8,3,2),(*5,4,9,5,9,*9,4,6,3,5,4,4),(9,*4,2,9,*7,*4,*1,*7,*1,*4,*8,*1),(7,9,*2,*2,8,1,1,*1,2,7,6,*3),(9,*3,*6,7,*6,1,8,4,*2,7,2,*8),(3,*1,6,*5,8,*9,3,4,*4,*9,8,*6),(4,*4,5,9,*5,6,*6,7,*8,*3,*8,3),(7,*6,8,5,*9,*3,5,*1,*4,2,6,3),(6,*6,5,*7,*8,9,*8,1,*2,7,7,*2),(8,*9,*6,*5,*8,2,5,4,*8,3,3,*7),(6,*2,*2,6,*1,6,8,3,*2,6,9,*8),(9,1,*3,8,*7,9,9,8,*1,7,9,*2)</t>
  </si>
  <si>
    <t>326,26961,245,71481,911298,57,65538,95,1282484,2782,3146692,39,7188,386,74</t>
  </si>
  <si>
    <t>(*3,*5,*6,*6,*5,7,4,4,4,3,6,4),(2,5,5,3,4,*1,5,8,1,6,*9,4),(2,7,7,9,5,*9,*9,6,6,3,*7,3),(7,*8,7,8,5,*4,*3,*3,2,1,7,7),(4,*1,7,*8,*4,*2,*6,*4,*7,2,5,3),(4,*1,9,*7,*8,*8,4,7,*2,2,3,2),(3,*1,*8,*5,5,*2,7,1,9,*6,9,5),(8,3,*6,*1,7,*1,1,*8,5,1,*5,5),(6,*6,5,9,6,*7,*3,*1,*7,5,1,3),(*2,3,5,4,3,*6,6,7,9,4,1,8),(*3,*2,*5,*9,*4,1,9,2,3,7,5,8),(9,8,8,9,*4,*6,*5,*6,*4,*5,*3,3)</t>
  </si>
  <si>
    <t>16,36,8111,6712824,26658,4656453,49523,56653,97,38,562439,1937,874,713,578</t>
  </si>
  <si>
    <t>(6,4,*3,1,4,*7,3,6,9,7,5,3),(1,6,*7,8,8,*7,3,*7,*4,6,7,6),(8,*8,*9,6,2,*6,*1,5,*1,*6,3,3),(3,*1,*1,7,5,*9,5,*6,4,*1,*8,4),(8,*7,*4,6,*3,9,7,*5,3,4,*6,8),(5,*5,5,*2,2,*6,2,*9,8,9,9,*3),(9,2,*3,4,1,*5,4,*4,6,1,4,*7),(*5,*7,8,9,9,*9,9,*4,*8,1,*1,8),(6,*6,*7,3,3,*3,5,*2,9,*6,6,3),(8,5,*5,*2,5,*1,8,*1,*4,8,8,2),(5,9,2,*5,*7,*5,*3,*7,*7,*3,*9,*7),(4,8,3,6,5,5,1,3,6,2,4,1)</t>
  </si>
  <si>
    <t>65931,6594421,5565,15,732391,468,71163,41973,84,4617,57,677,5377397,81,727</t>
  </si>
  <si>
    <t>(3,7,*9,*2,*4,*7,*7,6,5,8,9,4),(1,7,5,8,6,*6,*6,*4,*6,4,9,4),(4,*4,*3,*9,*2,*5,*6,*4,1,9,6,6),(2,7,*2,*2,8,5,4,*3,6,4,1,2),(6,6,2,1,*8,6,1,2,*6,2,5,4),(7,5,4,*4,*6,6,*8,*9,*9,*3,*4,*9),(4,5,3,*9,*4,*9,*8,*1,1,*4,4,5),(8,6,3,*1,*1,3,*3,*6,8,*7,1,4),(8,9,7,*7,*5,1,*7,*7,8,*3,4,5),(1,9,9,6,*1,3,*4,4,*3,5,7,8),(6,8,7,1,*4,8,*4,7,4,*5,1,5),(*5,*4,*7,*7,*6,4,7,1,3,6,*4,7)</t>
  </si>
  <si>
    <t>899349,447,45373,92477,6646,4652934,4151468,61,22,7194,57,981,473,67745,63</t>
  </si>
  <si>
    <t>(5,4,8,7,1,7,*8,6,7,6,*7,4),(2,5,*2,5,4,5,*7,5,5,5,*5,*1),(8,4,*4,*1,4,9,*1,7,3,1,*7,*6),(9,4,*4,*2,7,6,*1,9,*2,*2,*7,*9),(4,5,*6,*1,1,7,*5,*7,8,*4,*5,*5),(8,3,*9,5,7,5,*4,*2,9,*4,*6,*2),(3,1,*7,*2,*5,*1,7,*9,4,*6,*8,7),(5,2,*1,*2,*5,8,6,*2,*8,*8,5,6),(7,9,9,*4,6,*2,3,5,2,*6,7,6),(5,8,*5,*5,*6,5,*3,1,6,8,9,1),(7,9,7,*3,4,9,6,*7,8,4,4,2),(1,5,*9,4,6,3,5,8,*3,8,4,3)</t>
  </si>
  <si>
    <t>1472,686442,1796442,8657757,251,89,51178,28,936,25961,52373,5422,55,121,29</t>
  </si>
  <si>
    <t>(*4,2,9,2,*6,*5,*4,3,1,4,2,*9),(*9,8,8,9,*5,7,3,1,7,6,*8,*6),(*8,1,9,7,*5,8,7,7,*8,*7,*6,6),(*9,5,1,5,*7,6,*5,*5,9,*1,7,2),(*7,3,2,7,*9,*3,3,3,*5,7,1,5),(*7,3,7,9,*2,*4,8,*9,3,7,*3,8),(*8,3,7,1,7,6,*1,6,2,*8,4,2),(*4,*8,*1,*9,*9,*7,*7,7,*2,*2,2,*6),(*6,*6,*2,*2,*1,*8,4,*7,*7,9,*1,2),(*3,5,5,2,6,7,*4,*6,5,*1,6,7),(8,4,1,6,6,*7,*2,1,*5,2,*7,4),(5,8,3,8,3,5,7,*6,7,1,6,8)</t>
  </si>
  <si>
    <t>7556,66159,382747,63,81226,235,941,2762,58,45,4989778,789,71,61156,7799184</t>
  </si>
  <si>
    <t>(6,3,*2,*9,*2,*5,*1,9,1,9,4,9),(9,7,7,4,3,2,1,*6,*6,3,5,7),(3,9,5,9,3,4,*5,6,6,*4,9,1),(7,*3,4,3,5,*6,5,9,7,8,*4,2),(9,*3,9,5,*8,*3,*8,2,5,*3,8,*5),(7,*5,*9,*6,*4,*1,*3,*7,*4,4,*9,*5),(8,*6,*8,*8,3,9,1,2,5,4,9,9),(5,*2,*5,8,*9,*3,*1,*9,*2,*8,*2,*3),(*2,*3,*7,7,*9,2,3,4,*6,4,8,7),(*1,*6,*8,8,*9,2,7,1,*9,7,9,5),(*8,5,*4,8,*6,1,3,8,*1,2,7,3),(2,6,*8,7,3,8,9,6,*4,8,4,7)</t>
  </si>
  <si>
    <t>65686,989,812,41374,38,699,95,4196,857848,3192823,39,5446,15292,67,6326533</t>
  </si>
  <si>
    <t>(5,5,8,4,5,6,*2,*5,*2,*8,*8,*4),(*3,6,5,3,*3,7,2,9,6,9,6,4),(8,*1,7,1,8,*2,7,9,9,2,1,2),(4,3,*5,3,2,8,*8,*1,*6,*6,*8,4),(6,*5,3,*9,9,2,6,*3,*9,3,3,3),(1,9,*2,7,*3,7,5,*4,*7,5,*4,2),(*3,*6,6,*5,*1,*7,9,4,3,*2,7,*6),(*2,9,7,*4,3,*2,*1,8,*8,7,6,*3),(*3,8,7,8,*2,*1,8,*2,6,9,4,5),(*3,2,1,*9,7,*9,*9,2,2,6,8,3),(*7,5,*9,6,9,*5,5,2,*3,*5,7,9),(*3,*2,*2,*2,*7,*2,*2,5,1,3,4,7)</t>
  </si>
  <si>
    <t>525,488252,5912,35,42829,32837,629,36,73323,2272223,1739513,992,14,94,8661</t>
  </si>
  <si>
    <t>(4,6,4,5,*6,3,*9,*4,*2,*2,4,1),(1,8,9,2,6,*7,*6,*6,*6,*5,*2,5),(6,6,5,6,*5,2,*9,6,5,6,4,7),(*1,*6,*5,*4,*9,*4,4,5,4,4,*7,8),(5,*4,*1,5,6,8,*5,3,9,6,*8,1),(5,6,3,3,*8,7,6,*8,6,5,*6,2),(3,2,6,2,1,*2,7,2,*4,3,*3,8),(*4,*9,*1,*6,*6,*9,*8,5,4,*7,*8,7),(1,6,*4,*7,*1,*6,*1,*5,3,6,*5,2),(8,8,*6,5,*2,*3,*5,*2,*3,8,*9,*9),(5,1,1,1,*4,3,1,*6,5,*7,2,5),(7,1,7,5,*2,2,8,3,3,9,*4,6)</t>
  </si>
  <si>
    <t>41,66652,83687,1617,242,5748545,491669,8285374,235,94561,99,2249,62,976,64</t>
  </si>
  <si>
    <t>(4,*6,6,5,6,*3,*3,*7,*7,7,8,9),(5,*6,*3,5,6,*1,4,*8,5,9,2,2),(7,*2,8,2,5,8,*2,9,*2,8,6,2),(7,*9,4,7,6,4,8,*5,4,*3,6,7),(8,*7,4,8,1,*9,3,3,*8,*5,*4,2),(1,*9,6,3,*6,*4,*3,*4,*5,*2,*9,*4),(2,*7,*8,*6,1,7,2,4,9,6,*6,*9),(1,1,*2,*7,1,5,2,7,7,1,4,*7),(7,*7,8,*8,*7,3,*8,*2,*9,*7,*6,*5),(9,5,*5,1,1,*7,5,5,5,2,5,*5),(1,*7,3,5,1,5,*2,1,2,9,6,*1),(*1,4,8,6,6,6,2,7,9,2,8,*7)</t>
  </si>
  <si>
    <t>33,567928,8571,89,6629797,7628521,48,96627,87772,517,5434,44328,377,63,599</t>
  </si>
  <si>
    <t>(*5,4,5,5,6,*5,*2,*5,*4,*4,4,8),(*5,*5,*9,*1,*6,*6,*5,8,6,3,9,4),(8,9,*1,7,7,6,*8,5,3,5,7,5),(6,3,7,2,8,*5,2,*9,1,*5,9,4),(1,9,6,3,*4,6,*1,9,1,1,*2,1),(4,5,5,*8,6,*5,1,9,3,4,1,*3),(3,*1,*8,9,*8,1,7,2,5,2,8,8),(*4,*3,*8,*4,*9,7,5,2,8,1,3,6),(8,8,*1,*3,*6,*9,*6,*4,*7,7,6,9),(5,9,6,*3,*6,*3,*2,*7,*2,5,6,2),(2,3,7,5,3,*8,3,2,6,5,*1,*1),(3,4,3,2,*1,*6,*1,*8,7,4,4,5)</t>
  </si>
  <si>
    <t>14,94834,523,9158,85488,363272,98,8161,551,7469631,44525,5591665,62,11,683</t>
  </si>
  <si>
    <t>(1,3,8,8,2,6,1,*6,3,9,7,1),(8,*8,7,*5,2,6,*4,2,8,9,2,3),(3,7,*1,6,*1,*3,6,*5,8,1,2,6),(1,1,8,*1,6,*2,*5,2,5,2,4,9),(4,1,5,4,*2,*8,*7,1,9,8,*5,6),(6,8,2,*5,*1,*2,8,*6,8,5,*8,*9),(2,6,*7,*4,*7,2,*2,8,4,1,*6,*8),(5,7,*6,*7,*5,3,3,3,1,4,*5,*4),(3,*8,7,6,*5,*6,5,*2,6,9,*9,*3),(6,4,*9,*9,2,*9,*8,8,*3,1,9,*8),(*5,*5,*2,*2,3,*8,3,*5,1,*1,2,*5),(4,3,5,8,*3,3,8,7,*2,4,5,*8)</t>
  </si>
  <si>
    <t>54,82,132,99,8641855,95685,346,222118,25865,8583489,17,7759,67215,388,2255</t>
  </si>
  <si>
    <t>(7,7,*1,*1,*4,*3,3,*1,7,1,*8,7),(9,*4,9,6,*6,*5,4,*2,6,9,*4,1),(*8,7,*3,*4,1,4,*4,*7,9,4,*7,6),(1,*3,*5,*4,5,8,5,*9,7,6,*4,6),(*2,*6,*3,9,*7,5,8,*9,8,*2,*8,1),(2,*8,8,*8,4,*8,4,*4,*1,*9,5,9),(9,8,*4,7,*3,*1,*9,*3,*4,*4,1,7),(6,5,*1,*3,*5,4,8,*5,*9,*6,4,3),(1,9,5,3,*7,9,1,8,*8,*4,7,6),(3,3,4,3,7,*2,5,5,4,5,4,8),(8,5,1,8,7,3,9,1,*5,7,2,9),(*9,*5,*2,*8,8,4,5,*7,4,1,9,2)</t>
  </si>
  <si>
    <t>273482,4347895,29464,3499721,13,51,463,8259,84748,454,114,8941,57,56,38338</t>
  </si>
  <si>
    <t>(6,9,9,6,9,4,8,2,1,2,3,8),(3,*8,*3,1,4,8,1,2,4,*7,1,9),(1,7,*4,*4,4,6,6,1,4,*1,9,6),(9,6,*2,*9,8,3,9,8,1,*8,4,*8),(6,3,*2,*4,7,3,9,3,5,*3,8,*4),(1,*9,5,3,*7,1,*8,*3,8,*3,3,*7),(9,*4,*8,8,*9,6,8,*9,7,*5,9,*6),(4,*2,*2,5,*6,2,3,1,4,*6,9,*8),(2,8,*8,3,*7,3,1,2,1,9,6,*5),(4,7,*8,8,*4,3,*2,*5,*3,*4,*2,7),(7,*2,*7,*8,*3,*4,*3,*3,4,4,7,8),(6,6,5,7,*2,*5,*5,*4,*5,*4,*6,6)</t>
  </si>
  <si>
    <t>2783433,93,6533817,25342,8288,849,47697,89,54552,249,64,23,3422,494,586748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</si>
</sst>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h]:mm"/>
  </numFmts>
  <fonts count="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rgb="FF000000"/>
      <name val="Meiryo UI"/>
      <family val="3"/>
      <charset val="128"/>
    </font>
    <font>
      <sz val="11"/>
      <color rgb="FF00000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22"/>
      <color rgb="FF00FF00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28">
    <xf numFmtId="0" fontId="0" fillId="0" borderId="0" xfId="0">
      <alignment vertical="center"/>
    </xf>
    <xf numFmtId="0" fontId="4" fillId="0" borderId="0" xfId="0" applyFont="1">
      <alignment vertical="center"/>
    </xf>
    <xf numFmtId="0" fontId="3" fillId="0" borderId="0" xfId="0" applyFont="1">
      <alignment vertical="center"/>
    </xf>
    <xf numFmtId="22" fontId="0" fillId="0" borderId="0" xfId="0" applyNumberForma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0" borderId="1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4" fillId="0" borderId="4" xfId="0" applyFont="1" applyBorder="1">
      <alignment vertical="center"/>
    </xf>
    <xf numFmtId="0" fontId="4" fillId="0" borderId="1" xfId="0" applyFont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5" xfId="0" applyFont="1" applyBorder="1">
      <alignment vertical="center"/>
    </xf>
    <xf numFmtId="0" fontId="4" fillId="0" borderId="7" xfId="0" applyFont="1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4" fillId="0" borderId="6" xfId="0" applyFont="1" applyBorder="1">
      <alignment vertical="center"/>
    </xf>
    <xf numFmtId="0" fontId="4" fillId="0" borderId="9" xfId="0" applyFont="1" applyBorder="1">
      <alignment vertical="center"/>
    </xf>
    <xf numFmtId="0" fontId="4" fillId="0" borderId="11" xfId="0" applyFont="1" applyBorder="1">
      <alignment vertical="center"/>
    </xf>
    <xf numFmtId="0" fontId="6" fillId="2" borderId="0" xfId="0" applyFont="1" applyFill="1">
      <alignment vertical="center"/>
    </xf>
    <xf numFmtId="0" fontId="3" fillId="2" borderId="0" xfId="0" applyFont="1" applyFill="1">
      <alignment vertical="center"/>
    </xf>
    <xf numFmtId="22" fontId="0" fillId="0" borderId="0" xfId="0" applyNumberFormat="1">
      <alignment vertical="center"/>
    </xf>
    <xf numFmtId="0" fontId="0" fillId="0" borderId="0" xfId="0">
      <alignment vertical="center"/>
    </xf>
    <xf numFmtId="19" fontId="0" fillId="0" borderId="0" xfId="0" applyNumberFormat="1">
      <alignment vertical="center"/>
    </xf>
    <xf numFmtId="0" fontId="3" fillId="0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日時と得点／経過時間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データ!$Q$2:$Q$191</c:f>
              <c:strCache>
                <c:ptCount val="190"/>
                <c:pt idx="0">
                  <c:v>グラフ化（経過時間）</c:v>
                </c:pt>
                <c:pt idx="1">
                  <c:v>0:20</c:v>
                </c:pt>
                <c:pt idx="2">
                  <c:v>0:15</c:v>
                </c:pt>
                <c:pt idx="3">
                  <c:v>0:25</c:v>
                </c:pt>
                <c:pt idx="4">
                  <c:v>0:28</c:v>
                </c:pt>
                <c:pt idx="5">
                  <c:v>0:21</c:v>
                </c:pt>
                <c:pt idx="6">
                  <c:v>0:27</c:v>
                </c:pt>
                <c:pt idx="7">
                  <c:v>0:15</c:v>
                </c:pt>
                <c:pt idx="8">
                  <c:v>0:29</c:v>
                </c:pt>
                <c:pt idx="9">
                  <c:v>0:20</c:v>
                </c:pt>
                <c:pt idx="10">
                  <c:v>0:09</c:v>
                </c:pt>
                <c:pt idx="11">
                  <c:v>0:15</c:v>
                </c:pt>
                <c:pt idx="12">
                  <c:v>0:09</c:v>
                </c:pt>
                <c:pt idx="13">
                  <c:v>0:21</c:v>
                </c:pt>
                <c:pt idx="14">
                  <c:v>0:17</c:v>
                </c:pt>
                <c:pt idx="15">
                  <c:v>0:18</c:v>
                </c:pt>
                <c:pt idx="16">
                  <c:v>0:24</c:v>
                </c:pt>
                <c:pt idx="17">
                  <c:v>0:22</c:v>
                </c:pt>
                <c:pt idx="18">
                  <c:v>0:22</c:v>
                </c:pt>
                <c:pt idx="19">
                  <c:v>0:20</c:v>
                </c:pt>
                <c:pt idx="20">
                  <c:v>0:11</c:v>
                </c:pt>
                <c:pt idx="21">
                  <c:v>0:20</c:v>
                </c:pt>
                <c:pt idx="22">
                  <c:v>0:21</c:v>
                </c:pt>
                <c:pt idx="23">
                  <c:v>0:17</c:v>
                </c:pt>
                <c:pt idx="24">
                  <c:v>0:36</c:v>
                </c:pt>
                <c:pt idx="25">
                  <c:v>0:18</c:v>
                </c:pt>
                <c:pt idx="26">
                  <c:v>0:14</c:v>
                </c:pt>
                <c:pt idx="27">
                  <c:v>0:16</c:v>
                </c:pt>
                <c:pt idx="28">
                  <c:v>0:23</c:v>
                </c:pt>
                <c:pt idx="29">
                  <c:v>0:12</c:v>
                </c:pt>
                <c:pt idx="30">
                  <c:v>0:20</c:v>
                </c:pt>
                <c:pt idx="31">
                  <c:v>0:17</c:v>
                </c:pt>
                <c:pt idx="32">
                  <c:v>0:16</c:v>
                </c:pt>
                <c:pt idx="33">
                  <c:v>0:13</c:v>
                </c:pt>
                <c:pt idx="34">
                  <c:v>0:18</c:v>
                </c:pt>
                <c:pt idx="35">
                  <c:v>0:15</c:v>
                </c:pt>
                <c:pt idx="36">
                  <c:v>0:14</c:v>
                </c:pt>
                <c:pt idx="37">
                  <c:v>0:14</c:v>
                </c:pt>
                <c:pt idx="38">
                  <c:v>0:14</c:v>
                </c:pt>
                <c:pt idx="39">
                  <c:v>0:12</c:v>
                </c:pt>
                <c:pt idx="40">
                  <c:v>0:12</c:v>
                </c:pt>
                <c:pt idx="41">
                  <c:v>0:11</c:v>
                </c:pt>
                <c:pt idx="42">
                  <c:v>0:12</c:v>
                </c:pt>
                <c:pt idx="43">
                  <c:v>0:12</c:v>
                </c:pt>
                <c:pt idx="44">
                  <c:v>0:11</c:v>
                </c:pt>
                <c:pt idx="45">
                  <c:v>0:08</c:v>
                </c:pt>
                <c:pt idx="46">
                  <c:v>0:10</c:v>
                </c:pt>
                <c:pt idx="47">
                  <c:v>0:07</c:v>
                </c:pt>
                <c:pt idx="48">
                  <c:v>0:09</c:v>
                </c:pt>
                <c:pt idx="49">
                  <c:v>0:12</c:v>
                </c:pt>
                <c:pt idx="50">
                  <c:v>0:16</c:v>
                </c:pt>
                <c:pt idx="51">
                  <c:v>0:09</c:v>
                </c:pt>
                <c:pt idx="52">
                  <c:v>0:14</c:v>
                </c:pt>
                <c:pt idx="53">
                  <c:v>0:11</c:v>
                </c:pt>
                <c:pt idx="54">
                  <c:v>0:27</c:v>
                </c:pt>
                <c:pt idx="55">
                  <c:v>0:13</c:v>
                </c:pt>
                <c:pt idx="56">
                  <c:v>0:14</c:v>
                </c:pt>
                <c:pt idx="57">
                  <c:v>0:14</c:v>
                </c:pt>
                <c:pt idx="58">
                  <c:v>0:10</c:v>
                </c:pt>
                <c:pt idx="59">
                  <c:v>0:11</c:v>
                </c:pt>
                <c:pt idx="60">
                  <c:v>0:12</c:v>
                </c:pt>
                <c:pt idx="61">
                  <c:v>0:14</c:v>
                </c:pt>
                <c:pt idx="62">
                  <c:v>0:08</c:v>
                </c:pt>
                <c:pt idx="63">
                  <c:v>0:09</c:v>
                </c:pt>
                <c:pt idx="64">
                  <c:v>0:11</c:v>
                </c:pt>
                <c:pt idx="65">
                  <c:v>0:09</c:v>
                </c:pt>
                <c:pt idx="66">
                  <c:v>0:14</c:v>
                </c:pt>
                <c:pt idx="67">
                  <c:v>0:24</c:v>
                </c:pt>
                <c:pt idx="68">
                  <c:v>0:15</c:v>
                </c:pt>
                <c:pt idx="69">
                  <c:v>0:11</c:v>
                </c:pt>
                <c:pt idx="70">
                  <c:v>0:11</c:v>
                </c:pt>
                <c:pt idx="71">
                  <c:v>0:11</c:v>
                </c:pt>
                <c:pt idx="72">
                  <c:v>0:14</c:v>
                </c:pt>
                <c:pt idx="73">
                  <c:v>0:16</c:v>
                </c:pt>
                <c:pt idx="74">
                  <c:v>0:08</c:v>
                </c:pt>
                <c:pt idx="75">
                  <c:v>0:07</c:v>
                </c:pt>
                <c:pt idx="76">
                  <c:v>0:14</c:v>
                </c:pt>
                <c:pt idx="77">
                  <c:v>0:08</c:v>
                </c:pt>
                <c:pt idx="78">
                  <c:v>0:11</c:v>
                </c:pt>
                <c:pt idx="79">
                  <c:v>0:09</c:v>
                </c:pt>
                <c:pt idx="80">
                  <c:v>0:12</c:v>
                </c:pt>
                <c:pt idx="81">
                  <c:v>0:12</c:v>
                </c:pt>
                <c:pt idx="82">
                  <c:v>0:10</c:v>
                </c:pt>
                <c:pt idx="83">
                  <c:v>0:12</c:v>
                </c:pt>
                <c:pt idx="84">
                  <c:v>0:11</c:v>
                </c:pt>
                <c:pt idx="85">
                  <c:v>0:08</c:v>
                </c:pt>
                <c:pt idx="86">
                  <c:v>0:10</c:v>
                </c:pt>
                <c:pt idx="87">
                  <c:v>0:16</c:v>
                </c:pt>
                <c:pt idx="88">
                  <c:v>0:08</c:v>
                </c:pt>
                <c:pt idx="89">
                  <c:v>0:09</c:v>
                </c:pt>
                <c:pt idx="90">
                  <c:v>0:09</c:v>
                </c:pt>
                <c:pt idx="91">
                  <c:v>0:11</c:v>
                </c:pt>
                <c:pt idx="92">
                  <c:v>0:11</c:v>
                </c:pt>
                <c:pt idx="93">
                  <c:v>0:08</c:v>
                </c:pt>
                <c:pt idx="94">
                  <c:v>0:16</c:v>
                </c:pt>
                <c:pt idx="95">
                  <c:v>0:08</c:v>
                </c:pt>
                <c:pt idx="96">
                  <c:v>0:07</c:v>
                </c:pt>
                <c:pt idx="97">
                  <c:v>0:14</c:v>
                </c:pt>
                <c:pt idx="98">
                  <c:v>0:11</c:v>
                </c:pt>
                <c:pt idx="99">
                  <c:v>0:13</c:v>
                </c:pt>
                <c:pt idx="100">
                  <c:v>0:10</c:v>
                </c:pt>
                <c:pt idx="101">
                  <c:v>0:17</c:v>
                </c:pt>
                <c:pt idx="102">
                  <c:v>0:09</c:v>
                </c:pt>
                <c:pt idx="103">
                  <c:v>0:14</c:v>
                </c:pt>
                <c:pt idx="104">
                  <c:v>0:09</c:v>
                </c:pt>
                <c:pt idx="105">
                  <c:v>0:10</c:v>
                </c:pt>
                <c:pt idx="106">
                  <c:v>0:08</c:v>
                </c:pt>
                <c:pt idx="107">
                  <c:v>0:13</c:v>
                </c:pt>
                <c:pt idx="108">
                  <c:v>0:06</c:v>
                </c:pt>
                <c:pt idx="109">
                  <c:v>0:08</c:v>
                </c:pt>
                <c:pt idx="110">
                  <c:v>0:09</c:v>
                </c:pt>
                <c:pt idx="111">
                  <c:v>0:15</c:v>
                </c:pt>
                <c:pt idx="112">
                  <c:v>0:09</c:v>
                </c:pt>
                <c:pt idx="113">
                  <c:v>0:12</c:v>
                </c:pt>
                <c:pt idx="114">
                  <c:v>0:11</c:v>
                </c:pt>
                <c:pt idx="115">
                  <c:v>0:11</c:v>
                </c:pt>
                <c:pt idx="116">
                  <c:v>0:20</c:v>
                </c:pt>
                <c:pt idx="117">
                  <c:v>0:12</c:v>
                </c:pt>
                <c:pt idx="118">
                  <c:v>0:09</c:v>
                </c:pt>
                <c:pt idx="119">
                  <c:v>0:11</c:v>
                </c:pt>
                <c:pt idx="120">
                  <c:v>0:12</c:v>
                </c:pt>
                <c:pt idx="121">
                  <c:v>0:13</c:v>
                </c:pt>
                <c:pt idx="122">
                  <c:v>0:09</c:v>
                </c:pt>
                <c:pt idx="123">
                  <c:v>0:14</c:v>
                </c:pt>
                <c:pt idx="124">
                  <c:v>0:09</c:v>
                </c:pt>
                <c:pt idx="125">
                  <c:v>0:12</c:v>
                </c:pt>
                <c:pt idx="126">
                  <c:v>0:11</c:v>
                </c:pt>
                <c:pt idx="127">
                  <c:v>0:08</c:v>
                </c:pt>
                <c:pt idx="128">
                  <c:v>0:13</c:v>
                </c:pt>
                <c:pt idx="129">
                  <c:v>0:09</c:v>
                </c:pt>
                <c:pt idx="130">
                  <c:v>0:09</c:v>
                </c:pt>
                <c:pt idx="131">
                  <c:v>0:11</c:v>
                </c:pt>
                <c:pt idx="132">
                  <c:v>0:12</c:v>
                </c:pt>
                <c:pt idx="133">
                  <c:v>0:14</c:v>
                </c:pt>
                <c:pt idx="134">
                  <c:v>0:09</c:v>
                </c:pt>
                <c:pt idx="135">
                  <c:v>0:09</c:v>
                </c:pt>
                <c:pt idx="136">
                  <c:v>0:26</c:v>
                </c:pt>
                <c:pt idx="137">
                  <c:v>0:08</c:v>
                </c:pt>
                <c:pt idx="138">
                  <c:v>0:13</c:v>
                </c:pt>
                <c:pt idx="139">
                  <c:v>0:08</c:v>
                </c:pt>
                <c:pt idx="140">
                  <c:v>0:10</c:v>
                </c:pt>
                <c:pt idx="141">
                  <c:v>0:10</c:v>
                </c:pt>
                <c:pt idx="142">
                  <c:v>0:10</c:v>
                </c:pt>
                <c:pt idx="143">
                  <c:v>0:06</c:v>
                </c:pt>
                <c:pt idx="144">
                  <c:v>0:10</c:v>
                </c:pt>
                <c:pt idx="145">
                  <c:v>0:10</c:v>
                </c:pt>
                <c:pt idx="146">
                  <c:v>0:07</c:v>
                </c:pt>
                <c:pt idx="147">
                  <c:v>0:16</c:v>
                </c:pt>
                <c:pt idx="148">
                  <c:v>0:08</c:v>
                </c:pt>
                <c:pt idx="149">
                  <c:v>0:15</c:v>
                </c:pt>
                <c:pt idx="150">
                  <c:v>0:05</c:v>
                </c:pt>
                <c:pt idx="151">
                  <c:v>0:09</c:v>
                </c:pt>
                <c:pt idx="152">
                  <c:v>0:10</c:v>
                </c:pt>
                <c:pt idx="153">
                  <c:v>0:09</c:v>
                </c:pt>
                <c:pt idx="154">
                  <c:v>0:08</c:v>
                </c:pt>
                <c:pt idx="155">
                  <c:v>0:06</c:v>
                </c:pt>
                <c:pt idx="156">
                  <c:v>0:10</c:v>
                </c:pt>
                <c:pt idx="157">
                  <c:v>0:10</c:v>
                </c:pt>
                <c:pt idx="158">
                  <c:v>0:08</c:v>
                </c:pt>
                <c:pt idx="159">
                  <c:v>0:11</c:v>
                </c:pt>
                <c:pt idx="160">
                  <c:v>0:08</c:v>
                </c:pt>
                <c:pt idx="161">
                  <c:v>0:13</c:v>
                </c:pt>
                <c:pt idx="162">
                  <c:v>0:07</c:v>
                </c:pt>
                <c:pt idx="163">
                  <c:v>0:14</c:v>
                </c:pt>
                <c:pt idx="164">
                  <c:v>0:10</c:v>
                </c:pt>
                <c:pt idx="165">
                  <c:v>0:06</c:v>
                </c:pt>
                <c:pt idx="166">
                  <c:v>0:12</c:v>
                </c:pt>
                <c:pt idx="167">
                  <c:v>0:09</c:v>
                </c:pt>
                <c:pt idx="168">
                  <c:v>0:08</c:v>
                </c:pt>
                <c:pt idx="169">
                  <c:v>0:08</c:v>
                </c:pt>
                <c:pt idx="170">
                  <c:v>0:12</c:v>
                </c:pt>
                <c:pt idx="171">
                  <c:v>0:16</c:v>
                </c:pt>
                <c:pt idx="172">
                  <c:v>0:06</c:v>
                </c:pt>
                <c:pt idx="173">
                  <c:v>0:05</c:v>
                </c:pt>
                <c:pt idx="174">
                  <c:v>0:11</c:v>
                </c:pt>
                <c:pt idx="175">
                  <c:v>0:09</c:v>
                </c:pt>
                <c:pt idx="176">
                  <c:v>0:08</c:v>
                </c:pt>
                <c:pt idx="177">
                  <c:v>0:09</c:v>
                </c:pt>
                <c:pt idx="178">
                  <c:v>0:14</c:v>
                </c:pt>
                <c:pt idx="179">
                  <c:v>0:13</c:v>
                </c:pt>
                <c:pt idx="180">
                  <c:v>0:08</c:v>
                </c:pt>
                <c:pt idx="181">
                  <c:v>#N/A</c:v>
                </c:pt>
                <c:pt idx="182">
                  <c:v>0:07</c:v>
                </c:pt>
                <c:pt idx="183">
                  <c:v>0:07</c:v>
                </c:pt>
                <c:pt idx="184">
                  <c:v>0:08</c:v>
                </c:pt>
                <c:pt idx="185">
                  <c:v>0:09</c:v>
                </c:pt>
                <c:pt idx="186">
                  <c:v>0:16</c:v>
                </c:pt>
                <c:pt idx="187">
                  <c:v>0:11</c:v>
                </c:pt>
                <c:pt idx="188">
                  <c:v>0:08</c:v>
                </c:pt>
                <c:pt idx="189">
                  <c:v>0:08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データ!$A$3:$A$209</c:f>
              <c:numCache>
                <c:formatCode>m/d/yyyy\ h:mm</c:formatCode>
                <c:ptCount val="207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  <c:pt idx="90">
                  <c:v>45999.308831018519</c:v>
                </c:pt>
                <c:pt idx="91">
                  <c:v>45999.538287037038</c:v>
                </c:pt>
                <c:pt idx="92">
                  <c:v>45999.866469907407</c:v>
                </c:pt>
                <c:pt idx="93">
                  <c:v>46000.300081018519</c:v>
                </c:pt>
                <c:pt idx="94">
                  <c:v>46000.312152777777</c:v>
                </c:pt>
                <c:pt idx="95">
                  <c:v>46001.313842592594</c:v>
                </c:pt>
                <c:pt idx="96">
                  <c:v>46002.297708333332</c:v>
                </c:pt>
                <c:pt idx="97">
                  <c:v>46002.315185185187</c:v>
                </c:pt>
                <c:pt idx="98">
                  <c:v>46002.372048611112</c:v>
                </c:pt>
                <c:pt idx="99">
                  <c:v>46002.381273148145</c:v>
                </c:pt>
                <c:pt idx="100">
                  <c:v>46002.400023148148</c:v>
                </c:pt>
                <c:pt idx="101">
                  <c:v>46003.272280092591</c:v>
                </c:pt>
                <c:pt idx="102">
                  <c:v>46003.28633101852</c:v>
                </c:pt>
                <c:pt idx="103">
                  <c:v>46003.295949074076</c:v>
                </c:pt>
                <c:pt idx="104">
                  <c:v>46004.307025462964</c:v>
                </c:pt>
                <c:pt idx="105">
                  <c:v>46004.371006944442</c:v>
                </c:pt>
                <c:pt idx="106">
                  <c:v>46005.293657407405</c:v>
                </c:pt>
                <c:pt idx="107">
                  <c:v>46005.300185185188</c:v>
                </c:pt>
                <c:pt idx="108">
                  <c:v>46005.307916666665</c:v>
                </c:pt>
                <c:pt idx="109">
                  <c:v>46006.28056712963</c:v>
                </c:pt>
                <c:pt idx="110">
                  <c:v>46006.299976851849</c:v>
                </c:pt>
                <c:pt idx="111">
                  <c:v>46007.284803240742</c:v>
                </c:pt>
                <c:pt idx="112">
                  <c:v>46007.309988425928</c:v>
                </c:pt>
                <c:pt idx="113">
                  <c:v>46007.322476851848</c:v>
                </c:pt>
                <c:pt idx="114">
                  <c:v>46008.31181712963</c:v>
                </c:pt>
                <c:pt idx="115">
                  <c:v>46008.480613425927</c:v>
                </c:pt>
                <c:pt idx="116">
                  <c:v>46008.556168981479</c:v>
                </c:pt>
                <c:pt idx="117">
                  <c:v>46008.573888888888</c:v>
                </c:pt>
                <c:pt idx="118">
                  <c:v>46009.282060185185</c:v>
                </c:pt>
                <c:pt idx="119">
                  <c:v>46009.293854166666</c:v>
                </c:pt>
                <c:pt idx="120">
                  <c:v>46009.372372685182</c:v>
                </c:pt>
                <c:pt idx="121">
                  <c:v>46009.600648148145</c:v>
                </c:pt>
                <c:pt idx="122">
                  <c:v>46010.489201388889</c:v>
                </c:pt>
                <c:pt idx="123">
                  <c:v>46010.549768518518</c:v>
                </c:pt>
                <c:pt idx="124">
                  <c:v>46010.559502314813</c:v>
                </c:pt>
                <c:pt idx="125">
                  <c:v>46011.279826388891</c:v>
                </c:pt>
                <c:pt idx="126">
                  <c:v>46011.312511574077</c:v>
                </c:pt>
                <c:pt idx="127">
                  <c:v>46011.325300925928</c:v>
                </c:pt>
                <c:pt idx="128">
                  <c:v>46012.306608796294</c:v>
                </c:pt>
                <c:pt idx="129">
                  <c:v>46012.318067129629</c:v>
                </c:pt>
                <c:pt idx="130">
                  <c:v>46013.314039351855</c:v>
                </c:pt>
                <c:pt idx="131">
                  <c:v>46013.368958333333</c:v>
                </c:pt>
                <c:pt idx="132">
                  <c:v>46013.860532407409</c:v>
                </c:pt>
                <c:pt idx="133">
                  <c:v>46013.8671412037</c:v>
                </c:pt>
                <c:pt idx="134">
                  <c:v>46014.288958333331</c:v>
                </c:pt>
                <c:pt idx="135">
                  <c:v>46014.308854166666</c:v>
                </c:pt>
                <c:pt idx="136">
                  <c:v>46014.316064814811</c:v>
                </c:pt>
                <c:pt idx="137">
                  <c:v>46015.292881944442</c:v>
                </c:pt>
                <c:pt idx="138">
                  <c:v>46015.727083333331</c:v>
                </c:pt>
                <c:pt idx="139">
                  <c:v>46015.735798611109</c:v>
                </c:pt>
                <c:pt idx="140">
                  <c:v>46016.868796296294</c:v>
                </c:pt>
                <c:pt idx="141">
                  <c:v>46016.876342592594</c:v>
                </c:pt>
                <c:pt idx="142">
                  <c:v>46016.882222222222</c:v>
                </c:pt>
                <c:pt idx="143">
                  <c:v>46017.294525462959</c:v>
                </c:pt>
                <c:pt idx="144">
                  <c:v>46017.303078703706</c:v>
                </c:pt>
                <c:pt idx="145">
                  <c:v>46017.314340277779</c:v>
                </c:pt>
                <c:pt idx="146">
                  <c:v>46018.273946759262</c:v>
                </c:pt>
                <c:pt idx="147">
                  <c:v>46018.2812037037</c:v>
                </c:pt>
                <c:pt idx="148">
                  <c:v>46018.293090277781</c:v>
                </c:pt>
                <c:pt idx="149">
                  <c:v>46019.289675925924</c:v>
                </c:pt>
                <c:pt idx="150">
                  <c:v>46019.297442129631</c:v>
                </c:pt>
                <c:pt idx="151">
                  <c:v>46020.29824074074</c:v>
                </c:pt>
                <c:pt idx="152">
                  <c:v>46020.307708333334</c:v>
                </c:pt>
                <c:pt idx="153">
                  <c:v>46020.314953703702</c:v>
                </c:pt>
                <c:pt idx="154">
                  <c:v>46021.284074074072</c:v>
                </c:pt>
                <c:pt idx="155">
                  <c:v>46021.292557870373</c:v>
                </c:pt>
                <c:pt idx="156">
                  <c:v>46022.294930555552</c:v>
                </c:pt>
                <c:pt idx="157">
                  <c:v>46022.311481481483</c:v>
                </c:pt>
                <c:pt idx="158">
                  <c:v>46022.373726851853</c:v>
                </c:pt>
                <c:pt idx="159">
                  <c:v>46023.303807870368</c:v>
                </c:pt>
                <c:pt idx="160">
                  <c:v>46023.319236111114</c:v>
                </c:pt>
                <c:pt idx="161">
                  <c:v>46023.452997685185</c:v>
                </c:pt>
                <c:pt idx="162">
                  <c:v>46024.299444444441</c:v>
                </c:pt>
                <c:pt idx="163">
                  <c:v>46024.366701388892</c:v>
                </c:pt>
                <c:pt idx="164">
                  <c:v>46024.618587962963</c:v>
                </c:pt>
                <c:pt idx="165">
                  <c:v>46025.287592592591</c:v>
                </c:pt>
                <c:pt idx="166">
                  <c:v>46025.61917824074</c:v>
                </c:pt>
                <c:pt idx="167">
                  <c:v>46026.297118055554</c:v>
                </c:pt>
                <c:pt idx="168">
                  <c:v>46026.712025462963</c:v>
                </c:pt>
                <c:pt idx="169">
                  <c:v>46027.318206018521</c:v>
                </c:pt>
                <c:pt idx="170">
                  <c:v>46027.455497685187</c:v>
                </c:pt>
                <c:pt idx="171">
                  <c:v>46027.613530092596</c:v>
                </c:pt>
                <c:pt idx="172">
                  <c:v>46028.362939814811</c:v>
                </c:pt>
                <c:pt idx="173">
                  <c:v>46028.834803240738</c:v>
                </c:pt>
                <c:pt idx="174">
                  <c:v>46028.842037037037</c:v>
                </c:pt>
                <c:pt idx="175">
                  <c:v>46029.290162037039</c:v>
                </c:pt>
                <c:pt idx="176">
                  <c:v>46029.661053240743</c:v>
                </c:pt>
                <c:pt idx="177">
                  <c:v>46030.370821759258</c:v>
                </c:pt>
                <c:pt idx="178">
                  <c:v>46030.712129629632</c:v>
                </c:pt>
                <c:pt idx="179">
                  <c:v>46030.719201388885</c:v>
                </c:pt>
                <c:pt idx="180">
                  <c:v>46031.307129629633</c:v>
                </c:pt>
                <c:pt idx="181">
                  <c:v>46031.360243055555</c:v>
                </c:pt>
                <c:pt idx="182">
                  <c:v>46031.446840277778</c:v>
                </c:pt>
                <c:pt idx="183">
                  <c:v>46032.888819444444</c:v>
                </c:pt>
                <c:pt idx="184">
                  <c:v>46032.895682870374</c:v>
                </c:pt>
                <c:pt idx="185">
                  <c:v>46033.278032407405</c:v>
                </c:pt>
                <c:pt idx="186">
                  <c:v>46033.302071759259</c:v>
                </c:pt>
                <c:pt idx="187">
                  <c:v>46033.309340277781</c:v>
                </c:pt>
                <c:pt idx="188">
                  <c:v>46034.275648148148</c:v>
                </c:pt>
                <c:pt idx="189">
                  <c:v>46034.311157407406</c:v>
                </c:pt>
                <c:pt idx="190">
                  <c:v>46035.274317129632</c:v>
                </c:pt>
                <c:pt idx="191">
                  <c:v>46035.280925925923</c:v>
                </c:pt>
                <c:pt idx="192">
                  <c:v>46035.30537037037</c:v>
                </c:pt>
                <c:pt idx="193">
                  <c:v>46036.294687499998</c:v>
                </c:pt>
                <c:pt idx="194">
                  <c:v>46036.3049537037</c:v>
                </c:pt>
                <c:pt idx="195">
                  <c:v>46037.296423611115</c:v>
                </c:pt>
                <c:pt idx="196">
                  <c:v>46037.307673611111</c:v>
                </c:pt>
                <c:pt idx="197">
                  <c:v>46037.315891203703</c:v>
                </c:pt>
                <c:pt idx="198">
                  <c:v>46038.299872685187</c:v>
                </c:pt>
                <c:pt idx="199">
                  <c:v>46038.308009259257</c:v>
                </c:pt>
                <c:pt idx="200">
                  <c:v>46038.316030092596</c:v>
                </c:pt>
                <c:pt idx="201">
                  <c:v>46039.303553240738</c:v>
                </c:pt>
                <c:pt idx="202">
                  <c:v>46039.311296296299</c:v>
                </c:pt>
                <c:pt idx="203">
                  <c:v>46040.295324074075</c:v>
                </c:pt>
                <c:pt idx="204">
                  <c:v>46040.8359375</c:v>
                </c:pt>
                <c:pt idx="205">
                  <c:v>46041.269918981481</c:v>
                </c:pt>
                <c:pt idx="206">
                  <c:v>46041.275381944448</c:v>
                </c:pt>
              </c:numCache>
            </c:numRef>
          </c:xVal>
          <c:yVal>
            <c:numRef>
              <c:f>データ!$B$3:$B$209</c:f>
              <c:numCache>
                <c:formatCode>General</c:formatCode>
                <c:ptCount val="207"/>
                <c:pt idx="0">
                  <c:v>61</c:v>
                </c:pt>
                <c:pt idx="1">
                  <c:v>74</c:v>
                </c:pt>
                <c:pt idx="2">
                  <c:v>42</c:v>
                </c:pt>
                <c:pt idx="3">
                  <c:v>70</c:v>
                </c:pt>
                <c:pt idx="4">
                  <c:v>53</c:v>
                </c:pt>
                <c:pt idx="5">
                  <c:v>58</c:v>
                </c:pt>
                <c:pt idx="6">
                  <c:v>50</c:v>
                </c:pt>
                <c:pt idx="7">
                  <c:v>57</c:v>
                </c:pt>
                <c:pt idx="8">
                  <c:v>31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53</c:v>
                </c:pt>
                <c:pt idx="13">
                  <c:v>60</c:v>
                </c:pt>
                <c:pt idx="14">
                  <c:v>60</c:v>
                </c:pt>
                <c:pt idx="15">
                  <c:v>55</c:v>
                </c:pt>
                <c:pt idx="16">
                  <c:v>53</c:v>
                </c:pt>
                <c:pt idx="17">
                  <c:v>60</c:v>
                </c:pt>
                <c:pt idx="18">
                  <c:v>60</c:v>
                </c:pt>
                <c:pt idx="19">
                  <c:v>56</c:v>
                </c:pt>
                <c:pt idx="20">
                  <c:v>60</c:v>
                </c:pt>
                <c:pt idx="21">
                  <c:v>60</c:v>
                </c:pt>
                <c:pt idx="22">
                  <c:v>60</c:v>
                </c:pt>
                <c:pt idx="23">
                  <c:v>60</c:v>
                </c:pt>
                <c:pt idx="24">
                  <c:v>60</c:v>
                </c:pt>
                <c:pt idx="25">
                  <c:v>55</c:v>
                </c:pt>
                <c:pt idx="26">
                  <c:v>60</c:v>
                </c:pt>
                <c:pt idx="27">
                  <c:v>60</c:v>
                </c:pt>
                <c:pt idx="28">
                  <c:v>60</c:v>
                </c:pt>
                <c:pt idx="29">
                  <c:v>60</c:v>
                </c:pt>
                <c:pt idx="30">
                  <c:v>56</c:v>
                </c:pt>
                <c:pt idx="31">
                  <c:v>60</c:v>
                </c:pt>
                <c:pt idx="32">
                  <c:v>60</c:v>
                </c:pt>
                <c:pt idx="33">
                  <c:v>60</c:v>
                </c:pt>
                <c:pt idx="34">
                  <c:v>55</c:v>
                </c:pt>
                <c:pt idx="35">
                  <c:v>60</c:v>
                </c:pt>
                <c:pt idx="36">
                  <c:v>60</c:v>
                </c:pt>
                <c:pt idx="37">
                  <c:v>60</c:v>
                </c:pt>
                <c:pt idx="38">
                  <c:v>60</c:v>
                </c:pt>
                <c:pt idx="39">
                  <c:v>60</c:v>
                </c:pt>
                <c:pt idx="40">
                  <c:v>60</c:v>
                </c:pt>
                <c:pt idx="41">
                  <c:v>60</c:v>
                </c:pt>
                <c:pt idx="42">
                  <c:v>60</c:v>
                </c:pt>
                <c:pt idx="43">
                  <c:v>60</c:v>
                </c:pt>
                <c:pt idx="44">
                  <c:v>60</c:v>
                </c:pt>
                <c:pt idx="45">
                  <c:v>60</c:v>
                </c:pt>
                <c:pt idx="46">
                  <c:v>60</c:v>
                </c:pt>
                <c:pt idx="47">
                  <c:v>60</c:v>
                </c:pt>
                <c:pt idx="48">
                  <c:v>60</c:v>
                </c:pt>
                <c:pt idx="49">
                  <c:v>60</c:v>
                </c:pt>
                <c:pt idx="50">
                  <c:v>60</c:v>
                </c:pt>
                <c:pt idx="51">
                  <c:v>60</c:v>
                </c:pt>
                <c:pt idx="52">
                  <c:v>60</c:v>
                </c:pt>
                <c:pt idx="53">
                  <c:v>60</c:v>
                </c:pt>
                <c:pt idx="54">
                  <c:v>60</c:v>
                </c:pt>
                <c:pt idx="55">
                  <c:v>60</c:v>
                </c:pt>
                <c:pt idx="56">
                  <c:v>60</c:v>
                </c:pt>
                <c:pt idx="57">
                  <c:v>60</c:v>
                </c:pt>
                <c:pt idx="58">
                  <c:v>54</c:v>
                </c:pt>
                <c:pt idx="59">
                  <c:v>60</c:v>
                </c:pt>
                <c:pt idx="60">
                  <c:v>60</c:v>
                </c:pt>
                <c:pt idx="61">
                  <c:v>60</c:v>
                </c:pt>
                <c:pt idx="62">
                  <c:v>60</c:v>
                </c:pt>
                <c:pt idx="63">
                  <c:v>57</c:v>
                </c:pt>
                <c:pt idx="64">
                  <c:v>60</c:v>
                </c:pt>
                <c:pt idx="65">
                  <c:v>60</c:v>
                </c:pt>
                <c:pt idx="66">
                  <c:v>60</c:v>
                </c:pt>
                <c:pt idx="67">
                  <c:v>60</c:v>
                </c:pt>
                <c:pt idx="68">
                  <c:v>53</c:v>
                </c:pt>
                <c:pt idx="69">
                  <c:v>60</c:v>
                </c:pt>
                <c:pt idx="70">
                  <c:v>60</c:v>
                </c:pt>
                <c:pt idx="71">
                  <c:v>60</c:v>
                </c:pt>
                <c:pt idx="72">
                  <c:v>60</c:v>
                </c:pt>
                <c:pt idx="73">
                  <c:v>60</c:v>
                </c:pt>
                <c:pt idx="74">
                  <c:v>60</c:v>
                </c:pt>
                <c:pt idx="75">
                  <c:v>60</c:v>
                </c:pt>
                <c:pt idx="76">
                  <c:v>60</c:v>
                </c:pt>
                <c:pt idx="77">
                  <c:v>48</c:v>
                </c:pt>
                <c:pt idx="78">
                  <c:v>60</c:v>
                </c:pt>
                <c:pt idx="79">
                  <c:v>60</c:v>
                </c:pt>
                <c:pt idx="80">
                  <c:v>60</c:v>
                </c:pt>
                <c:pt idx="81">
                  <c:v>60</c:v>
                </c:pt>
                <c:pt idx="82">
                  <c:v>60</c:v>
                </c:pt>
                <c:pt idx="83">
                  <c:v>60</c:v>
                </c:pt>
                <c:pt idx="84">
                  <c:v>60</c:v>
                </c:pt>
                <c:pt idx="85">
                  <c:v>60</c:v>
                </c:pt>
                <c:pt idx="86">
                  <c:v>60</c:v>
                </c:pt>
                <c:pt idx="87">
                  <c:v>60</c:v>
                </c:pt>
                <c:pt idx="88">
                  <c:v>60</c:v>
                </c:pt>
                <c:pt idx="89">
                  <c:v>60</c:v>
                </c:pt>
                <c:pt idx="90">
                  <c:v>60</c:v>
                </c:pt>
                <c:pt idx="91">
                  <c:v>60</c:v>
                </c:pt>
                <c:pt idx="92">
                  <c:v>60</c:v>
                </c:pt>
                <c:pt idx="93">
                  <c:v>60</c:v>
                </c:pt>
                <c:pt idx="94">
                  <c:v>60</c:v>
                </c:pt>
                <c:pt idx="95">
                  <c:v>60</c:v>
                </c:pt>
                <c:pt idx="96">
                  <c:v>60</c:v>
                </c:pt>
                <c:pt idx="97">
                  <c:v>53</c:v>
                </c:pt>
                <c:pt idx="98">
                  <c:v>60</c:v>
                </c:pt>
                <c:pt idx="99">
                  <c:v>60</c:v>
                </c:pt>
                <c:pt idx="100">
                  <c:v>60</c:v>
                </c:pt>
                <c:pt idx="101">
                  <c:v>60</c:v>
                </c:pt>
                <c:pt idx="102">
                  <c:v>60</c:v>
                </c:pt>
                <c:pt idx="103">
                  <c:v>60</c:v>
                </c:pt>
                <c:pt idx="104">
                  <c:v>60</c:v>
                </c:pt>
                <c:pt idx="105">
                  <c:v>60</c:v>
                </c:pt>
                <c:pt idx="106">
                  <c:v>60</c:v>
                </c:pt>
                <c:pt idx="107">
                  <c:v>60</c:v>
                </c:pt>
                <c:pt idx="108">
                  <c:v>60</c:v>
                </c:pt>
                <c:pt idx="109">
                  <c:v>60</c:v>
                </c:pt>
                <c:pt idx="110">
                  <c:v>60</c:v>
                </c:pt>
                <c:pt idx="111">
                  <c:v>60</c:v>
                </c:pt>
                <c:pt idx="112">
                  <c:v>60</c:v>
                </c:pt>
                <c:pt idx="113">
                  <c:v>60</c:v>
                </c:pt>
                <c:pt idx="114">
                  <c:v>60</c:v>
                </c:pt>
                <c:pt idx="115">
                  <c:v>60</c:v>
                </c:pt>
                <c:pt idx="116">
                  <c:v>60</c:v>
                </c:pt>
                <c:pt idx="117">
                  <c:v>60</c:v>
                </c:pt>
                <c:pt idx="118">
                  <c:v>60</c:v>
                </c:pt>
                <c:pt idx="119">
                  <c:v>60</c:v>
                </c:pt>
                <c:pt idx="120">
                  <c:v>53</c:v>
                </c:pt>
                <c:pt idx="121">
                  <c:v>60</c:v>
                </c:pt>
                <c:pt idx="122">
                  <c:v>60</c:v>
                </c:pt>
                <c:pt idx="123">
                  <c:v>60</c:v>
                </c:pt>
                <c:pt idx="124">
                  <c:v>60</c:v>
                </c:pt>
                <c:pt idx="125">
                  <c:v>60</c:v>
                </c:pt>
                <c:pt idx="126">
                  <c:v>60</c:v>
                </c:pt>
                <c:pt idx="127">
                  <c:v>60</c:v>
                </c:pt>
                <c:pt idx="128">
                  <c:v>60</c:v>
                </c:pt>
                <c:pt idx="129">
                  <c:v>60</c:v>
                </c:pt>
                <c:pt idx="130">
                  <c:v>60</c:v>
                </c:pt>
                <c:pt idx="131">
                  <c:v>55</c:v>
                </c:pt>
                <c:pt idx="132">
                  <c:v>60</c:v>
                </c:pt>
                <c:pt idx="133">
                  <c:v>60</c:v>
                </c:pt>
                <c:pt idx="134">
                  <c:v>60</c:v>
                </c:pt>
                <c:pt idx="135">
                  <c:v>60</c:v>
                </c:pt>
                <c:pt idx="136">
                  <c:v>60</c:v>
                </c:pt>
                <c:pt idx="137">
                  <c:v>60</c:v>
                </c:pt>
                <c:pt idx="138">
                  <c:v>60</c:v>
                </c:pt>
                <c:pt idx="139">
                  <c:v>60</c:v>
                </c:pt>
                <c:pt idx="140">
                  <c:v>60</c:v>
                </c:pt>
                <c:pt idx="141">
                  <c:v>60</c:v>
                </c:pt>
                <c:pt idx="142">
                  <c:v>60</c:v>
                </c:pt>
                <c:pt idx="143">
                  <c:v>60</c:v>
                </c:pt>
                <c:pt idx="144">
                  <c:v>60</c:v>
                </c:pt>
                <c:pt idx="145">
                  <c:v>60</c:v>
                </c:pt>
                <c:pt idx="146">
                  <c:v>60</c:v>
                </c:pt>
                <c:pt idx="147">
                  <c:v>60</c:v>
                </c:pt>
                <c:pt idx="148">
                  <c:v>60</c:v>
                </c:pt>
                <c:pt idx="149">
                  <c:v>60</c:v>
                </c:pt>
                <c:pt idx="150">
                  <c:v>60</c:v>
                </c:pt>
                <c:pt idx="151">
                  <c:v>60</c:v>
                </c:pt>
                <c:pt idx="152">
                  <c:v>60</c:v>
                </c:pt>
                <c:pt idx="153">
                  <c:v>60</c:v>
                </c:pt>
                <c:pt idx="154">
                  <c:v>60</c:v>
                </c:pt>
                <c:pt idx="155">
                  <c:v>60</c:v>
                </c:pt>
                <c:pt idx="156">
                  <c:v>60</c:v>
                </c:pt>
                <c:pt idx="157">
                  <c:v>60</c:v>
                </c:pt>
                <c:pt idx="158">
                  <c:v>60</c:v>
                </c:pt>
                <c:pt idx="159">
                  <c:v>60</c:v>
                </c:pt>
                <c:pt idx="160">
                  <c:v>60</c:v>
                </c:pt>
                <c:pt idx="161">
                  <c:v>60</c:v>
                </c:pt>
                <c:pt idx="162">
                  <c:v>60</c:v>
                </c:pt>
                <c:pt idx="163">
                  <c:v>60</c:v>
                </c:pt>
                <c:pt idx="164">
                  <c:v>60</c:v>
                </c:pt>
                <c:pt idx="165">
                  <c:v>60</c:v>
                </c:pt>
                <c:pt idx="166">
                  <c:v>60</c:v>
                </c:pt>
                <c:pt idx="167">
                  <c:v>60</c:v>
                </c:pt>
                <c:pt idx="168">
                  <c:v>60</c:v>
                </c:pt>
                <c:pt idx="169">
                  <c:v>60</c:v>
                </c:pt>
                <c:pt idx="170">
                  <c:v>60</c:v>
                </c:pt>
                <c:pt idx="171">
                  <c:v>60</c:v>
                </c:pt>
                <c:pt idx="172">
                  <c:v>60</c:v>
                </c:pt>
                <c:pt idx="173">
                  <c:v>60</c:v>
                </c:pt>
                <c:pt idx="174">
                  <c:v>60</c:v>
                </c:pt>
                <c:pt idx="175">
                  <c:v>60</c:v>
                </c:pt>
                <c:pt idx="176">
                  <c:v>60</c:v>
                </c:pt>
                <c:pt idx="177">
                  <c:v>60</c:v>
                </c:pt>
                <c:pt idx="178">
                  <c:v>60</c:v>
                </c:pt>
                <c:pt idx="179">
                  <c:v>60</c:v>
                </c:pt>
                <c:pt idx="181">
                  <c:v>60</c:v>
                </c:pt>
                <c:pt idx="182">
                  <c:v>60</c:v>
                </c:pt>
                <c:pt idx="183">
                  <c:v>60</c:v>
                </c:pt>
                <c:pt idx="184">
                  <c:v>60</c:v>
                </c:pt>
                <c:pt idx="185">
                  <c:v>60</c:v>
                </c:pt>
                <c:pt idx="186">
                  <c:v>60</c:v>
                </c:pt>
                <c:pt idx="187">
                  <c:v>60</c:v>
                </c:pt>
                <c:pt idx="188">
                  <c:v>60</c:v>
                </c:pt>
                <c:pt idx="189">
                  <c:v>60</c:v>
                </c:pt>
                <c:pt idx="190">
                  <c:v>60</c:v>
                </c:pt>
                <c:pt idx="191">
                  <c:v>60</c:v>
                </c:pt>
                <c:pt idx="192">
                  <c:v>60</c:v>
                </c:pt>
                <c:pt idx="193">
                  <c:v>60</c:v>
                </c:pt>
                <c:pt idx="194">
                  <c:v>60</c:v>
                </c:pt>
                <c:pt idx="195">
                  <c:v>60</c:v>
                </c:pt>
                <c:pt idx="196">
                  <c:v>60</c:v>
                </c:pt>
                <c:pt idx="197">
                  <c:v>60</c:v>
                </c:pt>
                <c:pt idx="198">
                  <c:v>60</c:v>
                </c:pt>
                <c:pt idx="199">
                  <c:v>60</c:v>
                </c:pt>
                <c:pt idx="200">
                  <c:v>60</c:v>
                </c:pt>
                <c:pt idx="201">
                  <c:v>60</c:v>
                </c:pt>
                <c:pt idx="202">
                  <c:v>60</c:v>
                </c:pt>
                <c:pt idx="203">
                  <c:v>60</c:v>
                </c:pt>
                <c:pt idx="204">
                  <c:v>60</c:v>
                </c:pt>
                <c:pt idx="205">
                  <c:v>60</c:v>
                </c:pt>
                <c:pt idx="206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A1-4DF1-AC9D-4AD5F302BC9B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84A1-4DF1-AC9D-4AD5F302BC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658416"/>
        <c:axId val="410655056"/>
      </c:scatterChart>
      <c:scatterChart>
        <c:scatterStyle val="line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データ!$A$3:$A$209</c:f>
              <c:numCache>
                <c:formatCode>m/d/yyyy\ h:mm</c:formatCode>
                <c:ptCount val="207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  <c:pt idx="90">
                  <c:v>45999.308831018519</c:v>
                </c:pt>
                <c:pt idx="91">
                  <c:v>45999.538287037038</c:v>
                </c:pt>
                <c:pt idx="92">
                  <c:v>45999.866469907407</c:v>
                </c:pt>
                <c:pt idx="93">
                  <c:v>46000.300081018519</c:v>
                </c:pt>
                <c:pt idx="94">
                  <c:v>46000.312152777777</c:v>
                </c:pt>
                <c:pt idx="95">
                  <c:v>46001.313842592594</c:v>
                </c:pt>
                <c:pt idx="96">
                  <c:v>46002.297708333332</c:v>
                </c:pt>
                <c:pt idx="97">
                  <c:v>46002.315185185187</c:v>
                </c:pt>
                <c:pt idx="98">
                  <c:v>46002.372048611112</c:v>
                </c:pt>
                <c:pt idx="99">
                  <c:v>46002.381273148145</c:v>
                </c:pt>
                <c:pt idx="100">
                  <c:v>46002.400023148148</c:v>
                </c:pt>
                <c:pt idx="101">
                  <c:v>46003.272280092591</c:v>
                </c:pt>
                <c:pt idx="102">
                  <c:v>46003.28633101852</c:v>
                </c:pt>
                <c:pt idx="103">
                  <c:v>46003.295949074076</c:v>
                </c:pt>
                <c:pt idx="104">
                  <c:v>46004.307025462964</c:v>
                </c:pt>
                <c:pt idx="105">
                  <c:v>46004.371006944442</c:v>
                </c:pt>
                <c:pt idx="106">
                  <c:v>46005.293657407405</c:v>
                </c:pt>
                <c:pt idx="107">
                  <c:v>46005.300185185188</c:v>
                </c:pt>
                <c:pt idx="108">
                  <c:v>46005.307916666665</c:v>
                </c:pt>
                <c:pt idx="109">
                  <c:v>46006.28056712963</c:v>
                </c:pt>
                <c:pt idx="110">
                  <c:v>46006.299976851849</c:v>
                </c:pt>
                <c:pt idx="111">
                  <c:v>46007.284803240742</c:v>
                </c:pt>
                <c:pt idx="112">
                  <c:v>46007.309988425928</c:v>
                </c:pt>
                <c:pt idx="113">
                  <c:v>46007.322476851848</c:v>
                </c:pt>
                <c:pt idx="114">
                  <c:v>46008.31181712963</c:v>
                </c:pt>
                <c:pt idx="115">
                  <c:v>46008.480613425927</c:v>
                </c:pt>
                <c:pt idx="116">
                  <c:v>46008.556168981479</c:v>
                </c:pt>
                <c:pt idx="117">
                  <c:v>46008.573888888888</c:v>
                </c:pt>
                <c:pt idx="118">
                  <c:v>46009.282060185185</c:v>
                </c:pt>
                <c:pt idx="119">
                  <c:v>46009.293854166666</c:v>
                </c:pt>
                <c:pt idx="120">
                  <c:v>46009.372372685182</c:v>
                </c:pt>
                <c:pt idx="121">
                  <c:v>46009.600648148145</c:v>
                </c:pt>
                <c:pt idx="122">
                  <c:v>46010.489201388889</c:v>
                </c:pt>
                <c:pt idx="123">
                  <c:v>46010.549768518518</c:v>
                </c:pt>
                <c:pt idx="124">
                  <c:v>46010.559502314813</c:v>
                </c:pt>
                <c:pt idx="125">
                  <c:v>46011.279826388891</c:v>
                </c:pt>
                <c:pt idx="126">
                  <c:v>46011.312511574077</c:v>
                </c:pt>
                <c:pt idx="127">
                  <c:v>46011.325300925928</c:v>
                </c:pt>
                <c:pt idx="128">
                  <c:v>46012.306608796294</c:v>
                </c:pt>
                <c:pt idx="129">
                  <c:v>46012.318067129629</c:v>
                </c:pt>
                <c:pt idx="130">
                  <c:v>46013.314039351855</c:v>
                </c:pt>
                <c:pt idx="131">
                  <c:v>46013.368958333333</c:v>
                </c:pt>
                <c:pt idx="132">
                  <c:v>46013.860532407409</c:v>
                </c:pt>
                <c:pt idx="133">
                  <c:v>46013.8671412037</c:v>
                </c:pt>
                <c:pt idx="134">
                  <c:v>46014.288958333331</c:v>
                </c:pt>
                <c:pt idx="135">
                  <c:v>46014.308854166666</c:v>
                </c:pt>
                <c:pt idx="136">
                  <c:v>46014.316064814811</c:v>
                </c:pt>
                <c:pt idx="137">
                  <c:v>46015.292881944442</c:v>
                </c:pt>
                <c:pt idx="138">
                  <c:v>46015.727083333331</c:v>
                </c:pt>
                <c:pt idx="139">
                  <c:v>46015.735798611109</c:v>
                </c:pt>
                <c:pt idx="140">
                  <c:v>46016.868796296294</c:v>
                </c:pt>
                <c:pt idx="141">
                  <c:v>46016.876342592594</c:v>
                </c:pt>
                <c:pt idx="142">
                  <c:v>46016.882222222222</c:v>
                </c:pt>
                <c:pt idx="143">
                  <c:v>46017.294525462959</c:v>
                </c:pt>
                <c:pt idx="144">
                  <c:v>46017.303078703706</c:v>
                </c:pt>
                <c:pt idx="145">
                  <c:v>46017.314340277779</c:v>
                </c:pt>
                <c:pt idx="146">
                  <c:v>46018.273946759262</c:v>
                </c:pt>
                <c:pt idx="147">
                  <c:v>46018.2812037037</c:v>
                </c:pt>
                <c:pt idx="148">
                  <c:v>46018.293090277781</c:v>
                </c:pt>
                <c:pt idx="149">
                  <c:v>46019.289675925924</c:v>
                </c:pt>
                <c:pt idx="150">
                  <c:v>46019.297442129631</c:v>
                </c:pt>
                <c:pt idx="151">
                  <c:v>46020.29824074074</c:v>
                </c:pt>
                <c:pt idx="152">
                  <c:v>46020.307708333334</c:v>
                </c:pt>
                <c:pt idx="153">
                  <c:v>46020.314953703702</c:v>
                </c:pt>
                <c:pt idx="154">
                  <c:v>46021.284074074072</c:v>
                </c:pt>
                <c:pt idx="155">
                  <c:v>46021.292557870373</c:v>
                </c:pt>
                <c:pt idx="156">
                  <c:v>46022.294930555552</c:v>
                </c:pt>
                <c:pt idx="157">
                  <c:v>46022.311481481483</c:v>
                </c:pt>
                <c:pt idx="158">
                  <c:v>46022.373726851853</c:v>
                </c:pt>
                <c:pt idx="159">
                  <c:v>46023.303807870368</c:v>
                </c:pt>
                <c:pt idx="160">
                  <c:v>46023.319236111114</c:v>
                </c:pt>
                <c:pt idx="161">
                  <c:v>46023.452997685185</c:v>
                </c:pt>
                <c:pt idx="162">
                  <c:v>46024.299444444441</c:v>
                </c:pt>
                <c:pt idx="163">
                  <c:v>46024.366701388892</c:v>
                </c:pt>
                <c:pt idx="164">
                  <c:v>46024.618587962963</c:v>
                </c:pt>
                <c:pt idx="165">
                  <c:v>46025.287592592591</c:v>
                </c:pt>
                <c:pt idx="166">
                  <c:v>46025.61917824074</c:v>
                </c:pt>
                <c:pt idx="167">
                  <c:v>46026.297118055554</c:v>
                </c:pt>
                <c:pt idx="168">
                  <c:v>46026.712025462963</c:v>
                </c:pt>
                <c:pt idx="169">
                  <c:v>46027.318206018521</c:v>
                </c:pt>
                <c:pt idx="170">
                  <c:v>46027.455497685187</c:v>
                </c:pt>
                <c:pt idx="171">
                  <c:v>46027.613530092596</c:v>
                </c:pt>
                <c:pt idx="172">
                  <c:v>46028.362939814811</c:v>
                </c:pt>
                <c:pt idx="173">
                  <c:v>46028.834803240738</c:v>
                </c:pt>
                <c:pt idx="174">
                  <c:v>46028.842037037037</c:v>
                </c:pt>
                <c:pt idx="175">
                  <c:v>46029.290162037039</c:v>
                </c:pt>
                <c:pt idx="176">
                  <c:v>46029.661053240743</c:v>
                </c:pt>
                <c:pt idx="177">
                  <c:v>46030.370821759258</c:v>
                </c:pt>
                <c:pt idx="178">
                  <c:v>46030.712129629632</c:v>
                </c:pt>
                <c:pt idx="179">
                  <c:v>46030.719201388885</c:v>
                </c:pt>
                <c:pt idx="180">
                  <c:v>46031.307129629633</c:v>
                </c:pt>
                <c:pt idx="181">
                  <c:v>46031.360243055555</c:v>
                </c:pt>
                <c:pt idx="182">
                  <c:v>46031.446840277778</c:v>
                </c:pt>
                <c:pt idx="183">
                  <c:v>46032.888819444444</c:v>
                </c:pt>
                <c:pt idx="184">
                  <c:v>46032.895682870374</c:v>
                </c:pt>
                <c:pt idx="185">
                  <c:v>46033.278032407405</c:v>
                </c:pt>
                <c:pt idx="186">
                  <c:v>46033.302071759259</c:v>
                </c:pt>
                <c:pt idx="187">
                  <c:v>46033.309340277781</c:v>
                </c:pt>
                <c:pt idx="188">
                  <c:v>46034.275648148148</c:v>
                </c:pt>
                <c:pt idx="189">
                  <c:v>46034.311157407406</c:v>
                </c:pt>
                <c:pt idx="190">
                  <c:v>46035.274317129632</c:v>
                </c:pt>
                <c:pt idx="191">
                  <c:v>46035.280925925923</c:v>
                </c:pt>
                <c:pt idx="192">
                  <c:v>46035.30537037037</c:v>
                </c:pt>
                <c:pt idx="193">
                  <c:v>46036.294687499998</c:v>
                </c:pt>
                <c:pt idx="194">
                  <c:v>46036.3049537037</c:v>
                </c:pt>
                <c:pt idx="195">
                  <c:v>46037.296423611115</c:v>
                </c:pt>
                <c:pt idx="196">
                  <c:v>46037.307673611111</c:v>
                </c:pt>
                <c:pt idx="197">
                  <c:v>46037.315891203703</c:v>
                </c:pt>
                <c:pt idx="198">
                  <c:v>46038.299872685187</c:v>
                </c:pt>
                <c:pt idx="199">
                  <c:v>46038.308009259257</c:v>
                </c:pt>
                <c:pt idx="200">
                  <c:v>46038.316030092596</c:v>
                </c:pt>
                <c:pt idx="201">
                  <c:v>46039.303553240738</c:v>
                </c:pt>
                <c:pt idx="202">
                  <c:v>46039.311296296299</c:v>
                </c:pt>
                <c:pt idx="203">
                  <c:v>46040.295324074075</c:v>
                </c:pt>
                <c:pt idx="204">
                  <c:v>46040.8359375</c:v>
                </c:pt>
                <c:pt idx="205">
                  <c:v>46041.269918981481</c:v>
                </c:pt>
                <c:pt idx="206">
                  <c:v>46041.275381944448</c:v>
                </c:pt>
              </c:numCache>
            </c:numRef>
          </c:xVal>
          <c:yVal>
            <c:numRef>
              <c:f>データ!$Q$3:$Q$209</c:f>
              <c:numCache>
                <c:formatCode>[h]:mm</c:formatCode>
                <c:ptCount val="207"/>
                <c:pt idx="0">
                  <c:v>1.4050925929041114E-2</c:v>
                </c:pt>
                <c:pt idx="1">
                  <c:v>1.0868055556784384E-2</c:v>
                </c:pt>
                <c:pt idx="2">
                  <c:v>1.7534722217533272E-2</c:v>
                </c:pt>
                <c:pt idx="3">
                  <c:v>1.9606481480877846E-2</c:v>
                </c:pt>
                <c:pt idx="4">
                  <c:v>1.4953703706851229E-2</c:v>
                </c:pt>
                <c:pt idx="5">
                  <c:v>1.8831018518540077E-2</c:v>
                </c:pt>
                <c:pt idx="6">
                  <c:v>1.0740740741312038E-2</c:v>
                </c:pt>
                <c:pt idx="7">
                  <c:v>2.0335648150648922E-2</c:v>
                </c:pt>
                <c:pt idx="8">
                  <c:v>1.4293981483206153E-2</c:v>
                </c:pt>
                <c:pt idx="9">
                  <c:v>6.7708333372138441E-3</c:v>
                </c:pt>
                <c:pt idx="10">
                  <c:v>1.0983796295477077E-2</c:v>
                </c:pt>
                <c:pt idx="11">
                  <c:v>6.7592592604341917E-3</c:v>
                </c:pt>
                <c:pt idx="12">
                  <c:v>1.5023148152977228E-2</c:v>
                </c:pt>
                <c:pt idx="13">
                  <c:v>1.2187500004074536E-2</c:v>
                </c:pt>
                <c:pt idx="14">
                  <c:v>1.2881944443506654E-2</c:v>
                </c:pt>
                <c:pt idx="15">
                  <c:v>1.7210648147738539E-2</c:v>
                </c:pt>
                <c:pt idx="16">
                  <c:v>1.5312499999708962E-2</c:v>
                </c:pt>
                <c:pt idx="17">
                  <c:v>1.5277777776645962E-2</c:v>
                </c:pt>
                <c:pt idx="18">
                  <c:v>1.4004629629198462E-2</c:v>
                </c:pt>
                <c:pt idx="19">
                  <c:v>7.9398148154723458E-3</c:v>
                </c:pt>
                <c:pt idx="20">
                  <c:v>1.4085648152104113E-2</c:v>
                </c:pt>
                <c:pt idx="21">
                  <c:v>1.5046296299260575E-2</c:v>
                </c:pt>
                <c:pt idx="22">
                  <c:v>1.226851851970423E-2</c:v>
                </c:pt>
                <c:pt idx="23">
                  <c:v>2.5509259263344575E-2</c:v>
                </c:pt>
                <c:pt idx="24">
                  <c:v>1.2974537035916001E-2</c:v>
                </c:pt>
                <c:pt idx="25">
                  <c:v>1.0231481486698613E-2</c:v>
                </c:pt>
                <c:pt idx="26">
                  <c:v>1.1145833334012423E-2</c:v>
                </c:pt>
                <c:pt idx="27">
                  <c:v>1.6215277777519077E-2</c:v>
                </c:pt>
                <c:pt idx="28">
                  <c:v>8.5648148087784648E-3</c:v>
                </c:pt>
                <c:pt idx="29">
                  <c:v>1.4189814821293112E-2</c:v>
                </c:pt>
                <c:pt idx="30">
                  <c:v>1.2141203704231884E-2</c:v>
                </c:pt>
                <c:pt idx="31">
                  <c:v>1.1770833327318542E-2</c:v>
                </c:pt>
                <c:pt idx="32">
                  <c:v>9.3750000014551915E-3</c:v>
                </c:pt>
                <c:pt idx="33">
                  <c:v>1.2557870373711921E-2</c:v>
                </c:pt>
                <c:pt idx="34">
                  <c:v>1.0891203703067731E-2</c:v>
                </c:pt>
                <c:pt idx="35">
                  <c:v>1.0324074071832001E-2</c:v>
                </c:pt>
                <c:pt idx="36">
                  <c:v>1.0081018517666962E-2</c:v>
                </c:pt>
                <c:pt idx="37">
                  <c:v>1.0335648148611654E-2</c:v>
                </c:pt>
                <c:pt idx="38">
                  <c:v>8.3912037080153823E-3</c:v>
                </c:pt>
                <c:pt idx="39">
                  <c:v>8.4722222236450762E-3</c:v>
                </c:pt>
                <c:pt idx="40">
                  <c:v>7.7546296306536533E-3</c:v>
                </c:pt>
                <c:pt idx="41">
                  <c:v>8.5300925929914229E-3</c:v>
                </c:pt>
                <c:pt idx="42">
                  <c:v>8.9004629626288079E-3</c:v>
                </c:pt>
                <c:pt idx="43">
                  <c:v>7.6967592613073066E-3</c:v>
                </c:pt>
                <c:pt idx="44">
                  <c:v>5.7870370364980772E-3</c:v>
                </c:pt>
                <c:pt idx="45">
                  <c:v>7.291666668606922E-3</c:v>
                </c:pt>
                <c:pt idx="46">
                  <c:v>5.277777774608694E-3</c:v>
                </c:pt>
                <c:pt idx="47">
                  <c:v>6.8518518528435379E-3</c:v>
                </c:pt>
                <c:pt idx="48">
                  <c:v>8.4027777775190771E-3</c:v>
                </c:pt>
                <c:pt idx="49">
                  <c:v>1.1284722218988463E-2</c:v>
                </c:pt>
                <c:pt idx="50">
                  <c:v>6.4004629675764591E-3</c:v>
                </c:pt>
                <c:pt idx="51">
                  <c:v>1.0150462956517003E-2</c:v>
                </c:pt>
                <c:pt idx="52">
                  <c:v>7.8125E-3</c:v>
                </c:pt>
                <c:pt idx="53">
                  <c:v>1.8877314818382729E-2</c:v>
                </c:pt>
                <c:pt idx="54">
                  <c:v>9.29398147854954E-3</c:v>
                </c:pt>
                <c:pt idx="55">
                  <c:v>9.7453703638166189E-3</c:v>
                </c:pt>
                <c:pt idx="56">
                  <c:v>1.0347222218115348E-2</c:v>
                </c:pt>
                <c:pt idx="57">
                  <c:v>7.2453703760402277E-3</c:v>
                </c:pt>
                <c:pt idx="58">
                  <c:v>8.3101851851097308E-3</c:v>
                </c:pt>
                <c:pt idx="59">
                  <c:v>8.5069444467080757E-3</c:v>
                </c:pt>
                <c:pt idx="60">
                  <c:v>1.0196759263635613E-2</c:v>
                </c:pt>
                <c:pt idx="61">
                  <c:v>5.7175925976480357E-3</c:v>
                </c:pt>
                <c:pt idx="62">
                  <c:v>6.701388891087845E-3</c:v>
                </c:pt>
                <c:pt idx="63">
                  <c:v>7.696759254031349E-3</c:v>
                </c:pt>
                <c:pt idx="64">
                  <c:v>6.6782407375285402E-3</c:v>
                </c:pt>
                <c:pt idx="65">
                  <c:v>1.0150462963792961E-2</c:v>
                </c:pt>
                <c:pt idx="66">
                  <c:v>1.7013888886140194E-2</c:v>
                </c:pt>
                <c:pt idx="67">
                  <c:v>1.0983796295477077E-2</c:v>
                </c:pt>
                <c:pt idx="68">
                  <c:v>7.9861111080390401E-3</c:v>
                </c:pt>
                <c:pt idx="69">
                  <c:v>7.6967592613073066E-3</c:v>
                </c:pt>
                <c:pt idx="70">
                  <c:v>7.7662037074333057E-3</c:v>
                </c:pt>
                <c:pt idx="71">
                  <c:v>9.814814809942618E-3</c:v>
                </c:pt>
                <c:pt idx="72">
                  <c:v>1.1226851849642117E-2</c:v>
                </c:pt>
                <c:pt idx="73">
                  <c:v>5.694444444088731E-3</c:v>
                </c:pt>
                <c:pt idx="74">
                  <c:v>5.5324074055533856E-3</c:v>
                </c:pt>
                <c:pt idx="75">
                  <c:v>1.0162037040572613E-2</c:v>
                </c:pt>
                <c:pt idx="76">
                  <c:v>6.168981475639157E-3</c:v>
                </c:pt>
                <c:pt idx="77">
                  <c:v>7.8703703693463467E-3</c:v>
                </c:pt>
                <c:pt idx="78">
                  <c:v>6.7476851836545393E-3</c:v>
                </c:pt>
                <c:pt idx="79">
                  <c:v>8.8773148163454607E-3</c:v>
                </c:pt>
                <c:pt idx="80">
                  <c:v>8.9930555550381541E-3</c:v>
                </c:pt>
                <c:pt idx="81">
                  <c:v>7.3263888916699216E-3</c:v>
                </c:pt>
                <c:pt idx="82">
                  <c:v>8.8888888931251131E-3</c:v>
                </c:pt>
                <c:pt idx="83">
                  <c:v>7.7777777842129581E-3</c:v>
                </c:pt>
                <c:pt idx="84">
                  <c:v>6.1226851830724627E-3</c:v>
                </c:pt>
                <c:pt idx="85">
                  <c:v>7.3842592537403107E-3</c:v>
                </c:pt>
                <c:pt idx="86">
                  <c:v>1.17013888884685E-2</c:v>
                </c:pt>
                <c:pt idx="87">
                  <c:v>5.7291666671517305E-3</c:v>
                </c:pt>
                <c:pt idx="88">
                  <c:v>6.4699074064265005E-3</c:v>
                </c:pt>
                <c:pt idx="89">
                  <c:v>6.805555553000886E-3</c:v>
                </c:pt>
                <c:pt idx="90">
                  <c:v>7.8935185229056515E-3</c:v>
                </c:pt>
                <c:pt idx="91">
                  <c:v>8.2407407389837317E-3</c:v>
                </c:pt>
                <c:pt idx="92">
                  <c:v>5.6134259284590371E-3</c:v>
                </c:pt>
                <c:pt idx="93">
                  <c:v>1.1423611111240461E-2</c:v>
                </c:pt>
                <c:pt idx="94">
                  <c:v>5.8101851827814244E-3</c:v>
                </c:pt>
                <c:pt idx="95">
                  <c:v>5.1157407433493063E-3</c:v>
                </c:pt>
                <c:pt idx="96">
                  <c:v>1.0185185186855961E-2</c:v>
                </c:pt>
                <c:pt idx="97">
                  <c:v>8.078703707724344E-3</c:v>
                </c:pt>
                <c:pt idx="98">
                  <c:v>9.6412037019035779E-3</c:v>
                </c:pt>
                <c:pt idx="99">
                  <c:v>7.0833333302289248E-3</c:v>
                </c:pt>
                <c:pt idx="100">
                  <c:v>1.2152777773735579E-2</c:v>
                </c:pt>
                <c:pt idx="101">
                  <c:v>6.655092591245193E-3</c:v>
                </c:pt>
                <c:pt idx="102">
                  <c:v>9.9074074096279219E-3</c:v>
                </c:pt>
                <c:pt idx="103">
                  <c:v>6.8981481526861899E-3</c:v>
                </c:pt>
                <c:pt idx="104">
                  <c:v>7.4884259302052669E-3</c:v>
                </c:pt>
                <c:pt idx="105">
                  <c:v>5.9953703676001169E-3</c:v>
                </c:pt>
                <c:pt idx="106">
                  <c:v>9.4097222172422335E-3</c:v>
                </c:pt>
                <c:pt idx="107">
                  <c:v>4.8379629661212675E-3</c:v>
                </c:pt>
                <c:pt idx="108">
                  <c:v>5.9259259214741178E-3</c:v>
                </c:pt>
                <c:pt idx="109">
                  <c:v>6.2962962983874604E-3</c:v>
                </c:pt>
                <c:pt idx="110">
                  <c:v>1.077546295709908E-2</c:v>
                </c:pt>
                <c:pt idx="111">
                  <c:v>6.3425925909541547E-3</c:v>
                </c:pt>
                <c:pt idx="112">
                  <c:v>8.819444446999114E-3</c:v>
                </c:pt>
                <c:pt idx="113">
                  <c:v>7.6504629614646547E-3</c:v>
                </c:pt>
                <c:pt idx="114">
                  <c:v>7.8472222230629995E-3</c:v>
                </c:pt>
                <c:pt idx="115">
                  <c:v>1.3935185183072463E-2</c:v>
                </c:pt>
                <c:pt idx="116">
                  <c:v>8.8425925932824612E-3</c:v>
                </c:pt>
                <c:pt idx="117">
                  <c:v>6.435185183363501E-3</c:v>
                </c:pt>
                <c:pt idx="118">
                  <c:v>7.8009259232203476E-3</c:v>
                </c:pt>
                <c:pt idx="119">
                  <c:v>8.3796296312357299E-3</c:v>
                </c:pt>
                <c:pt idx="120">
                  <c:v>9.5717592557775788E-3</c:v>
                </c:pt>
                <c:pt idx="121">
                  <c:v>6.5277777757728472E-3</c:v>
                </c:pt>
                <c:pt idx="122">
                  <c:v>1.0011574071540963E-2</c:v>
                </c:pt>
                <c:pt idx="123">
                  <c:v>6.7361111141508445E-3</c:v>
                </c:pt>
                <c:pt idx="124">
                  <c:v>8.4606481468654238E-3</c:v>
                </c:pt>
                <c:pt idx="125">
                  <c:v>8.0208333383779973E-3</c:v>
                </c:pt>
                <c:pt idx="126">
                  <c:v>5.9722222213167697E-3</c:v>
                </c:pt>
                <c:pt idx="127">
                  <c:v>9.0625000011641532E-3</c:v>
                </c:pt>
                <c:pt idx="128">
                  <c:v>6.5162036989931948E-3</c:v>
                </c:pt>
                <c:pt idx="129">
                  <c:v>6.8634259223472327E-3</c:v>
                </c:pt>
                <c:pt idx="130">
                  <c:v>7.6967592613073066E-3</c:v>
                </c:pt>
                <c:pt idx="131">
                  <c:v>8.599537039117422E-3</c:v>
                </c:pt>
                <c:pt idx="132">
                  <c:v>1.0312500002328306E-2</c:v>
                </c:pt>
                <c:pt idx="133">
                  <c:v>6.2731481448281556E-3</c:v>
                </c:pt>
                <c:pt idx="134">
                  <c:v>6.5624999988358468E-3</c:v>
                </c:pt>
                <c:pt idx="135">
                  <c:v>1.8229166664241347E-2</c:v>
                </c:pt>
                <c:pt idx="136">
                  <c:v>6.0532407369464636E-3</c:v>
                </c:pt>
                <c:pt idx="137">
                  <c:v>9.6527777786832303E-3</c:v>
                </c:pt>
                <c:pt idx="138">
                  <c:v>6.0069444443797693E-3</c:v>
                </c:pt>
                <c:pt idx="139">
                  <c:v>7.3379629611736163E-3</c:v>
                </c:pt>
                <c:pt idx="140">
                  <c:v>7.2337962919846177E-3</c:v>
                </c:pt>
                <c:pt idx="141">
                  <c:v>7.0601851839455776E-3</c:v>
                </c:pt>
                <c:pt idx="142">
                  <c:v>4.8379629661212675E-3</c:v>
                </c:pt>
                <c:pt idx="143">
                  <c:v>7.4537036998663098E-3</c:v>
                </c:pt>
                <c:pt idx="144">
                  <c:v>7.1296296300715767E-3</c:v>
                </c:pt>
                <c:pt idx="145">
                  <c:v>5.1967592589790002E-3</c:v>
                </c:pt>
                <c:pt idx="146">
                  <c:v>1.1215277780138422E-2</c:v>
                </c:pt>
                <c:pt idx="147">
                  <c:v>5.9374999982537702E-3</c:v>
                </c:pt>
                <c:pt idx="148">
                  <c:v>1.0752314818091691E-2</c:v>
                </c:pt>
                <c:pt idx="149">
                  <c:v>3.9467592578148469E-3</c:v>
                </c:pt>
                <c:pt idx="150">
                  <c:v>6.3773148140171543E-3</c:v>
                </c:pt>
                <c:pt idx="151">
                  <c:v>7.0601851839455776E-3</c:v>
                </c:pt>
                <c:pt idx="152">
                  <c:v>6.33101852145046E-3</c:v>
                </c:pt>
                <c:pt idx="153">
                  <c:v>6.0416666674427688E-3</c:v>
                </c:pt>
                <c:pt idx="154">
                  <c:v>4.4097222198615782E-3</c:v>
                </c:pt>
                <c:pt idx="155">
                  <c:v>7.1296296300715767E-3</c:v>
                </c:pt>
                <c:pt idx="156">
                  <c:v>7.175925922638271E-3</c:v>
                </c:pt>
                <c:pt idx="157">
                  <c:v>5.8217592595610768E-3</c:v>
                </c:pt>
                <c:pt idx="158">
                  <c:v>8.2754629620467313E-3</c:v>
                </c:pt>
                <c:pt idx="159">
                  <c:v>6.0763888905057684E-3</c:v>
                </c:pt>
                <c:pt idx="160">
                  <c:v>9.5254629632108845E-3</c:v>
                </c:pt>
                <c:pt idx="161">
                  <c:v>4.9421296280343086E-3</c:v>
                </c:pt>
                <c:pt idx="162">
                  <c:v>1.0231481479422655E-2</c:v>
                </c:pt>
                <c:pt idx="163">
                  <c:v>7.2569444455439225E-3</c:v>
                </c:pt>
                <c:pt idx="164">
                  <c:v>4.8148148125619628E-3</c:v>
                </c:pt>
                <c:pt idx="165">
                  <c:v>8.5185185162117705E-3</c:v>
                </c:pt>
                <c:pt idx="166">
                  <c:v>6.8981481454102322E-3</c:v>
                </c:pt>
                <c:pt idx="167">
                  <c:v>6.1921296291984618E-3</c:v>
                </c:pt>
                <c:pt idx="168">
                  <c:v>5.6365740747423843E-3</c:v>
                </c:pt>
                <c:pt idx="169">
                  <c:v>8.3564814849523827E-3</c:v>
                </c:pt>
                <c:pt idx="170">
                  <c:v>1.1145833334012423E-2</c:v>
                </c:pt>
                <c:pt idx="171">
                  <c:v>4.6296296350192279E-3</c:v>
                </c:pt>
                <c:pt idx="172">
                  <c:v>4.0740740732871927E-3</c:v>
                </c:pt>
                <c:pt idx="173">
                  <c:v>8.0439814773853868E-3</c:v>
                </c:pt>
                <c:pt idx="174">
                  <c:v>6.4236111138598062E-3</c:v>
                </c:pt>
                <c:pt idx="175">
                  <c:v>5.6250000052386895E-3</c:v>
                </c:pt>
                <c:pt idx="176">
                  <c:v>6.5972222218988463E-3</c:v>
                </c:pt>
                <c:pt idx="177">
                  <c:v>1.008101852494292E-2</c:v>
                </c:pt>
                <c:pt idx="178">
                  <c:v>9.5833333325572312E-3</c:v>
                </c:pt>
                <c:pt idx="179">
                  <c:v>5.5787036981200799E-3</c:v>
                </c:pt>
                <c:pt idx="180">
                  <c:v>#N/A</c:v>
                </c:pt>
                <c:pt idx="181">
                  <c:v>5.4513888899236917E-3</c:v>
                </c:pt>
                <c:pt idx="182">
                  <c:v>5.5092592592700385E-3</c:v>
                </c:pt>
                <c:pt idx="183">
                  <c:v>6.0532407442224212E-3</c:v>
                </c:pt>
                <c:pt idx="184">
                  <c:v>6.2962962983874604E-3</c:v>
                </c:pt>
                <c:pt idx="185">
                  <c:v>1.1608796296059154E-2</c:v>
                </c:pt>
                <c:pt idx="186">
                  <c:v>8.1018518540076911E-3</c:v>
                </c:pt>
                <c:pt idx="187">
                  <c:v>6.0763888905057684E-3</c:v>
                </c:pt>
                <c:pt idx="188">
                  <c:v>6.1574074061354622E-3</c:v>
                </c:pt>
                <c:pt idx="189" formatCode="General">
                  <c:v>8.4027777775190771E-3</c:v>
                </c:pt>
                <c:pt idx="190" formatCode="General">
                  <c:v>9.3750000014551915E-3</c:v>
                </c:pt>
                <c:pt idx="191" formatCode="General">
                  <c:v>5.1736111054196954E-3</c:v>
                </c:pt>
                <c:pt idx="192" formatCode="General">
                  <c:v>6.0879629600094631E-3</c:v>
                </c:pt>
                <c:pt idx="193" formatCode="General">
                  <c:v>5.6712962978053838E-3</c:v>
                </c:pt>
                <c:pt idx="194" formatCode="General">
                  <c:v>6.8287036992842332E-3</c:v>
                </c:pt>
                <c:pt idx="195" formatCode="General">
                  <c:v>1.1712962965248153E-2</c:v>
                </c:pt>
                <c:pt idx="196" formatCode="General">
                  <c:v>6.9907407378195785E-3</c:v>
                </c:pt>
                <c:pt idx="197" formatCode="General">
                  <c:v>5.3472222207346931E-3</c:v>
                </c:pt>
                <c:pt idx="198" formatCode="General">
                  <c:v>7.5578703690553084E-3</c:v>
                </c:pt>
                <c:pt idx="199" formatCode="General">
                  <c:v>7.1180555532919243E-3</c:v>
                </c:pt>
                <c:pt idx="200" formatCode="General">
                  <c:v>6.6550925985211506E-3</c:v>
                </c:pt>
                <c:pt idx="201" formatCode="General">
                  <c:v>5.8564814753481187E-3</c:v>
                </c:pt>
                <c:pt idx="202" formatCode="General">
                  <c:v>6.3194444446708076E-3</c:v>
                </c:pt>
                <c:pt idx="203" formatCode="General">
                  <c:v>5.4629629667033441E-3</c:v>
                </c:pt>
                <c:pt idx="204" formatCode="General">
                  <c:v>5.8449074058444239E-3</c:v>
                </c:pt>
                <c:pt idx="205" formatCode="General">
                  <c:v>7.9861111080390401E-3</c:v>
                </c:pt>
                <c:pt idx="206" formatCode="General">
                  <c:v>4.3865740808541887E-3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4A1-4DF1-AC9D-4AD5F302BC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1951248"/>
        <c:axId val="317459568"/>
      </c:scatterChart>
      <c:valAx>
        <c:axId val="4106584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10655056"/>
        <c:crosses val="autoZero"/>
        <c:crossBetween val="midCat"/>
      </c:valAx>
      <c:valAx>
        <c:axId val="410655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10658416"/>
        <c:crosses val="autoZero"/>
        <c:crossBetween val="midCat"/>
      </c:valAx>
      <c:valAx>
        <c:axId val="317459568"/>
        <c:scaling>
          <c:orientation val="minMax"/>
        </c:scaling>
        <c:delete val="0"/>
        <c:axPos val="r"/>
        <c:numFmt formatCode="[h]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951248"/>
        <c:crosses val="max"/>
        <c:crossBetween val="midCat"/>
      </c:valAx>
      <c:valAx>
        <c:axId val="531951248"/>
        <c:scaling>
          <c:orientation val="minMax"/>
        </c:scaling>
        <c:delete val="0"/>
        <c:axPos val="b"/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17459568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CheckBox" checked="Checked" fmlaLink="セルを黄色" lockText="1" noThreeD="1"/>
</file>

<file path=xl/ctrlProps/ctrlProp16.xml><?xml version="1.0" encoding="utf-8"?>
<formControlPr xmlns="http://schemas.microsoft.com/office/spreadsheetml/2009/9/main" objectType="CheckBox" checked="Checked" fmlaLink="線を引く" lockText="1" noThreeD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685800</xdr:colOff>
          <xdr:row>1</xdr:row>
          <xdr:rowOff>14288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4763</xdr:rowOff>
        </xdr:from>
        <xdr:to>
          <xdr:col>17</xdr:col>
          <xdr:colOff>676275</xdr:colOff>
          <xdr:row>1</xdr:row>
          <xdr:rowOff>0</xdr:rowOff>
        </xdr:to>
        <xdr:sp macro="" textlink="">
          <xdr:nvSpPr>
            <xdr:cNvPr id="1050" name="CreateQuestion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4</xdr:row>
          <xdr:rowOff>0</xdr:rowOff>
        </xdr:from>
        <xdr:to>
          <xdr:col>18</xdr:col>
          <xdr:colOff>0</xdr:colOff>
          <xdr:row>4</xdr:row>
          <xdr:rowOff>352425</xdr:rowOff>
        </xdr:to>
        <xdr:sp macro="" textlink="">
          <xdr:nvSpPr>
            <xdr:cNvPr id="1051" name="CheckAllMatch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</xdr:row>
          <xdr:rowOff>0</xdr:rowOff>
        </xdr:from>
        <xdr:to>
          <xdr:col>18</xdr:col>
          <xdr:colOff>0</xdr:colOff>
          <xdr:row>6</xdr:row>
          <xdr:rowOff>0</xdr:rowOff>
        </xdr:to>
        <xdr:sp macro="" textlink="">
          <xdr:nvSpPr>
            <xdr:cNvPr id="1052" name="CheckSelectMatches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</xdr:row>
          <xdr:rowOff>0</xdr:rowOff>
        </xdr:from>
        <xdr:to>
          <xdr:col>18</xdr:col>
          <xdr:colOff>0</xdr:colOff>
          <xdr:row>7</xdr:row>
          <xdr:rowOff>0</xdr:rowOff>
        </xdr:to>
        <xdr:sp macro="" textlink="">
          <xdr:nvSpPr>
            <xdr:cNvPr id="1053" name="ResetCheck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</xdr:row>
          <xdr:rowOff>4763</xdr:rowOff>
        </xdr:from>
        <xdr:to>
          <xdr:col>17</xdr:col>
          <xdr:colOff>676275</xdr:colOff>
          <xdr:row>3</xdr:row>
          <xdr:rowOff>0</xdr:rowOff>
        </xdr:to>
        <xdr:sp macro="" textlink="">
          <xdr:nvSpPr>
            <xdr:cNvPr id="1054" name="StartQuestion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はじめ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4</xdr:row>
          <xdr:rowOff>0</xdr:rowOff>
        </xdr:from>
        <xdr:to>
          <xdr:col>21</xdr:col>
          <xdr:colOff>0</xdr:colOff>
          <xdr:row>4</xdr:row>
          <xdr:rowOff>352425</xdr:rowOff>
        </xdr:to>
        <xdr:sp macro="" textlink="">
          <xdr:nvSpPr>
            <xdr:cNvPr id="1058" name="AnserAllMatches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</xdr:row>
          <xdr:rowOff>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1059" name="ResetAnser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21</xdr:col>
          <xdr:colOff>0</xdr:colOff>
          <xdr:row>6</xdr:row>
          <xdr:rowOff>0</xdr:rowOff>
        </xdr:to>
        <xdr:sp macro="" textlink="">
          <xdr:nvSpPr>
            <xdr:cNvPr id="1060" name="AnserSelectMatch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</xdr:row>
          <xdr:rowOff>4763</xdr:rowOff>
        </xdr:from>
        <xdr:to>
          <xdr:col>20</xdr:col>
          <xdr:colOff>676275</xdr:colOff>
          <xdr:row>3</xdr:row>
          <xdr:rowOff>0</xdr:rowOff>
        </xdr:to>
        <xdr:sp macro="" textlink="">
          <xdr:nvSpPr>
            <xdr:cNvPr id="1062" name="DisplayQues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</xdr:row>
          <xdr:rowOff>4763</xdr:rowOff>
        </xdr:from>
        <xdr:to>
          <xdr:col>17</xdr:col>
          <xdr:colOff>676275</xdr:colOff>
          <xdr:row>4</xdr:row>
          <xdr:rowOff>0</xdr:rowOff>
        </xdr:to>
        <xdr:sp macro="" textlink="">
          <xdr:nvSpPr>
            <xdr:cNvPr id="1063" name="PauseQuestion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中断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211931</xdr:colOff>
      <xdr:row>10</xdr:row>
      <xdr:rowOff>178594</xdr:rowOff>
    </xdr:from>
    <xdr:to>
      <xdr:col>7</xdr:col>
      <xdr:colOff>211931</xdr:colOff>
      <xdr:row>10</xdr:row>
      <xdr:rowOff>178594</xdr:rowOff>
    </xdr:to>
    <xdr:cxnSp macro="">
      <xdr:nvCxnSpPr>
        <xdr:cNvPr id="1796" name="Match0">
          <a:extLst>
            <a:ext uri="{FF2B5EF4-FFF2-40B4-BE49-F238E27FC236}">
              <a16:creationId xmlns:a16="http://schemas.microsoft.com/office/drawing/2014/main" id="{28CB3C98-1D04-BB46-8926-4AFDAC103767}"/>
            </a:ext>
          </a:extLst>
        </xdr:cNvPr>
        <xdr:cNvCxnSpPr/>
      </xdr:nvCxnSpPr>
      <xdr:spPr>
        <a:xfrm>
          <a:off x="635794" y="3750469"/>
          <a:ext cx="254317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0</xdr:row>
      <xdr:rowOff>178594</xdr:rowOff>
    </xdr:from>
    <xdr:to>
      <xdr:col>2</xdr:col>
      <xdr:colOff>211931</xdr:colOff>
      <xdr:row>1</xdr:row>
      <xdr:rowOff>178593</xdr:rowOff>
    </xdr:to>
    <xdr:cxnSp macro="">
      <xdr:nvCxnSpPr>
        <xdr:cNvPr id="1797" name="Match1">
          <a:extLst>
            <a:ext uri="{FF2B5EF4-FFF2-40B4-BE49-F238E27FC236}">
              <a16:creationId xmlns:a16="http://schemas.microsoft.com/office/drawing/2014/main" id="{47F65F80-19F3-4BC4-EFF2-DF331CB5BC32}"/>
            </a:ext>
          </a:extLst>
        </xdr:cNvPr>
        <xdr:cNvCxnSpPr/>
      </xdr:nvCxnSpPr>
      <xdr:spPr>
        <a:xfrm>
          <a:off x="635794" y="178594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237331</xdr:colOff>
      <xdr:row>0</xdr:row>
      <xdr:rowOff>203994</xdr:rowOff>
    </xdr:from>
    <xdr:to>
      <xdr:col>1</xdr:col>
      <xdr:colOff>237331</xdr:colOff>
      <xdr:row>1</xdr:row>
      <xdr:rowOff>203993</xdr:rowOff>
    </xdr:to>
    <xdr:cxnSp macro="">
      <xdr:nvCxnSpPr>
        <xdr:cNvPr id="1798" name="Match2">
          <a:extLst>
            <a:ext uri="{FF2B5EF4-FFF2-40B4-BE49-F238E27FC236}">
              <a16:creationId xmlns:a16="http://schemas.microsoft.com/office/drawing/2014/main" id="{EB51E7FB-3D19-5E7C-CB5C-875E1E5FBA67}"/>
            </a:ext>
          </a:extLst>
        </xdr:cNvPr>
        <xdr:cNvCxnSpPr/>
      </xdr:nvCxnSpPr>
      <xdr:spPr>
        <a:xfrm flipH="1">
          <a:off x="237331" y="203994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0</xdr:row>
      <xdr:rowOff>178594</xdr:rowOff>
    </xdr:from>
    <xdr:to>
      <xdr:col>2</xdr:col>
      <xdr:colOff>211931</xdr:colOff>
      <xdr:row>1</xdr:row>
      <xdr:rowOff>178593</xdr:rowOff>
    </xdr:to>
    <xdr:cxnSp macro="">
      <xdr:nvCxnSpPr>
        <xdr:cNvPr id="1799" name="Match3">
          <a:extLst>
            <a:ext uri="{FF2B5EF4-FFF2-40B4-BE49-F238E27FC236}">
              <a16:creationId xmlns:a16="http://schemas.microsoft.com/office/drawing/2014/main" id="{2696A08E-66C1-304A-1B0C-4C06EB7A3F16}"/>
            </a:ext>
          </a:extLst>
        </xdr:cNvPr>
        <xdr:cNvCxnSpPr/>
      </xdr:nvCxnSpPr>
      <xdr:spPr>
        <a:xfrm>
          <a:off x="1059656" y="17859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0</xdr:row>
      <xdr:rowOff>178594</xdr:rowOff>
    </xdr:from>
    <xdr:to>
      <xdr:col>11</xdr:col>
      <xdr:colOff>211931</xdr:colOff>
      <xdr:row>1</xdr:row>
      <xdr:rowOff>178593</xdr:rowOff>
    </xdr:to>
    <xdr:cxnSp macro="">
      <xdr:nvCxnSpPr>
        <xdr:cNvPr id="1843" name="Match4">
          <a:extLst>
            <a:ext uri="{FF2B5EF4-FFF2-40B4-BE49-F238E27FC236}">
              <a16:creationId xmlns:a16="http://schemas.microsoft.com/office/drawing/2014/main" id="{AEC344F3-4772-C5A3-C64D-A0C5BB526223}"/>
            </a:ext>
          </a:extLst>
        </xdr:cNvPr>
        <xdr:cNvCxnSpPr/>
      </xdr:nvCxnSpPr>
      <xdr:spPr>
        <a:xfrm flipH="1" flipV="1">
          <a:off x="4450556" y="17859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3</xdr:row>
      <xdr:rowOff>178593</xdr:rowOff>
    </xdr:from>
    <xdr:to>
      <xdr:col>1</xdr:col>
      <xdr:colOff>211931</xdr:colOff>
      <xdr:row>4</xdr:row>
      <xdr:rowOff>178594</xdr:rowOff>
    </xdr:to>
    <xdr:cxnSp macro="">
      <xdr:nvCxnSpPr>
        <xdr:cNvPr id="1844" name="Match5">
          <a:extLst>
            <a:ext uri="{FF2B5EF4-FFF2-40B4-BE49-F238E27FC236}">
              <a16:creationId xmlns:a16="http://schemas.microsoft.com/office/drawing/2014/main" id="{10F4FE89-1A32-3C0F-D9C5-BAE59E7D58BC}"/>
            </a:ext>
          </a:extLst>
        </xdr:cNvPr>
        <xdr:cNvCxnSpPr/>
      </xdr:nvCxnSpPr>
      <xdr:spPr>
        <a:xfrm>
          <a:off x="211931" y="1250156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3</xdr:row>
      <xdr:rowOff>178593</xdr:rowOff>
    </xdr:from>
    <xdr:to>
      <xdr:col>7</xdr:col>
      <xdr:colOff>211931</xdr:colOff>
      <xdr:row>4</xdr:row>
      <xdr:rowOff>178594</xdr:rowOff>
    </xdr:to>
    <xdr:cxnSp macro="">
      <xdr:nvCxnSpPr>
        <xdr:cNvPr id="1845" name="Match6">
          <a:extLst>
            <a:ext uri="{FF2B5EF4-FFF2-40B4-BE49-F238E27FC236}">
              <a16:creationId xmlns:a16="http://schemas.microsoft.com/office/drawing/2014/main" id="{3C706BC9-31B9-8ACE-F5FF-C78447106DD2}"/>
            </a:ext>
          </a:extLst>
        </xdr:cNvPr>
        <xdr:cNvCxnSpPr/>
      </xdr:nvCxnSpPr>
      <xdr:spPr>
        <a:xfrm>
          <a:off x="2755106" y="1250156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237331</xdr:colOff>
      <xdr:row>3</xdr:row>
      <xdr:rowOff>203993</xdr:rowOff>
    </xdr:from>
    <xdr:to>
      <xdr:col>6</xdr:col>
      <xdr:colOff>237331</xdr:colOff>
      <xdr:row>4</xdr:row>
      <xdr:rowOff>203994</xdr:rowOff>
    </xdr:to>
    <xdr:cxnSp macro="">
      <xdr:nvCxnSpPr>
        <xdr:cNvPr id="1846" name="Match7">
          <a:extLst>
            <a:ext uri="{FF2B5EF4-FFF2-40B4-BE49-F238E27FC236}">
              <a16:creationId xmlns:a16="http://schemas.microsoft.com/office/drawing/2014/main" id="{5B1CAB01-8138-2E9C-DDC5-68F8845AF39C}"/>
            </a:ext>
          </a:extLst>
        </xdr:cNvPr>
        <xdr:cNvCxnSpPr/>
      </xdr:nvCxnSpPr>
      <xdr:spPr>
        <a:xfrm flipH="1">
          <a:off x="2356644" y="1275556"/>
          <a:ext cx="423862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262731</xdr:colOff>
      <xdr:row>3</xdr:row>
      <xdr:rowOff>229393</xdr:rowOff>
    </xdr:from>
    <xdr:to>
      <xdr:col>6</xdr:col>
      <xdr:colOff>262731</xdr:colOff>
      <xdr:row>3</xdr:row>
      <xdr:rowOff>229393</xdr:rowOff>
    </xdr:to>
    <xdr:cxnSp macro="">
      <xdr:nvCxnSpPr>
        <xdr:cNvPr id="1847" name="Match8">
          <a:extLst>
            <a:ext uri="{FF2B5EF4-FFF2-40B4-BE49-F238E27FC236}">
              <a16:creationId xmlns:a16="http://schemas.microsoft.com/office/drawing/2014/main" id="{A79390CB-1FFC-018A-BFD0-8303D22AE399}"/>
            </a:ext>
          </a:extLst>
        </xdr:cNvPr>
        <xdr:cNvCxnSpPr/>
      </xdr:nvCxnSpPr>
      <xdr:spPr>
        <a:xfrm flipH="1">
          <a:off x="2382044" y="1300956"/>
          <a:ext cx="423862" cy="0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4</xdr:row>
      <xdr:rowOff>178594</xdr:rowOff>
    </xdr:from>
    <xdr:to>
      <xdr:col>7</xdr:col>
      <xdr:colOff>211931</xdr:colOff>
      <xdr:row>4</xdr:row>
      <xdr:rowOff>178594</xdr:rowOff>
    </xdr:to>
    <xdr:cxnSp macro="">
      <xdr:nvCxnSpPr>
        <xdr:cNvPr id="1848" name="Match9">
          <a:extLst>
            <a:ext uri="{FF2B5EF4-FFF2-40B4-BE49-F238E27FC236}">
              <a16:creationId xmlns:a16="http://schemas.microsoft.com/office/drawing/2014/main" id="{987C604B-7CD1-371F-BF76-3D9F87F4D09F}"/>
            </a:ext>
          </a:extLst>
        </xdr:cNvPr>
        <xdr:cNvCxnSpPr/>
      </xdr:nvCxnSpPr>
      <xdr:spPr>
        <a:xfrm>
          <a:off x="2755106" y="1607344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237331</xdr:colOff>
      <xdr:row>4</xdr:row>
      <xdr:rowOff>203994</xdr:rowOff>
    </xdr:from>
    <xdr:to>
      <xdr:col>7</xdr:col>
      <xdr:colOff>237331</xdr:colOff>
      <xdr:row>5</xdr:row>
      <xdr:rowOff>203993</xdr:rowOff>
    </xdr:to>
    <xdr:cxnSp macro="">
      <xdr:nvCxnSpPr>
        <xdr:cNvPr id="1849" name="Match10">
          <a:extLst>
            <a:ext uri="{FF2B5EF4-FFF2-40B4-BE49-F238E27FC236}">
              <a16:creationId xmlns:a16="http://schemas.microsoft.com/office/drawing/2014/main" id="{4D6EED83-2E0D-07F6-D46C-59B6E2ABB706}"/>
            </a:ext>
          </a:extLst>
        </xdr:cNvPr>
        <xdr:cNvCxnSpPr/>
      </xdr:nvCxnSpPr>
      <xdr:spPr>
        <a:xfrm>
          <a:off x="2780506" y="1632744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262731</xdr:colOff>
      <xdr:row>4</xdr:row>
      <xdr:rowOff>229394</xdr:rowOff>
    </xdr:from>
    <xdr:to>
      <xdr:col>6</xdr:col>
      <xdr:colOff>262731</xdr:colOff>
      <xdr:row>4</xdr:row>
      <xdr:rowOff>229394</xdr:rowOff>
    </xdr:to>
    <xdr:cxnSp macro="">
      <xdr:nvCxnSpPr>
        <xdr:cNvPr id="1850" name="Match11">
          <a:extLst>
            <a:ext uri="{FF2B5EF4-FFF2-40B4-BE49-F238E27FC236}">
              <a16:creationId xmlns:a16="http://schemas.microsoft.com/office/drawing/2014/main" id="{584F3171-4F6E-1C74-B284-095BD25F568D}"/>
            </a:ext>
          </a:extLst>
        </xdr:cNvPr>
        <xdr:cNvCxnSpPr/>
      </xdr:nvCxnSpPr>
      <xdr:spPr>
        <a:xfrm flipH="1">
          <a:off x="2382044" y="1658144"/>
          <a:ext cx="423862" cy="0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288131</xdr:colOff>
      <xdr:row>3</xdr:row>
      <xdr:rowOff>254793</xdr:rowOff>
    </xdr:from>
    <xdr:to>
      <xdr:col>6</xdr:col>
      <xdr:colOff>288131</xdr:colOff>
      <xdr:row>4</xdr:row>
      <xdr:rowOff>254794</xdr:rowOff>
    </xdr:to>
    <xdr:cxnSp macro="">
      <xdr:nvCxnSpPr>
        <xdr:cNvPr id="1851" name="Match12">
          <a:extLst>
            <a:ext uri="{FF2B5EF4-FFF2-40B4-BE49-F238E27FC236}">
              <a16:creationId xmlns:a16="http://schemas.microsoft.com/office/drawing/2014/main" id="{83F27EA7-81C2-7F99-3FED-C9BBB2FF16A2}"/>
            </a:ext>
          </a:extLst>
        </xdr:cNvPr>
        <xdr:cNvCxnSpPr/>
      </xdr:nvCxnSpPr>
      <xdr:spPr>
        <a:xfrm flipH="1" flipV="1">
          <a:off x="2407444" y="1326356"/>
          <a:ext cx="423862" cy="357188"/>
        </a:xfrm>
        <a:prstGeom prst="line">
          <a:avLst/>
        </a:prstGeom>
        <a:ln w="25400">
          <a:solidFill>
            <a:srgbClr val="C382B4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4</xdr:row>
      <xdr:rowOff>178594</xdr:rowOff>
    </xdr:from>
    <xdr:to>
      <xdr:col>1</xdr:col>
      <xdr:colOff>211931</xdr:colOff>
      <xdr:row>5</xdr:row>
      <xdr:rowOff>178593</xdr:rowOff>
    </xdr:to>
    <xdr:cxnSp macro="">
      <xdr:nvCxnSpPr>
        <xdr:cNvPr id="1852" name="Match13">
          <a:extLst>
            <a:ext uri="{FF2B5EF4-FFF2-40B4-BE49-F238E27FC236}">
              <a16:creationId xmlns:a16="http://schemas.microsoft.com/office/drawing/2014/main" id="{47B46975-FAB6-2524-159D-D53BCDB0B77A}"/>
            </a:ext>
          </a:extLst>
        </xdr:cNvPr>
        <xdr:cNvCxnSpPr/>
      </xdr:nvCxnSpPr>
      <xdr:spPr>
        <a:xfrm flipV="1">
          <a:off x="635794" y="160734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5</xdr:row>
      <xdr:rowOff>178593</xdr:rowOff>
    </xdr:from>
    <xdr:to>
      <xdr:col>4</xdr:col>
      <xdr:colOff>211931</xdr:colOff>
      <xdr:row>6</xdr:row>
      <xdr:rowOff>178594</xdr:rowOff>
    </xdr:to>
    <xdr:cxnSp macro="">
      <xdr:nvCxnSpPr>
        <xdr:cNvPr id="1853" name="Match14">
          <a:extLst>
            <a:ext uri="{FF2B5EF4-FFF2-40B4-BE49-F238E27FC236}">
              <a16:creationId xmlns:a16="http://schemas.microsoft.com/office/drawing/2014/main" id="{FA6B26D2-2DC0-24BE-0522-F1D80667D078}"/>
            </a:ext>
          </a:extLst>
        </xdr:cNvPr>
        <xdr:cNvCxnSpPr/>
      </xdr:nvCxnSpPr>
      <xdr:spPr>
        <a:xfrm flipH="1" flipV="1">
          <a:off x="1483519" y="1964531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6</xdr:row>
      <xdr:rowOff>178594</xdr:rowOff>
    </xdr:from>
    <xdr:to>
      <xdr:col>7</xdr:col>
      <xdr:colOff>211931</xdr:colOff>
      <xdr:row>7</xdr:row>
      <xdr:rowOff>178593</xdr:rowOff>
    </xdr:to>
    <xdr:cxnSp macro="">
      <xdr:nvCxnSpPr>
        <xdr:cNvPr id="1854" name="Match15">
          <a:extLst>
            <a:ext uri="{FF2B5EF4-FFF2-40B4-BE49-F238E27FC236}">
              <a16:creationId xmlns:a16="http://schemas.microsoft.com/office/drawing/2014/main" id="{13B05888-9215-4848-4375-704B1557485D}"/>
            </a:ext>
          </a:extLst>
        </xdr:cNvPr>
        <xdr:cNvCxnSpPr/>
      </xdr:nvCxnSpPr>
      <xdr:spPr>
        <a:xfrm flipH="1">
          <a:off x="2755106" y="232171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237331</xdr:colOff>
      <xdr:row>5</xdr:row>
      <xdr:rowOff>203993</xdr:rowOff>
    </xdr:from>
    <xdr:to>
      <xdr:col>7</xdr:col>
      <xdr:colOff>237331</xdr:colOff>
      <xdr:row>6</xdr:row>
      <xdr:rowOff>203994</xdr:rowOff>
    </xdr:to>
    <xdr:cxnSp macro="">
      <xdr:nvCxnSpPr>
        <xdr:cNvPr id="1855" name="Match16">
          <a:extLst>
            <a:ext uri="{FF2B5EF4-FFF2-40B4-BE49-F238E27FC236}">
              <a16:creationId xmlns:a16="http://schemas.microsoft.com/office/drawing/2014/main" id="{A81F2F79-2195-ED6F-512D-1F3F760D6273}"/>
            </a:ext>
          </a:extLst>
        </xdr:cNvPr>
        <xdr:cNvCxnSpPr/>
      </xdr:nvCxnSpPr>
      <xdr:spPr>
        <a:xfrm flipV="1">
          <a:off x="3204369" y="1989931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5</xdr:row>
      <xdr:rowOff>178593</xdr:rowOff>
    </xdr:from>
    <xdr:to>
      <xdr:col>10</xdr:col>
      <xdr:colOff>211931</xdr:colOff>
      <xdr:row>6</xdr:row>
      <xdr:rowOff>178594</xdr:rowOff>
    </xdr:to>
    <xdr:cxnSp macro="">
      <xdr:nvCxnSpPr>
        <xdr:cNvPr id="1873" name="Match17">
          <a:extLst>
            <a:ext uri="{FF2B5EF4-FFF2-40B4-BE49-F238E27FC236}">
              <a16:creationId xmlns:a16="http://schemas.microsoft.com/office/drawing/2014/main" id="{5DDFCBAE-73DC-16E4-61D6-DEA4A1E6F6E0}"/>
            </a:ext>
          </a:extLst>
        </xdr:cNvPr>
        <xdr:cNvCxnSpPr/>
      </xdr:nvCxnSpPr>
      <xdr:spPr>
        <a:xfrm flipH="1" flipV="1">
          <a:off x="4026694" y="1964531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237331</xdr:colOff>
      <xdr:row>5</xdr:row>
      <xdr:rowOff>203993</xdr:rowOff>
    </xdr:from>
    <xdr:to>
      <xdr:col>10</xdr:col>
      <xdr:colOff>237331</xdr:colOff>
      <xdr:row>6</xdr:row>
      <xdr:rowOff>203994</xdr:rowOff>
    </xdr:to>
    <xdr:cxnSp macro="">
      <xdr:nvCxnSpPr>
        <xdr:cNvPr id="1874" name="Match18">
          <a:extLst>
            <a:ext uri="{FF2B5EF4-FFF2-40B4-BE49-F238E27FC236}">
              <a16:creationId xmlns:a16="http://schemas.microsoft.com/office/drawing/2014/main" id="{5E1531E8-88B8-0E70-A2D9-CB08E8DA0674}"/>
            </a:ext>
          </a:extLst>
        </xdr:cNvPr>
        <xdr:cNvCxnSpPr/>
      </xdr:nvCxnSpPr>
      <xdr:spPr>
        <a:xfrm flipV="1">
          <a:off x="4475956" y="1989931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8</xdr:row>
      <xdr:rowOff>178594</xdr:rowOff>
    </xdr:from>
    <xdr:to>
      <xdr:col>9</xdr:col>
      <xdr:colOff>211931</xdr:colOff>
      <xdr:row>9</xdr:row>
      <xdr:rowOff>178593</xdr:rowOff>
    </xdr:to>
    <xdr:cxnSp macro="">
      <xdr:nvCxnSpPr>
        <xdr:cNvPr id="1875" name="Match19">
          <a:extLst>
            <a:ext uri="{FF2B5EF4-FFF2-40B4-BE49-F238E27FC236}">
              <a16:creationId xmlns:a16="http://schemas.microsoft.com/office/drawing/2014/main" id="{EA461E87-0069-4370-7505-E876811DBE15}"/>
            </a:ext>
          </a:extLst>
        </xdr:cNvPr>
        <xdr:cNvCxnSpPr/>
      </xdr:nvCxnSpPr>
      <xdr:spPr>
        <a:xfrm flipH="1">
          <a:off x="3602831" y="303609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1</xdr:row>
      <xdr:rowOff>178593</xdr:rowOff>
    </xdr:from>
    <xdr:to>
      <xdr:col>9</xdr:col>
      <xdr:colOff>211931</xdr:colOff>
      <xdr:row>7</xdr:row>
      <xdr:rowOff>178593</xdr:rowOff>
    </xdr:to>
    <xdr:cxnSp macro="">
      <xdr:nvCxnSpPr>
        <xdr:cNvPr id="1876" name="Match20">
          <a:extLst>
            <a:ext uri="{FF2B5EF4-FFF2-40B4-BE49-F238E27FC236}">
              <a16:creationId xmlns:a16="http://schemas.microsoft.com/office/drawing/2014/main" id="{683000EB-BF49-ECA7-3E86-6F7F88D06D44}"/>
            </a:ext>
          </a:extLst>
        </xdr:cNvPr>
        <xdr:cNvCxnSpPr/>
      </xdr:nvCxnSpPr>
      <xdr:spPr>
        <a:xfrm flipV="1">
          <a:off x="4026694" y="535781"/>
          <a:ext cx="0" cy="214312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9</xdr:row>
      <xdr:rowOff>178593</xdr:rowOff>
    </xdr:from>
    <xdr:to>
      <xdr:col>10</xdr:col>
      <xdr:colOff>211931</xdr:colOff>
      <xdr:row>9</xdr:row>
      <xdr:rowOff>178593</xdr:rowOff>
    </xdr:to>
    <xdr:cxnSp macro="">
      <xdr:nvCxnSpPr>
        <xdr:cNvPr id="1877" name="Match21">
          <a:extLst>
            <a:ext uri="{FF2B5EF4-FFF2-40B4-BE49-F238E27FC236}">
              <a16:creationId xmlns:a16="http://schemas.microsoft.com/office/drawing/2014/main" id="{744FBEB8-03F5-FE0B-DB05-88730FC1D571}"/>
            </a:ext>
          </a:extLst>
        </xdr:cNvPr>
        <xdr:cNvCxnSpPr/>
      </xdr:nvCxnSpPr>
      <xdr:spPr>
        <a:xfrm>
          <a:off x="2755106" y="3393281"/>
          <a:ext cx="1695450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6</xdr:row>
      <xdr:rowOff>178594</xdr:rowOff>
    </xdr:from>
    <xdr:to>
      <xdr:col>2</xdr:col>
      <xdr:colOff>211931</xdr:colOff>
      <xdr:row>9</xdr:row>
      <xdr:rowOff>178593</xdr:rowOff>
    </xdr:to>
    <xdr:cxnSp macro="">
      <xdr:nvCxnSpPr>
        <xdr:cNvPr id="1878" name="Match22">
          <a:extLst>
            <a:ext uri="{FF2B5EF4-FFF2-40B4-BE49-F238E27FC236}">
              <a16:creationId xmlns:a16="http://schemas.microsoft.com/office/drawing/2014/main" id="{73A391FF-D7F3-42F0-A94A-E409AEF2981F}"/>
            </a:ext>
          </a:extLst>
        </xdr:cNvPr>
        <xdr:cNvCxnSpPr/>
      </xdr:nvCxnSpPr>
      <xdr:spPr>
        <a:xfrm>
          <a:off x="1059656" y="2321719"/>
          <a:ext cx="0" cy="1071562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0</xdr:row>
      <xdr:rowOff>178594</xdr:rowOff>
    </xdr:from>
    <xdr:to>
      <xdr:col>6</xdr:col>
      <xdr:colOff>211931</xdr:colOff>
      <xdr:row>0</xdr:row>
      <xdr:rowOff>178594</xdr:rowOff>
    </xdr:to>
    <xdr:cxnSp macro="">
      <xdr:nvCxnSpPr>
        <xdr:cNvPr id="1879" name="Match23">
          <a:extLst>
            <a:ext uri="{FF2B5EF4-FFF2-40B4-BE49-F238E27FC236}">
              <a16:creationId xmlns:a16="http://schemas.microsoft.com/office/drawing/2014/main" id="{90107C33-5B06-9C2B-51D6-329AD6DBEAA7}"/>
            </a:ext>
          </a:extLst>
        </xdr:cNvPr>
        <xdr:cNvCxnSpPr/>
      </xdr:nvCxnSpPr>
      <xdr:spPr>
        <a:xfrm flipH="1">
          <a:off x="1907381" y="178594"/>
          <a:ext cx="84772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1</xdr:row>
      <xdr:rowOff>178593</xdr:rowOff>
    </xdr:from>
    <xdr:to>
      <xdr:col>3</xdr:col>
      <xdr:colOff>211931</xdr:colOff>
      <xdr:row>3</xdr:row>
      <xdr:rowOff>178593</xdr:rowOff>
    </xdr:to>
    <xdr:cxnSp macro="">
      <xdr:nvCxnSpPr>
        <xdr:cNvPr id="1880" name="Match24">
          <a:extLst>
            <a:ext uri="{FF2B5EF4-FFF2-40B4-BE49-F238E27FC236}">
              <a16:creationId xmlns:a16="http://schemas.microsoft.com/office/drawing/2014/main" id="{9EA51216-7860-622C-D8AA-B28D2E24C1FD}"/>
            </a:ext>
          </a:extLst>
        </xdr:cNvPr>
        <xdr:cNvCxnSpPr/>
      </xdr:nvCxnSpPr>
      <xdr:spPr>
        <a:xfrm>
          <a:off x="635794" y="535781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1</xdr:row>
      <xdr:rowOff>178593</xdr:rowOff>
    </xdr:from>
    <xdr:to>
      <xdr:col>5</xdr:col>
      <xdr:colOff>211931</xdr:colOff>
      <xdr:row>3</xdr:row>
      <xdr:rowOff>178593</xdr:rowOff>
    </xdr:to>
    <xdr:cxnSp macro="">
      <xdr:nvCxnSpPr>
        <xdr:cNvPr id="1881" name="Match25">
          <a:extLst>
            <a:ext uri="{FF2B5EF4-FFF2-40B4-BE49-F238E27FC236}">
              <a16:creationId xmlns:a16="http://schemas.microsoft.com/office/drawing/2014/main" id="{6B559E72-16FB-2569-8F71-562F207C0B05}"/>
            </a:ext>
          </a:extLst>
        </xdr:cNvPr>
        <xdr:cNvCxnSpPr/>
      </xdr:nvCxnSpPr>
      <xdr:spPr>
        <a:xfrm flipH="1">
          <a:off x="1483519" y="535781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2</xdr:row>
      <xdr:rowOff>178594</xdr:rowOff>
    </xdr:from>
    <xdr:to>
      <xdr:col>10</xdr:col>
      <xdr:colOff>211931</xdr:colOff>
      <xdr:row>4</xdr:row>
      <xdr:rowOff>178594</xdr:rowOff>
    </xdr:to>
    <xdr:cxnSp macro="">
      <xdr:nvCxnSpPr>
        <xdr:cNvPr id="1882" name="Match26">
          <a:extLst>
            <a:ext uri="{FF2B5EF4-FFF2-40B4-BE49-F238E27FC236}">
              <a16:creationId xmlns:a16="http://schemas.microsoft.com/office/drawing/2014/main" id="{7153C276-FEFB-061D-D903-E04DC7887669}"/>
            </a:ext>
          </a:extLst>
        </xdr:cNvPr>
        <xdr:cNvCxnSpPr/>
      </xdr:nvCxnSpPr>
      <xdr:spPr>
        <a:xfrm flipV="1">
          <a:off x="4450556" y="892969"/>
          <a:ext cx="0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237331</xdr:colOff>
      <xdr:row>6</xdr:row>
      <xdr:rowOff>203994</xdr:rowOff>
    </xdr:from>
    <xdr:to>
      <xdr:col>2</xdr:col>
      <xdr:colOff>237331</xdr:colOff>
      <xdr:row>6</xdr:row>
      <xdr:rowOff>203994</xdr:rowOff>
    </xdr:to>
    <xdr:cxnSp macro="">
      <xdr:nvCxnSpPr>
        <xdr:cNvPr id="1883" name="Match27">
          <a:extLst>
            <a:ext uri="{FF2B5EF4-FFF2-40B4-BE49-F238E27FC236}">
              <a16:creationId xmlns:a16="http://schemas.microsoft.com/office/drawing/2014/main" id="{FEE3298A-256D-998C-7699-A3738655FE98}"/>
            </a:ext>
          </a:extLst>
        </xdr:cNvPr>
        <xdr:cNvCxnSpPr/>
      </xdr:nvCxnSpPr>
      <xdr:spPr>
        <a:xfrm flipH="1">
          <a:off x="237331" y="2347119"/>
          <a:ext cx="847725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5</xdr:row>
      <xdr:rowOff>178593</xdr:rowOff>
    </xdr:from>
    <xdr:to>
      <xdr:col>4</xdr:col>
      <xdr:colOff>211931</xdr:colOff>
      <xdr:row>9</xdr:row>
      <xdr:rowOff>178593</xdr:rowOff>
    </xdr:to>
    <xdr:cxnSp macro="">
      <xdr:nvCxnSpPr>
        <xdr:cNvPr id="1884" name="Match28">
          <a:extLst>
            <a:ext uri="{FF2B5EF4-FFF2-40B4-BE49-F238E27FC236}">
              <a16:creationId xmlns:a16="http://schemas.microsoft.com/office/drawing/2014/main" id="{FCF43960-52F5-0F94-ED93-94F8AEE2B41B}"/>
            </a:ext>
          </a:extLst>
        </xdr:cNvPr>
        <xdr:cNvCxnSpPr/>
      </xdr:nvCxnSpPr>
      <xdr:spPr>
        <a:xfrm flipV="1">
          <a:off x="1907381" y="1964531"/>
          <a:ext cx="0" cy="142875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211931</xdr:colOff>
      <xdr:row>0</xdr:row>
      <xdr:rowOff>178594</xdr:rowOff>
    </xdr:from>
    <xdr:to>
      <xdr:col>11</xdr:col>
      <xdr:colOff>211931</xdr:colOff>
      <xdr:row>1</xdr:row>
      <xdr:rowOff>178593</xdr:rowOff>
    </xdr:to>
    <xdr:cxnSp macro="">
      <xdr:nvCxnSpPr>
        <xdr:cNvPr id="1885" name="Match29">
          <a:extLst>
            <a:ext uri="{FF2B5EF4-FFF2-40B4-BE49-F238E27FC236}">
              <a16:creationId xmlns:a16="http://schemas.microsoft.com/office/drawing/2014/main" id="{AB16F1ED-85DE-305A-FD3D-99C96FDB3F03}"/>
            </a:ext>
          </a:extLst>
        </xdr:cNvPr>
        <xdr:cNvCxnSpPr/>
      </xdr:nvCxnSpPr>
      <xdr:spPr>
        <a:xfrm>
          <a:off x="4874419" y="17859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237331</xdr:colOff>
      <xdr:row>0</xdr:row>
      <xdr:rowOff>203994</xdr:rowOff>
    </xdr:from>
    <xdr:to>
      <xdr:col>1</xdr:col>
      <xdr:colOff>237331</xdr:colOff>
      <xdr:row>1</xdr:row>
      <xdr:rowOff>203993</xdr:rowOff>
    </xdr:to>
    <xdr:cxnSp macro="">
      <xdr:nvCxnSpPr>
        <xdr:cNvPr id="1886" name="Match30">
          <a:extLst>
            <a:ext uri="{FF2B5EF4-FFF2-40B4-BE49-F238E27FC236}">
              <a16:creationId xmlns:a16="http://schemas.microsoft.com/office/drawing/2014/main" id="{C5AAE99E-8A3F-0938-5FB1-6B581C476390}"/>
            </a:ext>
          </a:extLst>
        </xdr:cNvPr>
        <xdr:cNvCxnSpPr/>
      </xdr:nvCxnSpPr>
      <xdr:spPr>
        <a:xfrm flipV="1">
          <a:off x="661194" y="203994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262731</xdr:colOff>
      <xdr:row>0</xdr:row>
      <xdr:rowOff>229394</xdr:rowOff>
    </xdr:from>
    <xdr:to>
      <xdr:col>2</xdr:col>
      <xdr:colOff>262731</xdr:colOff>
      <xdr:row>1</xdr:row>
      <xdr:rowOff>229393</xdr:rowOff>
    </xdr:to>
    <xdr:cxnSp macro="">
      <xdr:nvCxnSpPr>
        <xdr:cNvPr id="1887" name="Match31">
          <a:extLst>
            <a:ext uri="{FF2B5EF4-FFF2-40B4-BE49-F238E27FC236}">
              <a16:creationId xmlns:a16="http://schemas.microsoft.com/office/drawing/2014/main" id="{4038E730-1617-2C58-0FBF-266DF77A588A}"/>
            </a:ext>
          </a:extLst>
        </xdr:cNvPr>
        <xdr:cNvCxnSpPr/>
      </xdr:nvCxnSpPr>
      <xdr:spPr>
        <a:xfrm flipV="1">
          <a:off x="686594" y="229394"/>
          <a:ext cx="423862" cy="357187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237331</xdr:colOff>
      <xdr:row>0</xdr:row>
      <xdr:rowOff>203994</xdr:rowOff>
    </xdr:from>
    <xdr:to>
      <xdr:col>5</xdr:col>
      <xdr:colOff>237331</xdr:colOff>
      <xdr:row>1</xdr:row>
      <xdr:rowOff>203993</xdr:rowOff>
    </xdr:to>
    <xdr:cxnSp macro="">
      <xdr:nvCxnSpPr>
        <xdr:cNvPr id="1888" name="Match32">
          <a:extLst>
            <a:ext uri="{FF2B5EF4-FFF2-40B4-BE49-F238E27FC236}">
              <a16:creationId xmlns:a16="http://schemas.microsoft.com/office/drawing/2014/main" id="{B8AD004D-3D2E-85F2-ECF7-FE2D1B6BA11D}"/>
            </a:ext>
          </a:extLst>
        </xdr:cNvPr>
        <xdr:cNvCxnSpPr/>
      </xdr:nvCxnSpPr>
      <xdr:spPr>
        <a:xfrm flipH="1" flipV="1">
          <a:off x="1932781" y="203994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3</xdr:row>
      <xdr:rowOff>178593</xdr:rowOff>
    </xdr:from>
    <xdr:to>
      <xdr:col>4</xdr:col>
      <xdr:colOff>211931</xdr:colOff>
      <xdr:row>3</xdr:row>
      <xdr:rowOff>178593</xdr:rowOff>
    </xdr:to>
    <xdr:cxnSp macro="">
      <xdr:nvCxnSpPr>
        <xdr:cNvPr id="1889" name="Match33">
          <a:extLst>
            <a:ext uri="{FF2B5EF4-FFF2-40B4-BE49-F238E27FC236}">
              <a16:creationId xmlns:a16="http://schemas.microsoft.com/office/drawing/2014/main" id="{A525C5A0-EF8E-B44E-A4F9-F1135AE46BC9}"/>
            </a:ext>
          </a:extLst>
        </xdr:cNvPr>
        <xdr:cNvCxnSpPr/>
      </xdr:nvCxnSpPr>
      <xdr:spPr>
        <a:xfrm flipH="1">
          <a:off x="1483519" y="1250156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3</xdr:row>
      <xdr:rowOff>178593</xdr:rowOff>
    </xdr:from>
    <xdr:to>
      <xdr:col>7</xdr:col>
      <xdr:colOff>211931</xdr:colOff>
      <xdr:row>4</xdr:row>
      <xdr:rowOff>178594</xdr:rowOff>
    </xdr:to>
    <xdr:cxnSp macro="">
      <xdr:nvCxnSpPr>
        <xdr:cNvPr id="1890" name="Match34">
          <a:extLst>
            <a:ext uri="{FF2B5EF4-FFF2-40B4-BE49-F238E27FC236}">
              <a16:creationId xmlns:a16="http://schemas.microsoft.com/office/drawing/2014/main" id="{2AB3BFDB-AB32-C2DD-472E-CE86F5A96801}"/>
            </a:ext>
          </a:extLst>
        </xdr:cNvPr>
        <xdr:cNvCxnSpPr/>
      </xdr:nvCxnSpPr>
      <xdr:spPr>
        <a:xfrm flipH="1">
          <a:off x="2755106" y="1250156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237331</xdr:colOff>
      <xdr:row>3</xdr:row>
      <xdr:rowOff>203993</xdr:rowOff>
    </xdr:from>
    <xdr:to>
      <xdr:col>7</xdr:col>
      <xdr:colOff>237331</xdr:colOff>
      <xdr:row>3</xdr:row>
      <xdr:rowOff>203993</xdr:rowOff>
    </xdr:to>
    <xdr:cxnSp macro="">
      <xdr:nvCxnSpPr>
        <xdr:cNvPr id="1891" name="Match35">
          <a:extLst>
            <a:ext uri="{FF2B5EF4-FFF2-40B4-BE49-F238E27FC236}">
              <a16:creationId xmlns:a16="http://schemas.microsoft.com/office/drawing/2014/main" id="{FE2871DF-17B7-DCA4-208F-D98F882633F8}"/>
            </a:ext>
          </a:extLst>
        </xdr:cNvPr>
        <xdr:cNvCxnSpPr/>
      </xdr:nvCxnSpPr>
      <xdr:spPr>
        <a:xfrm flipH="1">
          <a:off x="2780506" y="1275556"/>
          <a:ext cx="423863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2</xdr:row>
      <xdr:rowOff>178594</xdr:rowOff>
    </xdr:from>
    <xdr:to>
      <xdr:col>10</xdr:col>
      <xdr:colOff>211931</xdr:colOff>
      <xdr:row>3</xdr:row>
      <xdr:rowOff>178593</xdr:rowOff>
    </xdr:to>
    <xdr:cxnSp macro="">
      <xdr:nvCxnSpPr>
        <xdr:cNvPr id="1892" name="Match36">
          <a:extLst>
            <a:ext uri="{FF2B5EF4-FFF2-40B4-BE49-F238E27FC236}">
              <a16:creationId xmlns:a16="http://schemas.microsoft.com/office/drawing/2014/main" id="{994B62F0-A2C8-25FA-40A1-A146A45E83F0}"/>
            </a:ext>
          </a:extLst>
        </xdr:cNvPr>
        <xdr:cNvCxnSpPr/>
      </xdr:nvCxnSpPr>
      <xdr:spPr>
        <a:xfrm flipV="1">
          <a:off x="4026694" y="89296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2</xdr:row>
      <xdr:rowOff>178594</xdr:rowOff>
    </xdr:from>
    <xdr:to>
      <xdr:col>11</xdr:col>
      <xdr:colOff>211931</xdr:colOff>
      <xdr:row>3</xdr:row>
      <xdr:rowOff>178593</xdr:rowOff>
    </xdr:to>
    <xdr:cxnSp macro="">
      <xdr:nvCxnSpPr>
        <xdr:cNvPr id="1893" name="Match37">
          <a:extLst>
            <a:ext uri="{FF2B5EF4-FFF2-40B4-BE49-F238E27FC236}">
              <a16:creationId xmlns:a16="http://schemas.microsoft.com/office/drawing/2014/main" id="{0C104F1B-45B3-E69C-5786-CD5F7C7966F3}"/>
            </a:ext>
          </a:extLst>
        </xdr:cNvPr>
        <xdr:cNvCxnSpPr/>
      </xdr:nvCxnSpPr>
      <xdr:spPr>
        <a:xfrm flipH="1" flipV="1">
          <a:off x="4450556" y="89296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5</xdr:row>
      <xdr:rowOff>178593</xdr:rowOff>
    </xdr:from>
    <xdr:to>
      <xdr:col>7</xdr:col>
      <xdr:colOff>211931</xdr:colOff>
      <xdr:row>6</xdr:row>
      <xdr:rowOff>178594</xdr:rowOff>
    </xdr:to>
    <xdr:cxnSp macro="">
      <xdr:nvCxnSpPr>
        <xdr:cNvPr id="1894" name="Match38">
          <a:extLst>
            <a:ext uri="{FF2B5EF4-FFF2-40B4-BE49-F238E27FC236}">
              <a16:creationId xmlns:a16="http://schemas.microsoft.com/office/drawing/2014/main" id="{4C1540AB-F1C9-E9E2-B842-095430661AD1}"/>
            </a:ext>
          </a:extLst>
        </xdr:cNvPr>
        <xdr:cNvCxnSpPr/>
      </xdr:nvCxnSpPr>
      <xdr:spPr>
        <a:xfrm>
          <a:off x="2755106" y="196453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237331</xdr:colOff>
      <xdr:row>4</xdr:row>
      <xdr:rowOff>203994</xdr:rowOff>
    </xdr:from>
    <xdr:to>
      <xdr:col>6</xdr:col>
      <xdr:colOff>237331</xdr:colOff>
      <xdr:row>5</xdr:row>
      <xdr:rowOff>203993</xdr:rowOff>
    </xdr:to>
    <xdr:cxnSp macro="">
      <xdr:nvCxnSpPr>
        <xdr:cNvPr id="1895" name="Match39">
          <a:extLst>
            <a:ext uri="{FF2B5EF4-FFF2-40B4-BE49-F238E27FC236}">
              <a16:creationId xmlns:a16="http://schemas.microsoft.com/office/drawing/2014/main" id="{FC9C2A1E-1E1B-786F-F92D-5C4041AB1967}"/>
            </a:ext>
          </a:extLst>
        </xdr:cNvPr>
        <xdr:cNvCxnSpPr/>
      </xdr:nvCxnSpPr>
      <xdr:spPr>
        <a:xfrm flipV="1">
          <a:off x="2780506" y="1632744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5</xdr:row>
      <xdr:rowOff>178593</xdr:rowOff>
    </xdr:from>
    <xdr:to>
      <xdr:col>8</xdr:col>
      <xdr:colOff>211931</xdr:colOff>
      <xdr:row>6</xdr:row>
      <xdr:rowOff>178594</xdr:rowOff>
    </xdr:to>
    <xdr:cxnSp macro="">
      <xdr:nvCxnSpPr>
        <xdr:cNvPr id="1896" name="Match40">
          <a:extLst>
            <a:ext uri="{FF2B5EF4-FFF2-40B4-BE49-F238E27FC236}">
              <a16:creationId xmlns:a16="http://schemas.microsoft.com/office/drawing/2014/main" id="{2B8D7454-0222-F539-D1FE-4494497D5F3C}"/>
            </a:ext>
          </a:extLst>
        </xdr:cNvPr>
        <xdr:cNvCxnSpPr/>
      </xdr:nvCxnSpPr>
      <xdr:spPr>
        <a:xfrm flipH="1">
          <a:off x="3178969" y="1964531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262731</xdr:colOff>
      <xdr:row>5</xdr:row>
      <xdr:rowOff>229393</xdr:rowOff>
    </xdr:from>
    <xdr:to>
      <xdr:col>2</xdr:col>
      <xdr:colOff>262731</xdr:colOff>
      <xdr:row>6</xdr:row>
      <xdr:rowOff>229394</xdr:rowOff>
    </xdr:to>
    <xdr:cxnSp macro="">
      <xdr:nvCxnSpPr>
        <xdr:cNvPr id="1897" name="Match41">
          <a:extLst>
            <a:ext uri="{FF2B5EF4-FFF2-40B4-BE49-F238E27FC236}">
              <a16:creationId xmlns:a16="http://schemas.microsoft.com/office/drawing/2014/main" id="{A40DA108-5BA3-E362-0B0F-259AE3A5039D}"/>
            </a:ext>
          </a:extLst>
        </xdr:cNvPr>
        <xdr:cNvCxnSpPr/>
      </xdr:nvCxnSpPr>
      <xdr:spPr>
        <a:xfrm flipH="1" flipV="1">
          <a:off x="686594" y="2015331"/>
          <a:ext cx="423862" cy="357188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6</xdr:row>
      <xdr:rowOff>178594</xdr:rowOff>
    </xdr:from>
    <xdr:to>
      <xdr:col>4</xdr:col>
      <xdr:colOff>211931</xdr:colOff>
      <xdr:row>6</xdr:row>
      <xdr:rowOff>178594</xdr:rowOff>
    </xdr:to>
    <xdr:cxnSp macro="">
      <xdr:nvCxnSpPr>
        <xdr:cNvPr id="1898" name="Match42">
          <a:extLst>
            <a:ext uri="{FF2B5EF4-FFF2-40B4-BE49-F238E27FC236}">
              <a16:creationId xmlns:a16="http://schemas.microsoft.com/office/drawing/2014/main" id="{2E0B75E7-E2A9-51FD-21A0-AF8813EFDA1E}"/>
            </a:ext>
          </a:extLst>
        </xdr:cNvPr>
        <xdr:cNvCxnSpPr/>
      </xdr:nvCxnSpPr>
      <xdr:spPr>
        <a:xfrm>
          <a:off x="1483519" y="2321719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6</xdr:row>
      <xdr:rowOff>178594</xdr:rowOff>
    </xdr:from>
    <xdr:to>
      <xdr:col>7</xdr:col>
      <xdr:colOff>211931</xdr:colOff>
      <xdr:row>6</xdr:row>
      <xdr:rowOff>178594</xdr:rowOff>
    </xdr:to>
    <xdr:cxnSp macro="">
      <xdr:nvCxnSpPr>
        <xdr:cNvPr id="1899" name="Match43">
          <a:extLst>
            <a:ext uri="{FF2B5EF4-FFF2-40B4-BE49-F238E27FC236}">
              <a16:creationId xmlns:a16="http://schemas.microsoft.com/office/drawing/2014/main" id="{A0978DAB-DBE7-721A-DCC7-FE96491D5052}"/>
            </a:ext>
          </a:extLst>
        </xdr:cNvPr>
        <xdr:cNvCxnSpPr/>
      </xdr:nvCxnSpPr>
      <xdr:spPr>
        <a:xfrm>
          <a:off x="2755106" y="2321719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7</xdr:row>
      <xdr:rowOff>178593</xdr:rowOff>
    </xdr:from>
    <xdr:to>
      <xdr:col>11</xdr:col>
      <xdr:colOff>211931</xdr:colOff>
      <xdr:row>7</xdr:row>
      <xdr:rowOff>178593</xdr:rowOff>
    </xdr:to>
    <xdr:cxnSp macro="">
      <xdr:nvCxnSpPr>
        <xdr:cNvPr id="1900" name="Match44">
          <a:extLst>
            <a:ext uri="{FF2B5EF4-FFF2-40B4-BE49-F238E27FC236}">
              <a16:creationId xmlns:a16="http://schemas.microsoft.com/office/drawing/2014/main" id="{8FFBFFB5-BE20-D68A-FB49-F4B0CAC47AF4}"/>
            </a:ext>
          </a:extLst>
        </xdr:cNvPr>
        <xdr:cNvCxnSpPr/>
      </xdr:nvCxnSpPr>
      <xdr:spPr>
        <a:xfrm flipH="1">
          <a:off x="4450556" y="2678906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237331</xdr:colOff>
      <xdr:row>6</xdr:row>
      <xdr:rowOff>203994</xdr:rowOff>
    </xdr:from>
    <xdr:to>
      <xdr:col>11</xdr:col>
      <xdr:colOff>237331</xdr:colOff>
      <xdr:row>7</xdr:row>
      <xdr:rowOff>203993</xdr:rowOff>
    </xdr:to>
    <xdr:cxnSp macro="">
      <xdr:nvCxnSpPr>
        <xdr:cNvPr id="1901" name="Match45">
          <a:extLst>
            <a:ext uri="{FF2B5EF4-FFF2-40B4-BE49-F238E27FC236}">
              <a16:creationId xmlns:a16="http://schemas.microsoft.com/office/drawing/2014/main" id="{16EA789A-5879-7CD7-85E3-D4E8E4745743}"/>
            </a:ext>
          </a:extLst>
        </xdr:cNvPr>
        <xdr:cNvCxnSpPr/>
      </xdr:nvCxnSpPr>
      <xdr:spPr>
        <a:xfrm flipH="1" flipV="1">
          <a:off x="4475956" y="2347119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11</xdr:row>
      <xdr:rowOff>178593</xdr:rowOff>
    </xdr:from>
    <xdr:to>
      <xdr:col>8</xdr:col>
      <xdr:colOff>211931</xdr:colOff>
      <xdr:row>11</xdr:row>
      <xdr:rowOff>178593</xdr:rowOff>
    </xdr:to>
    <xdr:cxnSp macro="">
      <xdr:nvCxnSpPr>
        <xdr:cNvPr id="1902" name="Match46">
          <a:extLst>
            <a:ext uri="{FF2B5EF4-FFF2-40B4-BE49-F238E27FC236}">
              <a16:creationId xmlns:a16="http://schemas.microsoft.com/office/drawing/2014/main" id="{99E5CA35-5C83-655C-B83A-C6DE7FA32D71}"/>
            </a:ext>
          </a:extLst>
        </xdr:cNvPr>
        <xdr:cNvCxnSpPr/>
      </xdr:nvCxnSpPr>
      <xdr:spPr>
        <a:xfrm flipH="1">
          <a:off x="1907381" y="4107656"/>
          <a:ext cx="1695450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5</xdr:row>
      <xdr:rowOff>178593</xdr:rowOff>
    </xdr:from>
    <xdr:to>
      <xdr:col>1</xdr:col>
      <xdr:colOff>211931</xdr:colOff>
      <xdr:row>7</xdr:row>
      <xdr:rowOff>178593</xdr:rowOff>
    </xdr:to>
    <xdr:cxnSp macro="">
      <xdr:nvCxnSpPr>
        <xdr:cNvPr id="1903" name="Match47">
          <a:extLst>
            <a:ext uri="{FF2B5EF4-FFF2-40B4-BE49-F238E27FC236}">
              <a16:creationId xmlns:a16="http://schemas.microsoft.com/office/drawing/2014/main" id="{9379DBE2-4461-D4FF-9E4A-8C050B83E3EE}"/>
            </a:ext>
          </a:extLst>
        </xdr:cNvPr>
        <xdr:cNvCxnSpPr/>
      </xdr:nvCxnSpPr>
      <xdr:spPr>
        <a:xfrm flipV="1">
          <a:off x="635794" y="1964531"/>
          <a:ext cx="0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6</xdr:row>
      <xdr:rowOff>178594</xdr:rowOff>
    </xdr:from>
    <xdr:to>
      <xdr:col>0</xdr:col>
      <xdr:colOff>211931</xdr:colOff>
      <xdr:row>8</xdr:row>
      <xdr:rowOff>178594</xdr:rowOff>
    </xdr:to>
    <xdr:cxnSp macro="">
      <xdr:nvCxnSpPr>
        <xdr:cNvPr id="1904" name="Match48">
          <a:extLst>
            <a:ext uri="{FF2B5EF4-FFF2-40B4-BE49-F238E27FC236}">
              <a16:creationId xmlns:a16="http://schemas.microsoft.com/office/drawing/2014/main" id="{410FB77E-2315-BF2B-EF29-AFA3C34FA768}"/>
            </a:ext>
          </a:extLst>
        </xdr:cNvPr>
        <xdr:cNvCxnSpPr/>
      </xdr:nvCxnSpPr>
      <xdr:spPr>
        <a:xfrm flipV="1">
          <a:off x="211931" y="2321719"/>
          <a:ext cx="0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0</xdr:row>
      <xdr:rowOff>178594</xdr:rowOff>
    </xdr:from>
    <xdr:to>
      <xdr:col>4</xdr:col>
      <xdr:colOff>211931</xdr:colOff>
      <xdr:row>1</xdr:row>
      <xdr:rowOff>178593</xdr:rowOff>
    </xdr:to>
    <xdr:cxnSp macro="">
      <xdr:nvCxnSpPr>
        <xdr:cNvPr id="1905" name="Match49">
          <a:extLst>
            <a:ext uri="{FF2B5EF4-FFF2-40B4-BE49-F238E27FC236}">
              <a16:creationId xmlns:a16="http://schemas.microsoft.com/office/drawing/2014/main" id="{700FA75B-9EEC-5244-E1C1-BE8ED19DD817}"/>
            </a:ext>
          </a:extLst>
        </xdr:cNvPr>
        <xdr:cNvCxnSpPr/>
      </xdr:nvCxnSpPr>
      <xdr:spPr>
        <a:xfrm>
          <a:off x="1483519" y="178594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2</xdr:row>
      <xdr:rowOff>178594</xdr:rowOff>
    </xdr:from>
    <xdr:to>
      <xdr:col>5</xdr:col>
      <xdr:colOff>211931</xdr:colOff>
      <xdr:row>2</xdr:row>
      <xdr:rowOff>178594</xdr:rowOff>
    </xdr:to>
    <xdr:cxnSp macro="">
      <xdr:nvCxnSpPr>
        <xdr:cNvPr id="1906" name="Match50">
          <a:extLst>
            <a:ext uri="{FF2B5EF4-FFF2-40B4-BE49-F238E27FC236}">
              <a16:creationId xmlns:a16="http://schemas.microsoft.com/office/drawing/2014/main" id="{CE3C3BE4-9004-3821-0860-83291A9906EF}"/>
            </a:ext>
          </a:extLst>
        </xdr:cNvPr>
        <xdr:cNvCxnSpPr/>
      </xdr:nvCxnSpPr>
      <xdr:spPr>
        <a:xfrm flipH="1">
          <a:off x="1907381" y="892969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237331</xdr:colOff>
      <xdr:row>1</xdr:row>
      <xdr:rowOff>203993</xdr:rowOff>
    </xdr:from>
    <xdr:to>
      <xdr:col>5</xdr:col>
      <xdr:colOff>237331</xdr:colOff>
      <xdr:row>2</xdr:row>
      <xdr:rowOff>203994</xdr:rowOff>
    </xdr:to>
    <xdr:cxnSp macro="">
      <xdr:nvCxnSpPr>
        <xdr:cNvPr id="1907" name="Match51">
          <a:extLst>
            <a:ext uri="{FF2B5EF4-FFF2-40B4-BE49-F238E27FC236}">
              <a16:creationId xmlns:a16="http://schemas.microsoft.com/office/drawing/2014/main" id="{84007A4C-39FE-87CE-A895-7AEA99E14A95}"/>
            </a:ext>
          </a:extLst>
        </xdr:cNvPr>
        <xdr:cNvCxnSpPr/>
      </xdr:nvCxnSpPr>
      <xdr:spPr>
        <a:xfrm flipH="1" flipV="1">
          <a:off x="1932781" y="561181"/>
          <a:ext cx="423863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2</xdr:row>
      <xdr:rowOff>178594</xdr:rowOff>
    </xdr:from>
    <xdr:to>
      <xdr:col>11</xdr:col>
      <xdr:colOff>211931</xdr:colOff>
      <xdr:row>3</xdr:row>
      <xdr:rowOff>178593</xdr:rowOff>
    </xdr:to>
    <xdr:cxnSp macro="">
      <xdr:nvCxnSpPr>
        <xdr:cNvPr id="1908" name="Match52">
          <a:extLst>
            <a:ext uri="{FF2B5EF4-FFF2-40B4-BE49-F238E27FC236}">
              <a16:creationId xmlns:a16="http://schemas.microsoft.com/office/drawing/2014/main" id="{EB3684BE-8F23-4F0D-6468-9874F35D8390}"/>
            </a:ext>
          </a:extLst>
        </xdr:cNvPr>
        <xdr:cNvCxnSpPr/>
      </xdr:nvCxnSpPr>
      <xdr:spPr>
        <a:xfrm flipH="1">
          <a:off x="4450556" y="89296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2</xdr:row>
      <xdr:rowOff>178594</xdr:rowOff>
    </xdr:from>
    <xdr:to>
      <xdr:col>2</xdr:col>
      <xdr:colOff>211931</xdr:colOff>
      <xdr:row>3</xdr:row>
      <xdr:rowOff>178593</xdr:rowOff>
    </xdr:to>
    <xdr:cxnSp macro="">
      <xdr:nvCxnSpPr>
        <xdr:cNvPr id="1909" name="Match53">
          <a:extLst>
            <a:ext uri="{FF2B5EF4-FFF2-40B4-BE49-F238E27FC236}">
              <a16:creationId xmlns:a16="http://schemas.microsoft.com/office/drawing/2014/main" id="{40301519-F389-FE35-97FB-FCC26FAEA673}"/>
            </a:ext>
          </a:extLst>
        </xdr:cNvPr>
        <xdr:cNvCxnSpPr/>
      </xdr:nvCxnSpPr>
      <xdr:spPr>
        <a:xfrm flipV="1">
          <a:off x="635794" y="89296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237331</xdr:colOff>
      <xdr:row>7</xdr:row>
      <xdr:rowOff>203993</xdr:rowOff>
    </xdr:from>
    <xdr:to>
      <xdr:col>9</xdr:col>
      <xdr:colOff>237331</xdr:colOff>
      <xdr:row>7</xdr:row>
      <xdr:rowOff>203993</xdr:rowOff>
    </xdr:to>
    <xdr:cxnSp macro="">
      <xdr:nvCxnSpPr>
        <xdr:cNvPr id="1910" name="Match54">
          <a:extLst>
            <a:ext uri="{FF2B5EF4-FFF2-40B4-BE49-F238E27FC236}">
              <a16:creationId xmlns:a16="http://schemas.microsoft.com/office/drawing/2014/main" id="{FED6A4BE-4E52-6941-B452-BEBBC3CB82E8}"/>
            </a:ext>
          </a:extLst>
        </xdr:cNvPr>
        <xdr:cNvCxnSpPr/>
      </xdr:nvCxnSpPr>
      <xdr:spPr>
        <a:xfrm flipH="1">
          <a:off x="3628231" y="2704306"/>
          <a:ext cx="423863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8</xdr:row>
      <xdr:rowOff>178594</xdr:rowOff>
    </xdr:from>
    <xdr:to>
      <xdr:col>10</xdr:col>
      <xdr:colOff>211931</xdr:colOff>
      <xdr:row>9</xdr:row>
      <xdr:rowOff>178593</xdr:rowOff>
    </xdr:to>
    <xdr:cxnSp macro="">
      <xdr:nvCxnSpPr>
        <xdr:cNvPr id="1911" name="Match55">
          <a:extLst>
            <a:ext uri="{FF2B5EF4-FFF2-40B4-BE49-F238E27FC236}">
              <a16:creationId xmlns:a16="http://schemas.microsoft.com/office/drawing/2014/main" id="{52D47C26-C8FD-0184-FD30-F2F4084023C9}"/>
            </a:ext>
          </a:extLst>
        </xdr:cNvPr>
        <xdr:cNvCxnSpPr/>
      </xdr:nvCxnSpPr>
      <xdr:spPr>
        <a:xfrm flipH="1">
          <a:off x="4026694" y="3036094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11</xdr:row>
      <xdr:rowOff>178593</xdr:rowOff>
    </xdr:from>
    <xdr:to>
      <xdr:col>10</xdr:col>
      <xdr:colOff>211931</xdr:colOff>
      <xdr:row>11</xdr:row>
      <xdr:rowOff>178593</xdr:rowOff>
    </xdr:to>
    <xdr:cxnSp macro="">
      <xdr:nvCxnSpPr>
        <xdr:cNvPr id="1912" name="Match56">
          <a:extLst>
            <a:ext uri="{FF2B5EF4-FFF2-40B4-BE49-F238E27FC236}">
              <a16:creationId xmlns:a16="http://schemas.microsoft.com/office/drawing/2014/main" id="{04BF9827-1ADF-5207-E640-4BB526FC83CF}"/>
            </a:ext>
          </a:extLst>
        </xdr:cNvPr>
        <xdr:cNvCxnSpPr/>
      </xdr:nvCxnSpPr>
      <xdr:spPr>
        <a:xfrm flipH="1">
          <a:off x="4026694" y="4107656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237331</xdr:colOff>
      <xdr:row>10</xdr:row>
      <xdr:rowOff>203994</xdr:rowOff>
    </xdr:from>
    <xdr:to>
      <xdr:col>10</xdr:col>
      <xdr:colOff>237331</xdr:colOff>
      <xdr:row>11</xdr:row>
      <xdr:rowOff>203993</xdr:rowOff>
    </xdr:to>
    <xdr:cxnSp macro="">
      <xdr:nvCxnSpPr>
        <xdr:cNvPr id="1913" name="Match57">
          <a:extLst>
            <a:ext uri="{FF2B5EF4-FFF2-40B4-BE49-F238E27FC236}">
              <a16:creationId xmlns:a16="http://schemas.microsoft.com/office/drawing/2014/main" id="{509571C2-94C4-6C0F-8FC5-40A09684CC56}"/>
            </a:ext>
          </a:extLst>
        </xdr:cNvPr>
        <xdr:cNvCxnSpPr/>
      </xdr:nvCxnSpPr>
      <xdr:spPr>
        <a:xfrm flipH="1" flipV="1">
          <a:off x="4052094" y="3775869"/>
          <a:ext cx="423862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0</xdr:row>
      <xdr:rowOff>178594</xdr:rowOff>
    </xdr:from>
    <xdr:to>
      <xdr:col>10</xdr:col>
      <xdr:colOff>211931</xdr:colOff>
      <xdr:row>0</xdr:row>
      <xdr:rowOff>178594</xdr:rowOff>
    </xdr:to>
    <xdr:cxnSp macro="">
      <xdr:nvCxnSpPr>
        <xdr:cNvPr id="1914" name="Match58">
          <a:extLst>
            <a:ext uri="{FF2B5EF4-FFF2-40B4-BE49-F238E27FC236}">
              <a16:creationId xmlns:a16="http://schemas.microsoft.com/office/drawing/2014/main" id="{CF447173-A98E-9637-046F-76D462AC7963}"/>
            </a:ext>
          </a:extLst>
        </xdr:cNvPr>
        <xdr:cNvCxnSpPr/>
      </xdr:nvCxnSpPr>
      <xdr:spPr>
        <a:xfrm>
          <a:off x="4026694" y="178594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3</xdr:row>
      <xdr:rowOff>178593</xdr:rowOff>
    </xdr:from>
    <xdr:to>
      <xdr:col>2</xdr:col>
      <xdr:colOff>211931</xdr:colOff>
      <xdr:row>4</xdr:row>
      <xdr:rowOff>178594</xdr:rowOff>
    </xdr:to>
    <xdr:cxnSp macro="">
      <xdr:nvCxnSpPr>
        <xdr:cNvPr id="1915" name="Match59">
          <a:extLst>
            <a:ext uri="{FF2B5EF4-FFF2-40B4-BE49-F238E27FC236}">
              <a16:creationId xmlns:a16="http://schemas.microsoft.com/office/drawing/2014/main" id="{68EA43AE-7A9B-3FED-62BB-3E3066B702F4}"/>
            </a:ext>
          </a:extLst>
        </xdr:cNvPr>
        <xdr:cNvCxnSpPr/>
      </xdr:nvCxnSpPr>
      <xdr:spPr>
        <a:xfrm flipH="1">
          <a:off x="635794" y="1250156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4</xdr:row>
      <xdr:rowOff>178594</xdr:rowOff>
    </xdr:from>
    <xdr:to>
      <xdr:col>3</xdr:col>
      <xdr:colOff>211931</xdr:colOff>
      <xdr:row>5</xdr:row>
      <xdr:rowOff>178593</xdr:rowOff>
    </xdr:to>
    <xdr:cxnSp macro="">
      <xdr:nvCxnSpPr>
        <xdr:cNvPr id="1916" name="Match60">
          <a:extLst>
            <a:ext uri="{FF2B5EF4-FFF2-40B4-BE49-F238E27FC236}">
              <a16:creationId xmlns:a16="http://schemas.microsoft.com/office/drawing/2014/main" id="{4CD83971-6D6A-2634-446F-7AE2D9E41DBA}"/>
            </a:ext>
          </a:extLst>
        </xdr:cNvPr>
        <xdr:cNvCxnSpPr/>
      </xdr:nvCxnSpPr>
      <xdr:spPr>
        <a:xfrm>
          <a:off x="1059656" y="160734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237331</xdr:colOff>
      <xdr:row>4</xdr:row>
      <xdr:rowOff>203994</xdr:rowOff>
    </xdr:from>
    <xdr:to>
      <xdr:col>2</xdr:col>
      <xdr:colOff>237331</xdr:colOff>
      <xdr:row>4</xdr:row>
      <xdr:rowOff>203994</xdr:rowOff>
    </xdr:to>
    <xdr:cxnSp macro="">
      <xdr:nvCxnSpPr>
        <xdr:cNvPr id="1917" name="Match61">
          <a:extLst>
            <a:ext uri="{FF2B5EF4-FFF2-40B4-BE49-F238E27FC236}">
              <a16:creationId xmlns:a16="http://schemas.microsoft.com/office/drawing/2014/main" id="{F842146D-67D2-8C81-C827-0A788159FD9F}"/>
            </a:ext>
          </a:extLst>
        </xdr:cNvPr>
        <xdr:cNvCxnSpPr/>
      </xdr:nvCxnSpPr>
      <xdr:spPr>
        <a:xfrm flipH="1">
          <a:off x="661194" y="1632744"/>
          <a:ext cx="423862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7</xdr:row>
      <xdr:rowOff>178593</xdr:rowOff>
    </xdr:from>
    <xdr:to>
      <xdr:col>3</xdr:col>
      <xdr:colOff>211931</xdr:colOff>
      <xdr:row>8</xdr:row>
      <xdr:rowOff>178594</xdr:rowOff>
    </xdr:to>
    <xdr:cxnSp macro="">
      <xdr:nvCxnSpPr>
        <xdr:cNvPr id="1918" name="Match62">
          <a:extLst>
            <a:ext uri="{FF2B5EF4-FFF2-40B4-BE49-F238E27FC236}">
              <a16:creationId xmlns:a16="http://schemas.microsoft.com/office/drawing/2014/main" id="{A12B5414-219E-EBC0-9C93-1C210585B57C}"/>
            </a:ext>
          </a:extLst>
        </xdr:cNvPr>
        <xdr:cNvCxnSpPr/>
      </xdr:nvCxnSpPr>
      <xdr:spPr>
        <a:xfrm>
          <a:off x="1059656" y="2678906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7</xdr:row>
      <xdr:rowOff>178593</xdr:rowOff>
    </xdr:from>
    <xdr:to>
      <xdr:col>6</xdr:col>
      <xdr:colOff>211931</xdr:colOff>
      <xdr:row>7</xdr:row>
      <xdr:rowOff>178593</xdr:rowOff>
    </xdr:to>
    <xdr:cxnSp macro="">
      <xdr:nvCxnSpPr>
        <xdr:cNvPr id="1919" name="Match63">
          <a:extLst>
            <a:ext uri="{FF2B5EF4-FFF2-40B4-BE49-F238E27FC236}">
              <a16:creationId xmlns:a16="http://schemas.microsoft.com/office/drawing/2014/main" id="{AC2CF852-D98B-19DB-77FE-378EE907694D}"/>
            </a:ext>
          </a:extLst>
        </xdr:cNvPr>
        <xdr:cNvCxnSpPr/>
      </xdr:nvCxnSpPr>
      <xdr:spPr>
        <a:xfrm>
          <a:off x="2331244" y="2678906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237331</xdr:colOff>
      <xdr:row>7</xdr:row>
      <xdr:rowOff>203993</xdr:rowOff>
    </xdr:from>
    <xdr:to>
      <xdr:col>5</xdr:col>
      <xdr:colOff>237331</xdr:colOff>
      <xdr:row>8</xdr:row>
      <xdr:rowOff>203994</xdr:rowOff>
    </xdr:to>
    <xdr:cxnSp macro="">
      <xdr:nvCxnSpPr>
        <xdr:cNvPr id="1024" name="Match64">
          <a:extLst>
            <a:ext uri="{FF2B5EF4-FFF2-40B4-BE49-F238E27FC236}">
              <a16:creationId xmlns:a16="http://schemas.microsoft.com/office/drawing/2014/main" id="{D75C4E6B-0042-9464-FA39-D86F500F06D4}"/>
            </a:ext>
          </a:extLst>
        </xdr:cNvPr>
        <xdr:cNvCxnSpPr/>
      </xdr:nvCxnSpPr>
      <xdr:spPr>
        <a:xfrm>
          <a:off x="2356644" y="2704306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8</xdr:row>
      <xdr:rowOff>178594</xdr:rowOff>
    </xdr:from>
    <xdr:to>
      <xdr:col>8</xdr:col>
      <xdr:colOff>211931</xdr:colOff>
      <xdr:row>9</xdr:row>
      <xdr:rowOff>178593</xdr:rowOff>
    </xdr:to>
    <xdr:cxnSp macro="">
      <xdr:nvCxnSpPr>
        <xdr:cNvPr id="1025" name="Match65">
          <a:extLst>
            <a:ext uri="{FF2B5EF4-FFF2-40B4-BE49-F238E27FC236}">
              <a16:creationId xmlns:a16="http://schemas.microsoft.com/office/drawing/2014/main" id="{952E5C71-B4B2-7016-DF43-39A2490A237D}"/>
            </a:ext>
          </a:extLst>
        </xdr:cNvPr>
        <xdr:cNvCxnSpPr/>
      </xdr:nvCxnSpPr>
      <xdr:spPr>
        <a:xfrm>
          <a:off x="3178969" y="3036094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237331</xdr:colOff>
      <xdr:row>7</xdr:row>
      <xdr:rowOff>203993</xdr:rowOff>
    </xdr:from>
    <xdr:to>
      <xdr:col>7</xdr:col>
      <xdr:colOff>237331</xdr:colOff>
      <xdr:row>8</xdr:row>
      <xdr:rowOff>203994</xdr:rowOff>
    </xdr:to>
    <xdr:cxnSp macro="">
      <xdr:nvCxnSpPr>
        <xdr:cNvPr id="1026" name="Match66">
          <a:extLst>
            <a:ext uri="{FF2B5EF4-FFF2-40B4-BE49-F238E27FC236}">
              <a16:creationId xmlns:a16="http://schemas.microsoft.com/office/drawing/2014/main" id="{45181B14-E89F-B886-D1C2-7CA43F2AA716}"/>
            </a:ext>
          </a:extLst>
        </xdr:cNvPr>
        <xdr:cNvCxnSpPr/>
      </xdr:nvCxnSpPr>
      <xdr:spPr>
        <a:xfrm flipH="1" flipV="1">
          <a:off x="2780506" y="2704306"/>
          <a:ext cx="423863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237331</xdr:colOff>
      <xdr:row>9</xdr:row>
      <xdr:rowOff>203993</xdr:rowOff>
    </xdr:from>
    <xdr:to>
      <xdr:col>7</xdr:col>
      <xdr:colOff>237331</xdr:colOff>
      <xdr:row>10</xdr:row>
      <xdr:rowOff>203994</xdr:rowOff>
    </xdr:to>
    <xdr:cxnSp macro="">
      <xdr:nvCxnSpPr>
        <xdr:cNvPr id="1027" name="Match67">
          <a:extLst>
            <a:ext uri="{FF2B5EF4-FFF2-40B4-BE49-F238E27FC236}">
              <a16:creationId xmlns:a16="http://schemas.microsoft.com/office/drawing/2014/main" id="{5D0AA2DA-5F97-2103-D760-6A835E96C27C}"/>
            </a:ext>
          </a:extLst>
        </xdr:cNvPr>
        <xdr:cNvCxnSpPr/>
      </xdr:nvCxnSpPr>
      <xdr:spPr>
        <a:xfrm>
          <a:off x="2780506" y="3418681"/>
          <a:ext cx="423863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262731</xdr:colOff>
      <xdr:row>9</xdr:row>
      <xdr:rowOff>229393</xdr:rowOff>
    </xdr:from>
    <xdr:to>
      <xdr:col>6</xdr:col>
      <xdr:colOff>262731</xdr:colOff>
      <xdr:row>10</xdr:row>
      <xdr:rowOff>229394</xdr:rowOff>
    </xdr:to>
    <xdr:cxnSp macro="">
      <xdr:nvCxnSpPr>
        <xdr:cNvPr id="1028" name="Match68">
          <a:extLst>
            <a:ext uri="{FF2B5EF4-FFF2-40B4-BE49-F238E27FC236}">
              <a16:creationId xmlns:a16="http://schemas.microsoft.com/office/drawing/2014/main" id="{AA569759-E3D1-48F9-5A9B-5FDB61037153}"/>
            </a:ext>
          </a:extLst>
        </xdr:cNvPr>
        <xdr:cNvCxnSpPr/>
      </xdr:nvCxnSpPr>
      <xdr:spPr>
        <a:xfrm>
          <a:off x="2805906" y="3444081"/>
          <a:ext cx="0" cy="357188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288131</xdr:colOff>
      <xdr:row>9</xdr:row>
      <xdr:rowOff>254793</xdr:rowOff>
    </xdr:from>
    <xdr:to>
      <xdr:col>6</xdr:col>
      <xdr:colOff>288131</xdr:colOff>
      <xdr:row>9</xdr:row>
      <xdr:rowOff>254793</xdr:rowOff>
    </xdr:to>
    <xdr:cxnSp macro="">
      <xdr:nvCxnSpPr>
        <xdr:cNvPr id="1029" name="Match69">
          <a:extLst>
            <a:ext uri="{FF2B5EF4-FFF2-40B4-BE49-F238E27FC236}">
              <a16:creationId xmlns:a16="http://schemas.microsoft.com/office/drawing/2014/main" id="{63171EB6-B8D3-D134-37BA-B7F6ACE4F49D}"/>
            </a:ext>
          </a:extLst>
        </xdr:cNvPr>
        <xdr:cNvCxnSpPr/>
      </xdr:nvCxnSpPr>
      <xdr:spPr>
        <a:xfrm flipH="1">
          <a:off x="2407444" y="3469481"/>
          <a:ext cx="423862" cy="0"/>
        </a:xfrm>
        <a:prstGeom prst="line">
          <a:avLst/>
        </a:prstGeom>
        <a:ln w="25400">
          <a:solidFill>
            <a:srgbClr val="C382B4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313531</xdr:colOff>
      <xdr:row>8</xdr:row>
      <xdr:rowOff>280194</xdr:rowOff>
    </xdr:from>
    <xdr:to>
      <xdr:col>6</xdr:col>
      <xdr:colOff>313531</xdr:colOff>
      <xdr:row>9</xdr:row>
      <xdr:rowOff>280193</xdr:rowOff>
    </xdr:to>
    <xdr:cxnSp macro="">
      <xdr:nvCxnSpPr>
        <xdr:cNvPr id="1030" name="Match70">
          <a:extLst>
            <a:ext uri="{FF2B5EF4-FFF2-40B4-BE49-F238E27FC236}">
              <a16:creationId xmlns:a16="http://schemas.microsoft.com/office/drawing/2014/main" id="{FC6236BD-BDD2-6843-77AB-4939536A4E0D}"/>
            </a:ext>
          </a:extLst>
        </xdr:cNvPr>
        <xdr:cNvCxnSpPr/>
      </xdr:nvCxnSpPr>
      <xdr:spPr>
        <a:xfrm flipH="1" flipV="1">
          <a:off x="2432844" y="3137694"/>
          <a:ext cx="423862" cy="357187"/>
        </a:xfrm>
        <a:prstGeom prst="line">
          <a:avLst/>
        </a:prstGeom>
        <a:ln w="25400">
          <a:solidFill>
            <a:srgbClr val="AF8CBE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10</xdr:row>
      <xdr:rowOff>178594</xdr:rowOff>
    </xdr:from>
    <xdr:to>
      <xdr:col>4</xdr:col>
      <xdr:colOff>211931</xdr:colOff>
      <xdr:row>11</xdr:row>
      <xdr:rowOff>178593</xdr:rowOff>
    </xdr:to>
    <xdr:cxnSp macro="">
      <xdr:nvCxnSpPr>
        <xdr:cNvPr id="1031" name="Match71">
          <a:extLst>
            <a:ext uri="{FF2B5EF4-FFF2-40B4-BE49-F238E27FC236}">
              <a16:creationId xmlns:a16="http://schemas.microsoft.com/office/drawing/2014/main" id="{A17EA992-3448-A7A2-8E08-EC38E89A839B}"/>
            </a:ext>
          </a:extLst>
        </xdr:cNvPr>
        <xdr:cNvCxnSpPr/>
      </xdr:nvCxnSpPr>
      <xdr:spPr>
        <a:xfrm flipV="1">
          <a:off x="1907381" y="375046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1</xdr:row>
      <xdr:rowOff>178593</xdr:rowOff>
    </xdr:from>
    <xdr:to>
      <xdr:col>2</xdr:col>
      <xdr:colOff>211931</xdr:colOff>
      <xdr:row>4</xdr:row>
      <xdr:rowOff>178594</xdr:rowOff>
    </xdr:to>
    <xdr:cxnSp macro="">
      <xdr:nvCxnSpPr>
        <xdr:cNvPr id="1032" name="Match72">
          <a:extLst>
            <a:ext uri="{FF2B5EF4-FFF2-40B4-BE49-F238E27FC236}">
              <a16:creationId xmlns:a16="http://schemas.microsoft.com/office/drawing/2014/main" id="{A63BFCB6-EF05-48F8-55B7-533D372459A4}"/>
            </a:ext>
          </a:extLst>
        </xdr:cNvPr>
        <xdr:cNvCxnSpPr/>
      </xdr:nvCxnSpPr>
      <xdr:spPr>
        <a:xfrm>
          <a:off x="1059656" y="535781"/>
          <a:ext cx="0" cy="1071563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2</xdr:row>
      <xdr:rowOff>178594</xdr:rowOff>
    </xdr:from>
    <xdr:to>
      <xdr:col>3</xdr:col>
      <xdr:colOff>211931</xdr:colOff>
      <xdr:row>4</xdr:row>
      <xdr:rowOff>178594</xdr:rowOff>
    </xdr:to>
    <xdr:cxnSp macro="">
      <xdr:nvCxnSpPr>
        <xdr:cNvPr id="1033" name="Match73">
          <a:extLst>
            <a:ext uri="{FF2B5EF4-FFF2-40B4-BE49-F238E27FC236}">
              <a16:creationId xmlns:a16="http://schemas.microsoft.com/office/drawing/2014/main" id="{A63243B0-7F7E-8A36-1081-65A24A409E1B}"/>
            </a:ext>
          </a:extLst>
        </xdr:cNvPr>
        <xdr:cNvCxnSpPr/>
      </xdr:nvCxnSpPr>
      <xdr:spPr>
        <a:xfrm>
          <a:off x="1483519" y="892969"/>
          <a:ext cx="0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2</xdr:row>
      <xdr:rowOff>178594</xdr:rowOff>
    </xdr:from>
    <xdr:to>
      <xdr:col>3</xdr:col>
      <xdr:colOff>211931</xdr:colOff>
      <xdr:row>4</xdr:row>
      <xdr:rowOff>178594</xdr:rowOff>
    </xdr:to>
    <xdr:cxnSp macro="">
      <xdr:nvCxnSpPr>
        <xdr:cNvPr id="1034" name="Match74">
          <a:extLst>
            <a:ext uri="{FF2B5EF4-FFF2-40B4-BE49-F238E27FC236}">
              <a16:creationId xmlns:a16="http://schemas.microsoft.com/office/drawing/2014/main" id="{B6AC4B98-66D0-59F3-4304-49ED2E1D88CC}"/>
            </a:ext>
          </a:extLst>
        </xdr:cNvPr>
        <xdr:cNvCxnSpPr/>
      </xdr:nvCxnSpPr>
      <xdr:spPr>
        <a:xfrm flipV="1">
          <a:off x="1483519" y="892969"/>
          <a:ext cx="0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211931</xdr:colOff>
      <xdr:row>3</xdr:row>
      <xdr:rowOff>178593</xdr:rowOff>
    </xdr:from>
    <xdr:to>
      <xdr:col>11</xdr:col>
      <xdr:colOff>211931</xdr:colOff>
      <xdr:row>8</xdr:row>
      <xdr:rowOff>178594</xdr:rowOff>
    </xdr:to>
    <xdr:cxnSp macro="">
      <xdr:nvCxnSpPr>
        <xdr:cNvPr id="1035" name="Match75">
          <a:extLst>
            <a:ext uri="{FF2B5EF4-FFF2-40B4-BE49-F238E27FC236}">
              <a16:creationId xmlns:a16="http://schemas.microsoft.com/office/drawing/2014/main" id="{E52B403B-0ED5-3315-CFA5-2C76A0DEAFED}"/>
            </a:ext>
          </a:extLst>
        </xdr:cNvPr>
        <xdr:cNvCxnSpPr/>
      </xdr:nvCxnSpPr>
      <xdr:spPr>
        <a:xfrm flipV="1">
          <a:off x="4874419" y="1250156"/>
          <a:ext cx="0" cy="178593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1223963</xdr:colOff>
          <xdr:row>1</xdr:row>
          <xdr:rowOff>0</xdr:rowOff>
        </xdr:to>
        <xdr:sp macro="" textlink="">
          <xdr:nvSpPr>
            <xdr:cNvPr id="4100" name="CreateChart" descr="グラフ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グラフ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4102" name="CreateChart" descr="グラフ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ロード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0</xdr:rowOff>
        </xdr:from>
        <xdr:to>
          <xdr:col>3</xdr:col>
          <xdr:colOff>0</xdr:colOff>
          <xdr:row>1</xdr:row>
          <xdr:rowOff>0</xdr:rowOff>
        </xdr:to>
        <xdr:sp macro="" textlink="">
          <xdr:nvSpPr>
            <xdr:cNvPr id="4103" name="Button 7" descr="グラフ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再答え合わせ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0</xdr:colOff>
      <xdr:row>0</xdr:row>
      <xdr:rowOff>0</xdr:rowOff>
    </xdr:from>
    <xdr:to>
      <xdr:col>9</xdr:col>
      <xdr:colOff>338138</xdr:colOff>
      <xdr:row>1</xdr:row>
      <xdr:rowOff>2519362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2722597-B453-EE80-11FD-4BCFFBD2AA1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1</xdr:row>
          <xdr:rowOff>14288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セルを黄色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0</xdr:rowOff>
        </xdr:from>
        <xdr:to>
          <xdr:col>2</xdr:col>
          <xdr:colOff>0</xdr:colOff>
          <xdr:row>2</xdr:row>
          <xdr:rowOff>9525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線を引く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4D400-75B6-4216-B5C3-3F236A110556}">
  <sheetPr codeName="Sheet1"/>
  <dimension ref="A1:I16"/>
  <sheetViews>
    <sheetView zoomScaleNormal="100" workbookViewId="0"/>
  </sheetViews>
  <sheetFormatPr defaultRowHeight="17.649999999999999"/>
  <sheetData>
    <row r="1" spans="1:9" ht="28.35" customHeight="1">
      <c r="A1" t="s">
        <v>26</v>
      </c>
    </row>
    <row r="2" spans="1:9" ht="28.35" customHeight="1">
      <c r="A2" t="s">
        <v>27</v>
      </c>
    </row>
    <row r="3" spans="1:9" ht="28.35" customHeight="1"/>
    <row r="4" spans="1:9" ht="28.35" customHeight="1">
      <c r="A4" s="7" t="s">
        <v>28</v>
      </c>
      <c r="B4" s="7" t="s">
        <v>29</v>
      </c>
      <c r="C4" s="8"/>
      <c r="D4" s="9" t="s">
        <v>30</v>
      </c>
      <c r="E4" s="9"/>
      <c r="F4" s="7" t="s">
        <v>30</v>
      </c>
      <c r="G4" s="8"/>
      <c r="H4" s="7" t="s">
        <v>30</v>
      </c>
      <c r="I4" s="8"/>
    </row>
    <row r="5" spans="1:9" ht="28.35" customHeight="1">
      <c r="A5" s="10" t="s">
        <v>24</v>
      </c>
      <c r="B5" s="11" t="s">
        <v>9</v>
      </c>
      <c r="C5" s="8"/>
      <c r="D5" s="12" t="s">
        <v>24</v>
      </c>
      <c r="E5" s="12"/>
      <c r="F5" s="11"/>
      <c r="G5" s="13"/>
      <c r="H5" s="9"/>
      <c r="I5" s="8"/>
    </row>
    <row r="6" spans="1:9" ht="28.35" customHeight="1">
      <c r="A6" s="14"/>
      <c r="B6" s="15" t="s">
        <v>4</v>
      </c>
      <c r="C6" s="16"/>
      <c r="D6" s="12" t="s">
        <v>5</v>
      </c>
      <c r="E6" s="12"/>
      <c r="F6" s="11" t="s">
        <v>7</v>
      </c>
      <c r="G6" s="8"/>
      <c r="H6" s="12" t="s">
        <v>24</v>
      </c>
      <c r="I6" s="8"/>
    </row>
    <row r="7" spans="1:9" ht="28.35" customHeight="1">
      <c r="A7" s="14"/>
      <c r="B7" s="17"/>
      <c r="C7" s="18"/>
      <c r="D7" s="12" t="s">
        <v>6</v>
      </c>
      <c r="E7" s="12"/>
      <c r="F7" s="11" t="s">
        <v>7</v>
      </c>
      <c r="G7" s="8"/>
      <c r="H7" s="12" t="s">
        <v>24</v>
      </c>
      <c r="I7" s="8"/>
    </row>
    <row r="8" spans="1:9" ht="28.35" customHeight="1">
      <c r="A8" s="14"/>
      <c r="B8" s="15" t="s">
        <v>8</v>
      </c>
      <c r="C8" s="16"/>
      <c r="D8" s="12" t="s">
        <v>13</v>
      </c>
      <c r="E8" s="12"/>
      <c r="F8" s="11" t="s">
        <v>7</v>
      </c>
      <c r="G8" s="8"/>
      <c r="H8" s="12" t="s">
        <v>24</v>
      </c>
      <c r="I8" s="8"/>
    </row>
    <row r="9" spans="1:9" ht="28.35" customHeight="1">
      <c r="A9" s="19"/>
      <c r="B9" s="20"/>
      <c r="C9" s="18"/>
      <c r="D9" s="12" t="s">
        <v>14</v>
      </c>
      <c r="E9" s="12"/>
      <c r="F9" s="11" t="s">
        <v>7</v>
      </c>
      <c r="G9" s="8"/>
      <c r="H9" s="12" t="s">
        <v>24</v>
      </c>
      <c r="I9" s="8"/>
    </row>
    <row r="10" spans="1:9" ht="28.35" customHeight="1">
      <c r="A10" s="15" t="s">
        <v>25</v>
      </c>
      <c r="B10" s="11" t="s">
        <v>31</v>
      </c>
      <c r="C10" s="13"/>
      <c r="D10" s="12" t="s">
        <v>25</v>
      </c>
      <c r="E10" s="9"/>
      <c r="F10" s="7"/>
      <c r="G10" s="8"/>
      <c r="H10" s="9"/>
      <c r="I10" s="8"/>
    </row>
    <row r="11" spans="1:9" ht="28.35" customHeight="1">
      <c r="A11" s="21"/>
      <c r="B11" s="11" t="s">
        <v>40</v>
      </c>
      <c r="C11" s="13"/>
      <c r="D11" s="12" t="s">
        <v>24</v>
      </c>
      <c r="E11" s="9"/>
      <c r="F11" s="7"/>
      <c r="G11" s="8"/>
      <c r="H11" s="9"/>
      <c r="I11" s="8"/>
    </row>
    <row r="12" spans="1:9" ht="28.35" customHeight="1">
      <c r="A12" s="19"/>
      <c r="B12" s="11" t="s">
        <v>47</v>
      </c>
      <c r="C12" s="13"/>
      <c r="D12" s="12" t="s">
        <v>25</v>
      </c>
      <c r="E12" s="9"/>
      <c r="F12" s="7"/>
      <c r="G12" s="8"/>
      <c r="H12" s="9"/>
      <c r="I12" s="8"/>
    </row>
    <row r="13" spans="1:9" ht="28.35" customHeight="1"/>
    <row r="14" spans="1:9" ht="28.35" customHeight="1">
      <c r="B14" s="1" t="s">
        <v>41</v>
      </c>
      <c r="D14" s="1" t="s">
        <v>44</v>
      </c>
    </row>
    <row r="15" spans="1:9" ht="28.35" customHeight="1">
      <c r="D15" s="1" t="s">
        <v>46</v>
      </c>
    </row>
    <row r="16" spans="1:9" ht="28.35" customHeight="1">
      <c r="D16" s="1" t="s">
        <v>45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esetSheet">
                <anchor moveWithCells="1" sizeWithCells="1">
                  <from>
                    <xdr:col>9</xdr:col>
                    <xdr:colOff>685800</xdr:colOff>
                    <xdr:row>1</xdr:row>
                    <xdr:rowOff>14288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8D2D4-9038-45CC-A4FE-36F39C10CBF1}">
  <sheetPr codeName="Sheet2"/>
  <dimension ref="A1:O15"/>
  <sheetViews>
    <sheetView zoomScaleNormal="100" workbookViewId="0">
      <selection activeCell="L4" sqref="L4"/>
    </sheetView>
  </sheetViews>
  <sheetFormatPr defaultRowHeight="17.649999999999999"/>
  <cols>
    <col min="1" max="12" width="5.5625" style="1" customWidth="1"/>
    <col min="13" max="13" width="9" style="1"/>
    <col min="14" max="14" width="17.4375" style="1" customWidth="1"/>
    <col min="15" max="15" width="9" style="1" customWidth="1"/>
    <col min="16" max="16384" width="9" style="1"/>
  </cols>
  <sheetData>
    <row r="1" spans="1:15" ht="28.25" customHeight="1">
      <c r="A1" s="27">
        <v>6</v>
      </c>
      <c r="B1" s="23">
        <v>9</v>
      </c>
      <c r="C1" s="23">
        <v>9</v>
      </c>
      <c r="D1" s="23">
        <v>6</v>
      </c>
      <c r="E1" s="23">
        <v>9</v>
      </c>
      <c r="F1" s="23">
        <v>4</v>
      </c>
      <c r="G1" s="23">
        <v>8</v>
      </c>
      <c r="H1" s="27">
        <v>2</v>
      </c>
      <c r="I1" s="27">
        <v>1</v>
      </c>
      <c r="J1" s="23">
        <v>2</v>
      </c>
      <c r="K1" s="23">
        <v>3</v>
      </c>
      <c r="L1" s="23">
        <v>8</v>
      </c>
      <c r="N1" s="2">
        <v>2783433</v>
      </c>
      <c r="O1" s="1">
        <v>1</v>
      </c>
    </row>
    <row r="2" spans="1:15" s="2" customFormat="1" ht="28.25" customHeight="1">
      <c r="A2" s="23">
        <v>3</v>
      </c>
      <c r="B2" s="22">
        <v>8</v>
      </c>
      <c r="C2" s="22">
        <v>3</v>
      </c>
      <c r="D2" s="27">
        <v>1</v>
      </c>
      <c r="E2" s="23">
        <v>4</v>
      </c>
      <c r="F2" s="23">
        <v>8</v>
      </c>
      <c r="G2" s="27">
        <v>1</v>
      </c>
      <c r="H2" s="27">
        <v>2</v>
      </c>
      <c r="I2" s="27">
        <v>4</v>
      </c>
      <c r="J2" s="22">
        <v>7</v>
      </c>
      <c r="K2" s="27">
        <v>1</v>
      </c>
      <c r="L2" s="23">
        <v>9</v>
      </c>
      <c r="N2" s="2">
        <v>93</v>
      </c>
      <c r="O2" s="2">
        <v>19</v>
      </c>
    </row>
    <row r="3" spans="1:15" ht="28.25" customHeight="1">
      <c r="A3" s="27">
        <v>1</v>
      </c>
      <c r="B3" s="27">
        <v>7</v>
      </c>
      <c r="C3" s="22">
        <v>4</v>
      </c>
      <c r="D3" s="22">
        <v>4</v>
      </c>
      <c r="E3" s="23">
        <v>4</v>
      </c>
      <c r="F3" s="23">
        <v>6</v>
      </c>
      <c r="G3" s="27">
        <v>6</v>
      </c>
      <c r="H3" s="27">
        <v>1</v>
      </c>
      <c r="I3" s="27">
        <v>4</v>
      </c>
      <c r="J3" s="22">
        <v>1</v>
      </c>
      <c r="K3" s="23">
        <v>9</v>
      </c>
      <c r="L3" s="23">
        <v>6</v>
      </c>
      <c r="N3" s="2">
        <v>6533817</v>
      </c>
      <c r="O3" s="1">
        <v>1</v>
      </c>
    </row>
    <row r="4" spans="1:15" ht="28.25" customHeight="1">
      <c r="A4" s="23">
        <v>9</v>
      </c>
      <c r="B4" s="23">
        <v>6</v>
      </c>
      <c r="C4" s="22">
        <v>2</v>
      </c>
      <c r="D4" s="22">
        <v>9</v>
      </c>
      <c r="E4" s="23">
        <v>8</v>
      </c>
      <c r="F4" s="23">
        <v>3</v>
      </c>
      <c r="G4" s="23">
        <v>9</v>
      </c>
      <c r="H4" s="23">
        <v>8</v>
      </c>
      <c r="I4" s="27">
        <v>1</v>
      </c>
      <c r="J4" s="22">
        <v>8</v>
      </c>
      <c r="K4" s="23">
        <v>4</v>
      </c>
      <c r="L4" s="22">
        <v>8</v>
      </c>
      <c r="N4" s="2">
        <v>25342</v>
      </c>
      <c r="O4" s="1">
        <v>1</v>
      </c>
    </row>
    <row r="5" spans="1:15" ht="28.25" customHeight="1">
      <c r="A5" s="27">
        <v>6</v>
      </c>
      <c r="B5" s="23">
        <v>3</v>
      </c>
      <c r="C5" s="22">
        <v>2</v>
      </c>
      <c r="D5" s="22">
        <v>4</v>
      </c>
      <c r="E5" s="27">
        <v>7</v>
      </c>
      <c r="F5" s="23">
        <v>3</v>
      </c>
      <c r="G5" s="23">
        <v>9</v>
      </c>
      <c r="H5" s="23">
        <v>3</v>
      </c>
      <c r="I5" s="27">
        <v>5</v>
      </c>
      <c r="J5" s="22">
        <v>3</v>
      </c>
      <c r="K5" s="23">
        <v>8</v>
      </c>
      <c r="L5" s="22">
        <v>4</v>
      </c>
      <c r="N5" s="2">
        <v>8288</v>
      </c>
      <c r="O5" s="1">
        <v>1</v>
      </c>
    </row>
    <row r="6" spans="1:15" ht="28.25" customHeight="1">
      <c r="A6" s="27">
        <v>1</v>
      </c>
      <c r="B6" s="22">
        <v>9</v>
      </c>
      <c r="C6" s="27">
        <v>5</v>
      </c>
      <c r="D6" s="23">
        <v>3</v>
      </c>
      <c r="E6" s="22">
        <v>7</v>
      </c>
      <c r="F6" s="27">
        <v>1</v>
      </c>
      <c r="G6" s="22">
        <v>8</v>
      </c>
      <c r="H6" s="22">
        <v>3</v>
      </c>
      <c r="I6" s="23">
        <v>8</v>
      </c>
      <c r="J6" s="22">
        <v>3</v>
      </c>
      <c r="K6" s="23">
        <v>3</v>
      </c>
      <c r="L6" s="22">
        <v>7</v>
      </c>
      <c r="N6" s="2">
        <v>849</v>
      </c>
      <c r="O6" s="1">
        <v>5</v>
      </c>
    </row>
    <row r="7" spans="1:15" ht="28.25" customHeight="1">
      <c r="A7" s="23">
        <v>9</v>
      </c>
      <c r="B7" s="22">
        <v>4</v>
      </c>
      <c r="C7" s="22">
        <v>8</v>
      </c>
      <c r="D7" s="23">
        <v>8</v>
      </c>
      <c r="E7" s="22">
        <v>9</v>
      </c>
      <c r="F7" s="27">
        <v>6</v>
      </c>
      <c r="G7" s="23">
        <v>8</v>
      </c>
      <c r="H7" s="22">
        <v>9</v>
      </c>
      <c r="I7" s="27">
        <v>7</v>
      </c>
      <c r="J7" s="22">
        <v>5</v>
      </c>
      <c r="K7" s="23">
        <v>9</v>
      </c>
      <c r="L7" s="22">
        <v>6</v>
      </c>
      <c r="N7" s="2">
        <v>47697</v>
      </c>
      <c r="O7" s="1">
        <v>1</v>
      </c>
    </row>
    <row r="8" spans="1:15" ht="28.25" customHeight="1">
      <c r="A8" s="23">
        <v>4</v>
      </c>
      <c r="B8" s="22">
        <v>2</v>
      </c>
      <c r="C8" s="22">
        <v>2</v>
      </c>
      <c r="D8" s="27">
        <v>5</v>
      </c>
      <c r="E8" s="22">
        <v>6</v>
      </c>
      <c r="F8" s="23">
        <v>2</v>
      </c>
      <c r="G8" s="23">
        <v>3</v>
      </c>
      <c r="H8" s="27">
        <v>1</v>
      </c>
      <c r="I8" s="23">
        <v>4</v>
      </c>
      <c r="J8" s="22">
        <v>6</v>
      </c>
      <c r="K8" s="23">
        <v>9</v>
      </c>
      <c r="L8" s="22">
        <v>8</v>
      </c>
      <c r="N8" s="2">
        <v>89</v>
      </c>
      <c r="O8" s="1">
        <v>17</v>
      </c>
    </row>
    <row r="9" spans="1:15" ht="28.25" customHeight="1">
      <c r="A9" s="23">
        <v>2</v>
      </c>
      <c r="B9" s="27">
        <v>8</v>
      </c>
      <c r="C9" s="22">
        <v>8</v>
      </c>
      <c r="D9" s="23">
        <v>3</v>
      </c>
      <c r="E9" s="22">
        <v>7</v>
      </c>
      <c r="F9" s="23">
        <v>3</v>
      </c>
      <c r="G9" s="27">
        <v>1</v>
      </c>
      <c r="H9" s="23">
        <v>2</v>
      </c>
      <c r="I9" s="27">
        <v>1</v>
      </c>
      <c r="J9" s="23">
        <v>9</v>
      </c>
      <c r="K9" s="23">
        <v>6</v>
      </c>
      <c r="L9" s="22">
        <v>5</v>
      </c>
      <c r="N9" s="2">
        <v>54552</v>
      </c>
      <c r="O9" s="1">
        <v>1</v>
      </c>
    </row>
    <row r="10" spans="1:15" ht="28.25" customHeight="1">
      <c r="A10" s="27">
        <v>4</v>
      </c>
      <c r="B10" s="27">
        <v>7</v>
      </c>
      <c r="C10" s="22">
        <v>8</v>
      </c>
      <c r="D10" s="27">
        <v>8</v>
      </c>
      <c r="E10" s="22">
        <v>4</v>
      </c>
      <c r="F10" s="23">
        <v>3</v>
      </c>
      <c r="G10" s="22">
        <v>2</v>
      </c>
      <c r="H10" s="22">
        <v>5</v>
      </c>
      <c r="I10" s="22">
        <v>3</v>
      </c>
      <c r="J10" s="22">
        <v>4</v>
      </c>
      <c r="K10" s="22">
        <v>2</v>
      </c>
      <c r="L10" s="27">
        <v>7</v>
      </c>
      <c r="N10" s="2">
        <v>249</v>
      </c>
      <c r="O10" s="1">
        <v>2</v>
      </c>
    </row>
    <row r="11" spans="1:15" ht="28.25" customHeight="1">
      <c r="A11" s="27">
        <v>7</v>
      </c>
      <c r="B11" s="22">
        <v>2</v>
      </c>
      <c r="C11" s="22">
        <v>7</v>
      </c>
      <c r="D11" s="22">
        <v>8</v>
      </c>
      <c r="E11" s="22">
        <v>3</v>
      </c>
      <c r="F11" s="22">
        <v>4</v>
      </c>
      <c r="G11" s="22">
        <v>3</v>
      </c>
      <c r="H11" s="22">
        <v>3</v>
      </c>
      <c r="I11" s="27">
        <v>4</v>
      </c>
      <c r="J11" s="23">
        <v>4</v>
      </c>
      <c r="K11" s="27">
        <v>7</v>
      </c>
      <c r="L11" s="27">
        <v>8</v>
      </c>
      <c r="N11" s="2">
        <v>64</v>
      </c>
      <c r="O11" s="1">
        <v>9</v>
      </c>
    </row>
    <row r="12" spans="1:15" ht="28.25" customHeight="1">
      <c r="A12" s="27">
        <v>6</v>
      </c>
      <c r="B12" s="27">
        <v>6</v>
      </c>
      <c r="C12" s="27">
        <v>5</v>
      </c>
      <c r="D12" s="27">
        <v>7</v>
      </c>
      <c r="E12" s="22">
        <v>2</v>
      </c>
      <c r="F12" s="22">
        <v>5</v>
      </c>
      <c r="G12" s="22">
        <v>5</v>
      </c>
      <c r="H12" s="22">
        <v>4</v>
      </c>
      <c r="I12" s="22">
        <v>5</v>
      </c>
      <c r="J12" s="22">
        <v>4</v>
      </c>
      <c r="K12" s="22">
        <v>6</v>
      </c>
      <c r="L12" s="27">
        <v>6</v>
      </c>
      <c r="N12" s="2">
        <v>23</v>
      </c>
      <c r="O12" s="1">
        <v>14</v>
      </c>
    </row>
    <row r="13" spans="1:15" ht="28.25" customHeight="1">
      <c r="N13" s="2">
        <v>3422</v>
      </c>
      <c r="O13" s="1">
        <v>1</v>
      </c>
    </row>
    <row r="14" spans="1:15" ht="28.25" customHeight="1">
      <c r="N14" s="2">
        <v>494</v>
      </c>
      <c r="O14" s="1">
        <v>2</v>
      </c>
    </row>
    <row r="15" spans="1:15" ht="28.25" customHeight="1">
      <c r="N15" s="2">
        <v>586748</v>
      </c>
      <c r="O15" s="1">
        <v>1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4" name="CreateQuestion">
              <controlPr defaultSize="0" print="0" autoFill="0" autoPict="0" macro="[0]!CreateQuestion">
                <anchor moveWithCells="1">
                  <from>
                    <xdr:col>16</xdr:col>
                    <xdr:colOff>0</xdr:colOff>
                    <xdr:row>0</xdr:row>
                    <xdr:rowOff>4763</xdr:rowOff>
                  </from>
                  <to>
                    <xdr:col>17</xdr:col>
                    <xdr:colOff>676275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CheckAllMatches">
              <controlPr defaultSize="0" print="0" autoFill="0" autoPict="0" macro="[0]!CheckAllMatches">
                <anchor moveWithCells="1">
                  <from>
                    <xdr:col>16</xdr:col>
                    <xdr:colOff>9525</xdr:colOff>
                    <xdr:row>4</xdr:row>
                    <xdr:rowOff>0</xdr:rowOff>
                  </from>
                  <to>
                    <xdr:col>18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CheckSelectMatches">
              <controlPr defaultSize="0" print="0" autoFill="0" autoPict="0" macro="[0]!CheckSelectMatches">
                <anchor moveWithCells="1" sizeWithCells="1">
                  <from>
                    <xdr:col>16</xdr:col>
                    <xdr:colOff>0</xdr:colOff>
                    <xdr:row>5</xdr:row>
                    <xdr:rowOff>0</xdr:rowOff>
                  </from>
                  <to>
                    <xdr:col>18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7" name="ResetCheck">
              <controlPr defaultSize="0" print="0" autoFill="0" autoPict="0" macro="[0]!ResetCheck">
                <anchor moveWithCells="1" sizeWithCells="1">
                  <from>
                    <xdr:col>16</xdr:col>
                    <xdr:colOff>0</xdr:colOff>
                    <xdr:row>6</xdr:row>
                    <xdr:rowOff>0</xdr:rowOff>
                  </from>
                  <to>
                    <xdr:col>18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8" name="StartQuestion">
              <controlPr defaultSize="0" print="0" autoFill="0" autoPict="0" macro="[0]!StartQuestion">
                <anchor moveWithCells="1">
                  <from>
                    <xdr:col>16</xdr:col>
                    <xdr:colOff>0</xdr:colOff>
                    <xdr:row>2</xdr:row>
                    <xdr:rowOff>4763</xdr:rowOff>
                  </from>
                  <to>
                    <xdr:col>17</xdr:col>
                    <xdr:colOff>676275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9" name="AnserAllMatches">
              <controlPr defaultSize="0" print="0" autoFill="0" autoPict="0" macro="[0]!AnserAllMatches">
                <anchor moveWithCells="1">
                  <from>
                    <xdr:col>19</xdr:col>
                    <xdr:colOff>0</xdr:colOff>
                    <xdr:row>4</xdr:row>
                    <xdr:rowOff>0</xdr:rowOff>
                  </from>
                  <to>
                    <xdr:col>21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0" name="ResetAnser">
              <controlPr defaultSize="0" print="0" autoFill="0" autoPict="0" macro="[0]!ResetAnser">
                <anchor moveWithCells="1" sizeWithCells="1">
                  <from>
                    <xdr:col>19</xdr:col>
                    <xdr:colOff>0</xdr:colOff>
                    <xdr:row>6</xdr:row>
                    <xdr:rowOff>0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1" name="AnserSelectMatches">
              <controlPr defaultSize="0" print="0" autoFill="0" autoPict="0" macro="[0]!AnserSelectMatches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2" name="DisplayQuestion">
              <controlPr defaultSize="0" print="0" autoFill="0" autoPict="0" macro="[0]!DisplayQuestion">
                <anchor moveWithCells="1">
                  <from>
                    <xdr:col>19</xdr:col>
                    <xdr:colOff>0</xdr:colOff>
                    <xdr:row>2</xdr:row>
                    <xdr:rowOff>4763</xdr:rowOff>
                  </from>
                  <to>
                    <xdr:col>20</xdr:col>
                    <xdr:colOff>676275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3" name="PauseQuestion">
              <controlPr defaultSize="0" print="0" autoFill="0" autoPict="0" macro="[0]!PauseQuestion">
                <anchor moveWithCells="1">
                  <from>
                    <xdr:col>16</xdr:col>
                    <xdr:colOff>0</xdr:colOff>
                    <xdr:row>3</xdr:row>
                    <xdr:rowOff>4763</xdr:rowOff>
                  </from>
                  <to>
                    <xdr:col>17</xdr:col>
                    <xdr:colOff>676275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3C06D-1ED9-4ED1-AE6E-B533EAD988BF}">
  <sheetPr codeName="Sheet3"/>
  <dimension ref="A2:AI209"/>
  <sheetViews>
    <sheetView tabSelected="1" zoomScaleNormal="100" workbookViewId="0">
      <pane ySplit="2" topLeftCell="A203" activePane="bottomLeft" state="frozen"/>
      <selection pane="bottomLeft" activeCell="A209" sqref="A209"/>
    </sheetView>
  </sheetViews>
  <sheetFormatPr defaultRowHeight="17.649999999999999"/>
  <cols>
    <col min="1" max="1" width="16.0625" bestFit="1" customWidth="1"/>
    <col min="2" max="3" width="9" customWidth="1"/>
    <col min="7" max="7" width="10.5625" bestFit="1" customWidth="1"/>
    <col min="11" max="11" width="17.4375" customWidth="1"/>
    <col min="27" max="27" width="16.0625" bestFit="1" customWidth="1"/>
  </cols>
  <sheetData>
    <row r="2" spans="1:35" ht="246.75">
      <c r="A2" t="s">
        <v>0</v>
      </c>
      <c r="B2" s="4" t="s">
        <v>171</v>
      </c>
      <c r="C2" s="4" t="s">
        <v>172</v>
      </c>
      <c r="D2" s="4" t="s">
        <v>173</v>
      </c>
      <c r="E2" s="4" t="s">
        <v>174</v>
      </c>
      <c r="F2" s="4" t="s">
        <v>175</v>
      </c>
      <c r="G2" s="4" t="s">
        <v>10</v>
      </c>
      <c r="H2" s="4" t="s">
        <v>16</v>
      </c>
      <c r="I2" s="4" t="s">
        <v>15</v>
      </c>
      <c r="J2" s="4" t="s">
        <v>11</v>
      </c>
      <c r="K2" s="4" t="s">
        <v>438</v>
      </c>
      <c r="L2" s="4" t="s">
        <v>163</v>
      </c>
      <c r="M2" s="4" t="s">
        <v>250</v>
      </c>
      <c r="N2" s="4" t="s">
        <v>178</v>
      </c>
      <c r="O2" s="4" t="s">
        <v>179</v>
      </c>
      <c r="P2" s="4" t="s">
        <v>170</v>
      </c>
      <c r="Q2" s="4" t="s">
        <v>425</v>
      </c>
      <c r="AA2" t="s">
        <v>0</v>
      </c>
      <c r="AB2" s="4" t="s">
        <v>49</v>
      </c>
      <c r="AC2" s="4" t="s">
        <v>1</v>
      </c>
      <c r="AD2" s="4" t="s">
        <v>2</v>
      </c>
      <c r="AE2" s="4" t="s">
        <v>3</v>
      </c>
      <c r="AF2" s="4" t="s">
        <v>10</v>
      </c>
      <c r="AG2" s="4" t="s">
        <v>16</v>
      </c>
      <c r="AH2" s="4" t="s">
        <v>15</v>
      </c>
      <c r="AI2" s="4" t="s">
        <v>11</v>
      </c>
    </row>
    <row r="3" spans="1:35">
      <c r="A3" s="3">
        <v>45951.701574074075</v>
      </c>
      <c r="B3">
        <v>61</v>
      </c>
      <c r="C3">
        <v>16</v>
      </c>
      <c r="D3">
        <v>0</v>
      </c>
      <c r="E3">
        <v>17</v>
      </c>
      <c r="F3">
        <v>0</v>
      </c>
      <c r="G3" s="5">
        <v>1.4050925929041114E-2</v>
      </c>
      <c r="H3" t="s">
        <v>66</v>
      </c>
      <c r="I3" t="s">
        <v>48</v>
      </c>
      <c r="J3">
        <v>0</v>
      </c>
      <c r="Q3" s="5">
        <f>IF(B3="",NA(),G3)</f>
        <v>1.4050925929041114E-2</v>
      </c>
      <c r="AA3" s="3">
        <v>45951.701574074075</v>
      </c>
      <c r="AB3">
        <v>20</v>
      </c>
      <c r="AC3">
        <v>0</v>
      </c>
      <c r="AD3">
        <v>3</v>
      </c>
      <c r="AE3">
        <v>0</v>
      </c>
      <c r="AF3" s="5">
        <v>1.4050925929041114E-2</v>
      </c>
      <c r="AG3" t="s">
        <v>17</v>
      </c>
      <c r="AH3" t="s">
        <v>48</v>
      </c>
      <c r="AI3">
        <v>0</v>
      </c>
    </row>
    <row r="4" spans="1:35">
      <c r="A4" s="3">
        <v>45951.867650462962</v>
      </c>
      <c r="B4">
        <v>74</v>
      </c>
      <c r="C4">
        <v>10</v>
      </c>
      <c r="D4">
        <v>0</v>
      </c>
      <c r="E4">
        <v>0</v>
      </c>
      <c r="F4">
        <v>0</v>
      </c>
      <c r="G4" s="5">
        <v>1.0868055556784384E-2</v>
      </c>
      <c r="H4" t="s">
        <v>64</v>
      </c>
      <c r="I4" t="s">
        <v>65</v>
      </c>
      <c r="J4">
        <v>0</v>
      </c>
      <c r="Q4" s="5">
        <f t="shared" ref="Q4:Q67" si="0">IF(B4="",NA(),G4)</f>
        <v>1.0868055556784384E-2</v>
      </c>
      <c r="AA4" s="3">
        <v>45951.867650462962</v>
      </c>
      <c r="AB4">
        <v>19</v>
      </c>
      <c r="AC4">
        <v>0</v>
      </c>
      <c r="AD4">
        <v>0</v>
      </c>
      <c r="AE4">
        <v>0</v>
      </c>
      <c r="AF4" s="5">
        <v>1.0868055556784384E-2</v>
      </c>
      <c r="AG4" t="s">
        <v>18</v>
      </c>
      <c r="AH4" t="s">
        <v>19</v>
      </c>
      <c r="AI4">
        <v>0</v>
      </c>
    </row>
    <row r="5" spans="1:35">
      <c r="A5" s="3">
        <v>45952.483495370368</v>
      </c>
      <c r="B5">
        <v>42</v>
      </c>
      <c r="C5">
        <v>10</v>
      </c>
      <c r="D5">
        <v>0</v>
      </c>
      <c r="E5">
        <v>27</v>
      </c>
      <c r="F5">
        <v>0</v>
      </c>
      <c r="G5" s="5">
        <v>1.7534722217533272E-2</v>
      </c>
      <c r="H5" t="s">
        <v>62</v>
      </c>
      <c r="I5" t="s">
        <v>63</v>
      </c>
      <c r="J5">
        <v>0</v>
      </c>
      <c r="Q5" s="5">
        <f t="shared" si="0"/>
        <v>1.7534722217533272E-2</v>
      </c>
      <c r="AA5" s="3">
        <v>45952.483495370368</v>
      </c>
      <c r="AB5">
        <v>15</v>
      </c>
      <c r="AC5">
        <v>0</v>
      </c>
      <c r="AD5">
        <v>5</v>
      </c>
      <c r="AE5">
        <v>0</v>
      </c>
      <c r="AF5" s="5">
        <v>1.7534722217533272E-2</v>
      </c>
      <c r="AG5" t="s">
        <v>20</v>
      </c>
      <c r="AH5" t="s">
        <v>21</v>
      </c>
      <c r="AI5">
        <v>0</v>
      </c>
    </row>
    <row r="6" spans="1:35">
      <c r="A6" s="3">
        <v>45952.864699074074</v>
      </c>
      <c r="B6">
        <v>70</v>
      </c>
      <c r="C6">
        <v>32</v>
      </c>
      <c r="D6">
        <v>0</v>
      </c>
      <c r="E6">
        <v>4</v>
      </c>
      <c r="F6">
        <v>0</v>
      </c>
      <c r="G6" s="5">
        <v>1.9606481480877846E-2</v>
      </c>
      <c r="H6" t="s">
        <v>60</v>
      </c>
      <c r="I6" t="s">
        <v>61</v>
      </c>
      <c r="J6">
        <v>0</v>
      </c>
      <c r="Q6" s="5">
        <f t="shared" si="0"/>
        <v>1.9606481480877846E-2</v>
      </c>
      <c r="AA6" s="3">
        <v>45952.864699074074</v>
      </c>
      <c r="AB6">
        <v>29</v>
      </c>
      <c r="AC6">
        <v>0</v>
      </c>
      <c r="AD6">
        <v>1</v>
      </c>
      <c r="AE6">
        <v>0</v>
      </c>
      <c r="AF6" s="5">
        <v>1.9606481480877846E-2</v>
      </c>
      <c r="AG6" t="s">
        <v>22</v>
      </c>
      <c r="AH6" t="s">
        <v>23</v>
      </c>
      <c r="AI6">
        <v>0</v>
      </c>
    </row>
    <row r="7" spans="1:35">
      <c r="A7" s="3">
        <v>45953.849791666667</v>
      </c>
      <c r="B7">
        <v>53</v>
      </c>
      <c r="C7">
        <v>105</v>
      </c>
      <c r="D7">
        <v>0</v>
      </c>
      <c r="E7">
        <v>4</v>
      </c>
      <c r="F7">
        <v>0</v>
      </c>
      <c r="G7" s="5">
        <v>1.4953703706851229E-2</v>
      </c>
      <c r="H7" t="s">
        <v>58</v>
      </c>
      <c r="I7" t="s">
        <v>59</v>
      </c>
      <c r="J7">
        <v>0</v>
      </c>
      <c r="Q7" s="5">
        <f t="shared" si="0"/>
        <v>1.4953703706851229E-2</v>
      </c>
      <c r="AA7" s="3">
        <v>45953.849791666667</v>
      </c>
      <c r="AB7">
        <v>65</v>
      </c>
      <c r="AC7">
        <v>0</v>
      </c>
      <c r="AD7">
        <v>1</v>
      </c>
      <c r="AE7">
        <v>0</v>
      </c>
      <c r="AF7" s="5">
        <v>1.4953703706851229E-2</v>
      </c>
      <c r="AG7" t="s">
        <v>32</v>
      </c>
      <c r="AH7" t="s">
        <v>33</v>
      </c>
      <c r="AI7">
        <v>0</v>
      </c>
    </row>
    <row r="8" spans="1:35">
      <c r="A8" s="3">
        <v>45953.869490740741</v>
      </c>
      <c r="B8">
        <v>58</v>
      </c>
      <c r="C8">
        <v>82</v>
      </c>
      <c r="D8">
        <v>0</v>
      </c>
      <c r="E8">
        <v>3</v>
      </c>
      <c r="F8">
        <v>0</v>
      </c>
      <c r="G8" s="5">
        <v>1.8831018518540077E-2</v>
      </c>
      <c r="H8" t="s">
        <v>56</v>
      </c>
      <c r="I8" t="s">
        <v>57</v>
      </c>
      <c r="J8">
        <v>0</v>
      </c>
      <c r="Q8" s="5">
        <f t="shared" si="0"/>
        <v>1.8831018518540077E-2</v>
      </c>
      <c r="AA8" s="3">
        <v>45953.869490740741</v>
      </c>
      <c r="AB8">
        <v>54</v>
      </c>
      <c r="AC8">
        <v>0</v>
      </c>
      <c r="AD8">
        <v>1</v>
      </c>
      <c r="AE8">
        <v>0</v>
      </c>
      <c r="AF8" s="5">
        <v>1.8831018518540077E-2</v>
      </c>
      <c r="AG8" t="s">
        <v>34</v>
      </c>
      <c r="AH8" t="s">
        <v>35</v>
      </c>
      <c r="AI8">
        <v>0</v>
      </c>
    </row>
    <row r="9" spans="1:35">
      <c r="A9" s="3">
        <v>45954.406076388892</v>
      </c>
      <c r="B9">
        <v>50</v>
      </c>
      <c r="C9">
        <v>67</v>
      </c>
      <c r="D9">
        <v>0</v>
      </c>
      <c r="E9">
        <v>13</v>
      </c>
      <c r="F9">
        <v>0</v>
      </c>
      <c r="G9" s="5">
        <v>1.0740740741312038E-2</v>
      </c>
      <c r="H9" t="s">
        <v>54</v>
      </c>
      <c r="I9" t="s">
        <v>55</v>
      </c>
      <c r="J9">
        <v>0</v>
      </c>
      <c r="Q9" s="5">
        <f t="shared" si="0"/>
        <v>1.0740740741312038E-2</v>
      </c>
      <c r="AA9" s="3">
        <v>45954.406076388892</v>
      </c>
      <c r="AB9">
        <v>45</v>
      </c>
      <c r="AC9">
        <v>0</v>
      </c>
      <c r="AD9">
        <v>3</v>
      </c>
      <c r="AE9">
        <v>0</v>
      </c>
      <c r="AF9" s="5">
        <v>1.0740740741312038E-2</v>
      </c>
      <c r="AG9" t="s">
        <v>36</v>
      </c>
      <c r="AH9" t="s">
        <v>37</v>
      </c>
      <c r="AI9">
        <v>0</v>
      </c>
    </row>
    <row r="10" spans="1:35">
      <c r="A10" s="3">
        <v>45954.875092592592</v>
      </c>
      <c r="B10">
        <v>57</v>
      </c>
      <c r="C10">
        <v>66</v>
      </c>
      <c r="D10">
        <v>0</v>
      </c>
      <c r="E10">
        <v>7</v>
      </c>
      <c r="F10">
        <v>0</v>
      </c>
      <c r="G10" s="5">
        <v>2.0335648150648922E-2</v>
      </c>
      <c r="H10" t="s">
        <v>52</v>
      </c>
      <c r="I10" t="s">
        <v>53</v>
      </c>
      <c r="J10">
        <v>0</v>
      </c>
      <c r="Q10" s="5">
        <f t="shared" si="0"/>
        <v>2.0335648150648922E-2</v>
      </c>
      <c r="AA10" s="3">
        <v>45954.875092592592</v>
      </c>
      <c r="AB10">
        <v>43</v>
      </c>
      <c r="AC10">
        <v>0</v>
      </c>
      <c r="AD10">
        <v>2</v>
      </c>
      <c r="AE10">
        <v>0</v>
      </c>
      <c r="AF10" s="5">
        <v>2.0335648150648922E-2</v>
      </c>
      <c r="AG10" t="s">
        <v>38</v>
      </c>
      <c r="AH10" t="s">
        <v>39</v>
      </c>
      <c r="AI10">
        <v>0</v>
      </c>
    </row>
    <row r="11" spans="1:35">
      <c r="A11" s="3">
        <v>45956.6015625</v>
      </c>
      <c r="B11">
        <v>31</v>
      </c>
      <c r="C11">
        <v>14</v>
      </c>
      <c r="D11">
        <v>0</v>
      </c>
      <c r="E11">
        <v>29</v>
      </c>
      <c r="F11">
        <v>0</v>
      </c>
      <c r="G11" s="5">
        <v>1.4293981483206153E-2</v>
      </c>
      <c r="H11" t="s">
        <v>50</v>
      </c>
      <c r="I11" t="s">
        <v>51</v>
      </c>
      <c r="J11">
        <v>0</v>
      </c>
      <c r="Q11" s="5">
        <f t="shared" si="0"/>
        <v>1.4293981483206153E-2</v>
      </c>
    </row>
    <row r="12" spans="1:35">
      <c r="A12" s="3">
        <v>45958.470810185187</v>
      </c>
      <c r="B12">
        <v>60</v>
      </c>
      <c r="C12">
        <v>16</v>
      </c>
      <c r="D12">
        <v>0</v>
      </c>
      <c r="E12">
        <v>0</v>
      </c>
      <c r="F12">
        <v>0</v>
      </c>
      <c r="G12" s="5">
        <v>6.7708333372138441E-3</v>
      </c>
      <c r="H12" t="s">
        <v>67</v>
      </c>
      <c r="I12" t="s">
        <v>68</v>
      </c>
      <c r="J12">
        <v>0</v>
      </c>
      <c r="Q12" s="5">
        <f t="shared" si="0"/>
        <v>6.7708333372138441E-3</v>
      </c>
    </row>
    <row r="13" spans="1:35">
      <c r="A13" s="3">
        <v>45958.877384259256</v>
      </c>
      <c r="B13">
        <v>60</v>
      </c>
      <c r="C13">
        <v>10</v>
      </c>
      <c r="D13">
        <v>0</v>
      </c>
      <c r="E13">
        <v>0</v>
      </c>
      <c r="F13">
        <v>0</v>
      </c>
      <c r="G13" s="5">
        <v>1.0983796295477077E-2</v>
      </c>
      <c r="H13" t="s">
        <v>69</v>
      </c>
      <c r="I13" t="s">
        <v>70</v>
      </c>
      <c r="J13">
        <v>0</v>
      </c>
      <c r="Q13" s="5">
        <f t="shared" si="0"/>
        <v>1.0983796295477077E-2</v>
      </c>
    </row>
    <row r="14" spans="1:35">
      <c r="A14" s="3">
        <v>45960.297789351855</v>
      </c>
      <c r="B14">
        <v>60</v>
      </c>
      <c r="C14">
        <v>22</v>
      </c>
      <c r="D14">
        <v>0</v>
      </c>
      <c r="E14">
        <v>0</v>
      </c>
      <c r="F14">
        <v>0</v>
      </c>
      <c r="G14" s="5">
        <v>6.7592592604341917E-3</v>
      </c>
      <c r="H14" t="s">
        <v>71</v>
      </c>
      <c r="I14" t="s">
        <v>72</v>
      </c>
      <c r="J14">
        <v>0</v>
      </c>
      <c r="Q14" s="5">
        <f t="shared" si="0"/>
        <v>6.7592592604341917E-3</v>
      </c>
    </row>
    <row r="15" spans="1:35">
      <c r="A15" s="3">
        <v>45960.313784722224</v>
      </c>
      <c r="B15">
        <v>53</v>
      </c>
      <c r="C15">
        <v>26</v>
      </c>
      <c r="D15">
        <v>0</v>
      </c>
      <c r="E15">
        <v>7</v>
      </c>
      <c r="F15">
        <v>0</v>
      </c>
      <c r="G15" s="5">
        <v>1.5023148152977228E-2</v>
      </c>
      <c r="H15" t="s">
        <v>73</v>
      </c>
      <c r="I15" t="s">
        <v>74</v>
      </c>
      <c r="J15">
        <v>0</v>
      </c>
      <c r="Q15" s="5">
        <f t="shared" si="0"/>
        <v>1.5023148152977228E-2</v>
      </c>
    </row>
    <row r="16" spans="1:35">
      <c r="A16" s="3">
        <v>45963.852662037039</v>
      </c>
      <c r="B16">
        <v>60</v>
      </c>
      <c r="C16">
        <v>14</v>
      </c>
      <c r="D16">
        <v>0</v>
      </c>
      <c r="E16">
        <v>0</v>
      </c>
      <c r="F16">
        <v>0</v>
      </c>
      <c r="G16" s="5">
        <v>1.2187500004074536E-2</v>
      </c>
      <c r="H16" t="s">
        <v>75</v>
      </c>
      <c r="I16" t="s">
        <v>76</v>
      </c>
      <c r="J16">
        <v>0</v>
      </c>
      <c r="Q16" s="5">
        <f t="shared" si="0"/>
        <v>1.2187500004074536E-2</v>
      </c>
    </row>
    <row r="17" spans="1:17">
      <c r="A17" s="3">
        <v>45963.866400462961</v>
      </c>
      <c r="B17">
        <v>60</v>
      </c>
      <c r="C17">
        <v>34</v>
      </c>
      <c r="D17">
        <v>1</v>
      </c>
      <c r="E17">
        <v>0</v>
      </c>
      <c r="F17">
        <v>0</v>
      </c>
      <c r="G17" s="5">
        <v>1.2881944443506654E-2</v>
      </c>
      <c r="H17" t="s">
        <v>77</v>
      </c>
      <c r="I17" t="s">
        <v>78</v>
      </c>
      <c r="J17">
        <v>0</v>
      </c>
      <c r="Q17" s="5">
        <f t="shared" si="0"/>
        <v>1.2881944443506654E-2</v>
      </c>
    </row>
    <row r="18" spans="1:17">
      <c r="A18" s="3">
        <v>45964.374537037038</v>
      </c>
      <c r="B18">
        <v>55</v>
      </c>
      <c r="C18">
        <v>22</v>
      </c>
      <c r="D18">
        <v>1</v>
      </c>
      <c r="E18">
        <v>5</v>
      </c>
      <c r="F18">
        <v>0</v>
      </c>
      <c r="G18" s="5">
        <v>1.7210648147738539E-2</v>
      </c>
      <c r="H18" t="s">
        <v>79</v>
      </c>
      <c r="I18" t="s">
        <v>80</v>
      </c>
      <c r="J18">
        <v>0</v>
      </c>
      <c r="K18">
        <f>IF(A18&lt;DATEVALUE("2025/11/20")+TIMEVALUE("6:00"),1,IF(OR(B18&lt;&gt;60,SUM(D18:F18)&lt;&gt;0,G18&gt;=IF(A18&lt;DATEVALUE("2025/12/28")+TIMEVALUE("6:00"),20,18)/24/60),0,2-INT(G18*24*60/10)))</f>
        <v>1</v>
      </c>
      <c r="L18">
        <f>L17+K18</f>
        <v>1</v>
      </c>
      <c r="M18">
        <f t="shared" ref="M18" si="1">2+IF(A18&gt;=DATEVALUE("2025/11/30")+TIMEVALUE("6:00"),1,0)+IF(A18&gt;=DATEVALUE("2025/12/11")+TIMEVALUE("6:00"),1,0)</f>
        <v>2</v>
      </c>
      <c r="N18">
        <f t="shared" ref="N18" si="2">N17+M18*(INT(A18-6/24)-INT(A17-6/24))+O18</f>
        <v>2</v>
      </c>
      <c r="O18">
        <f>IF(A18&gt;=DATEVALUE("2025/11/8")+TIMEVALUE("6:00"),1,0)-IF(A17&gt;=DATEVALUE("2025/11/8")+TIMEVALUE("6:00"),1,0)</f>
        <v>0</v>
      </c>
      <c r="P18" t="str">
        <f>IF(L18&lt;N18,"未達成（"&amp;N18-L18&amp;"）",IF(L18=N18,"達成","前倒し（"&amp;L18-N18&amp;"）"))</f>
        <v>未達成（1）</v>
      </c>
      <c r="Q18" s="5">
        <f t="shared" si="0"/>
        <v>1.7210648147738539E-2</v>
      </c>
    </row>
    <row r="19" spans="1:17">
      <c r="A19" s="3">
        <v>45964.485486111109</v>
      </c>
      <c r="B19">
        <v>53</v>
      </c>
      <c r="C19">
        <v>20</v>
      </c>
      <c r="D19">
        <v>0</v>
      </c>
      <c r="E19">
        <v>7</v>
      </c>
      <c r="F19">
        <v>0</v>
      </c>
      <c r="G19" s="5">
        <v>1.5312499999708962E-2</v>
      </c>
      <c r="H19" t="s">
        <v>81</v>
      </c>
      <c r="I19" t="s">
        <v>82</v>
      </c>
      <c r="J19">
        <v>0</v>
      </c>
      <c r="K19">
        <f t="shared" ref="K19:K82" si="3">IF(A19&lt;DATEVALUE("2025/11/20")+TIMEVALUE("6:00"),1,IF(OR(B19&lt;&gt;60,SUM(D19:F19)&lt;&gt;0,G19&gt;=IF(A19&lt;DATEVALUE("2025/12/28")+TIMEVALUE("6:00"),20,18)/24/60),0,2-INT(G19*24*60/10)))</f>
        <v>1</v>
      </c>
      <c r="L19">
        <f t="shared" ref="L19:L82" si="4">L18+K19</f>
        <v>2</v>
      </c>
      <c r="M19">
        <f t="shared" ref="M19:M82" si="5">2+IF(A19&gt;=DATEVALUE("2025/11/30")+TIMEVALUE("6:00"),1,0)+IF(A19&gt;=DATEVALUE("2025/12/11")+TIMEVALUE("6:00"),1,0)</f>
        <v>2</v>
      </c>
      <c r="N19">
        <f t="shared" ref="N19:N82" si="6">N18+M19*(INT(A19-6/24)-INT(A18-6/24))+O19</f>
        <v>2</v>
      </c>
      <c r="O19">
        <f t="shared" ref="O19:O82" si="7">IF(A19&gt;=DATEVALUE("2025/11/8")+TIMEVALUE("6:00"),1,0)-IF(A18&gt;=DATEVALUE("2025/11/8")+TIMEVALUE("6:00"),1,0)</f>
        <v>0</v>
      </c>
      <c r="P19" t="str">
        <f t="shared" ref="P19:P82" si="8">IF(L19&lt;N19,"未達成（"&amp;N19-L19&amp;"）",IF(L19=N19,"達成","前倒し（"&amp;L19-N19&amp;"）"))</f>
        <v>達成</v>
      </c>
      <c r="Q19" s="5">
        <f t="shared" si="0"/>
        <v>1.5312499999708962E-2</v>
      </c>
    </row>
    <row r="20" spans="1:17">
      <c r="A20" s="3">
        <v>45965.688217592593</v>
      </c>
      <c r="B20">
        <v>60</v>
      </c>
      <c r="C20">
        <v>23</v>
      </c>
      <c r="D20">
        <v>0</v>
      </c>
      <c r="E20">
        <v>0</v>
      </c>
      <c r="F20">
        <v>0</v>
      </c>
      <c r="G20" s="5">
        <v>1.5277777776645962E-2</v>
      </c>
      <c r="H20" t="s">
        <v>83</v>
      </c>
      <c r="I20" t="s">
        <v>84</v>
      </c>
      <c r="J20">
        <v>0</v>
      </c>
      <c r="K20">
        <f t="shared" si="3"/>
        <v>1</v>
      </c>
      <c r="L20">
        <f t="shared" si="4"/>
        <v>3</v>
      </c>
      <c r="M20">
        <f t="shared" si="5"/>
        <v>2</v>
      </c>
      <c r="N20">
        <f t="shared" si="6"/>
        <v>4</v>
      </c>
      <c r="O20">
        <f t="shared" si="7"/>
        <v>0</v>
      </c>
      <c r="P20" t="str">
        <f t="shared" si="8"/>
        <v>未達成（1）</v>
      </c>
      <c r="Q20" s="5">
        <f t="shared" si="0"/>
        <v>1.5277777776645962E-2</v>
      </c>
    </row>
    <row r="21" spans="1:17">
      <c r="A21" s="3">
        <v>45965.84888888889</v>
      </c>
      <c r="B21">
        <v>60</v>
      </c>
      <c r="C21">
        <v>23</v>
      </c>
      <c r="D21">
        <v>0</v>
      </c>
      <c r="E21">
        <v>0</v>
      </c>
      <c r="F21">
        <v>0</v>
      </c>
      <c r="G21" s="5">
        <v>1.4004629629198462E-2</v>
      </c>
      <c r="H21" t="s">
        <v>85</v>
      </c>
      <c r="I21" t="s">
        <v>86</v>
      </c>
      <c r="J21">
        <v>0</v>
      </c>
      <c r="K21">
        <f t="shared" si="3"/>
        <v>1</v>
      </c>
      <c r="L21">
        <f t="shared" si="4"/>
        <v>4</v>
      </c>
      <c r="M21">
        <f t="shared" si="5"/>
        <v>2</v>
      </c>
      <c r="N21">
        <f t="shared" si="6"/>
        <v>4</v>
      </c>
      <c r="O21">
        <f t="shared" si="7"/>
        <v>0</v>
      </c>
      <c r="P21" t="str">
        <f t="shared" si="8"/>
        <v>達成</v>
      </c>
      <c r="Q21" s="5">
        <f t="shared" si="0"/>
        <v>1.4004629629198462E-2</v>
      </c>
    </row>
    <row r="22" spans="1:17">
      <c r="A22" s="3">
        <v>45966.436736111114</v>
      </c>
      <c r="B22">
        <v>56</v>
      </c>
      <c r="C22">
        <v>61</v>
      </c>
      <c r="D22">
        <v>0</v>
      </c>
      <c r="E22">
        <v>4</v>
      </c>
      <c r="F22">
        <v>0</v>
      </c>
      <c r="G22" s="5">
        <v>7.9398148154723458E-3</v>
      </c>
      <c r="H22" t="s">
        <v>87</v>
      </c>
      <c r="I22" t="s">
        <v>88</v>
      </c>
      <c r="J22">
        <v>0</v>
      </c>
      <c r="K22">
        <f t="shared" si="3"/>
        <v>1</v>
      </c>
      <c r="L22">
        <f t="shared" si="4"/>
        <v>5</v>
      </c>
      <c r="M22">
        <f t="shared" si="5"/>
        <v>2</v>
      </c>
      <c r="N22">
        <f t="shared" si="6"/>
        <v>6</v>
      </c>
      <c r="O22">
        <f t="shared" si="7"/>
        <v>0</v>
      </c>
      <c r="P22" t="str">
        <f t="shared" si="8"/>
        <v>未達成（1）</v>
      </c>
      <c r="Q22" s="5">
        <f t="shared" si="0"/>
        <v>7.9398148154723458E-3</v>
      </c>
    </row>
    <row r="23" spans="1:17">
      <c r="A23" s="3">
        <v>45966.85869212963</v>
      </c>
      <c r="B23">
        <v>60</v>
      </c>
      <c r="C23">
        <v>80</v>
      </c>
      <c r="D23">
        <v>0</v>
      </c>
      <c r="E23">
        <v>0</v>
      </c>
      <c r="F23">
        <v>0</v>
      </c>
      <c r="G23" s="5">
        <v>1.4085648152104113E-2</v>
      </c>
      <c r="H23" t="s">
        <v>89</v>
      </c>
      <c r="I23" t="s">
        <v>90</v>
      </c>
      <c r="J23">
        <v>0</v>
      </c>
      <c r="K23">
        <f t="shared" si="3"/>
        <v>1</v>
      </c>
      <c r="L23">
        <f t="shared" si="4"/>
        <v>6</v>
      </c>
      <c r="M23">
        <f t="shared" si="5"/>
        <v>2</v>
      </c>
      <c r="N23">
        <f t="shared" si="6"/>
        <v>6</v>
      </c>
      <c r="O23">
        <f t="shared" si="7"/>
        <v>0</v>
      </c>
      <c r="P23" t="str">
        <f t="shared" si="8"/>
        <v>達成</v>
      </c>
      <c r="Q23" s="5">
        <f t="shared" si="0"/>
        <v>1.4085648152104113E-2</v>
      </c>
    </row>
    <row r="24" spans="1:17">
      <c r="A24" s="3">
        <v>45967.811736111114</v>
      </c>
      <c r="B24">
        <v>60</v>
      </c>
      <c r="C24">
        <v>104</v>
      </c>
      <c r="D24">
        <v>0</v>
      </c>
      <c r="E24">
        <v>0</v>
      </c>
      <c r="F24">
        <v>0</v>
      </c>
      <c r="G24" s="5">
        <v>1.5046296299260575E-2</v>
      </c>
      <c r="H24" t="s">
        <v>91</v>
      </c>
      <c r="I24" t="s">
        <v>92</v>
      </c>
      <c r="J24">
        <v>0</v>
      </c>
      <c r="K24">
        <f t="shared" si="3"/>
        <v>1</v>
      </c>
      <c r="L24">
        <f t="shared" si="4"/>
        <v>7</v>
      </c>
      <c r="M24">
        <f t="shared" si="5"/>
        <v>2</v>
      </c>
      <c r="N24">
        <f t="shared" si="6"/>
        <v>8</v>
      </c>
      <c r="O24">
        <f t="shared" si="7"/>
        <v>0</v>
      </c>
      <c r="P24" t="str">
        <f t="shared" si="8"/>
        <v>未達成（1）</v>
      </c>
      <c r="Q24" s="5">
        <f t="shared" si="0"/>
        <v>1.5046296299260575E-2</v>
      </c>
    </row>
    <row r="25" spans="1:17">
      <c r="A25" s="3">
        <v>45967.82545138889</v>
      </c>
      <c r="B25">
        <v>60</v>
      </c>
      <c r="C25">
        <v>92</v>
      </c>
      <c r="D25">
        <v>0</v>
      </c>
      <c r="E25">
        <v>0</v>
      </c>
      <c r="F25">
        <v>0</v>
      </c>
      <c r="G25" s="5">
        <v>1.226851851970423E-2</v>
      </c>
      <c r="H25" t="s">
        <v>93</v>
      </c>
      <c r="I25" t="s">
        <v>94</v>
      </c>
      <c r="J25">
        <v>0</v>
      </c>
      <c r="K25">
        <f t="shared" si="3"/>
        <v>1</v>
      </c>
      <c r="L25">
        <f t="shared" si="4"/>
        <v>8</v>
      </c>
      <c r="M25">
        <f t="shared" si="5"/>
        <v>2</v>
      </c>
      <c r="N25">
        <f t="shared" si="6"/>
        <v>8</v>
      </c>
      <c r="O25">
        <f t="shared" si="7"/>
        <v>0</v>
      </c>
      <c r="P25" t="str">
        <f t="shared" si="8"/>
        <v>達成</v>
      </c>
      <c r="Q25" s="5">
        <f t="shared" si="0"/>
        <v>1.226851851970423E-2</v>
      </c>
    </row>
    <row r="26" spans="1:17">
      <c r="A26" s="3">
        <v>45968.850543981483</v>
      </c>
      <c r="B26">
        <v>60</v>
      </c>
      <c r="C26">
        <v>102</v>
      </c>
      <c r="D26">
        <v>0</v>
      </c>
      <c r="E26">
        <v>0</v>
      </c>
      <c r="F26">
        <v>0</v>
      </c>
      <c r="G26" s="5">
        <v>2.5509259263344575E-2</v>
      </c>
      <c r="H26" t="s">
        <v>95</v>
      </c>
      <c r="I26" t="s">
        <v>96</v>
      </c>
      <c r="J26">
        <v>0</v>
      </c>
      <c r="K26">
        <f t="shared" si="3"/>
        <v>1</v>
      </c>
      <c r="L26">
        <f t="shared" si="4"/>
        <v>9</v>
      </c>
      <c r="M26">
        <f t="shared" si="5"/>
        <v>2</v>
      </c>
      <c r="N26">
        <f t="shared" si="6"/>
        <v>10</v>
      </c>
      <c r="O26">
        <f t="shared" si="7"/>
        <v>0</v>
      </c>
      <c r="P26" t="str">
        <f t="shared" si="8"/>
        <v>未達成（1）</v>
      </c>
      <c r="Q26" s="5">
        <f t="shared" si="0"/>
        <v>2.5509259263344575E-2</v>
      </c>
    </row>
    <row r="27" spans="1:17">
      <c r="A27" s="3">
        <v>45968.864317129628</v>
      </c>
      <c r="B27">
        <v>60</v>
      </c>
      <c r="C27">
        <v>115</v>
      </c>
      <c r="D27">
        <v>0</v>
      </c>
      <c r="E27">
        <v>0</v>
      </c>
      <c r="F27">
        <v>0</v>
      </c>
      <c r="G27" s="5">
        <v>1.2974537035916001E-2</v>
      </c>
      <c r="H27" t="s">
        <v>97</v>
      </c>
      <c r="I27" t="s">
        <v>98</v>
      </c>
      <c r="J27">
        <v>0</v>
      </c>
      <c r="K27">
        <f t="shared" si="3"/>
        <v>1</v>
      </c>
      <c r="L27">
        <f t="shared" si="4"/>
        <v>10</v>
      </c>
      <c r="M27">
        <f t="shared" si="5"/>
        <v>2</v>
      </c>
      <c r="N27">
        <f t="shared" si="6"/>
        <v>10</v>
      </c>
      <c r="O27">
        <f t="shared" si="7"/>
        <v>0</v>
      </c>
      <c r="P27" t="str">
        <f t="shared" si="8"/>
        <v>達成</v>
      </c>
      <c r="Q27" s="5">
        <f t="shared" si="0"/>
        <v>1.2974537035916001E-2</v>
      </c>
    </row>
    <row r="28" spans="1:17">
      <c r="A28" s="3">
        <v>45969.555104166669</v>
      </c>
      <c r="B28">
        <v>55</v>
      </c>
      <c r="C28">
        <v>72</v>
      </c>
      <c r="D28">
        <v>0</v>
      </c>
      <c r="E28">
        <v>5</v>
      </c>
      <c r="F28">
        <v>0</v>
      </c>
      <c r="G28" s="5">
        <v>1.0231481486698613E-2</v>
      </c>
      <c r="H28" t="s">
        <v>99</v>
      </c>
      <c r="I28" t="s">
        <v>100</v>
      </c>
      <c r="J28">
        <v>0</v>
      </c>
      <c r="K28">
        <f t="shared" si="3"/>
        <v>1</v>
      </c>
      <c r="L28">
        <f t="shared" si="4"/>
        <v>11</v>
      </c>
      <c r="M28">
        <f t="shared" si="5"/>
        <v>2</v>
      </c>
      <c r="N28">
        <f t="shared" si="6"/>
        <v>13</v>
      </c>
      <c r="O28">
        <f t="shared" si="7"/>
        <v>1</v>
      </c>
      <c r="P28" t="str">
        <f t="shared" si="8"/>
        <v>未達成（2）</v>
      </c>
      <c r="Q28" s="5">
        <f t="shared" si="0"/>
        <v>1.0231481486698613E-2</v>
      </c>
    </row>
    <row r="29" spans="1:17">
      <c r="A29" s="3">
        <v>45969.845405092594</v>
      </c>
      <c r="B29">
        <v>60</v>
      </c>
      <c r="C29">
        <v>25</v>
      </c>
      <c r="D29">
        <v>0</v>
      </c>
      <c r="E29">
        <v>0</v>
      </c>
      <c r="F29">
        <v>0</v>
      </c>
      <c r="G29" s="5">
        <v>1.1145833334012423E-2</v>
      </c>
      <c r="H29" t="s">
        <v>101</v>
      </c>
      <c r="I29" t="s">
        <v>102</v>
      </c>
      <c r="J29">
        <v>0</v>
      </c>
      <c r="K29">
        <f t="shared" si="3"/>
        <v>1</v>
      </c>
      <c r="L29">
        <f t="shared" si="4"/>
        <v>12</v>
      </c>
      <c r="M29">
        <f t="shared" si="5"/>
        <v>2</v>
      </c>
      <c r="N29">
        <f t="shared" si="6"/>
        <v>13</v>
      </c>
      <c r="O29">
        <f t="shared" si="7"/>
        <v>0</v>
      </c>
      <c r="P29" t="str">
        <f t="shared" si="8"/>
        <v>未達成（1）</v>
      </c>
      <c r="Q29" s="5">
        <f t="shared" si="0"/>
        <v>1.1145833334012423E-2</v>
      </c>
    </row>
    <row r="30" spans="1:17">
      <c r="A30" s="3">
        <v>45969.862083333333</v>
      </c>
      <c r="B30">
        <v>60</v>
      </c>
      <c r="C30">
        <v>32</v>
      </c>
      <c r="D30">
        <v>0</v>
      </c>
      <c r="E30">
        <v>0</v>
      </c>
      <c r="F30">
        <v>0</v>
      </c>
      <c r="G30" s="5">
        <v>1.6215277777519077E-2</v>
      </c>
      <c r="H30" t="s">
        <v>103</v>
      </c>
      <c r="I30" t="s">
        <v>104</v>
      </c>
      <c r="J30">
        <v>0</v>
      </c>
      <c r="K30">
        <f t="shared" si="3"/>
        <v>1</v>
      </c>
      <c r="L30">
        <f t="shared" si="4"/>
        <v>13</v>
      </c>
      <c r="M30">
        <f t="shared" si="5"/>
        <v>2</v>
      </c>
      <c r="N30">
        <f t="shared" si="6"/>
        <v>13</v>
      </c>
      <c r="O30">
        <f t="shared" si="7"/>
        <v>0</v>
      </c>
      <c r="P30" t="str">
        <f t="shared" si="8"/>
        <v>達成</v>
      </c>
      <c r="Q30" s="5">
        <f t="shared" si="0"/>
        <v>1.6215277777519077E-2</v>
      </c>
    </row>
    <row r="31" spans="1:17">
      <c r="A31" s="3">
        <v>45970.704884259256</v>
      </c>
      <c r="B31">
        <v>60</v>
      </c>
      <c r="C31">
        <v>30</v>
      </c>
      <c r="D31">
        <v>0</v>
      </c>
      <c r="E31">
        <v>0</v>
      </c>
      <c r="F31">
        <v>0</v>
      </c>
      <c r="G31" s="5">
        <v>8.5648148087784648E-3</v>
      </c>
      <c r="H31" t="s">
        <v>105</v>
      </c>
      <c r="I31" t="s">
        <v>106</v>
      </c>
      <c r="J31">
        <v>0</v>
      </c>
      <c r="K31">
        <f t="shared" si="3"/>
        <v>1</v>
      </c>
      <c r="L31">
        <f t="shared" si="4"/>
        <v>14</v>
      </c>
      <c r="M31">
        <f t="shared" si="5"/>
        <v>2</v>
      </c>
      <c r="N31">
        <f t="shared" si="6"/>
        <v>15</v>
      </c>
      <c r="O31">
        <f t="shared" si="7"/>
        <v>0</v>
      </c>
      <c r="P31" t="str">
        <f t="shared" si="8"/>
        <v>未達成（1）</v>
      </c>
      <c r="Q31" s="5">
        <f t="shared" si="0"/>
        <v>8.5648148087784648E-3</v>
      </c>
    </row>
    <row r="32" spans="1:17">
      <c r="A32" s="3">
        <v>45970.721099537041</v>
      </c>
      <c r="B32">
        <v>60</v>
      </c>
      <c r="C32">
        <v>33</v>
      </c>
      <c r="D32">
        <v>0</v>
      </c>
      <c r="E32">
        <v>0</v>
      </c>
      <c r="F32">
        <v>0</v>
      </c>
      <c r="G32" s="5">
        <v>1.4189814821293112E-2</v>
      </c>
      <c r="H32" t="s">
        <v>107</v>
      </c>
      <c r="I32" t="s">
        <v>108</v>
      </c>
      <c r="J32">
        <v>0</v>
      </c>
      <c r="K32">
        <f t="shared" si="3"/>
        <v>1</v>
      </c>
      <c r="L32">
        <f t="shared" si="4"/>
        <v>15</v>
      </c>
      <c r="M32">
        <f t="shared" si="5"/>
        <v>2</v>
      </c>
      <c r="N32">
        <f t="shared" si="6"/>
        <v>15</v>
      </c>
      <c r="O32">
        <f t="shared" si="7"/>
        <v>0</v>
      </c>
      <c r="P32" t="str">
        <f t="shared" si="8"/>
        <v>達成</v>
      </c>
      <c r="Q32" s="5">
        <f t="shared" si="0"/>
        <v>1.4189814821293112E-2</v>
      </c>
    </row>
    <row r="33" spans="1:17">
      <c r="A33" s="3">
        <v>45971.832638888889</v>
      </c>
      <c r="B33">
        <v>56</v>
      </c>
      <c r="C33">
        <v>26</v>
      </c>
      <c r="D33">
        <v>0</v>
      </c>
      <c r="E33">
        <v>4</v>
      </c>
      <c r="F33">
        <v>0</v>
      </c>
      <c r="G33" s="5">
        <v>1.2141203704231884E-2</v>
      </c>
      <c r="H33" t="s">
        <v>109</v>
      </c>
      <c r="I33" t="s">
        <v>110</v>
      </c>
      <c r="J33">
        <v>0</v>
      </c>
      <c r="K33">
        <f t="shared" si="3"/>
        <v>1</v>
      </c>
      <c r="L33">
        <f t="shared" si="4"/>
        <v>16</v>
      </c>
      <c r="M33">
        <f t="shared" si="5"/>
        <v>2</v>
      </c>
      <c r="N33">
        <f t="shared" si="6"/>
        <v>17</v>
      </c>
      <c r="O33">
        <f t="shared" si="7"/>
        <v>0</v>
      </c>
      <c r="P33" t="str">
        <f t="shared" si="8"/>
        <v>未達成（1）</v>
      </c>
      <c r="Q33" s="5">
        <f t="shared" si="0"/>
        <v>1.2141203704231884E-2</v>
      </c>
    </row>
    <row r="34" spans="1:17">
      <c r="A34" s="3">
        <v>45971.844918981478</v>
      </c>
      <c r="B34">
        <v>60</v>
      </c>
      <c r="C34">
        <v>16</v>
      </c>
      <c r="D34">
        <v>0</v>
      </c>
      <c r="E34">
        <v>0</v>
      </c>
      <c r="F34">
        <v>0</v>
      </c>
      <c r="G34" s="5">
        <v>1.1770833327318542E-2</v>
      </c>
      <c r="H34" t="s">
        <v>111</v>
      </c>
      <c r="I34" t="s">
        <v>112</v>
      </c>
      <c r="J34">
        <v>0</v>
      </c>
      <c r="K34">
        <f t="shared" si="3"/>
        <v>1</v>
      </c>
      <c r="L34">
        <f t="shared" si="4"/>
        <v>17</v>
      </c>
      <c r="M34">
        <f t="shared" si="5"/>
        <v>2</v>
      </c>
      <c r="N34">
        <f t="shared" si="6"/>
        <v>17</v>
      </c>
      <c r="O34">
        <f t="shared" si="7"/>
        <v>0</v>
      </c>
      <c r="P34" t="str">
        <f t="shared" si="8"/>
        <v>達成</v>
      </c>
      <c r="Q34" s="5">
        <f t="shared" si="0"/>
        <v>1.1770833327318542E-2</v>
      </c>
    </row>
    <row r="35" spans="1:17">
      <c r="A35" s="3">
        <v>45972.780532407407</v>
      </c>
      <c r="B35">
        <v>60</v>
      </c>
      <c r="C35">
        <v>29</v>
      </c>
      <c r="D35">
        <v>0</v>
      </c>
      <c r="E35">
        <v>0</v>
      </c>
      <c r="F35">
        <v>0</v>
      </c>
      <c r="G35" s="5">
        <v>9.3750000014551915E-3</v>
      </c>
      <c r="H35" t="s">
        <v>113</v>
      </c>
      <c r="I35" t="s">
        <v>114</v>
      </c>
      <c r="J35">
        <v>0</v>
      </c>
      <c r="K35">
        <f t="shared" si="3"/>
        <v>1</v>
      </c>
      <c r="L35">
        <f t="shared" si="4"/>
        <v>18</v>
      </c>
      <c r="M35">
        <f t="shared" si="5"/>
        <v>2</v>
      </c>
      <c r="N35">
        <f t="shared" si="6"/>
        <v>19</v>
      </c>
      <c r="O35">
        <f t="shared" si="7"/>
        <v>0</v>
      </c>
      <c r="P35" t="str">
        <f t="shared" si="8"/>
        <v>未達成（1）</v>
      </c>
      <c r="Q35" s="5">
        <f t="shared" si="0"/>
        <v>9.3750000014551915E-3</v>
      </c>
    </row>
    <row r="36" spans="1:17">
      <c r="A36" s="3">
        <v>45972.793865740743</v>
      </c>
      <c r="B36">
        <v>60</v>
      </c>
      <c r="C36">
        <v>25</v>
      </c>
      <c r="D36">
        <v>0</v>
      </c>
      <c r="E36">
        <v>0</v>
      </c>
      <c r="F36">
        <v>0</v>
      </c>
      <c r="G36" s="5">
        <v>1.2557870373711921E-2</v>
      </c>
      <c r="H36" t="s">
        <v>115</v>
      </c>
      <c r="I36" t="s">
        <v>116</v>
      </c>
      <c r="J36">
        <v>0</v>
      </c>
      <c r="K36">
        <f t="shared" si="3"/>
        <v>1</v>
      </c>
      <c r="L36">
        <f t="shared" si="4"/>
        <v>19</v>
      </c>
      <c r="M36">
        <f t="shared" si="5"/>
        <v>2</v>
      </c>
      <c r="N36">
        <f t="shared" si="6"/>
        <v>19</v>
      </c>
      <c r="O36">
        <f t="shared" si="7"/>
        <v>0</v>
      </c>
      <c r="P36" t="str">
        <f t="shared" si="8"/>
        <v>達成</v>
      </c>
      <c r="Q36" s="5">
        <f t="shared" si="0"/>
        <v>1.2557870373711921E-2</v>
      </c>
    </row>
    <row r="37" spans="1:17">
      <c r="A37" s="3">
        <v>45973.843310185184</v>
      </c>
      <c r="B37">
        <v>55</v>
      </c>
      <c r="C37">
        <v>21</v>
      </c>
      <c r="D37">
        <v>0</v>
      </c>
      <c r="E37">
        <v>5</v>
      </c>
      <c r="F37">
        <v>3</v>
      </c>
      <c r="G37" s="5">
        <v>1.0891203703067731E-2</v>
      </c>
      <c r="H37" t="s">
        <v>119</v>
      </c>
      <c r="I37" t="s">
        <v>120</v>
      </c>
      <c r="J37">
        <v>0</v>
      </c>
      <c r="K37">
        <f t="shared" si="3"/>
        <v>1</v>
      </c>
      <c r="L37">
        <f t="shared" si="4"/>
        <v>20</v>
      </c>
      <c r="M37">
        <f t="shared" si="5"/>
        <v>2</v>
      </c>
      <c r="N37">
        <f t="shared" si="6"/>
        <v>21</v>
      </c>
      <c r="O37">
        <f t="shared" si="7"/>
        <v>0</v>
      </c>
      <c r="P37" t="str">
        <f t="shared" si="8"/>
        <v>未達成（1）</v>
      </c>
      <c r="Q37" s="5">
        <f t="shared" si="0"/>
        <v>1.0891203703067731E-2</v>
      </c>
    </row>
    <row r="38" spans="1:17">
      <c r="A38" s="3">
        <v>45973.856666666667</v>
      </c>
      <c r="B38">
        <v>60</v>
      </c>
      <c r="C38">
        <v>27</v>
      </c>
      <c r="D38">
        <v>0</v>
      </c>
      <c r="E38">
        <v>0</v>
      </c>
      <c r="F38">
        <v>0</v>
      </c>
      <c r="G38" s="5">
        <v>1.0324074071832001E-2</v>
      </c>
      <c r="H38" t="s">
        <v>117</v>
      </c>
      <c r="I38" t="s">
        <v>118</v>
      </c>
      <c r="J38">
        <v>0</v>
      </c>
      <c r="K38">
        <f t="shared" si="3"/>
        <v>1</v>
      </c>
      <c r="L38">
        <f t="shared" si="4"/>
        <v>21</v>
      </c>
      <c r="M38">
        <f t="shared" si="5"/>
        <v>2</v>
      </c>
      <c r="N38">
        <f t="shared" si="6"/>
        <v>21</v>
      </c>
      <c r="O38">
        <f t="shared" si="7"/>
        <v>0</v>
      </c>
      <c r="P38" t="str">
        <f t="shared" si="8"/>
        <v>達成</v>
      </c>
      <c r="Q38" s="5">
        <f t="shared" si="0"/>
        <v>1.0324074071832001E-2</v>
      </c>
    </row>
    <row r="39" spans="1:17">
      <c r="A39" s="3">
        <v>45975.317916666667</v>
      </c>
      <c r="B39">
        <v>60</v>
      </c>
      <c r="C39">
        <v>14</v>
      </c>
      <c r="D39">
        <v>0</v>
      </c>
      <c r="E39">
        <v>0</v>
      </c>
      <c r="F39">
        <v>0</v>
      </c>
      <c r="G39" s="5">
        <v>1.0081018517666962E-2</v>
      </c>
      <c r="H39" t="s">
        <v>121</v>
      </c>
      <c r="I39" t="s">
        <v>122</v>
      </c>
      <c r="J39">
        <v>0</v>
      </c>
      <c r="K39">
        <f t="shared" si="3"/>
        <v>1</v>
      </c>
      <c r="L39">
        <f t="shared" si="4"/>
        <v>22</v>
      </c>
      <c r="M39">
        <f t="shared" si="5"/>
        <v>2</v>
      </c>
      <c r="N39">
        <f t="shared" si="6"/>
        <v>25</v>
      </c>
      <c r="O39">
        <f t="shared" si="7"/>
        <v>0</v>
      </c>
      <c r="P39" t="str">
        <f t="shared" si="8"/>
        <v>未達成（3）</v>
      </c>
      <c r="Q39" s="5">
        <f t="shared" si="0"/>
        <v>1.0081018517666962E-2</v>
      </c>
    </row>
    <row r="40" spans="1:17">
      <c r="A40" s="3">
        <v>45975.32885416667</v>
      </c>
      <c r="B40">
        <v>60</v>
      </c>
      <c r="C40">
        <v>21</v>
      </c>
      <c r="D40">
        <v>0</v>
      </c>
      <c r="E40">
        <v>0</v>
      </c>
      <c r="F40">
        <v>0</v>
      </c>
      <c r="G40" s="5">
        <v>1.0335648148611654E-2</v>
      </c>
      <c r="H40" t="s">
        <v>123</v>
      </c>
      <c r="I40" t="s">
        <v>124</v>
      </c>
      <c r="J40">
        <v>0</v>
      </c>
      <c r="K40">
        <f t="shared" si="3"/>
        <v>1</v>
      </c>
      <c r="L40">
        <f t="shared" si="4"/>
        <v>23</v>
      </c>
      <c r="M40">
        <f t="shared" si="5"/>
        <v>2</v>
      </c>
      <c r="N40">
        <f t="shared" si="6"/>
        <v>25</v>
      </c>
      <c r="O40">
        <f t="shared" si="7"/>
        <v>0</v>
      </c>
      <c r="P40" t="str">
        <f t="shared" si="8"/>
        <v>未達成（2）</v>
      </c>
      <c r="Q40" s="5">
        <f t="shared" si="0"/>
        <v>1.0335648148611654E-2</v>
      </c>
    </row>
    <row r="41" spans="1:17">
      <c r="A41" s="3">
        <v>45976.853715277779</v>
      </c>
      <c r="B41">
        <v>60</v>
      </c>
      <c r="C41">
        <v>33</v>
      </c>
      <c r="D41">
        <v>0</v>
      </c>
      <c r="E41">
        <v>0</v>
      </c>
      <c r="F41">
        <v>0</v>
      </c>
      <c r="G41" s="5">
        <v>8.3912037080153823E-3</v>
      </c>
      <c r="H41" t="s">
        <v>125</v>
      </c>
      <c r="I41" t="s">
        <v>126</v>
      </c>
      <c r="J41">
        <v>0</v>
      </c>
      <c r="K41">
        <f t="shared" si="3"/>
        <v>1</v>
      </c>
      <c r="L41">
        <f t="shared" si="4"/>
        <v>24</v>
      </c>
      <c r="M41">
        <f t="shared" si="5"/>
        <v>2</v>
      </c>
      <c r="N41">
        <f t="shared" si="6"/>
        <v>27</v>
      </c>
      <c r="O41">
        <f t="shared" si="7"/>
        <v>0</v>
      </c>
      <c r="P41" t="str">
        <f t="shared" si="8"/>
        <v>未達成（3）</v>
      </c>
      <c r="Q41" s="5">
        <f t="shared" si="0"/>
        <v>8.3912037080153823E-3</v>
      </c>
    </row>
    <row r="42" spans="1:17">
      <c r="A42" s="3">
        <v>45976.862627314818</v>
      </c>
      <c r="B42">
        <v>60</v>
      </c>
      <c r="C42">
        <v>11</v>
      </c>
      <c r="D42">
        <v>0</v>
      </c>
      <c r="E42">
        <v>0</v>
      </c>
      <c r="F42">
        <v>0</v>
      </c>
      <c r="G42" s="5">
        <v>8.4722222236450762E-3</v>
      </c>
      <c r="H42" t="s">
        <v>127</v>
      </c>
      <c r="I42" t="s">
        <v>128</v>
      </c>
      <c r="J42">
        <v>0</v>
      </c>
      <c r="K42">
        <f t="shared" si="3"/>
        <v>1</v>
      </c>
      <c r="L42">
        <f t="shared" si="4"/>
        <v>25</v>
      </c>
      <c r="M42">
        <f t="shared" si="5"/>
        <v>2</v>
      </c>
      <c r="N42">
        <f t="shared" si="6"/>
        <v>27</v>
      </c>
      <c r="O42">
        <f t="shared" si="7"/>
        <v>0</v>
      </c>
      <c r="P42" t="str">
        <f t="shared" si="8"/>
        <v>未達成（2）</v>
      </c>
      <c r="Q42" s="5">
        <f t="shared" si="0"/>
        <v>8.4722222236450762E-3</v>
      </c>
    </row>
    <row r="43" spans="1:17">
      <c r="A43" s="3">
        <v>45977.309733796297</v>
      </c>
      <c r="B43">
        <v>60</v>
      </c>
      <c r="C43">
        <v>19</v>
      </c>
      <c r="D43">
        <v>0</v>
      </c>
      <c r="E43">
        <v>0</v>
      </c>
      <c r="F43">
        <v>0</v>
      </c>
      <c r="G43" s="5">
        <v>7.7546296306536533E-3</v>
      </c>
      <c r="H43" t="s">
        <v>129</v>
      </c>
      <c r="I43" t="s">
        <v>130</v>
      </c>
      <c r="J43">
        <v>0</v>
      </c>
      <c r="K43">
        <f t="shared" si="3"/>
        <v>1</v>
      </c>
      <c r="L43">
        <f t="shared" si="4"/>
        <v>26</v>
      </c>
      <c r="M43">
        <f t="shared" si="5"/>
        <v>2</v>
      </c>
      <c r="N43">
        <f t="shared" si="6"/>
        <v>29</v>
      </c>
      <c r="O43">
        <f t="shared" si="7"/>
        <v>0</v>
      </c>
      <c r="P43" t="str">
        <f t="shared" si="8"/>
        <v>未達成（3）</v>
      </c>
      <c r="Q43" s="5">
        <f t="shared" si="0"/>
        <v>7.7546296306536533E-3</v>
      </c>
    </row>
    <row r="44" spans="1:17">
      <c r="A44" s="3">
        <v>45977.319560185184</v>
      </c>
      <c r="B44">
        <v>60</v>
      </c>
      <c r="C44">
        <v>24</v>
      </c>
      <c r="D44">
        <v>0</v>
      </c>
      <c r="E44">
        <v>0</v>
      </c>
      <c r="F44">
        <v>0</v>
      </c>
      <c r="G44" s="5">
        <v>8.5300925929914229E-3</v>
      </c>
      <c r="H44" t="s">
        <v>131</v>
      </c>
      <c r="I44" t="s">
        <v>132</v>
      </c>
      <c r="J44">
        <v>0</v>
      </c>
      <c r="K44">
        <f t="shared" si="3"/>
        <v>1</v>
      </c>
      <c r="L44">
        <f t="shared" si="4"/>
        <v>27</v>
      </c>
      <c r="M44">
        <f t="shared" si="5"/>
        <v>2</v>
      </c>
      <c r="N44">
        <f t="shared" si="6"/>
        <v>29</v>
      </c>
      <c r="O44">
        <f t="shared" si="7"/>
        <v>0</v>
      </c>
      <c r="P44" t="str">
        <f t="shared" si="8"/>
        <v>未達成（2）</v>
      </c>
      <c r="Q44" s="5">
        <f t="shared" si="0"/>
        <v>8.5300925929914229E-3</v>
      </c>
    </row>
    <row r="45" spans="1:17">
      <c r="A45" s="3">
        <v>45977.560624999998</v>
      </c>
      <c r="B45">
        <v>60</v>
      </c>
      <c r="C45">
        <v>32</v>
      </c>
      <c r="D45">
        <v>0</v>
      </c>
      <c r="E45">
        <v>0</v>
      </c>
      <c r="F45">
        <v>0</v>
      </c>
      <c r="G45" s="5">
        <v>8.9004629626288079E-3</v>
      </c>
      <c r="H45" t="s">
        <v>133</v>
      </c>
      <c r="I45" t="s">
        <v>134</v>
      </c>
      <c r="J45">
        <v>0</v>
      </c>
      <c r="K45">
        <f t="shared" si="3"/>
        <v>1</v>
      </c>
      <c r="L45">
        <f t="shared" si="4"/>
        <v>28</v>
      </c>
      <c r="M45">
        <f t="shared" si="5"/>
        <v>2</v>
      </c>
      <c r="N45">
        <f t="shared" si="6"/>
        <v>29</v>
      </c>
      <c r="O45">
        <f t="shared" si="7"/>
        <v>0</v>
      </c>
      <c r="P45" t="str">
        <f t="shared" si="8"/>
        <v>未達成（1）</v>
      </c>
      <c r="Q45" s="5">
        <f t="shared" si="0"/>
        <v>8.9004629626288079E-3</v>
      </c>
    </row>
    <row r="46" spans="1:17">
      <c r="A46" s="3">
        <v>45977.569733796299</v>
      </c>
      <c r="B46">
        <v>60</v>
      </c>
      <c r="C46">
        <v>12</v>
      </c>
      <c r="D46">
        <v>0</v>
      </c>
      <c r="E46">
        <v>0</v>
      </c>
      <c r="F46">
        <v>0</v>
      </c>
      <c r="G46" s="5">
        <v>7.6967592613073066E-3</v>
      </c>
      <c r="H46" t="s">
        <v>135</v>
      </c>
      <c r="I46" t="s">
        <v>136</v>
      </c>
      <c r="J46">
        <v>0</v>
      </c>
      <c r="K46">
        <f t="shared" si="3"/>
        <v>1</v>
      </c>
      <c r="L46">
        <f t="shared" si="4"/>
        <v>29</v>
      </c>
      <c r="M46">
        <f t="shared" si="5"/>
        <v>2</v>
      </c>
      <c r="N46">
        <f t="shared" si="6"/>
        <v>29</v>
      </c>
      <c r="O46">
        <f t="shared" si="7"/>
        <v>0</v>
      </c>
      <c r="P46" t="str">
        <f t="shared" si="8"/>
        <v>達成</v>
      </c>
      <c r="Q46" s="5">
        <f t="shared" si="0"/>
        <v>7.6967592613073066E-3</v>
      </c>
    </row>
    <row r="47" spans="1:17">
      <c r="A47" s="3">
        <v>45977.856840277775</v>
      </c>
      <c r="B47">
        <v>60</v>
      </c>
      <c r="C47">
        <v>31</v>
      </c>
      <c r="D47">
        <v>0</v>
      </c>
      <c r="E47">
        <v>0</v>
      </c>
      <c r="F47">
        <v>0</v>
      </c>
      <c r="G47" s="5">
        <v>5.7870370364980772E-3</v>
      </c>
      <c r="H47" t="s">
        <v>137</v>
      </c>
      <c r="I47" t="s">
        <v>138</v>
      </c>
      <c r="J47">
        <v>0</v>
      </c>
      <c r="K47">
        <f t="shared" si="3"/>
        <v>1</v>
      </c>
      <c r="L47">
        <f t="shared" si="4"/>
        <v>30</v>
      </c>
      <c r="M47">
        <f t="shared" si="5"/>
        <v>2</v>
      </c>
      <c r="N47">
        <f t="shared" si="6"/>
        <v>29</v>
      </c>
      <c r="O47">
        <f t="shared" si="7"/>
        <v>0</v>
      </c>
      <c r="P47" t="str">
        <f t="shared" si="8"/>
        <v>前倒し（1）</v>
      </c>
      <c r="Q47" s="5">
        <f t="shared" si="0"/>
        <v>5.7870370364980772E-3</v>
      </c>
    </row>
    <row r="48" spans="1:17">
      <c r="A48" s="3">
        <v>45977.87672453704</v>
      </c>
      <c r="B48">
        <v>60</v>
      </c>
      <c r="C48">
        <v>28</v>
      </c>
      <c r="D48">
        <v>0</v>
      </c>
      <c r="E48">
        <v>0</v>
      </c>
      <c r="F48">
        <v>0</v>
      </c>
      <c r="G48" s="5">
        <v>7.291666668606922E-3</v>
      </c>
      <c r="H48" t="s">
        <v>139</v>
      </c>
      <c r="I48" t="s">
        <v>140</v>
      </c>
      <c r="J48">
        <v>0</v>
      </c>
      <c r="K48">
        <f t="shared" si="3"/>
        <v>1</v>
      </c>
      <c r="L48">
        <f t="shared" si="4"/>
        <v>31</v>
      </c>
      <c r="M48">
        <f t="shared" si="5"/>
        <v>2</v>
      </c>
      <c r="N48">
        <f t="shared" si="6"/>
        <v>29</v>
      </c>
      <c r="O48">
        <f t="shared" si="7"/>
        <v>0</v>
      </c>
      <c r="P48" t="str">
        <f t="shared" si="8"/>
        <v>前倒し（2）</v>
      </c>
      <c r="Q48" s="5">
        <f t="shared" si="0"/>
        <v>7.291666668606922E-3</v>
      </c>
    </row>
    <row r="49" spans="1:17">
      <c r="A49" s="3">
        <v>45978.468275462961</v>
      </c>
      <c r="B49">
        <v>60</v>
      </c>
      <c r="C49">
        <v>23</v>
      </c>
      <c r="D49">
        <v>0</v>
      </c>
      <c r="E49">
        <v>0</v>
      </c>
      <c r="F49">
        <v>0</v>
      </c>
      <c r="G49" s="5">
        <v>5.277777774608694E-3</v>
      </c>
      <c r="H49" t="s">
        <v>141</v>
      </c>
      <c r="I49" t="s">
        <v>142</v>
      </c>
      <c r="J49">
        <v>0</v>
      </c>
      <c r="K49">
        <f t="shared" si="3"/>
        <v>1</v>
      </c>
      <c r="L49">
        <f t="shared" si="4"/>
        <v>32</v>
      </c>
      <c r="M49">
        <f t="shared" si="5"/>
        <v>2</v>
      </c>
      <c r="N49">
        <f t="shared" si="6"/>
        <v>31</v>
      </c>
      <c r="O49">
        <f t="shared" si="7"/>
        <v>0</v>
      </c>
      <c r="P49" t="str">
        <f t="shared" si="8"/>
        <v>前倒し（1）</v>
      </c>
      <c r="Q49" s="5">
        <f t="shared" si="0"/>
        <v>5.277777774608694E-3</v>
      </c>
    </row>
    <row r="50" spans="1:17">
      <c r="A50" s="3">
        <v>45978.476666666669</v>
      </c>
      <c r="B50">
        <v>60</v>
      </c>
      <c r="C50">
        <v>18</v>
      </c>
      <c r="D50">
        <v>0</v>
      </c>
      <c r="E50">
        <v>0</v>
      </c>
      <c r="F50">
        <v>0</v>
      </c>
      <c r="G50" s="5">
        <v>6.8518518528435379E-3</v>
      </c>
      <c r="H50" t="s">
        <v>143</v>
      </c>
      <c r="I50" t="s">
        <v>144</v>
      </c>
      <c r="J50">
        <v>0</v>
      </c>
      <c r="K50">
        <f t="shared" si="3"/>
        <v>1</v>
      </c>
      <c r="L50">
        <f t="shared" si="4"/>
        <v>33</v>
      </c>
      <c r="M50">
        <f t="shared" si="5"/>
        <v>2</v>
      </c>
      <c r="N50">
        <f t="shared" si="6"/>
        <v>31</v>
      </c>
      <c r="O50">
        <f t="shared" si="7"/>
        <v>0</v>
      </c>
      <c r="P50" t="str">
        <f t="shared" si="8"/>
        <v>前倒し（2）</v>
      </c>
      <c r="Q50" s="5">
        <f t="shared" si="0"/>
        <v>6.8518518528435379E-3</v>
      </c>
    </row>
    <row r="51" spans="1:17">
      <c r="A51" s="3">
        <v>45978.71597222222</v>
      </c>
      <c r="B51">
        <v>60</v>
      </c>
      <c r="C51">
        <v>25</v>
      </c>
      <c r="D51">
        <v>0</v>
      </c>
      <c r="E51">
        <v>0</v>
      </c>
      <c r="F51">
        <v>0</v>
      </c>
      <c r="G51" s="5">
        <v>8.4027777775190771E-3</v>
      </c>
      <c r="H51" t="s">
        <v>145</v>
      </c>
      <c r="I51" t="s">
        <v>146</v>
      </c>
      <c r="J51">
        <v>0</v>
      </c>
      <c r="K51">
        <f t="shared" si="3"/>
        <v>1</v>
      </c>
      <c r="L51">
        <f t="shared" si="4"/>
        <v>34</v>
      </c>
      <c r="M51">
        <f t="shared" si="5"/>
        <v>2</v>
      </c>
      <c r="N51">
        <f t="shared" si="6"/>
        <v>31</v>
      </c>
      <c r="O51">
        <f t="shared" si="7"/>
        <v>0</v>
      </c>
      <c r="P51" t="str">
        <f t="shared" si="8"/>
        <v>前倒し（3）</v>
      </c>
      <c r="Q51" s="5">
        <f t="shared" si="0"/>
        <v>8.4027777775190771E-3</v>
      </c>
    </row>
    <row r="52" spans="1:17">
      <c r="A52" s="3">
        <v>45978.727893518517</v>
      </c>
      <c r="B52">
        <v>60</v>
      </c>
      <c r="C52">
        <v>28</v>
      </c>
      <c r="D52">
        <v>0</v>
      </c>
      <c r="E52">
        <v>0</v>
      </c>
      <c r="F52">
        <v>0</v>
      </c>
      <c r="G52" s="5">
        <v>1.1284722218988463E-2</v>
      </c>
      <c r="H52" t="s">
        <v>147</v>
      </c>
      <c r="I52" t="s">
        <v>148</v>
      </c>
      <c r="J52">
        <v>0</v>
      </c>
      <c r="K52">
        <f t="shared" si="3"/>
        <v>1</v>
      </c>
      <c r="L52">
        <f t="shared" si="4"/>
        <v>35</v>
      </c>
      <c r="M52">
        <f t="shared" si="5"/>
        <v>2</v>
      </c>
      <c r="N52">
        <f t="shared" si="6"/>
        <v>31</v>
      </c>
      <c r="O52">
        <f t="shared" si="7"/>
        <v>0</v>
      </c>
      <c r="P52" t="str">
        <f t="shared" si="8"/>
        <v>前倒し（4）</v>
      </c>
      <c r="Q52" s="5">
        <f t="shared" si="0"/>
        <v>1.1284722218988463E-2</v>
      </c>
    </row>
    <row r="53" spans="1:17">
      <c r="A53" s="3">
        <v>45980.706655092596</v>
      </c>
      <c r="B53">
        <v>60</v>
      </c>
      <c r="C53">
        <v>17</v>
      </c>
      <c r="D53">
        <v>0</v>
      </c>
      <c r="E53">
        <v>0</v>
      </c>
      <c r="F53">
        <v>0</v>
      </c>
      <c r="G53" s="5">
        <v>6.4004629675764591E-3</v>
      </c>
      <c r="H53" t="s">
        <v>149</v>
      </c>
      <c r="I53" t="s">
        <v>150</v>
      </c>
      <c r="J53">
        <v>0</v>
      </c>
      <c r="K53">
        <f t="shared" si="3"/>
        <v>1</v>
      </c>
      <c r="L53">
        <f t="shared" si="4"/>
        <v>36</v>
      </c>
      <c r="M53">
        <f t="shared" si="5"/>
        <v>2</v>
      </c>
      <c r="N53">
        <f t="shared" si="6"/>
        <v>35</v>
      </c>
      <c r="O53">
        <f t="shared" si="7"/>
        <v>0</v>
      </c>
      <c r="P53" t="str">
        <f t="shared" si="8"/>
        <v>前倒し（1）</v>
      </c>
      <c r="Q53" s="5">
        <f t="shared" si="0"/>
        <v>6.4004629675764591E-3</v>
      </c>
    </row>
    <row r="54" spans="1:17">
      <c r="A54" s="3">
        <v>45980.717303240737</v>
      </c>
      <c r="B54">
        <v>60</v>
      </c>
      <c r="C54">
        <v>18</v>
      </c>
      <c r="D54">
        <v>0</v>
      </c>
      <c r="E54">
        <v>0</v>
      </c>
      <c r="F54">
        <v>0</v>
      </c>
      <c r="G54" s="5">
        <v>1.0150462956517003E-2</v>
      </c>
      <c r="H54" t="s">
        <v>151</v>
      </c>
      <c r="I54" t="s">
        <v>152</v>
      </c>
      <c r="J54">
        <v>0</v>
      </c>
      <c r="K54">
        <f t="shared" si="3"/>
        <v>1</v>
      </c>
      <c r="L54">
        <f t="shared" si="4"/>
        <v>37</v>
      </c>
      <c r="M54">
        <f t="shared" si="5"/>
        <v>2</v>
      </c>
      <c r="N54">
        <f t="shared" si="6"/>
        <v>35</v>
      </c>
      <c r="O54">
        <f t="shared" si="7"/>
        <v>0</v>
      </c>
      <c r="P54" t="str">
        <f t="shared" si="8"/>
        <v>前倒し（2）</v>
      </c>
      <c r="Q54" s="5">
        <f t="shared" si="0"/>
        <v>1.0150462956517003E-2</v>
      </c>
    </row>
    <row r="55" spans="1:17">
      <c r="A55" s="3">
        <v>45981.721944444442</v>
      </c>
      <c r="B55">
        <v>60</v>
      </c>
      <c r="C55">
        <v>10</v>
      </c>
      <c r="D55">
        <v>0</v>
      </c>
      <c r="E55">
        <v>0</v>
      </c>
      <c r="F55">
        <v>0</v>
      </c>
      <c r="G55" s="5">
        <v>7.8125E-3</v>
      </c>
      <c r="H55" t="s">
        <v>153</v>
      </c>
      <c r="I55" t="s">
        <v>154</v>
      </c>
      <c r="J55">
        <v>0</v>
      </c>
      <c r="K55">
        <f t="shared" si="3"/>
        <v>1</v>
      </c>
      <c r="L55">
        <f t="shared" si="4"/>
        <v>38</v>
      </c>
      <c r="M55">
        <f t="shared" si="5"/>
        <v>2</v>
      </c>
      <c r="N55">
        <f t="shared" si="6"/>
        <v>37</v>
      </c>
      <c r="O55">
        <f t="shared" si="7"/>
        <v>0</v>
      </c>
      <c r="P55" t="str">
        <f t="shared" si="8"/>
        <v>前倒し（1）</v>
      </c>
      <c r="Q55" s="5">
        <f t="shared" si="0"/>
        <v>7.8125E-3</v>
      </c>
    </row>
    <row r="56" spans="1:17">
      <c r="A56" s="3">
        <v>45981.741168981483</v>
      </c>
      <c r="B56">
        <v>60</v>
      </c>
      <c r="C56">
        <v>16</v>
      </c>
      <c r="D56">
        <v>0</v>
      </c>
      <c r="E56">
        <v>0</v>
      </c>
      <c r="F56">
        <v>0</v>
      </c>
      <c r="G56" s="5">
        <v>1.8877314818382729E-2</v>
      </c>
      <c r="H56" t="s">
        <v>155</v>
      </c>
      <c r="I56" t="s">
        <v>156</v>
      </c>
      <c r="J56">
        <v>0</v>
      </c>
      <c r="K56">
        <f t="shared" si="3"/>
        <v>0</v>
      </c>
      <c r="L56">
        <f t="shared" si="4"/>
        <v>38</v>
      </c>
      <c r="M56">
        <f t="shared" si="5"/>
        <v>2</v>
      </c>
      <c r="N56">
        <f t="shared" si="6"/>
        <v>37</v>
      </c>
      <c r="O56">
        <f t="shared" si="7"/>
        <v>0</v>
      </c>
      <c r="P56" t="str">
        <f t="shared" si="8"/>
        <v>前倒し（1）</v>
      </c>
      <c r="Q56" s="5">
        <f t="shared" si="0"/>
        <v>1.8877314818382729E-2</v>
      </c>
    </row>
    <row r="57" spans="1:17">
      <c r="A57" s="3">
        <v>45982.730763888889</v>
      </c>
      <c r="B57">
        <v>60</v>
      </c>
      <c r="C57">
        <v>20</v>
      </c>
      <c r="D57">
        <v>0</v>
      </c>
      <c r="E57">
        <v>0</v>
      </c>
      <c r="F57">
        <v>0</v>
      </c>
      <c r="G57" s="5">
        <v>9.29398147854954E-3</v>
      </c>
      <c r="H57" t="s">
        <v>157</v>
      </c>
      <c r="I57" t="s">
        <v>158</v>
      </c>
      <c r="J57">
        <v>0</v>
      </c>
      <c r="K57">
        <f t="shared" si="3"/>
        <v>1</v>
      </c>
      <c r="L57">
        <f t="shared" si="4"/>
        <v>39</v>
      </c>
      <c r="M57">
        <f t="shared" si="5"/>
        <v>2</v>
      </c>
      <c r="N57">
        <f t="shared" si="6"/>
        <v>39</v>
      </c>
      <c r="O57">
        <f t="shared" si="7"/>
        <v>0</v>
      </c>
      <c r="P57" t="str">
        <f t="shared" si="8"/>
        <v>達成</v>
      </c>
      <c r="Q57" s="5">
        <f t="shared" si="0"/>
        <v>9.29398147854954E-3</v>
      </c>
    </row>
    <row r="58" spans="1:17">
      <c r="A58" s="3">
        <v>45983.588194444441</v>
      </c>
      <c r="B58">
        <v>60</v>
      </c>
      <c r="C58">
        <v>15</v>
      </c>
      <c r="D58">
        <v>0</v>
      </c>
      <c r="E58">
        <v>0</v>
      </c>
      <c r="F58">
        <v>0</v>
      </c>
      <c r="G58" s="5">
        <v>9.7453703638166189E-3</v>
      </c>
      <c r="H58" t="s">
        <v>159</v>
      </c>
      <c r="I58" t="s">
        <v>160</v>
      </c>
      <c r="J58">
        <v>0</v>
      </c>
      <c r="K58">
        <f t="shared" si="3"/>
        <v>1</v>
      </c>
      <c r="L58">
        <f t="shared" si="4"/>
        <v>40</v>
      </c>
      <c r="M58">
        <f t="shared" si="5"/>
        <v>2</v>
      </c>
      <c r="N58">
        <f t="shared" si="6"/>
        <v>41</v>
      </c>
      <c r="O58">
        <f t="shared" si="7"/>
        <v>0</v>
      </c>
      <c r="P58" t="str">
        <f t="shared" si="8"/>
        <v>未達成（1）</v>
      </c>
      <c r="Q58" s="5">
        <f t="shared" si="0"/>
        <v>9.7453703638166189E-3</v>
      </c>
    </row>
    <row r="59" spans="1:17">
      <c r="A59" s="3">
        <v>45983.599224537036</v>
      </c>
      <c r="B59">
        <v>60</v>
      </c>
      <c r="C59">
        <v>20</v>
      </c>
      <c r="D59">
        <v>0</v>
      </c>
      <c r="E59">
        <v>0</v>
      </c>
      <c r="F59">
        <v>0</v>
      </c>
      <c r="G59" s="5">
        <v>1.0347222218115348E-2</v>
      </c>
      <c r="H59" t="s">
        <v>161</v>
      </c>
      <c r="I59" t="s">
        <v>162</v>
      </c>
      <c r="J59">
        <v>0</v>
      </c>
      <c r="K59">
        <f t="shared" si="3"/>
        <v>1</v>
      </c>
      <c r="L59">
        <f t="shared" si="4"/>
        <v>41</v>
      </c>
      <c r="M59">
        <f t="shared" si="5"/>
        <v>2</v>
      </c>
      <c r="N59">
        <f t="shared" si="6"/>
        <v>41</v>
      </c>
      <c r="O59">
        <f t="shared" si="7"/>
        <v>0</v>
      </c>
      <c r="P59" t="str">
        <f t="shared" si="8"/>
        <v>達成</v>
      </c>
      <c r="Q59" s="5">
        <f t="shared" si="0"/>
        <v>1.0347222218115348E-2</v>
      </c>
    </row>
    <row r="60" spans="1:17">
      <c r="A60" s="3">
        <v>45985.354814814818</v>
      </c>
      <c r="B60">
        <v>60</v>
      </c>
      <c r="C60">
        <v>7</v>
      </c>
      <c r="D60">
        <v>0</v>
      </c>
      <c r="E60">
        <v>0</v>
      </c>
      <c r="F60">
        <v>0</v>
      </c>
      <c r="G60" s="5">
        <v>7.2453703760402277E-3</v>
      </c>
      <c r="H60" t="s">
        <v>164</v>
      </c>
      <c r="I60" t="s">
        <v>165</v>
      </c>
      <c r="J60">
        <v>0</v>
      </c>
      <c r="K60">
        <f t="shared" si="3"/>
        <v>1</v>
      </c>
      <c r="L60">
        <f t="shared" si="4"/>
        <v>42</v>
      </c>
      <c r="M60">
        <f t="shared" si="5"/>
        <v>2</v>
      </c>
      <c r="N60">
        <f t="shared" si="6"/>
        <v>45</v>
      </c>
      <c r="O60">
        <f t="shared" si="7"/>
        <v>0</v>
      </c>
      <c r="P60" t="str">
        <f t="shared" si="8"/>
        <v>未達成（3）</v>
      </c>
      <c r="Q60" s="5">
        <f t="shared" si="0"/>
        <v>7.2453703760402277E-3</v>
      </c>
    </row>
    <row r="61" spans="1:17">
      <c r="A61" s="3">
        <v>45985.363796296297</v>
      </c>
      <c r="B61">
        <v>54</v>
      </c>
      <c r="C61">
        <v>20</v>
      </c>
      <c r="D61">
        <v>0</v>
      </c>
      <c r="E61">
        <v>6</v>
      </c>
      <c r="F61">
        <v>0</v>
      </c>
      <c r="G61" s="5">
        <v>8.3101851851097308E-3</v>
      </c>
      <c r="H61" t="s">
        <v>166</v>
      </c>
      <c r="I61" t="s">
        <v>167</v>
      </c>
      <c r="J61">
        <v>0</v>
      </c>
      <c r="K61">
        <f t="shared" si="3"/>
        <v>0</v>
      </c>
      <c r="L61">
        <f t="shared" si="4"/>
        <v>42</v>
      </c>
      <c r="M61">
        <f t="shared" si="5"/>
        <v>2</v>
      </c>
      <c r="N61">
        <f t="shared" si="6"/>
        <v>45</v>
      </c>
      <c r="O61">
        <f t="shared" si="7"/>
        <v>0</v>
      </c>
      <c r="P61" t="str">
        <f t="shared" si="8"/>
        <v>未達成（3）</v>
      </c>
      <c r="Q61" s="5">
        <f t="shared" si="0"/>
        <v>8.3101851851097308E-3</v>
      </c>
    </row>
    <row r="62" spans="1:17">
      <c r="A62" s="3">
        <v>45985.538761574076</v>
      </c>
      <c r="B62">
        <v>60</v>
      </c>
      <c r="C62">
        <v>36</v>
      </c>
      <c r="D62">
        <v>1</v>
      </c>
      <c r="E62">
        <v>0</v>
      </c>
      <c r="F62">
        <v>0</v>
      </c>
      <c r="G62" s="5">
        <v>8.5069444467080757E-3</v>
      </c>
      <c r="H62" t="s">
        <v>168</v>
      </c>
      <c r="I62" t="s">
        <v>169</v>
      </c>
      <c r="J62">
        <v>0</v>
      </c>
      <c r="K62">
        <f t="shared" si="3"/>
        <v>0</v>
      </c>
      <c r="L62">
        <f t="shared" si="4"/>
        <v>42</v>
      </c>
      <c r="M62">
        <f t="shared" si="5"/>
        <v>2</v>
      </c>
      <c r="N62">
        <f t="shared" si="6"/>
        <v>45</v>
      </c>
      <c r="O62">
        <f t="shared" si="7"/>
        <v>0</v>
      </c>
      <c r="P62" t="str">
        <f t="shared" si="8"/>
        <v>未達成（3）</v>
      </c>
      <c r="Q62" s="5">
        <f t="shared" si="0"/>
        <v>8.5069444467080757E-3</v>
      </c>
    </row>
    <row r="63" spans="1:17">
      <c r="A63" s="3">
        <v>45985.598680555559</v>
      </c>
      <c r="B63">
        <v>60</v>
      </c>
      <c r="C63">
        <v>6</v>
      </c>
      <c r="D63">
        <v>0</v>
      </c>
      <c r="E63">
        <v>0</v>
      </c>
      <c r="F63">
        <v>0</v>
      </c>
      <c r="G63" s="5">
        <v>1.0196759263635613E-2</v>
      </c>
      <c r="H63" t="s">
        <v>176</v>
      </c>
      <c r="I63" t="s">
        <v>177</v>
      </c>
      <c r="J63">
        <v>0</v>
      </c>
      <c r="K63">
        <f t="shared" si="3"/>
        <v>1</v>
      </c>
      <c r="L63">
        <f t="shared" si="4"/>
        <v>43</v>
      </c>
      <c r="M63">
        <f t="shared" si="5"/>
        <v>2</v>
      </c>
      <c r="N63">
        <f t="shared" si="6"/>
        <v>45</v>
      </c>
      <c r="O63">
        <f t="shared" si="7"/>
        <v>0</v>
      </c>
      <c r="P63" t="str">
        <f t="shared" si="8"/>
        <v>未達成（2）</v>
      </c>
      <c r="Q63" s="5">
        <f t="shared" si="0"/>
        <v>1.0196759263635613E-2</v>
      </c>
    </row>
    <row r="64" spans="1:17">
      <c r="A64" s="3">
        <v>45985.709016203706</v>
      </c>
      <c r="B64">
        <v>60</v>
      </c>
      <c r="C64">
        <v>21</v>
      </c>
      <c r="D64">
        <v>0</v>
      </c>
      <c r="E64">
        <v>0</v>
      </c>
      <c r="F64">
        <v>0</v>
      </c>
      <c r="G64" s="5">
        <v>5.7175925976480357E-3</v>
      </c>
      <c r="H64" t="s">
        <v>180</v>
      </c>
      <c r="I64" t="s">
        <v>181</v>
      </c>
      <c r="J64">
        <v>0</v>
      </c>
      <c r="K64">
        <f t="shared" si="3"/>
        <v>2</v>
      </c>
      <c r="L64">
        <f t="shared" si="4"/>
        <v>45</v>
      </c>
      <c r="M64">
        <f t="shared" si="5"/>
        <v>2</v>
      </c>
      <c r="N64">
        <f t="shared" si="6"/>
        <v>45</v>
      </c>
      <c r="O64">
        <f t="shared" si="7"/>
        <v>0</v>
      </c>
      <c r="P64" t="str">
        <f t="shared" si="8"/>
        <v>達成</v>
      </c>
      <c r="Q64" s="5">
        <f t="shared" si="0"/>
        <v>5.7175925976480357E-3</v>
      </c>
    </row>
    <row r="65" spans="1:17">
      <c r="A65" s="3">
        <v>45986.535011574073</v>
      </c>
      <c r="B65">
        <v>60</v>
      </c>
      <c r="C65">
        <v>41</v>
      </c>
      <c r="D65">
        <v>0</v>
      </c>
      <c r="E65">
        <v>0</v>
      </c>
      <c r="F65">
        <v>0</v>
      </c>
      <c r="G65" s="5">
        <v>6.701388891087845E-3</v>
      </c>
      <c r="H65" t="s">
        <v>182</v>
      </c>
      <c r="I65" t="s">
        <v>183</v>
      </c>
      <c r="J65">
        <v>0</v>
      </c>
      <c r="K65">
        <f t="shared" si="3"/>
        <v>2</v>
      </c>
      <c r="L65">
        <f t="shared" si="4"/>
        <v>47</v>
      </c>
      <c r="M65">
        <f t="shared" si="5"/>
        <v>2</v>
      </c>
      <c r="N65">
        <f t="shared" si="6"/>
        <v>47</v>
      </c>
      <c r="O65">
        <f t="shared" si="7"/>
        <v>0</v>
      </c>
      <c r="P65" t="str">
        <f t="shared" si="8"/>
        <v>達成</v>
      </c>
      <c r="Q65" s="5">
        <f t="shared" si="0"/>
        <v>6.701388891087845E-3</v>
      </c>
    </row>
    <row r="66" spans="1:17">
      <c r="A66" s="3">
        <v>45987.58321759259</v>
      </c>
      <c r="B66">
        <v>57</v>
      </c>
      <c r="C66">
        <v>20</v>
      </c>
      <c r="D66">
        <v>0</v>
      </c>
      <c r="E66">
        <v>3</v>
      </c>
      <c r="F66">
        <v>2</v>
      </c>
      <c r="G66" s="5">
        <v>7.696759254031349E-3</v>
      </c>
      <c r="H66" t="s">
        <v>184</v>
      </c>
      <c r="I66" t="s">
        <v>185</v>
      </c>
      <c r="J66">
        <v>0</v>
      </c>
      <c r="K66">
        <f t="shared" si="3"/>
        <v>0</v>
      </c>
      <c r="L66">
        <f t="shared" si="4"/>
        <v>47</v>
      </c>
      <c r="M66">
        <f t="shared" si="5"/>
        <v>2</v>
      </c>
      <c r="N66">
        <f t="shared" si="6"/>
        <v>49</v>
      </c>
      <c r="O66">
        <f t="shared" si="7"/>
        <v>0</v>
      </c>
      <c r="P66" t="str">
        <f t="shared" si="8"/>
        <v>未達成（2）</v>
      </c>
      <c r="Q66" s="5">
        <f t="shared" si="0"/>
        <v>7.696759254031349E-3</v>
      </c>
    </row>
    <row r="67" spans="1:17">
      <c r="A67" s="3">
        <v>45987.616712962961</v>
      </c>
      <c r="B67">
        <v>60</v>
      </c>
      <c r="C67">
        <v>28</v>
      </c>
      <c r="D67">
        <v>0</v>
      </c>
      <c r="E67">
        <v>0</v>
      </c>
      <c r="F67">
        <v>0</v>
      </c>
      <c r="G67" s="5">
        <v>6.6782407375285402E-3</v>
      </c>
      <c r="H67" t="s">
        <v>186</v>
      </c>
      <c r="I67" t="s">
        <v>187</v>
      </c>
      <c r="J67">
        <v>0</v>
      </c>
      <c r="K67">
        <f t="shared" si="3"/>
        <v>2</v>
      </c>
      <c r="L67">
        <f t="shared" si="4"/>
        <v>49</v>
      </c>
      <c r="M67">
        <f t="shared" si="5"/>
        <v>2</v>
      </c>
      <c r="N67">
        <f t="shared" si="6"/>
        <v>49</v>
      </c>
      <c r="O67">
        <f t="shared" si="7"/>
        <v>0</v>
      </c>
      <c r="P67" t="str">
        <f t="shared" si="8"/>
        <v>達成</v>
      </c>
      <c r="Q67" s="5">
        <f t="shared" si="0"/>
        <v>6.6782407375285402E-3</v>
      </c>
    </row>
    <row r="68" spans="1:17">
      <c r="A68" s="3">
        <v>45988.290625000001</v>
      </c>
      <c r="B68">
        <v>60</v>
      </c>
      <c r="C68">
        <v>25</v>
      </c>
      <c r="D68">
        <v>0</v>
      </c>
      <c r="E68">
        <v>0</v>
      </c>
      <c r="F68">
        <v>0</v>
      </c>
      <c r="G68" s="5">
        <v>1.0150462963792961E-2</v>
      </c>
      <c r="H68" t="s">
        <v>188</v>
      </c>
      <c r="I68" t="s">
        <v>189</v>
      </c>
      <c r="J68">
        <v>0</v>
      </c>
      <c r="K68">
        <f t="shared" si="3"/>
        <v>1</v>
      </c>
      <c r="L68">
        <f t="shared" si="4"/>
        <v>50</v>
      </c>
      <c r="M68">
        <f t="shared" si="5"/>
        <v>2</v>
      </c>
      <c r="N68">
        <f t="shared" si="6"/>
        <v>51</v>
      </c>
      <c r="O68">
        <f t="shared" si="7"/>
        <v>0</v>
      </c>
      <c r="P68" t="str">
        <f t="shared" si="8"/>
        <v>未達成（1）</v>
      </c>
      <c r="Q68" s="5">
        <f t="shared" ref="Q68:Q131" si="9">IF(B68="",NA(),G68)</f>
        <v>1.0150462963792961E-2</v>
      </c>
    </row>
    <row r="69" spans="1:17">
      <c r="A69" s="3">
        <v>45988.529618055552</v>
      </c>
      <c r="B69">
        <v>60</v>
      </c>
      <c r="C69">
        <v>21</v>
      </c>
      <c r="D69">
        <v>0</v>
      </c>
      <c r="E69">
        <v>0</v>
      </c>
      <c r="F69">
        <v>0</v>
      </c>
      <c r="G69" s="5">
        <v>1.7013888886140194E-2</v>
      </c>
      <c r="H69" t="s">
        <v>190</v>
      </c>
      <c r="I69" t="s">
        <v>191</v>
      </c>
      <c r="J69">
        <v>0</v>
      </c>
      <c r="K69">
        <f t="shared" si="3"/>
        <v>0</v>
      </c>
      <c r="L69">
        <f t="shared" si="4"/>
        <v>50</v>
      </c>
      <c r="M69">
        <f t="shared" si="5"/>
        <v>2</v>
      </c>
      <c r="N69">
        <f t="shared" si="6"/>
        <v>51</v>
      </c>
      <c r="O69">
        <f t="shared" si="7"/>
        <v>0</v>
      </c>
      <c r="P69" t="str">
        <f t="shared" si="8"/>
        <v>未達成（1）</v>
      </c>
      <c r="Q69" s="5">
        <f t="shared" si="9"/>
        <v>1.7013888886140194E-2</v>
      </c>
    </row>
    <row r="70" spans="1:17">
      <c r="A70" s="3">
        <v>45988.852812500001</v>
      </c>
      <c r="B70">
        <v>60</v>
      </c>
      <c r="C70">
        <v>31</v>
      </c>
      <c r="D70">
        <v>0</v>
      </c>
      <c r="E70">
        <v>0</v>
      </c>
      <c r="F70">
        <v>0</v>
      </c>
      <c r="G70" s="5">
        <v>1.0983796295477077E-2</v>
      </c>
      <c r="H70" t="s">
        <v>192</v>
      </c>
      <c r="I70" t="s">
        <v>193</v>
      </c>
      <c r="J70">
        <v>0</v>
      </c>
      <c r="K70">
        <f t="shared" si="3"/>
        <v>1</v>
      </c>
      <c r="L70">
        <f t="shared" si="4"/>
        <v>51</v>
      </c>
      <c r="M70">
        <f t="shared" si="5"/>
        <v>2</v>
      </c>
      <c r="N70">
        <f t="shared" si="6"/>
        <v>51</v>
      </c>
      <c r="O70">
        <f t="shared" si="7"/>
        <v>0</v>
      </c>
      <c r="P70" t="str">
        <f t="shared" si="8"/>
        <v>達成</v>
      </c>
      <c r="Q70" s="5">
        <f t="shared" si="9"/>
        <v>1.0983796295477077E-2</v>
      </c>
    </row>
    <row r="71" spans="1:17">
      <c r="A71" s="3">
        <v>45989.291273148148</v>
      </c>
      <c r="B71">
        <v>53</v>
      </c>
      <c r="C71">
        <v>13</v>
      </c>
      <c r="D71">
        <v>0</v>
      </c>
      <c r="E71">
        <v>7</v>
      </c>
      <c r="F71">
        <v>0</v>
      </c>
      <c r="G71" s="5">
        <v>7.9861111080390401E-3</v>
      </c>
      <c r="H71" t="s">
        <v>194</v>
      </c>
      <c r="I71" t="s">
        <v>195</v>
      </c>
      <c r="J71">
        <v>0</v>
      </c>
      <c r="K71">
        <f t="shared" si="3"/>
        <v>0</v>
      </c>
      <c r="L71">
        <f t="shared" si="4"/>
        <v>51</v>
      </c>
      <c r="M71">
        <f t="shared" si="5"/>
        <v>2</v>
      </c>
      <c r="N71">
        <f t="shared" si="6"/>
        <v>53</v>
      </c>
      <c r="O71">
        <f t="shared" si="7"/>
        <v>0</v>
      </c>
      <c r="P71" t="str">
        <f t="shared" si="8"/>
        <v>未達成（2）</v>
      </c>
      <c r="Q71" s="5">
        <f t="shared" si="9"/>
        <v>7.9861111080390401E-3</v>
      </c>
    </row>
    <row r="72" spans="1:17">
      <c r="A72" s="3">
        <v>45989.299722222226</v>
      </c>
      <c r="B72">
        <v>60</v>
      </c>
      <c r="C72">
        <v>42</v>
      </c>
      <c r="D72">
        <v>0</v>
      </c>
      <c r="E72">
        <v>0</v>
      </c>
      <c r="F72">
        <v>0</v>
      </c>
      <c r="G72" s="5">
        <v>7.6967592613073066E-3</v>
      </c>
      <c r="H72" t="s">
        <v>196</v>
      </c>
      <c r="I72" t="s">
        <v>197</v>
      </c>
      <c r="J72">
        <v>0</v>
      </c>
      <c r="K72">
        <f t="shared" si="3"/>
        <v>1</v>
      </c>
      <c r="L72">
        <f t="shared" si="4"/>
        <v>52</v>
      </c>
      <c r="M72">
        <f t="shared" si="5"/>
        <v>2</v>
      </c>
      <c r="N72">
        <f t="shared" si="6"/>
        <v>53</v>
      </c>
      <c r="O72">
        <f t="shared" si="7"/>
        <v>0</v>
      </c>
      <c r="P72" t="str">
        <f t="shared" si="8"/>
        <v>未達成（1）</v>
      </c>
      <c r="Q72" s="5">
        <f t="shared" si="9"/>
        <v>7.6967592613073066E-3</v>
      </c>
    </row>
    <row r="73" spans="1:17">
      <c r="A73" s="3">
        <v>45989.308298611111</v>
      </c>
      <c r="B73">
        <v>60</v>
      </c>
      <c r="C73">
        <v>19</v>
      </c>
      <c r="D73">
        <v>0</v>
      </c>
      <c r="E73">
        <v>0</v>
      </c>
      <c r="F73">
        <v>0</v>
      </c>
      <c r="G73" s="5">
        <v>7.7662037074333057E-3</v>
      </c>
      <c r="H73" t="s">
        <v>198</v>
      </c>
      <c r="I73" t="s">
        <v>199</v>
      </c>
      <c r="J73">
        <v>0</v>
      </c>
      <c r="K73">
        <f t="shared" si="3"/>
        <v>1</v>
      </c>
      <c r="L73">
        <f t="shared" si="4"/>
        <v>53</v>
      </c>
      <c r="M73">
        <f t="shared" si="5"/>
        <v>2</v>
      </c>
      <c r="N73">
        <f t="shared" si="6"/>
        <v>53</v>
      </c>
      <c r="O73">
        <f t="shared" si="7"/>
        <v>0</v>
      </c>
      <c r="P73" t="str">
        <f t="shared" si="8"/>
        <v>達成</v>
      </c>
      <c r="Q73" s="5">
        <f t="shared" si="9"/>
        <v>7.7662037074333057E-3</v>
      </c>
    </row>
    <row r="74" spans="1:17">
      <c r="A74" s="3">
        <v>45990.459027777775</v>
      </c>
      <c r="B74">
        <v>60</v>
      </c>
      <c r="C74">
        <v>13</v>
      </c>
      <c r="D74">
        <v>0</v>
      </c>
      <c r="E74">
        <v>0</v>
      </c>
      <c r="F74">
        <v>0</v>
      </c>
      <c r="G74" s="5">
        <v>9.814814809942618E-3</v>
      </c>
      <c r="H74" t="s">
        <v>200</v>
      </c>
      <c r="I74" t="s">
        <v>201</v>
      </c>
      <c r="J74">
        <v>0</v>
      </c>
      <c r="K74">
        <f t="shared" si="3"/>
        <v>1</v>
      </c>
      <c r="L74">
        <f t="shared" si="4"/>
        <v>54</v>
      </c>
      <c r="M74">
        <f t="shared" si="5"/>
        <v>2</v>
      </c>
      <c r="N74">
        <f t="shared" si="6"/>
        <v>55</v>
      </c>
      <c r="O74">
        <f t="shared" si="7"/>
        <v>0</v>
      </c>
      <c r="P74" t="str">
        <f t="shared" si="8"/>
        <v>未達成（1）</v>
      </c>
      <c r="Q74" s="5">
        <f t="shared" si="9"/>
        <v>9.814814809942618E-3</v>
      </c>
    </row>
    <row r="75" spans="1:17">
      <c r="A75" s="3">
        <v>45990.539907407408</v>
      </c>
      <c r="B75">
        <v>60</v>
      </c>
      <c r="C75">
        <v>10</v>
      </c>
      <c r="D75">
        <v>0</v>
      </c>
      <c r="E75">
        <v>0</v>
      </c>
      <c r="F75">
        <v>0</v>
      </c>
      <c r="G75" s="5">
        <v>1.1226851849642117E-2</v>
      </c>
      <c r="H75" t="s">
        <v>202</v>
      </c>
      <c r="I75" t="s">
        <v>203</v>
      </c>
      <c r="J75">
        <v>0</v>
      </c>
      <c r="K75">
        <f t="shared" si="3"/>
        <v>1</v>
      </c>
      <c r="L75">
        <f t="shared" si="4"/>
        <v>55</v>
      </c>
      <c r="M75">
        <f t="shared" si="5"/>
        <v>2</v>
      </c>
      <c r="N75">
        <f t="shared" si="6"/>
        <v>55</v>
      </c>
      <c r="O75">
        <f t="shared" si="7"/>
        <v>0</v>
      </c>
      <c r="P75" t="str">
        <f t="shared" si="8"/>
        <v>達成</v>
      </c>
      <c r="Q75" s="5">
        <f t="shared" si="9"/>
        <v>1.1226851849642117E-2</v>
      </c>
    </row>
    <row r="76" spans="1:17">
      <c r="A76" s="3">
        <v>45991.563125000001</v>
      </c>
      <c r="B76">
        <v>60</v>
      </c>
      <c r="C76">
        <v>14</v>
      </c>
      <c r="D76">
        <v>0</v>
      </c>
      <c r="E76">
        <v>0</v>
      </c>
      <c r="F76">
        <v>0</v>
      </c>
      <c r="G76" s="5">
        <v>5.694444444088731E-3</v>
      </c>
      <c r="H76" t="s">
        <v>204</v>
      </c>
      <c r="I76" t="s">
        <v>205</v>
      </c>
      <c r="J76">
        <v>0</v>
      </c>
      <c r="K76">
        <f t="shared" si="3"/>
        <v>2</v>
      </c>
      <c r="L76">
        <f t="shared" si="4"/>
        <v>57</v>
      </c>
      <c r="M76">
        <f t="shared" si="5"/>
        <v>3</v>
      </c>
      <c r="N76">
        <f t="shared" si="6"/>
        <v>58</v>
      </c>
      <c r="O76">
        <f t="shared" si="7"/>
        <v>0</v>
      </c>
      <c r="P76" t="str">
        <f t="shared" si="8"/>
        <v>未達成（1）</v>
      </c>
      <c r="Q76" s="5">
        <f t="shared" si="9"/>
        <v>5.694444444088731E-3</v>
      </c>
    </row>
    <row r="77" spans="1:17">
      <c r="A77" s="3">
        <v>45991.575856481482</v>
      </c>
      <c r="B77">
        <v>60</v>
      </c>
      <c r="C77">
        <v>14</v>
      </c>
      <c r="D77">
        <v>0</v>
      </c>
      <c r="E77">
        <v>0</v>
      </c>
      <c r="F77">
        <v>0</v>
      </c>
      <c r="G77" s="5">
        <v>5.5324074055533856E-3</v>
      </c>
      <c r="H77" t="s">
        <v>206</v>
      </c>
      <c r="I77" t="s">
        <v>207</v>
      </c>
      <c r="J77">
        <v>0</v>
      </c>
      <c r="K77">
        <f t="shared" si="3"/>
        <v>2</v>
      </c>
      <c r="L77">
        <f t="shared" si="4"/>
        <v>59</v>
      </c>
      <c r="M77">
        <f t="shared" si="5"/>
        <v>3</v>
      </c>
      <c r="N77">
        <f t="shared" si="6"/>
        <v>58</v>
      </c>
      <c r="O77">
        <f t="shared" si="7"/>
        <v>0</v>
      </c>
      <c r="P77" t="str">
        <f t="shared" si="8"/>
        <v>前倒し（1）</v>
      </c>
      <c r="Q77" s="5">
        <f t="shared" si="9"/>
        <v>5.5324074055533856E-3</v>
      </c>
    </row>
    <row r="78" spans="1:17">
      <c r="A78" s="3">
        <v>45992.289467592593</v>
      </c>
      <c r="B78">
        <v>60</v>
      </c>
      <c r="C78">
        <v>14</v>
      </c>
      <c r="D78">
        <v>0</v>
      </c>
      <c r="E78">
        <v>0</v>
      </c>
      <c r="F78">
        <v>0</v>
      </c>
      <c r="G78" s="5">
        <v>1.0162037040572613E-2</v>
      </c>
      <c r="H78" t="s">
        <v>208</v>
      </c>
      <c r="I78" t="s">
        <v>209</v>
      </c>
      <c r="J78">
        <v>0</v>
      </c>
      <c r="K78">
        <f t="shared" si="3"/>
        <v>1</v>
      </c>
      <c r="L78">
        <f t="shared" si="4"/>
        <v>60</v>
      </c>
      <c r="M78">
        <f t="shared" si="5"/>
        <v>3</v>
      </c>
      <c r="N78">
        <f t="shared" si="6"/>
        <v>61</v>
      </c>
      <c r="O78">
        <f t="shared" si="7"/>
        <v>0</v>
      </c>
      <c r="P78" t="str">
        <f t="shared" si="8"/>
        <v>未達成（1）</v>
      </c>
      <c r="Q78" s="5">
        <f t="shared" si="9"/>
        <v>1.0162037040572613E-2</v>
      </c>
    </row>
    <row r="79" spans="1:17">
      <c r="A79" s="3">
        <v>45992.298761574071</v>
      </c>
      <c r="B79">
        <v>60</v>
      </c>
      <c r="C79">
        <v>8</v>
      </c>
      <c r="D79">
        <v>0</v>
      </c>
      <c r="E79">
        <v>0</v>
      </c>
      <c r="F79">
        <v>0</v>
      </c>
      <c r="G79" s="5">
        <v>6.168981475639157E-3</v>
      </c>
      <c r="H79" t="s">
        <v>210</v>
      </c>
      <c r="I79" t="s">
        <v>211</v>
      </c>
      <c r="J79">
        <v>0</v>
      </c>
      <c r="K79">
        <f t="shared" si="3"/>
        <v>2</v>
      </c>
      <c r="L79">
        <f t="shared" si="4"/>
        <v>62</v>
      </c>
      <c r="M79">
        <f t="shared" si="5"/>
        <v>3</v>
      </c>
      <c r="N79">
        <f t="shared" si="6"/>
        <v>61</v>
      </c>
      <c r="O79">
        <f t="shared" si="7"/>
        <v>0</v>
      </c>
      <c r="P79" t="str">
        <f t="shared" si="8"/>
        <v>前倒し（1）</v>
      </c>
      <c r="Q79" s="5">
        <f t="shared" si="9"/>
        <v>6.168981475639157E-3</v>
      </c>
    </row>
    <row r="80" spans="1:17">
      <c r="A80" s="3">
        <v>45993.285081018519</v>
      </c>
      <c r="B80">
        <v>48</v>
      </c>
      <c r="C80">
        <v>7</v>
      </c>
      <c r="D80">
        <v>0</v>
      </c>
      <c r="E80">
        <v>12</v>
      </c>
      <c r="F80">
        <v>0</v>
      </c>
      <c r="G80" s="5">
        <v>7.8703703693463467E-3</v>
      </c>
      <c r="H80" t="s">
        <v>212</v>
      </c>
      <c r="I80" t="s">
        <v>213</v>
      </c>
      <c r="J80">
        <v>0</v>
      </c>
      <c r="K80">
        <f t="shared" si="3"/>
        <v>0</v>
      </c>
      <c r="L80">
        <f t="shared" si="4"/>
        <v>62</v>
      </c>
      <c r="M80">
        <f t="shared" si="5"/>
        <v>3</v>
      </c>
      <c r="N80">
        <f t="shared" si="6"/>
        <v>64</v>
      </c>
      <c r="O80">
        <f t="shared" si="7"/>
        <v>0</v>
      </c>
      <c r="P80" t="str">
        <f t="shared" si="8"/>
        <v>未達成（2）</v>
      </c>
      <c r="Q80" s="5">
        <f t="shared" si="9"/>
        <v>7.8703703693463467E-3</v>
      </c>
    </row>
    <row r="81" spans="1:17">
      <c r="A81" s="3">
        <v>45993.29241898148</v>
      </c>
      <c r="B81">
        <v>60</v>
      </c>
      <c r="C81">
        <v>18</v>
      </c>
      <c r="D81">
        <v>0</v>
      </c>
      <c r="E81">
        <v>0</v>
      </c>
      <c r="F81">
        <v>0</v>
      </c>
      <c r="G81" s="5">
        <v>6.7476851836545393E-3</v>
      </c>
      <c r="H81" t="s">
        <v>216</v>
      </c>
      <c r="I81" t="s">
        <v>217</v>
      </c>
      <c r="J81">
        <v>0</v>
      </c>
      <c r="K81">
        <f t="shared" si="3"/>
        <v>2</v>
      </c>
      <c r="L81">
        <f t="shared" si="4"/>
        <v>64</v>
      </c>
      <c r="M81">
        <f t="shared" si="5"/>
        <v>3</v>
      </c>
      <c r="N81">
        <f t="shared" si="6"/>
        <v>64</v>
      </c>
      <c r="O81">
        <f t="shared" si="7"/>
        <v>0</v>
      </c>
      <c r="P81" t="str">
        <f t="shared" si="8"/>
        <v>達成</v>
      </c>
      <c r="Q81" s="5">
        <f t="shared" si="9"/>
        <v>6.7476851836545393E-3</v>
      </c>
    </row>
    <row r="82" spans="1:17">
      <c r="A82" s="3">
        <v>45994.309050925927</v>
      </c>
      <c r="B82">
        <v>60</v>
      </c>
      <c r="C82">
        <v>10</v>
      </c>
      <c r="D82">
        <v>0</v>
      </c>
      <c r="E82">
        <v>0</v>
      </c>
      <c r="F82">
        <v>0</v>
      </c>
      <c r="G82" s="5">
        <v>8.8773148163454607E-3</v>
      </c>
      <c r="H82" t="s">
        <v>214</v>
      </c>
      <c r="I82" t="s">
        <v>215</v>
      </c>
      <c r="J82">
        <v>0</v>
      </c>
      <c r="K82">
        <f t="shared" si="3"/>
        <v>1</v>
      </c>
      <c r="L82">
        <f t="shared" si="4"/>
        <v>65</v>
      </c>
      <c r="M82">
        <f t="shared" si="5"/>
        <v>3</v>
      </c>
      <c r="N82">
        <f t="shared" si="6"/>
        <v>67</v>
      </c>
      <c r="O82">
        <f t="shared" si="7"/>
        <v>0</v>
      </c>
      <c r="P82" t="str">
        <f t="shared" si="8"/>
        <v>未達成（2）</v>
      </c>
      <c r="Q82" s="5">
        <f t="shared" si="9"/>
        <v>8.8773148163454607E-3</v>
      </c>
    </row>
    <row r="83" spans="1:17">
      <c r="A83" s="3">
        <v>45994.372615740744</v>
      </c>
      <c r="B83">
        <v>60</v>
      </c>
      <c r="C83">
        <v>21</v>
      </c>
      <c r="D83">
        <v>0</v>
      </c>
      <c r="E83">
        <v>0</v>
      </c>
      <c r="F83">
        <v>0</v>
      </c>
      <c r="G83" s="5">
        <v>8.9930555550381541E-3</v>
      </c>
      <c r="H83" t="s">
        <v>218</v>
      </c>
      <c r="I83" t="s">
        <v>219</v>
      </c>
      <c r="J83">
        <v>0</v>
      </c>
      <c r="K83">
        <f t="shared" ref="K83:K146" si="10">IF(A83&lt;DATEVALUE("2025/11/20")+TIMEVALUE("6:00"),1,IF(OR(B83&lt;&gt;60,SUM(D83:F83)&lt;&gt;0,G83&gt;=IF(A83&lt;DATEVALUE("2025/12/28")+TIMEVALUE("6:00"),20,18)/24/60),0,2-INT(G83*24*60/10)))</f>
        <v>1</v>
      </c>
      <c r="L83">
        <f t="shared" ref="L83:L146" si="11">L82+K83</f>
        <v>66</v>
      </c>
      <c r="M83">
        <f t="shared" ref="M83:M146" si="12">2+IF(A83&gt;=DATEVALUE("2025/11/30")+TIMEVALUE("6:00"),1,0)+IF(A83&gt;=DATEVALUE("2025/12/11")+TIMEVALUE("6:00"),1,0)</f>
        <v>3</v>
      </c>
      <c r="N83">
        <f t="shared" ref="N83:N146" si="13">N82+M83*(INT(A83-6/24)-INT(A82-6/24))+O83</f>
        <v>67</v>
      </c>
      <c r="O83">
        <f t="shared" ref="O83:O146" si="14">IF(A83&gt;=DATEVALUE("2025/11/8")+TIMEVALUE("6:00"),1,0)-IF(A82&gt;=DATEVALUE("2025/11/8")+TIMEVALUE("6:00"),1,0)</f>
        <v>0</v>
      </c>
      <c r="P83" t="str">
        <f t="shared" ref="P83:P146" si="15">IF(L83&lt;N83,"未達成（"&amp;N83-L83&amp;"）",IF(L83=N83,"達成","前倒し（"&amp;L83-N83&amp;"）"))</f>
        <v>未達成（1）</v>
      </c>
      <c r="Q83" s="5">
        <f t="shared" si="9"/>
        <v>8.9930555550381541E-3</v>
      </c>
    </row>
    <row r="84" spans="1:17">
      <c r="A84" s="3">
        <v>45994.573900462965</v>
      </c>
      <c r="B84">
        <v>60</v>
      </c>
      <c r="C84">
        <v>24</v>
      </c>
      <c r="D84">
        <v>0</v>
      </c>
      <c r="E84">
        <v>0</v>
      </c>
      <c r="F84">
        <v>0</v>
      </c>
      <c r="G84" s="5">
        <v>7.3263888916699216E-3</v>
      </c>
      <c r="H84" t="s">
        <v>220</v>
      </c>
      <c r="I84" t="s">
        <v>221</v>
      </c>
      <c r="J84">
        <v>0</v>
      </c>
      <c r="K84">
        <f t="shared" si="10"/>
        <v>1</v>
      </c>
      <c r="L84">
        <f t="shared" si="11"/>
        <v>67</v>
      </c>
      <c r="M84">
        <f t="shared" si="12"/>
        <v>3</v>
      </c>
      <c r="N84">
        <f t="shared" si="13"/>
        <v>67</v>
      </c>
      <c r="O84">
        <f t="shared" si="14"/>
        <v>0</v>
      </c>
      <c r="P84" t="str">
        <f t="shared" si="15"/>
        <v>達成</v>
      </c>
      <c r="Q84" s="5">
        <f t="shared" si="9"/>
        <v>7.3263888916699216E-3</v>
      </c>
    </row>
    <row r="85" spans="1:17">
      <c r="A85" s="3">
        <v>45995.297349537039</v>
      </c>
      <c r="B85">
        <v>60</v>
      </c>
      <c r="C85">
        <v>13</v>
      </c>
      <c r="D85">
        <v>0</v>
      </c>
      <c r="E85">
        <v>0</v>
      </c>
      <c r="F85">
        <v>0</v>
      </c>
      <c r="G85" s="5">
        <v>8.8888888931251131E-3</v>
      </c>
      <c r="H85" t="s">
        <v>222</v>
      </c>
      <c r="I85" t="s">
        <v>223</v>
      </c>
      <c r="J85">
        <v>0</v>
      </c>
      <c r="K85">
        <f t="shared" si="10"/>
        <v>1</v>
      </c>
      <c r="L85">
        <f t="shared" si="11"/>
        <v>68</v>
      </c>
      <c r="M85">
        <f t="shared" si="12"/>
        <v>3</v>
      </c>
      <c r="N85">
        <f t="shared" si="13"/>
        <v>70</v>
      </c>
      <c r="O85">
        <f t="shared" si="14"/>
        <v>0</v>
      </c>
      <c r="P85" t="str">
        <f t="shared" si="15"/>
        <v>未達成（2）</v>
      </c>
      <c r="Q85" s="5">
        <f t="shared" si="9"/>
        <v>8.8888888931251131E-3</v>
      </c>
    </row>
    <row r="86" spans="1:17">
      <c r="A86" s="3">
        <v>45995.308217592596</v>
      </c>
      <c r="B86">
        <v>60</v>
      </c>
      <c r="C86">
        <v>12</v>
      </c>
      <c r="D86">
        <v>0</v>
      </c>
      <c r="E86">
        <v>0</v>
      </c>
      <c r="F86">
        <v>0</v>
      </c>
      <c r="G86" s="5">
        <v>7.7777777842129581E-3</v>
      </c>
      <c r="H86" t="s">
        <v>224</v>
      </c>
      <c r="I86" t="s">
        <v>225</v>
      </c>
      <c r="J86">
        <v>0</v>
      </c>
      <c r="K86">
        <f t="shared" si="10"/>
        <v>1</v>
      </c>
      <c r="L86">
        <f t="shared" si="11"/>
        <v>69</v>
      </c>
      <c r="M86">
        <f t="shared" si="12"/>
        <v>3</v>
      </c>
      <c r="N86">
        <f t="shared" si="13"/>
        <v>70</v>
      </c>
      <c r="O86">
        <f t="shared" si="14"/>
        <v>0</v>
      </c>
      <c r="P86" t="str">
        <f t="shared" si="15"/>
        <v>未達成（1）</v>
      </c>
      <c r="Q86" s="5">
        <f t="shared" si="9"/>
        <v>7.7777777842129581E-3</v>
      </c>
    </row>
    <row r="87" spans="1:17">
      <c r="A87" s="3">
        <v>45995.571805555555</v>
      </c>
      <c r="B87">
        <v>60</v>
      </c>
      <c r="C87">
        <v>16</v>
      </c>
      <c r="D87">
        <v>0</v>
      </c>
      <c r="E87">
        <v>0</v>
      </c>
      <c r="F87">
        <v>0</v>
      </c>
      <c r="G87" s="5">
        <v>6.1226851830724627E-3</v>
      </c>
      <c r="H87" t="s">
        <v>226</v>
      </c>
      <c r="I87" t="s">
        <v>227</v>
      </c>
      <c r="J87">
        <v>0</v>
      </c>
      <c r="K87">
        <f t="shared" si="10"/>
        <v>2</v>
      </c>
      <c r="L87">
        <f t="shared" si="11"/>
        <v>71</v>
      </c>
      <c r="M87">
        <f t="shared" si="12"/>
        <v>3</v>
      </c>
      <c r="N87">
        <f t="shared" si="13"/>
        <v>70</v>
      </c>
      <c r="O87">
        <f t="shared" si="14"/>
        <v>0</v>
      </c>
      <c r="P87" t="str">
        <f t="shared" si="15"/>
        <v>前倒し（1）</v>
      </c>
      <c r="Q87" s="5">
        <f t="shared" si="9"/>
        <v>6.1226851830724627E-3</v>
      </c>
    </row>
    <row r="88" spans="1:17">
      <c r="A88" s="3">
        <v>45996.284409722219</v>
      </c>
      <c r="B88">
        <v>60</v>
      </c>
      <c r="C88">
        <v>6</v>
      </c>
      <c r="D88">
        <v>0</v>
      </c>
      <c r="E88">
        <v>0</v>
      </c>
      <c r="F88">
        <v>0</v>
      </c>
      <c r="G88" s="5">
        <v>7.3842592537403107E-3</v>
      </c>
      <c r="H88" t="s">
        <v>228</v>
      </c>
      <c r="I88" t="s">
        <v>229</v>
      </c>
      <c r="J88">
        <v>0</v>
      </c>
      <c r="K88">
        <f t="shared" si="10"/>
        <v>1</v>
      </c>
      <c r="L88">
        <f t="shared" si="11"/>
        <v>72</v>
      </c>
      <c r="M88">
        <f t="shared" si="12"/>
        <v>3</v>
      </c>
      <c r="N88">
        <f t="shared" si="13"/>
        <v>73</v>
      </c>
      <c r="O88">
        <f t="shared" si="14"/>
        <v>0</v>
      </c>
      <c r="P88" t="str">
        <f t="shared" si="15"/>
        <v>未達成（1）</v>
      </c>
      <c r="Q88" s="5">
        <f t="shared" si="9"/>
        <v>7.3842592537403107E-3</v>
      </c>
    </row>
    <row r="89" spans="1:17">
      <c r="A89" s="3">
        <v>45996.311747685184</v>
      </c>
      <c r="B89">
        <v>60</v>
      </c>
      <c r="C89">
        <v>16</v>
      </c>
      <c r="D89">
        <v>0</v>
      </c>
      <c r="E89">
        <v>0</v>
      </c>
      <c r="F89">
        <v>0</v>
      </c>
      <c r="G89" s="5">
        <v>1.17013888884685E-2</v>
      </c>
      <c r="H89" t="s">
        <v>230</v>
      </c>
      <c r="I89" t="s">
        <v>231</v>
      </c>
      <c r="J89">
        <v>0</v>
      </c>
      <c r="K89">
        <f t="shared" si="10"/>
        <v>1</v>
      </c>
      <c r="L89">
        <f t="shared" si="11"/>
        <v>73</v>
      </c>
      <c r="M89">
        <f t="shared" si="12"/>
        <v>3</v>
      </c>
      <c r="N89">
        <f t="shared" si="13"/>
        <v>73</v>
      </c>
      <c r="O89">
        <f t="shared" si="14"/>
        <v>0</v>
      </c>
      <c r="P89" t="str">
        <f t="shared" si="15"/>
        <v>達成</v>
      </c>
      <c r="Q89" s="5">
        <f t="shared" si="9"/>
        <v>1.17013888884685E-2</v>
      </c>
    </row>
    <row r="90" spans="1:17">
      <c r="A90" s="3">
        <v>45997.303113425929</v>
      </c>
      <c r="B90">
        <v>60</v>
      </c>
      <c r="C90">
        <v>16</v>
      </c>
      <c r="D90">
        <v>0</v>
      </c>
      <c r="E90">
        <v>0</v>
      </c>
      <c r="F90">
        <v>0</v>
      </c>
      <c r="G90" s="5">
        <v>5.7291666671517305E-3</v>
      </c>
      <c r="H90" t="s">
        <v>232</v>
      </c>
      <c r="I90" t="s">
        <v>233</v>
      </c>
      <c r="J90">
        <v>0</v>
      </c>
      <c r="K90">
        <f t="shared" si="10"/>
        <v>2</v>
      </c>
      <c r="L90">
        <f t="shared" si="11"/>
        <v>75</v>
      </c>
      <c r="M90">
        <f t="shared" si="12"/>
        <v>3</v>
      </c>
      <c r="N90">
        <f t="shared" si="13"/>
        <v>76</v>
      </c>
      <c r="O90">
        <f t="shared" si="14"/>
        <v>0</v>
      </c>
      <c r="P90" t="str">
        <f t="shared" si="15"/>
        <v>未達成（1）</v>
      </c>
      <c r="Q90" s="5">
        <f t="shared" si="9"/>
        <v>5.7291666671517305E-3</v>
      </c>
    </row>
    <row r="91" spans="1:17">
      <c r="A91" s="3">
        <v>45997.312106481484</v>
      </c>
      <c r="B91">
        <v>60</v>
      </c>
      <c r="C91">
        <v>16</v>
      </c>
      <c r="D91">
        <v>0</v>
      </c>
      <c r="E91">
        <v>0</v>
      </c>
      <c r="F91">
        <v>0</v>
      </c>
      <c r="G91" s="5">
        <v>6.4699074064265005E-3</v>
      </c>
      <c r="H91" t="s">
        <v>234</v>
      </c>
      <c r="I91" t="s">
        <v>235</v>
      </c>
      <c r="J91">
        <v>0</v>
      </c>
      <c r="K91">
        <f t="shared" si="10"/>
        <v>2</v>
      </c>
      <c r="L91">
        <f t="shared" si="11"/>
        <v>77</v>
      </c>
      <c r="M91">
        <f t="shared" si="12"/>
        <v>3</v>
      </c>
      <c r="N91">
        <f t="shared" si="13"/>
        <v>76</v>
      </c>
      <c r="O91">
        <f t="shared" si="14"/>
        <v>0</v>
      </c>
      <c r="P91" t="str">
        <f t="shared" si="15"/>
        <v>前倒し（1）</v>
      </c>
      <c r="Q91" s="5">
        <f t="shared" si="9"/>
        <v>6.4699074064265005E-3</v>
      </c>
    </row>
    <row r="92" spans="1:17">
      <c r="A92" s="3">
        <v>45998.290590277778</v>
      </c>
      <c r="B92">
        <v>60</v>
      </c>
      <c r="C92">
        <v>4</v>
      </c>
      <c r="D92">
        <v>0</v>
      </c>
      <c r="E92">
        <v>0</v>
      </c>
      <c r="F92">
        <v>0</v>
      </c>
      <c r="G92" s="5">
        <v>6.805555553000886E-3</v>
      </c>
      <c r="H92" t="s">
        <v>236</v>
      </c>
      <c r="I92" t="s">
        <v>237</v>
      </c>
      <c r="J92">
        <v>0</v>
      </c>
      <c r="K92">
        <f t="shared" si="10"/>
        <v>2</v>
      </c>
      <c r="L92">
        <f t="shared" si="11"/>
        <v>79</v>
      </c>
      <c r="M92">
        <f t="shared" si="12"/>
        <v>3</v>
      </c>
      <c r="N92">
        <f t="shared" si="13"/>
        <v>79</v>
      </c>
      <c r="O92">
        <f t="shared" si="14"/>
        <v>0</v>
      </c>
      <c r="P92" t="str">
        <f t="shared" si="15"/>
        <v>達成</v>
      </c>
      <c r="Q92" s="5">
        <f t="shared" si="9"/>
        <v>6.805555553000886E-3</v>
      </c>
    </row>
    <row r="93" spans="1:17">
      <c r="A93" s="3">
        <v>45999.308831018519</v>
      </c>
      <c r="B93">
        <v>60</v>
      </c>
      <c r="C93">
        <v>19</v>
      </c>
      <c r="D93">
        <v>0</v>
      </c>
      <c r="E93">
        <v>0</v>
      </c>
      <c r="F93">
        <v>0</v>
      </c>
      <c r="G93" s="5">
        <v>7.8935185229056515E-3</v>
      </c>
      <c r="H93" t="s">
        <v>238</v>
      </c>
      <c r="I93" t="s">
        <v>239</v>
      </c>
      <c r="J93">
        <v>0</v>
      </c>
      <c r="K93">
        <f t="shared" si="10"/>
        <v>1</v>
      </c>
      <c r="L93">
        <f t="shared" si="11"/>
        <v>80</v>
      </c>
      <c r="M93">
        <f t="shared" si="12"/>
        <v>3</v>
      </c>
      <c r="N93">
        <f t="shared" si="13"/>
        <v>82</v>
      </c>
      <c r="O93">
        <f t="shared" si="14"/>
        <v>0</v>
      </c>
      <c r="P93" t="str">
        <f t="shared" si="15"/>
        <v>未達成（2）</v>
      </c>
      <c r="Q93" s="5">
        <f t="shared" si="9"/>
        <v>7.8935185229056515E-3</v>
      </c>
    </row>
    <row r="94" spans="1:17">
      <c r="A94" s="3">
        <v>45999.538287037038</v>
      </c>
      <c r="B94">
        <v>60</v>
      </c>
      <c r="C94">
        <v>10</v>
      </c>
      <c r="D94">
        <v>0</v>
      </c>
      <c r="E94">
        <v>0</v>
      </c>
      <c r="F94">
        <v>0</v>
      </c>
      <c r="G94" s="5">
        <v>8.2407407389837317E-3</v>
      </c>
      <c r="H94" t="s">
        <v>240</v>
      </c>
      <c r="I94" t="s">
        <v>241</v>
      </c>
      <c r="J94">
        <v>0</v>
      </c>
      <c r="K94">
        <f t="shared" si="10"/>
        <v>1</v>
      </c>
      <c r="L94">
        <f t="shared" si="11"/>
        <v>81</v>
      </c>
      <c r="M94">
        <f t="shared" si="12"/>
        <v>3</v>
      </c>
      <c r="N94">
        <f t="shared" si="13"/>
        <v>82</v>
      </c>
      <c r="O94">
        <f t="shared" si="14"/>
        <v>0</v>
      </c>
      <c r="P94" t="str">
        <f t="shared" si="15"/>
        <v>未達成（1）</v>
      </c>
      <c r="Q94" s="5">
        <f t="shared" si="9"/>
        <v>8.2407407389837317E-3</v>
      </c>
    </row>
    <row r="95" spans="1:17">
      <c r="A95" s="3">
        <v>45999.866469907407</v>
      </c>
      <c r="B95">
        <v>60</v>
      </c>
      <c r="C95">
        <v>12</v>
      </c>
      <c r="D95">
        <v>0</v>
      </c>
      <c r="E95">
        <v>0</v>
      </c>
      <c r="F95">
        <v>0</v>
      </c>
      <c r="G95" s="5">
        <v>5.6134259284590371E-3</v>
      </c>
      <c r="H95" t="s">
        <v>242</v>
      </c>
      <c r="I95" t="s">
        <v>243</v>
      </c>
      <c r="J95">
        <v>0</v>
      </c>
      <c r="K95">
        <f t="shared" si="10"/>
        <v>2</v>
      </c>
      <c r="L95">
        <f t="shared" si="11"/>
        <v>83</v>
      </c>
      <c r="M95">
        <f t="shared" si="12"/>
        <v>3</v>
      </c>
      <c r="N95">
        <f t="shared" si="13"/>
        <v>82</v>
      </c>
      <c r="O95">
        <f t="shared" si="14"/>
        <v>0</v>
      </c>
      <c r="P95" t="str">
        <f t="shared" si="15"/>
        <v>前倒し（1）</v>
      </c>
      <c r="Q95" s="5">
        <f t="shared" si="9"/>
        <v>5.6134259284590371E-3</v>
      </c>
    </row>
    <row r="96" spans="1:17">
      <c r="A96" s="3">
        <v>46000.300081018519</v>
      </c>
      <c r="B96">
        <v>60</v>
      </c>
      <c r="C96">
        <v>13</v>
      </c>
      <c r="D96">
        <v>0</v>
      </c>
      <c r="E96">
        <v>0</v>
      </c>
      <c r="F96">
        <v>0</v>
      </c>
      <c r="G96" s="5">
        <v>1.1423611111240461E-2</v>
      </c>
      <c r="H96" t="s">
        <v>244</v>
      </c>
      <c r="I96" t="s">
        <v>245</v>
      </c>
      <c r="J96">
        <v>0</v>
      </c>
      <c r="K96">
        <f t="shared" si="10"/>
        <v>1</v>
      </c>
      <c r="L96">
        <f t="shared" si="11"/>
        <v>84</v>
      </c>
      <c r="M96">
        <f t="shared" si="12"/>
        <v>3</v>
      </c>
      <c r="N96">
        <f t="shared" si="13"/>
        <v>85</v>
      </c>
      <c r="O96">
        <f t="shared" si="14"/>
        <v>0</v>
      </c>
      <c r="P96" t="str">
        <f t="shared" si="15"/>
        <v>未達成（1）</v>
      </c>
      <c r="Q96" s="5">
        <f t="shared" si="9"/>
        <v>1.1423611111240461E-2</v>
      </c>
    </row>
    <row r="97" spans="1:17">
      <c r="A97" s="3">
        <v>46000.312152777777</v>
      </c>
      <c r="B97">
        <v>60</v>
      </c>
      <c r="C97">
        <v>9</v>
      </c>
      <c r="D97">
        <v>0</v>
      </c>
      <c r="E97">
        <v>0</v>
      </c>
      <c r="F97">
        <v>0</v>
      </c>
      <c r="G97" s="5">
        <v>5.8101851827814244E-3</v>
      </c>
      <c r="H97" t="s">
        <v>246</v>
      </c>
      <c r="I97" t="s">
        <v>247</v>
      </c>
      <c r="J97">
        <v>0</v>
      </c>
      <c r="K97">
        <f t="shared" si="10"/>
        <v>2</v>
      </c>
      <c r="L97">
        <f t="shared" si="11"/>
        <v>86</v>
      </c>
      <c r="M97">
        <f t="shared" si="12"/>
        <v>3</v>
      </c>
      <c r="N97">
        <f t="shared" si="13"/>
        <v>85</v>
      </c>
      <c r="O97">
        <f t="shared" si="14"/>
        <v>0</v>
      </c>
      <c r="P97" t="str">
        <f t="shared" si="15"/>
        <v>前倒し（1）</v>
      </c>
      <c r="Q97" s="5">
        <f t="shared" si="9"/>
        <v>5.8101851827814244E-3</v>
      </c>
    </row>
    <row r="98" spans="1:17">
      <c r="A98" s="3">
        <v>46001.313842592594</v>
      </c>
      <c r="B98">
        <v>60</v>
      </c>
      <c r="C98">
        <v>7</v>
      </c>
      <c r="D98">
        <v>0</v>
      </c>
      <c r="E98">
        <v>0</v>
      </c>
      <c r="F98">
        <v>0</v>
      </c>
      <c r="G98" s="5">
        <v>5.1157407433493063E-3</v>
      </c>
      <c r="H98" t="s">
        <v>248</v>
      </c>
      <c r="I98" t="s">
        <v>249</v>
      </c>
      <c r="J98">
        <v>0</v>
      </c>
      <c r="K98">
        <f t="shared" si="10"/>
        <v>2</v>
      </c>
      <c r="L98">
        <f t="shared" si="11"/>
        <v>88</v>
      </c>
      <c r="M98">
        <f t="shared" si="12"/>
        <v>3</v>
      </c>
      <c r="N98">
        <f t="shared" si="13"/>
        <v>88</v>
      </c>
      <c r="O98">
        <f t="shared" si="14"/>
        <v>0</v>
      </c>
      <c r="P98" t="str">
        <f t="shared" si="15"/>
        <v>達成</v>
      </c>
      <c r="Q98" s="5">
        <f t="shared" si="9"/>
        <v>5.1157407433493063E-3</v>
      </c>
    </row>
    <row r="99" spans="1:17">
      <c r="A99" s="3">
        <v>46002.297708333332</v>
      </c>
      <c r="B99">
        <v>60</v>
      </c>
      <c r="C99">
        <v>11</v>
      </c>
      <c r="D99">
        <v>0</v>
      </c>
      <c r="E99">
        <v>0</v>
      </c>
      <c r="F99">
        <v>0</v>
      </c>
      <c r="G99" s="5">
        <v>1.0185185186855961E-2</v>
      </c>
      <c r="H99" t="s">
        <v>251</v>
      </c>
      <c r="I99" t="s">
        <v>252</v>
      </c>
      <c r="J99">
        <v>0</v>
      </c>
      <c r="K99">
        <f t="shared" si="10"/>
        <v>1</v>
      </c>
      <c r="L99">
        <f t="shared" si="11"/>
        <v>89</v>
      </c>
      <c r="M99">
        <f t="shared" si="12"/>
        <v>4</v>
      </c>
      <c r="N99">
        <f t="shared" si="13"/>
        <v>92</v>
      </c>
      <c r="O99">
        <f t="shared" si="14"/>
        <v>0</v>
      </c>
      <c r="P99" t="str">
        <f t="shared" si="15"/>
        <v>未達成（3）</v>
      </c>
      <c r="Q99" s="5">
        <f t="shared" si="9"/>
        <v>1.0185185186855961E-2</v>
      </c>
    </row>
    <row r="100" spans="1:17">
      <c r="A100" s="3">
        <v>46002.315185185187</v>
      </c>
      <c r="B100">
        <v>53</v>
      </c>
      <c r="C100">
        <v>14</v>
      </c>
      <c r="D100">
        <v>0</v>
      </c>
      <c r="E100">
        <v>7</v>
      </c>
      <c r="F100">
        <v>5</v>
      </c>
      <c r="G100" s="5">
        <v>8.078703707724344E-3</v>
      </c>
      <c r="H100" t="s">
        <v>253</v>
      </c>
      <c r="I100" t="s">
        <v>254</v>
      </c>
      <c r="J100">
        <v>0</v>
      </c>
      <c r="K100">
        <f t="shared" si="10"/>
        <v>0</v>
      </c>
      <c r="L100">
        <f t="shared" si="11"/>
        <v>89</v>
      </c>
      <c r="M100">
        <f t="shared" si="12"/>
        <v>4</v>
      </c>
      <c r="N100">
        <f t="shared" si="13"/>
        <v>92</v>
      </c>
      <c r="O100">
        <f t="shared" si="14"/>
        <v>0</v>
      </c>
      <c r="P100" t="str">
        <f t="shared" si="15"/>
        <v>未達成（3）</v>
      </c>
      <c r="Q100" s="5">
        <f t="shared" si="9"/>
        <v>8.078703707724344E-3</v>
      </c>
    </row>
    <row r="101" spans="1:17">
      <c r="A101" s="3">
        <v>46002.372048611112</v>
      </c>
      <c r="B101">
        <v>60</v>
      </c>
      <c r="C101">
        <v>18</v>
      </c>
      <c r="D101">
        <v>0</v>
      </c>
      <c r="E101">
        <v>0</v>
      </c>
      <c r="F101">
        <v>0</v>
      </c>
      <c r="G101" s="5">
        <v>9.6412037019035779E-3</v>
      </c>
      <c r="H101" t="s">
        <v>255</v>
      </c>
      <c r="I101" t="s">
        <v>256</v>
      </c>
      <c r="J101">
        <v>0</v>
      </c>
      <c r="K101">
        <f t="shared" si="10"/>
        <v>1</v>
      </c>
      <c r="L101">
        <f t="shared" si="11"/>
        <v>90</v>
      </c>
      <c r="M101">
        <f t="shared" si="12"/>
        <v>4</v>
      </c>
      <c r="N101">
        <f t="shared" si="13"/>
        <v>92</v>
      </c>
      <c r="O101">
        <f t="shared" si="14"/>
        <v>0</v>
      </c>
      <c r="P101" t="str">
        <f t="shared" si="15"/>
        <v>未達成（2）</v>
      </c>
      <c r="Q101" s="5">
        <f t="shared" si="9"/>
        <v>9.6412037019035779E-3</v>
      </c>
    </row>
    <row r="102" spans="1:17">
      <c r="A102" s="3">
        <v>46002.381273148145</v>
      </c>
      <c r="B102">
        <v>60</v>
      </c>
      <c r="C102">
        <v>7</v>
      </c>
      <c r="D102">
        <v>0</v>
      </c>
      <c r="E102">
        <v>0</v>
      </c>
      <c r="F102">
        <v>0</v>
      </c>
      <c r="G102" s="5">
        <v>7.0833333302289248E-3</v>
      </c>
      <c r="H102" t="s">
        <v>257</v>
      </c>
      <c r="I102" t="s">
        <v>258</v>
      </c>
      <c r="J102">
        <v>0</v>
      </c>
      <c r="K102">
        <f t="shared" si="10"/>
        <v>1</v>
      </c>
      <c r="L102">
        <f t="shared" si="11"/>
        <v>91</v>
      </c>
      <c r="M102">
        <f t="shared" si="12"/>
        <v>4</v>
      </c>
      <c r="N102">
        <f t="shared" si="13"/>
        <v>92</v>
      </c>
      <c r="O102">
        <f t="shared" si="14"/>
        <v>0</v>
      </c>
      <c r="P102" t="str">
        <f t="shared" si="15"/>
        <v>未達成（1）</v>
      </c>
      <c r="Q102" s="5">
        <f t="shared" si="9"/>
        <v>7.0833333302289248E-3</v>
      </c>
    </row>
    <row r="103" spans="1:17">
      <c r="A103" s="3">
        <v>46002.400023148148</v>
      </c>
      <c r="B103">
        <v>60</v>
      </c>
      <c r="C103">
        <v>12</v>
      </c>
      <c r="D103">
        <v>0</v>
      </c>
      <c r="E103">
        <v>0</v>
      </c>
      <c r="F103">
        <v>0</v>
      </c>
      <c r="G103" s="5">
        <v>1.2152777773735579E-2</v>
      </c>
      <c r="H103" t="s">
        <v>259</v>
      </c>
      <c r="I103" t="s">
        <v>260</v>
      </c>
      <c r="J103">
        <v>0</v>
      </c>
      <c r="K103">
        <f t="shared" si="10"/>
        <v>1</v>
      </c>
      <c r="L103">
        <f t="shared" si="11"/>
        <v>92</v>
      </c>
      <c r="M103">
        <f t="shared" si="12"/>
        <v>4</v>
      </c>
      <c r="N103">
        <f t="shared" si="13"/>
        <v>92</v>
      </c>
      <c r="O103">
        <f t="shared" si="14"/>
        <v>0</v>
      </c>
      <c r="P103" t="str">
        <f t="shared" si="15"/>
        <v>達成</v>
      </c>
      <c r="Q103" s="5">
        <f t="shared" si="9"/>
        <v>1.2152777773735579E-2</v>
      </c>
    </row>
    <row r="104" spans="1:17">
      <c r="A104" s="3">
        <v>46003.272280092591</v>
      </c>
      <c r="B104">
        <v>60</v>
      </c>
      <c r="C104">
        <v>22</v>
      </c>
      <c r="D104">
        <v>0</v>
      </c>
      <c r="E104">
        <v>0</v>
      </c>
      <c r="F104">
        <v>0</v>
      </c>
      <c r="G104" s="5">
        <v>6.655092591245193E-3</v>
      </c>
      <c r="H104" t="s">
        <v>261</v>
      </c>
      <c r="I104" t="s">
        <v>262</v>
      </c>
      <c r="J104">
        <v>0</v>
      </c>
      <c r="K104">
        <f t="shared" si="10"/>
        <v>2</v>
      </c>
      <c r="L104">
        <f t="shared" si="11"/>
        <v>94</v>
      </c>
      <c r="M104">
        <f t="shared" si="12"/>
        <v>4</v>
      </c>
      <c r="N104">
        <f t="shared" si="13"/>
        <v>96</v>
      </c>
      <c r="O104">
        <f t="shared" si="14"/>
        <v>0</v>
      </c>
      <c r="P104" t="str">
        <f t="shared" si="15"/>
        <v>未達成（2）</v>
      </c>
      <c r="Q104" s="5">
        <f t="shared" si="9"/>
        <v>6.655092591245193E-3</v>
      </c>
    </row>
    <row r="105" spans="1:17">
      <c r="A105" s="3">
        <v>46003.28633101852</v>
      </c>
      <c r="B105">
        <v>60</v>
      </c>
      <c r="C105">
        <v>6</v>
      </c>
      <c r="D105">
        <v>0</v>
      </c>
      <c r="E105">
        <v>0</v>
      </c>
      <c r="F105">
        <v>0</v>
      </c>
      <c r="G105" s="5">
        <v>9.9074074096279219E-3</v>
      </c>
      <c r="H105" t="s">
        <v>263</v>
      </c>
      <c r="I105" t="s">
        <v>264</v>
      </c>
      <c r="J105">
        <v>0</v>
      </c>
      <c r="K105">
        <f t="shared" si="10"/>
        <v>1</v>
      </c>
      <c r="L105">
        <f t="shared" si="11"/>
        <v>95</v>
      </c>
      <c r="M105">
        <f t="shared" si="12"/>
        <v>4</v>
      </c>
      <c r="N105">
        <f t="shared" si="13"/>
        <v>96</v>
      </c>
      <c r="O105">
        <f t="shared" si="14"/>
        <v>0</v>
      </c>
      <c r="P105" t="str">
        <f t="shared" si="15"/>
        <v>未達成（1）</v>
      </c>
      <c r="Q105" s="5">
        <f t="shared" si="9"/>
        <v>9.9074074096279219E-3</v>
      </c>
    </row>
    <row r="106" spans="1:17">
      <c r="A106" s="3">
        <v>46003.295949074076</v>
      </c>
      <c r="B106">
        <v>60</v>
      </c>
      <c r="C106">
        <v>27</v>
      </c>
      <c r="D106">
        <v>0</v>
      </c>
      <c r="E106">
        <v>0</v>
      </c>
      <c r="F106">
        <v>0</v>
      </c>
      <c r="G106" s="5">
        <v>6.8981481526861899E-3</v>
      </c>
      <c r="H106" t="s">
        <v>265</v>
      </c>
      <c r="I106" t="s">
        <v>266</v>
      </c>
      <c r="J106">
        <v>0</v>
      </c>
      <c r="K106">
        <f t="shared" si="10"/>
        <v>2</v>
      </c>
      <c r="L106">
        <f t="shared" si="11"/>
        <v>97</v>
      </c>
      <c r="M106">
        <f t="shared" si="12"/>
        <v>4</v>
      </c>
      <c r="N106">
        <f t="shared" si="13"/>
        <v>96</v>
      </c>
      <c r="O106">
        <f t="shared" si="14"/>
        <v>0</v>
      </c>
      <c r="P106" t="str">
        <f t="shared" si="15"/>
        <v>前倒し（1）</v>
      </c>
      <c r="Q106" s="5">
        <f t="shared" si="9"/>
        <v>6.8981481526861899E-3</v>
      </c>
    </row>
    <row r="107" spans="1:17">
      <c r="A107" s="3">
        <v>46004.307025462964</v>
      </c>
      <c r="B107">
        <v>60</v>
      </c>
      <c r="C107">
        <v>20</v>
      </c>
      <c r="D107">
        <v>0</v>
      </c>
      <c r="E107">
        <v>0</v>
      </c>
      <c r="F107">
        <v>0</v>
      </c>
      <c r="G107" s="5">
        <v>7.4884259302052669E-3</v>
      </c>
      <c r="H107" t="s">
        <v>267</v>
      </c>
      <c r="I107" t="s">
        <v>268</v>
      </c>
      <c r="J107">
        <v>0</v>
      </c>
      <c r="K107">
        <f t="shared" si="10"/>
        <v>1</v>
      </c>
      <c r="L107">
        <f t="shared" si="11"/>
        <v>98</v>
      </c>
      <c r="M107">
        <f t="shared" si="12"/>
        <v>4</v>
      </c>
      <c r="N107">
        <f t="shared" si="13"/>
        <v>100</v>
      </c>
      <c r="O107">
        <f t="shared" si="14"/>
        <v>0</v>
      </c>
      <c r="P107" t="str">
        <f t="shared" si="15"/>
        <v>未達成（2）</v>
      </c>
      <c r="Q107" s="5">
        <f t="shared" si="9"/>
        <v>7.4884259302052669E-3</v>
      </c>
    </row>
    <row r="108" spans="1:17">
      <c r="A108" s="3">
        <v>46004.371006944442</v>
      </c>
      <c r="B108">
        <v>60</v>
      </c>
      <c r="C108">
        <v>24</v>
      </c>
      <c r="D108">
        <v>0</v>
      </c>
      <c r="E108">
        <v>0</v>
      </c>
      <c r="F108">
        <v>0</v>
      </c>
      <c r="G108" s="5">
        <v>5.9953703676001169E-3</v>
      </c>
      <c r="H108" t="s">
        <v>269</v>
      </c>
      <c r="I108" t="s">
        <v>270</v>
      </c>
      <c r="J108">
        <v>0</v>
      </c>
      <c r="K108">
        <f t="shared" si="10"/>
        <v>2</v>
      </c>
      <c r="L108">
        <f t="shared" si="11"/>
        <v>100</v>
      </c>
      <c r="M108">
        <f t="shared" si="12"/>
        <v>4</v>
      </c>
      <c r="N108">
        <f t="shared" si="13"/>
        <v>100</v>
      </c>
      <c r="O108">
        <f t="shared" si="14"/>
        <v>0</v>
      </c>
      <c r="P108" t="str">
        <f t="shared" si="15"/>
        <v>達成</v>
      </c>
      <c r="Q108" s="5">
        <f t="shared" si="9"/>
        <v>5.9953703676001169E-3</v>
      </c>
    </row>
    <row r="109" spans="1:17">
      <c r="A109" s="3">
        <v>46005.293657407405</v>
      </c>
      <c r="B109">
        <v>60</v>
      </c>
      <c r="C109">
        <v>9</v>
      </c>
      <c r="D109">
        <v>0</v>
      </c>
      <c r="E109">
        <v>0</v>
      </c>
      <c r="F109">
        <v>0</v>
      </c>
      <c r="G109" s="5">
        <v>9.4097222172422335E-3</v>
      </c>
      <c r="H109" t="s">
        <v>271</v>
      </c>
      <c r="I109" t="s">
        <v>272</v>
      </c>
      <c r="J109">
        <v>0</v>
      </c>
      <c r="K109">
        <f t="shared" si="10"/>
        <v>1</v>
      </c>
      <c r="L109">
        <f t="shared" si="11"/>
        <v>101</v>
      </c>
      <c r="M109">
        <f t="shared" si="12"/>
        <v>4</v>
      </c>
      <c r="N109">
        <f t="shared" si="13"/>
        <v>104</v>
      </c>
      <c r="O109">
        <f t="shared" si="14"/>
        <v>0</v>
      </c>
      <c r="P109" t="str">
        <f t="shared" si="15"/>
        <v>未達成（3）</v>
      </c>
      <c r="Q109" s="5">
        <f t="shared" si="9"/>
        <v>9.4097222172422335E-3</v>
      </c>
    </row>
    <row r="110" spans="1:17">
      <c r="A110" s="3">
        <v>46005.300185185188</v>
      </c>
      <c r="B110">
        <v>60</v>
      </c>
      <c r="C110">
        <v>13</v>
      </c>
      <c r="D110">
        <v>0</v>
      </c>
      <c r="E110">
        <v>0</v>
      </c>
      <c r="F110">
        <v>0</v>
      </c>
      <c r="G110" s="5">
        <v>4.8379629661212675E-3</v>
      </c>
      <c r="H110" t="s">
        <v>273</v>
      </c>
      <c r="I110" t="s">
        <v>274</v>
      </c>
      <c r="J110">
        <v>0</v>
      </c>
      <c r="K110">
        <f t="shared" si="10"/>
        <v>2</v>
      </c>
      <c r="L110">
        <f t="shared" si="11"/>
        <v>103</v>
      </c>
      <c r="M110">
        <f t="shared" si="12"/>
        <v>4</v>
      </c>
      <c r="N110">
        <f t="shared" si="13"/>
        <v>104</v>
      </c>
      <c r="O110">
        <f t="shared" si="14"/>
        <v>0</v>
      </c>
      <c r="P110" t="str">
        <f t="shared" si="15"/>
        <v>未達成（1）</v>
      </c>
      <c r="Q110" s="5">
        <f t="shared" si="9"/>
        <v>4.8379629661212675E-3</v>
      </c>
    </row>
    <row r="111" spans="1:17">
      <c r="A111" s="3">
        <v>46005.307916666665</v>
      </c>
      <c r="B111">
        <v>60</v>
      </c>
      <c r="C111">
        <v>16</v>
      </c>
      <c r="D111">
        <v>0</v>
      </c>
      <c r="E111">
        <v>0</v>
      </c>
      <c r="F111">
        <v>0</v>
      </c>
      <c r="G111" s="5">
        <v>5.9259259214741178E-3</v>
      </c>
      <c r="H111" t="s">
        <v>275</v>
      </c>
      <c r="I111" t="s">
        <v>276</v>
      </c>
      <c r="J111">
        <v>0</v>
      </c>
      <c r="K111">
        <f t="shared" si="10"/>
        <v>2</v>
      </c>
      <c r="L111">
        <f t="shared" si="11"/>
        <v>105</v>
      </c>
      <c r="M111">
        <f t="shared" si="12"/>
        <v>4</v>
      </c>
      <c r="N111">
        <f t="shared" si="13"/>
        <v>104</v>
      </c>
      <c r="O111">
        <f t="shared" si="14"/>
        <v>0</v>
      </c>
      <c r="P111" t="str">
        <f t="shared" si="15"/>
        <v>前倒し（1）</v>
      </c>
      <c r="Q111" s="5">
        <f t="shared" si="9"/>
        <v>5.9259259214741178E-3</v>
      </c>
    </row>
    <row r="112" spans="1:17">
      <c r="A112" s="3">
        <v>46006.28056712963</v>
      </c>
      <c r="B112">
        <v>60</v>
      </c>
      <c r="C112">
        <v>7</v>
      </c>
      <c r="D112">
        <v>0</v>
      </c>
      <c r="E112">
        <v>0</v>
      </c>
      <c r="F112">
        <v>0</v>
      </c>
      <c r="G112" s="5">
        <v>6.2962962983874604E-3</v>
      </c>
      <c r="H112" t="s">
        <v>277</v>
      </c>
      <c r="I112" t="s">
        <v>278</v>
      </c>
      <c r="J112">
        <v>0</v>
      </c>
      <c r="K112">
        <f t="shared" si="10"/>
        <v>2</v>
      </c>
      <c r="L112">
        <f t="shared" si="11"/>
        <v>107</v>
      </c>
      <c r="M112">
        <f t="shared" si="12"/>
        <v>4</v>
      </c>
      <c r="N112">
        <f t="shared" si="13"/>
        <v>108</v>
      </c>
      <c r="O112">
        <f t="shared" si="14"/>
        <v>0</v>
      </c>
      <c r="P112" t="str">
        <f t="shared" si="15"/>
        <v>未達成（1）</v>
      </c>
      <c r="Q112" s="5">
        <f t="shared" si="9"/>
        <v>6.2962962983874604E-3</v>
      </c>
    </row>
    <row r="113" spans="1:17">
      <c r="A113" s="3">
        <v>46006.299976851849</v>
      </c>
      <c r="B113">
        <v>60</v>
      </c>
      <c r="C113">
        <v>22</v>
      </c>
      <c r="D113">
        <v>0</v>
      </c>
      <c r="E113">
        <v>0</v>
      </c>
      <c r="F113">
        <v>0</v>
      </c>
      <c r="G113" s="5">
        <v>1.077546295709908E-2</v>
      </c>
      <c r="H113" t="s">
        <v>279</v>
      </c>
      <c r="I113" t="s">
        <v>280</v>
      </c>
      <c r="J113">
        <v>0</v>
      </c>
      <c r="K113">
        <f t="shared" si="10"/>
        <v>1</v>
      </c>
      <c r="L113">
        <f t="shared" si="11"/>
        <v>108</v>
      </c>
      <c r="M113">
        <f t="shared" si="12"/>
        <v>4</v>
      </c>
      <c r="N113">
        <f t="shared" si="13"/>
        <v>108</v>
      </c>
      <c r="O113">
        <f t="shared" si="14"/>
        <v>0</v>
      </c>
      <c r="P113" t="str">
        <f t="shared" si="15"/>
        <v>達成</v>
      </c>
      <c r="Q113" s="5">
        <f t="shared" si="9"/>
        <v>1.077546295709908E-2</v>
      </c>
    </row>
    <row r="114" spans="1:17">
      <c r="A114" s="3">
        <v>46007.284803240742</v>
      </c>
      <c r="B114">
        <v>60</v>
      </c>
      <c r="C114">
        <v>4</v>
      </c>
      <c r="D114">
        <v>0</v>
      </c>
      <c r="E114">
        <v>0</v>
      </c>
      <c r="F114">
        <v>0</v>
      </c>
      <c r="G114" s="5">
        <v>6.3425925909541547E-3</v>
      </c>
      <c r="H114" t="s">
        <v>281</v>
      </c>
      <c r="I114" t="s">
        <v>282</v>
      </c>
      <c r="J114">
        <v>0</v>
      </c>
      <c r="K114">
        <f t="shared" si="10"/>
        <v>2</v>
      </c>
      <c r="L114">
        <f t="shared" si="11"/>
        <v>110</v>
      </c>
      <c r="M114">
        <f t="shared" si="12"/>
        <v>4</v>
      </c>
      <c r="N114">
        <f t="shared" si="13"/>
        <v>112</v>
      </c>
      <c r="O114">
        <f t="shared" si="14"/>
        <v>0</v>
      </c>
      <c r="P114" t="str">
        <f t="shared" si="15"/>
        <v>未達成（2）</v>
      </c>
      <c r="Q114" s="5">
        <f t="shared" si="9"/>
        <v>6.3425925909541547E-3</v>
      </c>
    </row>
    <row r="115" spans="1:17">
      <c r="A115" s="3">
        <v>46007.309988425928</v>
      </c>
      <c r="B115">
        <v>60</v>
      </c>
      <c r="C115">
        <v>4</v>
      </c>
      <c r="D115">
        <v>0</v>
      </c>
      <c r="E115">
        <v>0</v>
      </c>
      <c r="F115">
        <v>0</v>
      </c>
      <c r="G115" s="5">
        <v>8.819444446999114E-3</v>
      </c>
      <c r="H115" t="s">
        <v>283</v>
      </c>
      <c r="I115" t="s">
        <v>284</v>
      </c>
      <c r="J115">
        <v>0</v>
      </c>
      <c r="K115">
        <f t="shared" si="10"/>
        <v>1</v>
      </c>
      <c r="L115">
        <f t="shared" si="11"/>
        <v>111</v>
      </c>
      <c r="M115">
        <f t="shared" si="12"/>
        <v>4</v>
      </c>
      <c r="N115">
        <f t="shared" si="13"/>
        <v>112</v>
      </c>
      <c r="O115">
        <f t="shared" si="14"/>
        <v>0</v>
      </c>
      <c r="P115" t="str">
        <f t="shared" si="15"/>
        <v>未達成（1）</v>
      </c>
      <c r="Q115" s="5">
        <f t="shared" si="9"/>
        <v>8.819444446999114E-3</v>
      </c>
    </row>
    <row r="116" spans="1:17">
      <c r="A116" s="3">
        <v>46007.322476851848</v>
      </c>
      <c r="B116">
        <v>60</v>
      </c>
      <c r="C116">
        <v>8</v>
      </c>
      <c r="D116">
        <v>0</v>
      </c>
      <c r="E116">
        <v>0</v>
      </c>
      <c r="F116">
        <v>0</v>
      </c>
      <c r="G116" s="5">
        <v>7.6504629614646547E-3</v>
      </c>
      <c r="H116" t="s">
        <v>285</v>
      </c>
      <c r="I116" t="s">
        <v>286</v>
      </c>
      <c r="J116">
        <v>0</v>
      </c>
      <c r="K116">
        <f t="shared" si="10"/>
        <v>1</v>
      </c>
      <c r="L116">
        <f t="shared" si="11"/>
        <v>112</v>
      </c>
      <c r="M116">
        <f t="shared" si="12"/>
        <v>4</v>
      </c>
      <c r="N116">
        <f t="shared" si="13"/>
        <v>112</v>
      </c>
      <c r="O116">
        <f t="shared" si="14"/>
        <v>0</v>
      </c>
      <c r="P116" t="str">
        <f t="shared" si="15"/>
        <v>達成</v>
      </c>
      <c r="Q116" s="5">
        <f t="shared" si="9"/>
        <v>7.6504629614646547E-3</v>
      </c>
    </row>
    <row r="117" spans="1:17">
      <c r="A117" s="3">
        <v>46008.31181712963</v>
      </c>
      <c r="B117">
        <v>60</v>
      </c>
      <c r="C117">
        <v>13</v>
      </c>
      <c r="D117">
        <v>0</v>
      </c>
      <c r="E117">
        <v>0</v>
      </c>
      <c r="F117">
        <v>0</v>
      </c>
      <c r="G117" s="5">
        <v>7.8472222230629995E-3</v>
      </c>
      <c r="H117" t="s">
        <v>287</v>
      </c>
      <c r="I117" t="s">
        <v>288</v>
      </c>
      <c r="J117">
        <v>0</v>
      </c>
      <c r="K117">
        <f t="shared" si="10"/>
        <v>1</v>
      </c>
      <c r="L117">
        <f t="shared" si="11"/>
        <v>113</v>
      </c>
      <c r="M117">
        <f t="shared" si="12"/>
        <v>4</v>
      </c>
      <c r="N117">
        <f t="shared" si="13"/>
        <v>116</v>
      </c>
      <c r="O117">
        <f t="shared" si="14"/>
        <v>0</v>
      </c>
      <c r="P117" t="str">
        <f t="shared" si="15"/>
        <v>未達成（3）</v>
      </c>
      <c r="Q117" s="5">
        <f t="shared" si="9"/>
        <v>7.8472222230629995E-3</v>
      </c>
    </row>
    <row r="118" spans="1:17">
      <c r="A118" s="3">
        <v>46008.480613425927</v>
      </c>
      <c r="B118">
        <v>60</v>
      </c>
      <c r="C118">
        <v>8</v>
      </c>
      <c r="D118">
        <v>0</v>
      </c>
      <c r="E118">
        <v>0</v>
      </c>
      <c r="F118">
        <v>0</v>
      </c>
      <c r="G118" s="5">
        <v>1.3935185183072463E-2</v>
      </c>
      <c r="H118" t="s">
        <v>289</v>
      </c>
      <c r="I118" t="s">
        <v>290</v>
      </c>
      <c r="J118">
        <v>0</v>
      </c>
      <c r="K118">
        <f t="shared" si="10"/>
        <v>0</v>
      </c>
      <c r="L118">
        <f t="shared" si="11"/>
        <v>113</v>
      </c>
      <c r="M118">
        <f t="shared" si="12"/>
        <v>4</v>
      </c>
      <c r="N118">
        <f t="shared" si="13"/>
        <v>116</v>
      </c>
      <c r="O118">
        <f t="shared" si="14"/>
        <v>0</v>
      </c>
      <c r="P118" t="str">
        <f t="shared" si="15"/>
        <v>未達成（3）</v>
      </c>
      <c r="Q118" s="5">
        <f t="shared" si="9"/>
        <v>1.3935185183072463E-2</v>
      </c>
    </row>
    <row r="119" spans="1:17">
      <c r="A119" s="3">
        <v>46008.556168981479</v>
      </c>
      <c r="B119">
        <v>60</v>
      </c>
      <c r="C119">
        <v>20</v>
      </c>
      <c r="D119">
        <v>0</v>
      </c>
      <c r="E119">
        <v>0</v>
      </c>
      <c r="F119">
        <v>0</v>
      </c>
      <c r="G119" s="5">
        <v>8.8425925932824612E-3</v>
      </c>
      <c r="H119" t="s">
        <v>291</v>
      </c>
      <c r="I119" t="s">
        <v>292</v>
      </c>
      <c r="J119">
        <v>0</v>
      </c>
      <c r="K119">
        <f t="shared" si="10"/>
        <v>1</v>
      </c>
      <c r="L119">
        <f t="shared" si="11"/>
        <v>114</v>
      </c>
      <c r="M119">
        <f t="shared" si="12"/>
        <v>4</v>
      </c>
      <c r="N119">
        <f t="shared" si="13"/>
        <v>116</v>
      </c>
      <c r="O119">
        <f t="shared" si="14"/>
        <v>0</v>
      </c>
      <c r="P119" t="str">
        <f t="shared" si="15"/>
        <v>未達成（2）</v>
      </c>
      <c r="Q119" s="5">
        <f t="shared" si="9"/>
        <v>8.8425925932824612E-3</v>
      </c>
    </row>
    <row r="120" spans="1:17">
      <c r="A120" s="3">
        <v>46008.573888888888</v>
      </c>
      <c r="B120">
        <v>60</v>
      </c>
      <c r="C120">
        <v>8</v>
      </c>
      <c r="D120">
        <v>0</v>
      </c>
      <c r="E120">
        <v>0</v>
      </c>
      <c r="F120">
        <v>0</v>
      </c>
      <c r="G120" s="5">
        <v>6.435185183363501E-3</v>
      </c>
      <c r="H120" t="s">
        <v>293</v>
      </c>
      <c r="I120" t="s">
        <v>294</v>
      </c>
      <c r="J120">
        <v>0</v>
      </c>
      <c r="K120">
        <f t="shared" si="10"/>
        <v>2</v>
      </c>
      <c r="L120">
        <f t="shared" si="11"/>
        <v>116</v>
      </c>
      <c r="M120">
        <f t="shared" si="12"/>
        <v>4</v>
      </c>
      <c r="N120">
        <f t="shared" si="13"/>
        <v>116</v>
      </c>
      <c r="O120">
        <f t="shared" si="14"/>
        <v>0</v>
      </c>
      <c r="P120" t="str">
        <f t="shared" si="15"/>
        <v>達成</v>
      </c>
      <c r="Q120" s="5">
        <f t="shared" si="9"/>
        <v>6.435185183363501E-3</v>
      </c>
    </row>
    <row r="121" spans="1:17">
      <c r="A121" s="3">
        <v>46009.282060185185</v>
      </c>
      <c r="B121">
        <v>60</v>
      </c>
      <c r="C121">
        <v>11</v>
      </c>
      <c r="D121">
        <v>0</v>
      </c>
      <c r="E121">
        <v>0</v>
      </c>
      <c r="F121">
        <v>0</v>
      </c>
      <c r="G121" s="5">
        <v>7.8009259232203476E-3</v>
      </c>
      <c r="H121" t="s">
        <v>295</v>
      </c>
      <c r="I121" t="s">
        <v>296</v>
      </c>
      <c r="J121">
        <v>0</v>
      </c>
      <c r="K121">
        <f t="shared" si="10"/>
        <v>1</v>
      </c>
      <c r="L121">
        <f t="shared" si="11"/>
        <v>117</v>
      </c>
      <c r="M121">
        <f t="shared" si="12"/>
        <v>4</v>
      </c>
      <c r="N121">
        <f t="shared" si="13"/>
        <v>120</v>
      </c>
      <c r="O121">
        <f t="shared" si="14"/>
        <v>0</v>
      </c>
      <c r="P121" t="str">
        <f t="shared" si="15"/>
        <v>未達成（3）</v>
      </c>
      <c r="Q121" s="5">
        <f t="shared" si="9"/>
        <v>7.8009259232203476E-3</v>
      </c>
    </row>
    <row r="122" spans="1:17">
      <c r="A122" s="3">
        <v>46009.293854166666</v>
      </c>
      <c r="B122">
        <v>60</v>
      </c>
      <c r="C122">
        <v>8</v>
      </c>
      <c r="D122">
        <v>0</v>
      </c>
      <c r="E122">
        <v>0</v>
      </c>
      <c r="F122">
        <v>0</v>
      </c>
      <c r="G122" s="5">
        <v>8.3796296312357299E-3</v>
      </c>
      <c r="H122" t="s">
        <v>297</v>
      </c>
      <c r="I122" t="s">
        <v>298</v>
      </c>
      <c r="J122">
        <v>0</v>
      </c>
      <c r="K122">
        <f t="shared" si="10"/>
        <v>1</v>
      </c>
      <c r="L122">
        <f t="shared" si="11"/>
        <v>118</v>
      </c>
      <c r="M122">
        <f t="shared" si="12"/>
        <v>4</v>
      </c>
      <c r="N122">
        <f t="shared" si="13"/>
        <v>120</v>
      </c>
      <c r="O122">
        <f t="shared" si="14"/>
        <v>0</v>
      </c>
      <c r="P122" t="str">
        <f t="shared" si="15"/>
        <v>未達成（2）</v>
      </c>
      <c r="Q122" s="5">
        <f t="shared" si="9"/>
        <v>8.3796296312357299E-3</v>
      </c>
    </row>
    <row r="123" spans="1:17">
      <c r="A123" s="3">
        <v>46009.372372685182</v>
      </c>
      <c r="B123">
        <v>53</v>
      </c>
      <c r="C123">
        <v>4</v>
      </c>
      <c r="D123">
        <v>0</v>
      </c>
      <c r="E123">
        <v>7</v>
      </c>
      <c r="F123">
        <v>5</v>
      </c>
      <c r="G123" s="5">
        <v>9.5717592557775788E-3</v>
      </c>
      <c r="H123" t="s">
        <v>299</v>
      </c>
      <c r="I123" t="s">
        <v>300</v>
      </c>
      <c r="J123">
        <v>0</v>
      </c>
      <c r="K123">
        <f t="shared" si="10"/>
        <v>0</v>
      </c>
      <c r="L123">
        <f t="shared" si="11"/>
        <v>118</v>
      </c>
      <c r="M123">
        <f t="shared" si="12"/>
        <v>4</v>
      </c>
      <c r="N123">
        <f t="shared" si="13"/>
        <v>120</v>
      </c>
      <c r="O123">
        <f t="shared" si="14"/>
        <v>0</v>
      </c>
      <c r="P123" t="str">
        <f t="shared" si="15"/>
        <v>未達成（2）</v>
      </c>
      <c r="Q123" s="5">
        <f t="shared" si="9"/>
        <v>9.5717592557775788E-3</v>
      </c>
    </row>
    <row r="124" spans="1:17">
      <c r="A124" s="3">
        <v>46009.600648148145</v>
      </c>
      <c r="B124">
        <v>60</v>
      </c>
      <c r="C124">
        <v>8</v>
      </c>
      <c r="D124">
        <v>0</v>
      </c>
      <c r="E124">
        <v>0</v>
      </c>
      <c r="F124">
        <v>0</v>
      </c>
      <c r="G124" s="5">
        <v>6.5277777757728472E-3</v>
      </c>
      <c r="H124" t="s">
        <v>301</v>
      </c>
      <c r="I124" t="s">
        <v>302</v>
      </c>
      <c r="J124">
        <v>0</v>
      </c>
      <c r="K124">
        <f t="shared" si="10"/>
        <v>2</v>
      </c>
      <c r="L124">
        <f t="shared" si="11"/>
        <v>120</v>
      </c>
      <c r="M124">
        <f t="shared" si="12"/>
        <v>4</v>
      </c>
      <c r="N124">
        <f t="shared" si="13"/>
        <v>120</v>
      </c>
      <c r="O124">
        <f t="shared" si="14"/>
        <v>0</v>
      </c>
      <c r="P124" t="str">
        <f t="shared" si="15"/>
        <v>達成</v>
      </c>
      <c r="Q124" s="5">
        <f t="shared" si="9"/>
        <v>6.5277777757728472E-3</v>
      </c>
    </row>
    <row r="125" spans="1:17">
      <c r="A125" s="3">
        <v>46010.489201388889</v>
      </c>
      <c r="B125">
        <v>60</v>
      </c>
      <c r="C125">
        <v>15</v>
      </c>
      <c r="D125">
        <v>0</v>
      </c>
      <c r="E125">
        <v>0</v>
      </c>
      <c r="F125">
        <v>0</v>
      </c>
      <c r="G125" s="5">
        <v>1.0011574071540963E-2</v>
      </c>
      <c r="H125" t="s">
        <v>303</v>
      </c>
      <c r="I125" t="s">
        <v>304</v>
      </c>
      <c r="J125">
        <v>0</v>
      </c>
      <c r="K125">
        <f t="shared" si="10"/>
        <v>1</v>
      </c>
      <c r="L125">
        <f t="shared" si="11"/>
        <v>121</v>
      </c>
      <c r="M125">
        <f t="shared" si="12"/>
        <v>4</v>
      </c>
      <c r="N125">
        <f t="shared" si="13"/>
        <v>124</v>
      </c>
      <c r="O125">
        <f t="shared" si="14"/>
        <v>0</v>
      </c>
      <c r="P125" t="str">
        <f t="shared" si="15"/>
        <v>未達成（3）</v>
      </c>
      <c r="Q125" s="5">
        <f t="shared" si="9"/>
        <v>1.0011574071540963E-2</v>
      </c>
    </row>
    <row r="126" spans="1:17">
      <c r="A126" s="3">
        <v>46010.549768518518</v>
      </c>
      <c r="B126">
        <v>60</v>
      </c>
      <c r="C126">
        <v>14</v>
      </c>
      <c r="D126">
        <v>0</v>
      </c>
      <c r="E126">
        <v>0</v>
      </c>
      <c r="F126">
        <v>0</v>
      </c>
      <c r="G126" s="5">
        <v>6.7361111141508445E-3</v>
      </c>
      <c r="H126" t="s">
        <v>305</v>
      </c>
      <c r="I126" t="s">
        <v>306</v>
      </c>
      <c r="J126">
        <v>0</v>
      </c>
      <c r="K126">
        <f t="shared" si="10"/>
        <v>2</v>
      </c>
      <c r="L126">
        <f t="shared" si="11"/>
        <v>123</v>
      </c>
      <c r="M126">
        <f t="shared" si="12"/>
        <v>4</v>
      </c>
      <c r="N126">
        <f t="shared" si="13"/>
        <v>124</v>
      </c>
      <c r="O126">
        <f t="shared" si="14"/>
        <v>0</v>
      </c>
      <c r="P126" t="str">
        <f t="shared" si="15"/>
        <v>未達成（1）</v>
      </c>
      <c r="Q126" s="5">
        <f t="shared" si="9"/>
        <v>6.7361111141508445E-3</v>
      </c>
    </row>
    <row r="127" spans="1:17">
      <c r="A127" s="3">
        <v>46010.559502314813</v>
      </c>
      <c r="B127">
        <v>60</v>
      </c>
      <c r="C127">
        <v>6</v>
      </c>
      <c r="D127">
        <v>0</v>
      </c>
      <c r="E127">
        <v>0</v>
      </c>
      <c r="F127">
        <v>0</v>
      </c>
      <c r="G127" s="5">
        <v>8.4606481468654238E-3</v>
      </c>
      <c r="H127" t="s">
        <v>307</v>
      </c>
      <c r="I127" t="s">
        <v>308</v>
      </c>
      <c r="J127">
        <v>0</v>
      </c>
      <c r="K127">
        <f t="shared" si="10"/>
        <v>1</v>
      </c>
      <c r="L127">
        <f t="shared" si="11"/>
        <v>124</v>
      </c>
      <c r="M127">
        <f t="shared" si="12"/>
        <v>4</v>
      </c>
      <c r="N127">
        <f t="shared" si="13"/>
        <v>124</v>
      </c>
      <c r="O127">
        <f t="shared" si="14"/>
        <v>0</v>
      </c>
      <c r="P127" t="str">
        <f t="shared" si="15"/>
        <v>達成</v>
      </c>
      <c r="Q127" s="5">
        <f t="shared" si="9"/>
        <v>8.4606481468654238E-3</v>
      </c>
    </row>
    <row r="128" spans="1:17">
      <c r="A128" s="3">
        <v>46011.279826388891</v>
      </c>
      <c r="B128">
        <v>60</v>
      </c>
      <c r="C128">
        <v>16</v>
      </c>
      <c r="D128">
        <v>0</v>
      </c>
      <c r="E128">
        <v>0</v>
      </c>
      <c r="F128">
        <v>0</v>
      </c>
      <c r="G128" s="5">
        <v>8.0208333383779973E-3</v>
      </c>
      <c r="H128" t="s">
        <v>309</v>
      </c>
      <c r="I128" t="s">
        <v>310</v>
      </c>
      <c r="J128">
        <v>0</v>
      </c>
      <c r="K128">
        <f t="shared" si="10"/>
        <v>1</v>
      </c>
      <c r="L128">
        <f t="shared" si="11"/>
        <v>125</v>
      </c>
      <c r="M128">
        <f t="shared" si="12"/>
        <v>4</v>
      </c>
      <c r="N128">
        <f t="shared" si="13"/>
        <v>128</v>
      </c>
      <c r="O128">
        <f t="shared" si="14"/>
        <v>0</v>
      </c>
      <c r="P128" t="str">
        <f t="shared" si="15"/>
        <v>未達成（3）</v>
      </c>
      <c r="Q128" s="5">
        <f t="shared" si="9"/>
        <v>8.0208333383779973E-3</v>
      </c>
    </row>
    <row r="129" spans="1:17">
      <c r="A129" s="3">
        <v>46011.312511574077</v>
      </c>
      <c r="B129">
        <v>60</v>
      </c>
      <c r="C129">
        <v>20</v>
      </c>
      <c r="D129">
        <v>0</v>
      </c>
      <c r="E129">
        <v>0</v>
      </c>
      <c r="F129">
        <v>0</v>
      </c>
      <c r="G129" s="5">
        <v>5.9722222213167697E-3</v>
      </c>
      <c r="H129" t="s">
        <v>311</v>
      </c>
      <c r="I129" t="s">
        <v>312</v>
      </c>
      <c r="J129">
        <v>0</v>
      </c>
      <c r="K129">
        <f t="shared" si="10"/>
        <v>2</v>
      </c>
      <c r="L129">
        <f t="shared" si="11"/>
        <v>127</v>
      </c>
      <c r="M129">
        <f t="shared" si="12"/>
        <v>4</v>
      </c>
      <c r="N129">
        <f t="shared" si="13"/>
        <v>128</v>
      </c>
      <c r="O129">
        <f t="shared" si="14"/>
        <v>0</v>
      </c>
      <c r="P129" t="str">
        <f t="shared" si="15"/>
        <v>未達成（1）</v>
      </c>
      <c r="Q129" s="5">
        <f t="shared" si="9"/>
        <v>5.9722222213167697E-3</v>
      </c>
    </row>
    <row r="130" spans="1:17">
      <c r="A130" s="3">
        <v>46011.325300925928</v>
      </c>
      <c r="B130">
        <v>60</v>
      </c>
      <c r="C130">
        <v>24</v>
      </c>
      <c r="D130">
        <v>0</v>
      </c>
      <c r="E130">
        <v>0</v>
      </c>
      <c r="F130">
        <v>0</v>
      </c>
      <c r="G130" s="5">
        <v>9.0625000011641532E-3</v>
      </c>
      <c r="H130" t="s">
        <v>313</v>
      </c>
      <c r="I130" t="s">
        <v>314</v>
      </c>
      <c r="J130">
        <v>0</v>
      </c>
      <c r="K130">
        <f t="shared" si="10"/>
        <v>1</v>
      </c>
      <c r="L130">
        <f t="shared" si="11"/>
        <v>128</v>
      </c>
      <c r="M130">
        <f t="shared" si="12"/>
        <v>4</v>
      </c>
      <c r="N130">
        <f t="shared" si="13"/>
        <v>128</v>
      </c>
      <c r="O130">
        <f t="shared" si="14"/>
        <v>0</v>
      </c>
      <c r="P130" t="str">
        <f t="shared" si="15"/>
        <v>達成</v>
      </c>
      <c r="Q130" s="5">
        <f t="shared" si="9"/>
        <v>9.0625000011641532E-3</v>
      </c>
    </row>
    <row r="131" spans="1:17">
      <c r="A131" s="3">
        <v>46012.306608796294</v>
      </c>
      <c r="B131">
        <v>60</v>
      </c>
      <c r="C131">
        <v>13</v>
      </c>
      <c r="D131">
        <v>0</v>
      </c>
      <c r="E131">
        <v>0</v>
      </c>
      <c r="F131">
        <v>0</v>
      </c>
      <c r="G131" s="5">
        <v>6.5162036989931948E-3</v>
      </c>
      <c r="H131" t="s">
        <v>315</v>
      </c>
      <c r="I131" t="s">
        <v>316</v>
      </c>
      <c r="J131">
        <v>0</v>
      </c>
      <c r="K131">
        <f t="shared" si="10"/>
        <v>2</v>
      </c>
      <c r="L131">
        <f t="shared" si="11"/>
        <v>130</v>
      </c>
      <c r="M131">
        <f t="shared" si="12"/>
        <v>4</v>
      </c>
      <c r="N131">
        <f t="shared" si="13"/>
        <v>132</v>
      </c>
      <c r="O131">
        <f t="shared" si="14"/>
        <v>0</v>
      </c>
      <c r="P131" t="str">
        <f t="shared" si="15"/>
        <v>未達成（2）</v>
      </c>
      <c r="Q131" s="5">
        <f t="shared" si="9"/>
        <v>6.5162036989931948E-3</v>
      </c>
    </row>
    <row r="132" spans="1:17">
      <c r="A132" s="3">
        <v>46012.318067129629</v>
      </c>
      <c r="B132">
        <v>60</v>
      </c>
      <c r="C132">
        <v>24</v>
      </c>
      <c r="D132">
        <v>0</v>
      </c>
      <c r="E132">
        <v>0</v>
      </c>
      <c r="F132">
        <v>0</v>
      </c>
      <c r="G132" s="5">
        <v>6.8634259223472327E-3</v>
      </c>
      <c r="H132" t="s">
        <v>317</v>
      </c>
      <c r="I132" t="s">
        <v>318</v>
      </c>
      <c r="J132">
        <v>0</v>
      </c>
      <c r="K132">
        <f t="shared" si="10"/>
        <v>2</v>
      </c>
      <c r="L132">
        <f t="shared" si="11"/>
        <v>132</v>
      </c>
      <c r="M132">
        <f t="shared" si="12"/>
        <v>4</v>
      </c>
      <c r="N132">
        <f t="shared" si="13"/>
        <v>132</v>
      </c>
      <c r="O132">
        <f t="shared" si="14"/>
        <v>0</v>
      </c>
      <c r="P132" t="str">
        <f t="shared" si="15"/>
        <v>達成</v>
      </c>
      <c r="Q132" s="5">
        <f t="shared" ref="Q132:Q185" si="16">IF(B132="",NA(),G132)</f>
        <v>6.8634259223472327E-3</v>
      </c>
    </row>
    <row r="133" spans="1:17">
      <c r="A133" s="3">
        <v>46013.314039351855</v>
      </c>
      <c r="B133">
        <v>60</v>
      </c>
      <c r="C133">
        <v>18</v>
      </c>
      <c r="D133">
        <v>0</v>
      </c>
      <c r="E133">
        <v>0</v>
      </c>
      <c r="F133">
        <v>0</v>
      </c>
      <c r="G133" s="5">
        <v>7.6967592613073066E-3</v>
      </c>
      <c r="H133" t="s">
        <v>319</v>
      </c>
      <c r="I133" t="s">
        <v>320</v>
      </c>
      <c r="J133">
        <v>0</v>
      </c>
      <c r="K133">
        <f t="shared" si="10"/>
        <v>1</v>
      </c>
      <c r="L133">
        <f t="shared" si="11"/>
        <v>133</v>
      </c>
      <c r="M133">
        <f t="shared" si="12"/>
        <v>4</v>
      </c>
      <c r="N133">
        <f t="shared" si="13"/>
        <v>136</v>
      </c>
      <c r="O133">
        <f t="shared" si="14"/>
        <v>0</v>
      </c>
      <c r="P133" t="str">
        <f t="shared" si="15"/>
        <v>未達成（3）</v>
      </c>
      <c r="Q133" s="5">
        <f t="shared" si="16"/>
        <v>7.6967592613073066E-3</v>
      </c>
    </row>
    <row r="134" spans="1:17">
      <c r="A134" s="3">
        <v>46013.368958333333</v>
      </c>
      <c r="B134">
        <v>55</v>
      </c>
      <c r="C134">
        <v>7</v>
      </c>
      <c r="D134">
        <v>0</v>
      </c>
      <c r="E134">
        <v>5</v>
      </c>
      <c r="F134">
        <v>0</v>
      </c>
      <c r="G134" s="5">
        <v>8.599537039117422E-3</v>
      </c>
      <c r="H134" t="s">
        <v>321</v>
      </c>
      <c r="I134" t="s">
        <v>322</v>
      </c>
      <c r="J134">
        <v>0</v>
      </c>
      <c r="K134">
        <f t="shared" si="10"/>
        <v>0</v>
      </c>
      <c r="L134">
        <f t="shared" si="11"/>
        <v>133</v>
      </c>
      <c r="M134">
        <f t="shared" si="12"/>
        <v>4</v>
      </c>
      <c r="N134">
        <f t="shared" si="13"/>
        <v>136</v>
      </c>
      <c r="O134">
        <f t="shared" si="14"/>
        <v>0</v>
      </c>
      <c r="P134" t="str">
        <f t="shared" si="15"/>
        <v>未達成（3）</v>
      </c>
      <c r="Q134" s="5">
        <f t="shared" si="16"/>
        <v>8.599537039117422E-3</v>
      </c>
    </row>
    <row r="135" spans="1:17">
      <c r="A135" s="3">
        <v>46013.860532407409</v>
      </c>
      <c r="B135">
        <v>60</v>
      </c>
      <c r="C135">
        <v>2</v>
      </c>
      <c r="D135">
        <v>0</v>
      </c>
      <c r="E135">
        <v>0</v>
      </c>
      <c r="F135">
        <v>0</v>
      </c>
      <c r="G135" s="5">
        <v>1.0312500002328306E-2</v>
      </c>
      <c r="H135" t="s">
        <v>323</v>
      </c>
      <c r="I135" t="s">
        <v>324</v>
      </c>
      <c r="J135">
        <v>0</v>
      </c>
      <c r="K135">
        <f t="shared" si="10"/>
        <v>1</v>
      </c>
      <c r="L135">
        <f t="shared" si="11"/>
        <v>134</v>
      </c>
      <c r="M135">
        <f t="shared" si="12"/>
        <v>4</v>
      </c>
      <c r="N135">
        <f t="shared" si="13"/>
        <v>136</v>
      </c>
      <c r="O135">
        <f t="shared" si="14"/>
        <v>0</v>
      </c>
      <c r="P135" t="str">
        <f t="shared" si="15"/>
        <v>未達成（2）</v>
      </c>
      <c r="Q135" s="5">
        <f t="shared" si="16"/>
        <v>1.0312500002328306E-2</v>
      </c>
    </row>
    <row r="136" spans="1:17">
      <c r="A136" s="3">
        <v>46013.8671412037</v>
      </c>
      <c r="B136">
        <v>60</v>
      </c>
      <c r="C136">
        <v>18</v>
      </c>
      <c r="D136">
        <v>0</v>
      </c>
      <c r="E136">
        <v>0</v>
      </c>
      <c r="F136">
        <v>0</v>
      </c>
      <c r="G136" s="5">
        <v>6.2731481448281556E-3</v>
      </c>
      <c r="H136" t="s">
        <v>325</v>
      </c>
      <c r="I136" t="s">
        <v>326</v>
      </c>
      <c r="J136">
        <v>0</v>
      </c>
      <c r="K136">
        <f t="shared" si="10"/>
        <v>2</v>
      </c>
      <c r="L136">
        <f t="shared" si="11"/>
        <v>136</v>
      </c>
      <c r="M136">
        <f t="shared" si="12"/>
        <v>4</v>
      </c>
      <c r="N136">
        <f t="shared" si="13"/>
        <v>136</v>
      </c>
      <c r="O136">
        <f t="shared" si="14"/>
        <v>0</v>
      </c>
      <c r="P136" t="str">
        <f t="shared" si="15"/>
        <v>達成</v>
      </c>
      <c r="Q136" s="5">
        <f t="shared" si="16"/>
        <v>6.2731481448281556E-3</v>
      </c>
    </row>
    <row r="137" spans="1:17">
      <c r="A137" s="3">
        <v>46014.288958333331</v>
      </c>
      <c r="B137">
        <v>60</v>
      </c>
      <c r="C137">
        <v>8</v>
      </c>
      <c r="D137">
        <v>0</v>
      </c>
      <c r="E137">
        <v>0</v>
      </c>
      <c r="F137">
        <v>0</v>
      </c>
      <c r="G137" s="5">
        <v>6.5624999988358468E-3</v>
      </c>
      <c r="H137" t="s">
        <v>327</v>
      </c>
      <c r="I137" t="s">
        <v>328</v>
      </c>
      <c r="J137">
        <v>0</v>
      </c>
      <c r="K137">
        <f t="shared" si="10"/>
        <v>2</v>
      </c>
      <c r="L137">
        <f t="shared" si="11"/>
        <v>138</v>
      </c>
      <c r="M137">
        <f t="shared" si="12"/>
        <v>4</v>
      </c>
      <c r="N137">
        <f t="shared" si="13"/>
        <v>140</v>
      </c>
      <c r="O137">
        <f t="shared" si="14"/>
        <v>0</v>
      </c>
      <c r="P137" t="str">
        <f t="shared" si="15"/>
        <v>未達成（2）</v>
      </c>
      <c r="Q137" s="5">
        <f t="shared" si="16"/>
        <v>6.5624999988358468E-3</v>
      </c>
    </row>
    <row r="138" spans="1:17">
      <c r="A138" s="3">
        <v>46014.308854166666</v>
      </c>
      <c r="B138">
        <v>60</v>
      </c>
      <c r="C138">
        <v>19</v>
      </c>
      <c r="D138">
        <v>0</v>
      </c>
      <c r="E138">
        <v>0</v>
      </c>
      <c r="F138">
        <v>0</v>
      </c>
      <c r="G138" s="5">
        <v>1.8229166664241347E-2</v>
      </c>
      <c r="H138" t="s">
        <v>329</v>
      </c>
      <c r="I138" t="s">
        <v>330</v>
      </c>
      <c r="J138">
        <v>0</v>
      </c>
      <c r="K138">
        <f t="shared" si="10"/>
        <v>0</v>
      </c>
      <c r="L138">
        <f t="shared" si="11"/>
        <v>138</v>
      </c>
      <c r="M138">
        <f t="shared" si="12"/>
        <v>4</v>
      </c>
      <c r="N138">
        <f t="shared" si="13"/>
        <v>140</v>
      </c>
      <c r="O138">
        <f t="shared" si="14"/>
        <v>0</v>
      </c>
      <c r="P138" t="str">
        <f t="shared" si="15"/>
        <v>未達成（2）</v>
      </c>
      <c r="Q138" s="5">
        <f t="shared" si="16"/>
        <v>1.8229166664241347E-2</v>
      </c>
    </row>
    <row r="139" spans="1:17">
      <c r="A139" s="3">
        <v>46014.316064814811</v>
      </c>
      <c r="B139">
        <v>60</v>
      </c>
      <c r="C139">
        <v>13</v>
      </c>
      <c r="D139">
        <v>0</v>
      </c>
      <c r="E139">
        <v>0</v>
      </c>
      <c r="F139">
        <v>0</v>
      </c>
      <c r="G139" s="5">
        <v>6.0532407369464636E-3</v>
      </c>
      <c r="H139" t="s">
        <v>331</v>
      </c>
      <c r="I139" t="s">
        <v>332</v>
      </c>
      <c r="J139">
        <v>0</v>
      </c>
      <c r="K139">
        <f t="shared" si="10"/>
        <v>2</v>
      </c>
      <c r="L139">
        <f t="shared" si="11"/>
        <v>140</v>
      </c>
      <c r="M139">
        <f t="shared" si="12"/>
        <v>4</v>
      </c>
      <c r="N139">
        <f t="shared" si="13"/>
        <v>140</v>
      </c>
      <c r="O139">
        <f t="shared" si="14"/>
        <v>0</v>
      </c>
      <c r="P139" t="str">
        <f t="shared" si="15"/>
        <v>達成</v>
      </c>
      <c r="Q139" s="5">
        <f t="shared" si="16"/>
        <v>6.0532407369464636E-3</v>
      </c>
    </row>
    <row r="140" spans="1:17">
      <c r="A140" s="3">
        <v>46015.292881944442</v>
      </c>
      <c r="B140">
        <v>60</v>
      </c>
      <c r="C140">
        <v>10</v>
      </c>
      <c r="D140">
        <v>0</v>
      </c>
      <c r="E140">
        <v>0</v>
      </c>
      <c r="F140">
        <v>0</v>
      </c>
      <c r="G140" s="5">
        <v>9.6527777786832303E-3</v>
      </c>
      <c r="H140" t="s">
        <v>333</v>
      </c>
      <c r="I140" t="s">
        <v>334</v>
      </c>
      <c r="J140">
        <v>0</v>
      </c>
      <c r="K140">
        <f t="shared" si="10"/>
        <v>1</v>
      </c>
      <c r="L140">
        <f t="shared" si="11"/>
        <v>141</v>
      </c>
      <c r="M140">
        <f t="shared" si="12"/>
        <v>4</v>
      </c>
      <c r="N140">
        <f t="shared" si="13"/>
        <v>144</v>
      </c>
      <c r="O140">
        <f t="shared" si="14"/>
        <v>0</v>
      </c>
      <c r="P140" t="str">
        <f t="shared" si="15"/>
        <v>未達成（3）</v>
      </c>
      <c r="Q140" s="5">
        <f t="shared" si="16"/>
        <v>9.6527777786832303E-3</v>
      </c>
    </row>
    <row r="141" spans="1:17">
      <c r="A141" s="3">
        <v>46015.727083333331</v>
      </c>
      <c r="B141">
        <v>60</v>
      </c>
      <c r="C141">
        <v>11</v>
      </c>
      <c r="D141">
        <v>0</v>
      </c>
      <c r="E141">
        <v>0</v>
      </c>
      <c r="F141">
        <v>0</v>
      </c>
      <c r="G141" s="5">
        <v>6.0069444443797693E-3</v>
      </c>
      <c r="H141" t="s">
        <v>335</v>
      </c>
      <c r="I141" t="s">
        <v>336</v>
      </c>
      <c r="J141">
        <v>0</v>
      </c>
      <c r="K141">
        <f t="shared" si="10"/>
        <v>2</v>
      </c>
      <c r="L141">
        <f t="shared" si="11"/>
        <v>143</v>
      </c>
      <c r="M141">
        <f t="shared" si="12"/>
        <v>4</v>
      </c>
      <c r="N141">
        <f t="shared" si="13"/>
        <v>144</v>
      </c>
      <c r="O141">
        <f t="shared" si="14"/>
        <v>0</v>
      </c>
      <c r="P141" t="str">
        <f t="shared" si="15"/>
        <v>未達成（1）</v>
      </c>
      <c r="Q141" s="5">
        <f t="shared" si="16"/>
        <v>6.0069444443797693E-3</v>
      </c>
    </row>
    <row r="142" spans="1:17">
      <c r="A142" s="3">
        <v>46015.735798611109</v>
      </c>
      <c r="B142">
        <v>60</v>
      </c>
      <c r="C142">
        <v>4</v>
      </c>
      <c r="D142">
        <v>0</v>
      </c>
      <c r="E142">
        <v>0</v>
      </c>
      <c r="F142">
        <v>0</v>
      </c>
      <c r="G142" s="5">
        <v>7.3379629611736163E-3</v>
      </c>
      <c r="H142" t="s">
        <v>337</v>
      </c>
      <c r="I142" t="s">
        <v>338</v>
      </c>
      <c r="J142">
        <v>0</v>
      </c>
      <c r="K142">
        <f t="shared" si="10"/>
        <v>1</v>
      </c>
      <c r="L142">
        <f t="shared" si="11"/>
        <v>144</v>
      </c>
      <c r="M142">
        <f t="shared" si="12"/>
        <v>4</v>
      </c>
      <c r="N142">
        <f t="shared" si="13"/>
        <v>144</v>
      </c>
      <c r="O142">
        <f t="shared" si="14"/>
        <v>0</v>
      </c>
      <c r="P142" t="str">
        <f t="shared" si="15"/>
        <v>達成</v>
      </c>
      <c r="Q142" s="5">
        <f t="shared" si="16"/>
        <v>7.3379629611736163E-3</v>
      </c>
    </row>
    <row r="143" spans="1:17">
      <c r="A143" s="3">
        <v>46016.868796296294</v>
      </c>
      <c r="B143">
        <v>60</v>
      </c>
      <c r="C143">
        <v>12</v>
      </c>
      <c r="D143">
        <v>0</v>
      </c>
      <c r="E143">
        <v>0</v>
      </c>
      <c r="F143">
        <v>0</v>
      </c>
      <c r="G143" s="5">
        <v>7.2337962919846177E-3</v>
      </c>
      <c r="H143" t="s">
        <v>340</v>
      </c>
      <c r="I143" t="s">
        <v>341</v>
      </c>
      <c r="J143">
        <v>0</v>
      </c>
      <c r="K143">
        <f t="shared" si="10"/>
        <v>1</v>
      </c>
      <c r="L143">
        <f t="shared" si="11"/>
        <v>145</v>
      </c>
      <c r="M143">
        <f t="shared" si="12"/>
        <v>4</v>
      </c>
      <c r="N143">
        <f t="shared" si="13"/>
        <v>148</v>
      </c>
      <c r="O143">
        <f t="shared" si="14"/>
        <v>0</v>
      </c>
      <c r="P143" t="str">
        <f t="shared" si="15"/>
        <v>未達成（3）</v>
      </c>
      <c r="Q143" s="5">
        <f t="shared" si="16"/>
        <v>7.2337962919846177E-3</v>
      </c>
    </row>
    <row r="144" spans="1:17">
      <c r="A144" s="3">
        <v>46016.876342592594</v>
      </c>
      <c r="B144">
        <v>60</v>
      </c>
      <c r="C144">
        <v>16</v>
      </c>
      <c r="D144">
        <v>0</v>
      </c>
      <c r="E144">
        <v>0</v>
      </c>
      <c r="F144">
        <v>0</v>
      </c>
      <c r="G144" s="5">
        <v>7.0601851839455776E-3</v>
      </c>
      <c r="H144" t="s">
        <v>342</v>
      </c>
      <c r="I144" t="s">
        <v>343</v>
      </c>
      <c r="J144">
        <v>0</v>
      </c>
      <c r="K144">
        <f t="shared" si="10"/>
        <v>1</v>
      </c>
      <c r="L144">
        <f t="shared" si="11"/>
        <v>146</v>
      </c>
      <c r="M144">
        <f t="shared" si="12"/>
        <v>4</v>
      </c>
      <c r="N144">
        <f t="shared" si="13"/>
        <v>148</v>
      </c>
      <c r="O144">
        <f t="shared" si="14"/>
        <v>0</v>
      </c>
      <c r="P144" t="str">
        <f t="shared" si="15"/>
        <v>未達成（2）</v>
      </c>
      <c r="Q144" s="5">
        <f t="shared" si="16"/>
        <v>7.0601851839455776E-3</v>
      </c>
    </row>
    <row r="145" spans="1:17">
      <c r="A145" s="3">
        <v>46016.882222222222</v>
      </c>
      <c r="B145">
        <v>60</v>
      </c>
      <c r="C145">
        <v>10</v>
      </c>
      <c r="D145">
        <v>0</v>
      </c>
      <c r="E145">
        <v>0</v>
      </c>
      <c r="F145">
        <v>0</v>
      </c>
      <c r="G145" s="5">
        <v>4.8379629661212675E-3</v>
      </c>
      <c r="H145" t="s">
        <v>344</v>
      </c>
      <c r="I145" t="s">
        <v>345</v>
      </c>
      <c r="J145">
        <v>0</v>
      </c>
      <c r="K145">
        <f t="shared" si="10"/>
        <v>2</v>
      </c>
      <c r="L145">
        <f t="shared" si="11"/>
        <v>148</v>
      </c>
      <c r="M145">
        <f t="shared" si="12"/>
        <v>4</v>
      </c>
      <c r="N145">
        <f t="shared" si="13"/>
        <v>148</v>
      </c>
      <c r="O145">
        <f t="shared" si="14"/>
        <v>0</v>
      </c>
      <c r="P145" t="str">
        <f t="shared" si="15"/>
        <v>達成</v>
      </c>
      <c r="Q145" s="5">
        <f t="shared" si="16"/>
        <v>4.8379629661212675E-3</v>
      </c>
    </row>
    <row r="146" spans="1:17">
      <c r="A146" s="3">
        <v>46017.294525462959</v>
      </c>
      <c r="B146">
        <v>60</v>
      </c>
      <c r="C146">
        <v>17</v>
      </c>
      <c r="D146">
        <v>0</v>
      </c>
      <c r="E146">
        <v>0</v>
      </c>
      <c r="F146">
        <v>0</v>
      </c>
      <c r="G146" s="5">
        <v>7.4537036998663098E-3</v>
      </c>
      <c r="H146" t="s">
        <v>346</v>
      </c>
      <c r="I146" t="s">
        <v>347</v>
      </c>
      <c r="J146">
        <v>0</v>
      </c>
      <c r="K146">
        <f t="shared" si="10"/>
        <v>1</v>
      </c>
      <c r="L146">
        <f t="shared" si="11"/>
        <v>149</v>
      </c>
      <c r="M146">
        <f t="shared" si="12"/>
        <v>4</v>
      </c>
      <c r="N146">
        <f t="shared" si="13"/>
        <v>152</v>
      </c>
      <c r="O146">
        <f t="shared" si="14"/>
        <v>0</v>
      </c>
      <c r="P146" t="str">
        <f t="shared" si="15"/>
        <v>未達成（3）</v>
      </c>
      <c r="Q146" s="5">
        <f t="shared" si="16"/>
        <v>7.4537036998663098E-3</v>
      </c>
    </row>
    <row r="147" spans="1:17">
      <c r="A147" s="3">
        <v>46017.303078703706</v>
      </c>
      <c r="B147">
        <v>60</v>
      </c>
      <c r="C147">
        <v>13</v>
      </c>
      <c r="D147">
        <v>0</v>
      </c>
      <c r="E147">
        <v>0</v>
      </c>
      <c r="F147">
        <v>0</v>
      </c>
      <c r="G147" s="5">
        <v>7.1296296300715767E-3</v>
      </c>
      <c r="H147" t="s">
        <v>348</v>
      </c>
      <c r="I147" t="s">
        <v>349</v>
      </c>
      <c r="J147">
        <v>0</v>
      </c>
      <c r="K147">
        <f t="shared" ref="K147:K182" si="17">IF(A147&lt;DATEVALUE("2025/11/20")+TIMEVALUE("6:00"),1,IF(OR(B147&lt;&gt;60,SUM(D147:F147)&lt;&gt;0,G147&gt;=IF(A147&lt;DATEVALUE("2025/12/28")+TIMEVALUE("6:00"),20,18)/24/60),0,2-INT(G147*24*60/10)))</f>
        <v>1</v>
      </c>
      <c r="L147">
        <f t="shared" ref="L147:L182" si="18">L146+K147</f>
        <v>150</v>
      </c>
      <c r="M147">
        <f t="shared" ref="M147:M182" si="19">2+IF(A147&gt;=DATEVALUE("2025/11/30")+TIMEVALUE("6:00"),1,0)+IF(A147&gt;=DATEVALUE("2025/12/11")+TIMEVALUE("6:00"),1,0)</f>
        <v>4</v>
      </c>
      <c r="N147">
        <f t="shared" ref="N147:N182" si="20">N146+M147*(INT(A147-6/24)-INT(A146-6/24))+O147</f>
        <v>152</v>
      </c>
      <c r="O147">
        <f t="shared" ref="O147:O182" si="21">IF(A147&gt;=DATEVALUE("2025/11/8")+TIMEVALUE("6:00"),1,0)-IF(A146&gt;=DATEVALUE("2025/11/8")+TIMEVALUE("6:00"),1,0)</f>
        <v>0</v>
      </c>
      <c r="P147" t="str">
        <f t="shared" ref="P147:P182" si="22">IF(L147&lt;N147,"未達成（"&amp;N147-L147&amp;"）",IF(L147=N147,"達成","前倒し（"&amp;L147-N147&amp;"）"))</f>
        <v>未達成（2）</v>
      </c>
      <c r="Q147" s="5">
        <f t="shared" si="16"/>
        <v>7.1296296300715767E-3</v>
      </c>
    </row>
    <row r="148" spans="1:17">
      <c r="A148" s="3">
        <v>46017.314340277779</v>
      </c>
      <c r="B148">
        <v>60</v>
      </c>
      <c r="C148">
        <v>7</v>
      </c>
      <c r="D148">
        <v>0</v>
      </c>
      <c r="E148">
        <v>0</v>
      </c>
      <c r="F148">
        <v>0</v>
      </c>
      <c r="G148" s="5">
        <v>5.1967592589790002E-3</v>
      </c>
      <c r="H148" t="s">
        <v>350</v>
      </c>
      <c r="I148" t="s">
        <v>351</v>
      </c>
      <c r="J148">
        <v>0</v>
      </c>
      <c r="K148">
        <f t="shared" si="17"/>
        <v>2</v>
      </c>
      <c r="L148">
        <f t="shared" si="18"/>
        <v>152</v>
      </c>
      <c r="M148">
        <f t="shared" si="19"/>
        <v>4</v>
      </c>
      <c r="N148">
        <f t="shared" si="20"/>
        <v>152</v>
      </c>
      <c r="O148">
        <f t="shared" si="21"/>
        <v>0</v>
      </c>
      <c r="P148" t="str">
        <f t="shared" si="22"/>
        <v>達成</v>
      </c>
      <c r="Q148" s="5">
        <f t="shared" si="16"/>
        <v>5.1967592589790002E-3</v>
      </c>
    </row>
    <row r="149" spans="1:17">
      <c r="A149" s="3">
        <v>46018.273946759262</v>
      </c>
      <c r="B149">
        <v>60</v>
      </c>
      <c r="C149">
        <v>12</v>
      </c>
      <c r="D149">
        <v>0</v>
      </c>
      <c r="E149">
        <v>0</v>
      </c>
      <c r="F149">
        <v>0</v>
      </c>
      <c r="G149" s="5">
        <v>1.1215277780138422E-2</v>
      </c>
      <c r="H149" t="s">
        <v>352</v>
      </c>
      <c r="I149" t="s">
        <v>353</v>
      </c>
      <c r="J149">
        <v>0</v>
      </c>
      <c r="K149">
        <f t="shared" si="17"/>
        <v>1</v>
      </c>
      <c r="L149">
        <f t="shared" si="18"/>
        <v>153</v>
      </c>
      <c r="M149">
        <f t="shared" si="19"/>
        <v>4</v>
      </c>
      <c r="N149">
        <f t="shared" si="20"/>
        <v>156</v>
      </c>
      <c r="O149">
        <f t="shared" si="21"/>
        <v>0</v>
      </c>
      <c r="P149" t="str">
        <f t="shared" si="22"/>
        <v>未達成（3）</v>
      </c>
      <c r="Q149" s="5">
        <f t="shared" si="16"/>
        <v>1.1215277780138422E-2</v>
      </c>
    </row>
    <row r="150" spans="1:17">
      <c r="A150" s="3">
        <v>46018.2812037037</v>
      </c>
      <c r="B150">
        <v>60</v>
      </c>
      <c r="C150">
        <v>4</v>
      </c>
      <c r="D150">
        <v>0</v>
      </c>
      <c r="E150">
        <v>0</v>
      </c>
      <c r="F150">
        <v>0</v>
      </c>
      <c r="G150" s="5">
        <v>5.9374999982537702E-3</v>
      </c>
      <c r="H150" t="s">
        <v>354</v>
      </c>
      <c r="I150" t="s">
        <v>355</v>
      </c>
      <c r="J150">
        <v>0</v>
      </c>
      <c r="K150">
        <f t="shared" si="17"/>
        <v>2</v>
      </c>
      <c r="L150">
        <f t="shared" si="18"/>
        <v>155</v>
      </c>
      <c r="M150">
        <f t="shared" si="19"/>
        <v>4</v>
      </c>
      <c r="N150">
        <f t="shared" si="20"/>
        <v>156</v>
      </c>
      <c r="O150">
        <f t="shared" si="21"/>
        <v>0</v>
      </c>
      <c r="P150" t="str">
        <f t="shared" si="22"/>
        <v>未達成（1）</v>
      </c>
      <c r="Q150" s="5">
        <f t="shared" si="16"/>
        <v>5.9374999982537702E-3</v>
      </c>
    </row>
    <row r="151" spans="1:17">
      <c r="A151" s="3">
        <v>46018.293090277781</v>
      </c>
      <c r="B151">
        <v>60</v>
      </c>
      <c r="C151">
        <v>4</v>
      </c>
      <c r="D151">
        <v>0</v>
      </c>
      <c r="E151">
        <v>0</v>
      </c>
      <c r="F151">
        <v>0</v>
      </c>
      <c r="G151" s="5">
        <v>1.0752314818091691E-2</v>
      </c>
      <c r="H151" t="s">
        <v>356</v>
      </c>
      <c r="I151" t="s">
        <v>357</v>
      </c>
      <c r="J151">
        <v>0</v>
      </c>
      <c r="K151">
        <f t="shared" si="17"/>
        <v>1</v>
      </c>
      <c r="L151">
        <f t="shared" si="18"/>
        <v>156</v>
      </c>
      <c r="M151">
        <f t="shared" si="19"/>
        <v>4</v>
      </c>
      <c r="N151">
        <f t="shared" si="20"/>
        <v>156</v>
      </c>
      <c r="O151">
        <f t="shared" si="21"/>
        <v>0</v>
      </c>
      <c r="P151" t="str">
        <f t="shared" si="22"/>
        <v>達成</v>
      </c>
      <c r="Q151" s="5">
        <f t="shared" si="16"/>
        <v>1.0752314818091691E-2</v>
      </c>
    </row>
    <row r="152" spans="1:17">
      <c r="A152" s="3">
        <v>46019.289675925924</v>
      </c>
      <c r="B152">
        <v>60</v>
      </c>
      <c r="C152">
        <v>7</v>
      </c>
      <c r="D152">
        <v>0</v>
      </c>
      <c r="E152">
        <v>0</v>
      </c>
      <c r="F152">
        <v>0</v>
      </c>
      <c r="G152" s="5">
        <v>3.9467592578148469E-3</v>
      </c>
      <c r="H152" t="s">
        <v>358</v>
      </c>
      <c r="I152" t="s">
        <v>359</v>
      </c>
      <c r="J152">
        <v>0</v>
      </c>
      <c r="K152">
        <f t="shared" si="17"/>
        <v>2</v>
      </c>
      <c r="L152">
        <f t="shared" si="18"/>
        <v>158</v>
      </c>
      <c r="M152">
        <f t="shared" si="19"/>
        <v>4</v>
      </c>
      <c r="N152">
        <f t="shared" si="20"/>
        <v>160</v>
      </c>
      <c r="O152">
        <f t="shared" si="21"/>
        <v>0</v>
      </c>
      <c r="P152" t="str">
        <f t="shared" si="22"/>
        <v>未達成（2）</v>
      </c>
      <c r="Q152" s="5">
        <f t="shared" si="16"/>
        <v>3.9467592578148469E-3</v>
      </c>
    </row>
    <row r="153" spans="1:17">
      <c r="A153" s="3">
        <v>46019.297442129631</v>
      </c>
      <c r="B153">
        <v>60</v>
      </c>
      <c r="C153">
        <v>16</v>
      </c>
      <c r="D153">
        <v>0</v>
      </c>
      <c r="E153">
        <v>0</v>
      </c>
      <c r="F153">
        <v>0</v>
      </c>
      <c r="G153" s="5">
        <v>6.3773148140171543E-3</v>
      </c>
      <c r="H153" t="s">
        <v>360</v>
      </c>
      <c r="I153" t="s">
        <v>361</v>
      </c>
      <c r="J153">
        <v>0</v>
      </c>
      <c r="K153">
        <f t="shared" si="17"/>
        <v>2</v>
      </c>
      <c r="L153">
        <f t="shared" si="18"/>
        <v>160</v>
      </c>
      <c r="M153">
        <f t="shared" si="19"/>
        <v>4</v>
      </c>
      <c r="N153">
        <f t="shared" si="20"/>
        <v>160</v>
      </c>
      <c r="O153">
        <f t="shared" si="21"/>
        <v>0</v>
      </c>
      <c r="P153" t="str">
        <f t="shared" si="22"/>
        <v>達成</v>
      </c>
      <c r="Q153" s="5">
        <f t="shared" si="16"/>
        <v>6.3773148140171543E-3</v>
      </c>
    </row>
    <row r="154" spans="1:17">
      <c r="A154" s="3">
        <v>46020.29824074074</v>
      </c>
      <c r="B154">
        <v>60</v>
      </c>
      <c r="C154">
        <v>20</v>
      </c>
      <c r="D154">
        <v>0</v>
      </c>
      <c r="E154">
        <v>0</v>
      </c>
      <c r="F154">
        <v>0</v>
      </c>
      <c r="G154" s="5">
        <v>7.0601851839455776E-3</v>
      </c>
      <c r="H154" t="s">
        <v>362</v>
      </c>
      <c r="I154" t="s">
        <v>363</v>
      </c>
      <c r="J154">
        <v>0</v>
      </c>
      <c r="K154">
        <f t="shared" si="17"/>
        <v>1</v>
      </c>
      <c r="L154">
        <f t="shared" si="18"/>
        <v>161</v>
      </c>
      <c r="M154">
        <f t="shared" si="19"/>
        <v>4</v>
      </c>
      <c r="N154">
        <f t="shared" si="20"/>
        <v>164</v>
      </c>
      <c r="O154">
        <f t="shared" si="21"/>
        <v>0</v>
      </c>
      <c r="P154" t="str">
        <f t="shared" si="22"/>
        <v>未達成（3）</v>
      </c>
      <c r="Q154" s="5">
        <f t="shared" si="16"/>
        <v>7.0601851839455776E-3</v>
      </c>
    </row>
    <row r="155" spans="1:17">
      <c r="A155" s="3">
        <v>46020.307708333334</v>
      </c>
      <c r="B155">
        <v>60</v>
      </c>
      <c r="C155">
        <v>8</v>
      </c>
      <c r="D155">
        <v>0</v>
      </c>
      <c r="E155">
        <v>0</v>
      </c>
      <c r="F155">
        <v>0</v>
      </c>
      <c r="G155" s="5">
        <v>6.33101852145046E-3</v>
      </c>
      <c r="H155" t="s">
        <v>364</v>
      </c>
      <c r="I155" t="s">
        <v>365</v>
      </c>
      <c r="J155">
        <v>0</v>
      </c>
      <c r="K155">
        <f t="shared" si="17"/>
        <v>2</v>
      </c>
      <c r="L155">
        <f t="shared" si="18"/>
        <v>163</v>
      </c>
      <c r="M155">
        <f t="shared" si="19"/>
        <v>4</v>
      </c>
      <c r="N155">
        <f t="shared" si="20"/>
        <v>164</v>
      </c>
      <c r="O155">
        <f t="shared" si="21"/>
        <v>0</v>
      </c>
      <c r="P155" t="str">
        <f t="shared" si="22"/>
        <v>未達成（1）</v>
      </c>
      <c r="Q155" s="5">
        <f t="shared" si="16"/>
        <v>6.33101852145046E-3</v>
      </c>
    </row>
    <row r="156" spans="1:17">
      <c r="A156" s="3">
        <v>46020.314953703702</v>
      </c>
      <c r="B156">
        <v>60</v>
      </c>
      <c r="C156">
        <v>19</v>
      </c>
      <c r="D156">
        <v>0</v>
      </c>
      <c r="E156">
        <v>0</v>
      </c>
      <c r="F156">
        <v>0</v>
      </c>
      <c r="G156" s="5">
        <v>6.0416666674427688E-3</v>
      </c>
      <c r="H156" t="s">
        <v>366</v>
      </c>
      <c r="I156" t="s">
        <v>367</v>
      </c>
      <c r="J156">
        <v>0</v>
      </c>
      <c r="K156">
        <f t="shared" si="17"/>
        <v>2</v>
      </c>
      <c r="L156">
        <f t="shared" si="18"/>
        <v>165</v>
      </c>
      <c r="M156">
        <f t="shared" si="19"/>
        <v>4</v>
      </c>
      <c r="N156">
        <f t="shared" si="20"/>
        <v>164</v>
      </c>
      <c r="O156">
        <f t="shared" si="21"/>
        <v>0</v>
      </c>
      <c r="P156" t="str">
        <f t="shared" si="22"/>
        <v>前倒し（1）</v>
      </c>
      <c r="Q156" s="5">
        <f t="shared" si="16"/>
        <v>6.0416666674427688E-3</v>
      </c>
    </row>
    <row r="157" spans="1:17">
      <c r="A157" s="3">
        <v>46021.284074074072</v>
      </c>
      <c r="B157">
        <v>60</v>
      </c>
      <c r="C157">
        <v>16</v>
      </c>
      <c r="D157">
        <v>0</v>
      </c>
      <c r="E157">
        <v>0</v>
      </c>
      <c r="F157">
        <v>0</v>
      </c>
      <c r="G157" s="5">
        <v>4.4097222198615782E-3</v>
      </c>
      <c r="H157" t="s">
        <v>368</v>
      </c>
      <c r="I157" t="s">
        <v>369</v>
      </c>
      <c r="J157">
        <v>0</v>
      </c>
      <c r="K157">
        <f t="shared" si="17"/>
        <v>2</v>
      </c>
      <c r="L157">
        <f t="shared" si="18"/>
        <v>167</v>
      </c>
      <c r="M157">
        <f t="shared" si="19"/>
        <v>4</v>
      </c>
      <c r="N157">
        <f t="shared" si="20"/>
        <v>168</v>
      </c>
      <c r="O157">
        <f t="shared" si="21"/>
        <v>0</v>
      </c>
      <c r="P157" t="str">
        <f t="shared" si="22"/>
        <v>未達成（1）</v>
      </c>
      <c r="Q157" s="5">
        <f t="shared" si="16"/>
        <v>4.4097222198615782E-3</v>
      </c>
    </row>
    <row r="158" spans="1:17">
      <c r="A158" s="3">
        <v>46021.292557870373</v>
      </c>
      <c r="B158">
        <v>60</v>
      </c>
      <c r="C158">
        <v>4</v>
      </c>
      <c r="D158">
        <v>0</v>
      </c>
      <c r="E158">
        <v>0</v>
      </c>
      <c r="F158">
        <v>0</v>
      </c>
      <c r="G158" s="5">
        <v>7.1296296300715767E-3</v>
      </c>
      <c r="H158" t="s">
        <v>370</v>
      </c>
      <c r="I158" t="s">
        <v>371</v>
      </c>
      <c r="J158">
        <v>0</v>
      </c>
      <c r="K158">
        <f t="shared" si="17"/>
        <v>1</v>
      </c>
      <c r="L158">
        <f t="shared" si="18"/>
        <v>168</v>
      </c>
      <c r="M158">
        <f t="shared" si="19"/>
        <v>4</v>
      </c>
      <c r="N158">
        <f t="shared" si="20"/>
        <v>168</v>
      </c>
      <c r="O158">
        <f t="shared" si="21"/>
        <v>0</v>
      </c>
      <c r="P158" t="str">
        <f t="shared" si="22"/>
        <v>達成</v>
      </c>
      <c r="Q158" s="5">
        <f t="shared" si="16"/>
        <v>7.1296296300715767E-3</v>
      </c>
    </row>
    <row r="159" spans="1:17">
      <c r="A159" s="3">
        <v>46022.294930555552</v>
      </c>
      <c r="B159">
        <v>60</v>
      </c>
      <c r="C159">
        <v>22</v>
      </c>
      <c r="D159">
        <v>0</v>
      </c>
      <c r="E159">
        <v>0</v>
      </c>
      <c r="F159">
        <v>0</v>
      </c>
      <c r="G159" s="5">
        <v>7.175925922638271E-3</v>
      </c>
      <c r="H159" t="s">
        <v>372</v>
      </c>
      <c r="I159" t="s">
        <v>373</v>
      </c>
      <c r="J159">
        <v>0</v>
      </c>
      <c r="K159">
        <f t="shared" si="17"/>
        <v>1</v>
      </c>
      <c r="L159">
        <f t="shared" si="18"/>
        <v>169</v>
      </c>
      <c r="M159">
        <f t="shared" si="19"/>
        <v>4</v>
      </c>
      <c r="N159">
        <f t="shared" si="20"/>
        <v>172</v>
      </c>
      <c r="O159">
        <f t="shared" si="21"/>
        <v>0</v>
      </c>
      <c r="P159" t="str">
        <f t="shared" si="22"/>
        <v>未達成（3）</v>
      </c>
      <c r="Q159" s="5">
        <f t="shared" si="16"/>
        <v>7.175925922638271E-3</v>
      </c>
    </row>
    <row r="160" spans="1:17">
      <c r="A160" s="3">
        <v>46022.311481481483</v>
      </c>
      <c r="B160">
        <v>60</v>
      </c>
      <c r="C160">
        <v>7</v>
      </c>
      <c r="D160">
        <v>0</v>
      </c>
      <c r="E160">
        <v>0</v>
      </c>
      <c r="F160">
        <v>0</v>
      </c>
      <c r="G160" s="5">
        <v>5.8217592595610768E-3</v>
      </c>
      <c r="H160" t="s">
        <v>374</v>
      </c>
      <c r="I160" t="s">
        <v>375</v>
      </c>
      <c r="J160">
        <v>0</v>
      </c>
      <c r="K160">
        <f t="shared" si="17"/>
        <v>2</v>
      </c>
      <c r="L160">
        <f t="shared" si="18"/>
        <v>171</v>
      </c>
      <c r="M160">
        <f t="shared" si="19"/>
        <v>4</v>
      </c>
      <c r="N160">
        <f t="shared" si="20"/>
        <v>172</v>
      </c>
      <c r="O160">
        <f t="shared" si="21"/>
        <v>0</v>
      </c>
      <c r="P160" t="str">
        <f t="shared" si="22"/>
        <v>未達成（1）</v>
      </c>
      <c r="Q160" s="5">
        <f t="shared" si="16"/>
        <v>5.8217592595610768E-3</v>
      </c>
    </row>
    <row r="161" spans="1:17">
      <c r="A161" s="3">
        <v>46022.373726851853</v>
      </c>
      <c r="B161">
        <v>60</v>
      </c>
      <c r="C161">
        <v>6</v>
      </c>
      <c r="D161">
        <v>0</v>
      </c>
      <c r="E161">
        <v>0</v>
      </c>
      <c r="F161">
        <v>0</v>
      </c>
      <c r="G161" s="5">
        <v>8.2754629620467313E-3</v>
      </c>
      <c r="H161" t="s">
        <v>376</v>
      </c>
      <c r="I161" t="s">
        <v>377</v>
      </c>
      <c r="J161">
        <v>0</v>
      </c>
      <c r="K161">
        <f t="shared" si="17"/>
        <v>1</v>
      </c>
      <c r="L161">
        <f t="shared" si="18"/>
        <v>172</v>
      </c>
      <c r="M161">
        <f t="shared" si="19"/>
        <v>4</v>
      </c>
      <c r="N161">
        <f t="shared" si="20"/>
        <v>172</v>
      </c>
      <c r="O161">
        <f t="shared" si="21"/>
        <v>0</v>
      </c>
      <c r="P161" t="str">
        <f t="shared" si="22"/>
        <v>達成</v>
      </c>
      <c r="Q161" s="5">
        <f t="shared" si="16"/>
        <v>8.2754629620467313E-3</v>
      </c>
    </row>
    <row r="162" spans="1:17">
      <c r="A162" s="3">
        <v>46023.303807870368</v>
      </c>
      <c r="B162">
        <v>60</v>
      </c>
      <c r="C162">
        <v>2</v>
      </c>
      <c r="D162">
        <v>0</v>
      </c>
      <c r="E162">
        <v>0</v>
      </c>
      <c r="F162">
        <v>0</v>
      </c>
      <c r="G162" s="5">
        <v>6.0763888905057684E-3</v>
      </c>
      <c r="H162" t="s">
        <v>378</v>
      </c>
      <c r="I162" t="s">
        <v>379</v>
      </c>
      <c r="J162">
        <v>0</v>
      </c>
      <c r="K162">
        <f t="shared" si="17"/>
        <v>2</v>
      </c>
      <c r="L162">
        <f t="shared" si="18"/>
        <v>174</v>
      </c>
      <c r="M162">
        <f t="shared" si="19"/>
        <v>4</v>
      </c>
      <c r="N162">
        <f t="shared" si="20"/>
        <v>176</v>
      </c>
      <c r="O162">
        <f t="shared" si="21"/>
        <v>0</v>
      </c>
      <c r="P162" t="str">
        <f t="shared" si="22"/>
        <v>未達成（2）</v>
      </c>
      <c r="Q162" s="5">
        <f t="shared" si="16"/>
        <v>6.0763888905057684E-3</v>
      </c>
    </row>
    <row r="163" spans="1:17">
      <c r="A163" s="3">
        <v>46023.319236111114</v>
      </c>
      <c r="B163">
        <v>60</v>
      </c>
      <c r="C163">
        <v>15</v>
      </c>
      <c r="D163">
        <v>0</v>
      </c>
      <c r="E163">
        <v>0</v>
      </c>
      <c r="F163">
        <v>0</v>
      </c>
      <c r="G163" s="5">
        <v>9.5254629632108845E-3</v>
      </c>
      <c r="H163" t="s">
        <v>380</v>
      </c>
      <c r="I163" t="s">
        <v>381</v>
      </c>
      <c r="J163">
        <v>0</v>
      </c>
      <c r="K163">
        <f t="shared" si="17"/>
        <v>1</v>
      </c>
      <c r="L163">
        <f t="shared" si="18"/>
        <v>175</v>
      </c>
      <c r="M163">
        <f t="shared" si="19"/>
        <v>4</v>
      </c>
      <c r="N163">
        <f t="shared" si="20"/>
        <v>176</v>
      </c>
      <c r="O163">
        <f t="shared" si="21"/>
        <v>0</v>
      </c>
      <c r="P163" t="str">
        <f t="shared" si="22"/>
        <v>未達成（1）</v>
      </c>
      <c r="Q163" s="5">
        <f t="shared" si="16"/>
        <v>9.5254629632108845E-3</v>
      </c>
    </row>
    <row r="164" spans="1:17">
      <c r="A164" s="3">
        <v>46023.452997685185</v>
      </c>
      <c r="B164">
        <v>60</v>
      </c>
      <c r="C164">
        <v>21</v>
      </c>
      <c r="D164">
        <v>0</v>
      </c>
      <c r="E164">
        <v>0</v>
      </c>
      <c r="F164">
        <v>0</v>
      </c>
      <c r="G164" s="5">
        <v>4.9421296280343086E-3</v>
      </c>
      <c r="H164" t="s">
        <v>382</v>
      </c>
      <c r="I164" t="s">
        <v>383</v>
      </c>
      <c r="J164">
        <v>0</v>
      </c>
      <c r="K164">
        <f t="shared" si="17"/>
        <v>2</v>
      </c>
      <c r="L164">
        <f t="shared" si="18"/>
        <v>177</v>
      </c>
      <c r="M164">
        <f t="shared" si="19"/>
        <v>4</v>
      </c>
      <c r="N164">
        <f t="shared" si="20"/>
        <v>176</v>
      </c>
      <c r="O164">
        <f t="shared" si="21"/>
        <v>0</v>
      </c>
      <c r="P164" t="str">
        <f t="shared" si="22"/>
        <v>前倒し（1）</v>
      </c>
      <c r="Q164" s="5">
        <f t="shared" si="16"/>
        <v>4.9421296280343086E-3</v>
      </c>
    </row>
    <row r="165" spans="1:17">
      <c r="A165" s="3">
        <v>46024.299444444441</v>
      </c>
      <c r="B165">
        <v>60</v>
      </c>
      <c r="C165">
        <v>12</v>
      </c>
      <c r="D165">
        <v>0</v>
      </c>
      <c r="E165">
        <v>0</v>
      </c>
      <c r="F165">
        <v>0</v>
      </c>
      <c r="G165" s="5">
        <v>1.0231481479422655E-2</v>
      </c>
      <c r="H165" t="s">
        <v>384</v>
      </c>
      <c r="I165" t="s">
        <v>385</v>
      </c>
      <c r="J165">
        <v>0</v>
      </c>
      <c r="K165">
        <f t="shared" si="17"/>
        <v>1</v>
      </c>
      <c r="L165">
        <f t="shared" si="18"/>
        <v>178</v>
      </c>
      <c r="M165">
        <f t="shared" si="19"/>
        <v>4</v>
      </c>
      <c r="N165">
        <f t="shared" si="20"/>
        <v>180</v>
      </c>
      <c r="O165">
        <f t="shared" si="21"/>
        <v>0</v>
      </c>
      <c r="P165" t="str">
        <f t="shared" si="22"/>
        <v>未達成（2）</v>
      </c>
      <c r="Q165" s="5">
        <f t="shared" si="16"/>
        <v>1.0231481479422655E-2</v>
      </c>
    </row>
    <row r="166" spans="1:17">
      <c r="A166" s="3">
        <v>46024.366701388892</v>
      </c>
      <c r="B166">
        <v>60</v>
      </c>
      <c r="C166">
        <v>21</v>
      </c>
      <c r="D166">
        <v>0</v>
      </c>
      <c r="E166">
        <v>0</v>
      </c>
      <c r="F166">
        <v>0</v>
      </c>
      <c r="G166" s="5">
        <v>7.2569444455439225E-3</v>
      </c>
      <c r="H166" t="s">
        <v>386</v>
      </c>
      <c r="I166" t="s">
        <v>387</v>
      </c>
      <c r="J166">
        <v>0</v>
      </c>
      <c r="K166">
        <f t="shared" si="17"/>
        <v>1</v>
      </c>
      <c r="L166">
        <f t="shared" si="18"/>
        <v>179</v>
      </c>
      <c r="M166">
        <f t="shared" si="19"/>
        <v>4</v>
      </c>
      <c r="N166">
        <f t="shared" si="20"/>
        <v>180</v>
      </c>
      <c r="O166">
        <f t="shared" si="21"/>
        <v>0</v>
      </c>
      <c r="P166" t="str">
        <f t="shared" si="22"/>
        <v>未達成（1）</v>
      </c>
      <c r="Q166" s="5">
        <f t="shared" si="16"/>
        <v>7.2569444455439225E-3</v>
      </c>
    </row>
    <row r="167" spans="1:17">
      <c r="A167" s="3">
        <v>46024.618587962963</v>
      </c>
      <c r="B167">
        <v>60</v>
      </c>
      <c r="C167">
        <v>28</v>
      </c>
      <c r="D167">
        <v>0</v>
      </c>
      <c r="E167">
        <v>0</v>
      </c>
      <c r="F167">
        <v>0</v>
      </c>
      <c r="G167" s="5">
        <v>4.8148148125619628E-3</v>
      </c>
      <c r="H167" t="s">
        <v>388</v>
      </c>
      <c r="I167" t="s">
        <v>389</v>
      </c>
      <c r="J167">
        <v>0</v>
      </c>
      <c r="K167">
        <f t="shared" si="17"/>
        <v>2</v>
      </c>
      <c r="L167">
        <f t="shared" si="18"/>
        <v>181</v>
      </c>
      <c r="M167">
        <f t="shared" si="19"/>
        <v>4</v>
      </c>
      <c r="N167">
        <f t="shared" si="20"/>
        <v>180</v>
      </c>
      <c r="O167">
        <f t="shared" si="21"/>
        <v>0</v>
      </c>
      <c r="P167" t="str">
        <f t="shared" si="22"/>
        <v>前倒し（1）</v>
      </c>
      <c r="Q167" s="5">
        <f t="shared" si="16"/>
        <v>4.8148148125619628E-3</v>
      </c>
    </row>
    <row r="168" spans="1:17">
      <c r="A168" s="3">
        <v>46025.287592592591</v>
      </c>
      <c r="B168">
        <v>60</v>
      </c>
      <c r="C168">
        <v>20</v>
      </c>
      <c r="D168">
        <v>0</v>
      </c>
      <c r="E168">
        <v>0</v>
      </c>
      <c r="F168">
        <v>0</v>
      </c>
      <c r="G168" s="5">
        <v>8.5185185162117705E-3</v>
      </c>
      <c r="H168" t="s">
        <v>391</v>
      </c>
      <c r="I168" t="s">
        <v>390</v>
      </c>
      <c r="J168">
        <v>0</v>
      </c>
      <c r="K168">
        <f t="shared" si="17"/>
        <v>1</v>
      </c>
      <c r="L168">
        <f t="shared" si="18"/>
        <v>182</v>
      </c>
      <c r="M168">
        <f t="shared" si="19"/>
        <v>4</v>
      </c>
      <c r="N168">
        <f t="shared" si="20"/>
        <v>184</v>
      </c>
      <c r="O168">
        <f t="shared" si="21"/>
        <v>0</v>
      </c>
      <c r="P168" t="str">
        <f t="shared" si="22"/>
        <v>未達成（2）</v>
      </c>
      <c r="Q168" s="5">
        <f t="shared" si="16"/>
        <v>8.5185185162117705E-3</v>
      </c>
    </row>
    <row r="169" spans="1:17">
      <c r="A169" s="3">
        <v>46025.61917824074</v>
      </c>
      <c r="B169">
        <v>60</v>
      </c>
      <c r="C169">
        <v>12</v>
      </c>
      <c r="D169">
        <v>0</v>
      </c>
      <c r="E169">
        <v>0</v>
      </c>
      <c r="F169">
        <v>0</v>
      </c>
      <c r="G169" s="5">
        <v>6.8981481454102322E-3</v>
      </c>
      <c r="H169" t="s">
        <v>392</v>
      </c>
      <c r="I169" t="s">
        <v>393</v>
      </c>
      <c r="J169">
        <v>0</v>
      </c>
      <c r="K169">
        <f t="shared" si="17"/>
        <v>2</v>
      </c>
      <c r="L169">
        <f t="shared" si="18"/>
        <v>184</v>
      </c>
      <c r="M169">
        <f t="shared" si="19"/>
        <v>4</v>
      </c>
      <c r="N169">
        <f t="shared" si="20"/>
        <v>184</v>
      </c>
      <c r="O169">
        <f t="shared" si="21"/>
        <v>0</v>
      </c>
      <c r="P169" t="str">
        <f t="shared" si="22"/>
        <v>達成</v>
      </c>
      <c r="Q169" s="5">
        <f t="shared" si="16"/>
        <v>6.8981481454102322E-3</v>
      </c>
    </row>
    <row r="170" spans="1:17">
      <c r="A170" s="3">
        <v>46026.297118055554</v>
      </c>
      <c r="B170">
        <v>60</v>
      </c>
      <c r="C170">
        <v>13</v>
      </c>
      <c r="D170">
        <v>0</v>
      </c>
      <c r="E170">
        <v>0</v>
      </c>
      <c r="F170">
        <v>0</v>
      </c>
      <c r="G170" s="5">
        <v>6.1921296291984618E-3</v>
      </c>
      <c r="H170" t="s">
        <v>394</v>
      </c>
      <c r="I170" t="s">
        <v>395</v>
      </c>
      <c r="J170">
        <v>0</v>
      </c>
      <c r="K170">
        <f t="shared" si="17"/>
        <v>2</v>
      </c>
      <c r="L170">
        <f t="shared" si="18"/>
        <v>186</v>
      </c>
      <c r="M170">
        <f t="shared" si="19"/>
        <v>4</v>
      </c>
      <c r="N170">
        <f t="shared" si="20"/>
        <v>188</v>
      </c>
      <c r="O170">
        <f t="shared" si="21"/>
        <v>0</v>
      </c>
      <c r="P170" t="str">
        <f t="shared" si="22"/>
        <v>未達成（2）</v>
      </c>
      <c r="Q170" s="5">
        <f t="shared" si="16"/>
        <v>6.1921296291984618E-3</v>
      </c>
    </row>
    <row r="171" spans="1:17">
      <c r="A171" s="3">
        <v>46026.712025462963</v>
      </c>
      <c r="B171">
        <v>60</v>
      </c>
      <c r="C171">
        <v>18</v>
      </c>
      <c r="D171">
        <v>0</v>
      </c>
      <c r="E171">
        <v>0</v>
      </c>
      <c r="F171">
        <v>0</v>
      </c>
      <c r="G171" s="5">
        <v>5.6365740747423843E-3</v>
      </c>
      <c r="H171" t="s">
        <v>396</v>
      </c>
      <c r="I171" t="s">
        <v>397</v>
      </c>
      <c r="J171">
        <v>0</v>
      </c>
      <c r="K171">
        <f t="shared" si="17"/>
        <v>2</v>
      </c>
      <c r="L171">
        <f t="shared" si="18"/>
        <v>188</v>
      </c>
      <c r="M171">
        <f t="shared" si="19"/>
        <v>4</v>
      </c>
      <c r="N171">
        <f t="shared" si="20"/>
        <v>188</v>
      </c>
      <c r="O171">
        <f t="shared" si="21"/>
        <v>0</v>
      </c>
      <c r="P171" t="str">
        <f t="shared" si="22"/>
        <v>達成</v>
      </c>
      <c r="Q171" s="5">
        <f t="shared" si="16"/>
        <v>5.6365740747423843E-3</v>
      </c>
    </row>
    <row r="172" spans="1:17">
      <c r="A172" s="3">
        <v>46027.318206018521</v>
      </c>
      <c r="B172">
        <v>60</v>
      </c>
      <c r="C172">
        <v>16</v>
      </c>
      <c r="D172">
        <v>0</v>
      </c>
      <c r="E172">
        <v>0</v>
      </c>
      <c r="F172">
        <v>0</v>
      </c>
      <c r="G172" s="5">
        <v>8.3564814849523827E-3</v>
      </c>
      <c r="H172" t="s">
        <v>398</v>
      </c>
      <c r="I172" t="s">
        <v>399</v>
      </c>
      <c r="J172">
        <v>0</v>
      </c>
      <c r="K172">
        <f t="shared" si="17"/>
        <v>1</v>
      </c>
      <c r="L172">
        <f t="shared" si="18"/>
        <v>189</v>
      </c>
      <c r="M172">
        <f t="shared" si="19"/>
        <v>4</v>
      </c>
      <c r="N172">
        <f t="shared" si="20"/>
        <v>192</v>
      </c>
      <c r="O172">
        <f t="shared" si="21"/>
        <v>0</v>
      </c>
      <c r="P172" t="str">
        <f t="shared" si="22"/>
        <v>未達成（3）</v>
      </c>
      <c r="Q172" s="5">
        <f t="shared" si="16"/>
        <v>8.3564814849523827E-3</v>
      </c>
    </row>
    <row r="173" spans="1:17">
      <c r="A173" s="3">
        <v>46027.455497685187</v>
      </c>
      <c r="B173">
        <v>60</v>
      </c>
      <c r="C173">
        <v>8</v>
      </c>
      <c r="D173">
        <v>0</v>
      </c>
      <c r="E173">
        <v>0</v>
      </c>
      <c r="F173">
        <v>0</v>
      </c>
      <c r="G173" s="5">
        <v>1.1145833334012423E-2</v>
      </c>
      <c r="H173" t="s">
        <v>400</v>
      </c>
      <c r="I173" t="s">
        <v>401</v>
      </c>
      <c r="J173">
        <v>0</v>
      </c>
      <c r="K173">
        <f t="shared" si="17"/>
        <v>1</v>
      </c>
      <c r="L173">
        <f t="shared" si="18"/>
        <v>190</v>
      </c>
      <c r="M173">
        <f t="shared" si="19"/>
        <v>4</v>
      </c>
      <c r="N173">
        <f t="shared" si="20"/>
        <v>192</v>
      </c>
      <c r="O173">
        <f t="shared" si="21"/>
        <v>0</v>
      </c>
      <c r="P173" t="str">
        <f t="shared" si="22"/>
        <v>未達成（2）</v>
      </c>
      <c r="Q173" s="5">
        <f t="shared" si="16"/>
        <v>1.1145833334012423E-2</v>
      </c>
    </row>
    <row r="174" spans="1:17">
      <c r="A174" s="3">
        <v>46027.613530092596</v>
      </c>
      <c r="B174">
        <v>60</v>
      </c>
      <c r="C174">
        <v>10</v>
      </c>
      <c r="D174">
        <v>0</v>
      </c>
      <c r="E174">
        <v>0</v>
      </c>
      <c r="F174">
        <v>0</v>
      </c>
      <c r="G174" s="5">
        <v>4.6296296350192279E-3</v>
      </c>
      <c r="H174" t="s">
        <v>402</v>
      </c>
      <c r="I174" t="s">
        <v>403</v>
      </c>
      <c r="J174">
        <v>0</v>
      </c>
      <c r="K174">
        <f t="shared" si="17"/>
        <v>2</v>
      </c>
      <c r="L174">
        <f t="shared" si="18"/>
        <v>192</v>
      </c>
      <c r="M174">
        <f t="shared" si="19"/>
        <v>4</v>
      </c>
      <c r="N174">
        <f t="shared" si="20"/>
        <v>192</v>
      </c>
      <c r="O174">
        <f t="shared" si="21"/>
        <v>0</v>
      </c>
      <c r="P174" t="str">
        <f t="shared" si="22"/>
        <v>達成</v>
      </c>
      <c r="Q174" s="5">
        <f t="shared" si="16"/>
        <v>4.6296296350192279E-3</v>
      </c>
    </row>
    <row r="175" spans="1:17">
      <c r="A175" s="3">
        <v>46028.362939814811</v>
      </c>
      <c r="B175">
        <v>60</v>
      </c>
      <c r="C175">
        <v>2</v>
      </c>
      <c r="D175">
        <v>0</v>
      </c>
      <c r="E175">
        <v>0</v>
      </c>
      <c r="F175">
        <v>0</v>
      </c>
      <c r="G175" s="5">
        <v>4.0740740732871927E-3</v>
      </c>
      <c r="H175" t="s">
        <v>404</v>
      </c>
      <c r="I175" t="s">
        <v>405</v>
      </c>
      <c r="J175">
        <v>0</v>
      </c>
      <c r="K175">
        <f t="shared" si="17"/>
        <v>2</v>
      </c>
      <c r="L175">
        <f t="shared" si="18"/>
        <v>194</v>
      </c>
      <c r="M175">
        <f t="shared" si="19"/>
        <v>4</v>
      </c>
      <c r="N175">
        <f t="shared" si="20"/>
        <v>196</v>
      </c>
      <c r="O175">
        <f t="shared" si="21"/>
        <v>0</v>
      </c>
      <c r="P175" t="str">
        <f t="shared" si="22"/>
        <v>未達成（2）</v>
      </c>
      <c r="Q175" s="5">
        <f t="shared" si="16"/>
        <v>4.0740740732871927E-3</v>
      </c>
    </row>
    <row r="176" spans="1:17">
      <c r="A176" s="3">
        <v>46028.834803240738</v>
      </c>
      <c r="B176">
        <v>60</v>
      </c>
      <c r="C176">
        <v>10</v>
      </c>
      <c r="D176">
        <v>0</v>
      </c>
      <c r="E176">
        <v>0</v>
      </c>
      <c r="F176">
        <v>0</v>
      </c>
      <c r="G176" s="5">
        <v>8.0439814773853868E-3</v>
      </c>
      <c r="H176" t="s">
        <v>407</v>
      </c>
      <c r="I176" t="s">
        <v>406</v>
      </c>
      <c r="J176">
        <v>0</v>
      </c>
      <c r="K176">
        <f t="shared" si="17"/>
        <v>1</v>
      </c>
      <c r="L176">
        <f t="shared" si="18"/>
        <v>195</v>
      </c>
      <c r="M176">
        <f t="shared" si="19"/>
        <v>4</v>
      </c>
      <c r="N176">
        <f t="shared" si="20"/>
        <v>196</v>
      </c>
      <c r="O176">
        <f t="shared" si="21"/>
        <v>0</v>
      </c>
      <c r="P176" t="str">
        <f t="shared" si="22"/>
        <v>未達成（1）</v>
      </c>
      <c r="Q176" s="5">
        <f t="shared" si="16"/>
        <v>8.0439814773853868E-3</v>
      </c>
    </row>
    <row r="177" spans="1:17">
      <c r="A177" s="3">
        <v>46028.842037037037</v>
      </c>
      <c r="B177">
        <v>60</v>
      </c>
      <c r="C177">
        <v>10</v>
      </c>
      <c r="D177">
        <v>0</v>
      </c>
      <c r="E177">
        <v>0</v>
      </c>
      <c r="F177">
        <v>0</v>
      </c>
      <c r="G177" s="5">
        <v>6.4236111138598062E-3</v>
      </c>
      <c r="H177" t="s">
        <v>408</v>
      </c>
      <c r="I177" t="s">
        <v>409</v>
      </c>
      <c r="J177">
        <v>0</v>
      </c>
      <c r="K177">
        <f t="shared" si="17"/>
        <v>2</v>
      </c>
      <c r="L177">
        <f t="shared" si="18"/>
        <v>197</v>
      </c>
      <c r="M177">
        <f t="shared" si="19"/>
        <v>4</v>
      </c>
      <c r="N177">
        <f t="shared" si="20"/>
        <v>196</v>
      </c>
      <c r="O177">
        <f t="shared" si="21"/>
        <v>0</v>
      </c>
      <c r="P177" t="str">
        <f t="shared" si="22"/>
        <v>前倒し（1）</v>
      </c>
      <c r="Q177" s="5">
        <f t="shared" si="16"/>
        <v>6.4236111138598062E-3</v>
      </c>
    </row>
    <row r="178" spans="1:17">
      <c r="A178" s="3">
        <v>46029.290162037039</v>
      </c>
      <c r="B178">
        <v>60</v>
      </c>
      <c r="C178">
        <v>17</v>
      </c>
      <c r="D178">
        <v>0</v>
      </c>
      <c r="E178">
        <v>0</v>
      </c>
      <c r="F178">
        <v>0</v>
      </c>
      <c r="G178" s="5">
        <v>5.6250000052386895E-3</v>
      </c>
      <c r="H178" t="s">
        <v>410</v>
      </c>
      <c r="I178" t="s">
        <v>411</v>
      </c>
      <c r="J178">
        <v>0</v>
      </c>
      <c r="K178">
        <f t="shared" si="17"/>
        <v>2</v>
      </c>
      <c r="L178">
        <f t="shared" si="18"/>
        <v>199</v>
      </c>
      <c r="M178">
        <f t="shared" si="19"/>
        <v>4</v>
      </c>
      <c r="N178">
        <f t="shared" si="20"/>
        <v>200</v>
      </c>
      <c r="O178">
        <f t="shared" si="21"/>
        <v>0</v>
      </c>
      <c r="P178" t="str">
        <f t="shared" si="22"/>
        <v>未達成（1）</v>
      </c>
      <c r="Q178" s="5">
        <f t="shared" si="16"/>
        <v>5.6250000052386895E-3</v>
      </c>
    </row>
    <row r="179" spans="1:17">
      <c r="A179" s="3">
        <v>46029.661053240743</v>
      </c>
      <c r="B179">
        <v>60</v>
      </c>
      <c r="C179">
        <v>13</v>
      </c>
      <c r="D179">
        <v>0</v>
      </c>
      <c r="E179">
        <v>0</v>
      </c>
      <c r="F179">
        <v>0</v>
      </c>
      <c r="G179" s="5">
        <v>6.5972222218988463E-3</v>
      </c>
      <c r="H179" t="s">
        <v>412</v>
      </c>
      <c r="I179" t="s">
        <v>413</v>
      </c>
      <c r="J179">
        <v>0</v>
      </c>
      <c r="K179">
        <f t="shared" si="17"/>
        <v>2</v>
      </c>
      <c r="L179">
        <f t="shared" si="18"/>
        <v>201</v>
      </c>
      <c r="M179">
        <f t="shared" si="19"/>
        <v>4</v>
      </c>
      <c r="N179">
        <f t="shared" si="20"/>
        <v>200</v>
      </c>
      <c r="O179">
        <f t="shared" si="21"/>
        <v>0</v>
      </c>
      <c r="P179" t="str">
        <f t="shared" si="22"/>
        <v>前倒し（1）</v>
      </c>
      <c r="Q179" s="5">
        <f t="shared" si="16"/>
        <v>6.5972222218988463E-3</v>
      </c>
    </row>
    <row r="180" spans="1:17">
      <c r="A180" s="3">
        <v>46030.370821759258</v>
      </c>
      <c r="B180">
        <v>60</v>
      </c>
      <c r="C180">
        <v>14</v>
      </c>
      <c r="D180">
        <v>0</v>
      </c>
      <c r="E180">
        <v>0</v>
      </c>
      <c r="F180">
        <v>0</v>
      </c>
      <c r="G180" s="5">
        <v>1.008101852494292E-2</v>
      </c>
      <c r="H180" t="s">
        <v>415</v>
      </c>
      <c r="I180" t="s">
        <v>414</v>
      </c>
      <c r="J180">
        <v>0</v>
      </c>
      <c r="K180">
        <f t="shared" si="17"/>
        <v>1</v>
      </c>
      <c r="L180">
        <f t="shared" si="18"/>
        <v>202</v>
      </c>
      <c r="M180">
        <f t="shared" si="19"/>
        <v>4</v>
      </c>
      <c r="N180">
        <f t="shared" si="20"/>
        <v>204</v>
      </c>
      <c r="O180">
        <f t="shared" si="21"/>
        <v>0</v>
      </c>
      <c r="P180" t="str">
        <f t="shared" si="22"/>
        <v>未達成（2）</v>
      </c>
      <c r="Q180" s="5">
        <f t="shared" si="16"/>
        <v>1.008101852494292E-2</v>
      </c>
    </row>
    <row r="181" spans="1:17">
      <c r="A181" s="3">
        <v>46030.712129629632</v>
      </c>
      <c r="B181">
        <v>60</v>
      </c>
      <c r="C181">
        <v>13</v>
      </c>
      <c r="D181">
        <v>0</v>
      </c>
      <c r="E181">
        <v>0</v>
      </c>
      <c r="F181">
        <v>0</v>
      </c>
      <c r="G181" s="5">
        <v>9.5833333325572312E-3</v>
      </c>
      <c r="H181" t="s">
        <v>417</v>
      </c>
      <c r="I181" t="s">
        <v>416</v>
      </c>
      <c r="J181">
        <v>0</v>
      </c>
      <c r="K181">
        <f t="shared" si="17"/>
        <v>1</v>
      </c>
      <c r="L181">
        <f t="shared" si="18"/>
        <v>203</v>
      </c>
      <c r="M181">
        <f t="shared" si="19"/>
        <v>4</v>
      </c>
      <c r="N181">
        <f t="shared" si="20"/>
        <v>204</v>
      </c>
      <c r="O181">
        <f t="shared" si="21"/>
        <v>0</v>
      </c>
      <c r="P181" t="str">
        <f t="shared" si="22"/>
        <v>未達成（1）</v>
      </c>
      <c r="Q181" s="5">
        <f t="shared" si="16"/>
        <v>9.5833333325572312E-3</v>
      </c>
    </row>
    <row r="182" spans="1:17">
      <c r="A182" s="3">
        <v>46030.719201388885</v>
      </c>
      <c r="B182">
        <v>60</v>
      </c>
      <c r="C182">
        <v>14</v>
      </c>
      <c r="D182">
        <v>0</v>
      </c>
      <c r="E182">
        <v>0</v>
      </c>
      <c r="F182">
        <v>0</v>
      </c>
      <c r="G182" s="5">
        <v>5.5787036981200799E-3</v>
      </c>
      <c r="H182" t="s">
        <v>418</v>
      </c>
      <c r="I182" t="s">
        <v>419</v>
      </c>
      <c r="J182">
        <v>0</v>
      </c>
      <c r="K182">
        <f t="shared" si="17"/>
        <v>2</v>
      </c>
      <c r="L182">
        <f t="shared" si="18"/>
        <v>205</v>
      </c>
      <c r="M182">
        <f t="shared" si="19"/>
        <v>4</v>
      </c>
      <c r="N182">
        <f t="shared" si="20"/>
        <v>204</v>
      </c>
      <c r="O182">
        <f t="shared" si="21"/>
        <v>0</v>
      </c>
      <c r="P182" t="str">
        <f t="shared" si="22"/>
        <v>前倒し（1）</v>
      </c>
      <c r="Q182" s="5">
        <f t="shared" si="16"/>
        <v>5.5787036981200799E-3</v>
      </c>
    </row>
    <row r="183" spans="1:17">
      <c r="A183" s="3">
        <v>46031.307129629633</v>
      </c>
      <c r="G183" s="5">
        <v>1.6319444475811906E-3</v>
      </c>
      <c r="H183" t="s">
        <v>420</v>
      </c>
      <c r="I183" t="s">
        <v>421</v>
      </c>
      <c r="J183">
        <v>1</v>
      </c>
      <c r="K183">
        <f t="shared" ref="K183" si="23">IF(A183&lt;DATEVALUE("2025/11/20")+TIMEVALUE("6:00"),1,IF(OR(B183&lt;&gt;60,SUM(D183:F183)&lt;&gt;0,G183&gt;=IF(A183&lt;DATEVALUE("2025/12/28")+TIMEVALUE("6:00"),20,18)/24/60),0,2-INT(G183*24*60/10)))</f>
        <v>0</v>
      </c>
      <c r="L183">
        <f t="shared" ref="L183" si="24">L182+K183</f>
        <v>205</v>
      </c>
      <c r="M183">
        <f t="shared" ref="M183" si="25">2+IF(A183&gt;=DATEVALUE("2025/11/30")+TIMEVALUE("6:00"),1,0)+IF(A183&gt;=DATEVALUE("2025/12/11")+TIMEVALUE("6:00"),1,0)</f>
        <v>4</v>
      </c>
      <c r="N183">
        <f t="shared" ref="N183" si="26">N182+M183*(INT(A183-6/24)-INT(A182-6/24))+O183</f>
        <v>208</v>
      </c>
      <c r="O183">
        <f t="shared" ref="O183" si="27">IF(A183&gt;=DATEVALUE("2025/11/8")+TIMEVALUE("6:00"),1,0)-IF(A182&gt;=DATEVALUE("2025/11/8")+TIMEVALUE("6:00"),1,0)</f>
        <v>0</v>
      </c>
      <c r="P183" t="str">
        <f t="shared" ref="P183" si="28">IF(L183&lt;N183,"未達成（"&amp;N183-L183&amp;"）",IF(L183=N183,"達成","前倒し（"&amp;L183-N183&amp;"）"))</f>
        <v>未達成（3）</v>
      </c>
      <c r="Q183" s="5" t="e">
        <f t="shared" si="16"/>
        <v>#N/A</v>
      </c>
    </row>
    <row r="184" spans="1:17">
      <c r="A184" s="3">
        <v>46031.360243055555</v>
      </c>
      <c r="B184">
        <v>60</v>
      </c>
      <c r="C184">
        <v>28</v>
      </c>
      <c r="D184">
        <v>0</v>
      </c>
      <c r="E184">
        <v>0</v>
      </c>
      <c r="F184">
        <v>0</v>
      </c>
      <c r="G184" s="5">
        <v>5.4513888899236917E-3</v>
      </c>
      <c r="H184" t="s">
        <v>422</v>
      </c>
      <c r="I184" t="s">
        <v>421</v>
      </c>
      <c r="J184">
        <v>0</v>
      </c>
      <c r="K184">
        <f t="shared" ref="K184" si="29">IF(A184&lt;DATEVALUE("2025/11/20")+TIMEVALUE("6:00"),1,IF(OR(B184&lt;&gt;60,SUM(D184:F184)&lt;&gt;0,G184&gt;=IF(A184&lt;DATEVALUE("2025/12/28")+TIMEVALUE("6:00"),20,18)/24/60),0,2-INT(G184*24*60/10)))</f>
        <v>2</v>
      </c>
      <c r="L184">
        <f t="shared" ref="L184" si="30">L183+K184</f>
        <v>207</v>
      </c>
      <c r="M184">
        <f t="shared" ref="M184" si="31">2+IF(A184&gt;=DATEVALUE("2025/11/30")+TIMEVALUE("6:00"),1,0)+IF(A184&gt;=DATEVALUE("2025/12/11")+TIMEVALUE("6:00"),1,0)</f>
        <v>4</v>
      </c>
      <c r="N184">
        <f t="shared" ref="N184" si="32">N183+M184*(INT(A184-6/24)-INT(A183-6/24))+O184</f>
        <v>208</v>
      </c>
      <c r="O184">
        <f t="shared" ref="O184" si="33">IF(A184&gt;=DATEVALUE("2025/11/8")+TIMEVALUE("6:00"),1,0)-IF(A183&gt;=DATEVALUE("2025/11/8")+TIMEVALUE("6:00"),1,0)</f>
        <v>0</v>
      </c>
      <c r="P184" t="str">
        <f t="shared" ref="P184" si="34">IF(L184&lt;N184,"未達成（"&amp;N184-L184&amp;"）",IF(L184=N184,"達成","前倒し（"&amp;L184-N184&amp;"）"))</f>
        <v>未達成（1）</v>
      </c>
      <c r="Q184" s="5">
        <f t="shared" si="16"/>
        <v>5.4513888899236917E-3</v>
      </c>
    </row>
    <row r="185" spans="1:17">
      <c r="A185" s="3">
        <v>46031.446840277778</v>
      </c>
      <c r="B185">
        <v>60</v>
      </c>
      <c r="C185">
        <v>10</v>
      </c>
      <c r="D185">
        <v>0</v>
      </c>
      <c r="E185">
        <v>0</v>
      </c>
      <c r="F185">
        <v>0</v>
      </c>
      <c r="G185" s="5">
        <v>5.5092592592700385E-3</v>
      </c>
      <c r="H185" t="s">
        <v>423</v>
      </c>
      <c r="I185" t="s">
        <v>424</v>
      </c>
      <c r="J185">
        <v>0</v>
      </c>
      <c r="K185">
        <f t="shared" ref="K185" si="35">IF(A185&lt;DATEVALUE("2025/11/20")+TIMEVALUE("6:00"),1,IF(OR(B185&lt;&gt;60,SUM(D185:F185)&lt;&gt;0,G185&gt;=IF(A185&lt;DATEVALUE("2025/12/28")+TIMEVALUE("6:00"),20,18)/24/60),0,2-INT(G185*24*60/10)))</f>
        <v>2</v>
      </c>
      <c r="L185">
        <f t="shared" ref="L185" si="36">L184+K185</f>
        <v>209</v>
      </c>
      <c r="M185">
        <f t="shared" ref="M185" si="37">2+IF(A185&gt;=DATEVALUE("2025/11/30")+TIMEVALUE("6:00"),1,0)+IF(A185&gt;=DATEVALUE("2025/12/11")+TIMEVALUE("6:00"),1,0)</f>
        <v>4</v>
      </c>
      <c r="N185">
        <f t="shared" ref="N185" si="38">N184+M185*(INT(A185-6/24)-INT(A184-6/24))+O185</f>
        <v>208</v>
      </c>
      <c r="O185">
        <f t="shared" ref="O185" si="39">IF(A185&gt;=DATEVALUE("2025/11/8")+TIMEVALUE("6:00"),1,0)-IF(A184&gt;=DATEVALUE("2025/11/8")+TIMEVALUE("6:00"),1,0)</f>
        <v>0</v>
      </c>
      <c r="P185" t="str">
        <f t="shared" ref="P185" si="40">IF(L185&lt;N185,"未達成（"&amp;N185-L185&amp;"）",IF(L185=N185,"達成","前倒し（"&amp;L185-N185&amp;"）"))</f>
        <v>前倒し（1）</v>
      </c>
      <c r="Q185" s="5">
        <f t="shared" si="16"/>
        <v>5.5092592592700385E-3</v>
      </c>
    </row>
    <row r="186" spans="1:17">
      <c r="A186" s="3">
        <v>46032.888819444444</v>
      </c>
      <c r="B186">
        <v>60</v>
      </c>
      <c r="C186">
        <v>17</v>
      </c>
      <c r="D186">
        <v>0</v>
      </c>
      <c r="E186">
        <v>0</v>
      </c>
      <c r="F186">
        <v>0</v>
      </c>
      <c r="G186" s="5">
        <v>6.0532407442224212E-3</v>
      </c>
      <c r="H186" t="s">
        <v>426</v>
      </c>
      <c r="I186" t="s">
        <v>427</v>
      </c>
      <c r="J186">
        <v>0</v>
      </c>
      <c r="K186">
        <f t="shared" ref="K186" si="41">IF(A186&lt;DATEVALUE("2025/11/20")+TIMEVALUE("6:00"),1,IF(OR(B186&lt;&gt;60,SUM(D186:F186)&lt;&gt;0,G186&gt;=IF(A186&lt;DATEVALUE("2025/12/28")+TIMEVALUE("6:00"),20,18)/24/60),0,2-INT(G186*24*60/10)))</f>
        <v>2</v>
      </c>
      <c r="L186">
        <f t="shared" ref="L186" si="42">L185+K186</f>
        <v>211</v>
      </c>
      <c r="M186">
        <f t="shared" ref="M186" si="43">2+IF(A186&gt;=DATEVALUE("2025/11/30")+TIMEVALUE("6:00"),1,0)+IF(A186&gt;=DATEVALUE("2025/12/11")+TIMEVALUE("6:00"),1,0)</f>
        <v>4</v>
      </c>
      <c r="N186">
        <f t="shared" ref="N186" si="44">N185+M186*(INT(A186-6/24)-INT(A185-6/24))+O186</f>
        <v>212</v>
      </c>
      <c r="O186">
        <f t="shared" ref="O186" si="45">IF(A186&gt;=DATEVALUE("2025/11/8")+TIMEVALUE("6:00"),1,0)-IF(A185&gt;=DATEVALUE("2025/11/8")+TIMEVALUE("6:00"),1,0)</f>
        <v>0</v>
      </c>
      <c r="P186" t="str">
        <f t="shared" ref="P186" si="46">IF(L186&lt;N186,"未達成（"&amp;N186-L186&amp;"）",IF(L186=N186,"達成","前倒し（"&amp;L186-N186&amp;"）"))</f>
        <v>未達成（1）</v>
      </c>
      <c r="Q186" s="5">
        <f t="shared" ref="Q186" si="47">IF(B186="",NA(),G186)</f>
        <v>6.0532407442224212E-3</v>
      </c>
    </row>
    <row r="187" spans="1:17">
      <c r="A187" s="3">
        <v>46032.895682870374</v>
      </c>
      <c r="B187">
        <v>60</v>
      </c>
      <c r="C187">
        <v>4</v>
      </c>
      <c r="D187">
        <v>0</v>
      </c>
      <c r="E187">
        <v>0</v>
      </c>
      <c r="F187">
        <v>0</v>
      </c>
      <c r="G187" s="5">
        <v>6.2962962983874604E-3</v>
      </c>
      <c r="H187" t="s">
        <v>428</v>
      </c>
      <c r="I187" t="s">
        <v>429</v>
      </c>
      <c r="J187">
        <v>0</v>
      </c>
      <c r="K187">
        <f t="shared" ref="K187" si="48">IF(A187&lt;DATEVALUE("2025/11/20")+TIMEVALUE("6:00"),1,IF(OR(B187&lt;&gt;60,SUM(D187:F187)&lt;&gt;0,G187&gt;=IF(A187&lt;DATEVALUE("2025/12/28")+TIMEVALUE("6:00"),20,18)/24/60),0,2-INT(G187*24*60/10)))</f>
        <v>2</v>
      </c>
      <c r="L187">
        <f t="shared" ref="L187" si="49">L186+K187</f>
        <v>213</v>
      </c>
      <c r="M187">
        <f t="shared" ref="M187" si="50">2+IF(A187&gt;=DATEVALUE("2025/11/30")+TIMEVALUE("6:00"),1,0)+IF(A187&gt;=DATEVALUE("2025/12/11")+TIMEVALUE("6:00"),1,0)</f>
        <v>4</v>
      </c>
      <c r="N187">
        <f t="shared" ref="N187" si="51">N186+M187*(INT(A187-6/24)-INT(A186-6/24))+O187</f>
        <v>212</v>
      </c>
      <c r="O187">
        <f t="shared" ref="O187" si="52">IF(A187&gt;=DATEVALUE("2025/11/8")+TIMEVALUE("6:00"),1,0)-IF(A186&gt;=DATEVALUE("2025/11/8")+TIMEVALUE("6:00"),1,0)</f>
        <v>0</v>
      </c>
      <c r="P187" t="str">
        <f t="shared" ref="P187" si="53">IF(L187&lt;N187,"未達成（"&amp;N187-L187&amp;"）",IF(L187=N187,"達成","前倒し（"&amp;L187-N187&amp;"）"))</f>
        <v>前倒し（1）</v>
      </c>
      <c r="Q187" s="5">
        <f t="shared" ref="Q187" si="54">IF(B187="",NA(),G187)</f>
        <v>6.2962962983874604E-3</v>
      </c>
    </row>
    <row r="188" spans="1:17">
      <c r="A188" s="3">
        <v>46033.278032407405</v>
      </c>
      <c r="B188">
        <v>60</v>
      </c>
      <c r="C188">
        <v>8</v>
      </c>
      <c r="D188">
        <v>0</v>
      </c>
      <c r="E188">
        <v>0</v>
      </c>
      <c r="F188">
        <v>0</v>
      </c>
      <c r="G188" s="5">
        <v>1.1608796296059154E-2</v>
      </c>
      <c r="H188" t="s">
        <v>430</v>
      </c>
      <c r="I188" t="s">
        <v>431</v>
      </c>
      <c r="J188">
        <v>0</v>
      </c>
      <c r="K188">
        <f t="shared" ref="K188" si="55">IF(A188&lt;DATEVALUE("2025/11/20")+TIMEVALUE("6:00"),1,IF(OR(B188&lt;&gt;60,SUM(D188:F188)&lt;&gt;0,G188&gt;=IF(A188&lt;DATEVALUE("2025/12/28")+TIMEVALUE("6:00"),20,18)/24/60),0,2-INT(G188*24*60/10)))</f>
        <v>1</v>
      </c>
      <c r="L188">
        <f t="shared" ref="L188" si="56">L187+K188</f>
        <v>214</v>
      </c>
      <c r="M188">
        <f t="shared" ref="M188" si="57">2+IF(A188&gt;=DATEVALUE("2025/11/30")+TIMEVALUE("6:00"),1,0)+IF(A188&gt;=DATEVALUE("2025/12/11")+TIMEVALUE("6:00"),1,0)</f>
        <v>4</v>
      </c>
      <c r="N188">
        <f t="shared" ref="N188" si="58">N187+M188*(INT(A188-6/24)-INT(A187-6/24))+O188</f>
        <v>216</v>
      </c>
      <c r="O188">
        <f t="shared" ref="O188" si="59">IF(A188&gt;=DATEVALUE("2025/11/8")+TIMEVALUE("6:00"),1,0)-IF(A187&gt;=DATEVALUE("2025/11/8")+TIMEVALUE("6:00"),1,0)</f>
        <v>0</v>
      </c>
      <c r="P188" t="str">
        <f t="shared" ref="P188" si="60">IF(L188&lt;N188,"未達成（"&amp;N188-L188&amp;"）",IF(L188=N188,"達成","前倒し（"&amp;L188-N188&amp;"）"))</f>
        <v>未達成（2）</v>
      </c>
      <c r="Q188" s="5">
        <f t="shared" ref="Q188" si="61">IF(B188="",NA(),G188)</f>
        <v>1.1608796296059154E-2</v>
      </c>
    </row>
    <row r="189" spans="1:17">
      <c r="A189" s="3">
        <v>46033.302071759259</v>
      </c>
      <c r="B189">
        <v>60</v>
      </c>
      <c r="C189">
        <v>20</v>
      </c>
      <c r="D189">
        <v>0</v>
      </c>
      <c r="E189">
        <v>0</v>
      </c>
      <c r="F189">
        <v>0</v>
      </c>
      <c r="G189" s="5">
        <v>8.1018518540076911E-3</v>
      </c>
      <c r="H189" t="s">
        <v>432</v>
      </c>
      <c r="I189" t="s">
        <v>433</v>
      </c>
      <c r="J189">
        <v>0</v>
      </c>
      <c r="K189">
        <f t="shared" ref="K189" si="62">IF(A189&lt;DATEVALUE("2025/11/20")+TIMEVALUE("6:00"),1,IF(OR(B189&lt;&gt;60,SUM(D189:F189)&lt;&gt;0,G189&gt;=IF(A189&lt;DATEVALUE("2025/12/28")+TIMEVALUE("6:00"),20,18)/24/60),0,2-INT(G189*24*60/10)))</f>
        <v>1</v>
      </c>
      <c r="L189">
        <f t="shared" ref="L189" si="63">L188+K189</f>
        <v>215</v>
      </c>
      <c r="M189">
        <f t="shared" ref="M189" si="64">2+IF(A189&gt;=DATEVALUE("2025/11/30")+TIMEVALUE("6:00"),1,0)+IF(A189&gt;=DATEVALUE("2025/12/11")+TIMEVALUE("6:00"),1,0)</f>
        <v>4</v>
      </c>
      <c r="N189">
        <f t="shared" ref="N189" si="65">N188+M189*(INT(A189-6/24)-INT(A188-6/24))+O189</f>
        <v>216</v>
      </c>
      <c r="O189">
        <f t="shared" ref="O189" si="66">IF(A189&gt;=DATEVALUE("2025/11/8")+TIMEVALUE("6:00"),1,0)-IF(A188&gt;=DATEVALUE("2025/11/8")+TIMEVALUE("6:00"),1,0)</f>
        <v>0</v>
      </c>
      <c r="P189" t="str">
        <f t="shared" ref="P189" si="67">IF(L189&lt;N189,"未達成（"&amp;N189-L189&amp;"）",IF(L189=N189,"達成","前倒し（"&amp;L189-N189&amp;"）"))</f>
        <v>未達成（1）</v>
      </c>
      <c r="Q189" s="5">
        <f t="shared" ref="Q189" si="68">IF(B189="",NA(),G189)</f>
        <v>8.1018518540076911E-3</v>
      </c>
    </row>
    <row r="190" spans="1:17">
      <c r="A190" s="3">
        <v>46033.309340277781</v>
      </c>
      <c r="B190">
        <v>60</v>
      </c>
      <c r="C190">
        <v>9</v>
      </c>
      <c r="D190">
        <v>0</v>
      </c>
      <c r="E190">
        <v>0</v>
      </c>
      <c r="F190">
        <v>0</v>
      </c>
      <c r="G190" s="5">
        <v>6.0763888905057684E-3</v>
      </c>
      <c r="H190" t="s">
        <v>434</v>
      </c>
      <c r="I190" t="s">
        <v>435</v>
      </c>
      <c r="J190">
        <v>0</v>
      </c>
      <c r="K190">
        <f t="shared" ref="K190" si="69">IF(A190&lt;DATEVALUE("2025/11/20")+TIMEVALUE("6:00"),1,IF(OR(B190&lt;&gt;60,SUM(D190:F190)&lt;&gt;0,G190&gt;=IF(A190&lt;DATEVALUE("2025/12/28")+TIMEVALUE("6:00"),20,18)/24/60),0,2-INT(G190*24*60/10)))</f>
        <v>2</v>
      </c>
      <c r="L190">
        <f t="shared" ref="L190" si="70">L189+K190</f>
        <v>217</v>
      </c>
      <c r="M190">
        <f t="shared" ref="M190" si="71">2+IF(A190&gt;=DATEVALUE("2025/11/30")+TIMEVALUE("6:00"),1,0)+IF(A190&gt;=DATEVALUE("2025/12/11")+TIMEVALUE("6:00"),1,0)</f>
        <v>4</v>
      </c>
      <c r="N190">
        <f t="shared" ref="N190" si="72">N189+M190*(INT(A190-6/24)-INT(A189-6/24))+O190</f>
        <v>216</v>
      </c>
      <c r="O190">
        <f t="shared" ref="O190" si="73">IF(A190&gt;=DATEVALUE("2025/11/8")+TIMEVALUE("6:00"),1,0)-IF(A189&gt;=DATEVALUE("2025/11/8")+TIMEVALUE("6:00"),1,0)</f>
        <v>0</v>
      </c>
      <c r="P190" t="str">
        <f t="shared" ref="P190" si="74">IF(L190&lt;N190,"未達成（"&amp;N190-L190&amp;"）",IF(L190=N190,"達成","前倒し（"&amp;L190-N190&amp;"）"))</f>
        <v>前倒し（1）</v>
      </c>
      <c r="Q190" s="5">
        <f t="shared" ref="Q190" si="75">IF(B190="",NA(),G190)</f>
        <v>6.0763888905057684E-3</v>
      </c>
    </row>
    <row r="191" spans="1:17">
      <c r="A191" s="3">
        <v>46034.275648148148</v>
      </c>
      <c r="B191">
        <v>60</v>
      </c>
      <c r="C191">
        <v>13</v>
      </c>
      <c r="D191">
        <v>0</v>
      </c>
      <c r="E191">
        <v>0</v>
      </c>
      <c r="F191">
        <v>0</v>
      </c>
      <c r="G191" s="5">
        <v>6.1574074061354622E-3</v>
      </c>
      <c r="H191" t="s">
        <v>436</v>
      </c>
      <c r="I191" t="s">
        <v>437</v>
      </c>
      <c r="J191">
        <v>0</v>
      </c>
      <c r="K191">
        <f t="shared" ref="K191" si="76">IF(A191&lt;DATEVALUE("2025/11/20")+TIMEVALUE("6:00"),1,IF(OR(B191&lt;&gt;60,SUM(D191:F191)&lt;&gt;0,G191&gt;=IF(A191&lt;DATEVALUE("2025/12/28")+TIMEVALUE("6:00"),20,18)/24/60),0,2-INT(G191*24*60/10)))</f>
        <v>2</v>
      </c>
      <c r="L191">
        <f t="shared" ref="L191" si="77">L190+K191</f>
        <v>219</v>
      </c>
      <c r="M191">
        <f t="shared" ref="M191" si="78">2+IF(A191&gt;=DATEVALUE("2025/11/30")+TIMEVALUE("6:00"),1,0)+IF(A191&gt;=DATEVALUE("2025/12/11")+TIMEVALUE("6:00"),1,0)</f>
        <v>4</v>
      </c>
      <c r="N191">
        <f t="shared" ref="N191" si="79">N190+M191*(INT(A191-6/24)-INT(A190-6/24))+O191</f>
        <v>220</v>
      </c>
      <c r="O191">
        <f t="shared" ref="O191" si="80">IF(A191&gt;=DATEVALUE("2025/11/8")+TIMEVALUE("6:00"),1,0)-IF(A190&gt;=DATEVALUE("2025/11/8")+TIMEVALUE("6:00"),1,0)</f>
        <v>0</v>
      </c>
      <c r="P191" t="str">
        <f t="shared" ref="P191" si="81">IF(L191&lt;N191,"未達成（"&amp;N191-L191&amp;"）",IF(L191=N191,"達成","前倒し（"&amp;L191-N191&amp;"）"))</f>
        <v>未達成（1）</v>
      </c>
      <c r="Q191" s="5">
        <f t="shared" ref="Q191" si="82">IF(B191="",NA(),G191)</f>
        <v>6.1574074061354622E-3</v>
      </c>
    </row>
    <row r="192" spans="1:17">
      <c r="A192" s="3">
        <v>46034.311157407406</v>
      </c>
      <c r="B192">
        <v>60</v>
      </c>
      <c r="C192">
        <v>13</v>
      </c>
      <c r="D192">
        <v>0</v>
      </c>
      <c r="E192">
        <v>0</v>
      </c>
      <c r="F192">
        <v>0</v>
      </c>
      <c r="G192" s="5">
        <v>8.4027777775190771E-3</v>
      </c>
      <c r="H192" t="s">
        <v>439</v>
      </c>
      <c r="I192" t="s">
        <v>440</v>
      </c>
      <c r="J192">
        <v>0</v>
      </c>
      <c r="K192">
        <f t="shared" ref="K192" si="83">IF(A192&lt;DATEVALUE("2025/11/20")+TIMEVALUE("6:00"),1,IF(OR(B192&lt;&gt;60,SUM(D192:F192)&lt;&gt;0,G192&gt;=IF(A192&lt;DATEVALUE("2025/12/28")+TIMEVALUE("6:00"),20,18)/24/60),0,2-INT(G192*24*60/10)))</f>
        <v>1</v>
      </c>
      <c r="L192">
        <f t="shared" ref="L192" si="84">L191+K192</f>
        <v>220</v>
      </c>
      <c r="M192">
        <f t="shared" ref="M192" si="85">2+IF(A192&gt;=DATEVALUE("2025/11/30")+TIMEVALUE("6:00"),1,0)+IF(A192&gt;=DATEVALUE("2025/12/11")+TIMEVALUE("6:00"),1,0)</f>
        <v>4</v>
      </c>
      <c r="N192">
        <f t="shared" ref="N192" si="86">N191+M192*(INT(A192-6/24)-INT(A191-6/24))+O192</f>
        <v>220</v>
      </c>
      <c r="O192">
        <f t="shared" ref="O192" si="87">IF(A192&gt;=DATEVALUE("2025/11/8")+TIMEVALUE("6:00"),1,0)-IF(A191&gt;=DATEVALUE("2025/11/8")+TIMEVALUE("6:00"),1,0)</f>
        <v>0</v>
      </c>
      <c r="P192" t="str">
        <f t="shared" ref="P192" si="88">IF(L192&lt;N192,"未達成（"&amp;N192-L192&amp;"）",IF(L192=N192,"達成","前倒し（"&amp;L192-N192&amp;"）"))</f>
        <v>達成</v>
      </c>
      <c r="Q192">
        <f t="shared" ref="Q192" si="89">IF(B192="",NA(),G192)</f>
        <v>8.4027777775190771E-3</v>
      </c>
    </row>
    <row r="193" spans="1:17">
      <c r="A193" s="3">
        <v>46035.274317129632</v>
      </c>
      <c r="B193">
        <v>60</v>
      </c>
      <c r="C193">
        <v>10</v>
      </c>
      <c r="D193">
        <v>0</v>
      </c>
      <c r="E193">
        <v>0</v>
      </c>
      <c r="F193">
        <v>0</v>
      </c>
      <c r="G193" s="5">
        <v>9.3750000014551915E-3</v>
      </c>
      <c r="H193" t="s">
        <v>441</v>
      </c>
      <c r="I193" t="s">
        <v>442</v>
      </c>
      <c r="J193">
        <v>0</v>
      </c>
      <c r="K193">
        <f t="shared" ref="K193" si="90">IF(A193&lt;DATEVALUE("2025/11/20")+TIMEVALUE("6:00"),1,IF(OR(B193&lt;&gt;60,SUM(D193:F193)&lt;&gt;0,G193&gt;=IF(A193&lt;DATEVALUE("2025/12/28")+TIMEVALUE("6:00"),20,18)/24/60),0,2-INT(G193*24*60/10)))</f>
        <v>1</v>
      </c>
      <c r="L193">
        <f t="shared" ref="L193" si="91">L192+K193</f>
        <v>221</v>
      </c>
      <c r="M193">
        <f t="shared" ref="M193" si="92">2+IF(A193&gt;=DATEVALUE("2025/11/30")+TIMEVALUE("6:00"),1,0)+IF(A193&gt;=DATEVALUE("2025/12/11")+TIMEVALUE("6:00"),1,0)</f>
        <v>4</v>
      </c>
      <c r="N193">
        <f t="shared" ref="N193" si="93">N192+M193*(INT(A193-6/24)-INT(A192-6/24))+O193</f>
        <v>224</v>
      </c>
      <c r="O193">
        <f t="shared" ref="O193" si="94">IF(A193&gt;=DATEVALUE("2025/11/8")+TIMEVALUE("6:00"),1,0)-IF(A192&gt;=DATEVALUE("2025/11/8")+TIMEVALUE("6:00"),1,0)</f>
        <v>0</v>
      </c>
      <c r="P193" t="str">
        <f t="shared" ref="P193" si="95">IF(L193&lt;N193,"未達成（"&amp;N193-L193&amp;"）",IF(L193=N193,"達成","前倒し（"&amp;L193-N193&amp;"）"))</f>
        <v>未達成（3）</v>
      </c>
      <c r="Q193">
        <f t="shared" ref="Q193" si="96">IF(B193="",NA(),G193)</f>
        <v>9.3750000014551915E-3</v>
      </c>
    </row>
    <row r="194" spans="1:17">
      <c r="A194" s="3">
        <v>46035.280925925923</v>
      </c>
      <c r="B194">
        <v>60</v>
      </c>
      <c r="C194">
        <v>10</v>
      </c>
      <c r="D194">
        <v>0</v>
      </c>
      <c r="E194">
        <v>0</v>
      </c>
      <c r="F194">
        <v>0</v>
      </c>
      <c r="G194" s="5">
        <v>5.1736111054196954E-3</v>
      </c>
      <c r="H194" t="s">
        <v>443</v>
      </c>
      <c r="I194" t="s">
        <v>444</v>
      </c>
      <c r="J194">
        <v>0</v>
      </c>
      <c r="K194">
        <f t="shared" ref="K194" si="97">IF(A194&lt;DATEVALUE("2025/11/20")+TIMEVALUE("6:00"),1,IF(OR(B194&lt;&gt;60,SUM(D194:F194)&lt;&gt;0,G194&gt;=IF(A194&lt;DATEVALUE("2025/12/28")+TIMEVALUE("6:00"),20,18)/24/60),0,2-INT(G194*24*60/10)))</f>
        <v>2</v>
      </c>
      <c r="L194">
        <f t="shared" ref="L194" si="98">L193+K194</f>
        <v>223</v>
      </c>
      <c r="M194">
        <f t="shared" ref="M194" si="99">2+IF(A194&gt;=DATEVALUE("2025/11/30")+TIMEVALUE("6:00"),1,0)+IF(A194&gt;=DATEVALUE("2025/12/11")+TIMEVALUE("6:00"),1,0)</f>
        <v>4</v>
      </c>
      <c r="N194">
        <f t="shared" ref="N194" si="100">N193+M194*(INT(A194-6/24)-INT(A193-6/24))+O194</f>
        <v>224</v>
      </c>
      <c r="O194">
        <f t="shared" ref="O194" si="101">IF(A194&gt;=DATEVALUE("2025/11/8")+TIMEVALUE("6:00"),1,0)-IF(A193&gt;=DATEVALUE("2025/11/8")+TIMEVALUE("6:00"),1,0)</f>
        <v>0</v>
      </c>
      <c r="P194" t="str">
        <f t="shared" ref="P194" si="102">IF(L194&lt;N194,"未達成（"&amp;N194-L194&amp;"）",IF(L194=N194,"達成","前倒し（"&amp;L194-N194&amp;"）"))</f>
        <v>未達成（1）</v>
      </c>
      <c r="Q194">
        <f t="shared" ref="Q194" si="103">IF(B194="",NA(),G194)</f>
        <v>5.1736111054196954E-3</v>
      </c>
    </row>
    <row r="195" spans="1:17">
      <c r="A195" s="3">
        <v>46035.30537037037</v>
      </c>
      <c r="B195">
        <v>60</v>
      </c>
      <c r="C195">
        <v>16</v>
      </c>
      <c r="D195">
        <v>0</v>
      </c>
      <c r="E195">
        <v>0</v>
      </c>
      <c r="F195">
        <v>0</v>
      </c>
      <c r="G195" s="5">
        <v>6.0879629600094631E-3</v>
      </c>
      <c r="H195" t="s">
        <v>445</v>
      </c>
      <c r="I195" t="s">
        <v>446</v>
      </c>
      <c r="J195">
        <v>0</v>
      </c>
      <c r="K195">
        <f t="shared" ref="K195" si="104">IF(A195&lt;DATEVALUE("2025/11/20")+TIMEVALUE("6:00"),1,IF(OR(B195&lt;&gt;60,SUM(D195:F195)&lt;&gt;0,G195&gt;=IF(A195&lt;DATEVALUE("2025/12/28")+TIMEVALUE("6:00"),20,18)/24/60),0,2-INT(G195*24*60/10)))</f>
        <v>2</v>
      </c>
      <c r="L195">
        <f t="shared" ref="L195" si="105">L194+K195</f>
        <v>225</v>
      </c>
      <c r="M195">
        <f t="shared" ref="M195" si="106">2+IF(A195&gt;=DATEVALUE("2025/11/30")+TIMEVALUE("6:00"),1,0)+IF(A195&gt;=DATEVALUE("2025/12/11")+TIMEVALUE("6:00"),1,0)</f>
        <v>4</v>
      </c>
      <c r="N195">
        <f t="shared" ref="N195" si="107">N194+M195*(INT(A195-6/24)-INT(A194-6/24))+O195</f>
        <v>224</v>
      </c>
      <c r="O195">
        <f t="shared" ref="O195" si="108">IF(A195&gt;=DATEVALUE("2025/11/8")+TIMEVALUE("6:00"),1,0)-IF(A194&gt;=DATEVALUE("2025/11/8")+TIMEVALUE("6:00"),1,0)</f>
        <v>0</v>
      </c>
      <c r="P195" t="str">
        <f t="shared" ref="P195" si="109">IF(L195&lt;N195,"未達成（"&amp;N195-L195&amp;"）",IF(L195=N195,"達成","前倒し（"&amp;L195-N195&amp;"）"))</f>
        <v>前倒し（1）</v>
      </c>
      <c r="Q195">
        <f t="shared" ref="Q195" si="110">IF(B195="",NA(),G195)</f>
        <v>6.0879629600094631E-3</v>
      </c>
    </row>
    <row r="196" spans="1:17">
      <c r="A196" s="3">
        <v>46036.294687499998</v>
      </c>
      <c r="B196">
        <v>60</v>
      </c>
      <c r="C196">
        <v>4</v>
      </c>
      <c r="D196">
        <v>0</v>
      </c>
      <c r="E196">
        <v>0</v>
      </c>
      <c r="F196">
        <v>0</v>
      </c>
      <c r="G196" s="5">
        <v>5.6712962978053838E-3</v>
      </c>
      <c r="H196" t="s">
        <v>447</v>
      </c>
      <c r="I196" t="s">
        <v>448</v>
      </c>
      <c r="J196">
        <v>0</v>
      </c>
      <c r="K196">
        <f t="shared" ref="K196" si="111">IF(A196&lt;DATEVALUE("2025/11/20")+TIMEVALUE("6:00"),1,IF(OR(B196&lt;&gt;60,SUM(D196:F196)&lt;&gt;0,G196&gt;=IF(A196&lt;DATEVALUE("2025/12/28")+TIMEVALUE("6:00"),20,18)/24/60),0,2-INT(G196*24*60/10)))</f>
        <v>2</v>
      </c>
      <c r="L196">
        <f t="shared" ref="L196" si="112">L195+K196</f>
        <v>227</v>
      </c>
      <c r="M196">
        <f t="shared" ref="M196" si="113">2+IF(A196&gt;=DATEVALUE("2025/11/30")+TIMEVALUE("6:00"),1,0)+IF(A196&gt;=DATEVALUE("2025/12/11")+TIMEVALUE("6:00"),1,0)</f>
        <v>4</v>
      </c>
      <c r="N196">
        <f t="shared" ref="N196" si="114">N195+M196*(INT(A196-6/24)-INT(A195-6/24))+O196</f>
        <v>228</v>
      </c>
      <c r="O196">
        <f t="shared" ref="O196" si="115">IF(A196&gt;=DATEVALUE("2025/11/8")+TIMEVALUE("6:00"),1,0)-IF(A195&gt;=DATEVALUE("2025/11/8")+TIMEVALUE("6:00"),1,0)</f>
        <v>0</v>
      </c>
      <c r="P196" t="str">
        <f t="shared" ref="P196" si="116">IF(L196&lt;N196,"未達成（"&amp;N196-L196&amp;"）",IF(L196=N196,"達成","前倒し（"&amp;L196-N196&amp;"）"))</f>
        <v>未達成（1）</v>
      </c>
      <c r="Q196">
        <f t="shared" ref="Q196" si="117">IF(B196="",NA(),G196)</f>
        <v>5.6712962978053838E-3</v>
      </c>
    </row>
    <row r="197" spans="1:17">
      <c r="A197" s="3">
        <v>46036.3049537037</v>
      </c>
      <c r="B197">
        <v>60</v>
      </c>
      <c r="C197">
        <v>6</v>
      </c>
      <c r="D197">
        <v>0</v>
      </c>
      <c r="E197">
        <v>0</v>
      </c>
      <c r="F197">
        <v>0</v>
      </c>
      <c r="G197" s="5">
        <v>6.8287036992842332E-3</v>
      </c>
      <c r="H197" t="s">
        <v>449</v>
      </c>
      <c r="I197" t="s">
        <v>450</v>
      </c>
      <c r="J197">
        <v>0</v>
      </c>
      <c r="K197">
        <f t="shared" ref="K197" si="118">IF(A197&lt;DATEVALUE("2025/11/20")+TIMEVALUE("6:00"),1,IF(OR(B197&lt;&gt;60,SUM(D197:F197)&lt;&gt;0,G197&gt;=IF(A197&lt;DATEVALUE("2025/12/28")+TIMEVALUE("6:00"),20,18)/24/60),0,2-INT(G197*24*60/10)))</f>
        <v>2</v>
      </c>
      <c r="L197">
        <f t="shared" ref="L197" si="119">L196+K197</f>
        <v>229</v>
      </c>
      <c r="M197">
        <f t="shared" ref="M197" si="120">2+IF(A197&gt;=DATEVALUE("2025/11/30")+TIMEVALUE("6:00"),1,0)+IF(A197&gt;=DATEVALUE("2025/12/11")+TIMEVALUE("6:00"),1,0)</f>
        <v>4</v>
      </c>
      <c r="N197">
        <f t="shared" ref="N197" si="121">N196+M197*(INT(A197-6/24)-INT(A196-6/24))+O197</f>
        <v>228</v>
      </c>
      <c r="O197">
        <f t="shared" ref="O197" si="122">IF(A197&gt;=DATEVALUE("2025/11/8")+TIMEVALUE("6:00"),1,0)-IF(A196&gt;=DATEVALUE("2025/11/8")+TIMEVALUE("6:00"),1,0)</f>
        <v>0</v>
      </c>
      <c r="P197" t="str">
        <f t="shared" ref="P197" si="123">IF(L197&lt;N197,"未達成（"&amp;N197-L197&amp;"）",IF(L197=N197,"達成","前倒し（"&amp;L197-N197&amp;"）"))</f>
        <v>前倒し（1）</v>
      </c>
      <c r="Q197">
        <f t="shared" ref="Q197" si="124">IF(B197="",NA(),G197)</f>
        <v>6.8287036992842332E-3</v>
      </c>
    </row>
    <row r="198" spans="1:17">
      <c r="A198" s="3">
        <v>46037.296423611115</v>
      </c>
      <c r="B198">
        <v>60</v>
      </c>
      <c r="C198">
        <v>17</v>
      </c>
      <c r="D198">
        <v>0</v>
      </c>
      <c r="E198">
        <v>0</v>
      </c>
      <c r="F198">
        <v>0</v>
      </c>
      <c r="G198" s="5">
        <v>1.1712962965248153E-2</v>
      </c>
      <c r="H198" t="s">
        <v>451</v>
      </c>
      <c r="I198" t="s">
        <v>452</v>
      </c>
      <c r="J198">
        <v>0</v>
      </c>
      <c r="K198">
        <f t="shared" ref="K198" si="125">IF(A198&lt;DATEVALUE("2025/11/20")+TIMEVALUE("6:00"),1,IF(OR(B198&lt;&gt;60,SUM(D198:F198)&lt;&gt;0,G198&gt;=IF(A198&lt;DATEVALUE("2025/12/28")+TIMEVALUE("6:00"),20,18)/24/60),0,2-INT(G198*24*60/10)))</f>
        <v>1</v>
      </c>
      <c r="L198">
        <f t="shared" ref="L198" si="126">L197+K198</f>
        <v>230</v>
      </c>
      <c r="M198">
        <f t="shared" ref="M198" si="127">2+IF(A198&gt;=DATEVALUE("2025/11/30")+TIMEVALUE("6:00"),1,0)+IF(A198&gt;=DATEVALUE("2025/12/11")+TIMEVALUE("6:00"),1,0)</f>
        <v>4</v>
      </c>
      <c r="N198">
        <f t="shared" ref="N198" si="128">N197+M198*(INT(A198-6/24)-INT(A197-6/24))+O198</f>
        <v>232</v>
      </c>
      <c r="O198">
        <f t="shared" ref="O198" si="129">IF(A198&gt;=DATEVALUE("2025/11/8")+TIMEVALUE("6:00"),1,0)-IF(A197&gt;=DATEVALUE("2025/11/8")+TIMEVALUE("6:00"),1,0)</f>
        <v>0</v>
      </c>
      <c r="P198" t="str">
        <f t="shared" ref="P198" si="130">IF(L198&lt;N198,"未達成（"&amp;N198-L198&amp;"）",IF(L198=N198,"達成","前倒し（"&amp;L198-N198&amp;"）"))</f>
        <v>未達成（2）</v>
      </c>
      <c r="Q198">
        <f t="shared" ref="Q198" si="131">IF(B198="",NA(),G198)</f>
        <v>1.1712962965248153E-2</v>
      </c>
    </row>
    <row r="199" spans="1:17">
      <c r="A199" s="3">
        <v>46037.307673611111</v>
      </c>
      <c r="B199">
        <v>60</v>
      </c>
      <c r="C199">
        <v>15</v>
      </c>
      <c r="D199">
        <v>0</v>
      </c>
      <c r="E199">
        <v>0</v>
      </c>
      <c r="F199">
        <v>0</v>
      </c>
      <c r="G199" s="5">
        <v>6.9907407378195785E-3</v>
      </c>
      <c r="H199" t="s">
        <v>453</v>
      </c>
      <c r="I199" t="s">
        <v>454</v>
      </c>
      <c r="J199">
        <v>0</v>
      </c>
      <c r="K199">
        <f t="shared" ref="K199" si="132">IF(A199&lt;DATEVALUE("2025/11/20")+TIMEVALUE("6:00"),1,IF(OR(B199&lt;&gt;60,SUM(D199:F199)&lt;&gt;0,G199&gt;=IF(A199&lt;DATEVALUE("2025/12/28")+TIMEVALUE("6:00"),20,18)/24/60),0,2-INT(G199*24*60/10)))</f>
        <v>1</v>
      </c>
      <c r="L199">
        <f t="shared" ref="L199" si="133">L198+K199</f>
        <v>231</v>
      </c>
      <c r="M199">
        <f t="shared" ref="M199" si="134">2+IF(A199&gt;=DATEVALUE("2025/11/30")+TIMEVALUE("6:00"),1,0)+IF(A199&gt;=DATEVALUE("2025/12/11")+TIMEVALUE("6:00"),1,0)</f>
        <v>4</v>
      </c>
      <c r="N199">
        <f t="shared" ref="N199" si="135">N198+M199*(INT(A199-6/24)-INT(A198-6/24))+O199</f>
        <v>232</v>
      </c>
      <c r="O199">
        <f t="shared" ref="O199" si="136">IF(A199&gt;=DATEVALUE("2025/11/8")+TIMEVALUE("6:00"),1,0)-IF(A198&gt;=DATEVALUE("2025/11/8")+TIMEVALUE("6:00"),1,0)</f>
        <v>0</v>
      </c>
      <c r="P199" t="str">
        <f t="shared" ref="P199" si="137">IF(L199&lt;N199,"未達成（"&amp;N199-L199&amp;"）",IF(L199=N199,"達成","前倒し（"&amp;L199-N199&amp;"）"))</f>
        <v>未達成（1）</v>
      </c>
      <c r="Q199">
        <f t="shared" ref="Q199" si="138">IF(B199="",NA(),G199)</f>
        <v>6.9907407378195785E-3</v>
      </c>
    </row>
    <row r="200" spans="1:17">
      <c r="A200" s="3">
        <v>46037.315891203703</v>
      </c>
      <c r="B200">
        <v>60</v>
      </c>
      <c r="C200">
        <v>19</v>
      </c>
      <c r="D200">
        <v>0</v>
      </c>
      <c r="E200">
        <v>0</v>
      </c>
      <c r="F200">
        <v>0</v>
      </c>
      <c r="G200" s="5">
        <v>5.3472222207346931E-3</v>
      </c>
      <c r="H200" t="s">
        <v>455</v>
      </c>
      <c r="I200" t="s">
        <v>456</v>
      </c>
      <c r="J200">
        <v>0</v>
      </c>
      <c r="K200">
        <f t="shared" ref="K200" si="139">IF(A200&lt;DATEVALUE("2025/11/20")+TIMEVALUE("6:00"),1,IF(OR(B200&lt;&gt;60,SUM(D200:F200)&lt;&gt;0,G200&gt;=IF(A200&lt;DATEVALUE("2025/12/28")+TIMEVALUE("6:00"),20,18)/24/60),0,2-INT(G200*24*60/10)))</f>
        <v>2</v>
      </c>
      <c r="L200">
        <f t="shared" ref="L200" si="140">L199+K200</f>
        <v>233</v>
      </c>
      <c r="M200">
        <f t="shared" ref="M200" si="141">2+IF(A200&gt;=DATEVALUE("2025/11/30")+TIMEVALUE("6:00"),1,0)+IF(A200&gt;=DATEVALUE("2025/12/11")+TIMEVALUE("6:00"),1,0)</f>
        <v>4</v>
      </c>
      <c r="N200">
        <f t="shared" ref="N200" si="142">N199+M200*(INT(A200-6/24)-INT(A199-6/24))+O200</f>
        <v>232</v>
      </c>
      <c r="O200">
        <f t="shared" ref="O200" si="143">IF(A200&gt;=DATEVALUE("2025/11/8")+TIMEVALUE("6:00"),1,0)-IF(A199&gt;=DATEVALUE("2025/11/8")+TIMEVALUE("6:00"),1,0)</f>
        <v>0</v>
      </c>
      <c r="P200" t="str">
        <f t="shared" ref="P200" si="144">IF(L200&lt;N200,"未達成（"&amp;N200-L200&amp;"）",IF(L200=N200,"達成","前倒し（"&amp;L200-N200&amp;"）"))</f>
        <v>前倒し（1）</v>
      </c>
      <c r="Q200">
        <f t="shared" ref="Q200" si="145">IF(B200="",NA(),G200)</f>
        <v>5.3472222207346931E-3</v>
      </c>
    </row>
    <row r="201" spans="1:17">
      <c r="A201" s="3">
        <v>46038.299872685187</v>
      </c>
      <c r="B201">
        <v>60</v>
      </c>
      <c r="C201">
        <v>12</v>
      </c>
      <c r="D201">
        <v>0</v>
      </c>
      <c r="E201">
        <v>0</v>
      </c>
      <c r="F201">
        <v>0</v>
      </c>
      <c r="G201" s="5">
        <v>7.5578703690553084E-3</v>
      </c>
      <c r="H201" t="s">
        <v>457</v>
      </c>
      <c r="I201" t="s">
        <v>458</v>
      </c>
      <c r="J201">
        <v>0</v>
      </c>
      <c r="K201">
        <f t="shared" ref="K201" si="146">IF(A201&lt;DATEVALUE("2025/11/20")+TIMEVALUE("6:00"),1,IF(OR(B201&lt;&gt;60,SUM(D201:F201)&lt;&gt;0,G201&gt;=IF(A201&lt;DATEVALUE("2025/12/28")+TIMEVALUE("6:00"),20,18)/24/60),0,2-INT(G201*24*60/10)))</f>
        <v>1</v>
      </c>
      <c r="L201">
        <f t="shared" ref="L201" si="147">L200+K201</f>
        <v>234</v>
      </c>
      <c r="M201">
        <f t="shared" ref="M201" si="148">2+IF(A201&gt;=DATEVALUE("2025/11/30")+TIMEVALUE("6:00"),1,0)+IF(A201&gt;=DATEVALUE("2025/12/11")+TIMEVALUE("6:00"),1,0)</f>
        <v>4</v>
      </c>
      <c r="N201">
        <f t="shared" ref="N201" si="149">N200+M201*(INT(A201-6/24)-INT(A200-6/24))+O201</f>
        <v>236</v>
      </c>
      <c r="O201">
        <f t="shared" ref="O201" si="150">IF(A201&gt;=DATEVALUE("2025/11/8")+TIMEVALUE("6:00"),1,0)-IF(A200&gt;=DATEVALUE("2025/11/8")+TIMEVALUE("6:00"),1,0)</f>
        <v>0</v>
      </c>
      <c r="P201" t="str">
        <f t="shared" ref="P201" si="151">IF(L201&lt;N201,"未達成（"&amp;N201-L201&amp;"）",IF(L201=N201,"達成","前倒し（"&amp;L201-N201&amp;"）"))</f>
        <v>未達成（2）</v>
      </c>
      <c r="Q201">
        <f t="shared" ref="Q201" si="152">IF(B201="",NA(),G201)</f>
        <v>7.5578703690553084E-3</v>
      </c>
    </row>
    <row r="202" spans="1:17">
      <c r="A202" s="3">
        <v>46038.308009259257</v>
      </c>
      <c r="B202">
        <v>60</v>
      </c>
      <c r="C202">
        <v>19</v>
      </c>
      <c r="D202">
        <v>0</v>
      </c>
      <c r="E202">
        <v>0</v>
      </c>
      <c r="F202">
        <v>0</v>
      </c>
      <c r="G202" s="5">
        <v>7.1180555532919243E-3</v>
      </c>
      <c r="H202" t="s">
        <v>459</v>
      </c>
      <c r="I202" t="s">
        <v>460</v>
      </c>
      <c r="J202">
        <v>0</v>
      </c>
      <c r="K202">
        <f t="shared" ref="K202" si="153">IF(A202&lt;DATEVALUE("2025/11/20")+TIMEVALUE("6:00"),1,IF(OR(B202&lt;&gt;60,SUM(D202:F202)&lt;&gt;0,G202&gt;=IF(A202&lt;DATEVALUE("2025/12/28")+TIMEVALUE("6:00"),20,18)/24/60),0,2-INT(G202*24*60/10)))</f>
        <v>1</v>
      </c>
      <c r="L202">
        <f t="shared" ref="L202" si="154">L201+K202</f>
        <v>235</v>
      </c>
      <c r="M202">
        <f t="shared" ref="M202" si="155">2+IF(A202&gt;=DATEVALUE("2025/11/30")+TIMEVALUE("6:00"),1,0)+IF(A202&gt;=DATEVALUE("2025/12/11")+TIMEVALUE("6:00"),1,0)</f>
        <v>4</v>
      </c>
      <c r="N202">
        <f t="shared" ref="N202" si="156">N201+M202*(INT(A202-6/24)-INT(A201-6/24))+O202</f>
        <v>236</v>
      </c>
      <c r="O202">
        <f t="shared" ref="O202" si="157">IF(A202&gt;=DATEVALUE("2025/11/8")+TIMEVALUE("6:00"),1,0)-IF(A201&gt;=DATEVALUE("2025/11/8")+TIMEVALUE("6:00"),1,0)</f>
        <v>0</v>
      </c>
      <c r="P202" t="str">
        <f t="shared" ref="P202" si="158">IF(L202&lt;N202,"未達成（"&amp;N202-L202&amp;"）",IF(L202=N202,"達成","前倒し（"&amp;L202-N202&amp;"）"))</f>
        <v>未達成（1）</v>
      </c>
      <c r="Q202">
        <f t="shared" ref="Q202" si="159">IF(B202="",NA(),G202)</f>
        <v>7.1180555532919243E-3</v>
      </c>
    </row>
    <row r="203" spans="1:17">
      <c r="A203" s="3">
        <v>46038.316030092596</v>
      </c>
      <c r="B203">
        <v>60</v>
      </c>
      <c r="C203">
        <v>12</v>
      </c>
      <c r="D203">
        <v>0</v>
      </c>
      <c r="E203">
        <v>0</v>
      </c>
      <c r="F203">
        <v>0</v>
      </c>
      <c r="G203" s="5">
        <v>6.6550925985211506E-3</v>
      </c>
      <c r="H203" t="s">
        <v>461</v>
      </c>
      <c r="I203" t="s">
        <v>462</v>
      </c>
      <c r="J203">
        <v>0</v>
      </c>
      <c r="K203">
        <f t="shared" ref="K203" si="160">IF(A203&lt;DATEVALUE("2025/11/20")+TIMEVALUE("6:00"),1,IF(OR(B203&lt;&gt;60,SUM(D203:F203)&lt;&gt;0,G203&gt;=IF(A203&lt;DATEVALUE("2025/12/28")+TIMEVALUE("6:00"),20,18)/24/60),0,2-INT(G203*24*60/10)))</f>
        <v>2</v>
      </c>
      <c r="L203">
        <f t="shared" ref="L203" si="161">L202+K203</f>
        <v>237</v>
      </c>
      <c r="M203">
        <f t="shared" ref="M203" si="162">2+IF(A203&gt;=DATEVALUE("2025/11/30")+TIMEVALUE("6:00"),1,0)+IF(A203&gt;=DATEVALUE("2025/12/11")+TIMEVALUE("6:00"),1,0)</f>
        <v>4</v>
      </c>
      <c r="N203">
        <f t="shared" ref="N203" si="163">N202+M203*(INT(A203-6/24)-INT(A202-6/24))+O203</f>
        <v>236</v>
      </c>
      <c r="O203">
        <f t="shared" ref="O203" si="164">IF(A203&gt;=DATEVALUE("2025/11/8")+TIMEVALUE("6:00"),1,0)-IF(A202&gt;=DATEVALUE("2025/11/8")+TIMEVALUE("6:00"),1,0)</f>
        <v>0</v>
      </c>
      <c r="P203" t="str">
        <f t="shared" ref="P203" si="165">IF(L203&lt;N203,"未達成（"&amp;N203-L203&amp;"）",IF(L203=N203,"達成","前倒し（"&amp;L203-N203&amp;"）"))</f>
        <v>前倒し（1）</v>
      </c>
      <c r="Q203">
        <f t="shared" ref="Q203" si="166">IF(B203="",NA(),G203)</f>
        <v>6.6550925985211506E-3</v>
      </c>
    </row>
    <row r="204" spans="1:17">
      <c r="A204" s="3">
        <v>46039.303553240738</v>
      </c>
      <c r="B204">
        <v>60</v>
      </c>
      <c r="C204">
        <v>31</v>
      </c>
      <c r="D204">
        <v>0</v>
      </c>
      <c r="E204">
        <v>0</v>
      </c>
      <c r="F204">
        <v>0</v>
      </c>
      <c r="G204" s="5">
        <v>5.8564814753481187E-3</v>
      </c>
      <c r="H204" t="s">
        <v>463</v>
      </c>
      <c r="I204" t="s">
        <v>464</v>
      </c>
      <c r="J204">
        <v>0</v>
      </c>
      <c r="K204">
        <f t="shared" ref="K204" si="167">IF(A204&lt;DATEVALUE("2025/11/20")+TIMEVALUE("6:00"),1,IF(OR(B204&lt;&gt;60,SUM(D204:F204)&lt;&gt;0,G204&gt;=IF(A204&lt;DATEVALUE("2025/12/28")+TIMEVALUE("6:00"),20,18)/24/60),0,2-INT(G204*24*60/10)))</f>
        <v>2</v>
      </c>
      <c r="L204">
        <f t="shared" ref="L204" si="168">L203+K204</f>
        <v>239</v>
      </c>
      <c r="M204">
        <f t="shared" ref="M204" si="169">2+IF(A204&gt;=DATEVALUE("2025/11/30")+TIMEVALUE("6:00"),1,0)+IF(A204&gt;=DATEVALUE("2025/12/11")+TIMEVALUE("6:00"),1,0)</f>
        <v>4</v>
      </c>
      <c r="N204">
        <f t="shared" ref="N204" si="170">N203+M204*(INT(A204-6/24)-INT(A203-6/24))+O204</f>
        <v>240</v>
      </c>
      <c r="O204">
        <f t="shared" ref="O204" si="171">IF(A204&gt;=DATEVALUE("2025/11/8")+TIMEVALUE("6:00"),1,0)-IF(A203&gt;=DATEVALUE("2025/11/8")+TIMEVALUE("6:00"),1,0)</f>
        <v>0</v>
      </c>
      <c r="P204" t="str">
        <f t="shared" ref="P204" si="172">IF(L204&lt;N204,"未達成（"&amp;N204-L204&amp;"）",IF(L204=N204,"達成","前倒し（"&amp;L204-N204&amp;"）"))</f>
        <v>未達成（1）</v>
      </c>
      <c r="Q204">
        <f t="shared" ref="Q204" si="173">IF(B204="",NA(),G204)</f>
        <v>5.8564814753481187E-3</v>
      </c>
    </row>
    <row r="205" spans="1:17">
      <c r="A205" s="3">
        <v>46039.311296296299</v>
      </c>
      <c r="B205">
        <v>60</v>
      </c>
      <c r="C205">
        <v>4</v>
      </c>
      <c r="D205">
        <v>0</v>
      </c>
      <c r="E205">
        <v>0</v>
      </c>
      <c r="F205">
        <v>0</v>
      </c>
      <c r="G205" s="5">
        <v>6.3194444446708076E-3</v>
      </c>
      <c r="H205" t="s">
        <v>465</v>
      </c>
      <c r="I205" t="s">
        <v>466</v>
      </c>
      <c r="J205">
        <v>0</v>
      </c>
      <c r="K205">
        <f t="shared" ref="K205" si="174">IF(A205&lt;DATEVALUE("2025/11/20")+TIMEVALUE("6:00"),1,IF(OR(B205&lt;&gt;60,SUM(D205:F205)&lt;&gt;0,G205&gt;=IF(A205&lt;DATEVALUE("2025/12/28")+TIMEVALUE("6:00"),20,18)/24/60),0,2-INT(G205*24*60/10)))</f>
        <v>2</v>
      </c>
      <c r="L205">
        <f t="shared" ref="L205" si="175">L204+K205</f>
        <v>241</v>
      </c>
      <c r="M205">
        <f t="shared" ref="M205" si="176">2+IF(A205&gt;=DATEVALUE("2025/11/30")+TIMEVALUE("6:00"),1,0)+IF(A205&gt;=DATEVALUE("2025/12/11")+TIMEVALUE("6:00"),1,0)</f>
        <v>4</v>
      </c>
      <c r="N205">
        <f t="shared" ref="N205" si="177">N204+M205*(INT(A205-6/24)-INT(A204-6/24))+O205</f>
        <v>240</v>
      </c>
      <c r="O205">
        <f t="shared" ref="O205" si="178">IF(A205&gt;=DATEVALUE("2025/11/8")+TIMEVALUE("6:00"),1,0)-IF(A204&gt;=DATEVALUE("2025/11/8")+TIMEVALUE("6:00"),1,0)</f>
        <v>0</v>
      </c>
      <c r="P205" t="str">
        <f t="shared" ref="P205" si="179">IF(L205&lt;N205,"未達成（"&amp;N205-L205&amp;"）",IF(L205=N205,"達成","前倒し（"&amp;L205-N205&amp;"）"))</f>
        <v>前倒し（1）</v>
      </c>
      <c r="Q205">
        <f t="shared" ref="Q205" si="180">IF(B205="",NA(),G205)</f>
        <v>6.3194444446708076E-3</v>
      </c>
    </row>
    <row r="206" spans="1:17">
      <c r="A206" s="3">
        <v>46040.295324074075</v>
      </c>
      <c r="B206">
        <v>60</v>
      </c>
      <c r="C206">
        <v>12</v>
      </c>
      <c r="D206">
        <v>0</v>
      </c>
      <c r="E206">
        <v>0</v>
      </c>
      <c r="F206">
        <v>0</v>
      </c>
      <c r="G206" s="5">
        <v>5.4629629667033441E-3</v>
      </c>
      <c r="H206" t="s">
        <v>467</v>
      </c>
      <c r="I206" t="s">
        <v>468</v>
      </c>
      <c r="J206">
        <v>0</v>
      </c>
      <c r="K206">
        <f t="shared" ref="K206" si="181">IF(A206&lt;DATEVALUE("2025/11/20")+TIMEVALUE("6:00"),1,IF(OR(B206&lt;&gt;60,SUM(D206:F206)&lt;&gt;0,G206&gt;=IF(A206&lt;DATEVALUE("2025/12/28")+TIMEVALUE("6:00"),20,18)/24/60),0,2-INT(G206*24*60/10)))</f>
        <v>2</v>
      </c>
      <c r="L206">
        <f t="shared" ref="L206" si="182">L205+K206</f>
        <v>243</v>
      </c>
      <c r="M206">
        <f t="shared" ref="M206" si="183">2+IF(A206&gt;=DATEVALUE("2025/11/30")+TIMEVALUE("6:00"),1,0)+IF(A206&gt;=DATEVALUE("2025/12/11")+TIMEVALUE("6:00"),1,0)</f>
        <v>4</v>
      </c>
      <c r="N206">
        <f t="shared" ref="N206" si="184">N205+M206*(INT(A206-6/24)-INT(A205-6/24))+O206</f>
        <v>244</v>
      </c>
      <c r="O206">
        <f t="shared" ref="O206" si="185">IF(A206&gt;=DATEVALUE("2025/11/8")+TIMEVALUE("6:00"),1,0)-IF(A205&gt;=DATEVALUE("2025/11/8")+TIMEVALUE("6:00"),1,0)</f>
        <v>0</v>
      </c>
      <c r="P206" t="str">
        <f t="shared" ref="P206" si="186">IF(L206&lt;N206,"未達成（"&amp;N206-L206&amp;"）",IF(L206=N206,"達成","前倒し（"&amp;L206-N206&amp;"）"))</f>
        <v>未達成（1）</v>
      </c>
      <c r="Q206">
        <f t="shared" ref="Q206" si="187">IF(B206="",NA(),G206)</f>
        <v>5.4629629667033441E-3</v>
      </c>
    </row>
    <row r="207" spans="1:17">
      <c r="A207" s="3">
        <v>46040.8359375</v>
      </c>
      <c r="B207">
        <v>60</v>
      </c>
      <c r="C207">
        <v>14</v>
      </c>
      <c r="D207">
        <v>0</v>
      </c>
      <c r="E207">
        <v>0</v>
      </c>
      <c r="F207">
        <v>0</v>
      </c>
      <c r="G207" s="5">
        <v>5.8449074058444239E-3</v>
      </c>
      <c r="H207" t="s">
        <v>469</v>
      </c>
      <c r="I207" t="s">
        <v>470</v>
      </c>
      <c r="J207">
        <v>0</v>
      </c>
      <c r="K207">
        <f t="shared" ref="K207" si="188">IF(A207&lt;DATEVALUE("2025/11/20")+TIMEVALUE("6:00"),1,IF(OR(B207&lt;&gt;60,SUM(D207:F207)&lt;&gt;0,G207&gt;=IF(A207&lt;DATEVALUE("2025/12/28")+TIMEVALUE("6:00"),20,18)/24/60),0,2-INT(G207*24*60/10)))</f>
        <v>2</v>
      </c>
      <c r="L207">
        <f t="shared" ref="L207" si="189">L206+K207</f>
        <v>245</v>
      </c>
      <c r="M207">
        <f t="shared" ref="M207" si="190">2+IF(A207&gt;=DATEVALUE("2025/11/30")+TIMEVALUE("6:00"),1,0)+IF(A207&gt;=DATEVALUE("2025/12/11")+TIMEVALUE("6:00"),1,0)</f>
        <v>4</v>
      </c>
      <c r="N207">
        <f t="shared" ref="N207" si="191">N206+M207*(INT(A207-6/24)-INT(A206-6/24))+O207</f>
        <v>244</v>
      </c>
      <c r="O207">
        <f t="shared" ref="O207" si="192">IF(A207&gt;=DATEVALUE("2025/11/8")+TIMEVALUE("6:00"),1,0)-IF(A206&gt;=DATEVALUE("2025/11/8")+TIMEVALUE("6:00"),1,0)</f>
        <v>0</v>
      </c>
      <c r="P207" t="str">
        <f t="shared" ref="P207" si="193">IF(L207&lt;N207,"未達成（"&amp;N207-L207&amp;"）",IF(L207=N207,"達成","前倒し（"&amp;L207-N207&amp;"）"))</f>
        <v>前倒し（1）</v>
      </c>
      <c r="Q207">
        <f t="shared" ref="Q207" si="194">IF(B207="",NA(),G207)</f>
        <v>5.8449074058444239E-3</v>
      </c>
    </row>
    <row r="208" spans="1:17">
      <c r="A208" s="3">
        <v>46041.269918981481</v>
      </c>
      <c r="B208">
        <v>60</v>
      </c>
      <c r="C208">
        <v>16</v>
      </c>
      <c r="D208">
        <v>0</v>
      </c>
      <c r="E208">
        <v>0</v>
      </c>
      <c r="F208">
        <v>0</v>
      </c>
      <c r="G208" s="5">
        <v>7.9861111080390401E-3</v>
      </c>
      <c r="H208" t="s">
        <v>471</v>
      </c>
      <c r="I208" t="s">
        <v>472</v>
      </c>
      <c r="J208">
        <v>0</v>
      </c>
      <c r="K208">
        <f t="shared" ref="K208" si="195">IF(A208&lt;DATEVALUE("2025/11/20")+TIMEVALUE("6:00"),1,IF(OR(B208&lt;&gt;60,SUM(D208:F208)&lt;&gt;0,G208&gt;=IF(A208&lt;DATEVALUE("2025/12/28")+TIMEVALUE("6:00"),20,18)/24/60),0,2-INT(G208*24*60/10)))</f>
        <v>1</v>
      </c>
      <c r="L208">
        <f t="shared" ref="L208" si="196">L207+K208</f>
        <v>246</v>
      </c>
      <c r="M208">
        <f t="shared" ref="M208" si="197">2+IF(A208&gt;=DATEVALUE("2025/11/30")+TIMEVALUE("6:00"),1,0)+IF(A208&gt;=DATEVALUE("2025/12/11")+TIMEVALUE("6:00"),1,0)</f>
        <v>4</v>
      </c>
      <c r="N208">
        <f t="shared" ref="N208" si="198">N207+M208*(INT(A208-6/24)-INT(A207-6/24))+O208</f>
        <v>248</v>
      </c>
      <c r="O208">
        <f t="shared" ref="O208" si="199">IF(A208&gt;=DATEVALUE("2025/11/8")+TIMEVALUE("6:00"),1,0)-IF(A207&gt;=DATEVALUE("2025/11/8")+TIMEVALUE("6:00"),1,0)</f>
        <v>0</v>
      </c>
      <c r="P208" t="str">
        <f t="shared" ref="P208" si="200">IF(L208&lt;N208,"未達成（"&amp;N208-L208&amp;"）",IF(L208=N208,"達成","前倒し（"&amp;L208-N208&amp;"）"))</f>
        <v>未達成（2）</v>
      </c>
      <c r="Q208">
        <f t="shared" ref="Q208" si="201">IF(B208="",NA(),G208)</f>
        <v>7.9861111080390401E-3</v>
      </c>
    </row>
    <row r="209" spans="1:17">
      <c r="A209" s="3">
        <v>46041.275381944448</v>
      </c>
      <c r="B209">
        <v>60</v>
      </c>
      <c r="C209">
        <v>9</v>
      </c>
      <c r="D209">
        <v>0</v>
      </c>
      <c r="E209">
        <v>0</v>
      </c>
      <c r="F209">
        <v>0</v>
      </c>
      <c r="G209" s="5">
        <v>4.3865740808541887E-3</v>
      </c>
      <c r="H209" t="s">
        <v>473</v>
      </c>
      <c r="I209" t="s">
        <v>474</v>
      </c>
      <c r="J209">
        <v>0</v>
      </c>
      <c r="K209">
        <f t="shared" ref="K209" si="202">IF(A209&lt;DATEVALUE("2025/11/20")+TIMEVALUE("6:00"),1,IF(OR(B209&lt;&gt;60,SUM(D209:F209)&lt;&gt;0,G209&gt;=IF(A209&lt;DATEVALUE("2025/12/28")+TIMEVALUE("6:00"),20,18)/24/60),0,2-INT(G209*24*60/10)))</f>
        <v>2</v>
      </c>
      <c r="L209">
        <f t="shared" ref="L209" si="203">L208+K209</f>
        <v>248</v>
      </c>
      <c r="M209">
        <f t="shared" ref="M209" si="204">2+IF(A209&gt;=DATEVALUE("2025/11/30")+TIMEVALUE("6:00"),1,0)+IF(A209&gt;=DATEVALUE("2025/12/11")+TIMEVALUE("6:00"),1,0)</f>
        <v>4</v>
      </c>
      <c r="N209">
        <f t="shared" ref="N209" si="205">N208+M209*(INT(A209-6/24)-INT(A208-6/24))+O209</f>
        <v>248</v>
      </c>
      <c r="O209">
        <f t="shared" ref="O209" si="206">IF(A209&gt;=DATEVALUE("2025/11/8")+TIMEVALUE("6:00"),1,0)-IF(A208&gt;=DATEVALUE("2025/11/8")+TIMEVALUE("6:00"),1,0)</f>
        <v>0</v>
      </c>
      <c r="P209" t="str">
        <f t="shared" ref="P209" si="207">IF(L209&lt;N209,"未達成（"&amp;N209-L209&amp;"）",IF(L209=N209,"達成","前倒し（"&amp;L209-N209&amp;"）"))</f>
        <v>達成</v>
      </c>
      <c r="Q209">
        <f t="shared" ref="Q209" si="208">IF(B209="",NA(),G209)</f>
        <v>4.3865740808541887E-3</v>
      </c>
    </row>
  </sheetData>
  <dataConsolidate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CreateChart">
              <controlPr defaultSize="0" print="0" autoFill="0" autoPict="0" macro="[0]!CreateChart" altText="グラフ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1223963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Button 6">
              <controlPr defaultSize="0" print="0" autoFill="0" autoPict="0" macro="[0]!LoadQuestion" altText="グラフ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6" name="Button 7">
              <controlPr defaultSize="0" print="0" autoFill="0" autoPict="0" macro="[0]!Recheck" altText="グラフ">
                <anchor moveWithCells="1" sizeWithCells="1">
                  <from>
                    <xdr:col>2</xdr:col>
                    <xdr:colOff>0</xdr:colOff>
                    <xdr:row>0</xdr:row>
                    <xdr:rowOff>0</xdr:rowOff>
                  </from>
                  <to>
                    <xdr:col>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3F95D-BDF8-415C-9003-870D0FA9A639}">
  <sheetPr codeName="Sheet4"/>
  <dimension ref="A1:D26"/>
  <sheetViews>
    <sheetView zoomScaleNormal="100" workbookViewId="0"/>
  </sheetViews>
  <sheetFormatPr defaultRowHeight="17.649999999999999"/>
  <cols>
    <col min="3" max="3" width="9" customWidth="1"/>
  </cols>
  <sheetData>
    <row r="1" spans="1:4">
      <c r="C1" t="b">
        <v>1</v>
      </c>
    </row>
    <row r="2" spans="1:4">
      <c r="C2" t="b">
        <v>1</v>
      </c>
    </row>
    <row r="3" spans="1:4">
      <c r="A3" t="s">
        <v>12</v>
      </c>
      <c r="C3" s="24">
        <v>46041.270995370367</v>
      </c>
      <c r="D3" s="25"/>
    </row>
    <row r="4" spans="1:4">
      <c r="A4" t="s">
        <v>339</v>
      </c>
      <c r="C4" s="26">
        <v>0</v>
      </c>
      <c r="D4" s="25"/>
    </row>
    <row r="5" spans="1:4">
      <c r="A5" t="s">
        <v>42</v>
      </c>
      <c r="C5" s="6">
        <v>2</v>
      </c>
    </row>
    <row r="6" spans="1:4">
      <c r="C6" s="6">
        <v>3</v>
      </c>
    </row>
    <row r="7" spans="1:4">
      <c r="C7" s="6">
        <v>7</v>
      </c>
    </row>
    <row r="8" spans="1:4">
      <c r="C8" s="6">
        <v>5</v>
      </c>
    </row>
    <row r="9" spans="1:4">
      <c r="C9" s="6">
        <v>2</v>
      </c>
    </row>
    <row r="10" spans="1:4">
      <c r="C10" s="6">
        <v>5</v>
      </c>
    </row>
    <row r="11" spans="1:4">
      <c r="C11" s="6">
        <v>3</v>
      </c>
    </row>
    <row r="12" spans="1:4">
      <c r="C12" s="6">
        <v>4</v>
      </c>
    </row>
    <row r="13" spans="1:4">
      <c r="C13" s="6">
        <v>2</v>
      </c>
    </row>
    <row r="14" spans="1:4">
      <c r="C14" s="6">
        <v>6</v>
      </c>
    </row>
    <row r="15" spans="1:4">
      <c r="C15" s="6">
        <v>2</v>
      </c>
    </row>
    <row r="16" spans="1:4">
      <c r="C16" s="6">
        <v>4</v>
      </c>
    </row>
    <row r="17" spans="1:3">
      <c r="C17" s="6">
        <v>7</v>
      </c>
    </row>
    <row r="18" spans="1:3">
      <c r="C18" s="6">
        <v>3</v>
      </c>
    </row>
    <row r="19" spans="1:3">
      <c r="C19" s="6">
        <v>5</v>
      </c>
    </row>
    <row r="20" spans="1:3">
      <c r="A20" t="s">
        <v>43</v>
      </c>
    </row>
    <row r="21" spans="1:3">
      <c r="B21">
        <v>2</v>
      </c>
      <c r="C21" s="6">
        <v>2</v>
      </c>
    </row>
    <row r="22" spans="1:3">
      <c r="B22">
        <v>3</v>
      </c>
      <c r="C22" s="6">
        <v>3</v>
      </c>
    </row>
    <row r="23" spans="1:3">
      <c r="B23">
        <v>4</v>
      </c>
      <c r="C23" s="6">
        <v>4</v>
      </c>
    </row>
    <row r="24" spans="1:3">
      <c r="B24">
        <v>5</v>
      </c>
      <c r="C24" s="6">
        <v>5</v>
      </c>
    </row>
    <row r="25" spans="1:3">
      <c r="B25">
        <v>6</v>
      </c>
      <c r="C25" s="6">
        <v>6</v>
      </c>
    </row>
    <row r="26" spans="1:3">
      <c r="B26">
        <v>7</v>
      </c>
      <c r="C26" s="6">
        <v>7</v>
      </c>
    </row>
  </sheetData>
  <mergeCells count="2">
    <mergeCell ref="C3:D3"/>
    <mergeCell ref="C4:D4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Check Box 1">
              <controlPr defaultSize="0" autoFill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E15AB-8C22-4CF2-8EF5-F74628A142DF}">
  <sheetPr codeName="Sheet5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>
        <v>7</v>
      </c>
      <c r="B1">
        <v>8</v>
      </c>
      <c r="C1">
        <v>1</v>
      </c>
      <c r="D1">
        <v>7</v>
      </c>
      <c r="E1">
        <v>3</v>
      </c>
      <c r="F1">
        <v>1</v>
      </c>
      <c r="G1">
        <v>3</v>
      </c>
      <c r="H1">
        <v>4</v>
      </c>
      <c r="I1">
        <v>5</v>
      </c>
      <c r="J1">
        <v>2</v>
      </c>
      <c r="K1">
        <v>9</v>
      </c>
      <c r="L1">
        <v>1</v>
      </c>
      <c r="N1">
        <v>60</v>
      </c>
      <c r="Q1">
        <f>LEN(N1)</f>
        <v>2</v>
      </c>
      <c r="S1">
        <v>2</v>
      </c>
      <c r="T1">
        <f>COUNTIF(Q:Q,S1)</f>
        <v>4</v>
      </c>
    </row>
    <row r="2" spans="1:20" ht="28.15" customHeight="1">
      <c r="A2">
        <v>9</v>
      </c>
      <c r="B2">
        <v>1</v>
      </c>
      <c r="C2">
        <v>6</v>
      </c>
      <c r="D2">
        <v>0</v>
      </c>
      <c r="E2">
        <v>9</v>
      </c>
      <c r="F2">
        <v>7</v>
      </c>
      <c r="G2">
        <v>2</v>
      </c>
      <c r="H2">
        <v>9</v>
      </c>
      <c r="I2">
        <v>7</v>
      </c>
      <c r="J2">
        <v>0</v>
      </c>
      <c r="K2">
        <v>9</v>
      </c>
      <c r="L2">
        <v>7</v>
      </c>
      <c r="N2">
        <v>317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>
        <v>2</v>
      </c>
      <c r="B3">
        <v>0</v>
      </c>
      <c r="C3">
        <v>3</v>
      </c>
      <c r="D3">
        <v>7</v>
      </c>
      <c r="E3">
        <v>2</v>
      </c>
      <c r="F3">
        <v>5</v>
      </c>
      <c r="G3">
        <v>3</v>
      </c>
      <c r="H3">
        <v>7</v>
      </c>
      <c r="I3">
        <v>4</v>
      </c>
      <c r="J3">
        <v>8</v>
      </c>
      <c r="K3">
        <v>4</v>
      </c>
      <c r="L3">
        <v>2</v>
      </c>
      <c r="N3">
        <v>9468371</v>
      </c>
      <c r="Q3">
        <f t="shared" si="0"/>
        <v>7</v>
      </c>
      <c r="S3">
        <f t="shared" ref="S3:S6" si="2">S2+1</f>
        <v>4</v>
      </c>
      <c r="T3">
        <f t="shared" si="1"/>
        <v>2</v>
      </c>
    </row>
    <row r="4" spans="1:20" ht="28.15" customHeight="1">
      <c r="A4">
        <v>7</v>
      </c>
      <c r="B4">
        <v>5</v>
      </c>
      <c r="C4">
        <v>0</v>
      </c>
      <c r="D4">
        <v>5</v>
      </c>
      <c r="E4">
        <v>3</v>
      </c>
      <c r="F4">
        <v>1</v>
      </c>
      <c r="G4">
        <v>5</v>
      </c>
      <c r="H4">
        <v>6</v>
      </c>
      <c r="I4">
        <v>9</v>
      </c>
      <c r="J4">
        <v>7</v>
      </c>
      <c r="K4">
        <v>2</v>
      </c>
      <c r="L4">
        <v>5</v>
      </c>
      <c r="N4">
        <v>34529</v>
      </c>
      <c r="Q4">
        <f t="shared" si="0"/>
        <v>5</v>
      </c>
      <c r="S4">
        <f t="shared" si="2"/>
        <v>5</v>
      </c>
      <c r="T4">
        <f t="shared" si="1"/>
        <v>3</v>
      </c>
    </row>
    <row r="5" spans="1:20" ht="28.15" customHeight="1">
      <c r="A5">
        <v>8</v>
      </c>
      <c r="B5">
        <v>0</v>
      </c>
      <c r="C5">
        <v>4</v>
      </c>
      <c r="D5">
        <v>8</v>
      </c>
      <c r="E5">
        <v>2</v>
      </c>
      <c r="F5">
        <v>7</v>
      </c>
      <c r="G5">
        <v>0</v>
      </c>
      <c r="H5">
        <v>1</v>
      </c>
      <c r="I5">
        <v>4</v>
      </c>
      <c r="J5">
        <v>2</v>
      </c>
      <c r="K5">
        <v>6</v>
      </c>
      <c r="L5">
        <v>8</v>
      </c>
      <c r="N5">
        <v>75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>
        <v>1</v>
      </c>
      <c r="B6">
        <v>3</v>
      </c>
      <c r="C6">
        <v>9</v>
      </c>
      <c r="D6">
        <v>7</v>
      </c>
      <c r="E6">
        <v>6</v>
      </c>
      <c r="F6">
        <v>5</v>
      </c>
      <c r="G6">
        <v>2</v>
      </c>
      <c r="H6">
        <v>3</v>
      </c>
      <c r="I6">
        <v>3</v>
      </c>
      <c r="J6">
        <v>4</v>
      </c>
      <c r="K6">
        <v>4</v>
      </c>
      <c r="L6">
        <v>3</v>
      </c>
      <c r="N6">
        <v>25418</v>
      </c>
      <c r="Q6">
        <f t="shared" si="0"/>
        <v>5</v>
      </c>
      <c r="S6">
        <f t="shared" si="2"/>
        <v>7</v>
      </c>
      <c r="T6">
        <f t="shared" si="1"/>
        <v>2</v>
      </c>
    </row>
    <row r="7" spans="1:20" ht="28.15" customHeight="1">
      <c r="A7">
        <v>4</v>
      </c>
      <c r="B7">
        <v>1</v>
      </c>
      <c r="C7">
        <v>8</v>
      </c>
      <c r="D7">
        <v>4</v>
      </c>
      <c r="E7">
        <v>5</v>
      </c>
      <c r="F7">
        <v>1</v>
      </c>
      <c r="G7">
        <v>4</v>
      </c>
      <c r="H7">
        <v>2</v>
      </c>
      <c r="I7">
        <v>5</v>
      </c>
      <c r="J7">
        <v>3</v>
      </c>
      <c r="K7">
        <v>2</v>
      </c>
      <c r="L7">
        <v>6</v>
      </c>
      <c r="N7">
        <v>790</v>
      </c>
      <c r="Q7">
        <f t="shared" si="0"/>
        <v>3</v>
      </c>
    </row>
    <row r="8" spans="1:20" ht="28.15" customHeight="1">
      <c r="A8">
        <v>5</v>
      </c>
      <c r="B8">
        <v>0</v>
      </c>
      <c r="C8">
        <v>7</v>
      </c>
      <c r="D8">
        <v>0</v>
      </c>
      <c r="E8">
        <v>3</v>
      </c>
      <c r="F8">
        <v>1</v>
      </c>
      <c r="G8">
        <v>6</v>
      </c>
      <c r="H8">
        <v>0</v>
      </c>
      <c r="I8">
        <v>5</v>
      </c>
      <c r="J8">
        <v>6</v>
      </c>
      <c r="K8">
        <v>0</v>
      </c>
      <c r="L8">
        <v>8</v>
      </c>
      <c r="N8">
        <v>2543</v>
      </c>
      <c r="Q8">
        <f t="shared" si="0"/>
        <v>4</v>
      </c>
    </row>
    <row r="9" spans="1:20" ht="28.15" customHeight="1">
      <c r="A9">
        <v>2</v>
      </c>
      <c r="B9">
        <v>5</v>
      </c>
      <c r="C9">
        <v>4</v>
      </c>
      <c r="D9">
        <v>1</v>
      </c>
      <c r="E9">
        <v>7</v>
      </c>
      <c r="F9">
        <v>3</v>
      </c>
      <c r="G9">
        <v>2</v>
      </c>
      <c r="H9">
        <v>5</v>
      </c>
      <c r="I9">
        <v>6</v>
      </c>
      <c r="J9">
        <v>2</v>
      </c>
      <c r="K9">
        <v>9</v>
      </c>
      <c r="L9">
        <v>1</v>
      </c>
      <c r="N9">
        <v>62</v>
      </c>
      <c r="Q9">
        <f t="shared" si="0"/>
        <v>2</v>
      </c>
    </row>
    <row r="10" spans="1:20" ht="28.15" customHeight="1">
      <c r="A10">
        <v>8</v>
      </c>
      <c r="B10">
        <v>6</v>
      </c>
      <c r="C10">
        <v>4</v>
      </c>
      <c r="D10">
        <v>8</v>
      </c>
      <c r="E10">
        <v>6</v>
      </c>
      <c r="F10">
        <v>4</v>
      </c>
      <c r="G10">
        <v>7</v>
      </c>
      <c r="H10">
        <v>3</v>
      </c>
      <c r="I10">
        <v>2</v>
      </c>
      <c r="J10">
        <v>8</v>
      </c>
      <c r="K10">
        <v>1</v>
      </c>
      <c r="L10">
        <v>6</v>
      </c>
      <c r="N10">
        <v>473281</v>
      </c>
      <c r="Q10">
        <f t="shared" si="0"/>
        <v>6</v>
      </c>
    </row>
    <row r="11" spans="1:20" ht="28.15" customHeight="1">
      <c r="A11">
        <v>0</v>
      </c>
      <c r="B11">
        <v>3</v>
      </c>
      <c r="C11">
        <v>2</v>
      </c>
      <c r="D11">
        <v>2</v>
      </c>
      <c r="E11">
        <v>3</v>
      </c>
      <c r="F11">
        <v>1</v>
      </c>
      <c r="G11">
        <v>8</v>
      </c>
      <c r="H11">
        <v>2</v>
      </c>
      <c r="I11">
        <v>4</v>
      </c>
      <c r="J11">
        <v>2</v>
      </c>
      <c r="K11">
        <v>7</v>
      </c>
      <c r="L11">
        <v>7</v>
      </c>
      <c r="N11">
        <v>84</v>
      </c>
      <c r="Q11">
        <f t="shared" si="0"/>
        <v>2</v>
      </c>
    </row>
    <row r="12" spans="1:20" ht="28.15" customHeight="1">
      <c r="A12">
        <v>4</v>
      </c>
      <c r="B12">
        <v>1</v>
      </c>
      <c r="C12">
        <v>7</v>
      </c>
      <c r="D12">
        <v>3</v>
      </c>
      <c r="E12">
        <v>8</v>
      </c>
      <c r="F12">
        <v>6</v>
      </c>
      <c r="G12">
        <v>4</v>
      </c>
      <c r="H12">
        <v>9</v>
      </c>
      <c r="I12">
        <v>6</v>
      </c>
      <c r="J12">
        <v>8</v>
      </c>
      <c r="K12">
        <v>0</v>
      </c>
      <c r="L12">
        <v>5</v>
      </c>
      <c r="N12">
        <v>1732</v>
      </c>
      <c r="Q12">
        <f t="shared" si="0"/>
        <v>4</v>
      </c>
    </row>
    <row r="13" spans="1:20" ht="28.15" customHeight="1">
      <c r="N13">
        <v>8244637</v>
      </c>
      <c r="Q13">
        <f t="shared" si="0"/>
        <v>7</v>
      </c>
    </row>
    <row r="14" spans="1:20" ht="28.15" customHeight="1">
      <c r="N14">
        <v>583</v>
      </c>
      <c r="Q14">
        <f t="shared" si="0"/>
        <v>3</v>
      </c>
    </row>
    <row r="15" spans="1:20" ht="28.15" customHeight="1">
      <c r="N15">
        <v>32567</v>
      </c>
      <c r="Q15">
        <f t="shared" si="0"/>
        <v>5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E4D4C-AE18-4075-BBA7-CB2AB648CA20}">
  <sheetPr codeName="Sheet6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 s="2">
        <v>1</v>
      </c>
      <c r="B1" s="2">
        <v>3</v>
      </c>
      <c r="C1" s="2">
        <v>4</v>
      </c>
      <c r="D1" s="2">
        <v>4</v>
      </c>
      <c r="E1" s="2">
        <v>6</v>
      </c>
      <c r="F1" s="2">
        <v>2</v>
      </c>
      <c r="G1" s="2">
        <v>5</v>
      </c>
      <c r="H1" s="2">
        <v>4</v>
      </c>
      <c r="I1" s="2">
        <v>7</v>
      </c>
      <c r="J1" s="2">
        <v>5</v>
      </c>
      <c r="K1" s="2">
        <v>4</v>
      </c>
      <c r="L1" s="2">
        <v>4</v>
      </c>
      <c r="M1" s="1"/>
      <c r="N1">
        <v>1225854</v>
      </c>
      <c r="Q1">
        <f>LEN(N1)</f>
        <v>7</v>
      </c>
      <c r="S1">
        <v>2</v>
      </c>
      <c r="T1">
        <f>COUNTIF(Q:Q,S1)</f>
        <v>4</v>
      </c>
    </row>
    <row r="2" spans="1:20" ht="28.25" customHeight="1">
      <c r="A2" s="2">
        <v>8</v>
      </c>
      <c r="B2" s="2">
        <v>3</v>
      </c>
      <c r="C2" s="2">
        <v>8</v>
      </c>
      <c r="D2" s="2">
        <v>5</v>
      </c>
      <c r="E2" s="2">
        <v>2</v>
      </c>
      <c r="F2" s="2">
        <v>5</v>
      </c>
      <c r="G2" s="2">
        <v>3</v>
      </c>
      <c r="H2" s="2">
        <v>3</v>
      </c>
      <c r="I2" s="2">
        <v>7</v>
      </c>
      <c r="J2" s="2">
        <v>4</v>
      </c>
      <c r="K2" s="2">
        <v>8</v>
      </c>
      <c r="L2" s="2">
        <v>3</v>
      </c>
      <c r="M2" s="1"/>
      <c r="N2">
        <v>711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 s="2">
        <v>9</v>
      </c>
      <c r="B3" s="2">
        <v>1</v>
      </c>
      <c r="C3" s="2">
        <v>8</v>
      </c>
      <c r="D3" s="2">
        <v>4</v>
      </c>
      <c r="E3" s="2">
        <v>8</v>
      </c>
      <c r="F3" s="2">
        <v>9</v>
      </c>
      <c r="G3" s="2">
        <v>4</v>
      </c>
      <c r="H3" s="2">
        <v>6</v>
      </c>
      <c r="I3" s="2">
        <v>3</v>
      </c>
      <c r="J3" s="2">
        <v>4</v>
      </c>
      <c r="K3" s="2">
        <v>9</v>
      </c>
      <c r="L3" s="2">
        <v>9</v>
      </c>
      <c r="M3" s="1"/>
      <c r="N3">
        <v>295</v>
      </c>
      <c r="Q3">
        <f t="shared" si="0"/>
        <v>3</v>
      </c>
      <c r="S3">
        <f t="shared" ref="S3:S6" si="2">S2+1</f>
        <v>4</v>
      </c>
      <c r="T3">
        <f t="shared" si="1"/>
        <v>2</v>
      </c>
    </row>
    <row r="4" spans="1:20" ht="28.15" customHeight="1">
      <c r="A4" s="2">
        <v>6</v>
      </c>
      <c r="B4" s="2">
        <v>4</v>
      </c>
      <c r="C4" s="2">
        <v>3</v>
      </c>
      <c r="D4" s="2">
        <v>4</v>
      </c>
      <c r="E4" s="2">
        <v>4</v>
      </c>
      <c r="F4" s="2">
        <v>5</v>
      </c>
      <c r="G4" s="2">
        <v>5</v>
      </c>
      <c r="H4" s="2">
        <v>5</v>
      </c>
      <c r="I4" s="2">
        <v>3</v>
      </c>
      <c r="J4" s="2">
        <v>2</v>
      </c>
      <c r="K4" s="2">
        <v>2</v>
      </c>
      <c r="L4" s="2">
        <v>7</v>
      </c>
      <c r="M4" s="1"/>
      <c r="N4">
        <v>9472</v>
      </c>
      <c r="Q4">
        <f t="shared" si="0"/>
        <v>4</v>
      </c>
      <c r="S4">
        <f t="shared" si="2"/>
        <v>5</v>
      </c>
      <c r="T4">
        <f t="shared" si="1"/>
        <v>3</v>
      </c>
    </row>
    <row r="5" spans="1:20" ht="28.15" customHeight="1">
      <c r="A5" s="2">
        <v>9</v>
      </c>
      <c r="B5" s="2">
        <v>4</v>
      </c>
      <c r="C5" s="2">
        <v>7</v>
      </c>
      <c r="D5" s="2">
        <v>2</v>
      </c>
      <c r="E5" s="2">
        <v>7</v>
      </c>
      <c r="F5" s="2">
        <v>8</v>
      </c>
      <c r="G5" s="2">
        <v>2</v>
      </c>
      <c r="H5" s="2">
        <v>9</v>
      </c>
      <c r="I5" s="2">
        <v>3</v>
      </c>
      <c r="J5" s="2">
        <v>5</v>
      </c>
      <c r="K5" s="2">
        <v>3</v>
      </c>
      <c r="L5" s="2">
        <v>1</v>
      </c>
      <c r="M5" s="1"/>
      <c r="N5">
        <v>26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 s="2">
        <v>5</v>
      </c>
      <c r="B6" s="2">
        <v>1</v>
      </c>
      <c r="C6" s="2">
        <v>1</v>
      </c>
      <c r="D6" s="2">
        <v>3</v>
      </c>
      <c r="E6" s="2">
        <v>9</v>
      </c>
      <c r="F6" s="2">
        <v>4</v>
      </c>
      <c r="G6" s="2">
        <v>1</v>
      </c>
      <c r="H6" s="2">
        <v>2</v>
      </c>
      <c r="I6" s="2">
        <v>2</v>
      </c>
      <c r="J6" s="2">
        <v>8</v>
      </c>
      <c r="K6" s="2">
        <v>8</v>
      </c>
      <c r="L6" s="2">
        <v>4</v>
      </c>
      <c r="M6" s="1"/>
      <c r="N6">
        <v>44</v>
      </c>
      <c r="Q6">
        <f t="shared" si="0"/>
        <v>2</v>
      </c>
      <c r="S6">
        <f t="shared" si="2"/>
        <v>7</v>
      </c>
      <c r="T6">
        <f t="shared" si="1"/>
        <v>2</v>
      </c>
    </row>
    <row r="7" spans="1:20" ht="28.15" customHeight="1">
      <c r="A7" s="2">
        <v>2</v>
      </c>
      <c r="B7" s="2">
        <v>8</v>
      </c>
      <c r="C7" s="2">
        <v>7</v>
      </c>
      <c r="D7" s="2">
        <v>9</v>
      </c>
      <c r="E7" s="2">
        <v>8</v>
      </c>
      <c r="F7" s="2">
        <v>2</v>
      </c>
      <c r="G7" s="2">
        <v>3</v>
      </c>
      <c r="H7" s="2">
        <v>6</v>
      </c>
      <c r="I7" s="2">
        <v>1</v>
      </c>
      <c r="J7" s="2">
        <v>7</v>
      </c>
      <c r="K7" s="2">
        <v>9</v>
      </c>
      <c r="L7" s="2">
        <v>7</v>
      </c>
      <c r="M7" s="1"/>
      <c r="N7">
        <v>38897</v>
      </c>
      <c r="Q7">
        <f t="shared" si="0"/>
        <v>5</v>
      </c>
    </row>
    <row r="8" spans="1:20" ht="28.15" customHeight="1">
      <c r="A8" s="2">
        <v>6</v>
      </c>
      <c r="B8" s="2">
        <v>1</v>
      </c>
      <c r="C8" s="2">
        <v>4</v>
      </c>
      <c r="D8" s="2">
        <v>5</v>
      </c>
      <c r="E8" s="2">
        <v>8</v>
      </c>
      <c r="F8" s="2">
        <v>6</v>
      </c>
      <c r="G8" s="2">
        <v>6</v>
      </c>
      <c r="H8" s="2">
        <v>2</v>
      </c>
      <c r="I8" s="2">
        <v>2</v>
      </c>
      <c r="J8" s="2">
        <v>8</v>
      </c>
      <c r="K8" s="2">
        <v>9</v>
      </c>
      <c r="L8" s="2">
        <v>9</v>
      </c>
      <c r="M8" s="1"/>
      <c r="N8">
        <v>15</v>
      </c>
      <c r="Q8">
        <f t="shared" si="0"/>
        <v>2</v>
      </c>
    </row>
    <row r="9" spans="1:20" ht="28.15" customHeight="1">
      <c r="A9" s="2">
        <v>3</v>
      </c>
      <c r="B9" s="2">
        <v>4</v>
      </c>
      <c r="C9" s="2">
        <v>5</v>
      </c>
      <c r="D9" s="2">
        <v>1</v>
      </c>
      <c r="E9" s="2">
        <v>3</v>
      </c>
      <c r="F9" s="2">
        <v>2</v>
      </c>
      <c r="G9" s="2">
        <v>7</v>
      </c>
      <c r="H9" s="2">
        <v>2</v>
      </c>
      <c r="I9" s="2">
        <v>5</v>
      </c>
      <c r="J9" s="2">
        <v>4</v>
      </c>
      <c r="K9" s="2">
        <v>9</v>
      </c>
      <c r="L9" s="2">
        <v>3</v>
      </c>
      <c r="M9" s="1"/>
      <c r="N9">
        <v>473352</v>
      </c>
      <c r="Q9">
        <f t="shared" si="0"/>
        <v>6</v>
      </c>
    </row>
    <row r="10" spans="1:20" ht="28.15" customHeight="1">
      <c r="A10" s="2">
        <v>4</v>
      </c>
      <c r="B10" s="2">
        <v>3</v>
      </c>
      <c r="C10" s="2">
        <v>6</v>
      </c>
      <c r="D10" s="2">
        <v>9</v>
      </c>
      <c r="E10" s="2">
        <v>1</v>
      </c>
      <c r="F10" s="2">
        <v>9</v>
      </c>
      <c r="G10" s="2">
        <v>5</v>
      </c>
      <c r="H10" s="2">
        <v>1</v>
      </c>
      <c r="I10" s="2">
        <v>7</v>
      </c>
      <c r="J10" s="2">
        <v>7</v>
      </c>
      <c r="K10" s="2">
        <v>6</v>
      </c>
      <c r="L10" s="2">
        <v>2</v>
      </c>
      <c r="M10" s="1"/>
      <c r="N10">
        <v>42587</v>
      </c>
      <c r="Q10">
        <f t="shared" si="0"/>
        <v>5</v>
      </c>
    </row>
    <row r="11" spans="1:20" ht="28.15" customHeight="1">
      <c r="A11" s="2">
        <v>3</v>
      </c>
      <c r="B11" s="2">
        <v>1</v>
      </c>
      <c r="C11" s="2">
        <v>9</v>
      </c>
      <c r="D11" s="2">
        <v>4</v>
      </c>
      <c r="E11" s="2">
        <v>1</v>
      </c>
      <c r="F11" s="2">
        <v>7</v>
      </c>
      <c r="G11" s="2">
        <v>9</v>
      </c>
      <c r="H11" s="2">
        <v>7</v>
      </c>
      <c r="I11" s="2">
        <v>4</v>
      </c>
      <c r="J11" s="2">
        <v>4</v>
      </c>
      <c r="K11" s="2">
        <v>1</v>
      </c>
      <c r="L11" s="2">
        <v>4</v>
      </c>
      <c r="M11" s="1"/>
      <c r="N11">
        <v>1965</v>
      </c>
      <c r="Q11">
        <f t="shared" si="0"/>
        <v>4</v>
      </c>
    </row>
    <row r="12" spans="1:20" ht="28.15" customHeight="1">
      <c r="A12" s="2">
        <v>7</v>
      </c>
      <c r="B12" s="2">
        <v>6</v>
      </c>
      <c r="C12" s="2">
        <v>1</v>
      </c>
      <c r="D12" s="2">
        <v>8</v>
      </c>
      <c r="E12" s="2">
        <v>7</v>
      </c>
      <c r="F12" s="2">
        <v>2</v>
      </c>
      <c r="G12" s="2">
        <v>5</v>
      </c>
      <c r="H12" s="2">
        <v>6</v>
      </c>
      <c r="I12" s="2">
        <v>9</v>
      </c>
      <c r="J12" s="2">
        <v>3</v>
      </c>
      <c r="K12" s="2">
        <v>5</v>
      </c>
      <c r="L12" s="2">
        <v>8</v>
      </c>
      <c r="M12" s="1"/>
      <c r="N12">
        <v>325</v>
      </c>
      <c r="Q12">
        <f t="shared" si="0"/>
        <v>3</v>
      </c>
    </row>
    <row r="13" spans="1:20" ht="28.15" customHeight="1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>
        <v>49</v>
      </c>
      <c r="Q13">
        <f t="shared" si="0"/>
        <v>2</v>
      </c>
    </row>
    <row r="14" spans="1:20" ht="28.15" customHeight="1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>
        <v>4625475</v>
      </c>
      <c r="Q14">
        <f t="shared" si="0"/>
        <v>7</v>
      </c>
    </row>
    <row r="15" spans="1:20" ht="28.15" customHeight="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>
        <v>85396</v>
      </c>
      <c r="Q15">
        <f t="shared" si="0"/>
        <v>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6</vt:i4>
      </vt:variant>
    </vt:vector>
  </HeadingPairs>
  <TitlesOfParts>
    <vt:vector size="12" baseType="lpstr">
      <vt:lpstr>説明</vt:lpstr>
      <vt:lpstr>画面</vt:lpstr>
      <vt:lpstr>データ</vt:lpstr>
      <vt:lpstr>設定</vt:lpstr>
      <vt:lpstr>Sheet5</vt:lpstr>
      <vt:lpstr>Sheet6</vt:lpstr>
      <vt:lpstr>サーチワードの長さ</vt:lpstr>
      <vt:lpstr>サーチワードの長さに対する加点</vt:lpstr>
      <vt:lpstr>セルを黄色</vt:lpstr>
      <vt:lpstr>開始時間</vt:lpstr>
      <vt:lpstr>再開時間</vt:lpstr>
      <vt:lpstr>線を引く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Nakamura Makoto</dc:creator>
  <cp:lastModifiedBy>Nakamura Makoto</cp:lastModifiedBy>
  <dcterms:created xsi:type="dcterms:W3CDTF">2025-10-12T04:11:05Z</dcterms:created>
  <dcterms:modified xsi:type="dcterms:W3CDTF">2026-01-18T21:36:48Z</dcterms:modified>
</cp:coreProperties>
</file>
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9D0ACF7-288A-4EA6-9761-2DBE4AC5F03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0" i="4" l="1"/>
  <c r="M90" i="4"/>
  <c r="N90" i="4" s="1"/>
  <c r="K90" i="4"/>
  <c r="L90" i="4" s="1"/>
  <c r="P90" i="4" s="1"/>
  <c r="O89" i="4"/>
  <c r="M89" i="4"/>
  <c r="N89" i="4" s="1"/>
  <c r="K89" i="4"/>
  <c r="L89" i="4" s="1"/>
  <c r="O88" i="4"/>
  <c r="M88" i="4"/>
  <c r="N88" i="4" s="1"/>
  <c r="K88" i="4"/>
  <c r="L88" i="4" s="1"/>
  <c r="O87" i="4"/>
  <c r="M87" i="4"/>
  <c r="N87" i="4" s="1"/>
  <c r="K87" i="4"/>
  <c r="L87" i="4" s="1"/>
  <c r="O86" i="4"/>
  <c r="M86" i="4"/>
  <c r="N86" i="4" s="1"/>
  <c r="K86" i="4"/>
  <c r="L86" i="4" s="1"/>
  <c r="P86" i="4" s="1"/>
  <c r="O85" i="4"/>
  <c r="M85" i="4"/>
  <c r="N85" i="4" s="1"/>
  <c r="K85" i="4"/>
  <c r="L85" i="4" s="1"/>
  <c r="O84" i="4"/>
  <c r="M84" i="4"/>
  <c r="N84" i="4" s="1"/>
  <c r="K84" i="4"/>
  <c r="L84" i="4" s="1"/>
  <c r="P84" i="4" s="1"/>
  <c r="O83" i="4"/>
  <c r="M83" i="4"/>
  <c r="N83" i="4" s="1"/>
  <c r="K83" i="4"/>
  <c r="L83" i="4" s="1"/>
  <c r="P83" i="4" s="1"/>
  <c r="O82" i="4"/>
  <c r="M82" i="4"/>
  <c r="N82" i="4" s="1"/>
  <c r="K82" i="4"/>
  <c r="L82" i="4" s="1"/>
  <c r="P82" i="4" s="1"/>
  <c r="O80" i="4"/>
  <c r="M80" i="4"/>
  <c r="N80" i="4" s="1"/>
  <c r="K80" i="4"/>
  <c r="L80" i="4" s="1"/>
  <c r="O81" i="4"/>
  <c r="M81" i="4"/>
  <c r="K81" i="4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89" i="4" l="1"/>
  <c r="P88" i="4"/>
  <c r="P87" i="4"/>
  <c r="P85" i="4"/>
  <c r="P80" i="4"/>
  <c r="N81" i="4"/>
  <c r="L81" i="4"/>
  <c r="P79" i="4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P81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<sst xmlns="http://schemas.openxmlformats.org/spreadsheetml/2006/main" count="257" uniqueCount="238">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</sst>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データ!$P$1:$P$89</c:f>
              <c:strCache>
                <c:ptCount val="8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データ!$A$2:$A$90</c:f>
              <c:numCache>
                <c:formatCode>m/d/yyyy\ h:mm</c:formatCode>
                <c:ptCount val="8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</c:numCache>
            </c:numRef>
          </c:xVal>
          <c:yVal>
            <c:numRef>
              <c:f>データ!$B$2:$B$90</c:f>
              <c:numCache>
                <c:formatCode>General</c:formatCode>
                <c:ptCount val="8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BE-4610-BE4D-3C299EC8D28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9BE-4610-BE4D-3C299EC8D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2735"/>
        <c:axId val="1108985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データ!$A$2:$A$90</c:f>
              <c:numCache>
                <c:formatCode>m/d/yyyy\ h:mm</c:formatCode>
                <c:ptCount val="8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</c:numCache>
            </c:numRef>
          </c:xVal>
          <c:yVal>
            <c:numRef>
              <c:f>データ!$G$2:$G$90</c:f>
              <c:numCache>
                <c:formatCode>[h]:mm</c:formatCode>
                <c:ptCount val="8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BE-4610-BE4D-3C299EC8D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694207"/>
        <c:axId val="1661314687"/>
      </c:scatterChart>
      <c:valAx>
        <c:axId val="11092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89855"/>
        <c:crosses val="autoZero"/>
        <c:crossBetween val="midCat"/>
      </c:valAx>
      <c:valAx>
        <c:axId val="1108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92735"/>
        <c:crosses val="autoZero"/>
        <c:crossBetween val="midCat"/>
      </c:valAx>
      <c:valAx>
        <c:axId val="166131468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20694207"/>
        <c:crosses val="max"/>
        <c:crossBetween val="midCat"/>
      </c:valAx>
      <c:valAx>
        <c:axId val="202069420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31468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2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039" name="Match0">
          <a:extLst>
            <a:ext uri="{FF2B5EF4-FFF2-40B4-BE49-F238E27FC236}">
              <a16:creationId xmlns:a16="http://schemas.microsoft.com/office/drawing/2014/main" id="{E1408C88-08B9-6C41-E0F4-55A9BBBF5453}"/>
            </a:ext>
          </a:extLst>
        </xdr:cNvPr>
        <xdr:cNvCxnSpPr/>
      </xdr:nvCxnSpPr>
      <xdr:spPr>
        <a:xfrm>
          <a:off x="1483519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040" name="Match1">
          <a:extLst>
            <a:ext uri="{FF2B5EF4-FFF2-40B4-BE49-F238E27FC236}">
              <a16:creationId xmlns:a16="http://schemas.microsoft.com/office/drawing/2014/main" id="{D6AB50A8-13B4-1404-2849-45BF99BEA591}"/>
            </a:ext>
          </a:extLst>
        </xdr:cNvPr>
        <xdr:cNvCxnSpPr/>
      </xdr:nvCxnSpPr>
      <xdr:spPr>
        <a:xfrm>
          <a:off x="4874419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41" name="Match2">
          <a:extLst>
            <a:ext uri="{FF2B5EF4-FFF2-40B4-BE49-F238E27FC236}">
              <a16:creationId xmlns:a16="http://schemas.microsoft.com/office/drawing/2014/main" id="{AD6F5D53-C7A2-00EF-0B32-F441B61749D7}"/>
            </a:ext>
          </a:extLst>
        </xdr:cNvPr>
        <xdr:cNvCxnSpPr/>
      </xdr:nvCxnSpPr>
      <xdr:spPr>
        <a:xfrm>
          <a:off x="635794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42" name="Match3">
          <a:extLst>
            <a:ext uri="{FF2B5EF4-FFF2-40B4-BE49-F238E27FC236}">
              <a16:creationId xmlns:a16="http://schemas.microsoft.com/office/drawing/2014/main" id="{C466DC5A-ED98-38BC-786D-C6C102F3C053}"/>
            </a:ext>
          </a:extLst>
        </xdr:cNvPr>
        <xdr:cNvCxnSpPr/>
      </xdr:nvCxnSpPr>
      <xdr:spPr>
        <a:xfrm flipH="1">
          <a:off x="1059656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043" name="Match4">
          <a:extLst>
            <a:ext uri="{FF2B5EF4-FFF2-40B4-BE49-F238E27FC236}">
              <a16:creationId xmlns:a16="http://schemas.microsoft.com/office/drawing/2014/main" id="{17C9561B-131D-5F0C-538A-5FEA842D9EB6}"/>
            </a:ext>
          </a:extLst>
        </xdr:cNvPr>
        <xdr:cNvCxnSpPr/>
      </xdr:nvCxnSpPr>
      <xdr:spPr>
        <a:xfrm flipH="1">
          <a:off x="211931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1044" name="Match5">
          <a:extLst>
            <a:ext uri="{FF2B5EF4-FFF2-40B4-BE49-F238E27FC236}">
              <a16:creationId xmlns:a16="http://schemas.microsoft.com/office/drawing/2014/main" id="{196920AB-65E0-5F5B-D4C1-9B4D6D353CC6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1045" name="Match6">
          <a:extLst>
            <a:ext uri="{FF2B5EF4-FFF2-40B4-BE49-F238E27FC236}">
              <a16:creationId xmlns:a16="http://schemas.microsoft.com/office/drawing/2014/main" id="{C54AE159-17E9-9CC7-019F-AB5610C469B9}"/>
            </a:ext>
          </a:extLst>
        </xdr:cNvPr>
        <xdr:cNvCxnSpPr/>
      </xdr:nvCxnSpPr>
      <xdr:spPr>
        <a:xfrm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46" name="Match7">
          <a:extLst>
            <a:ext uri="{FF2B5EF4-FFF2-40B4-BE49-F238E27FC236}">
              <a16:creationId xmlns:a16="http://schemas.microsoft.com/office/drawing/2014/main" id="{21147C69-F0E1-D5DE-88D4-A77B7C4ABA57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047" name="Match8">
          <a:extLst>
            <a:ext uri="{FF2B5EF4-FFF2-40B4-BE49-F238E27FC236}">
              <a16:creationId xmlns:a16="http://schemas.microsoft.com/office/drawing/2014/main" id="{B56C3D06-18BA-831A-175A-2E7608AEA82A}"/>
            </a:ext>
          </a:extLst>
        </xdr:cNvPr>
        <xdr:cNvCxnSpPr/>
      </xdr:nvCxnSpPr>
      <xdr:spPr>
        <a:xfrm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2</xdr:row>
      <xdr:rowOff>229394</xdr:rowOff>
    </xdr:from>
    <xdr:to>
      <xdr:col>5</xdr:col>
      <xdr:colOff>262731</xdr:colOff>
      <xdr:row>3</xdr:row>
      <xdr:rowOff>229393</xdr:rowOff>
    </xdr:to>
    <xdr:cxnSp macro="">
      <xdr:nvCxnSpPr>
        <xdr:cNvPr id="1048" name="Match9">
          <a:extLst>
            <a:ext uri="{FF2B5EF4-FFF2-40B4-BE49-F238E27FC236}">
              <a16:creationId xmlns:a16="http://schemas.microsoft.com/office/drawing/2014/main" id="{D061017C-06A5-38A2-0986-582DE63E68DB}"/>
            </a:ext>
          </a:extLst>
        </xdr:cNvPr>
        <xdr:cNvCxnSpPr/>
      </xdr:nvCxnSpPr>
      <xdr:spPr>
        <a:xfrm flipV="1">
          <a:off x="2382044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049" name="Match10">
          <a:extLst>
            <a:ext uri="{FF2B5EF4-FFF2-40B4-BE49-F238E27FC236}">
              <a16:creationId xmlns:a16="http://schemas.microsoft.com/office/drawing/2014/main" id="{122801A7-5A1C-4BE9-7203-FF19452DF265}"/>
            </a:ext>
          </a:extLst>
        </xdr:cNvPr>
        <xdr:cNvCxnSpPr/>
      </xdr:nvCxnSpPr>
      <xdr:spPr>
        <a:xfrm flipH="1"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55" name="Match11">
          <a:extLst>
            <a:ext uri="{FF2B5EF4-FFF2-40B4-BE49-F238E27FC236}">
              <a16:creationId xmlns:a16="http://schemas.microsoft.com/office/drawing/2014/main" id="{272A9EE8-D7B9-FD56-0810-7401474E7BDC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56" name="Match12">
          <a:extLst>
            <a:ext uri="{FF2B5EF4-FFF2-40B4-BE49-F238E27FC236}">
              <a16:creationId xmlns:a16="http://schemas.microsoft.com/office/drawing/2014/main" id="{010837C6-351F-706C-CF5A-CFF595A91E8E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057" name="Match13">
          <a:extLst>
            <a:ext uri="{FF2B5EF4-FFF2-40B4-BE49-F238E27FC236}">
              <a16:creationId xmlns:a16="http://schemas.microsoft.com/office/drawing/2014/main" id="{3E59EEBF-F5AE-A69C-BE1C-33A8DEFD8908}"/>
            </a:ext>
          </a:extLst>
        </xdr:cNvPr>
        <xdr:cNvCxnSpPr/>
      </xdr:nvCxnSpPr>
      <xdr:spPr>
        <a:xfrm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061" name="Match14">
          <a:extLst>
            <a:ext uri="{FF2B5EF4-FFF2-40B4-BE49-F238E27FC236}">
              <a16:creationId xmlns:a16="http://schemas.microsoft.com/office/drawing/2014/main" id="{F8E61C92-0F7C-EE4A-D6BD-7835D4FFD5D9}"/>
            </a:ext>
          </a:extLst>
        </xdr:cNvPr>
        <xdr:cNvCxnSpPr/>
      </xdr:nvCxnSpPr>
      <xdr:spPr>
        <a:xfrm flipV="1">
          <a:off x="238204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4</xdr:row>
      <xdr:rowOff>254794</xdr:rowOff>
    </xdr:from>
    <xdr:to>
      <xdr:col>6</xdr:col>
      <xdr:colOff>288131</xdr:colOff>
      <xdr:row>5</xdr:row>
      <xdr:rowOff>254793</xdr:rowOff>
    </xdr:to>
    <xdr:cxnSp macro="">
      <xdr:nvCxnSpPr>
        <xdr:cNvPr id="1063" name="Match15">
          <a:extLst>
            <a:ext uri="{FF2B5EF4-FFF2-40B4-BE49-F238E27FC236}">
              <a16:creationId xmlns:a16="http://schemas.microsoft.com/office/drawing/2014/main" id="{3067326B-CAAB-19CE-1245-591ADA5DC208}"/>
            </a:ext>
          </a:extLst>
        </xdr:cNvPr>
        <xdr:cNvCxnSpPr/>
      </xdr:nvCxnSpPr>
      <xdr:spPr>
        <a:xfrm flipV="1">
          <a:off x="2407444" y="168354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064" name="Match16">
          <a:extLst>
            <a:ext uri="{FF2B5EF4-FFF2-40B4-BE49-F238E27FC236}">
              <a16:creationId xmlns:a16="http://schemas.microsoft.com/office/drawing/2014/main" id="{4CECBA99-4BE5-3833-586A-4C62C4BBB40F}"/>
            </a:ext>
          </a:extLst>
        </xdr:cNvPr>
        <xdr:cNvCxnSpPr/>
      </xdr:nvCxnSpPr>
      <xdr:spPr>
        <a:xfrm flipH="1"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065" name="Match17">
          <a:extLst>
            <a:ext uri="{FF2B5EF4-FFF2-40B4-BE49-F238E27FC236}">
              <a16:creationId xmlns:a16="http://schemas.microsoft.com/office/drawing/2014/main" id="{7C1FE08D-2EB8-8D34-FBE6-639218AC8B70}"/>
            </a:ext>
          </a:extLst>
        </xdr:cNvPr>
        <xdr:cNvCxnSpPr/>
      </xdr:nvCxnSpPr>
      <xdr:spPr>
        <a:xfrm flipV="1">
          <a:off x="36282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66" name="Match18">
          <a:extLst>
            <a:ext uri="{FF2B5EF4-FFF2-40B4-BE49-F238E27FC236}">
              <a16:creationId xmlns:a16="http://schemas.microsoft.com/office/drawing/2014/main" id="{B2C3B211-28EF-BCFA-D162-F3CC72F7EB7D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067" name="Match19">
          <a:extLst>
            <a:ext uri="{FF2B5EF4-FFF2-40B4-BE49-F238E27FC236}">
              <a16:creationId xmlns:a16="http://schemas.microsoft.com/office/drawing/2014/main" id="{1CB50ABF-5211-F143-7374-881DA8C9E289}"/>
            </a:ext>
          </a:extLst>
        </xdr:cNvPr>
        <xdr:cNvCxnSpPr/>
      </xdr:nvCxnSpPr>
      <xdr:spPr>
        <a:xfrm flipH="1" flipV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068" name="Match20">
          <a:extLst>
            <a:ext uri="{FF2B5EF4-FFF2-40B4-BE49-F238E27FC236}">
              <a16:creationId xmlns:a16="http://schemas.microsoft.com/office/drawing/2014/main" id="{627C5299-6E6B-A198-460C-841530BC8C1D}"/>
            </a:ext>
          </a:extLst>
        </xdr:cNvPr>
        <xdr:cNvCxnSpPr/>
      </xdr:nvCxnSpPr>
      <xdr:spPr>
        <a:xfrm flipH="1"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1069" name="Match21">
          <a:extLst>
            <a:ext uri="{FF2B5EF4-FFF2-40B4-BE49-F238E27FC236}">
              <a16:creationId xmlns:a16="http://schemas.microsoft.com/office/drawing/2014/main" id="{0F91E287-443D-924D-E0A1-1AD87DB9FC17}"/>
            </a:ext>
          </a:extLst>
        </xdr:cNvPr>
        <xdr:cNvCxnSpPr/>
      </xdr:nvCxnSpPr>
      <xdr:spPr>
        <a:xfrm flipV="1">
          <a:off x="193278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070" name="Match22">
          <a:extLst>
            <a:ext uri="{FF2B5EF4-FFF2-40B4-BE49-F238E27FC236}">
              <a16:creationId xmlns:a16="http://schemas.microsoft.com/office/drawing/2014/main" id="{4F45A7E9-A3E6-CC97-5282-5FBAA1E68440}"/>
            </a:ext>
          </a:extLst>
        </xdr:cNvPr>
        <xdr:cNvCxnSpPr/>
      </xdr:nvCxnSpPr>
      <xdr:spPr>
        <a:xfrm flipV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071" name="Match23">
          <a:extLst>
            <a:ext uri="{FF2B5EF4-FFF2-40B4-BE49-F238E27FC236}">
              <a16:creationId xmlns:a16="http://schemas.microsoft.com/office/drawing/2014/main" id="{2FE313C2-FCDB-7364-C881-4C2BAF82ACDF}"/>
            </a:ext>
          </a:extLst>
        </xdr:cNvPr>
        <xdr:cNvCxnSpPr/>
      </xdr:nvCxnSpPr>
      <xdr:spPr>
        <a:xfrm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072" name="Match24">
          <a:extLst>
            <a:ext uri="{FF2B5EF4-FFF2-40B4-BE49-F238E27FC236}">
              <a16:creationId xmlns:a16="http://schemas.microsoft.com/office/drawing/2014/main" id="{33176FF7-1937-8A52-9898-BDB52BDD829E}"/>
            </a:ext>
          </a:extLst>
        </xdr:cNvPr>
        <xdr:cNvCxnSpPr/>
      </xdr:nvCxnSpPr>
      <xdr:spPr>
        <a:xfrm flipV="1">
          <a:off x="278050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73" name="Match25">
          <a:extLst>
            <a:ext uri="{FF2B5EF4-FFF2-40B4-BE49-F238E27FC236}">
              <a16:creationId xmlns:a16="http://schemas.microsoft.com/office/drawing/2014/main" id="{CEF4A139-2139-AC12-CDD4-460E46508815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074" name="Match26">
          <a:extLst>
            <a:ext uri="{FF2B5EF4-FFF2-40B4-BE49-F238E27FC236}">
              <a16:creationId xmlns:a16="http://schemas.microsoft.com/office/drawing/2014/main" id="{8CFF520D-4935-82BB-7189-D1813964DC80}"/>
            </a:ext>
          </a:extLst>
        </xdr:cNvPr>
        <xdr:cNvCxnSpPr/>
      </xdr:nvCxnSpPr>
      <xdr:spPr>
        <a:xfrm>
          <a:off x="6611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075" name="Match27">
          <a:extLst>
            <a:ext uri="{FF2B5EF4-FFF2-40B4-BE49-F238E27FC236}">
              <a16:creationId xmlns:a16="http://schemas.microsoft.com/office/drawing/2014/main" id="{1ECEC169-AFD3-DB69-6218-20964E818693}"/>
            </a:ext>
          </a:extLst>
        </xdr:cNvPr>
        <xdr:cNvCxnSpPr/>
      </xdr:nvCxnSpPr>
      <xdr:spPr>
        <a:xfrm flipH="1"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076" name="Match28">
          <a:extLst>
            <a:ext uri="{FF2B5EF4-FFF2-40B4-BE49-F238E27FC236}">
              <a16:creationId xmlns:a16="http://schemas.microsoft.com/office/drawing/2014/main" id="{72AC70D0-9841-F982-981B-FD9AF94FDB27}"/>
            </a:ext>
          </a:extLst>
        </xdr:cNvPr>
        <xdr:cNvCxnSpPr/>
      </xdr:nvCxnSpPr>
      <xdr:spPr>
        <a:xfrm>
          <a:off x="233124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077" name="Match29">
          <a:extLst>
            <a:ext uri="{FF2B5EF4-FFF2-40B4-BE49-F238E27FC236}">
              <a16:creationId xmlns:a16="http://schemas.microsoft.com/office/drawing/2014/main" id="{6854E036-0932-D75C-E6CE-6545891584B6}"/>
            </a:ext>
          </a:extLst>
        </xdr:cNvPr>
        <xdr:cNvCxnSpPr/>
      </xdr:nvCxnSpPr>
      <xdr:spPr>
        <a:xfrm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078" name="Match30">
          <a:extLst>
            <a:ext uri="{FF2B5EF4-FFF2-40B4-BE49-F238E27FC236}">
              <a16:creationId xmlns:a16="http://schemas.microsoft.com/office/drawing/2014/main" id="{CC2B6578-303D-93D3-8E2C-3357961C51B0}"/>
            </a:ext>
          </a:extLst>
        </xdr:cNvPr>
        <xdr:cNvCxnSpPr/>
      </xdr:nvCxnSpPr>
      <xdr:spPr>
        <a:xfrm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79" name="Match31">
          <a:extLst>
            <a:ext uri="{FF2B5EF4-FFF2-40B4-BE49-F238E27FC236}">
              <a16:creationId xmlns:a16="http://schemas.microsoft.com/office/drawing/2014/main" id="{4B9C2A99-B714-3D4C-CD52-534D5555FE4C}"/>
            </a:ext>
          </a:extLst>
        </xdr:cNvPr>
        <xdr:cNvCxnSpPr/>
      </xdr:nvCxnSpPr>
      <xdr:spPr>
        <a:xfrm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80" name="Match32">
          <a:extLst>
            <a:ext uri="{FF2B5EF4-FFF2-40B4-BE49-F238E27FC236}">
              <a16:creationId xmlns:a16="http://schemas.microsoft.com/office/drawing/2014/main" id="{70FEC73E-27E8-B5D0-BE67-4B5DAA215610}"/>
            </a:ext>
          </a:extLst>
        </xdr:cNvPr>
        <xdr:cNvCxnSpPr/>
      </xdr:nvCxnSpPr>
      <xdr:spPr>
        <a:xfrm>
          <a:off x="1483519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81" name="Match33">
          <a:extLst>
            <a:ext uri="{FF2B5EF4-FFF2-40B4-BE49-F238E27FC236}">
              <a16:creationId xmlns:a16="http://schemas.microsoft.com/office/drawing/2014/main" id="{D8CFF4AC-29DC-A59D-F4CC-35634BE40C2C}"/>
            </a:ext>
          </a:extLst>
        </xdr:cNvPr>
        <xdr:cNvCxnSpPr/>
      </xdr:nvCxnSpPr>
      <xdr:spPr>
        <a:xfrm flipV="1">
          <a:off x="1483519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1147" name="Match34">
          <a:extLst>
            <a:ext uri="{FF2B5EF4-FFF2-40B4-BE49-F238E27FC236}">
              <a16:creationId xmlns:a16="http://schemas.microsoft.com/office/drawing/2014/main" id="{1CA93B33-CC37-1A84-01CB-C2FDDD7BDB1D}"/>
            </a:ext>
          </a:extLst>
        </xdr:cNvPr>
        <xdr:cNvCxnSpPr/>
      </xdr:nvCxnSpPr>
      <xdr:spPr>
        <a:xfrm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148" name="Match35">
          <a:extLst>
            <a:ext uri="{FF2B5EF4-FFF2-40B4-BE49-F238E27FC236}">
              <a16:creationId xmlns:a16="http://schemas.microsoft.com/office/drawing/2014/main" id="{EA845AF6-91BB-30B6-E10A-98F55D00D949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1149" name="Match36">
          <a:extLst>
            <a:ext uri="{FF2B5EF4-FFF2-40B4-BE49-F238E27FC236}">
              <a16:creationId xmlns:a16="http://schemas.microsoft.com/office/drawing/2014/main" id="{21E3A04A-0D27-28C1-77ED-2E65D35E5438}"/>
            </a:ext>
          </a:extLst>
        </xdr:cNvPr>
        <xdr:cNvCxnSpPr/>
      </xdr:nvCxnSpPr>
      <xdr:spPr>
        <a:xfrm flipH="1">
          <a:off x="320436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150" name="Match37">
          <a:extLst>
            <a:ext uri="{FF2B5EF4-FFF2-40B4-BE49-F238E27FC236}">
              <a16:creationId xmlns:a16="http://schemas.microsoft.com/office/drawing/2014/main" id="{1B476593-0BCF-024F-AD3A-FE5F922A979D}"/>
            </a:ext>
          </a:extLst>
        </xdr:cNvPr>
        <xdr:cNvCxnSpPr/>
      </xdr:nvCxnSpPr>
      <xdr:spPr>
        <a:xfrm flipV="1"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151" name="Match38">
          <a:extLst>
            <a:ext uri="{FF2B5EF4-FFF2-40B4-BE49-F238E27FC236}">
              <a16:creationId xmlns:a16="http://schemas.microsoft.com/office/drawing/2014/main" id="{6294C96B-20DE-FCDA-6827-07E33D150E9D}"/>
            </a:ext>
          </a:extLst>
        </xdr:cNvPr>
        <xdr:cNvCxnSpPr/>
      </xdr:nvCxnSpPr>
      <xdr:spPr>
        <a:xfrm flipV="1">
          <a:off x="36028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152" name="Match39">
          <a:extLst>
            <a:ext uri="{FF2B5EF4-FFF2-40B4-BE49-F238E27FC236}">
              <a16:creationId xmlns:a16="http://schemas.microsoft.com/office/drawing/2014/main" id="{27FA7880-2171-C1F8-F464-70DBD9950738}"/>
            </a:ext>
          </a:extLst>
        </xdr:cNvPr>
        <xdr:cNvCxnSpPr/>
      </xdr:nvCxnSpPr>
      <xdr:spPr>
        <a:xfrm flipH="1"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153" name="Match40">
          <a:extLst>
            <a:ext uri="{FF2B5EF4-FFF2-40B4-BE49-F238E27FC236}">
              <a16:creationId xmlns:a16="http://schemas.microsoft.com/office/drawing/2014/main" id="{6EB44CD5-B291-EA38-F609-6E15B23ADCA6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154" name="Match41">
          <a:extLst>
            <a:ext uri="{FF2B5EF4-FFF2-40B4-BE49-F238E27FC236}">
              <a16:creationId xmlns:a16="http://schemas.microsoft.com/office/drawing/2014/main" id="{F4F9F525-B34B-F433-45DD-7D8E7E0520F7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155" name="Match42">
          <a:extLst>
            <a:ext uri="{FF2B5EF4-FFF2-40B4-BE49-F238E27FC236}">
              <a16:creationId xmlns:a16="http://schemas.microsoft.com/office/drawing/2014/main" id="{9D3CF065-82A8-B7CC-6D42-714B5E8ED20C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156" name="Match43">
          <a:extLst>
            <a:ext uri="{FF2B5EF4-FFF2-40B4-BE49-F238E27FC236}">
              <a16:creationId xmlns:a16="http://schemas.microsoft.com/office/drawing/2014/main" id="{3971FF8F-BEA5-2861-5416-4151C083AB37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157" name="Match44">
          <a:extLst>
            <a:ext uri="{FF2B5EF4-FFF2-40B4-BE49-F238E27FC236}">
              <a16:creationId xmlns:a16="http://schemas.microsoft.com/office/drawing/2014/main" id="{73BB06B6-1B81-6FEE-F8A2-68146F9243E0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158" name="Match45">
          <a:extLst>
            <a:ext uri="{FF2B5EF4-FFF2-40B4-BE49-F238E27FC236}">
              <a16:creationId xmlns:a16="http://schemas.microsoft.com/office/drawing/2014/main" id="{A32B97EF-36F5-51D9-CC3C-F9F5EB70047E}"/>
            </a:ext>
          </a:extLst>
        </xdr:cNvPr>
        <xdr:cNvCxnSpPr/>
      </xdr:nvCxnSpPr>
      <xdr:spPr>
        <a:xfrm flipV="1">
          <a:off x="275510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159" name="Match46">
          <a:extLst>
            <a:ext uri="{FF2B5EF4-FFF2-40B4-BE49-F238E27FC236}">
              <a16:creationId xmlns:a16="http://schemas.microsoft.com/office/drawing/2014/main" id="{A60EDCEA-2802-B3B1-EC4A-68851B72F20D}"/>
            </a:ext>
          </a:extLst>
        </xdr:cNvPr>
        <xdr:cNvCxnSpPr/>
      </xdr:nvCxnSpPr>
      <xdr:spPr>
        <a:xfrm flipH="1">
          <a:off x="1932781" y="918369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8</xdr:row>
      <xdr:rowOff>178594</xdr:rowOff>
    </xdr:to>
    <xdr:cxnSp macro="">
      <xdr:nvCxnSpPr>
        <xdr:cNvPr id="1160" name="Match47">
          <a:extLst>
            <a:ext uri="{FF2B5EF4-FFF2-40B4-BE49-F238E27FC236}">
              <a16:creationId xmlns:a16="http://schemas.microsoft.com/office/drawing/2014/main" id="{B6DB6D76-B71D-0E37-B9AC-9B3921E45F70}"/>
            </a:ext>
          </a:extLst>
        </xdr:cNvPr>
        <xdr:cNvCxnSpPr/>
      </xdr:nvCxnSpPr>
      <xdr:spPr>
        <a:xfrm>
          <a:off x="211931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161" name="Match48">
          <a:extLst>
            <a:ext uri="{FF2B5EF4-FFF2-40B4-BE49-F238E27FC236}">
              <a16:creationId xmlns:a16="http://schemas.microsoft.com/office/drawing/2014/main" id="{B43FF561-8E33-0669-D32E-BB157CEEAB4D}"/>
            </a:ext>
          </a:extLst>
        </xdr:cNvPr>
        <xdr:cNvCxnSpPr/>
      </xdr:nvCxnSpPr>
      <xdr:spPr>
        <a:xfrm>
          <a:off x="1483519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162" name="Match49">
          <a:extLst>
            <a:ext uri="{FF2B5EF4-FFF2-40B4-BE49-F238E27FC236}">
              <a16:creationId xmlns:a16="http://schemas.microsoft.com/office/drawing/2014/main" id="{5449C72A-0FC2-BC77-6411-B690D8BFA223}"/>
            </a:ext>
          </a:extLst>
        </xdr:cNvPr>
        <xdr:cNvCxnSpPr/>
      </xdr:nvCxnSpPr>
      <xdr:spPr>
        <a:xfrm flipH="1">
          <a:off x="317896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163" name="Match50">
          <a:extLst>
            <a:ext uri="{FF2B5EF4-FFF2-40B4-BE49-F238E27FC236}">
              <a16:creationId xmlns:a16="http://schemas.microsoft.com/office/drawing/2014/main" id="{B329910E-7068-B09D-9ED4-B7D3A97CE009}"/>
            </a:ext>
          </a:extLst>
        </xdr:cNvPr>
        <xdr:cNvCxnSpPr/>
      </xdr:nvCxnSpPr>
      <xdr:spPr>
        <a:xfrm flipV="1">
          <a:off x="4874419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164" name="Match51">
          <a:extLst>
            <a:ext uri="{FF2B5EF4-FFF2-40B4-BE49-F238E27FC236}">
              <a16:creationId xmlns:a16="http://schemas.microsoft.com/office/drawing/2014/main" id="{0EEBCC6A-1C67-A172-898D-3821661D140A}"/>
            </a:ext>
          </a:extLst>
        </xdr:cNvPr>
        <xdr:cNvCxnSpPr/>
      </xdr:nvCxnSpPr>
      <xdr:spPr>
        <a:xfrm flipV="1">
          <a:off x="635794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165" name="Match52">
          <a:extLst>
            <a:ext uri="{FF2B5EF4-FFF2-40B4-BE49-F238E27FC236}">
              <a16:creationId xmlns:a16="http://schemas.microsoft.com/office/drawing/2014/main" id="{F83CAC93-C5FC-DB5C-1824-39D412481E03}"/>
            </a:ext>
          </a:extLst>
        </xdr:cNvPr>
        <xdr:cNvCxnSpPr/>
      </xdr:nvCxnSpPr>
      <xdr:spPr>
        <a:xfrm flipV="1">
          <a:off x="4475956" y="1275556"/>
          <a:ext cx="0" cy="1071563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166" name="Match53">
          <a:extLst>
            <a:ext uri="{FF2B5EF4-FFF2-40B4-BE49-F238E27FC236}">
              <a16:creationId xmlns:a16="http://schemas.microsoft.com/office/drawing/2014/main" id="{CD1DF392-DE6A-9062-84B6-40A880AE08D9}"/>
            </a:ext>
          </a:extLst>
        </xdr:cNvPr>
        <xdr:cNvCxnSpPr/>
      </xdr:nvCxnSpPr>
      <xdr:spPr>
        <a:xfrm flipV="1">
          <a:off x="3602831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167" name="Match54">
          <a:extLst>
            <a:ext uri="{FF2B5EF4-FFF2-40B4-BE49-F238E27FC236}">
              <a16:creationId xmlns:a16="http://schemas.microsoft.com/office/drawing/2014/main" id="{6582B52D-2931-31A9-B8E4-1A1F0A62B76F}"/>
            </a:ext>
          </a:extLst>
        </xdr:cNvPr>
        <xdr:cNvCxnSpPr/>
      </xdr:nvCxnSpPr>
      <xdr:spPr>
        <a:xfrm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168" name="Match55">
          <a:extLst>
            <a:ext uri="{FF2B5EF4-FFF2-40B4-BE49-F238E27FC236}">
              <a16:creationId xmlns:a16="http://schemas.microsoft.com/office/drawing/2014/main" id="{B3A9618E-979F-0293-8510-B5C52D39F397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169" name="Match56">
          <a:extLst>
            <a:ext uri="{FF2B5EF4-FFF2-40B4-BE49-F238E27FC236}">
              <a16:creationId xmlns:a16="http://schemas.microsoft.com/office/drawing/2014/main" id="{D31F73FD-C3FB-4674-572C-3CEE8E7B480A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170" name="Match57">
          <a:extLst>
            <a:ext uri="{FF2B5EF4-FFF2-40B4-BE49-F238E27FC236}">
              <a16:creationId xmlns:a16="http://schemas.microsoft.com/office/drawing/2014/main" id="{7403839A-9FFF-F4E2-CD35-43A29AD78DB3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171" name="Match58">
          <a:extLst>
            <a:ext uri="{FF2B5EF4-FFF2-40B4-BE49-F238E27FC236}">
              <a16:creationId xmlns:a16="http://schemas.microsoft.com/office/drawing/2014/main" id="{9C2BA151-DF3E-F0A0-F56F-8F4BC1D09CF9}"/>
            </a:ext>
          </a:extLst>
        </xdr:cNvPr>
        <xdr:cNvCxnSpPr/>
      </xdr:nvCxnSpPr>
      <xdr:spPr>
        <a:xfrm flipH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172" name="Match59">
          <a:extLst>
            <a:ext uri="{FF2B5EF4-FFF2-40B4-BE49-F238E27FC236}">
              <a16:creationId xmlns:a16="http://schemas.microsoft.com/office/drawing/2014/main" id="{C9D9D1ED-A9C1-52F1-6877-3C6E1BCD4B84}"/>
            </a:ext>
          </a:extLst>
        </xdr:cNvPr>
        <xdr:cNvCxnSpPr/>
      </xdr:nvCxnSpPr>
      <xdr:spPr>
        <a:xfrm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173" name="Match60">
          <a:extLst>
            <a:ext uri="{FF2B5EF4-FFF2-40B4-BE49-F238E27FC236}">
              <a16:creationId xmlns:a16="http://schemas.microsoft.com/office/drawing/2014/main" id="{9A06CC28-E12E-5794-CD6C-0DB450C8755E}"/>
            </a:ext>
          </a:extLst>
        </xdr:cNvPr>
        <xdr:cNvCxnSpPr/>
      </xdr:nvCxnSpPr>
      <xdr:spPr>
        <a:xfrm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1174" name="Match61">
          <a:extLst>
            <a:ext uri="{FF2B5EF4-FFF2-40B4-BE49-F238E27FC236}">
              <a16:creationId xmlns:a16="http://schemas.microsoft.com/office/drawing/2014/main" id="{7CAB3B47-FE8F-E906-C81A-C314AEC25E46}"/>
            </a:ext>
          </a:extLst>
        </xdr:cNvPr>
        <xdr:cNvCxnSpPr/>
      </xdr:nvCxnSpPr>
      <xdr:spPr>
        <a:xfrm flipH="1" flipV="1">
          <a:off x="36536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9</xdr:row>
      <xdr:rowOff>254793</xdr:rowOff>
    </xdr:from>
    <xdr:to>
      <xdr:col>10</xdr:col>
      <xdr:colOff>288131</xdr:colOff>
      <xdr:row>10</xdr:row>
      <xdr:rowOff>254794</xdr:rowOff>
    </xdr:to>
    <xdr:cxnSp macro="">
      <xdr:nvCxnSpPr>
        <xdr:cNvPr id="1175" name="Match62">
          <a:extLst>
            <a:ext uri="{FF2B5EF4-FFF2-40B4-BE49-F238E27FC236}">
              <a16:creationId xmlns:a16="http://schemas.microsoft.com/office/drawing/2014/main" id="{CED20FE3-0F14-D9E2-9E08-4F2C09D9100D}"/>
            </a:ext>
          </a:extLst>
        </xdr:cNvPr>
        <xdr:cNvCxnSpPr/>
      </xdr:nvCxnSpPr>
      <xdr:spPr>
        <a:xfrm flipV="1">
          <a:off x="4102894" y="3469481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176" name="Match63">
          <a:extLst>
            <a:ext uri="{FF2B5EF4-FFF2-40B4-BE49-F238E27FC236}">
              <a16:creationId xmlns:a16="http://schemas.microsoft.com/office/drawing/2014/main" id="{22AFB997-01A2-DE04-A73F-7E52BAC7D0CF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10</xdr:row>
      <xdr:rowOff>203994</xdr:rowOff>
    </xdr:to>
    <xdr:cxnSp macro="">
      <xdr:nvCxnSpPr>
        <xdr:cNvPr id="1177" name="Match64">
          <a:extLst>
            <a:ext uri="{FF2B5EF4-FFF2-40B4-BE49-F238E27FC236}">
              <a16:creationId xmlns:a16="http://schemas.microsoft.com/office/drawing/2014/main" id="{D40E2654-C089-7DE2-B526-7FBA7836504A}"/>
            </a:ext>
          </a:extLst>
        </xdr:cNvPr>
        <xdr:cNvCxnSpPr/>
      </xdr:nvCxnSpPr>
      <xdr:spPr>
        <a:xfrm flipH="1">
          <a:off x="4052094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9</xdr:row>
      <xdr:rowOff>229393</xdr:rowOff>
    </xdr:from>
    <xdr:to>
      <xdr:col>10</xdr:col>
      <xdr:colOff>262731</xdr:colOff>
      <xdr:row>10</xdr:row>
      <xdr:rowOff>229394</xdr:rowOff>
    </xdr:to>
    <xdr:cxnSp macro="">
      <xdr:nvCxnSpPr>
        <xdr:cNvPr id="1178" name="Match65">
          <a:extLst>
            <a:ext uri="{FF2B5EF4-FFF2-40B4-BE49-F238E27FC236}">
              <a16:creationId xmlns:a16="http://schemas.microsoft.com/office/drawing/2014/main" id="{9F72D830-709D-7F38-292C-36D786CD12DE}"/>
            </a:ext>
          </a:extLst>
        </xdr:cNvPr>
        <xdr:cNvCxnSpPr/>
      </xdr:nvCxnSpPr>
      <xdr:spPr>
        <a:xfrm flipV="1">
          <a:off x="4501356" y="34440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179" name="Match66">
          <a:extLst>
            <a:ext uri="{FF2B5EF4-FFF2-40B4-BE49-F238E27FC236}">
              <a16:creationId xmlns:a16="http://schemas.microsoft.com/office/drawing/2014/main" id="{A3A3CBEF-62A3-1107-E850-236D296BB2EA}"/>
            </a:ext>
          </a:extLst>
        </xdr:cNvPr>
        <xdr:cNvCxnSpPr/>
      </xdr:nvCxnSpPr>
      <xdr:spPr>
        <a:xfrm flipH="1"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180" name="Match67">
          <a:extLst>
            <a:ext uri="{FF2B5EF4-FFF2-40B4-BE49-F238E27FC236}">
              <a16:creationId xmlns:a16="http://schemas.microsoft.com/office/drawing/2014/main" id="{BC6BB343-BA4A-2A05-9CE9-6AC840432A1D}"/>
            </a:ext>
          </a:extLst>
        </xdr:cNvPr>
        <xdr:cNvCxnSpPr/>
      </xdr:nvCxnSpPr>
      <xdr:spPr>
        <a:xfrm flipV="1">
          <a:off x="447595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181" name="Match68">
          <a:extLst>
            <a:ext uri="{FF2B5EF4-FFF2-40B4-BE49-F238E27FC236}">
              <a16:creationId xmlns:a16="http://schemas.microsoft.com/office/drawing/2014/main" id="{878091F9-7FDE-A179-7870-6E245F5DE3E7}"/>
            </a:ext>
          </a:extLst>
        </xdr:cNvPr>
        <xdr:cNvCxnSpPr/>
      </xdr:nvCxnSpPr>
      <xdr:spPr>
        <a:xfrm>
          <a:off x="1059656" y="196453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BA57E58-BC2B-1A8D-FD4E-A2D14E388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11" sqref="C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4</v>
      </c>
      <c r="B1" s="22">
        <v>9</v>
      </c>
      <c r="C1" s="26">
        <v>2</v>
      </c>
      <c r="D1" s="26">
        <v>2</v>
      </c>
      <c r="E1" s="26">
        <v>2</v>
      </c>
      <c r="F1" s="26">
        <v>2</v>
      </c>
      <c r="G1" s="22">
        <v>7</v>
      </c>
      <c r="H1" s="22">
        <v>4</v>
      </c>
      <c r="I1" s="22">
        <v>7</v>
      </c>
      <c r="J1" s="23">
        <v>3</v>
      </c>
      <c r="K1" s="26">
        <v>3</v>
      </c>
      <c r="L1" s="26">
        <v>3</v>
      </c>
      <c r="N1" s="2">
        <v>519</v>
      </c>
      <c r="O1" s="1">
        <v>3</v>
      </c>
    </row>
    <row r="2" spans="1:15" ht="28.25" customHeight="1">
      <c r="A2" s="26">
        <v>5</v>
      </c>
      <c r="B2" s="26">
        <v>5</v>
      </c>
      <c r="C2" s="26">
        <v>7</v>
      </c>
      <c r="D2" s="23">
        <v>7</v>
      </c>
      <c r="E2" s="23">
        <v>2</v>
      </c>
      <c r="F2" s="23">
        <v>6</v>
      </c>
      <c r="G2" s="23">
        <v>7</v>
      </c>
      <c r="H2" s="23">
        <v>1</v>
      </c>
      <c r="I2" s="23">
        <v>4</v>
      </c>
      <c r="J2" s="23">
        <v>1</v>
      </c>
      <c r="K2" s="26">
        <v>7</v>
      </c>
      <c r="L2" s="26">
        <v>1</v>
      </c>
      <c r="N2" s="2">
        <v>334</v>
      </c>
      <c r="O2" s="1">
        <v>2</v>
      </c>
    </row>
    <row r="3" spans="1:15" ht="28.25" customHeight="1">
      <c r="A3" s="26">
        <v>5</v>
      </c>
      <c r="B3" s="22">
        <v>8</v>
      </c>
      <c r="C3" s="26">
        <v>5</v>
      </c>
      <c r="D3" s="23">
        <v>5</v>
      </c>
      <c r="E3" s="22">
        <v>3</v>
      </c>
      <c r="F3" s="22">
        <v>9</v>
      </c>
      <c r="G3" s="26">
        <v>6</v>
      </c>
      <c r="H3" s="23">
        <v>8</v>
      </c>
      <c r="I3" s="22">
        <v>7</v>
      </c>
      <c r="J3" s="23">
        <v>3</v>
      </c>
      <c r="K3" s="23">
        <v>8</v>
      </c>
      <c r="L3" s="26">
        <v>8</v>
      </c>
      <c r="N3" s="2">
        <v>49</v>
      </c>
      <c r="O3" s="1">
        <v>20</v>
      </c>
    </row>
    <row r="4" spans="1:15" ht="28.25" customHeight="1">
      <c r="A4" s="23">
        <v>4</v>
      </c>
      <c r="B4" s="23">
        <v>3</v>
      </c>
      <c r="C4" s="23">
        <v>3</v>
      </c>
      <c r="D4" s="22">
        <v>3</v>
      </c>
      <c r="E4" s="23">
        <v>1</v>
      </c>
      <c r="F4" s="22">
        <v>4</v>
      </c>
      <c r="G4" s="22">
        <v>7</v>
      </c>
      <c r="H4" s="26">
        <v>9</v>
      </c>
      <c r="I4" s="22">
        <v>7</v>
      </c>
      <c r="J4" s="23">
        <v>1</v>
      </c>
      <c r="K4" s="23">
        <v>5</v>
      </c>
      <c r="L4" s="22">
        <v>5</v>
      </c>
      <c r="N4" s="2">
        <v>83</v>
      </c>
      <c r="O4" s="1">
        <v>7</v>
      </c>
    </row>
    <row r="5" spans="1:15" ht="28.25" customHeight="1">
      <c r="A5" s="23">
        <v>9</v>
      </c>
      <c r="B5" s="22">
        <v>4</v>
      </c>
      <c r="C5" s="22">
        <v>4</v>
      </c>
      <c r="D5" s="26">
        <v>3</v>
      </c>
      <c r="E5" s="26">
        <v>6</v>
      </c>
      <c r="F5" s="23">
        <v>9</v>
      </c>
      <c r="G5" s="22">
        <v>9</v>
      </c>
      <c r="H5" s="26">
        <v>5</v>
      </c>
      <c r="I5" s="23">
        <v>2</v>
      </c>
      <c r="J5" s="22">
        <v>4</v>
      </c>
      <c r="K5" s="23">
        <v>3</v>
      </c>
      <c r="L5" s="22">
        <v>1</v>
      </c>
      <c r="N5" s="2">
        <v>98689</v>
      </c>
      <c r="O5" s="1">
        <v>2</v>
      </c>
    </row>
    <row r="6" spans="1:15" ht="28.25" customHeight="1">
      <c r="A6" s="23">
        <v>3</v>
      </c>
      <c r="B6" s="26">
        <v>6</v>
      </c>
      <c r="C6" s="23">
        <v>2</v>
      </c>
      <c r="D6" s="23">
        <v>9</v>
      </c>
      <c r="E6" s="26">
        <v>2</v>
      </c>
      <c r="F6" s="22">
        <v>4</v>
      </c>
      <c r="G6" s="22">
        <v>9</v>
      </c>
      <c r="H6" s="23">
        <v>2</v>
      </c>
      <c r="I6" s="26">
        <v>2</v>
      </c>
      <c r="J6" s="26">
        <v>2</v>
      </c>
      <c r="K6" s="23">
        <v>6</v>
      </c>
      <c r="L6" s="22">
        <v>9</v>
      </c>
      <c r="N6" s="2">
        <v>74</v>
      </c>
      <c r="O6" s="1">
        <v>12</v>
      </c>
    </row>
    <row r="7" spans="1:15" ht="28.25" customHeight="1">
      <c r="A7" s="23">
        <v>1</v>
      </c>
      <c r="B7" s="23">
        <v>1</v>
      </c>
      <c r="C7" s="23">
        <v>7</v>
      </c>
      <c r="D7" s="23">
        <v>8</v>
      </c>
      <c r="E7" s="26">
        <v>8</v>
      </c>
      <c r="F7" s="26">
        <v>8</v>
      </c>
      <c r="G7" s="23">
        <v>9</v>
      </c>
      <c r="H7" s="22">
        <v>9</v>
      </c>
      <c r="I7" s="22">
        <v>9</v>
      </c>
      <c r="J7" s="26">
        <v>3</v>
      </c>
      <c r="K7" s="23">
        <v>7</v>
      </c>
      <c r="L7" s="26">
        <v>2</v>
      </c>
      <c r="N7" s="2">
        <v>8122924</v>
      </c>
      <c r="O7" s="1">
        <v>1</v>
      </c>
    </row>
    <row r="8" spans="1:15" ht="28.25" customHeight="1">
      <c r="A8" s="23">
        <v>8</v>
      </c>
      <c r="B8" s="23">
        <v>7</v>
      </c>
      <c r="C8" s="23">
        <v>5</v>
      </c>
      <c r="D8" s="23">
        <v>6</v>
      </c>
      <c r="E8" s="23">
        <v>9</v>
      </c>
      <c r="F8" s="23">
        <v>2</v>
      </c>
      <c r="G8" s="26">
        <v>8</v>
      </c>
      <c r="H8" s="23">
        <v>7</v>
      </c>
      <c r="I8" s="23">
        <v>4</v>
      </c>
      <c r="J8" s="22">
        <v>4</v>
      </c>
      <c r="K8" s="22">
        <v>9</v>
      </c>
      <c r="L8" s="23">
        <v>1</v>
      </c>
      <c r="N8" s="2">
        <v>93185</v>
      </c>
      <c r="O8" s="1">
        <v>1</v>
      </c>
    </row>
    <row r="9" spans="1:15" ht="28.25" customHeight="1">
      <c r="A9" s="23">
        <v>5</v>
      </c>
      <c r="B9" s="23">
        <v>5</v>
      </c>
      <c r="C9" s="23">
        <v>8</v>
      </c>
      <c r="D9" s="23">
        <v>8</v>
      </c>
      <c r="E9" s="23">
        <v>4</v>
      </c>
      <c r="F9" s="22">
        <v>8</v>
      </c>
      <c r="G9" s="26">
        <v>6</v>
      </c>
      <c r="H9" s="26">
        <v>5</v>
      </c>
      <c r="I9" s="26">
        <v>5</v>
      </c>
      <c r="J9" s="26">
        <v>3</v>
      </c>
      <c r="K9" s="23">
        <v>2</v>
      </c>
      <c r="L9" s="26">
        <v>8</v>
      </c>
      <c r="N9" s="2">
        <v>7267141</v>
      </c>
      <c r="O9" s="1">
        <v>1</v>
      </c>
    </row>
    <row r="10" spans="1:15" ht="28.25" customHeight="1">
      <c r="A10" s="26">
        <v>1</v>
      </c>
      <c r="B10" s="23">
        <v>5</v>
      </c>
      <c r="C10" s="23">
        <v>1</v>
      </c>
      <c r="D10" s="23">
        <v>9</v>
      </c>
      <c r="E10" s="26">
        <v>6</v>
      </c>
      <c r="F10" s="22">
        <v>3</v>
      </c>
      <c r="G10" s="22">
        <v>9</v>
      </c>
      <c r="H10" s="26">
        <v>5</v>
      </c>
      <c r="I10" s="22">
        <v>1</v>
      </c>
      <c r="J10" s="23">
        <v>7</v>
      </c>
      <c r="K10" s="22">
        <v>1</v>
      </c>
      <c r="L10" s="22">
        <v>8</v>
      </c>
      <c r="N10" s="2">
        <v>348</v>
      </c>
      <c r="O10" s="1">
        <v>2</v>
      </c>
    </row>
    <row r="11" spans="1:15" ht="28.25" customHeight="1">
      <c r="A11" s="26">
        <v>4</v>
      </c>
      <c r="B11" s="23">
        <v>3</v>
      </c>
      <c r="C11" s="23">
        <v>4</v>
      </c>
      <c r="D11" s="22">
        <v>7</v>
      </c>
      <c r="E11" s="22">
        <v>8</v>
      </c>
      <c r="F11" s="26">
        <v>6</v>
      </c>
      <c r="G11" s="22">
        <v>4</v>
      </c>
      <c r="H11" s="26">
        <v>2</v>
      </c>
      <c r="I11" s="23">
        <v>3</v>
      </c>
      <c r="J11" s="22">
        <v>1</v>
      </c>
      <c r="K11" s="22">
        <v>1</v>
      </c>
      <c r="L11" s="22">
        <v>4</v>
      </c>
      <c r="N11" s="2">
        <v>35571</v>
      </c>
      <c r="O11" s="1">
        <v>1</v>
      </c>
    </row>
    <row r="12" spans="1:15" ht="28.25" customHeight="1">
      <c r="A12" s="22">
        <v>8</v>
      </c>
      <c r="B12" s="26">
        <v>6</v>
      </c>
      <c r="C12" s="26">
        <v>3</v>
      </c>
      <c r="D12" s="22">
        <v>7</v>
      </c>
      <c r="E12" s="26">
        <v>9</v>
      </c>
      <c r="F12" s="22">
        <v>3</v>
      </c>
      <c r="G12" s="22">
        <v>7</v>
      </c>
      <c r="H12" s="22">
        <v>9</v>
      </c>
      <c r="I12" s="26">
        <v>2</v>
      </c>
      <c r="J12" s="26">
        <v>5</v>
      </c>
      <c r="K12" s="22">
        <v>1</v>
      </c>
      <c r="L12" s="22">
        <v>3</v>
      </c>
      <c r="N12" s="2">
        <v>7635</v>
      </c>
      <c r="O12" s="1">
        <v>1</v>
      </c>
    </row>
    <row r="13" spans="1:15" ht="28.25" customHeight="1">
      <c r="N13" s="2">
        <v>3721</v>
      </c>
      <c r="O13" s="1">
        <v>1</v>
      </c>
    </row>
    <row r="14" spans="1:15" ht="28.25" customHeight="1">
      <c r="N14" s="2">
        <v>11</v>
      </c>
      <c r="O14" s="1">
        <v>14</v>
      </c>
    </row>
    <row r="15" spans="1:15" ht="28.25" customHeight="1">
      <c r="N15" s="2">
        <v>275814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90"/>
  <sheetViews>
    <sheetView tabSelected="1" zoomScaleNormal="100" workbookViewId="0">
      <pane ySplit="1" topLeftCell="A82" activePane="bottomLeft" state="frozen"/>
      <selection pane="bottomLeft" activeCell="A90" sqref="A9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234</v>
      </c>
      <c r="I89" t="s">
        <v>235</v>
      </c>
      <c r="J89">
        <v>0</v>
      </c>
      <c r="K89">
        <f t="shared" ref="K89" si="143">IF(A89&lt;DATEVALUE("2025/11/20"),1,IF(B89-SUM(D89:F89)&lt;&gt;60,0,MAX(2-INT(G89*24*60/10),0)))</f>
        <v>2</v>
      </c>
      <c r="L89">
        <f t="shared" ref="L89" si="144">L88+K89</f>
        <v>75</v>
      </c>
      <c r="M89">
        <f t="shared" ref="M89" si="145">2+IF(A89&gt;=DATEVALUE("2025/11/30"),1,0)</f>
        <v>3</v>
      </c>
      <c r="N89">
        <f t="shared" ref="N89" si="146">N88+M89*(INT(A89-6/24)-INT(A88-6/24))+O89</f>
        <v>76</v>
      </c>
      <c r="O89">
        <f t="shared" ref="O89" si="147">IF(A89&gt;=DATEVALUE("2025/11/8"),1,0)-IF(A88&gt;=DATEVALUE("2025/11/8"),1,0)</f>
        <v>0</v>
      </c>
      <c r="P89" t="str">
        <f t="shared" ref="P89" si="148">IF(L89&lt;N89,"未達成（"&amp;N89-L89&amp;"）",IF(L89=N89,"達成","前倒し（"&amp;L89-N89&amp;"）"))</f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236</v>
      </c>
      <c r="I90" t="s">
        <v>237</v>
      </c>
      <c r="J90">
        <v>0</v>
      </c>
      <c r="K90">
        <f t="shared" ref="K90" si="149">IF(A90&lt;DATEVALUE("2025/11/20"),1,IF(B90-SUM(D90:F90)&lt;&gt;60,0,MAX(2-INT(G90*24*60/10),0)))</f>
        <v>2</v>
      </c>
      <c r="L90">
        <f t="shared" ref="L90" si="150">L89+K90</f>
        <v>77</v>
      </c>
      <c r="M90">
        <f t="shared" ref="M90" si="151">2+IF(A90&gt;=DATEVALUE("2025/11/30"),1,0)</f>
        <v>3</v>
      </c>
      <c r="N90">
        <f t="shared" ref="N90" si="152">N89+M90*(INT(A90-6/24)-INT(A89-6/24))+O90</f>
        <v>76</v>
      </c>
      <c r="O90">
        <f t="shared" ref="O90" si="153">IF(A90&gt;=DATEVALUE("2025/11/8"),1,0)-IF(A89&gt;=DATEVALUE("2025/11/8"),1,0)</f>
        <v>0</v>
      </c>
      <c r="P90" t="str">
        <f t="shared" ref="P90" si="154">IF(L90&lt;N90,"未達成（"&amp;N90-L90&amp;"）",IF(L90=N90,"達成","前倒し（"&amp;L90-N90&amp;"）"))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45997.305636574078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2025-12-05T22:30:15Z</dcterms:modified>
</cp:coreProperties>
</file>
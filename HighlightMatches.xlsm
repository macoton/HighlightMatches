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EBEFC3D7-36B2-4A2C-B60B-01BE72F35FBB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3" i="4" l="1"/>
  <c r="M123" i="4"/>
  <c r="N123" i="4" s="1"/>
  <c r="K123" i="4"/>
  <c r="L123" i="4" s="1"/>
  <c r="O122" i="4"/>
  <c r="M122" i="4"/>
  <c r="N122" i="4" s="1"/>
  <c r="K122" i="4"/>
  <c r="L122" i="4" s="1"/>
  <c r="P122" i="4" s="1"/>
  <c r="O121" i="4"/>
  <c r="M121" i="4"/>
  <c r="N121" i="4" s="1"/>
  <c r="K121" i="4"/>
  <c r="L121" i="4" s="1"/>
  <c r="O120" i="4"/>
  <c r="M120" i="4"/>
  <c r="N120" i="4" s="1"/>
  <c r="K120" i="4"/>
  <c r="L120" i="4" s="1"/>
  <c r="O119" i="4"/>
  <c r="M119" i="4"/>
  <c r="N119" i="4" s="1"/>
  <c r="K119" i="4"/>
  <c r="L119" i="4" s="1"/>
  <c r="O118" i="4"/>
  <c r="M118" i="4"/>
  <c r="N118" i="4" s="1"/>
  <c r="K118" i="4"/>
  <c r="L118" i="4" s="1"/>
  <c r="O117" i="4"/>
  <c r="M117" i="4"/>
  <c r="N117" i="4" s="1"/>
  <c r="K117" i="4"/>
  <c r="L117" i="4" s="1"/>
  <c r="O116" i="4"/>
  <c r="M116" i="4"/>
  <c r="N116" i="4" s="1"/>
  <c r="K116" i="4"/>
  <c r="L116" i="4" s="1"/>
  <c r="P116" i="4" s="1"/>
  <c r="O115" i="4"/>
  <c r="M115" i="4"/>
  <c r="N115" i="4" s="1"/>
  <c r="K115" i="4"/>
  <c r="L115" i="4" s="1"/>
  <c r="O114" i="4"/>
  <c r="M114" i="4"/>
  <c r="N114" i="4" s="1"/>
  <c r="K114" i="4"/>
  <c r="L114" i="4" s="1"/>
  <c r="O113" i="4"/>
  <c r="M113" i="4"/>
  <c r="N113" i="4" s="1"/>
  <c r="K113" i="4"/>
  <c r="L113" i="4" s="1"/>
  <c r="P113" i="4" s="1"/>
  <c r="O112" i="4"/>
  <c r="M112" i="4"/>
  <c r="N112" i="4" s="1"/>
  <c r="K112" i="4"/>
  <c r="L112" i="4" s="1"/>
  <c r="P112" i="4" s="1"/>
  <c r="O111" i="4"/>
  <c r="M111" i="4"/>
  <c r="N111" i="4" s="1"/>
  <c r="K111" i="4"/>
  <c r="L111" i="4" s="1"/>
  <c r="P111" i="4" s="1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23" i="4" l="1"/>
  <c r="P121" i="4"/>
  <c r="P120" i="4"/>
  <c r="P119" i="4"/>
  <c r="P118" i="4"/>
  <c r="P117" i="4"/>
  <c r="P115" i="4"/>
  <c r="P114" i="4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L19" i="4" l="1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4" i="4"/>
  <c r="P105" i="4" l="1"/>
  <c r="L106" i="4"/>
  <c r="P106" i="4" l="1"/>
  <c r="L107" i="4"/>
  <c r="L108" i="4" l="1"/>
  <c r="P107" i="4"/>
  <c r="P108" i="4" l="1"/>
  <c r="L109" i="4"/>
  <c r="P109" i="4" l="1"/>
  <c r="L110" i="4"/>
  <c r="P110" i="4" s="1"/>
</calcChain>
</file>

<file path=xl/sharedStrings.xml><?xml version="1.0" encoding="utf-8"?>
<sst xmlns="http://schemas.openxmlformats.org/spreadsheetml/2006/main" count="323" uniqueCount="304">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</sst>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データ!$P$1:$P$122</c:f>
              <c:strCache>
                <c:ptCount val="122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データ!$A$2:$A$123</c:f>
              <c:numCache>
                <c:formatCode>m/d/yyyy\ h:mm</c:formatCode>
                <c:ptCount val="12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</c:numCache>
            </c:numRef>
          </c:xVal>
          <c:yVal>
            <c:numRef>
              <c:f>データ!$B$2:$B$123</c:f>
              <c:numCache>
                <c:formatCode>General</c:formatCode>
                <c:ptCount val="12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C2-4BE2-AEDE-6546B7E9769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7C2-4BE2-AEDE-6546B7E97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346752"/>
        <c:axId val="16633385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データ!$A$2:$A$123</c:f>
              <c:numCache>
                <c:formatCode>m/d/yyyy\ h:mm</c:formatCode>
                <c:ptCount val="12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</c:numCache>
            </c:numRef>
          </c:xVal>
          <c:yVal>
            <c:numRef>
              <c:f>データ!$G$2:$G$123</c:f>
              <c:numCache>
                <c:formatCode>[h]:mm</c:formatCode>
                <c:ptCount val="12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C2-4BE2-AEDE-6546B7E97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335232"/>
        <c:axId val="1663354432"/>
      </c:scatterChart>
      <c:valAx>
        <c:axId val="166334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3338592"/>
        <c:crosses val="autoZero"/>
        <c:crossBetween val="midCat"/>
      </c:valAx>
      <c:valAx>
        <c:axId val="166333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3346752"/>
        <c:crosses val="autoZero"/>
        <c:crossBetween val="midCat"/>
      </c:valAx>
      <c:valAx>
        <c:axId val="166335443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3335232"/>
        <c:crosses val="max"/>
        <c:crossBetween val="midCat"/>
      </c:valAx>
      <c:valAx>
        <c:axId val="166333523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335443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2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227" name="Match0">
          <a:extLst>
            <a:ext uri="{FF2B5EF4-FFF2-40B4-BE49-F238E27FC236}">
              <a16:creationId xmlns:a16="http://schemas.microsoft.com/office/drawing/2014/main" id="{905C7644-38EE-E7E4-3A4A-D9576FC86346}"/>
            </a:ext>
          </a:extLst>
        </xdr:cNvPr>
        <xdr:cNvCxnSpPr/>
      </xdr:nvCxnSpPr>
      <xdr:spPr>
        <a:xfrm flipH="1">
          <a:off x="3178969" y="8929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11</xdr:col>
      <xdr:colOff>211931</xdr:colOff>
      <xdr:row>1</xdr:row>
      <xdr:rowOff>178593</xdr:rowOff>
    </xdr:to>
    <xdr:cxnSp macro="">
      <xdr:nvCxnSpPr>
        <xdr:cNvPr id="1228" name="Match1">
          <a:extLst>
            <a:ext uri="{FF2B5EF4-FFF2-40B4-BE49-F238E27FC236}">
              <a16:creationId xmlns:a16="http://schemas.microsoft.com/office/drawing/2014/main" id="{772B37BA-3C12-4E8C-B07C-B64C19FBBE7B}"/>
            </a:ext>
          </a:extLst>
        </xdr:cNvPr>
        <xdr:cNvCxnSpPr/>
      </xdr:nvCxnSpPr>
      <xdr:spPr>
        <a:xfrm>
          <a:off x="3178969" y="5357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4</xdr:row>
      <xdr:rowOff>178594</xdr:rowOff>
    </xdr:to>
    <xdr:cxnSp macro="">
      <xdr:nvCxnSpPr>
        <xdr:cNvPr id="1229" name="Match2">
          <a:extLst>
            <a:ext uri="{FF2B5EF4-FFF2-40B4-BE49-F238E27FC236}">
              <a16:creationId xmlns:a16="http://schemas.microsoft.com/office/drawing/2014/main" id="{C4E25816-41B7-D120-6745-9CD29E57B4B1}"/>
            </a:ext>
          </a:extLst>
        </xdr:cNvPr>
        <xdr:cNvCxnSpPr/>
      </xdr:nvCxnSpPr>
      <xdr:spPr>
        <a:xfrm>
          <a:off x="635794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1230" name="Match3">
          <a:extLst>
            <a:ext uri="{FF2B5EF4-FFF2-40B4-BE49-F238E27FC236}">
              <a16:creationId xmlns:a16="http://schemas.microsoft.com/office/drawing/2014/main" id="{A7BB66B2-7401-1021-B915-DE9A2B93E80D}"/>
            </a:ext>
          </a:extLst>
        </xdr:cNvPr>
        <xdr:cNvCxnSpPr/>
      </xdr:nvCxnSpPr>
      <xdr:spPr>
        <a:xfrm flipH="1" flipV="1">
          <a:off x="1483519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231" name="Match4">
          <a:extLst>
            <a:ext uri="{FF2B5EF4-FFF2-40B4-BE49-F238E27FC236}">
              <a16:creationId xmlns:a16="http://schemas.microsoft.com/office/drawing/2014/main" id="{46926A3C-F5E3-DB15-6513-966EC3B3AFE0}"/>
            </a:ext>
          </a:extLst>
        </xdr:cNvPr>
        <xdr:cNvCxnSpPr/>
      </xdr:nvCxnSpPr>
      <xdr:spPr>
        <a:xfrm flipH="1">
          <a:off x="2331244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3</xdr:col>
      <xdr:colOff>211931</xdr:colOff>
      <xdr:row>1</xdr:row>
      <xdr:rowOff>178593</xdr:rowOff>
    </xdr:to>
    <xdr:cxnSp macro="">
      <xdr:nvCxnSpPr>
        <xdr:cNvPr id="1232" name="Match5">
          <a:extLst>
            <a:ext uri="{FF2B5EF4-FFF2-40B4-BE49-F238E27FC236}">
              <a16:creationId xmlns:a16="http://schemas.microsoft.com/office/drawing/2014/main" id="{671495FC-8FC4-71DE-1F5B-60ADA8EBFAA2}"/>
            </a:ext>
          </a:extLst>
        </xdr:cNvPr>
        <xdr:cNvCxnSpPr/>
      </xdr:nvCxnSpPr>
      <xdr:spPr>
        <a:xfrm>
          <a:off x="211931" y="535781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233" name="Match6">
          <a:extLst>
            <a:ext uri="{FF2B5EF4-FFF2-40B4-BE49-F238E27FC236}">
              <a16:creationId xmlns:a16="http://schemas.microsoft.com/office/drawing/2014/main" id="{5B081645-12D2-46C9-5F7C-66CF9C8BDD63}"/>
            </a:ext>
          </a:extLst>
        </xdr:cNvPr>
        <xdr:cNvCxnSpPr/>
      </xdr:nvCxnSpPr>
      <xdr:spPr>
        <a:xfrm flipH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234" name="Match7">
          <a:extLst>
            <a:ext uri="{FF2B5EF4-FFF2-40B4-BE49-F238E27FC236}">
              <a16:creationId xmlns:a16="http://schemas.microsoft.com/office/drawing/2014/main" id="{561F2C3E-6FD6-3903-3A45-90B94D5E476E}"/>
            </a:ext>
          </a:extLst>
        </xdr:cNvPr>
        <xdr:cNvCxnSpPr/>
      </xdr:nvCxnSpPr>
      <xdr:spPr>
        <a:xfrm flipH="1" flipV="1"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235" name="Match8">
          <a:extLst>
            <a:ext uri="{FF2B5EF4-FFF2-40B4-BE49-F238E27FC236}">
              <a16:creationId xmlns:a16="http://schemas.microsoft.com/office/drawing/2014/main" id="{52FEFCD2-BBD0-1E2E-BA15-02734D93AD73}"/>
            </a:ext>
          </a:extLst>
        </xdr:cNvPr>
        <xdr:cNvCxnSpPr/>
      </xdr:nvCxnSpPr>
      <xdr:spPr>
        <a:xfrm flipH="1" flipV="1">
          <a:off x="40266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236" name="Match9">
          <a:extLst>
            <a:ext uri="{FF2B5EF4-FFF2-40B4-BE49-F238E27FC236}">
              <a16:creationId xmlns:a16="http://schemas.microsoft.com/office/drawing/2014/main" id="{3912BD1B-E464-7F90-E0D7-8E923D54D369}"/>
            </a:ext>
          </a:extLst>
        </xdr:cNvPr>
        <xdr:cNvCxnSpPr/>
      </xdr:nvCxnSpPr>
      <xdr:spPr>
        <a:xfrm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237" name="Match10">
          <a:extLst>
            <a:ext uri="{FF2B5EF4-FFF2-40B4-BE49-F238E27FC236}">
              <a16:creationId xmlns:a16="http://schemas.microsoft.com/office/drawing/2014/main" id="{DC3E97AC-43F4-465B-ADE1-73716669A029}"/>
            </a:ext>
          </a:extLst>
        </xdr:cNvPr>
        <xdr:cNvCxnSpPr/>
      </xdr:nvCxnSpPr>
      <xdr:spPr>
        <a:xfrm>
          <a:off x="148351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3</xdr:col>
      <xdr:colOff>237331</xdr:colOff>
      <xdr:row>7</xdr:row>
      <xdr:rowOff>203993</xdr:rowOff>
    </xdr:to>
    <xdr:cxnSp macro="">
      <xdr:nvCxnSpPr>
        <xdr:cNvPr id="1238" name="Match11">
          <a:extLst>
            <a:ext uri="{FF2B5EF4-FFF2-40B4-BE49-F238E27FC236}">
              <a16:creationId xmlns:a16="http://schemas.microsoft.com/office/drawing/2014/main" id="{9C9BA8A0-0447-B827-E542-A8452C043B44}"/>
            </a:ext>
          </a:extLst>
        </xdr:cNvPr>
        <xdr:cNvCxnSpPr/>
      </xdr:nvCxnSpPr>
      <xdr:spPr>
        <a:xfrm flipH="1">
          <a:off x="10850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1239" name="Match12">
          <a:extLst>
            <a:ext uri="{FF2B5EF4-FFF2-40B4-BE49-F238E27FC236}">
              <a16:creationId xmlns:a16="http://schemas.microsoft.com/office/drawing/2014/main" id="{39F2B521-3B47-BF2B-DB37-3BFA32E631C8}"/>
            </a:ext>
          </a:extLst>
        </xdr:cNvPr>
        <xdr:cNvCxnSpPr/>
      </xdr:nvCxnSpPr>
      <xdr:spPr>
        <a:xfrm>
          <a:off x="233124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7</xdr:row>
      <xdr:rowOff>203993</xdr:rowOff>
    </xdr:from>
    <xdr:to>
      <xdr:col>6</xdr:col>
      <xdr:colOff>237331</xdr:colOff>
      <xdr:row>8</xdr:row>
      <xdr:rowOff>203994</xdr:rowOff>
    </xdr:to>
    <xdr:cxnSp macro="">
      <xdr:nvCxnSpPr>
        <xdr:cNvPr id="1240" name="Match13">
          <a:extLst>
            <a:ext uri="{FF2B5EF4-FFF2-40B4-BE49-F238E27FC236}">
              <a16:creationId xmlns:a16="http://schemas.microsoft.com/office/drawing/2014/main" id="{F4A40EF6-5836-D0AC-8DA2-9DCA97A3B0DA}"/>
            </a:ext>
          </a:extLst>
        </xdr:cNvPr>
        <xdr:cNvCxnSpPr/>
      </xdr:nvCxnSpPr>
      <xdr:spPr>
        <a:xfrm>
          <a:off x="235664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6</xdr:row>
      <xdr:rowOff>229394</xdr:rowOff>
    </xdr:from>
    <xdr:to>
      <xdr:col>5</xdr:col>
      <xdr:colOff>262731</xdr:colOff>
      <xdr:row>7</xdr:row>
      <xdr:rowOff>229393</xdr:rowOff>
    </xdr:to>
    <xdr:cxnSp macro="">
      <xdr:nvCxnSpPr>
        <xdr:cNvPr id="1241" name="Match14">
          <a:extLst>
            <a:ext uri="{FF2B5EF4-FFF2-40B4-BE49-F238E27FC236}">
              <a16:creationId xmlns:a16="http://schemas.microsoft.com/office/drawing/2014/main" id="{0716627F-6E73-BBC3-3EB2-BF4BFEFBF03A}"/>
            </a:ext>
          </a:extLst>
        </xdr:cNvPr>
        <xdr:cNvCxnSpPr/>
      </xdr:nvCxnSpPr>
      <xdr:spPr>
        <a:xfrm flipV="1">
          <a:off x="2382044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242" name="Match15">
          <a:extLst>
            <a:ext uri="{FF2B5EF4-FFF2-40B4-BE49-F238E27FC236}">
              <a16:creationId xmlns:a16="http://schemas.microsoft.com/office/drawing/2014/main" id="{2B62719E-A4C2-A770-A8E7-251C7FF084F6}"/>
            </a:ext>
          </a:extLst>
        </xdr:cNvPr>
        <xdr:cNvCxnSpPr/>
      </xdr:nvCxnSpPr>
      <xdr:spPr>
        <a:xfrm>
          <a:off x="40266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1243" name="Match16">
          <a:extLst>
            <a:ext uri="{FF2B5EF4-FFF2-40B4-BE49-F238E27FC236}">
              <a16:creationId xmlns:a16="http://schemas.microsoft.com/office/drawing/2014/main" id="{55F4B9F9-826C-E7B9-616D-BDC7F8D80657}"/>
            </a:ext>
          </a:extLst>
        </xdr:cNvPr>
        <xdr:cNvCxnSpPr/>
      </xdr:nvCxnSpPr>
      <xdr:spPr>
        <a:xfrm flipH="1" flipV="1">
          <a:off x="362823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244" name="Match17">
          <a:extLst>
            <a:ext uri="{FF2B5EF4-FFF2-40B4-BE49-F238E27FC236}">
              <a16:creationId xmlns:a16="http://schemas.microsoft.com/office/drawing/2014/main" id="{8FABE0F6-A916-D284-B3F1-6B6B4D369DB9}"/>
            </a:ext>
          </a:extLst>
        </xdr:cNvPr>
        <xdr:cNvCxnSpPr/>
      </xdr:nvCxnSpPr>
      <xdr:spPr>
        <a:xfrm flipH="1" flipV="1"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7</xdr:row>
      <xdr:rowOff>203993</xdr:rowOff>
    </xdr:from>
    <xdr:to>
      <xdr:col>3</xdr:col>
      <xdr:colOff>237331</xdr:colOff>
      <xdr:row>8</xdr:row>
      <xdr:rowOff>203994</xdr:rowOff>
    </xdr:to>
    <xdr:cxnSp macro="">
      <xdr:nvCxnSpPr>
        <xdr:cNvPr id="1245" name="Match18">
          <a:extLst>
            <a:ext uri="{FF2B5EF4-FFF2-40B4-BE49-F238E27FC236}">
              <a16:creationId xmlns:a16="http://schemas.microsoft.com/office/drawing/2014/main" id="{CBE1596A-2187-0139-37C0-B906F3B4CDBD}"/>
            </a:ext>
          </a:extLst>
        </xdr:cNvPr>
        <xdr:cNvCxnSpPr/>
      </xdr:nvCxnSpPr>
      <xdr:spPr>
        <a:xfrm flipV="1">
          <a:off x="1508919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1246" name="Match19">
          <a:extLst>
            <a:ext uri="{FF2B5EF4-FFF2-40B4-BE49-F238E27FC236}">
              <a16:creationId xmlns:a16="http://schemas.microsoft.com/office/drawing/2014/main" id="{017595AE-B414-E38C-8A88-40B258BA8D67}"/>
            </a:ext>
          </a:extLst>
        </xdr:cNvPr>
        <xdr:cNvCxnSpPr/>
      </xdr:nvCxnSpPr>
      <xdr:spPr>
        <a:xfrm flipV="1">
          <a:off x="4450556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247" name="Match20">
          <a:extLst>
            <a:ext uri="{FF2B5EF4-FFF2-40B4-BE49-F238E27FC236}">
              <a16:creationId xmlns:a16="http://schemas.microsoft.com/office/drawing/2014/main" id="{DD4798E8-55D4-6B6E-D43F-A28662F08250}"/>
            </a:ext>
          </a:extLst>
        </xdr:cNvPr>
        <xdr:cNvCxnSpPr/>
      </xdr:nvCxnSpPr>
      <xdr:spPr>
        <a:xfrm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0</xdr:col>
      <xdr:colOff>237331</xdr:colOff>
      <xdr:row>10</xdr:row>
      <xdr:rowOff>203994</xdr:rowOff>
    </xdr:to>
    <xdr:cxnSp macro="">
      <xdr:nvCxnSpPr>
        <xdr:cNvPr id="1248" name="Match21">
          <a:extLst>
            <a:ext uri="{FF2B5EF4-FFF2-40B4-BE49-F238E27FC236}">
              <a16:creationId xmlns:a16="http://schemas.microsoft.com/office/drawing/2014/main" id="{A578BDCB-39A8-36FC-140E-154D9CC60E01}"/>
            </a:ext>
          </a:extLst>
        </xdr:cNvPr>
        <xdr:cNvCxnSpPr/>
      </xdr:nvCxnSpPr>
      <xdr:spPr>
        <a:xfrm>
          <a:off x="237331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249" name="Match22">
          <a:extLst>
            <a:ext uri="{FF2B5EF4-FFF2-40B4-BE49-F238E27FC236}">
              <a16:creationId xmlns:a16="http://schemas.microsoft.com/office/drawing/2014/main" id="{B34C4F53-82E3-DCBE-D5C4-EF95141DEE88}"/>
            </a:ext>
          </a:extLst>
        </xdr:cNvPr>
        <xdr:cNvCxnSpPr/>
      </xdr:nvCxnSpPr>
      <xdr:spPr>
        <a:xfrm>
          <a:off x="148351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250" name="Match23">
          <a:extLst>
            <a:ext uri="{FF2B5EF4-FFF2-40B4-BE49-F238E27FC236}">
              <a16:creationId xmlns:a16="http://schemas.microsoft.com/office/drawing/2014/main" id="{412ECA39-E40A-28EC-C285-56C964FFDDD5}"/>
            </a:ext>
          </a:extLst>
        </xdr:cNvPr>
        <xdr:cNvCxnSpPr/>
      </xdr:nvCxnSpPr>
      <xdr:spPr>
        <a:xfrm flipH="1">
          <a:off x="148351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251" name="Match24">
          <a:extLst>
            <a:ext uri="{FF2B5EF4-FFF2-40B4-BE49-F238E27FC236}">
              <a16:creationId xmlns:a16="http://schemas.microsoft.com/office/drawing/2014/main" id="{29C30B07-365D-3BA9-3D70-E5A2D9DB9D6B}"/>
            </a:ext>
          </a:extLst>
        </xdr:cNvPr>
        <xdr:cNvCxnSpPr/>
      </xdr:nvCxnSpPr>
      <xdr:spPr>
        <a:xfrm flipV="1"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252" name="Match25">
          <a:extLst>
            <a:ext uri="{FF2B5EF4-FFF2-40B4-BE49-F238E27FC236}">
              <a16:creationId xmlns:a16="http://schemas.microsoft.com/office/drawing/2014/main" id="{EB994C55-E3D8-7057-1139-A52D74A543BF}"/>
            </a:ext>
          </a:extLst>
        </xdr:cNvPr>
        <xdr:cNvCxnSpPr/>
      </xdr:nvCxnSpPr>
      <xdr:spPr>
        <a:xfrm flipH="1"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253" name="Match26">
          <a:extLst>
            <a:ext uri="{FF2B5EF4-FFF2-40B4-BE49-F238E27FC236}">
              <a16:creationId xmlns:a16="http://schemas.microsoft.com/office/drawing/2014/main" id="{A2035A41-5E3F-CF5B-86FF-085D869FF095}"/>
            </a:ext>
          </a:extLst>
        </xdr:cNvPr>
        <xdr:cNvCxnSpPr/>
      </xdr:nvCxnSpPr>
      <xdr:spPr>
        <a:xfrm flipH="1">
          <a:off x="148351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254" name="Match27">
          <a:extLst>
            <a:ext uri="{FF2B5EF4-FFF2-40B4-BE49-F238E27FC236}">
              <a16:creationId xmlns:a16="http://schemas.microsoft.com/office/drawing/2014/main" id="{BC7E5797-B036-1D6C-BD02-2846866AFB30}"/>
            </a:ext>
          </a:extLst>
        </xdr:cNvPr>
        <xdr:cNvCxnSpPr/>
      </xdr:nvCxnSpPr>
      <xdr:spPr>
        <a:xfrm flipH="1" flipV="1"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10</xdr:row>
      <xdr:rowOff>203994</xdr:rowOff>
    </xdr:from>
    <xdr:to>
      <xdr:col>3</xdr:col>
      <xdr:colOff>237331</xdr:colOff>
      <xdr:row>11</xdr:row>
      <xdr:rowOff>203993</xdr:rowOff>
    </xdr:to>
    <xdr:cxnSp macro="">
      <xdr:nvCxnSpPr>
        <xdr:cNvPr id="1255" name="Match28">
          <a:extLst>
            <a:ext uri="{FF2B5EF4-FFF2-40B4-BE49-F238E27FC236}">
              <a16:creationId xmlns:a16="http://schemas.microsoft.com/office/drawing/2014/main" id="{77EA1976-631B-15EF-1BF0-48A2E19DC547}"/>
            </a:ext>
          </a:extLst>
        </xdr:cNvPr>
        <xdr:cNvCxnSpPr/>
      </xdr:nvCxnSpPr>
      <xdr:spPr>
        <a:xfrm flipV="1">
          <a:off x="1085056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256" name="Match29">
          <a:extLst>
            <a:ext uri="{FF2B5EF4-FFF2-40B4-BE49-F238E27FC236}">
              <a16:creationId xmlns:a16="http://schemas.microsoft.com/office/drawing/2014/main" id="{C5A7FC2B-8C8D-E379-362A-AAA84FD08A45}"/>
            </a:ext>
          </a:extLst>
        </xdr:cNvPr>
        <xdr:cNvCxnSpPr/>
      </xdr:nvCxnSpPr>
      <xdr:spPr>
        <a:xfrm flipV="1"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6</xdr:col>
      <xdr:colOff>237331</xdr:colOff>
      <xdr:row>1</xdr:row>
      <xdr:rowOff>203993</xdr:rowOff>
    </xdr:to>
    <xdr:cxnSp macro="">
      <xdr:nvCxnSpPr>
        <xdr:cNvPr id="1257" name="Match30">
          <a:extLst>
            <a:ext uri="{FF2B5EF4-FFF2-40B4-BE49-F238E27FC236}">
              <a16:creationId xmlns:a16="http://schemas.microsoft.com/office/drawing/2014/main" id="{6401B183-B578-91B6-7307-A51C3519C9F1}"/>
            </a:ext>
          </a:extLst>
        </xdr:cNvPr>
        <xdr:cNvCxnSpPr/>
      </xdr:nvCxnSpPr>
      <xdr:spPr>
        <a:xfrm>
          <a:off x="278050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0</xdr:row>
      <xdr:rowOff>229394</xdr:rowOff>
    </xdr:from>
    <xdr:to>
      <xdr:col>6</xdr:col>
      <xdr:colOff>262731</xdr:colOff>
      <xdr:row>0</xdr:row>
      <xdr:rowOff>229394</xdr:rowOff>
    </xdr:to>
    <xdr:cxnSp macro="">
      <xdr:nvCxnSpPr>
        <xdr:cNvPr id="1258" name="Match31">
          <a:extLst>
            <a:ext uri="{FF2B5EF4-FFF2-40B4-BE49-F238E27FC236}">
              <a16:creationId xmlns:a16="http://schemas.microsoft.com/office/drawing/2014/main" id="{22C2B170-87E8-FE2F-003E-3D3758DED8BC}"/>
            </a:ext>
          </a:extLst>
        </xdr:cNvPr>
        <xdr:cNvCxnSpPr/>
      </xdr:nvCxnSpPr>
      <xdr:spPr>
        <a:xfrm flipH="1">
          <a:off x="2382044" y="229394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2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1259" name="Match32">
          <a:extLst>
            <a:ext uri="{FF2B5EF4-FFF2-40B4-BE49-F238E27FC236}">
              <a16:creationId xmlns:a16="http://schemas.microsoft.com/office/drawing/2014/main" id="{08EB2E72-6245-BC02-0839-6E10E7BC69AE}"/>
            </a:ext>
          </a:extLst>
        </xdr:cNvPr>
        <xdr:cNvCxnSpPr/>
      </xdr:nvCxnSpPr>
      <xdr:spPr>
        <a:xfrm flipH="1">
          <a:off x="235664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1</xdr:row>
      <xdr:rowOff>229393</xdr:rowOff>
    </xdr:from>
    <xdr:to>
      <xdr:col>6</xdr:col>
      <xdr:colOff>262731</xdr:colOff>
      <xdr:row>2</xdr:row>
      <xdr:rowOff>229394</xdr:rowOff>
    </xdr:to>
    <xdr:cxnSp macro="">
      <xdr:nvCxnSpPr>
        <xdr:cNvPr id="1260" name="Match33">
          <a:extLst>
            <a:ext uri="{FF2B5EF4-FFF2-40B4-BE49-F238E27FC236}">
              <a16:creationId xmlns:a16="http://schemas.microsoft.com/office/drawing/2014/main" id="{71FED4E1-7A03-9294-2D6F-0A9704EBB8D1}"/>
            </a:ext>
          </a:extLst>
        </xdr:cNvPr>
        <xdr:cNvCxnSpPr/>
      </xdr:nvCxnSpPr>
      <xdr:spPr>
        <a:xfrm flipV="1">
          <a:off x="2805906" y="5865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</xdr:row>
      <xdr:rowOff>203993</xdr:rowOff>
    </xdr:from>
    <xdr:to>
      <xdr:col>10</xdr:col>
      <xdr:colOff>237331</xdr:colOff>
      <xdr:row>2</xdr:row>
      <xdr:rowOff>203994</xdr:rowOff>
    </xdr:to>
    <xdr:cxnSp macro="">
      <xdr:nvCxnSpPr>
        <xdr:cNvPr id="1261" name="Match34">
          <a:extLst>
            <a:ext uri="{FF2B5EF4-FFF2-40B4-BE49-F238E27FC236}">
              <a16:creationId xmlns:a16="http://schemas.microsoft.com/office/drawing/2014/main" id="{D661699B-A155-577D-193A-50033CF0446D}"/>
            </a:ext>
          </a:extLst>
        </xdr:cNvPr>
        <xdr:cNvCxnSpPr/>
      </xdr:nvCxnSpPr>
      <xdr:spPr>
        <a:xfrm flipV="1">
          <a:off x="447595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262" name="Match35">
          <a:extLst>
            <a:ext uri="{FF2B5EF4-FFF2-40B4-BE49-F238E27FC236}">
              <a16:creationId xmlns:a16="http://schemas.microsoft.com/office/drawing/2014/main" id="{6920A530-A461-F88D-AE05-A58BEC12A1F0}"/>
            </a:ext>
          </a:extLst>
        </xdr:cNvPr>
        <xdr:cNvCxnSpPr/>
      </xdr:nvCxnSpPr>
      <xdr:spPr>
        <a:xfrm flipH="1">
          <a:off x="233124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1263" name="Match36">
          <a:extLst>
            <a:ext uri="{FF2B5EF4-FFF2-40B4-BE49-F238E27FC236}">
              <a16:creationId xmlns:a16="http://schemas.microsoft.com/office/drawing/2014/main" id="{DD66B66A-6465-FF70-C391-F2F26C8874C4}"/>
            </a:ext>
          </a:extLst>
        </xdr:cNvPr>
        <xdr:cNvCxnSpPr/>
      </xdr:nvCxnSpPr>
      <xdr:spPr>
        <a:xfrm>
          <a:off x="3178969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8</xdr:col>
      <xdr:colOff>237331</xdr:colOff>
      <xdr:row>5</xdr:row>
      <xdr:rowOff>203993</xdr:rowOff>
    </xdr:to>
    <xdr:cxnSp macro="">
      <xdr:nvCxnSpPr>
        <xdr:cNvPr id="1264" name="Match37">
          <a:extLst>
            <a:ext uri="{FF2B5EF4-FFF2-40B4-BE49-F238E27FC236}">
              <a16:creationId xmlns:a16="http://schemas.microsoft.com/office/drawing/2014/main" id="{6DB7F7FA-8411-2CEB-4469-419C31ADEC48}"/>
            </a:ext>
          </a:extLst>
        </xdr:cNvPr>
        <xdr:cNvCxnSpPr/>
      </xdr:nvCxnSpPr>
      <xdr:spPr>
        <a:xfrm>
          <a:off x="3204369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2</xdr:col>
      <xdr:colOff>237331</xdr:colOff>
      <xdr:row>6</xdr:row>
      <xdr:rowOff>203994</xdr:rowOff>
    </xdr:to>
    <xdr:cxnSp macro="">
      <xdr:nvCxnSpPr>
        <xdr:cNvPr id="1265" name="Match38">
          <a:extLst>
            <a:ext uri="{FF2B5EF4-FFF2-40B4-BE49-F238E27FC236}">
              <a16:creationId xmlns:a16="http://schemas.microsoft.com/office/drawing/2014/main" id="{688F39DD-2957-ABC8-5B52-B43D8C434B2B}"/>
            </a:ext>
          </a:extLst>
        </xdr:cNvPr>
        <xdr:cNvCxnSpPr/>
      </xdr:nvCxnSpPr>
      <xdr:spPr>
        <a:xfrm>
          <a:off x="661194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6</xdr:row>
      <xdr:rowOff>229394</xdr:rowOff>
    </xdr:from>
    <xdr:to>
      <xdr:col>3</xdr:col>
      <xdr:colOff>262731</xdr:colOff>
      <xdr:row>6</xdr:row>
      <xdr:rowOff>229394</xdr:rowOff>
    </xdr:to>
    <xdr:cxnSp macro="">
      <xdr:nvCxnSpPr>
        <xdr:cNvPr id="1266" name="Match39">
          <a:extLst>
            <a:ext uri="{FF2B5EF4-FFF2-40B4-BE49-F238E27FC236}">
              <a16:creationId xmlns:a16="http://schemas.microsoft.com/office/drawing/2014/main" id="{4996EF22-4565-3092-3AA4-9DE03DF2DDF8}"/>
            </a:ext>
          </a:extLst>
        </xdr:cNvPr>
        <xdr:cNvCxnSpPr/>
      </xdr:nvCxnSpPr>
      <xdr:spPr>
        <a:xfrm flipH="1">
          <a:off x="1110456" y="2372519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288131</xdr:colOff>
      <xdr:row>5</xdr:row>
      <xdr:rowOff>254793</xdr:rowOff>
    </xdr:from>
    <xdr:to>
      <xdr:col>4</xdr:col>
      <xdr:colOff>288131</xdr:colOff>
      <xdr:row>6</xdr:row>
      <xdr:rowOff>254794</xdr:rowOff>
    </xdr:to>
    <xdr:cxnSp macro="">
      <xdr:nvCxnSpPr>
        <xdr:cNvPr id="1267" name="Match40">
          <a:extLst>
            <a:ext uri="{FF2B5EF4-FFF2-40B4-BE49-F238E27FC236}">
              <a16:creationId xmlns:a16="http://schemas.microsoft.com/office/drawing/2014/main" id="{8CB7E5C9-0B23-6234-87F1-29D295ED8108}"/>
            </a:ext>
          </a:extLst>
        </xdr:cNvPr>
        <xdr:cNvCxnSpPr/>
      </xdr:nvCxnSpPr>
      <xdr:spPr>
        <a:xfrm flipV="1">
          <a:off x="1559719" y="2040731"/>
          <a:ext cx="423862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7</xdr:row>
      <xdr:rowOff>229393</xdr:rowOff>
    </xdr:from>
    <xdr:to>
      <xdr:col>9</xdr:col>
      <xdr:colOff>262731</xdr:colOff>
      <xdr:row>8</xdr:row>
      <xdr:rowOff>229394</xdr:rowOff>
    </xdr:to>
    <xdr:cxnSp macro="">
      <xdr:nvCxnSpPr>
        <xdr:cNvPr id="1268" name="Match41">
          <a:extLst>
            <a:ext uri="{FF2B5EF4-FFF2-40B4-BE49-F238E27FC236}">
              <a16:creationId xmlns:a16="http://schemas.microsoft.com/office/drawing/2014/main" id="{B1D23199-2929-06C6-B7E2-E37914832AF8}"/>
            </a:ext>
          </a:extLst>
        </xdr:cNvPr>
        <xdr:cNvCxnSpPr/>
      </xdr:nvCxnSpPr>
      <xdr:spPr>
        <a:xfrm flipH="1">
          <a:off x="3653631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6</xdr:row>
      <xdr:rowOff>254794</xdr:rowOff>
    </xdr:from>
    <xdr:to>
      <xdr:col>10</xdr:col>
      <xdr:colOff>288131</xdr:colOff>
      <xdr:row>7</xdr:row>
      <xdr:rowOff>254793</xdr:rowOff>
    </xdr:to>
    <xdr:cxnSp macro="">
      <xdr:nvCxnSpPr>
        <xdr:cNvPr id="1269" name="Match42">
          <a:extLst>
            <a:ext uri="{FF2B5EF4-FFF2-40B4-BE49-F238E27FC236}">
              <a16:creationId xmlns:a16="http://schemas.microsoft.com/office/drawing/2014/main" id="{D736865E-30CF-DEE3-CCC4-6571997F0A36}"/>
            </a:ext>
          </a:extLst>
        </xdr:cNvPr>
        <xdr:cNvCxnSpPr/>
      </xdr:nvCxnSpPr>
      <xdr:spPr>
        <a:xfrm flipV="1">
          <a:off x="4102894" y="2397919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9</xdr:row>
      <xdr:rowOff>203993</xdr:rowOff>
    </xdr:from>
    <xdr:to>
      <xdr:col>6</xdr:col>
      <xdr:colOff>237331</xdr:colOff>
      <xdr:row>10</xdr:row>
      <xdr:rowOff>203994</xdr:rowOff>
    </xdr:to>
    <xdr:cxnSp macro="">
      <xdr:nvCxnSpPr>
        <xdr:cNvPr id="1270" name="Match43">
          <a:extLst>
            <a:ext uri="{FF2B5EF4-FFF2-40B4-BE49-F238E27FC236}">
              <a16:creationId xmlns:a16="http://schemas.microsoft.com/office/drawing/2014/main" id="{C7A5629E-CA73-CF08-5DA9-A48468DCADA0}"/>
            </a:ext>
          </a:extLst>
        </xdr:cNvPr>
        <xdr:cNvCxnSpPr/>
      </xdr:nvCxnSpPr>
      <xdr:spPr>
        <a:xfrm>
          <a:off x="235664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9</xdr:col>
      <xdr:colOff>237331</xdr:colOff>
      <xdr:row>10</xdr:row>
      <xdr:rowOff>203994</xdr:rowOff>
    </xdr:to>
    <xdr:cxnSp macro="">
      <xdr:nvCxnSpPr>
        <xdr:cNvPr id="1271" name="Match44">
          <a:extLst>
            <a:ext uri="{FF2B5EF4-FFF2-40B4-BE49-F238E27FC236}">
              <a16:creationId xmlns:a16="http://schemas.microsoft.com/office/drawing/2014/main" id="{8AE0F45C-08ED-3407-5250-0D7EC78B0854}"/>
            </a:ext>
          </a:extLst>
        </xdr:cNvPr>
        <xdr:cNvCxnSpPr/>
      </xdr:nvCxnSpPr>
      <xdr:spPr>
        <a:xfrm>
          <a:off x="4052094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8</xdr:row>
      <xdr:rowOff>229394</xdr:rowOff>
    </xdr:from>
    <xdr:to>
      <xdr:col>9</xdr:col>
      <xdr:colOff>262731</xdr:colOff>
      <xdr:row>9</xdr:row>
      <xdr:rowOff>229393</xdr:rowOff>
    </xdr:to>
    <xdr:cxnSp macro="">
      <xdr:nvCxnSpPr>
        <xdr:cNvPr id="1272" name="Match45">
          <a:extLst>
            <a:ext uri="{FF2B5EF4-FFF2-40B4-BE49-F238E27FC236}">
              <a16:creationId xmlns:a16="http://schemas.microsoft.com/office/drawing/2014/main" id="{5BDAAD2A-1F91-BE47-2CA7-301FDF256514}"/>
            </a:ext>
          </a:extLst>
        </xdr:cNvPr>
        <xdr:cNvCxnSpPr/>
      </xdr:nvCxnSpPr>
      <xdr:spPr>
        <a:xfrm flipH="1" flipV="1">
          <a:off x="3653631" y="30868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273" name="Match46">
          <a:extLst>
            <a:ext uri="{FF2B5EF4-FFF2-40B4-BE49-F238E27FC236}">
              <a16:creationId xmlns:a16="http://schemas.microsoft.com/office/drawing/2014/main" id="{82CC7566-F9DF-0568-0FBF-CE780AC8AAF8}"/>
            </a:ext>
          </a:extLst>
        </xdr:cNvPr>
        <xdr:cNvCxnSpPr/>
      </xdr:nvCxnSpPr>
      <xdr:spPr>
        <a:xfrm>
          <a:off x="190738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1274" name="Match47">
          <a:extLst>
            <a:ext uri="{FF2B5EF4-FFF2-40B4-BE49-F238E27FC236}">
              <a16:creationId xmlns:a16="http://schemas.microsoft.com/office/drawing/2014/main" id="{6F89B52F-7EC7-3D2C-5EBA-5A43CD614164}"/>
            </a:ext>
          </a:extLst>
        </xdr:cNvPr>
        <xdr:cNvCxnSpPr/>
      </xdr:nvCxnSpPr>
      <xdr:spPr>
        <a:xfrm>
          <a:off x="275510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1275" name="Match48">
          <a:extLst>
            <a:ext uri="{FF2B5EF4-FFF2-40B4-BE49-F238E27FC236}">
              <a16:creationId xmlns:a16="http://schemas.microsoft.com/office/drawing/2014/main" id="{B60AC249-23F4-2757-6C35-7F13D99CAF0B}"/>
            </a:ext>
          </a:extLst>
        </xdr:cNvPr>
        <xdr:cNvCxnSpPr/>
      </xdr:nvCxnSpPr>
      <xdr:spPr>
        <a:xfrm flipH="1">
          <a:off x="235664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276" name="Match49">
          <a:extLst>
            <a:ext uri="{FF2B5EF4-FFF2-40B4-BE49-F238E27FC236}">
              <a16:creationId xmlns:a16="http://schemas.microsoft.com/office/drawing/2014/main" id="{09DB1D74-B080-6710-E8EE-B61617B7B243}"/>
            </a:ext>
          </a:extLst>
        </xdr:cNvPr>
        <xdr:cNvCxnSpPr/>
      </xdr:nvCxnSpPr>
      <xdr:spPr>
        <a:xfrm>
          <a:off x="233124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6</xdr:col>
      <xdr:colOff>237331</xdr:colOff>
      <xdr:row>6</xdr:row>
      <xdr:rowOff>203994</xdr:rowOff>
    </xdr:to>
    <xdr:cxnSp macro="">
      <xdr:nvCxnSpPr>
        <xdr:cNvPr id="1277" name="Match50">
          <a:extLst>
            <a:ext uri="{FF2B5EF4-FFF2-40B4-BE49-F238E27FC236}">
              <a16:creationId xmlns:a16="http://schemas.microsoft.com/office/drawing/2014/main" id="{D14DC463-7D27-9A33-028D-1AC2433F3497}"/>
            </a:ext>
          </a:extLst>
        </xdr:cNvPr>
        <xdr:cNvCxnSpPr/>
      </xdr:nvCxnSpPr>
      <xdr:spPr>
        <a:xfrm>
          <a:off x="235664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4</xdr:row>
      <xdr:rowOff>229394</xdr:rowOff>
    </xdr:from>
    <xdr:to>
      <xdr:col>5</xdr:col>
      <xdr:colOff>262731</xdr:colOff>
      <xdr:row>5</xdr:row>
      <xdr:rowOff>229393</xdr:rowOff>
    </xdr:to>
    <xdr:cxnSp macro="">
      <xdr:nvCxnSpPr>
        <xdr:cNvPr id="1278" name="Match51">
          <a:extLst>
            <a:ext uri="{FF2B5EF4-FFF2-40B4-BE49-F238E27FC236}">
              <a16:creationId xmlns:a16="http://schemas.microsoft.com/office/drawing/2014/main" id="{19BB349E-449D-1687-EB1C-92D8F4940EF1}"/>
            </a:ext>
          </a:extLst>
        </xdr:cNvPr>
        <xdr:cNvCxnSpPr/>
      </xdr:nvCxnSpPr>
      <xdr:spPr>
        <a:xfrm flipH="1" flipV="1">
          <a:off x="1958181" y="165814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288131</xdr:colOff>
      <xdr:row>4</xdr:row>
      <xdr:rowOff>254794</xdr:rowOff>
    </xdr:from>
    <xdr:to>
      <xdr:col>6</xdr:col>
      <xdr:colOff>288131</xdr:colOff>
      <xdr:row>5</xdr:row>
      <xdr:rowOff>254793</xdr:rowOff>
    </xdr:to>
    <xdr:cxnSp macro="">
      <xdr:nvCxnSpPr>
        <xdr:cNvPr id="1279" name="Match52">
          <a:extLst>
            <a:ext uri="{FF2B5EF4-FFF2-40B4-BE49-F238E27FC236}">
              <a16:creationId xmlns:a16="http://schemas.microsoft.com/office/drawing/2014/main" id="{00FAFF2F-AEA3-6FFB-B804-C23572343B2A}"/>
            </a:ext>
          </a:extLst>
        </xdr:cNvPr>
        <xdr:cNvCxnSpPr/>
      </xdr:nvCxnSpPr>
      <xdr:spPr>
        <a:xfrm flipV="1">
          <a:off x="2407444" y="1683544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280" name="Match53">
          <a:extLst>
            <a:ext uri="{FF2B5EF4-FFF2-40B4-BE49-F238E27FC236}">
              <a16:creationId xmlns:a16="http://schemas.microsoft.com/office/drawing/2014/main" id="{F959D016-410A-A8E5-EE97-FAA8C571131D}"/>
            </a:ext>
          </a:extLst>
        </xdr:cNvPr>
        <xdr:cNvCxnSpPr/>
      </xdr:nvCxnSpPr>
      <xdr:spPr>
        <a:xfrm>
          <a:off x="275510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6</xdr:col>
      <xdr:colOff>237331</xdr:colOff>
      <xdr:row>5</xdr:row>
      <xdr:rowOff>203993</xdr:rowOff>
    </xdr:to>
    <xdr:cxnSp macro="">
      <xdr:nvCxnSpPr>
        <xdr:cNvPr id="1281" name="Match54">
          <a:extLst>
            <a:ext uri="{FF2B5EF4-FFF2-40B4-BE49-F238E27FC236}">
              <a16:creationId xmlns:a16="http://schemas.microsoft.com/office/drawing/2014/main" id="{C0C75331-6CB0-5EF4-0617-06CE0FEE67C3}"/>
            </a:ext>
          </a:extLst>
        </xdr:cNvPr>
        <xdr:cNvCxnSpPr/>
      </xdr:nvCxnSpPr>
      <xdr:spPr>
        <a:xfrm flipH="1">
          <a:off x="2356644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4</xdr:row>
      <xdr:rowOff>229394</xdr:rowOff>
    </xdr:from>
    <xdr:to>
      <xdr:col>6</xdr:col>
      <xdr:colOff>262731</xdr:colOff>
      <xdr:row>5</xdr:row>
      <xdr:rowOff>229393</xdr:rowOff>
    </xdr:to>
    <xdr:cxnSp macro="">
      <xdr:nvCxnSpPr>
        <xdr:cNvPr id="1282" name="Match55">
          <a:extLst>
            <a:ext uri="{FF2B5EF4-FFF2-40B4-BE49-F238E27FC236}">
              <a16:creationId xmlns:a16="http://schemas.microsoft.com/office/drawing/2014/main" id="{597530D4-3498-6339-9070-F39B5B0270F0}"/>
            </a:ext>
          </a:extLst>
        </xdr:cNvPr>
        <xdr:cNvCxnSpPr/>
      </xdr:nvCxnSpPr>
      <xdr:spPr>
        <a:xfrm flipV="1">
          <a:off x="2805906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283" name="Match56">
          <a:extLst>
            <a:ext uri="{FF2B5EF4-FFF2-40B4-BE49-F238E27FC236}">
              <a16:creationId xmlns:a16="http://schemas.microsoft.com/office/drawing/2014/main" id="{95A2B161-9E94-72E6-A15F-57A2099231BB}"/>
            </a:ext>
          </a:extLst>
        </xdr:cNvPr>
        <xdr:cNvCxnSpPr/>
      </xdr:nvCxnSpPr>
      <xdr:spPr>
        <a:xfrm flipH="1" flipV="1">
          <a:off x="233124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5</xdr:row>
      <xdr:rowOff>203993</xdr:rowOff>
    </xdr:from>
    <xdr:to>
      <xdr:col>6</xdr:col>
      <xdr:colOff>237331</xdr:colOff>
      <xdr:row>6</xdr:row>
      <xdr:rowOff>203994</xdr:rowOff>
    </xdr:to>
    <xdr:cxnSp macro="">
      <xdr:nvCxnSpPr>
        <xdr:cNvPr id="1284" name="Match57">
          <a:extLst>
            <a:ext uri="{FF2B5EF4-FFF2-40B4-BE49-F238E27FC236}">
              <a16:creationId xmlns:a16="http://schemas.microsoft.com/office/drawing/2014/main" id="{8A2ADA1C-0AA5-2EFC-2E7E-124531739AC8}"/>
            </a:ext>
          </a:extLst>
        </xdr:cNvPr>
        <xdr:cNvCxnSpPr/>
      </xdr:nvCxnSpPr>
      <xdr:spPr>
        <a:xfrm flipV="1">
          <a:off x="2780506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285" name="Match58">
          <a:extLst>
            <a:ext uri="{FF2B5EF4-FFF2-40B4-BE49-F238E27FC236}">
              <a16:creationId xmlns:a16="http://schemas.microsoft.com/office/drawing/2014/main" id="{AB4B37AD-1217-1249-60A7-B976FCA034D6}"/>
            </a:ext>
          </a:extLst>
        </xdr:cNvPr>
        <xdr:cNvCxnSpPr/>
      </xdr:nvCxnSpPr>
      <xdr:spPr>
        <a:xfrm>
          <a:off x="190738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286" name="Match59">
          <a:extLst>
            <a:ext uri="{FF2B5EF4-FFF2-40B4-BE49-F238E27FC236}">
              <a16:creationId xmlns:a16="http://schemas.microsoft.com/office/drawing/2014/main" id="{DC2C2271-4E8F-3B94-9E58-2186CDED9E0E}"/>
            </a:ext>
          </a:extLst>
        </xdr:cNvPr>
        <xdr:cNvCxnSpPr/>
      </xdr:nvCxnSpPr>
      <xdr:spPr>
        <a:xfrm flipV="1">
          <a:off x="190738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287" name="Match60">
          <a:extLst>
            <a:ext uri="{FF2B5EF4-FFF2-40B4-BE49-F238E27FC236}">
              <a16:creationId xmlns:a16="http://schemas.microsoft.com/office/drawing/2014/main" id="{64EBDE4C-3D08-0FAF-CA04-3A8B2FBC7A46}"/>
            </a:ext>
          </a:extLst>
        </xdr:cNvPr>
        <xdr:cNvCxnSpPr/>
      </xdr:nvCxnSpPr>
      <xdr:spPr>
        <a:xfrm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288" name="Match61">
          <a:extLst>
            <a:ext uri="{FF2B5EF4-FFF2-40B4-BE49-F238E27FC236}">
              <a16:creationId xmlns:a16="http://schemas.microsoft.com/office/drawing/2014/main" id="{E5BF30EB-4210-E65C-3B74-9F26980132F8}"/>
            </a:ext>
          </a:extLst>
        </xdr:cNvPr>
        <xdr:cNvCxnSpPr/>
      </xdr:nvCxnSpPr>
      <xdr:spPr>
        <a:xfrm>
          <a:off x="317896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9</xdr:row>
      <xdr:rowOff>203993</xdr:rowOff>
    </xdr:from>
    <xdr:to>
      <xdr:col>7</xdr:col>
      <xdr:colOff>237331</xdr:colOff>
      <xdr:row>10</xdr:row>
      <xdr:rowOff>203994</xdr:rowOff>
    </xdr:to>
    <xdr:cxnSp macro="">
      <xdr:nvCxnSpPr>
        <xdr:cNvPr id="1289" name="Match62">
          <a:extLst>
            <a:ext uri="{FF2B5EF4-FFF2-40B4-BE49-F238E27FC236}">
              <a16:creationId xmlns:a16="http://schemas.microsoft.com/office/drawing/2014/main" id="{52B6BBF3-4A67-F4A7-4676-0CC5DD4AC7FC}"/>
            </a:ext>
          </a:extLst>
        </xdr:cNvPr>
        <xdr:cNvCxnSpPr/>
      </xdr:nvCxnSpPr>
      <xdr:spPr>
        <a:xfrm flipH="1" flipV="1">
          <a:off x="2780506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290" name="Match63">
          <a:extLst>
            <a:ext uri="{FF2B5EF4-FFF2-40B4-BE49-F238E27FC236}">
              <a16:creationId xmlns:a16="http://schemas.microsoft.com/office/drawing/2014/main" id="{EC151105-9E9B-935E-0BEA-D10EEA2F9AE4}"/>
            </a:ext>
          </a:extLst>
        </xdr:cNvPr>
        <xdr:cNvCxnSpPr/>
      </xdr:nvCxnSpPr>
      <xdr:spPr>
        <a:xfrm flipH="1">
          <a:off x="317896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10</xdr:row>
      <xdr:rowOff>203994</xdr:rowOff>
    </xdr:from>
    <xdr:to>
      <xdr:col>7</xdr:col>
      <xdr:colOff>237331</xdr:colOff>
      <xdr:row>10</xdr:row>
      <xdr:rowOff>203994</xdr:rowOff>
    </xdr:to>
    <xdr:cxnSp macro="">
      <xdr:nvCxnSpPr>
        <xdr:cNvPr id="1291" name="Match64">
          <a:extLst>
            <a:ext uri="{FF2B5EF4-FFF2-40B4-BE49-F238E27FC236}">
              <a16:creationId xmlns:a16="http://schemas.microsoft.com/office/drawing/2014/main" id="{1B307FB9-C51A-2DB8-E524-7931F0C17EC7}"/>
            </a:ext>
          </a:extLst>
        </xdr:cNvPr>
        <xdr:cNvCxnSpPr/>
      </xdr:nvCxnSpPr>
      <xdr:spPr>
        <a:xfrm>
          <a:off x="1932781" y="3775869"/>
          <a:ext cx="1271588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292" name="Match65">
          <a:extLst>
            <a:ext uri="{FF2B5EF4-FFF2-40B4-BE49-F238E27FC236}">
              <a16:creationId xmlns:a16="http://schemas.microsoft.com/office/drawing/2014/main" id="{C31D956C-A469-113B-ECC9-D4AB4F575E7F}"/>
            </a:ext>
          </a:extLst>
        </xdr:cNvPr>
        <xdr:cNvCxnSpPr/>
      </xdr:nvCxnSpPr>
      <xdr:spPr>
        <a:xfrm>
          <a:off x="3602831" y="1250156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293" name="Match66">
          <a:extLst>
            <a:ext uri="{FF2B5EF4-FFF2-40B4-BE49-F238E27FC236}">
              <a16:creationId xmlns:a16="http://schemas.microsoft.com/office/drawing/2014/main" id="{79EAF067-36D8-CEFD-9012-9F427205019B}"/>
            </a:ext>
          </a:extLst>
        </xdr:cNvPr>
        <xdr:cNvCxnSpPr/>
      </xdr:nvCxnSpPr>
      <xdr:spPr>
        <a:xfrm flipV="1">
          <a:off x="211931" y="196453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294" name="Match67">
          <a:extLst>
            <a:ext uri="{FF2B5EF4-FFF2-40B4-BE49-F238E27FC236}">
              <a16:creationId xmlns:a16="http://schemas.microsoft.com/office/drawing/2014/main" id="{D7784858-A118-A337-324E-311A5F04421A}"/>
            </a:ext>
          </a:extLst>
        </xdr:cNvPr>
        <xdr:cNvCxnSpPr/>
      </xdr:nvCxnSpPr>
      <xdr:spPr>
        <a:xfrm flipH="1">
          <a:off x="6357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4</xdr:col>
      <xdr:colOff>211931</xdr:colOff>
      <xdr:row>1</xdr:row>
      <xdr:rowOff>178593</xdr:rowOff>
    </xdr:to>
    <xdr:cxnSp macro="">
      <xdr:nvCxnSpPr>
        <xdr:cNvPr id="1295" name="Match68">
          <a:extLst>
            <a:ext uri="{FF2B5EF4-FFF2-40B4-BE49-F238E27FC236}">
              <a16:creationId xmlns:a16="http://schemas.microsoft.com/office/drawing/2014/main" id="{3C687080-65F6-19C3-7F25-72A2C27429E2}"/>
            </a:ext>
          </a:extLst>
        </xdr:cNvPr>
        <xdr:cNvCxnSpPr/>
      </xdr:nvCxnSpPr>
      <xdr:spPr>
        <a:xfrm>
          <a:off x="1059656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296" name="Match69">
          <a:extLst>
            <a:ext uri="{FF2B5EF4-FFF2-40B4-BE49-F238E27FC236}">
              <a16:creationId xmlns:a16="http://schemas.microsoft.com/office/drawing/2014/main" id="{5A929A08-20D2-57EF-3710-FFE23F04593F}"/>
            </a:ext>
          </a:extLst>
        </xdr:cNvPr>
        <xdr:cNvCxnSpPr/>
      </xdr:nvCxnSpPr>
      <xdr:spPr>
        <a:xfrm>
          <a:off x="4450556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297" name="Match70">
          <a:extLst>
            <a:ext uri="{FF2B5EF4-FFF2-40B4-BE49-F238E27FC236}">
              <a16:creationId xmlns:a16="http://schemas.microsoft.com/office/drawing/2014/main" id="{5CF0F803-A606-E739-2E62-DE8D279FB2F4}"/>
            </a:ext>
          </a:extLst>
        </xdr:cNvPr>
        <xdr:cNvCxnSpPr/>
      </xdr:nvCxnSpPr>
      <xdr:spPr>
        <a:xfrm>
          <a:off x="1907381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7</xdr:row>
      <xdr:rowOff>178593</xdr:rowOff>
    </xdr:to>
    <xdr:cxnSp macro="">
      <xdr:nvCxnSpPr>
        <xdr:cNvPr id="1298" name="Match71">
          <a:extLst>
            <a:ext uri="{FF2B5EF4-FFF2-40B4-BE49-F238E27FC236}">
              <a16:creationId xmlns:a16="http://schemas.microsoft.com/office/drawing/2014/main" id="{02F22771-43B1-7065-3DB5-7E5ABE812405}"/>
            </a:ext>
          </a:extLst>
        </xdr:cNvPr>
        <xdr:cNvCxnSpPr/>
      </xdr:nvCxnSpPr>
      <xdr:spPr>
        <a:xfrm>
          <a:off x="211931" y="125015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166F51F-E1BB-A2CC-3552-3F9BE599C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8" sqref="A8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3</v>
      </c>
      <c r="B1" s="26">
        <v>5</v>
      </c>
      <c r="C1" s="26">
        <v>1</v>
      </c>
      <c r="D1" s="23">
        <v>2</v>
      </c>
      <c r="E1" s="26">
        <v>3</v>
      </c>
      <c r="F1" s="23">
        <v>4</v>
      </c>
      <c r="G1" s="23">
        <v>9</v>
      </c>
      <c r="H1" s="26">
        <v>2</v>
      </c>
      <c r="I1" s="26">
        <v>2</v>
      </c>
      <c r="J1" s="26">
        <v>1</v>
      </c>
      <c r="K1" s="26">
        <v>7</v>
      </c>
      <c r="L1" s="26">
        <v>8</v>
      </c>
      <c r="N1" s="2">
        <v>89775</v>
      </c>
      <c r="O1" s="1">
        <v>1</v>
      </c>
    </row>
    <row r="2" spans="1:15" ht="28.25" customHeight="1">
      <c r="A2" s="22">
        <v>8</v>
      </c>
      <c r="B2" s="22">
        <v>5</v>
      </c>
      <c r="C2" s="22">
        <v>5</v>
      </c>
      <c r="D2" s="22">
        <v>2</v>
      </c>
      <c r="E2" s="23">
        <v>6</v>
      </c>
      <c r="F2" s="23">
        <v>6</v>
      </c>
      <c r="G2" s="23">
        <v>4</v>
      </c>
      <c r="H2" s="22">
        <v>8</v>
      </c>
      <c r="I2" s="22">
        <v>5</v>
      </c>
      <c r="J2" s="22">
        <v>6</v>
      </c>
      <c r="K2" s="22">
        <v>4</v>
      </c>
      <c r="L2" s="22">
        <v>5</v>
      </c>
      <c r="N2" s="2">
        <v>85645</v>
      </c>
      <c r="O2" s="1">
        <v>1</v>
      </c>
    </row>
    <row r="3" spans="1:15" ht="28.25" customHeight="1">
      <c r="A3" s="26">
        <v>2</v>
      </c>
      <c r="B3" s="22">
        <v>4</v>
      </c>
      <c r="C3" s="26">
        <v>5</v>
      </c>
      <c r="D3" s="26">
        <v>3</v>
      </c>
      <c r="E3" s="26">
        <v>3</v>
      </c>
      <c r="F3" s="23">
        <v>5</v>
      </c>
      <c r="G3" s="23">
        <v>9</v>
      </c>
      <c r="H3" s="22">
        <v>5</v>
      </c>
      <c r="I3" s="22">
        <v>7</v>
      </c>
      <c r="J3" s="22">
        <v>7</v>
      </c>
      <c r="K3" s="22">
        <v>9</v>
      </c>
      <c r="L3" s="22">
        <v>8</v>
      </c>
      <c r="N3" s="2">
        <v>442</v>
      </c>
      <c r="O3" s="1">
        <v>1</v>
      </c>
    </row>
    <row r="4" spans="1:15" ht="28.25" customHeight="1">
      <c r="A4" s="22">
        <v>5</v>
      </c>
      <c r="B4" s="22">
        <v>4</v>
      </c>
      <c r="C4" s="26">
        <v>3</v>
      </c>
      <c r="D4" s="26">
        <v>6</v>
      </c>
      <c r="E4" s="26">
        <v>2</v>
      </c>
      <c r="F4" s="23">
        <v>4</v>
      </c>
      <c r="G4" s="23">
        <v>9</v>
      </c>
      <c r="H4" s="26">
        <v>3</v>
      </c>
      <c r="I4" s="22">
        <v>5</v>
      </c>
      <c r="J4" s="26">
        <v>3</v>
      </c>
      <c r="K4" s="22">
        <v>5</v>
      </c>
      <c r="L4" s="26">
        <v>3</v>
      </c>
      <c r="N4" s="2">
        <v>562</v>
      </c>
      <c r="O4" s="1">
        <v>2</v>
      </c>
    </row>
    <row r="5" spans="1:15" ht="28.25" customHeight="1">
      <c r="A5" s="22">
        <v>4</v>
      </c>
      <c r="B5" s="22">
        <v>2</v>
      </c>
      <c r="C5" s="26">
        <v>1</v>
      </c>
      <c r="D5" s="26">
        <v>4</v>
      </c>
      <c r="E5" s="23">
        <v>8</v>
      </c>
      <c r="F5" s="26">
        <v>2</v>
      </c>
      <c r="G5" s="23">
        <v>8</v>
      </c>
      <c r="H5" s="23">
        <v>9</v>
      </c>
      <c r="I5" s="22">
        <v>4</v>
      </c>
      <c r="J5" s="26">
        <v>1</v>
      </c>
      <c r="K5" s="22">
        <v>2</v>
      </c>
      <c r="L5" s="26">
        <v>1</v>
      </c>
      <c r="N5" s="2">
        <v>8552</v>
      </c>
      <c r="O5" s="1">
        <v>1</v>
      </c>
    </row>
    <row r="6" spans="1:15" ht="28.25" customHeight="1">
      <c r="A6" s="22">
        <v>5</v>
      </c>
      <c r="B6" s="26">
        <v>1</v>
      </c>
      <c r="C6" s="26">
        <v>2</v>
      </c>
      <c r="D6" s="26">
        <v>5</v>
      </c>
      <c r="E6" s="23">
        <v>4</v>
      </c>
      <c r="F6" s="23">
        <v>8</v>
      </c>
      <c r="G6" s="22">
        <v>8</v>
      </c>
      <c r="H6" s="26">
        <v>2</v>
      </c>
      <c r="I6" s="22">
        <v>4</v>
      </c>
      <c r="J6" s="26">
        <v>8</v>
      </c>
      <c r="K6" s="22">
        <v>6</v>
      </c>
      <c r="L6" s="26">
        <v>5</v>
      </c>
      <c r="N6" s="2">
        <v>96</v>
      </c>
      <c r="O6" s="1">
        <v>24</v>
      </c>
    </row>
    <row r="7" spans="1:15" ht="28.25" customHeight="1">
      <c r="A7" s="22">
        <v>3</v>
      </c>
      <c r="B7" s="23">
        <v>9</v>
      </c>
      <c r="C7" s="23">
        <v>4</v>
      </c>
      <c r="D7" s="23">
        <v>9</v>
      </c>
      <c r="E7" s="26">
        <v>7</v>
      </c>
      <c r="F7" s="22">
        <v>6</v>
      </c>
      <c r="G7" s="23">
        <v>8</v>
      </c>
      <c r="H7" s="22">
        <v>5</v>
      </c>
      <c r="I7" s="22">
        <v>6</v>
      </c>
      <c r="J7" s="26">
        <v>5</v>
      </c>
      <c r="K7" s="23">
        <v>4</v>
      </c>
      <c r="L7" s="26">
        <v>3</v>
      </c>
      <c r="N7" s="2">
        <v>94</v>
      </c>
      <c r="O7" s="1">
        <v>16</v>
      </c>
    </row>
    <row r="8" spans="1:15" ht="28.25" customHeight="1">
      <c r="A8" s="22">
        <v>3</v>
      </c>
      <c r="B8" s="26">
        <v>7</v>
      </c>
      <c r="C8" s="23">
        <v>6</v>
      </c>
      <c r="D8" s="23">
        <v>6</v>
      </c>
      <c r="E8" s="22">
        <v>8</v>
      </c>
      <c r="F8" s="23">
        <v>9</v>
      </c>
      <c r="G8" s="22">
        <v>6</v>
      </c>
      <c r="H8" s="26">
        <v>2</v>
      </c>
      <c r="I8" s="22">
        <v>1</v>
      </c>
      <c r="J8" s="22">
        <v>9</v>
      </c>
      <c r="K8" s="22">
        <v>6</v>
      </c>
      <c r="L8" s="26">
        <v>1</v>
      </c>
      <c r="N8" s="2">
        <v>88</v>
      </c>
      <c r="O8" s="1">
        <v>18</v>
      </c>
    </row>
    <row r="9" spans="1:15" ht="28.25" customHeight="1">
      <c r="A9" s="26">
        <v>9</v>
      </c>
      <c r="B9" s="26">
        <v>8</v>
      </c>
      <c r="C9" s="22">
        <v>7</v>
      </c>
      <c r="D9" s="22">
        <v>9</v>
      </c>
      <c r="E9" s="23">
        <v>8</v>
      </c>
      <c r="F9" s="22">
        <v>2</v>
      </c>
      <c r="G9" s="23">
        <v>6</v>
      </c>
      <c r="H9" s="26">
        <v>2</v>
      </c>
      <c r="I9" s="22">
        <v>4</v>
      </c>
      <c r="J9" s="26">
        <v>8</v>
      </c>
      <c r="K9" s="23">
        <v>9</v>
      </c>
      <c r="L9" s="26">
        <v>1</v>
      </c>
      <c r="N9" s="2">
        <v>9548</v>
      </c>
      <c r="O9" s="1">
        <v>1</v>
      </c>
    </row>
    <row r="10" spans="1:15" ht="28.25" customHeight="1">
      <c r="A10" s="23">
        <v>9</v>
      </c>
      <c r="B10" s="22">
        <v>2</v>
      </c>
      <c r="C10" s="22">
        <v>5</v>
      </c>
      <c r="D10" s="23">
        <v>9</v>
      </c>
      <c r="E10" s="23">
        <v>9</v>
      </c>
      <c r="F10" s="23">
        <v>9</v>
      </c>
      <c r="G10" s="23">
        <v>8</v>
      </c>
      <c r="H10" s="26">
        <v>4</v>
      </c>
      <c r="I10" s="23">
        <v>6</v>
      </c>
      <c r="J10" s="23">
        <v>9</v>
      </c>
      <c r="K10" s="26">
        <v>1</v>
      </c>
      <c r="L10" s="26">
        <v>2</v>
      </c>
      <c r="N10" s="2">
        <v>544614</v>
      </c>
      <c r="O10" s="1">
        <v>1</v>
      </c>
    </row>
    <row r="11" spans="1:15" ht="28.25" customHeight="1">
      <c r="A11" s="23">
        <v>6</v>
      </c>
      <c r="B11" s="22">
        <v>6</v>
      </c>
      <c r="C11" s="26">
        <v>3</v>
      </c>
      <c r="D11" s="23">
        <v>6</v>
      </c>
      <c r="E11" s="22">
        <v>9</v>
      </c>
      <c r="F11" s="22">
        <v>5</v>
      </c>
      <c r="G11" s="22">
        <v>4</v>
      </c>
      <c r="H11" s="22">
        <v>8</v>
      </c>
      <c r="I11" s="22">
        <v>8</v>
      </c>
      <c r="J11" s="23">
        <v>4</v>
      </c>
      <c r="K11" s="26">
        <v>5</v>
      </c>
      <c r="L11" s="26">
        <v>5</v>
      </c>
      <c r="N11" s="2">
        <v>5659868</v>
      </c>
      <c r="O11" s="1">
        <v>1</v>
      </c>
    </row>
    <row r="12" spans="1:15" ht="28.25" customHeight="1">
      <c r="A12" s="22">
        <v>5</v>
      </c>
      <c r="B12" s="26">
        <v>3</v>
      </c>
      <c r="C12" s="23">
        <v>9</v>
      </c>
      <c r="D12" s="23">
        <v>9</v>
      </c>
      <c r="E12" s="22">
        <v>7</v>
      </c>
      <c r="F12" s="22">
        <v>8</v>
      </c>
      <c r="G12" s="22">
        <v>6</v>
      </c>
      <c r="H12" s="22">
        <v>5</v>
      </c>
      <c r="I12" s="22">
        <v>2</v>
      </c>
      <c r="J12" s="22">
        <v>5</v>
      </c>
      <c r="K12" s="22">
        <v>2</v>
      </c>
      <c r="L12" s="26">
        <v>2</v>
      </c>
      <c r="N12" s="2">
        <v>72</v>
      </c>
      <c r="O12" s="1">
        <v>1</v>
      </c>
    </row>
    <row r="13" spans="1:15" ht="28.25" customHeight="1">
      <c r="N13" s="2">
        <v>526</v>
      </c>
      <c r="O13" s="1">
        <v>2</v>
      </c>
    </row>
    <row r="14" spans="1:15" ht="28.25" customHeight="1">
      <c r="N14" s="2">
        <v>7865252</v>
      </c>
      <c r="O14" s="1">
        <v>1</v>
      </c>
    </row>
    <row r="15" spans="1:15" ht="28.25" customHeight="1">
      <c r="N15" s="2">
        <v>54533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23"/>
  <sheetViews>
    <sheetView tabSelected="1" zoomScaleNormal="100" workbookViewId="0">
      <pane ySplit="1" topLeftCell="A115" activePane="bottomLeft" state="frozen"/>
      <selection pane="bottomLeft" activeCell="A123" sqref="A12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  <row r="108" spans="1:16">
      <c r="A108" s="3">
        <v>46005.293657407405</v>
      </c>
      <c r="B108">
        <v>60</v>
      </c>
      <c r="C108">
        <v>9</v>
      </c>
      <c r="D108">
        <v>0</v>
      </c>
      <c r="E108">
        <v>0</v>
      </c>
      <c r="F108">
        <v>0</v>
      </c>
      <c r="G108" s="5">
        <v>9.4097222172422335E-3</v>
      </c>
      <c r="H108" t="s">
        <v>272</v>
      </c>
      <c r="I108" t="s">
        <v>273</v>
      </c>
      <c r="J108">
        <v>0</v>
      </c>
      <c r="K108">
        <f t="shared" ref="K108" si="74">IF(A108&lt;DATEVALUE("2025/11/20")+TIMEVALUE("6:00"),1,IF(B108-SUM(D108:F108)&lt;&gt;60,0,MAX(2-INT(G108*24*60/10),0)))</f>
        <v>1</v>
      </c>
      <c r="L108">
        <f t="shared" ref="L108" si="75">L107+K108</f>
        <v>101</v>
      </c>
      <c r="M108">
        <f t="shared" ref="M108" si="76">2+IF(A108&gt;=DATEVALUE("2025/11/30")+TIMEVALUE("6:00"),1,0)+IF(A108&gt;=DATEVALUE("2025/12/11")+TIMEVALUE("6:00"),1,0)</f>
        <v>4</v>
      </c>
      <c r="N108">
        <f t="shared" ref="N108" si="77">N107+M108*(INT(A108-6/24)-INT(A107-6/24))+O108</f>
        <v>104</v>
      </c>
      <c r="O108">
        <f t="shared" ref="O108" si="78">IF(A108&gt;=DATEVALUE("2025/11/8")+TIMEVALUE("6:00"),1,0)-IF(A107&gt;=DATEVALUE("2025/11/8")+TIMEVALUE("6:00"),1,0)</f>
        <v>0</v>
      </c>
      <c r="P108" t="str">
        <f t="shared" ref="P108" si="79">IF(L108&lt;N108,"未達成（"&amp;N108-L108&amp;"）",IF(L108=N108,"達成","前倒し（"&amp;L108-N108&amp;"）"))</f>
        <v>未達成（3）</v>
      </c>
    </row>
    <row r="109" spans="1:16">
      <c r="A109" s="3">
        <v>46005.300185185188</v>
      </c>
      <c r="B109">
        <v>60</v>
      </c>
      <c r="C109">
        <v>13</v>
      </c>
      <c r="D109">
        <v>0</v>
      </c>
      <c r="E109">
        <v>0</v>
      </c>
      <c r="F109">
        <v>0</v>
      </c>
      <c r="G109" s="5">
        <v>4.8379629661212675E-3</v>
      </c>
      <c r="H109" t="s">
        <v>274</v>
      </c>
      <c r="I109" t="s">
        <v>275</v>
      </c>
      <c r="J109">
        <v>0</v>
      </c>
      <c r="K109">
        <f t="shared" ref="K109" si="80">IF(A109&lt;DATEVALUE("2025/11/20")+TIMEVALUE("6:00"),1,IF(B109-SUM(D109:F109)&lt;&gt;60,0,MAX(2-INT(G109*24*60/10),0)))</f>
        <v>2</v>
      </c>
      <c r="L109">
        <f t="shared" ref="L109" si="81">L108+K109</f>
        <v>103</v>
      </c>
      <c r="M109">
        <f t="shared" ref="M109" si="82">2+IF(A109&gt;=DATEVALUE("2025/11/30")+TIMEVALUE("6:00"),1,0)+IF(A109&gt;=DATEVALUE("2025/12/11")+TIMEVALUE("6:00"),1,0)</f>
        <v>4</v>
      </c>
      <c r="N109">
        <f t="shared" ref="N109" si="83">N108+M109*(INT(A109-6/24)-INT(A108-6/24))+O109</f>
        <v>104</v>
      </c>
      <c r="O109">
        <f t="shared" ref="O109" si="84">IF(A109&gt;=DATEVALUE("2025/11/8")+TIMEVALUE("6:00"),1,0)-IF(A108&gt;=DATEVALUE("2025/11/8")+TIMEVALUE("6:00"),1,0)</f>
        <v>0</v>
      </c>
      <c r="P109" t="str">
        <f t="shared" ref="P109" si="85">IF(L109&lt;N109,"未達成（"&amp;N109-L109&amp;"）",IF(L109=N109,"達成","前倒し（"&amp;L109-N109&amp;"）"))</f>
        <v>未達成（1）</v>
      </c>
    </row>
    <row r="110" spans="1:16">
      <c r="A110" s="3">
        <v>46005.307916666665</v>
      </c>
      <c r="B110">
        <v>60</v>
      </c>
      <c r="C110">
        <v>16</v>
      </c>
      <c r="D110">
        <v>0</v>
      </c>
      <c r="E110">
        <v>0</v>
      </c>
      <c r="F110">
        <v>0</v>
      </c>
      <c r="G110" s="5">
        <v>5.9259259214741178E-3</v>
      </c>
      <c r="H110" t="s">
        <v>276</v>
      </c>
      <c r="I110" t="s">
        <v>277</v>
      </c>
      <c r="J110">
        <v>0</v>
      </c>
      <c r="K110">
        <f t="shared" ref="K110" si="86">IF(A110&lt;DATEVALUE("2025/11/20")+TIMEVALUE("6:00"),1,IF(B110-SUM(D110:F110)&lt;&gt;60,0,MAX(2-INT(G110*24*60/10),0)))</f>
        <v>2</v>
      </c>
      <c r="L110">
        <f t="shared" ref="L110" si="87">L109+K110</f>
        <v>105</v>
      </c>
      <c r="M110">
        <f t="shared" ref="M110" si="88">2+IF(A110&gt;=DATEVALUE("2025/11/30")+TIMEVALUE("6:00"),1,0)+IF(A110&gt;=DATEVALUE("2025/12/11")+TIMEVALUE("6:00"),1,0)</f>
        <v>4</v>
      </c>
      <c r="N110">
        <f t="shared" ref="N110" si="89">N109+M110*(INT(A110-6/24)-INT(A109-6/24))+O110</f>
        <v>104</v>
      </c>
      <c r="O110">
        <f t="shared" ref="O110" si="90">IF(A110&gt;=DATEVALUE("2025/11/8")+TIMEVALUE("6:00"),1,0)-IF(A109&gt;=DATEVALUE("2025/11/8")+TIMEVALUE("6:00"),1,0)</f>
        <v>0</v>
      </c>
      <c r="P110" t="str">
        <f t="shared" ref="P110" si="91">IF(L110&lt;N110,"未達成（"&amp;N110-L110&amp;"）",IF(L110=N110,"達成","前倒し（"&amp;L110-N110&amp;"）"))</f>
        <v>前倒し（1）</v>
      </c>
    </row>
    <row r="111" spans="1:16">
      <c r="A111" s="3">
        <v>46006.28056712963</v>
      </c>
      <c r="B111">
        <v>60</v>
      </c>
      <c r="C111">
        <v>7</v>
      </c>
      <c r="D111">
        <v>0</v>
      </c>
      <c r="E111">
        <v>0</v>
      </c>
      <c r="F111">
        <v>0</v>
      </c>
      <c r="G111" s="5">
        <v>6.2962962983874604E-3</v>
      </c>
      <c r="H111" t="s">
        <v>278</v>
      </c>
      <c r="I111" t="s">
        <v>279</v>
      </c>
      <c r="J111">
        <v>0</v>
      </c>
      <c r="K111">
        <f t="shared" ref="K111" si="92">IF(A111&lt;DATEVALUE("2025/11/20")+TIMEVALUE("6:00"),1,IF(B111-SUM(D111:F111)&lt;&gt;60,0,MAX(2-INT(G111*24*60/10),0)))</f>
        <v>2</v>
      </c>
      <c r="L111">
        <f t="shared" ref="L111" si="93">L110+K111</f>
        <v>107</v>
      </c>
      <c r="M111">
        <f t="shared" ref="M111" si="94">2+IF(A111&gt;=DATEVALUE("2025/11/30")+TIMEVALUE("6:00"),1,0)+IF(A111&gt;=DATEVALUE("2025/12/11")+TIMEVALUE("6:00"),1,0)</f>
        <v>4</v>
      </c>
      <c r="N111">
        <f t="shared" ref="N111" si="95">N110+M111*(INT(A111-6/24)-INT(A110-6/24))+O111</f>
        <v>108</v>
      </c>
      <c r="O111">
        <f t="shared" ref="O111" si="96">IF(A111&gt;=DATEVALUE("2025/11/8")+TIMEVALUE("6:00"),1,0)-IF(A110&gt;=DATEVALUE("2025/11/8")+TIMEVALUE("6:00"),1,0)</f>
        <v>0</v>
      </c>
      <c r="P111" t="str">
        <f t="shared" ref="P111" si="97">IF(L111&lt;N111,"未達成（"&amp;N111-L111&amp;"）",IF(L111=N111,"達成","前倒し（"&amp;L111-N111&amp;"）"))</f>
        <v>未達成（1）</v>
      </c>
    </row>
    <row r="112" spans="1:16">
      <c r="A112" s="3">
        <v>46006.299976851849</v>
      </c>
      <c r="B112">
        <v>60</v>
      </c>
      <c r="C112">
        <v>22</v>
      </c>
      <c r="D112">
        <v>0</v>
      </c>
      <c r="E112">
        <v>0</v>
      </c>
      <c r="F112">
        <v>0</v>
      </c>
      <c r="G112" s="5">
        <v>1.077546295709908E-2</v>
      </c>
      <c r="H112" t="s">
        <v>280</v>
      </c>
      <c r="I112" t="s">
        <v>281</v>
      </c>
      <c r="J112">
        <v>0</v>
      </c>
      <c r="K112">
        <f t="shared" ref="K112" si="98">IF(A112&lt;DATEVALUE("2025/11/20")+TIMEVALUE("6:00"),1,IF(B112-SUM(D112:F112)&lt;&gt;60,0,MAX(2-INT(G112*24*60/10),0)))</f>
        <v>1</v>
      </c>
      <c r="L112">
        <f t="shared" ref="L112" si="99">L111+K112</f>
        <v>108</v>
      </c>
      <c r="M112">
        <f t="shared" ref="M112" si="100">2+IF(A112&gt;=DATEVALUE("2025/11/30")+TIMEVALUE("6:00"),1,0)+IF(A112&gt;=DATEVALUE("2025/12/11")+TIMEVALUE("6:00"),1,0)</f>
        <v>4</v>
      </c>
      <c r="N112">
        <f t="shared" ref="N112" si="101">N111+M112*(INT(A112-6/24)-INT(A111-6/24))+O112</f>
        <v>108</v>
      </c>
      <c r="O112">
        <f t="shared" ref="O112" si="102">IF(A112&gt;=DATEVALUE("2025/11/8")+TIMEVALUE("6:00"),1,0)-IF(A111&gt;=DATEVALUE("2025/11/8")+TIMEVALUE("6:00"),1,0)</f>
        <v>0</v>
      </c>
      <c r="P112" t="str">
        <f t="shared" ref="P112" si="103">IF(L112&lt;N112,"未達成（"&amp;N112-L112&amp;"）",IF(L112=N112,"達成","前倒し（"&amp;L112-N112&amp;"）"))</f>
        <v>達成</v>
      </c>
    </row>
    <row r="113" spans="1:16">
      <c r="A113" s="3">
        <v>46007.284803240742</v>
      </c>
      <c r="B113">
        <v>60</v>
      </c>
      <c r="C113">
        <v>4</v>
      </c>
      <c r="D113">
        <v>0</v>
      </c>
      <c r="E113">
        <v>0</v>
      </c>
      <c r="F113">
        <v>0</v>
      </c>
      <c r="G113" s="5">
        <v>6.3425925909541547E-3</v>
      </c>
      <c r="H113" t="s">
        <v>282</v>
      </c>
      <c r="I113" t="s">
        <v>283</v>
      </c>
      <c r="J113">
        <v>0</v>
      </c>
      <c r="K113">
        <f t="shared" ref="K113" si="104">IF(A113&lt;DATEVALUE("2025/11/20")+TIMEVALUE("6:00"),1,IF(B113-SUM(D113:F113)&lt;&gt;60,0,MAX(2-INT(G113*24*60/10),0)))</f>
        <v>2</v>
      </c>
      <c r="L113">
        <f t="shared" ref="L113" si="105">L112+K113</f>
        <v>110</v>
      </c>
      <c r="M113">
        <f t="shared" ref="M113" si="106">2+IF(A113&gt;=DATEVALUE("2025/11/30")+TIMEVALUE("6:00"),1,0)+IF(A113&gt;=DATEVALUE("2025/12/11")+TIMEVALUE("6:00"),1,0)</f>
        <v>4</v>
      </c>
      <c r="N113">
        <f t="shared" ref="N113" si="107">N112+M113*(INT(A113-6/24)-INT(A112-6/24))+O113</f>
        <v>112</v>
      </c>
      <c r="O113">
        <f t="shared" ref="O113" si="108">IF(A113&gt;=DATEVALUE("2025/11/8")+TIMEVALUE("6:00"),1,0)-IF(A112&gt;=DATEVALUE("2025/11/8")+TIMEVALUE("6:00"),1,0)</f>
        <v>0</v>
      </c>
      <c r="P113" t="str">
        <f t="shared" ref="P113" si="109">IF(L113&lt;N113,"未達成（"&amp;N113-L113&amp;"）",IF(L113=N113,"達成","前倒し（"&amp;L113-N113&amp;"）"))</f>
        <v>未達成（2）</v>
      </c>
    </row>
    <row r="114" spans="1:16">
      <c r="A114" s="3">
        <v>46007.309988425928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8.819444446999114E-3</v>
      </c>
      <c r="H114" t="s">
        <v>284</v>
      </c>
      <c r="I114" t="s">
        <v>285</v>
      </c>
      <c r="J114">
        <v>0</v>
      </c>
      <c r="K114">
        <f t="shared" ref="K114" si="110">IF(A114&lt;DATEVALUE("2025/11/20")+TIMEVALUE("6:00"),1,IF(B114-SUM(D114:F114)&lt;&gt;60,0,MAX(2-INT(G114*24*60/10),0)))</f>
        <v>1</v>
      </c>
      <c r="L114">
        <f t="shared" ref="L114" si="111">L113+K114</f>
        <v>111</v>
      </c>
      <c r="M114">
        <f t="shared" ref="M114" si="112">2+IF(A114&gt;=DATEVALUE("2025/11/30")+TIMEVALUE("6:00"),1,0)+IF(A114&gt;=DATEVALUE("2025/12/11")+TIMEVALUE("6:00"),1,0)</f>
        <v>4</v>
      </c>
      <c r="N114">
        <f t="shared" ref="N114" si="113">N113+M114*(INT(A114-6/24)-INT(A113-6/24))+O114</f>
        <v>112</v>
      </c>
      <c r="O114">
        <f t="shared" ref="O114" si="114">IF(A114&gt;=DATEVALUE("2025/11/8")+TIMEVALUE("6:00"),1,0)-IF(A113&gt;=DATEVALUE("2025/11/8")+TIMEVALUE("6:00"),1,0)</f>
        <v>0</v>
      </c>
      <c r="P114" t="str">
        <f t="shared" ref="P114" si="115">IF(L114&lt;N114,"未達成（"&amp;N114-L114&amp;"）",IF(L114=N114,"達成","前倒し（"&amp;L114-N114&amp;"）"))</f>
        <v>未達成（1）</v>
      </c>
    </row>
    <row r="115" spans="1:16">
      <c r="A115" s="3">
        <v>46007.322476851848</v>
      </c>
      <c r="B115">
        <v>60</v>
      </c>
      <c r="C115">
        <v>8</v>
      </c>
      <c r="D115">
        <v>0</v>
      </c>
      <c r="E115">
        <v>0</v>
      </c>
      <c r="F115">
        <v>0</v>
      </c>
      <c r="G115" s="5">
        <v>7.6504629614646547E-3</v>
      </c>
      <c r="H115" t="s">
        <v>286</v>
      </c>
      <c r="I115" t="s">
        <v>287</v>
      </c>
      <c r="J115">
        <v>0</v>
      </c>
      <c r="K115">
        <f t="shared" ref="K115" si="116">IF(A115&lt;DATEVALUE("2025/11/20")+TIMEVALUE("6:00"),1,IF(B115-SUM(D115:F115)&lt;&gt;60,0,MAX(2-INT(G115*24*60/10),0)))</f>
        <v>1</v>
      </c>
      <c r="L115">
        <f t="shared" ref="L115" si="117">L114+K115</f>
        <v>112</v>
      </c>
      <c r="M115">
        <f t="shared" ref="M115" si="118">2+IF(A115&gt;=DATEVALUE("2025/11/30")+TIMEVALUE("6:00"),1,0)+IF(A115&gt;=DATEVALUE("2025/12/11")+TIMEVALUE("6:00"),1,0)</f>
        <v>4</v>
      </c>
      <c r="N115">
        <f t="shared" ref="N115" si="119">N114+M115*(INT(A115-6/24)-INT(A114-6/24))+O115</f>
        <v>112</v>
      </c>
      <c r="O115">
        <f t="shared" ref="O115" si="120">IF(A115&gt;=DATEVALUE("2025/11/8")+TIMEVALUE("6:00"),1,0)-IF(A114&gt;=DATEVALUE("2025/11/8")+TIMEVALUE("6:00"),1,0)</f>
        <v>0</v>
      </c>
      <c r="P115" t="str">
        <f t="shared" ref="P115" si="121">IF(L115&lt;N115,"未達成（"&amp;N115-L115&amp;"）",IF(L115=N115,"達成","前倒し（"&amp;L115-N115&amp;"）"))</f>
        <v>達成</v>
      </c>
    </row>
    <row r="116" spans="1:16">
      <c r="A116" s="3">
        <v>46008.31181712963</v>
      </c>
      <c r="B116">
        <v>60</v>
      </c>
      <c r="C116">
        <v>13</v>
      </c>
      <c r="D116">
        <v>0</v>
      </c>
      <c r="E116">
        <v>0</v>
      </c>
      <c r="F116">
        <v>0</v>
      </c>
      <c r="G116" s="5">
        <v>7.8472222230629995E-3</v>
      </c>
      <c r="H116" t="s">
        <v>288</v>
      </c>
      <c r="I116" t="s">
        <v>289</v>
      </c>
      <c r="J116">
        <v>0</v>
      </c>
      <c r="K116">
        <f t="shared" ref="K116" si="122">IF(A116&lt;DATEVALUE("2025/11/20")+TIMEVALUE("6:00"),1,IF(B116-SUM(D116:F116)&lt;&gt;60,0,MAX(2-INT(G116*24*60/10),0)))</f>
        <v>1</v>
      </c>
      <c r="L116">
        <f t="shared" ref="L116" si="123">L115+K116</f>
        <v>113</v>
      </c>
      <c r="M116">
        <f t="shared" ref="M116" si="124">2+IF(A116&gt;=DATEVALUE("2025/11/30")+TIMEVALUE("6:00"),1,0)+IF(A116&gt;=DATEVALUE("2025/12/11")+TIMEVALUE("6:00"),1,0)</f>
        <v>4</v>
      </c>
      <c r="N116">
        <f t="shared" ref="N116" si="125">N115+M116*(INT(A116-6/24)-INT(A115-6/24))+O116</f>
        <v>116</v>
      </c>
      <c r="O116">
        <f t="shared" ref="O116" si="126">IF(A116&gt;=DATEVALUE("2025/11/8")+TIMEVALUE("6:00"),1,0)-IF(A115&gt;=DATEVALUE("2025/11/8")+TIMEVALUE("6:00"),1,0)</f>
        <v>0</v>
      </c>
      <c r="P116" t="str">
        <f t="shared" ref="P116" si="127">IF(L116&lt;N116,"未達成（"&amp;N116-L116&amp;"）",IF(L116=N116,"達成","前倒し（"&amp;L116-N116&amp;"）"))</f>
        <v>未達成（3）</v>
      </c>
    </row>
    <row r="117" spans="1:16">
      <c r="A117" s="3">
        <v>46008.480613425927</v>
      </c>
      <c r="B117">
        <v>60</v>
      </c>
      <c r="C117">
        <v>8</v>
      </c>
      <c r="D117">
        <v>0</v>
      </c>
      <c r="E117">
        <v>0</v>
      </c>
      <c r="F117">
        <v>0</v>
      </c>
      <c r="G117" s="5">
        <v>1.3935185183072463E-2</v>
      </c>
      <c r="H117" t="s">
        <v>290</v>
      </c>
      <c r="I117" t="s">
        <v>291</v>
      </c>
      <c r="J117">
        <v>0</v>
      </c>
      <c r="K117">
        <f t="shared" ref="K117" si="128">IF(A117&lt;DATEVALUE("2025/11/20")+TIMEVALUE("6:00"),1,IF(B117-SUM(D117:F117)&lt;&gt;60,0,MAX(2-INT(G117*24*60/10),0)))</f>
        <v>0</v>
      </c>
      <c r="L117">
        <f t="shared" ref="L117" si="129">L116+K117</f>
        <v>113</v>
      </c>
      <c r="M117">
        <f t="shared" ref="M117" si="130">2+IF(A117&gt;=DATEVALUE("2025/11/30")+TIMEVALUE("6:00"),1,0)+IF(A117&gt;=DATEVALUE("2025/12/11")+TIMEVALUE("6:00"),1,0)</f>
        <v>4</v>
      </c>
      <c r="N117">
        <f t="shared" ref="N117" si="131">N116+M117*(INT(A117-6/24)-INT(A116-6/24))+O117</f>
        <v>116</v>
      </c>
      <c r="O117">
        <f t="shared" ref="O117" si="132">IF(A117&gt;=DATEVALUE("2025/11/8")+TIMEVALUE("6:00"),1,0)-IF(A116&gt;=DATEVALUE("2025/11/8")+TIMEVALUE("6:00"),1,0)</f>
        <v>0</v>
      </c>
      <c r="P117" t="str">
        <f t="shared" ref="P117" si="133">IF(L117&lt;N117,"未達成（"&amp;N117-L117&amp;"）",IF(L117=N117,"達成","前倒し（"&amp;L117-N117&amp;"）"))</f>
        <v>未達成（3）</v>
      </c>
    </row>
    <row r="118" spans="1:16">
      <c r="A118" s="3">
        <v>46008.556168981479</v>
      </c>
      <c r="B118">
        <v>60</v>
      </c>
      <c r="C118">
        <v>20</v>
      </c>
      <c r="D118">
        <v>0</v>
      </c>
      <c r="E118">
        <v>0</v>
      </c>
      <c r="F118">
        <v>0</v>
      </c>
      <c r="G118" s="5">
        <v>8.8425925932824612E-3</v>
      </c>
      <c r="H118" t="s">
        <v>292</v>
      </c>
      <c r="I118" t="s">
        <v>293</v>
      </c>
      <c r="J118">
        <v>0</v>
      </c>
      <c r="K118">
        <f t="shared" ref="K118" si="134">IF(A118&lt;DATEVALUE("2025/11/20")+TIMEVALUE("6:00"),1,IF(B118-SUM(D118:F118)&lt;&gt;60,0,MAX(2-INT(G118*24*60/10),0)))</f>
        <v>1</v>
      </c>
      <c r="L118">
        <f t="shared" ref="L118" si="135">L117+K118</f>
        <v>114</v>
      </c>
      <c r="M118">
        <f t="shared" ref="M118" si="136">2+IF(A118&gt;=DATEVALUE("2025/11/30")+TIMEVALUE("6:00"),1,0)+IF(A118&gt;=DATEVALUE("2025/12/11")+TIMEVALUE("6:00"),1,0)</f>
        <v>4</v>
      </c>
      <c r="N118">
        <f t="shared" ref="N118" si="137">N117+M118*(INT(A118-6/24)-INT(A117-6/24))+O118</f>
        <v>116</v>
      </c>
      <c r="O118">
        <f t="shared" ref="O118" si="138">IF(A118&gt;=DATEVALUE("2025/11/8")+TIMEVALUE("6:00"),1,0)-IF(A117&gt;=DATEVALUE("2025/11/8")+TIMEVALUE("6:00"),1,0)</f>
        <v>0</v>
      </c>
      <c r="P118" t="str">
        <f t="shared" ref="P118" si="139">IF(L118&lt;N118,"未達成（"&amp;N118-L118&amp;"）",IF(L118=N118,"達成","前倒し（"&amp;L118-N118&amp;"）"))</f>
        <v>未達成（2）</v>
      </c>
    </row>
    <row r="119" spans="1:16">
      <c r="A119" s="3">
        <v>46008.573888888888</v>
      </c>
      <c r="B119">
        <v>60</v>
      </c>
      <c r="C119">
        <v>8</v>
      </c>
      <c r="D119">
        <v>0</v>
      </c>
      <c r="E119">
        <v>0</v>
      </c>
      <c r="F119">
        <v>0</v>
      </c>
      <c r="G119" s="5">
        <v>6.435185183363501E-3</v>
      </c>
      <c r="H119" t="s">
        <v>294</v>
      </c>
      <c r="I119" t="s">
        <v>295</v>
      </c>
      <c r="J119">
        <v>0</v>
      </c>
      <c r="K119">
        <f t="shared" ref="K119" si="140">IF(A119&lt;DATEVALUE("2025/11/20")+TIMEVALUE("6:00"),1,IF(B119-SUM(D119:F119)&lt;&gt;60,0,MAX(2-INT(G119*24*60/10),0)))</f>
        <v>2</v>
      </c>
      <c r="L119">
        <f t="shared" ref="L119" si="141">L118+K119</f>
        <v>116</v>
      </c>
      <c r="M119">
        <f t="shared" ref="M119" si="142">2+IF(A119&gt;=DATEVALUE("2025/11/30")+TIMEVALUE("6:00"),1,0)+IF(A119&gt;=DATEVALUE("2025/12/11")+TIMEVALUE("6:00"),1,0)</f>
        <v>4</v>
      </c>
      <c r="N119">
        <f t="shared" ref="N119" si="143">N118+M119*(INT(A119-6/24)-INT(A118-6/24))+O119</f>
        <v>116</v>
      </c>
      <c r="O119">
        <f t="shared" ref="O119" si="144">IF(A119&gt;=DATEVALUE("2025/11/8")+TIMEVALUE("6:00"),1,0)-IF(A118&gt;=DATEVALUE("2025/11/8")+TIMEVALUE("6:00"),1,0)</f>
        <v>0</v>
      </c>
      <c r="P119" t="str">
        <f t="shared" ref="P119" si="145">IF(L119&lt;N119,"未達成（"&amp;N119-L119&amp;"）",IF(L119=N119,"達成","前倒し（"&amp;L119-N119&amp;"）"))</f>
        <v>達成</v>
      </c>
    </row>
    <row r="120" spans="1:16">
      <c r="A120" s="3">
        <v>46009.282060185185</v>
      </c>
      <c r="B120">
        <v>60</v>
      </c>
      <c r="C120">
        <v>11</v>
      </c>
      <c r="D120">
        <v>0</v>
      </c>
      <c r="E120">
        <v>0</v>
      </c>
      <c r="F120">
        <v>0</v>
      </c>
      <c r="G120" s="5">
        <v>7.8009259232203476E-3</v>
      </c>
      <c r="H120" t="s">
        <v>296</v>
      </c>
      <c r="I120" t="s">
        <v>297</v>
      </c>
      <c r="J120">
        <v>0</v>
      </c>
      <c r="K120">
        <f t="shared" ref="K120" si="146">IF(A120&lt;DATEVALUE("2025/11/20")+TIMEVALUE("6:00"),1,IF(B120-SUM(D120:F120)&lt;&gt;60,0,MAX(2-INT(G120*24*60/10),0)))</f>
        <v>1</v>
      </c>
      <c r="L120">
        <f t="shared" ref="L120" si="147">L119+K120</f>
        <v>117</v>
      </c>
      <c r="M120">
        <f t="shared" ref="M120" si="148">2+IF(A120&gt;=DATEVALUE("2025/11/30")+TIMEVALUE("6:00"),1,0)+IF(A120&gt;=DATEVALUE("2025/12/11")+TIMEVALUE("6:00"),1,0)</f>
        <v>4</v>
      </c>
      <c r="N120">
        <f t="shared" ref="N120" si="149">N119+M120*(INT(A120-6/24)-INT(A119-6/24))+O120</f>
        <v>120</v>
      </c>
      <c r="O120">
        <f t="shared" ref="O120" si="150">IF(A120&gt;=DATEVALUE("2025/11/8")+TIMEVALUE("6:00"),1,0)-IF(A119&gt;=DATEVALUE("2025/11/8")+TIMEVALUE("6:00"),1,0)</f>
        <v>0</v>
      </c>
      <c r="P120" t="str">
        <f t="shared" ref="P120" si="151">IF(L120&lt;N120,"未達成（"&amp;N120-L120&amp;"）",IF(L120=N120,"達成","前倒し（"&amp;L120-N120&amp;"）"))</f>
        <v>未達成（3）</v>
      </c>
    </row>
    <row r="121" spans="1:16">
      <c r="A121" s="3">
        <v>46009.293854166666</v>
      </c>
      <c r="B121">
        <v>60</v>
      </c>
      <c r="C121">
        <v>8</v>
      </c>
      <c r="D121">
        <v>0</v>
      </c>
      <c r="E121">
        <v>0</v>
      </c>
      <c r="F121">
        <v>0</v>
      </c>
      <c r="G121" s="5">
        <v>8.3796296312357299E-3</v>
      </c>
      <c r="H121" t="s">
        <v>298</v>
      </c>
      <c r="I121" t="s">
        <v>299</v>
      </c>
      <c r="J121">
        <v>0</v>
      </c>
      <c r="K121">
        <f t="shared" ref="K121" si="152">IF(A121&lt;DATEVALUE("2025/11/20")+TIMEVALUE("6:00"),1,IF(B121-SUM(D121:F121)&lt;&gt;60,0,MAX(2-INT(G121*24*60/10),0)))</f>
        <v>1</v>
      </c>
      <c r="L121">
        <f t="shared" ref="L121" si="153">L120+K121</f>
        <v>118</v>
      </c>
      <c r="M121">
        <f t="shared" ref="M121" si="154">2+IF(A121&gt;=DATEVALUE("2025/11/30")+TIMEVALUE("6:00"),1,0)+IF(A121&gt;=DATEVALUE("2025/12/11")+TIMEVALUE("6:00"),1,0)</f>
        <v>4</v>
      </c>
      <c r="N121">
        <f t="shared" ref="N121" si="155">N120+M121*(INT(A121-6/24)-INT(A120-6/24))+O121</f>
        <v>120</v>
      </c>
      <c r="O121">
        <f t="shared" ref="O121" si="156">IF(A121&gt;=DATEVALUE("2025/11/8")+TIMEVALUE("6:00"),1,0)-IF(A120&gt;=DATEVALUE("2025/11/8")+TIMEVALUE("6:00"),1,0)</f>
        <v>0</v>
      </c>
      <c r="P121" t="str">
        <f t="shared" ref="P121" si="157">IF(L121&lt;N121,"未達成（"&amp;N121-L121&amp;"）",IF(L121=N121,"達成","前倒し（"&amp;L121-N121&amp;"）"))</f>
        <v>未達成（2）</v>
      </c>
    </row>
    <row r="122" spans="1:16">
      <c r="A122" s="3">
        <v>46009.372372685182</v>
      </c>
      <c r="B122">
        <v>53</v>
      </c>
      <c r="C122">
        <v>4</v>
      </c>
      <c r="D122">
        <v>0</v>
      </c>
      <c r="E122">
        <v>7</v>
      </c>
      <c r="F122">
        <v>5</v>
      </c>
      <c r="G122" s="5">
        <v>9.5717592557775788E-3</v>
      </c>
      <c r="H122" t="s">
        <v>300</v>
      </c>
      <c r="I122" t="s">
        <v>301</v>
      </c>
      <c r="J122">
        <v>0</v>
      </c>
      <c r="K122">
        <f t="shared" ref="K122" si="158">IF(A122&lt;DATEVALUE("2025/11/20")+TIMEVALUE("6:00"),1,IF(B122-SUM(D122:F122)&lt;&gt;60,0,MAX(2-INT(G122*24*60/10),0)))</f>
        <v>0</v>
      </c>
      <c r="L122">
        <f t="shared" ref="L122" si="159">L121+K122</f>
        <v>118</v>
      </c>
      <c r="M122">
        <f t="shared" ref="M122" si="160">2+IF(A122&gt;=DATEVALUE("2025/11/30")+TIMEVALUE("6:00"),1,0)+IF(A122&gt;=DATEVALUE("2025/12/11")+TIMEVALUE("6:00"),1,0)</f>
        <v>4</v>
      </c>
      <c r="N122">
        <f t="shared" ref="N122" si="161">N121+M122*(INT(A122-6/24)-INT(A121-6/24))+O122</f>
        <v>120</v>
      </c>
      <c r="O122">
        <f t="shared" ref="O122" si="162">IF(A122&gt;=DATEVALUE("2025/11/8")+TIMEVALUE("6:00"),1,0)-IF(A121&gt;=DATEVALUE("2025/11/8")+TIMEVALUE("6:00"),1,0)</f>
        <v>0</v>
      </c>
      <c r="P122" t="str">
        <f t="shared" ref="P122" si="163">IF(L122&lt;N122,"未達成（"&amp;N122-L122&amp;"）",IF(L122=N122,"達成","前倒し（"&amp;L122-N122&amp;"）"))</f>
        <v>未達成（2）</v>
      </c>
    </row>
    <row r="123" spans="1:16">
      <c r="A123" s="3">
        <v>46009.600648148145</v>
      </c>
      <c r="B123">
        <v>60</v>
      </c>
      <c r="C123">
        <v>8</v>
      </c>
      <c r="D123">
        <v>0</v>
      </c>
      <c r="E123">
        <v>0</v>
      </c>
      <c r="F123">
        <v>0</v>
      </c>
      <c r="G123" s="5">
        <v>6.5277777757728472E-3</v>
      </c>
      <c r="H123" t="s">
        <v>302</v>
      </c>
      <c r="I123" t="s">
        <v>303</v>
      </c>
      <c r="J123">
        <v>0</v>
      </c>
      <c r="K123">
        <f t="shared" ref="K123" si="164">IF(A123&lt;DATEVALUE("2025/11/20")+TIMEVALUE("6:00"),1,IF(B123-SUM(D123:F123)&lt;&gt;60,0,MAX(2-INT(G123*24*60/10),0)))</f>
        <v>2</v>
      </c>
      <c r="L123">
        <f t="shared" ref="L123" si="165">L122+K123</f>
        <v>120</v>
      </c>
      <c r="M123">
        <f t="shared" ref="M123" si="166">2+IF(A123&gt;=DATEVALUE("2025/11/30")+TIMEVALUE("6:00"),1,0)+IF(A123&gt;=DATEVALUE("2025/12/11")+TIMEVALUE("6:00"),1,0)</f>
        <v>4</v>
      </c>
      <c r="N123">
        <f t="shared" ref="N123" si="167">N122+M123*(INT(A123-6/24)-INT(A122-6/24))+O123</f>
        <v>120</v>
      </c>
      <c r="O123">
        <f t="shared" ref="O123" si="168">IF(A123&gt;=DATEVALUE("2025/11/8")+TIMEVALUE("6:00"),1,0)-IF(A122&gt;=DATEVALUE("2025/11/8")+TIMEVALUE("6:00"),1,0)</f>
        <v>0</v>
      </c>
      <c r="P123" t="str">
        <f t="shared" ref="P123" si="169">IF(L123&lt;N123,"未達成（"&amp;N123-L123&amp;"）",IF(L123=N123,"達成","前倒し（"&amp;L123-N123&amp;"）"))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46009.59412037037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2025-12-18T05:25:52Z</dcterms:modified>
</cp:coreProperties>
</file>
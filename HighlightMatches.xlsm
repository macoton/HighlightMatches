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8DC6618-26B3-4BF7-83E9-4916D924A57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5" i="4" l="1"/>
  <c r="O205" i="4"/>
  <c r="M205" i="4"/>
  <c r="N205" i="4" s="1"/>
  <c r="K205" i="4"/>
  <c r="L205" i="4" s="1"/>
  <c r="P205" i="4" s="1"/>
  <c r="Q204" i="4"/>
  <c r="O204" i="4"/>
  <c r="M204" i="4"/>
  <c r="N204" i="4" s="1"/>
  <c r="K204" i="4"/>
  <c r="L204" i="4" s="1"/>
  <c r="P204" i="4" s="1"/>
  <c r="Q203" i="4"/>
  <c r="O203" i="4"/>
  <c r="M203" i="4"/>
  <c r="N203" i="4" s="1"/>
  <c r="K203" i="4"/>
  <c r="L203" i="4" s="1"/>
  <c r="P203" i="4" s="1"/>
  <c r="Q202" i="4"/>
  <c r="O202" i="4"/>
  <c r="M202" i="4"/>
  <c r="N202" i="4" s="1"/>
  <c r="K202" i="4"/>
  <c r="L202" i="4" s="1"/>
  <c r="P202" i="4" s="1"/>
  <c r="Q201" i="4"/>
  <c r="O201" i="4"/>
  <c r="M201" i="4"/>
  <c r="N201" i="4" s="1"/>
  <c r="K201" i="4"/>
  <c r="L201" i="4" s="1"/>
  <c r="Q200" i="4"/>
  <c r="O200" i="4"/>
  <c r="M200" i="4"/>
  <c r="N200" i="4" s="1"/>
  <c r="K200" i="4"/>
  <c r="L200" i="4" s="1"/>
  <c r="Q199" i="4"/>
  <c r="O199" i="4"/>
  <c r="M199" i="4"/>
  <c r="N199" i="4" s="1"/>
  <c r="K199" i="4"/>
  <c r="L199" i="4" s="1"/>
  <c r="P199" i="4" s="1"/>
  <c r="Q198" i="4"/>
  <c r="O198" i="4"/>
  <c r="M198" i="4"/>
  <c r="N198" i="4" s="1"/>
  <c r="K198" i="4"/>
  <c r="L198" i="4" s="1"/>
  <c r="Q197" i="4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201" i="4" l="1"/>
  <c r="P200" i="4"/>
  <c r="P198" i="4"/>
  <c r="P192" i="4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<sst xmlns="http://schemas.openxmlformats.org/spreadsheetml/2006/main" count="487" uniqueCount="467">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</sst>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データ!$A$3:$A$205</c:f>
              <c:numCache>
                <c:formatCode>m/d/yyyy\ h:mm</c:formatCode>
                <c:ptCount val="20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</c:numCache>
            </c:numRef>
          </c:xVal>
          <c:yVal>
            <c:numRef>
              <c:f>データ!$B$3:$B$205</c:f>
              <c:numCache>
                <c:formatCode>General</c:formatCode>
                <c:ptCount val="20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30-4660-B80E-B7F8C0ED24A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9830-4660-B80E-B7F8C0ED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54752"/>
        <c:axId val="25654851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データ!$A$3:$A$205</c:f>
              <c:numCache>
                <c:formatCode>m/d/yyyy\ h:mm</c:formatCode>
                <c:ptCount val="20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</c:numCache>
            </c:numRef>
          </c:xVal>
          <c:yVal>
            <c:numRef>
              <c:f>データ!$Q$3:$Q$205</c:f>
              <c:numCache>
                <c:formatCode>[h]:mm</c:formatCode>
                <c:ptCount val="20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30-4660-B80E-B7F8C0ED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93632"/>
        <c:axId val="256540352"/>
      </c:scatterChart>
      <c:valAx>
        <c:axId val="25655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6548512"/>
        <c:crosses val="autoZero"/>
        <c:crossBetween val="midCat"/>
      </c:valAx>
      <c:valAx>
        <c:axId val="25654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6554752"/>
        <c:crosses val="autoZero"/>
        <c:crossBetween val="midCat"/>
      </c:valAx>
      <c:valAx>
        <c:axId val="25654035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6593632"/>
        <c:crosses val="max"/>
        <c:crossBetween val="midCat"/>
      </c:valAx>
      <c:valAx>
        <c:axId val="25659363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654035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843" name="Match0">
          <a:extLst>
            <a:ext uri="{FF2B5EF4-FFF2-40B4-BE49-F238E27FC236}">
              <a16:creationId xmlns:a16="http://schemas.microsoft.com/office/drawing/2014/main" id="{522A1BBC-77F2-881F-6B38-2C955EF2ADC0}"/>
            </a:ext>
          </a:extLst>
        </xdr:cNvPr>
        <xdr:cNvCxnSpPr/>
      </xdr:nvCxnSpPr>
      <xdr:spPr>
        <a:xfrm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844" name="Match1">
          <a:extLst>
            <a:ext uri="{FF2B5EF4-FFF2-40B4-BE49-F238E27FC236}">
              <a16:creationId xmlns:a16="http://schemas.microsoft.com/office/drawing/2014/main" id="{F97CE539-68B5-A22E-E278-52761B155B8D}"/>
            </a:ext>
          </a:extLst>
        </xdr:cNvPr>
        <xdr:cNvCxnSpPr/>
      </xdr:nvCxnSpPr>
      <xdr:spPr>
        <a:xfrm flipH="1"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845" name="Match2">
          <a:extLst>
            <a:ext uri="{FF2B5EF4-FFF2-40B4-BE49-F238E27FC236}">
              <a16:creationId xmlns:a16="http://schemas.microsoft.com/office/drawing/2014/main" id="{515675A8-CB61-478D-BF4E-6AD405E889CD}"/>
            </a:ext>
          </a:extLst>
        </xdr:cNvPr>
        <xdr:cNvCxnSpPr/>
      </xdr:nvCxnSpPr>
      <xdr:spPr>
        <a:xfrm>
          <a:off x="275510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846" name="Match3">
          <a:extLst>
            <a:ext uri="{FF2B5EF4-FFF2-40B4-BE49-F238E27FC236}">
              <a16:creationId xmlns:a16="http://schemas.microsoft.com/office/drawing/2014/main" id="{84F000D7-0F92-1CCD-1F4B-D84F50F87DDB}"/>
            </a:ext>
          </a:extLst>
        </xdr:cNvPr>
        <xdr:cNvCxnSpPr/>
      </xdr:nvCxnSpPr>
      <xdr:spPr>
        <a:xfrm>
          <a:off x="278050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847" name="Match4">
          <a:extLst>
            <a:ext uri="{FF2B5EF4-FFF2-40B4-BE49-F238E27FC236}">
              <a16:creationId xmlns:a16="http://schemas.microsoft.com/office/drawing/2014/main" id="{39698439-3A5E-95E7-ACE6-44DEFD7F904F}"/>
            </a:ext>
          </a:extLst>
        </xdr:cNvPr>
        <xdr:cNvCxnSpPr/>
      </xdr:nvCxnSpPr>
      <xdr:spPr>
        <a:xfrm flipH="1"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4</xdr:row>
      <xdr:rowOff>203994</xdr:rowOff>
    </xdr:to>
    <xdr:cxnSp macro="">
      <xdr:nvCxnSpPr>
        <xdr:cNvPr id="1848" name="Match5">
          <a:extLst>
            <a:ext uri="{FF2B5EF4-FFF2-40B4-BE49-F238E27FC236}">
              <a16:creationId xmlns:a16="http://schemas.microsoft.com/office/drawing/2014/main" id="{8619F1C3-15C2-88EA-D132-704F3DA113B8}"/>
            </a:ext>
          </a:extLst>
        </xdr:cNvPr>
        <xdr:cNvCxnSpPr/>
      </xdr:nvCxnSpPr>
      <xdr:spPr>
        <a:xfrm flipH="1">
          <a:off x="278050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849" name="Match6">
          <a:extLst>
            <a:ext uri="{FF2B5EF4-FFF2-40B4-BE49-F238E27FC236}">
              <a16:creationId xmlns:a16="http://schemas.microsoft.com/office/drawing/2014/main" id="{A76997FB-DC30-0290-290C-C880B7D3A766}"/>
            </a:ext>
          </a:extLst>
        </xdr:cNvPr>
        <xdr:cNvCxnSpPr/>
      </xdr:nvCxnSpPr>
      <xdr:spPr>
        <a:xfrm flipV="1"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5</xdr:row>
      <xdr:rowOff>203993</xdr:rowOff>
    </xdr:to>
    <xdr:cxnSp macro="">
      <xdr:nvCxnSpPr>
        <xdr:cNvPr id="1850" name="Match7">
          <a:extLst>
            <a:ext uri="{FF2B5EF4-FFF2-40B4-BE49-F238E27FC236}">
              <a16:creationId xmlns:a16="http://schemas.microsoft.com/office/drawing/2014/main" id="{3B56506C-A52E-0F03-AFFA-10EB2DE2BFD1}"/>
            </a:ext>
          </a:extLst>
        </xdr:cNvPr>
        <xdr:cNvCxnSpPr/>
      </xdr:nvCxnSpPr>
      <xdr:spPr>
        <a:xfrm flipV="1">
          <a:off x="278050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851" name="Match8">
          <a:extLst>
            <a:ext uri="{FF2B5EF4-FFF2-40B4-BE49-F238E27FC236}">
              <a16:creationId xmlns:a16="http://schemas.microsoft.com/office/drawing/2014/main" id="{1570B8EC-44BB-2C08-839F-7843E17AF49F}"/>
            </a:ext>
          </a:extLst>
        </xdr:cNvPr>
        <xdr:cNvCxnSpPr/>
      </xdr:nvCxnSpPr>
      <xdr:spPr>
        <a:xfrm flipH="1">
          <a:off x="2755106" y="3036094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852" name="Match9">
          <a:extLst>
            <a:ext uri="{FF2B5EF4-FFF2-40B4-BE49-F238E27FC236}">
              <a16:creationId xmlns:a16="http://schemas.microsoft.com/office/drawing/2014/main" id="{6FE65A03-75D1-3B71-A599-AAD2E89AB024}"/>
            </a:ext>
          </a:extLst>
        </xdr:cNvPr>
        <xdr:cNvCxnSpPr/>
      </xdr:nvCxnSpPr>
      <xdr:spPr>
        <a:xfrm flipH="1">
          <a:off x="211931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853" name="Match10">
          <a:extLst>
            <a:ext uri="{FF2B5EF4-FFF2-40B4-BE49-F238E27FC236}">
              <a16:creationId xmlns:a16="http://schemas.microsoft.com/office/drawing/2014/main" id="{EC25092E-B7E0-1BC3-C094-BC323A0822E6}"/>
            </a:ext>
          </a:extLst>
        </xdr:cNvPr>
        <xdr:cNvCxnSpPr/>
      </xdr:nvCxnSpPr>
      <xdr:spPr>
        <a:xfrm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10</xdr:col>
      <xdr:colOff>237331</xdr:colOff>
      <xdr:row>1</xdr:row>
      <xdr:rowOff>203993</xdr:rowOff>
    </xdr:to>
    <xdr:cxnSp macro="">
      <xdr:nvCxnSpPr>
        <xdr:cNvPr id="1854" name="Match11">
          <a:extLst>
            <a:ext uri="{FF2B5EF4-FFF2-40B4-BE49-F238E27FC236}">
              <a16:creationId xmlns:a16="http://schemas.microsoft.com/office/drawing/2014/main" id="{9B40FD41-1BCB-5A1A-4EC9-4300E9F28B5B}"/>
            </a:ext>
          </a:extLst>
        </xdr:cNvPr>
        <xdr:cNvCxnSpPr/>
      </xdr:nvCxnSpPr>
      <xdr:spPr>
        <a:xfrm flipH="1">
          <a:off x="40520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855" name="Match12">
          <a:extLst>
            <a:ext uri="{FF2B5EF4-FFF2-40B4-BE49-F238E27FC236}">
              <a16:creationId xmlns:a16="http://schemas.microsoft.com/office/drawing/2014/main" id="{ED293A4D-365F-C27F-587F-813BB0685D27}"/>
            </a:ext>
          </a:extLst>
        </xdr:cNvPr>
        <xdr:cNvCxnSpPr/>
      </xdr:nvCxnSpPr>
      <xdr:spPr>
        <a:xfrm>
          <a:off x="317896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024" name="Match13">
          <a:extLst>
            <a:ext uri="{FF2B5EF4-FFF2-40B4-BE49-F238E27FC236}">
              <a16:creationId xmlns:a16="http://schemas.microsoft.com/office/drawing/2014/main" id="{EF982D0C-1F5F-6591-1312-9DF1197661A9}"/>
            </a:ext>
          </a:extLst>
        </xdr:cNvPr>
        <xdr:cNvCxnSpPr/>
      </xdr:nvCxnSpPr>
      <xdr:spPr>
        <a:xfrm flipH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025" name="Match14">
          <a:extLst>
            <a:ext uri="{FF2B5EF4-FFF2-40B4-BE49-F238E27FC236}">
              <a16:creationId xmlns:a16="http://schemas.microsoft.com/office/drawing/2014/main" id="{16869883-A351-42BA-633B-5C2903BCD65F}"/>
            </a:ext>
          </a:extLst>
        </xdr:cNvPr>
        <xdr:cNvCxnSpPr/>
      </xdr:nvCxnSpPr>
      <xdr:spPr>
        <a:xfrm flipV="1">
          <a:off x="40266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026" name="Match15">
          <a:extLst>
            <a:ext uri="{FF2B5EF4-FFF2-40B4-BE49-F238E27FC236}">
              <a16:creationId xmlns:a16="http://schemas.microsoft.com/office/drawing/2014/main" id="{52553B9A-A20E-DE93-640B-B0C4B753E050}"/>
            </a:ext>
          </a:extLst>
        </xdr:cNvPr>
        <xdr:cNvCxnSpPr/>
      </xdr:nvCxnSpPr>
      <xdr:spPr>
        <a:xfrm flipH="1"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027" name="Match16">
          <a:extLst>
            <a:ext uri="{FF2B5EF4-FFF2-40B4-BE49-F238E27FC236}">
              <a16:creationId xmlns:a16="http://schemas.microsoft.com/office/drawing/2014/main" id="{03EDDFB2-681B-FF86-FB28-B565C8F3ED27}"/>
            </a:ext>
          </a:extLst>
        </xdr:cNvPr>
        <xdr:cNvCxnSpPr/>
      </xdr:nvCxnSpPr>
      <xdr:spPr>
        <a:xfrm flipV="1">
          <a:off x="278050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028" name="Match17">
          <a:extLst>
            <a:ext uri="{FF2B5EF4-FFF2-40B4-BE49-F238E27FC236}">
              <a16:creationId xmlns:a16="http://schemas.microsoft.com/office/drawing/2014/main" id="{B1005BF7-A462-9659-E328-FB3A24EF77C8}"/>
            </a:ext>
          </a:extLst>
        </xdr:cNvPr>
        <xdr:cNvCxnSpPr/>
      </xdr:nvCxnSpPr>
      <xdr:spPr>
        <a:xfrm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1029" name="Match18">
          <a:extLst>
            <a:ext uri="{FF2B5EF4-FFF2-40B4-BE49-F238E27FC236}">
              <a16:creationId xmlns:a16="http://schemas.microsoft.com/office/drawing/2014/main" id="{3FF76FC5-CE58-F43C-E951-0B0ADEBCDC1F}"/>
            </a:ext>
          </a:extLst>
        </xdr:cNvPr>
        <xdr:cNvCxnSpPr/>
      </xdr:nvCxnSpPr>
      <xdr:spPr>
        <a:xfrm flipV="1">
          <a:off x="2373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030" name="Match19">
          <a:extLst>
            <a:ext uri="{FF2B5EF4-FFF2-40B4-BE49-F238E27FC236}">
              <a16:creationId xmlns:a16="http://schemas.microsoft.com/office/drawing/2014/main" id="{19B705C6-0FF8-219F-278C-00C78CC5A7D7}"/>
            </a:ext>
          </a:extLst>
        </xdr:cNvPr>
        <xdr:cNvCxnSpPr/>
      </xdr:nvCxnSpPr>
      <xdr:spPr>
        <a:xfrm flipH="1" flipV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31" name="Match20">
          <a:extLst>
            <a:ext uri="{FF2B5EF4-FFF2-40B4-BE49-F238E27FC236}">
              <a16:creationId xmlns:a16="http://schemas.microsoft.com/office/drawing/2014/main" id="{965546BF-CB0B-BF00-3397-BB20A5EB90F3}"/>
            </a:ext>
          </a:extLst>
        </xdr:cNvPr>
        <xdr:cNvCxnSpPr/>
      </xdr:nvCxnSpPr>
      <xdr:spPr>
        <a:xfrm flipH="1"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032" name="Match21">
          <a:extLst>
            <a:ext uri="{FF2B5EF4-FFF2-40B4-BE49-F238E27FC236}">
              <a16:creationId xmlns:a16="http://schemas.microsoft.com/office/drawing/2014/main" id="{8A552283-955A-D909-EB8E-CFA2BD784ED4}"/>
            </a:ext>
          </a:extLst>
        </xdr:cNvPr>
        <xdr:cNvCxnSpPr/>
      </xdr:nvCxnSpPr>
      <xdr:spPr>
        <a:xfrm>
          <a:off x="635794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033" name="Match22">
          <a:extLst>
            <a:ext uri="{FF2B5EF4-FFF2-40B4-BE49-F238E27FC236}">
              <a16:creationId xmlns:a16="http://schemas.microsoft.com/office/drawing/2014/main" id="{010F4E91-E221-ADD0-2EF2-294DE0723DE1}"/>
            </a:ext>
          </a:extLst>
        </xdr:cNvPr>
        <xdr:cNvCxnSpPr/>
      </xdr:nvCxnSpPr>
      <xdr:spPr>
        <a:xfrm flipH="1" flipV="1">
          <a:off x="2331244" y="53578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034" name="Match23">
          <a:extLst>
            <a:ext uri="{FF2B5EF4-FFF2-40B4-BE49-F238E27FC236}">
              <a16:creationId xmlns:a16="http://schemas.microsoft.com/office/drawing/2014/main" id="{276AC80B-F98A-961A-0D50-7E32A8E35EDC}"/>
            </a:ext>
          </a:extLst>
        </xdr:cNvPr>
        <xdr:cNvCxnSpPr/>
      </xdr:nvCxnSpPr>
      <xdr:spPr>
        <a:xfrm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035" name="Match24">
          <a:extLst>
            <a:ext uri="{FF2B5EF4-FFF2-40B4-BE49-F238E27FC236}">
              <a16:creationId xmlns:a16="http://schemas.microsoft.com/office/drawing/2014/main" id="{3A0059DB-518C-A45A-DA8E-AB06E498C88E}"/>
            </a:ext>
          </a:extLst>
        </xdr:cNvPr>
        <xdr:cNvCxnSpPr/>
      </xdr:nvCxnSpPr>
      <xdr:spPr>
        <a:xfrm flipH="1">
          <a:off x="235664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36" name="Match25">
          <a:extLst>
            <a:ext uri="{FF2B5EF4-FFF2-40B4-BE49-F238E27FC236}">
              <a16:creationId xmlns:a16="http://schemas.microsoft.com/office/drawing/2014/main" id="{1964FCD8-9E88-1078-42AC-2A6F00457824}"/>
            </a:ext>
          </a:extLst>
        </xdr:cNvPr>
        <xdr:cNvCxnSpPr/>
      </xdr:nvCxnSpPr>
      <xdr:spPr>
        <a:xfrm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1037" name="Match26">
          <a:extLst>
            <a:ext uri="{FF2B5EF4-FFF2-40B4-BE49-F238E27FC236}">
              <a16:creationId xmlns:a16="http://schemas.microsoft.com/office/drawing/2014/main" id="{DA73347C-09E8-7D13-E797-9D7B6097642A}"/>
            </a:ext>
          </a:extLst>
        </xdr:cNvPr>
        <xdr:cNvCxnSpPr/>
      </xdr:nvCxnSpPr>
      <xdr:spPr>
        <a:xfrm flipV="1">
          <a:off x="108505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038" name="Match27">
          <a:extLst>
            <a:ext uri="{FF2B5EF4-FFF2-40B4-BE49-F238E27FC236}">
              <a16:creationId xmlns:a16="http://schemas.microsoft.com/office/drawing/2014/main" id="{C2C3A130-1824-2112-61CB-5CA74D4F0BFF}"/>
            </a:ext>
          </a:extLst>
        </xdr:cNvPr>
        <xdr:cNvCxnSpPr/>
      </xdr:nvCxnSpPr>
      <xdr:spPr>
        <a:xfrm>
          <a:off x="233124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1039" name="Match28">
          <a:extLst>
            <a:ext uri="{FF2B5EF4-FFF2-40B4-BE49-F238E27FC236}">
              <a16:creationId xmlns:a16="http://schemas.microsoft.com/office/drawing/2014/main" id="{C46DCD65-DEC6-827A-DD3C-8BDD3AAB98EA}"/>
            </a:ext>
          </a:extLst>
        </xdr:cNvPr>
        <xdr:cNvCxnSpPr/>
      </xdr:nvCxnSpPr>
      <xdr:spPr>
        <a:xfrm flipV="1">
          <a:off x="235664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040" name="Match29">
          <a:extLst>
            <a:ext uri="{FF2B5EF4-FFF2-40B4-BE49-F238E27FC236}">
              <a16:creationId xmlns:a16="http://schemas.microsoft.com/office/drawing/2014/main" id="{E23D9E46-E4CF-7447-2A95-2778A9AA3232}"/>
            </a:ext>
          </a:extLst>
        </xdr:cNvPr>
        <xdr:cNvCxnSpPr/>
      </xdr:nvCxnSpPr>
      <xdr:spPr>
        <a:xfrm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041" name="Match30">
          <a:extLst>
            <a:ext uri="{FF2B5EF4-FFF2-40B4-BE49-F238E27FC236}">
              <a16:creationId xmlns:a16="http://schemas.microsoft.com/office/drawing/2014/main" id="{EC9185C6-D1E2-013D-7C42-DAFD93C2B901}"/>
            </a:ext>
          </a:extLst>
        </xdr:cNvPr>
        <xdr:cNvCxnSpPr/>
      </xdr:nvCxnSpPr>
      <xdr:spPr>
        <a:xfrm flipV="1">
          <a:off x="36282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042" name="Match31">
          <a:extLst>
            <a:ext uri="{FF2B5EF4-FFF2-40B4-BE49-F238E27FC236}">
              <a16:creationId xmlns:a16="http://schemas.microsoft.com/office/drawing/2014/main" id="{BC3AB80F-74F2-4D6F-B760-6876A4EA352D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043" name="Match32">
          <a:extLst>
            <a:ext uri="{FF2B5EF4-FFF2-40B4-BE49-F238E27FC236}">
              <a16:creationId xmlns:a16="http://schemas.microsoft.com/office/drawing/2014/main" id="{0C1A7DAC-FC24-1826-2811-445C0AD85B05}"/>
            </a:ext>
          </a:extLst>
        </xdr:cNvPr>
        <xdr:cNvCxnSpPr/>
      </xdr:nvCxnSpPr>
      <xdr:spPr>
        <a:xfrm flipV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044" name="Match33">
          <a:extLst>
            <a:ext uri="{FF2B5EF4-FFF2-40B4-BE49-F238E27FC236}">
              <a16:creationId xmlns:a16="http://schemas.microsoft.com/office/drawing/2014/main" id="{0C5CD4EE-FEEC-6F4D-F010-EF2343B6F336}"/>
            </a:ext>
          </a:extLst>
        </xdr:cNvPr>
        <xdr:cNvCxnSpPr/>
      </xdr:nvCxnSpPr>
      <xdr:spPr>
        <a:xfrm>
          <a:off x="63579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045" name="Match34">
          <a:extLst>
            <a:ext uri="{FF2B5EF4-FFF2-40B4-BE49-F238E27FC236}">
              <a16:creationId xmlns:a16="http://schemas.microsoft.com/office/drawing/2014/main" id="{7540E3B7-F384-3522-2A34-15B710276CBD}"/>
            </a:ext>
          </a:extLst>
        </xdr:cNvPr>
        <xdr:cNvCxnSpPr/>
      </xdr:nvCxnSpPr>
      <xdr:spPr>
        <a:xfrm flipH="1">
          <a:off x="635794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6</xdr:col>
      <xdr:colOff>237331</xdr:colOff>
      <xdr:row>10</xdr:row>
      <xdr:rowOff>203994</xdr:rowOff>
    </xdr:to>
    <xdr:cxnSp macro="">
      <xdr:nvCxnSpPr>
        <xdr:cNvPr id="1046" name="Match35">
          <a:extLst>
            <a:ext uri="{FF2B5EF4-FFF2-40B4-BE49-F238E27FC236}">
              <a16:creationId xmlns:a16="http://schemas.microsoft.com/office/drawing/2014/main" id="{06C177A9-1091-4CE9-9832-9C948A40561F}"/>
            </a:ext>
          </a:extLst>
        </xdr:cNvPr>
        <xdr:cNvCxnSpPr/>
      </xdr:nvCxnSpPr>
      <xdr:spPr>
        <a:xfrm>
          <a:off x="1085056" y="2347119"/>
          <a:ext cx="169545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1047" name="Match36">
          <a:extLst>
            <a:ext uri="{FF2B5EF4-FFF2-40B4-BE49-F238E27FC236}">
              <a16:creationId xmlns:a16="http://schemas.microsoft.com/office/drawing/2014/main" id="{154A6244-38E0-D8F6-E671-862BEFCE3FD2}"/>
            </a:ext>
          </a:extLst>
        </xdr:cNvPr>
        <xdr:cNvCxnSpPr/>
      </xdr:nvCxnSpPr>
      <xdr:spPr>
        <a:xfrm flipH="1">
          <a:off x="1483519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048" name="Match37">
          <a:extLst>
            <a:ext uri="{FF2B5EF4-FFF2-40B4-BE49-F238E27FC236}">
              <a16:creationId xmlns:a16="http://schemas.microsoft.com/office/drawing/2014/main" id="{7D86F277-31FC-60C4-5632-4B99B8A950E3}"/>
            </a:ext>
          </a:extLst>
        </xdr:cNvPr>
        <xdr:cNvCxnSpPr/>
      </xdr:nvCxnSpPr>
      <xdr:spPr>
        <a:xfrm>
          <a:off x="3178969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049" name="Match38">
          <a:extLst>
            <a:ext uri="{FF2B5EF4-FFF2-40B4-BE49-F238E27FC236}">
              <a16:creationId xmlns:a16="http://schemas.microsoft.com/office/drawing/2014/main" id="{708C7FFB-51A7-C4DD-4F66-C68C00F404C0}"/>
            </a:ext>
          </a:extLst>
        </xdr:cNvPr>
        <xdr:cNvCxnSpPr/>
      </xdr:nvCxnSpPr>
      <xdr:spPr>
        <a:xfrm>
          <a:off x="4874419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055" name="Match39">
          <a:extLst>
            <a:ext uri="{FF2B5EF4-FFF2-40B4-BE49-F238E27FC236}">
              <a16:creationId xmlns:a16="http://schemas.microsoft.com/office/drawing/2014/main" id="{570F8443-5335-99F0-8361-19E012D52FF2}"/>
            </a:ext>
          </a:extLst>
        </xdr:cNvPr>
        <xdr:cNvCxnSpPr/>
      </xdr:nvCxnSpPr>
      <xdr:spPr>
        <a:xfrm>
          <a:off x="1907381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056" name="Match40">
          <a:extLst>
            <a:ext uri="{FF2B5EF4-FFF2-40B4-BE49-F238E27FC236}">
              <a16:creationId xmlns:a16="http://schemas.microsoft.com/office/drawing/2014/main" id="{353ABE68-AA45-DDFF-F29D-667350353371}"/>
            </a:ext>
          </a:extLst>
        </xdr:cNvPr>
        <xdr:cNvCxnSpPr/>
      </xdr:nvCxnSpPr>
      <xdr:spPr>
        <a:xfrm flipH="1">
          <a:off x="2331244" y="196453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057" name="Match41">
          <a:extLst>
            <a:ext uri="{FF2B5EF4-FFF2-40B4-BE49-F238E27FC236}">
              <a16:creationId xmlns:a16="http://schemas.microsoft.com/office/drawing/2014/main" id="{31F0C412-E273-4B0C-0431-C8030F6229B7}"/>
            </a:ext>
          </a:extLst>
        </xdr:cNvPr>
        <xdr:cNvCxnSpPr/>
      </xdr:nvCxnSpPr>
      <xdr:spPr>
        <a:xfrm flipH="1" flipV="1">
          <a:off x="3178969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8</xdr:col>
      <xdr:colOff>237331</xdr:colOff>
      <xdr:row>0</xdr:row>
      <xdr:rowOff>203994</xdr:rowOff>
    </xdr:to>
    <xdr:cxnSp macro="">
      <xdr:nvCxnSpPr>
        <xdr:cNvPr id="1061" name="Match42">
          <a:extLst>
            <a:ext uri="{FF2B5EF4-FFF2-40B4-BE49-F238E27FC236}">
              <a16:creationId xmlns:a16="http://schemas.microsoft.com/office/drawing/2014/main" id="{73B5855D-2D71-1B8D-DF7A-60A23208B697}"/>
            </a:ext>
          </a:extLst>
        </xdr:cNvPr>
        <xdr:cNvCxnSpPr/>
      </xdr:nvCxnSpPr>
      <xdr:spPr>
        <a:xfrm>
          <a:off x="2780506" y="203994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064" name="Match43">
          <a:extLst>
            <a:ext uri="{FF2B5EF4-FFF2-40B4-BE49-F238E27FC236}">
              <a16:creationId xmlns:a16="http://schemas.microsoft.com/office/drawing/2014/main" id="{5CFFFF32-8266-6F4D-7E8E-7F37779085FA}"/>
            </a:ext>
          </a:extLst>
        </xdr:cNvPr>
        <xdr:cNvCxnSpPr/>
      </xdr:nvCxnSpPr>
      <xdr:spPr>
        <a:xfrm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65" name="Match44">
          <a:extLst>
            <a:ext uri="{FF2B5EF4-FFF2-40B4-BE49-F238E27FC236}">
              <a16:creationId xmlns:a16="http://schemas.microsoft.com/office/drawing/2014/main" id="{3EBFEE6B-A067-3BB6-9DF2-7F57CD16D53C}"/>
            </a:ext>
          </a:extLst>
        </xdr:cNvPr>
        <xdr:cNvCxnSpPr/>
      </xdr:nvCxnSpPr>
      <xdr:spPr>
        <a:xfrm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1066" name="Match45">
          <a:extLst>
            <a:ext uri="{FF2B5EF4-FFF2-40B4-BE49-F238E27FC236}">
              <a16:creationId xmlns:a16="http://schemas.microsoft.com/office/drawing/2014/main" id="{EC0AEC67-F93C-CD3B-21F7-F8666DC8ED31}"/>
            </a:ext>
          </a:extLst>
        </xdr:cNvPr>
        <xdr:cNvCxnSpPr/>
      </xdr:nvCxnSpPr>
      <xdr:spPr>
        <a:xfrm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1067" name="Match46">
          <a:extLst>
            <a:ext uri="{FF2B5EF4-FFF2-40B4-BE49-F238E27FC236}">
              <a16:creationId xmlns:a16="http://schemas.microsoft.com/office/drawing/2014/main" id="{CB9A5AAD-7B41-6D2E-F5C0-3FBC93509A70}"/>
            </a:ext>
          </a:extLst>
        </xdr:cNvPr>
        <xdr:cNvCxnSpPr/>
      </xdr:nvCxnSpPr>
      <xdr:spPr>
        <a:xfrm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068" name="Match47">
          <a:extLst>
            <a:ext uri="{FF2B5EF4-FFF2-40B4-BE49-F238E27FC236}">
              <a16:creationId xmlns:a16="http://schemas.microsoft.com/office/drawing/2014/main" id="{EDE5E006-BD18-894E-F89E-469FA50ECB16}"/>
            </a:ext>
          </a:extLst>
        </xdr:cNvPr>
        <xdr:cNvCxnSpPr/>
      </xdr:nvCxnSpPr>
      <xdr:spPr>
        <a:xfrm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69" name="Match48">
          <a:extLst>
            <a:ext uri="{FF2B5EF4-FFF2-40B4-BE49-F238E27FC236}">
              <a16:creationId xmlns:a16="http://schemas.microsoft.com/office/drawing/2014/main" id="{69EAB0F5-8D02-D680-B8DC-6C57A5AA5DCB}"/>
            </a:ext>
          </a:extLst>
        </xdr:cNvPr>
        <xdr:cNvCxnSpPr/>
      </xdr:nvCxnSpPr>
      <xdr:spPr>
        <a:xfrm flipH="1"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070" name="Match49">
          <a:extLst>
            <a:ext uri="{FF2B5EF4-FFF2-40B4-BE49-F238E27FC236}">
              <a16:creationId xmlns:a16="http://schemas.microsoft.com/office/drawing/2014/main" id="{427B6E32-58BE-CF56-9667-7933FC9748AF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071" name="Match50">
          <a:extLst>
            <a:ext uri="{FF2B5EF4-FFF2-40B4-BE49-F238E27FC236}">
              <a16:creationId xmlns:a16="http://schemas.microsoft.com/office/drawing/2014/main" id="{8573E344-3107-9A93-0D01-CAAE53008760}"/>
            </a:ext>
          </a:extLst>
        </xdr:cNvPr>
        <xdr:cNvCxnSpPr/>
      </xdr:nvCxnSpPr>
      <xdr:spPr>
        <a:xfrm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072" name="Match51">
          <a:extLst>
            <a:ext uri="{FF2B5EF4-FFF2-40B4-BE49-F238E27FC236}">
              <a16:creationId xmlns:a16="http://schemas.microsoft.com/office/drawing/2014/main" id="{4C8D18ED-59A2-4588-70BE-7752CB49B8E5}"/>
            </a:ext>
          </a:extLst>
        </xdr:cNvPr>
        <xdr:cNvCxnSpPr/>
      </xdr:nvCxnSpPr>
      <xdr:spPr>
        <a:xfrm flipH="1"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073" name="Match52">
          <a:extLst>
            <a:ext uri="{FF2B5EF4-FFF2-40B4-BE49-F238E27FC236}">
              <a16:creationId xmlns:a16="http://schemas.microsoft.com/office/drawing/2014/main" id="{93BF2D0E-FC3C-EAF4-1936-375B6D78C0E4}"/>
            </a:ext>
          </a:extLst>
        </xdr:cNvPr>
        <xdr:cNvCxnSpPr/>
      </xdr:nvCxnSpPr>
      <xdr:spPr>
        <a:xfrm flipV="1">
          <a:off x="14835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074" name="Match53">
          <a:extLst>
            <a:ext uri="{FF2B5EF4-FFF2-40B4-BE49-F238E27FC236}">
              <a16:creationId xmlns:a16="http://schemas.microsoft.com/office/drawing/2014/main" id="{F95B153A-A01F-2013-EAAC-953BB596EB62}"/>
            </a:ext>
          </a:extLst>
        </xdr:cNvPr>
        <xdr:cNvCxnSpPr/>
      </xdr:nvCxnSpPr>
      <xdr:spPr>
        <a:xfrm flipH="1" flipV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075" name="Match54">
          <a:extLst>
            <a:ext uri="{FF2B5EF4-FFF2-40B4-BE49-F238E27FC236}">
              <a16:creationId xmlns:a16="http://schemas.microsoft.com/office/drawing/2014/main" id="{08A2FA13-A0F5-81F0-7C60-02AA2FF6019D}"/>
            </a:ext>
          </a:extLst>
        </xdr:cNvPr>
        <xdr:cNvCxnSpPr/>
      </xdr:nvCxnSpPr>
      <xdr:spPr>
        <a:xfrm>
          <a:off x="402669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076" name="Match55">
          <a:extLst>
            <a:ext uri="{FF2B5EF4-FFF2-40B4-BE49-F238E27FC236}">
              <a16:creationId xmlns:a16="http://schemas.microsoft.com/office/drawing/2014/main" id="{8B5D0F38-759B-2D4F-8FBC-2EB83E73DCD6}"/>
            </a:ext>
          </a:extLst>
        </xdr:cNvPr>
        <xdr:cNvCxnSpPr/>
      </xdr:nvCxnSpPr>
      <xdr:spPr>
        <a:xfrm flipH="1">
          <a:off x="3602831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6CE1513-7F78-2F40-B252-360866A59A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1" sqref="I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4</v>
      </c>
      <c r="B1" s="22">
        <v>6</v>
      </c>
      <c r="C1" s="23">
        <v>6</v>
      </c>
      <c r="D1" s="27">
        <v>5</v>
      </c>
      <c r="E1" s="23">
        <v>6</v>
      </c>
      <c r="F1" s="22">
        <v>3</v>
      </c>
      <c r="G1" s="22">
        <v>3</v>
      </c>
      <c r="H1" s="22">
        <v>7</v>
      </c>
      <c r="I1" s="22">
        <v>7</v>
      </c>
      <c r="J1" s="27">
        <v>7</v>
      </c>
      <c r="K1" s="23">
        <v>8</v>
      </c>
      <c r="L1" s="23">
        <v>9</v>
      </c>
      <c r="N1" s="2">
        <v>33</v>
      </c>
      <c r="O1" s="1">
        <v>8</v>
      </c>
    </row>
    <row r="2" spans="1:15" s="2" customFormat="1" ht="28.25" customHeight="1">
      <c r="A2" s="27">
        <v>5</v>
      </c>
      <c r="B2" s="22">
        <v>6</v>
      </c>
      <c r="C2" s="22">
        <v>3</v>
      </c>
      <c r="D2" s="27">
        <v>5</v>
      </c>
      <c r="E2" s="23">
        <v>6</v>
      </c>
      <c r="F2" s="22">
        <v>1</v>
      </c>
      <c r="G2" s="23">
        <v>4</v>
      </c>
      <c r="H2" s="22">
        <v>8</v>
      </c>
      <c r="I2" s="27">
        <v>5</v>
      </c>
      <c r="J2" s="23">
        <v>9</v>
      </c>
      <c r="K2" s="27">
        <v>2</v>
      </c>
      <c r="L2" s="27">
        <v>2</v>
      </c>
      <c r="N2" s="2">
        <v>567928</v>
      </c>
      <c r="O2" s="2">
        <v>1</v>
      </c>
    </row>
    <row r="3" spans="1:15" ht="28.25" customHeight="1">
      <c r="A3" s="27">
        <v>7</v>
      </c>
      <c r="B3" s="22">
        <v>2</v>
      </c>
      <c r="C3" s="23">
        <v>8</v>
      </c>
      <c r="D3" s="27">
        <v>2</v>
      </c>
      <c r="E3" s="23">
        <v>5</v>
      </c>
      <c r="F3" s="23">
        <v>8</v>
      </c>
      <c r="G3" s="22">
        <v>2</v>
      </c>
      <c r="H3" s="23">
        <v>9</v>
      </c>
      <c r="I3" s="22">
        <v>2</v>
      </c>
      <c r="J3" s="23">
        <v>8</v>
      </c>
      <c r="K3" s="23">
        <v>6</v>
      </c>
      <c r="L3" s="27">
        <v>2</v>
      </c>
      <c r="N3" s="2">
        <v>8571</v>
      </c>
      <c r="O3" s="1">
        <v>1</v>
      </c>
    </row>
    <row r="4" spans="1:15" ht="28.25" customHeight="1">
      <c r="A4" s="27">
        <v>7</v>
      </c>
      <c r="B4" s="22">
        <v>9</v>
      </c>
      <c r="C4" s="23">
        <v>4</v>
      </c>
      <c r="D4" s="27">
        <v>7</v>
      </c>
      <c r="E4" s="27">
        <v>6</v>
      </c>
      <c r="F4" s="23">
        <v>4</v>
      </c>
      <c r="G4" s="23">
        <v>8</v>
      </c>
      <c r="H4" s="22">
        <v>5</v>
      </c>
      <c r="I4" s="23">
        <v>4</v>
      </c>
      <c r="J4" s="22">
        <v>3</v>
      </c>
      <c r="K4" s="23">
        <v>6</v>
      </c>
      <c r="L4" s="27">
        <v>7</v>
      </c>
      <c r="N4" s="2">
        <v>89</v>
      </c>
      <c r="O4" s="1">
        <v>11</v>
      </c>
    </row>
    <row r="5" spans="1:15" ht="28.25" customHeight="1">
      <c r="A5" s="23">
        <v>8</v>
      </c>
      <c r="B5" s="22">
        <v>7</v>
      </c>
      <c r="C5" s="23">
        <v>4</v>
      </c>
      <c r="D5" s="23">
        <v>8</v>
      </c>
      <c r="E5" s="27">
        <v>1</v>
      </c>
      <c r="F5" s="22">
        <v>9</v>
      </c>
      <c r="G5" s="23">
        <v>3</v>
      </c>
      <c r="H5" s="23">
        <v>3</v>
      </c>
      <c r="I5" s="22">
        <v>8</v>
      </c>
      <c r="J5" s="22">
        <v>5</v>
      </c>
      <c r="K5" s="22">
        <v>4</v>
      </c>
      <c r="L5" s="27">
        <v>2</v>
      </c>
      <c r="N5" s="2">
        <v>6629797</v>
      </c>
      <c r="O5" s="1">
        <v>1</v>
      </c>
    </row>
    <row r="6" spans="1:15" ht="28.25" customHeight="1">
      <c r="A6" s="27">
        <v>1</v>
      </c>
      <c r="B6" s="22">
        <v>9</v>
      </c>
      <c r="C6" s="23">
        <v>6</v>
      </c>
      <c r="D6" s="23">
        <v>3</v>
      </c>
      <c r="E6" s="22">
        <v>6</v>
      </c>
      <c r="F6" s="22">
        <v>4</v>
      </c>
      <c r="G6" s="22">
        <v>3</v>
      </c>
      <c r="H6" s="22">
        <v>4</v>
      </c>
      <c r="I6" s="22">
        <v>5</v>
      </c>
      <c r="J6" s="22">
        <v>2</v>
      </c>
      <c r="K6" s="22">
        <v>9</v>
      </c>
      <c r="L6" s="22">
        <v>4</v>
      </c>
      <c r="N6" s="2">
        <v>7628521</v>
      </c>
      <c r="O6" s="1">
        <v>1</v>
      </c>
    </row>
    <row r="7" spans="1:15" ht="28.25" customHeight="1">
      <c r="A7" s="27">
        <v>2</v>
      </c>
      <c r="B7" s="22">
        <v>7</v>
      </c>
      <c r="C7" s="22">
        <v>8</v>
      </c>
      <c r="D7" s="22">
        <v>6</v>
      </c>
      <c r="E7" s="27">
        <v>1</v>
      </c>
      <c r="F7" s="27">
        <v>7</v>
      </c>
      <c r="G7" s="27">
        <v>2</v>
      </c>
      <c r="H7" s="27">
        <v>4</v>
      </c>
      <c r="I7" s="27">
        <v>9</v>
      </c>
      <c r="J7" s="27">
        <v>6</v>
      </c>
      <c r="K7" s="22">
        <v>6</v>
      </c>
      <c r="L7" s="22">
        <v>9</v>
      </c>
      <c r="N7" s="2">
        <v>48</v>
      </c>
      <c r="O7" s="1">
        <v>11</v>
      </c>
    </row>
    <row r="8" spans="1:15" ht="28.25" customHeight="1">
      <c r="A8" s="27">
        <v>1</v>
      </c>
      <c r="B8" s="27">
        <v>1</v>
      </c>
      <c r="C8" s="22">
        <v>2</v>
      </c>
      <c r="D8" s="22">
        <v>7</v>
      </c>
      <c r="E8" s="23">
        <v>1</v>
      </c>
      <c r="F8" s="23">
        <v>5</v>
      </c>
      <c r="G8" s="27">
        <v>2</v>
      </c>
      <c r="H8" s="27">
        <v>7</v>
      </c>
      <c r="I8" s="27">
        <v>7</v>
      </c>
      <c r="J8" s="27">
        <v>1</v>
      </c>
      <c r="K8" s="27">
        <v>4</v>
      </c>
      <c r="L8" s="22">
        <v>7</v>
      </c>
      <c r="N8" s="2">
        <v>96627</v>
      </c>
      <c r="O8" s="1">
        <v>1</v>
      </c>
    </row>
    <row r="9" spans="1:15" ht="28.25" customHeight="1">
      <c r="A9" s="27">
        <v>7</v>
      </c>
      <c r="B9" s="22">
        <v>7</v>
      </c>
      <c r="C9" s="27">
        <v>8</v>
      </c>
      <c r="D9" s="22">
        <v>8</v>
      </c>
      <c r="E9" s="22">
        <v>7</v>
      </c>
      <c r="F9" s="27">
        <v>3</v>
      </c>
      <c r="G9" s="22">
        <v>8</v>
      </c>
      <c r="H9" s="22">
        <v>2</v>
      </c>
      <c r="I9" s="22">
        <v>9</v>
      </c>
      <c r="J9" s="22">
        <v>7</v>
      </c>
      <c r="K9" s="22">
        <v>6</v>
      </c>
      <c r="L9" s="22">
        <v>5</v>
      </c>
      <c r="N9" s="2">
        <v>87772</v>
      </c>
      <c r="O9" s="1">
        <v>1</v>
      </c>
    </row>
    <row r="10" spans="1:15" ht="28.25" customHeight="1">
      <c r="A10" s="27">
        <v>9</v>
      </c>
      <c r="B10" s="27">
        <v>5</v>
      </c>
      <c r="C10" s="22">
        <v>5</v>
      </c>
      <c r="D10" s="27">
        <v>1</v>
      </c>
      <c r="E10" s="27">
        <v>1</v>
      </c>
      <c r="F10" s="22">
        <v>7</v>
      </c>
      <c r="G10" s="27">
        <v>5</v>
      </c>
      <c r="H10" s="23">
        <v>5</v>
      </c>
      <c r="I10" s="27">
        <v>5</v>
      </c>
      <c r="J10" s="27">
        <v>2</v>
      </c>
      <c r="K10" s="23">
        <v>5</v>
      </c>
      <c r="L10" s="22">
        <v>5</v>
      </c>
      <c r="N10" s="2">
        <v>517</v>
      </c>
      <c r="O10" s="1">
        <v>3</v>
      </c>
    </row>
    <row r="11" spans="1:15" ht="28.25" customHeight="1">
      <c r="A11" s="27">
        <v>1</v>
      </c>
      <c r="B11" s="22">
        <v>7</v>
      </c>
      <c r="C11" s="23">
        <v>3</v>
      </c>
      <c r="D11" s="27">
        <v>5</v>
      </c>
      <c r="E11" s="27">
        <v>1</v>
      </c>
      <c r="F11" s="27">
        <v>5</v>
      </c>
      <c r="G11" s="22">
        <v>2</v>
      </c>
      <c r="H11" s="23">
        <v>1</v>
      </c>
      <c r="I11" s="27">
        <v>2</v>
      </c>
      <c r="J11" s="23">
        <v>9</v>
      </c>
      <c r="K11" s="27">
        <v>6</v>
      </c>
      <c r="L11" s="22">
        <v>1</v>
      </c>
      <c r="N11" s="2">
        <v>5434</v>
      </c>
      <c r="O11" s="1">
        <v>2</v>
      </c>
    </row>
    <row r="12" spans="1:15" ht="28.25" customHeight="1">
      <c r="A12" s="22">
        <v>1</v>
      </c>
      <c r="B12" s="23">
        <v>4</v>
      </c>
      <c r="C12" s="23">
        <v>8</v>
      </c>
      <c r="D12" s="23">
        <v>6</v>
      </c>
      <c r="E12" s="27">
        <v>6</v>
      </c>
      <c r="F12" s="27">
        <v>6</v>
      </c>
      <c r="G12" s="27">
        <v>2</v>
      </c>
      <c r="H12" s="23">
        <v>7</v>
      </c>
      <c r="I12" s="23">
        <v>9</v>
      </c>
      <c r="J12" s="27">
        <v>2</v>
      </c>
      <c r="K12" s="23">
        <v>8</v>
      </c>
      <c r="L12" s="22">
        <v>7</v>
      </c>
      <c r="N12" s="2">
        <v>44328</v>
      </c>
      <c r="O12" s="1">
        <v>1</v>
      </c>
    </row>
    <row r="13" spans="1:15" ht="28.25" customHeight="1">
      <c r="N13" s="2">
        <v>377</v>
      </c>
      <c r="O13" s="1">
        <v>1</v>
      </c>
    </row>
    <row r="14" spans="1:15" ht="28.25" customHeight="1">
      <c r="N14" s="2">
        <v>63</v>
      </c>
      <c r="O14" s="1">
        <v>11</v>
      </c>
    </row>
    <row r="15" spans="1:15" ht="28.25" customHeight="1">
      <c r="N15" s="2">
        <v>599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05"/>
  <sheetViews>
    <sheetView tabSelected="1" zoomScaleNormal="100" workbookViewId="0">
      <pane ySplit="2" topLeftCell="A199" activePane="bottomLeft" state="frozen"/>
      <selection pane="bottomLeft" activeCell="A205" sqref="A20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451</v>
      </c>
      <c r="I198" t="s">
        <v>452</v>
      </c>
      <c r="J198">
        <v>0</v>
      </c>
      <c r="K198">
        <f t="shared" ref="K198" si="125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26">L197+K198</f>
        <v>230</v>
      </c>
      <c r="M198">
        <f t="shared" ref="M198" si="127">2+IF(A198&gt;=DATEVALUE("2025/11/30")+TIMEVALUE("6:00"),1,0)+IF(A198&gt;=DATEVALUE("2025/12/11")+TIMEVALUE("6:00"),1,0)</f>
        <v>4</v>
      </c>
      <c r="N198">
        <f t="shared" ref="N198" si="128">N197+M198*(INT(A198-6/24)-INT(A197-6/24))+O198</f>
        <v>232</v>
      </c>
      <c r="O198">
        <f t="shared" ref="O198" si="129">IF(A198&gt;=DATEVALUE("2025/11/8")+TIMEVALUE("6:00"),1,0)-IF(A197&gt;=DATEVALUE("2025/11/8")+TIMEVALUE("6:00"),1,0)</f>
        <v>0</v>
      </c>
      <c r="P198" t="str">
        <f t="shared" ref="P198" si="130">IF(L198&lt;N198,"未達成（"&amp;N198-L198&amp;"）",IF(L198=N198,"達成","前倒し（"&amp;L198-N198&amp;"）"))</f>
        <v>未達成（2）</v>
      </c>
      <c r="Q198">
        <f t="shared" ref="Q198" si="131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453</v>
      </c>
      <c r="I199" t="s">
        <v>454</v>
      </c>
      <c r="J199">
        <v>0</v>
      </c>
      <c r="K199">
        <f t="shared" ref="K199" si="132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33">L198+K199</f>
        <v>231</v>
      </c>
      <c r="M199">
        <f t="shared" ref="M199" si="134">2+IF(A199&gt;=DATEVALUE("2025/11/30")+TIMEVALUE("6:00"),1,0)+IF(A199&gt;=DATEVALUE("2025/12/11")+TIMEVALUE("6:00"),1,0)</f>
        <v>4</v>
      </c>
      <c r="N199">
        <f t="shared" ref="N199" si="135">N198+M199*(INT(A199-6/24)-INT(A198-6/24))+O199</f>
        <v>232</v>
      </c>
      <c r="O199">
        <f t="shared" ref="O199" si="136">IF(A199&gt;=DATEVALUE("2025/11/8")+TIMEVALUE("6:00"),1,0)-IF(A198&gt;=DATEVALUE("2025/11/8")+TIMEVALUE("6:00"),1,0)</f>
        <v>0</v>
      </c>
      <c r="P199" t="str">
        <f t="shared" ref="P199" si="137">IF(L199&lt;N199,"未達成（"&amp;N199-L199&amp;"）",IF(L199=N199,"達成","前倒し（"&amp;L199-N199&amp;"）"))</f>
        <v>未達成（1）</v>
      </c>
      <c r="Q199">
        <f t="shared" ref="Q199" si="138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455</v>
      </c>
      <c r="I200" t="s">
        <v>456</v>
      </c>
      <c r="J200">
        <v>0</v>
      </c>
      <c r="K200">
        <f t="shared" ref="K200" si="139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40">L199+K200</f>
        <v>233</v>
      </c>
      <c r="M200">
        <f t="shared" ref="M200" si="141">2+IF(A200&gt;=DATEVALUE("2025/11/30")+TIMEVALUE("6:00"),1,0)+IF(A200&gt;=DATEVALUE("2025/12/11")+TIMEVALUE("6:00"),1,0)</f>
        <v>4</v>
      </c>
      <c r="N200">
        <f t="shared" ref="N200" si="142">N199+M200*(INT(A200-6/24)-INT(A199-6/24))+O200</f>
        <v>232</v>
      </c>
      <c r="O200">
        <f t="shared" ref="O200" si="143">IF(A200&gt;=DATEVALUE("2025/11/8")+TIMEVALUE("6:00"),1,0)-IF(A199&gt;=DATEVALUE("2025/11/8")+TIMEVALUE("6:00"),1,0)</f>
        <v>0</v>
      </c>
      <c r="P200" t="str">
        <f t="shared" ref="P200" si="144">IF(L200&lt;N200,"未達成（"&amp;N200-L200&amp;"）",IF(L200=N200,"達成","前倒し（"&amp;L200-N200&amp;"）"))</f>
        <v>前倒し（1）</v>
      </c>
      <c r="Q200">
        <f t="shared" ref="Q200" si="145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457</v>
      </c>
      <c r="I201" t="s">
        <v>458</v>
      </c>
      <c r="J201">
        <v>0</v>
      </c>
      <c r="K201">
        <f t="shared" ref="K201" si="146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47">L200+K201</f>
        <v>234</v>
      </c>
      <c r="M201">
        <f t="shared" ref="M201" si="148">2+IF(A201&gt;=DATEVALUE("2025/11/30")+TIMEVALUE("6:00"),1,0)+IF(A201&gt;=DATEVALUE("2025/12/11")+TIMEVALUE("6:00"),1,0)</f>
        <v>4</v>
      </c>
      <c r="N201">
        <f t="shared" ref="N201" si="149">N200+M201*(INT(A201-6/24)-INT(A200-6/24))+O201</f>
        <v>236</v>
      </c>
      <c r="O201">
        <f t="shared" ref="O201" si="150">IF(A201&gt;=DATEVALUE("2025/11/8")+TIMEVALUE("6:00"),1,0)-IF(A200&gt;=DATEVALUE("2025/11/8")+TIMEVALUE("6:00"),1,0)</f>
        <v>0</v>
      </c>
      <c r="P201" t="str">
        <f t="shared" ref="P201" si="151">IF(L201&lt;N201,"未達成（"&amp;N201-L201&amp;"）",IF(L201=N201,"達成","前倒し（"&amp;L201-N201&amp;"）"))</f>
        <v>未達成（2）</v>
      </c>
      <c r="Q201">
        <f t="shared" ref="Q201" si="152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459</v>
      </c>
      <c r="I202" t="s">
        <v>460</v>
      </c>
      <c r="J202">
        <v>0</v>
      </c>
      <c r="K202">
        <f t="shared" ref="K202" si="153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54">L201+K202</f>
        <v>235</v>
      </c>
      <c r="M202">
        <f t="shared" ref="M202" si="155">2+IF(A202&gt;=DATEVALUE("2025/11/30")+TIMEVALUE("6:00"),1,0)+IF(A202&gt;=DATEVALUE("2025/12/11")+TIMEVALUE("6:00"),1,0)</f>
        <v>4</v>
      </c>
      <c r="N202">
        <f t="shared" ref="N202" si="156">N201+M202*(INT(A202-6/24)-INT(A201-6/24))+O202</f>
        <v>236</v>
      </c>
      <c r="O202">
        <f t="shared" ref="O202" si="157">IF(A202&gt;=DATEVALUE("2025/11/8")+TIMEVALUE("6:00"),1,0)-IF(A201&gt;=DATEVALUE("2025/11/8")+TIMEVALUE("6:00"),1,0)</f>
        <v>0</v>
      </c>
      <c r="P202" t="str">
        <f t="shared" ref="P202" si="158">IF(L202&lt;N202,"未達成（"&amp;N202-L202&amp;"）",IF(L202=N202,"達成","前倒し（"&amp;L202-N202&amp;"）"))</f>
        <v>未達成（1）</v>
      </c>
      <c r="Q202">
        <f t="shared" ref="Q202" si="15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461</v>
      </c>
      <c r="I203" t="s">
        <v>462</v>
      </c>
      <c r="J203">
        <v>0</v>
      </c>
      <c r="K203">
        <f t="shared" ref="K203" si="16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61">L202+K203</f>
        <v>237</v>
      </c>
      <c r="M203">
        <f t="shared" ref="M203" si="162">2+IF(A203&gt;=DATEVALUE("2025/11/30")+TIMEVALUE("6:00"),1,0)+IF(A203&gt;=DATEVALUE("2025/12/11")+TIMEVALUE("6:00"),1,0)</f>
        <v>4</v>
      </c>
      <c r="N203">
        <f t="shared" ref="N203" si="163">N202+M203*(INT(A203-6/24)-INT(A202-6/24))+O203</f>
        <v>236</v>
      </c>
      <c r="O203">
        <f t="shared" ref="O203" si="164">IF(A203&gt;=DATEVALUE("2025/11/8")+TIMEVALUE("6:00"),1,0)-IF(A202&gt;=DATEVALUE("2025/11/8")+TIMEVALUE("6:00"),1,0)</f>
        <v>0</v>
      </c>
      <c r="P203" t="str">
        <f t="shared" ref="P203" si="165">IF(L203&lt;N203,"未達成（"&amp;N203-L203&amp;"）",IF(L203=N203,"達成","前倒し（"&amp;L203-N203&amp;"）"))</f>
        <v>前倒し（1）</v>
      </c>
      <c r="Q203">
        <f t="shared" ref="Q203" si="166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463</v>
      </c>
      <c r="I204" t="s">
        <v>464</v>
      </c>
      <c r="J204">
        <v>0</v>
      </c>
      <c r="K204">
        <f t="shared" ref="K204" si="167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68">L203+K204</f>
        <v>239</v>
      </c>
      <c r="M204">
        <f t="shared" ref="M204" si="169">2+IF(A204&gt;=DATEVALUE("2025/11/30")+TIMEVALUE("6:00"),1,0)+IF(A204&gt;=DATEVALUE("2025/12/11")+TIMEVALUE("6:00"),1,0)</f>
        <v>4</v>
      </c>
      <c r="N204">
        <f t="shared" ref="N204" si="170">N203+M204*(INT(A204-6/24)-INT(A203-6/24))+O204</f>
        <v>240</v>
      </c>
      <c r="O204">
        <f t="shared" ref="O204" si="171">IF(A204&gt;=DATEVALUE("2025/11/8")+TIMEVALUE("6:00"),1,0)-IF(A203&gt;=DATEVALUE("2025/11/8")+TIMEVALUE("6:00"),1,0)</f>
        <v>0</v>
      </c>
      <c r="P204" t="str">
        <f t="shared" ref="P204" si="172">IF(L204&lt;N204,"未達成（"&amp;N204-L204&amp;"）",IF(L204=N204,"達成","前倒し（"&amp;L204-N204&amp;"）"))</f>
        <v>未達成（1）</v>
      </c>
      <c r="Q204">
        <f t="shared" ref="Q204" si="173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465</v>
      </c>
      <c r="I205" t="s">
        <v>466</v>
      </c>
      <c r="J205">
        <v>0</v>
      </c>
      <c r="K205">
        <f t="shared" ref="K205" si="174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75">L204+K205</f>
        <v>241</v>
      </c>
      <c r="M205">
        <f t="shared" ref="M205" si="176">2+IF(A205&gt;=DATEVALUE("2025/11/30")+TIMEVALUE("6:00"),1,0)+IF(A205&gt;=DATEVALUE("2025/12/11")+TIMEVALUE("6:00"),1,0)</f>
        <v>4</v>
      </c>
      <c r="N205">
        <f t="shared" ref="N205" si="177">N204+M205*(INT(A205-6/24)-INT(A204-6/24))+O205</f>
        <v>240</v>
      </c>
      <c r="O205">
        <f t="shared" ref="O205" si="178">IF(A205&gt;=DATEVALUE("2025/11/8")+TIMEVALUE("6:00"),1,0)-IF(A204&gt;=DATEVALUE("2025/11/8")+TIMEVALUE("6:00"),1,0)</f>
        <v>0</v>
      </c>
      <c r="P205" t="str">
        <f t="shared" ref="P205" si="179">IF(L205&lt;N205,"未達成（"&amp;N205-L205&amp;"）",IF(L205=N205,"達成","前倒し（"&amp;L205-N205&amp;"）"))</f>
        <v>前倒し（1）</v>
      </c>
      <c r="Q205">
        <f t="shared" ref="Q205" si="180">IF(B205="",NA(),G205)</f>
        <v>6.3194444446708076E-3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46039.304976851854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2026-01-16T22:28:34Z</dcterms:modified>
</cp:coreProperties>
</file>
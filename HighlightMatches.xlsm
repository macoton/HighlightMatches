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CBF0914A-0639-4637-BD2D-8D8B93E2E4D6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46" i="4" l="1"/>
  <c r="O246" i="4"/>
  <c r="M246" i="4"/>
  <c r="N246" i="4" s="1"/>
  <c r="K246" i="4"/>
  <c r="L246" i="4" s="1"/>
  <c r="Q245" i="4"/>
  <c r="O245" i="4"/>
  <c r="M245" i="4"/>
  <c r="N245" i="4" s="1"/>
  <c r="K245" i="4"/>
  <c r="L245" i="4" s="1"/>
  <c r="P245" i="4" s="1"/>
  <c r="Q244" i="4"/>
  <c r="O244" i="4"/>
  <c r="M244" i="4"/>
  <c r="N244" i="4" s="1"/>
  <c r="K244" i="4"/>
  <c r="L244" i="4" s="1"/>
  <c r="Q243" i="4"/>
  <c r="O243" i="4"/>
  <c r="M243" i="4"/>
  <c r="N243" i="4" s="1"/>
  <c r="K243" i="4"/>
  <c r="L243" i="4" s="1"/>
  <c r="Q242" i="4"/>
  <c r="O242" i="4"/>
  <c r="M242" i="4"/>
  <c r="N242" i="4" s="1"/>
  <c r="K242" i="4"/>
  <c r="L242" i="4" s="1"/>
  <c r="Q241" i="4"/>
  <c r="O241" i="4"/>
  <c r="M241" i="4"/>
  <c r="N241" i="4" s="1"/>
  <c r="K241" i="4"/>
  <c r="L241" i="4" s="1"/>
  <c r="P241" i="4" s="1"/>
  <c r="Q240" i="4"/>
  <c r="O240" i="4"/>
  <c r="M240" i="4"/>
  <c r="N240" i="4" s="1"/>
  <c r="K240" i="4"/>
  <c r="L240" i="4" s="1"/>
  <c r="P240" i="4" s="1"/>
  <c r="Q239" i="4"/>
  <c r="O239" i="4"/>
  <c r="M239" i="4"/>
  <c r="N239" i="4" s="1"/>
  <c r="K239" i="4"/>
  <c r="L239" i="4" s="1"/>
  <c r="Q238" i="4"/>
  <c r="O238" i="4"/>
  <c r="M238" i="4"/>
  <c r="N238" i="4" s="1"/>
  <c r="K238" i="4"/>
  <c r="L238" i="4" s="1"/>
  <c r="Q237" i="4"/>
  <c r="O237" i="4"/>
  <c r="M237" i="4"/>
  <c r="N237" i="4" s="1"/>
  <c r="K237" i="4"/>
  <c r="L237" i="4" s="1"/>
  <c r="Q236" i="4"/>
  <c r="O236" i="4"/>
  <c r="M236" i="4"/>
  <c r="N236" i="4" s="1"/>
  <c r="K236" i="4"/>
  <c r="L236" i="4" s="1"/>
  <c r="P236" i="4" s="1"/>
  <c r="Q235" i="4"/>
  <c r="O235" i="4"/>
  <c r="M235" i="4"/>
  <c r="N235" i="4" s="1"/>
  <c r="K235" i="4"/>
  <c r="L235" i="4" s="1"/>
  <c r="P235" i="4" s="1"/>
  <c r="Q234" i="4"/>
  <c r="O234" i="4"/>
  <c r="N234" i="4" s="1"/>
  <c r="M234" i="4"/>
  <c r="K234" i="4"/>
  <c r="L234" i="4" s="1"/>
  <c r="P234" i="4" s="1"/>
  <c r="Q233" i="4"/>
  <c r="O233" i="4"/>
  <c r="M233" i="4"/>
  <c r="N233" i="4" s="1"/>
  <c r="K233" i="4"/>
  <c r="L233" i="4" s="1"/>
  <c r="Q232" i="4"/>
  <c r="O232" i="4"/>
  <c r="M232" i="4"/>
  <c r="N232" i="4" s="1"/>
  <c r="K232" i="4"/>
  <c r="L232" i="4" s="1"/>
  <c r="Q231" i="4"/>
  <c r="O231" i="4"/>
  <c r="M231" i="4"/>
  <c r="N231" i="4" s="1"/>
  <c r="K231" i="4"/>
  <c r="L231" i="4" s="1"/>
  <c r="Q230" i="4"/>
  <c r="O230" i="4"/>
  <c r="M230" i="4"/>
  <c r="N230" i="4" s="1"/>
  <c r="K230" i="4"/>
  <c r="L230" i="4" s="1"/>
  <c r="Q229" i="4"/>
  <c r="O229" i="4"/>
  <c r="M229" i="4"/>
  <c r="N229" i="4" s="1"/>
  <c r="K229" i="4"/>
  <c r="L229" i="4" s="1"/>
  <c r="Q228" i="4"/>
  <c r="O228" i="4"/>
  <c r="M228" i="4"/>
  <c r="K228" i="4"/>
  <c r="Q227" i="4"/>
  <c r="O227" i="4"/>
  <c r="M227" i="4"/>
  <c r="K227" i="4"/>
  <c r="Q226" i="4"/>
  <c r="O226" i="4"/>
  <c r="M226" i="4"/>
  <c r="K226" i="4"/>
  <c r="Q225" i="4"/>
  <c r="O225" i="4"/>
  <c r="M225" i="4"/>
  <c r="K225" i="4"/>
  <c r="Q224" i="4"/>
  <c r="O224" i="4"/>
  <c r="M224" i="4"/>
  <c r="K224" i="4"/>
  <c r="Q223" i="4"/>
  <c r="O223" i="4"/>
  <c r="M223" i="4"/>
  <c r="K223" i="4"/>
  <c r="Q222" i="4"/>
  <c r="O222" i="4"/>
  <c r="M222" i="4"/>
  <c r="K222" i="4"/>
  <c r="Q221" i="4"/>
  <c r="O221" i="4"/>
  <c r="M221" i="4"/>
  <c r="K221" i="4"/>
  <c r="Q220" i="4"/>
  <c r="O220" i="4"/>
  <c r="M220" i="4"/>
  <c r="K220" i="4"/>
  <c r="Q219" i="4"/>
  <c r="O219" i="4"/>
  <c r="M219" i="4"/>
  <c r="K219" i="4"/>
  <c r="Q218" i="4"/>
  <c r="O218" i="4"/>
  <c r="M218" i="4"/>
  <c r="K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246" i="4" l="1"/>
  <c r="P244" i="4"/>
  <c r="P243" i="4"/>
  <c r="P242" i="4"/>
  <c r="P239" i="4"/>
  <c r="P238" i="4"/>
  <c r="P237" i="4"/>
  <c r="P233" i="4"/>
  <c r="P232" i="4"/>
  <c r="P231" i="4"/>
  <c r="P230" i="4"/>
  <c r="P229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L54" i="4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s="1"/>
  <c r="P227" i="4" l="1"/>
</calcChain>
</file>

<file path=xl/sharedStrings.xml><?xml version="1.0" encoding="utf-8"?>
<sst xmlns="http://schemas.openxmlformats.org/spreadsheetml/2006/main" count="569" uniqueCount="548">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</sst>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 wrapText="1"/>
    </xf>
    <xf numFmtId="22" fontId="0" fillId="0" borderId="0" xfId="0" applyNumberFormat="1" applyFill="1">
      <alignment vertical="center"/>
    </xf>
    <xf numFmtId="176" fontId="0" fillId="0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データ!$A$3:$A$246</c:f>
              <c:numCache>
                <c:formatCode>m/d/yyyy\ h:mm</c:formatCode>
                <c:ptCount val="244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</c:numCache>
            </c:numRef>
          </c:xVal>
          <c:yVal>
            <c:numRef>
              <c:f>データ!$B$3:$B$246</c:f>
              <c:numCache>
                <c:formatCode>General</c:formatCode>
                <c:ptCount val="244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D6-4152-A276-3F645B59B4D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1D6-4152-A276-3F645B59B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4786719"/>
        <c:axId val="894779519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データ!$A$3:$A$246</c:f>
              <c:numCache>
                <c:formatCode>m/d/yyyy\ h:mm</c:formatCode>
                <c:ptCount val="244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</c:numCache>
            </c:numRef>
          </c:xVal>
          <c:yVal>
            <c:numRef>
              <c:f>データ!$Q$3:$Q$246</c:f>
              <c:numCache>
                <c:formatCode>[h]:mm</c:formatCode>
                <c:ptCount val="244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D6-4152-A276-3F645B59B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4016495"/>
        <c:axId val="894786720"/>
      </c:scatterChart>
      <c:valAx>
        <c:axId val="894786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4779519"/>
        <c:crosses val="autoZero"/>
        <c:crossBetween val="midCat"/>
      </c:valAx>
      <c:valAx>
        <c:axId val="894779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4786719"/>
        <c:crosses val="autoZero"/>
        <c:crossBetween val="midCat"/>
      </c:valAx>
      <c:valAx>
        <c:axId val="894786720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4016495"/>
        <c:crosses val="max"/>
        <c:crossBetween val="midCat"/>
      </c:valAx>
      <c:valAx>
        <c:axId val="834016495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478672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211931</xdr:colOff>
      <xdr:row>2</xdr:row>
      <xdr:rowOff>178594</xdr:rowOff>
    </xdr:from>
    <xdr:to>
      <xdr:col>4</xdr:col>
      <xdr:colOff>211931</xdr:colOff>
      <xdr:row>4</xdr:row>
      <xdr:rowOff>178594</xdr:rowOff>
    </xdr:to>
    <xdr:cxnSp macro="">
      <xdr:nvCxnSpPr>
        <xdr:cNvPr id="2022" name="Match0">
          <a:extLst>
            <a:ext uri="{FF2B5EF4-FFF2-40B4-BE49-F238E27FC236}">
              <a16:creationId xmlns:a16="http://schemas.microsoft.com/office/drawing/2014/main" id="{ACC8A319-77E3-79B9-FEA7-9AC57400D281}"/>
            </a:ext>
          </a:extLst>
        </xdr:cNvPr>
        <xdr:cNvCxnSpPr/>
      </xdr:nvCxnSpPr>
      <xdr:spPr>
        <a:xfrm flipV="1">
          <a:off x="1907381" y="89296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3</xdr:col>
      <xdr:colOff>211931</xdr:colOff>
      <xdr:row>9</xdr:row>
      <xdr:rowOff>178593</xdr:rowOff>
    </xdr:to>
    <xdr:cxnSp macro="">
      <xdr:nvCxnSpPr>
        <xdr:cNvPr id="2023" name="Match1">
          <a:extLst>
            <a:ext uri="{FF2B5EF4-FFF2-40B4-BE49-F238E27FC236}">
              <a16:creationId xmlns:a16="http://schemas.microsoft.com/office/drawing/2014/main" id="{1426CC7F-0E80-37EC-7EEA-1418A3312F86}"/>
            </a:ext>
          </a:extLst>
        </xdr:cNvPr>
        <xdr:cNvCxnSpPr/>
      </xdr:nvCxnSpPr>
      <xdr:spPr>
        <a:xfrm flipV="1">
          <a:off x="1483519" y="1964531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11</xdr:col>
      <xdr:colOff>211931</xdr:colOff>
      <xdr:row>9</xdr:row>
      <xdr:rowOff>178593</xdr:rowOff>
    </xdr:to>
    <xdr:cxnSp macro="">
      <xdr:nvCxnSpPr>
        <xdr:cNvPr id="2024" name="Match2">
          <a:extLst>
            <a:ext uri="{FF2B5EF4-FFF2-40B4-BE49-F238E27FC236}">
              <a16:creationId xmlns:a16="http://schemas.microsoft.com/office/drawing/2014/main" id="{441C75E9-FDEC-9E7F-AEF3-9C542C644960}"/>
            </a:ext>
          </a:extLst>
        </xdr:cNvPr>
        <xdr:cNvCxnSpPr/>
      </xdr:nvCxnSpPr>
      <xdr:spPr>
        <a:xfrm>
          <a:off x="3602831" y="2321719"/>
          <a:ext cx="1271588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10</xdr:col>
      <xdr:colOff>211931</xdr:colOff>
      <xdr:row>2</xdr:row>
      <xdr:rowOff>178594</xdr:rowOff>
    </xdr:to>
    <xdr:cxnSp macro="">
      <xdr:nvCxnSpPr>
        <xdr:cNvPr id="2025" name="Match3">
          <a:extLst>
            <a:ext uri="{FF2B5EF4-FFF2-40B4-BE49-F238E27FC236}">
              <a16:creationId xmlns:a16="http://schemas.microsoft.com/office/drawing/2014/main" id="{77247759-1983-836C-FB06-8105EF0553AB}"/>
            </a:ext>
          </a:extLst>
        </xdr:cNvPr>
        <xdr:cNvCxnSpPr/>
      </xdr:nvCxnSpPr>
      <xdr:spPr>
        <a:xfrm>
          <a:off x="3602831" y="89296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2</xdr:col>
      <xdr:colOff>211931</xdr:colOff>
      <xdr:row>3</xdr:row>
      <xdr:rowOff>178593</xdr:rowOff>
    </xdr:to>
    <xdr:cxnSp macro="">
      <xdr:nvCxnSpPr>
        <xdr:cNvPr id="2026" name="Match4">
          <a:extLst>
            <a:ext uri="{FF2B5EF4-FFF2-40B4-BE49-F238E27FC236}">
              <a16:creationId xmlns:a16="http://schemas.microsoft.com/office/drawing/2014/main" id="{5FBA44A2-5396-AF1B-AD0E-EA10B24A3C89}"/>
            </a:ext>
          </a:extLst>
        </xdr:cNvPr>
        <xdr:cNvCxnSpPr/>
      </xdr:nvCxnSpPr>
      <xdr:spPr>
        <a:xfrm>
          <a:off x="211931" y="125015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2</xdr:col>
      <xdr:colOff>211931</xdr:colOff>
      <xdr:row>4</xdr:row>
      <xdr:rowOff>178594</xdr:rowOff>
    </xdr:to>
    <xdr:cxnSp macro="">
      <xdr:nvCxnSpPr>
        <xdr:cNvPr id="2027" name="Match5">
          <a:extLst>
            <a:ext uri="{FF2B5EF4-FFF2-40B4-BE49-F238E27FC236}">
              <a16:creationId xmlns:a16="http://schemas.microsoft.com/office/drawing/2014/main" id="{AC447AF5-3D9E-58B1-A688-7B2303C94554}"/>
            </a:ext>
          </a:extLst>
        </xdr:cNvPr>
        <xdr:cNvCxnSpPr/>
      </xdr:nvCxnSpPr>
      <xdr:spPr>
        <a:xfrm flipV="1">
          <a:off x="211931" y="89296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10</xdr:col>
      <xdr:colOff>211931</xdr:colOff>
      <xdr:row>4</xdr:row>
      <xdr:rowOff>178594</xdr:rowOff>
    </xdr:to>
    <xdr:cxnSp macro="">
      <xdr:nvCxnSpPr>
        <xdr:cNvPr id="2028" name="Match6">
          <a:extLst>
            <a:ext uri="{FF2B5EF4-FFF2-40B4-BE49-F238E27FC236}">
              <a16:creationId xmlns:a16="http://schemas.microsoft.com/office/drawing/2014/main" id="{55A3424C-DBBA-07C3-411E-E8F721EF1AC1}"/>
            </a:ext>
          </a:extLst>
        </xdr:cNvPr>
        <xdr:cNvCxnSpPr/>
      </xdr:nvCxnSpPr>
      <xdr:spPr>
        <a:xfrm flipH="1">
          <a:off x="3602831" y="160734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7</xdr:col>
      <xdr:colOff>211931</xdr:colOff>
      <xdr:row>9</xdr:row>
      <xdr:rowOff>178593</xdr:rowOff>
    </xdr:to>
    <xdr:cxnSp macro="">
      <xdr:nvCxnSpPr>
        <xdr:cNvPr id="2029" name="Match7">
          <a:extLst>
            <a:ext uri="{FF2B5EF4-FFF2-40B4-BE49-F238E27FC236}">
              <a16:creationId xmlns:a16="http://schemas.microsoft.com/office/drawing/2014/main" id="{69567523-2887-8D1A-0298-433466EED5B0}"/>
            </a:ext>
          </a:extLst>
        </xdr:cNvPr>
        <xdr:cNvCxnSpPr/>
      </xdr:nvCxnSpPr>
      <xdr:spPr>
        <a:xfrm flipH="1" flipV="1">
          <a:off x="2331244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7</xdr:col>
      <xdr:colOff>211931</xdr:colOff>
      <xdr:row>0</xdr:row>
      <xdr:rowOff>178594</xdr:rowOff>
    </xdr:to>
    <xdr:cxnSp macro="">
      <xdr:nvCxnSpPr>
        <xdr:cNvPr id="2030" name="Match8">
          <a:extLst>
            <a:ext uri="{FF2B5EF4-FFF2-40B4-BE49-F238E27FC236}">
              <a16:creationId xmlns:a16="http://schemas.microsoft.com/office/drawing/2014/main" id="{46563EFB-4BAF-CC65-CE3D-F7D314D138E0}"/>
            </a:ext>
          </a:extLst>
        </xdr:cNvPr>
        <xdr:cNvCxnSpPr/>
      </xdr:nvCxnSpPr>
      <xdr:spPr>
        <a:xfrm>
          <a:off x="2755106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7</xdr:col>
      <xdr:colOff>211931</xdr:colOff>
      <xdr:row>2</xdr:row>
      <xdr:rowOff>178594</xdr:rowOff>
    </xdr:to>
    <xdr:cxnSp macro="">
      <xdr:nvCxnSpPr>
        <xdr:cNvPr id="2031" name="Match9">
          <a:extLst>
            <a:ext uri="{FF2B5EF4-FFF2-40B4-BE49-F238E27FC236}">
              <a16:creationId xmlns:a16="http://schemas.microsoft.com/office/drawing/2014/main" id="{8A4C3F0E-09A3-3749-B7DD-DA05930008CC}"/>
            </a:ext>
          </a:extLst>
        </xdr:cNvPr>
        <xdr:cNvCxnSpPr/>
      </xdr:nvCxnSpPr>
      <xdr:spPr>
        <a:xfrm>
          <a:off x="275510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0</xdr:row>
      <xdr:rowOff>203994</xdr:rowOff>
    </xdr:from>
    <xdr:to>
      <xdr:col>7</xdr:col>
      <xdr:colOff>237331</xdr:colOff>
      <xdr:row>1</xdr:row>
      <xdr:rowOff>203993</xdr:rowOff>
    </xdr:to>
    <xdr:cxnSp macro="">
      <xdr:nvCxnSpPr>
        <xdr:cNvPr id="2032" name="Match10">
          <a:extLst>
            <a:ext uri="{FF2B5EF4-FFF2-40B4-BE49-F238E27FC236}">
              <a16:creationId xmlns:a16="http://schemas.microsoft.com/office/drawing/2014/main" id="{18172767-6A79-1D4E-ABAD-7487F185C9E4}"/>
            </a:ext>
          </a:extLst>
        </xdr:cNvPr>
        <xdr:cNvCxnSpPr/>
      </xdr:nvCxnSpPr>
      <xdr:spPr>
        <a:xfrm flipV="1">
          <a:off x="2780506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8</xdr:col>
      <xdr:colOff>211931</xdr:colOff>
      <xdr:row>2</xdr:row>
      <xdr:rowOff>178594</xdr:rowOff>
    </xdr:to>
    <xdr:cxnSp macro="">
      <xdr:nvCxnSpPr>
        <xdr:cNvPr id="2033" name="Match11">
          <a:extLst>
            <a:ext uri="{FF2B5EF4-FFF2-40B4-BE49-F238E27FC236}">
              <a16:creationId xmlns:a16="http://schemas.microsoft.com/office/drawing/2014/main" id="{0F44F2C5-7C61-E852-8FA6-54728D8E4530}"/>
            </a:ext>
          </a:extLst>
        </xdr:cNvPr>
        <xdr:cNvCxnSpPr/>
      </xdr:nvCxnSpPr>
      <xdr:spPr>
        <a:xfrm flipH="1">
          <a:off x="3178969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0</xdr:row>
      <xdr:rowOff>203994</xdr:rowOff>
    </xdr:from>
    <xdr:to>
      <xdr:col>8</xdr:col>
      <xdr:colOff>237331</xdr:colOff>
      <xdr:row>1</xdr:row>
      <xdr:rowOff>203993</xdr:rowOff>
    </xdr:to>
    <xdr:cxnSp macro="">
      <xdr:nvCxnSpPr>
        <xdr:cNvPr id="2034" name="Match12">
          <a:extLst>
            <a:ext uri="{FF2B5EF4-FFF2-40B4-BE49-F238E27FC236}">
              <a16:creationId xmlns:a16="http://schemas.microsoft.com/office/drawing/2014/main" id="{BC4404D6-D61B-1986-77C9-1D5641EDF7AC}"/>
            </a:ext>
          </a:extLst>
        </xdr:cNvPr>
        <xdr:cNvCxnSpPr/>
      </xdr:nvCxnSpPr>
      <xdr:spPr>
        <a:xfrm flipH="1" flipV="1">
          <a:off x="3204369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9</xdr:col>
      <xdr:colOff>211931</xdr:colOff>
      <xdr:row>4</xdr:row>
      <xdr:rowOff>178594</xdr:rowOff>
    </xdr:to>
    <xdr:cxnSp macro="">
      <xdr:nvCxnSpPr>
        <xdr:cNvPr id="2035" name="Match13">
          <a:extLst>
            <a:ext uri="{FF2B5EF4-FFF2-40B4-BE49-F238E27FC236}">
              <a16:creationId xmlns:a16="http://schemas.microsoft.com/office/drawing/2014/main" id="{01D4B371-C0CF-A108-1608-D26034A09AF8}"/>
            </a:ext>
          </a:extLst>
        </xdr:cNvPr>
        <xdr:cNvCxnSpPr/>
      </xdr:nvCxnSpPr>
      <xdr:spPr>
        <a:xfrm flipH="1">
          <a:off x="360283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2</xdr:row>
      <xdr:rowOff>203994</xdr:rowOff>
    </xdr:from>
    <xdr:to>
      <xdr:col>10</xdr:col>
      <xdr:colOff>237331</xdr:colOff>
      <xdr:row>3</xdr:row>
      <xdr:rowOff>203993</xdr:rowOff>
    </xdr:to>
    <xdr:cxnSp macro="">
      <xdr:nvCxnSpPr>
        <xdr:cNvPr id="2036" name="Match14">
          <a:extLst>
            <a:ext uri="{FF2B5EF4-FFF2-40B4-BE49-F238E27FC236}">
              <a16:creationId xmlns:a16="http://schemas.microsoft.com/office/drawing/2014/main" id="{E9A550BA-D0EA-30A4-34AA-4A7F50E79442}"/>
            </a:ext>
          </a:extLst>
        </xdr:cNvPr>
        <xdr:cNvCxnSpPr/>
      </xdr:nvCxnSpPr>
      <xdr:spPr>
        <a:xfrm flipV="1">
          <a:off x="4052094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11</xdr:col>
      <xdr:colOff>211931</xdr:colOff>
      <xdr:row>3</xdr:row>
      <xdr:rowOff>178593</xdr:rowOff>
    </xdr:to>
    <xdr:cxnSp macro="">
      <xdr:nvCxnSpPr>
        <xdr:cNvPr id="2037" name="Match15">
          <a:extLst>
            <a:ext uri="{FF2B5EF4-FFF2-40B4-BE49-F238E27FC236}">
              <a16:creationId xmlns:a16="http://schemas.microsoft.com/office/drawing/2014/main" id="{B677D941-AC93-CEE2-30F1-2EA72C1F1735}"/>
            </a:ext>
          </a:extLst>
        </xdr:cNvPr>
        <xdr:cNvCxnSpPr/>
      </xdr:nvCxnSpPr>
      <xdr:spPr>
        <a:xfrm flipH="1" flipV="1">
          <a:off x="445055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237331</xdr:colOff>
      <xdr:row>2</xdr:row>
      <xdr:rowOff>203994</xdr:rowOff>
    </xdr:from>
    <xdr:to>
      <xdr:col>11</xdr:col>
      <xdr:colOff>237331</xdr:colOff>
      <xdr:row>3</xdr:row>
      <xdr:rowOff>203993</xdr:rowOff>
    </xdr:to>
    <xdr:cxnSp macro="">
      <xdr:nvCxnSpPr>
        <xdr:cNvPr id="2038" name="Match16">
          <a:extLst>
            <a:ext uri="{FF2B5EF4-FFF2-40B4-BE49-F238E27FC236}">
              <a16:creationId xmlns:a16="http://schemas.microsoft.com/office/drawing/2014/main" id="{2CF4B7E0-3171-454E-8313-E95C3575D138}"/>
            </a:ext>
          </a:extLst>
        </xdr:cNvPr>
        <xdr:cNvCxnSpPr/>
      </xdr:nvCxnSpPr>
      <xdr:spPr>
        <a:xfrm flipV="1">
          <a:off x="4899819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9</xdr:row>
      <xdr:rowOff>178593</xdr:rowOff>
    </xdr:from>
    <xdr:to>
      <xdr:col>4</xdr:col>
      <xdr:colOff>211931</xdr:colOff>
      <xdr:row>10</xdr:row>
      <xdr:rowOff>178594</xdr:rowOff>
    </xdr:to>
    <xdr:cxnSp macro="">
      <xdr:nvCxnSpPr>
        <xdr:cNvPr id="2039" name="Match17">
          <a:extLst>
            <a:ext uri="{FF2B5EF4-FFF2-40B4-BE49-F238E27FC236}">
              <a16:creationId xmlns:a16="http://schemas.microsoft.com/office/drawing/2014/main" id="{D5F77AD5-5609-58CE-5C49-996C2C68C539}"/>
            </a:ext>
          </a:extLst>
        </xdr:cNvPr>
        <xdr:cNvCxnSpPr/>
      </xdr:nvCxnSpPr>
      <xdr:spPr>
        <a:xfrm flipV="1">
          <a:off x="1483519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5</xdr:col>
      <xdr:colOff>211931</xdr:colOff>
      <xdr:row>11</xdr:row>
      <xdr:rowOff>178593</xdr:rowOff>
    </xdr:to>
    <xdr:cxnSp macro="">
      <xdr:nvCxnSpPr>
        <xdr:cNvPr id="2040" name="Match18">
          <a:extLst>
            <a:ext uri="{FF2B5EF4-FFF2-40B4-BE49-F238E27FC236}">
              <a16:creationId xmlns:a16="http://schemas.microsoft.com/office/drawing/2014/main" id="{7671F18A-1567-94A2-5677-53AC6643EB68}"/>
            </a:ext>
          </a:extLst>
        </xdr:cNvPr>
        <xdr:cNvCxnSpPr/>
      </xdr:nvCxnSpPr>
      <xdr:spPr>
        <a:xfrm flipV="1">
          <a:off x="190738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7</xdr:col>
      <xdr:colOff>211931</xdr:colOff>
      <xdr:row>6</xdr:row>
      <xdr:rowOff>178594</xdr:rowOff>
    </xdr:to>
    <xdr:cxnSp macro="">
      <xdr:nvCxnSpPr>
        <xdr:cNvPr id="2041" name="Match19">
          <a:extLst>
            <a:ext uri="{FF2B5EF4-FFF2-40B4-BE49-F238E27FC236}">
              <a16:creationId xmlns:a16="http://schemas.microsoft.com/office/drawing/2014/main" id="{F197A26B-9303-216D-DDD1-DE968F9FD091}"/>
            </a:ext>
          </a:extLst>
        </xdr:cNvPr>
        <xdr:cNvCxnSpPr/>
      </xdr:nvCxnSpPr>
      <xdr:spPr>
        <a:xfrm>
          <a:off x="2331244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7</xdr:col>
      <xdr:colOff>211931</xdr:colOff>
      <xdr:row>6</xdr:row>
      <xdr:rowOff>178594</xdr:rowOff>
    </xdr:to>
    <xdr:cxnSp macro="">
      <xdr:nvCxnSpPr>
        <xdr:cNvPr id="2042" name="Match20">
          <a:extLst>
            <a:ext uri="{FF2B5EF4-FFF2-40B4-BE49-F238E27FC236}">
              <a16:creationId xmlns:a16="http://schemas.microsoft.com/office/drawing/2014/main" id="{FA6A5AC7-D253-0627-54E8-EE6A09043EE4}"/>
            </a:ext>
          </a:extLst>
        </xdr:cNvPr>
        <xdr:cNvCxnSpPr/>
      </xdr:nvCxnSpPr>
      <xdr:spPr>
        <a:xfrm flipV="1">
          <a:off x="2331244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9</xdr:col>
      <xdr:colOff>211931</xdr:colOff>
      <xdr:row>6</xdr:row>
      <xdr:rowOff>178594</xdr:rowOff>
    </xdr:to>
    <xdr:cxnSp macro="">
      <xdr:nvCxnSpPr>
        <xdr:cNvPr id="2043" name="Match21">
          <a:extLst>
            <a:ext uri="{FF2B5EF4-FFF2-40B4-BE49-F238E27FC236}">
              <a16:creationId xmlns:a16="http://schemas.microsoft.com/office/drawing/2014/main" id="{25D2C2BB-7ED8-57FD-A339-D133A434BA5E}"/>
            </a:ext>
          </a:extLst>
        </xdr:cNvPr>
        <xdr:cNvCxnSpPr/>
      </xdr:nvCxnSpPr>
      <xdr:spPr>
        <a:xfrm flipH="1" flipV="1">
          <a:off x="3178969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8</xdr:row>
      <xdr:rowOff>178594</xdr:rowOff>
    </xdr:from>
    <xdr:to>
      <xdr:col>5</xdr:col>
      <xdr:colOff>211931</xdr:colOff>
      <xdr:row>10</xdr:row>
      <xdr:rowOff>178594</xdr:rowOff>
    </xdr:to>
    <xdr:cxnSp macro="">
      <xdr:nvCxnSpPr>
        <xdr:cNvPr id="2044" name="Match22">
          <a:extLst>
            <a:ext uri="{FF2B5EF4-FFF2-40B4-BE49-F238E27FC236}">
              <a16:creationId xmlns:a16="http://schemas.microsoft.com/office/drawing/2014/main" id="{A71E3D3F-0131-E042-E651-5D8CB5E3B2FC}"/>
            </a:ext>
          </a:extLst>
        </xdr:cNvPr>
        <xdr:cNvCxnSpPr/>
      </xdr:nvCxnSpPr>
      <xdr:spPr>
        <a:xfrm>
          <a:off x="2331244" y="30360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1</xdr:col>
      <xdr:colOff>211931</xdr:colOff>
      <xdr:row>8</xdr:row>
      <xdr:rowOff>178594</xdr:rowOff>
    </xdr:to>
    <xdr:cxnSp macro="">
      <xdr:nvCxnSpPr>
        <xdr:cNvPr id="2045" name="Match23">
          <a:extLst>
            <a:ext uri="{FF2B5EF4-FFF2-40B4-BE49-F238E27FC236}">
              <a16:creationId xmlns:a16="http://schemas.microsoft.com/office/drawing/2014/main" id="{E096469B-4174-8B64-2727-51F331E3AA05}"/>
            </a:ext>
          </a:extLst>
        </xdr:cNvPr>
        <xdr:cNvCxnSpPr/>
      </xdr:nvCxnSpPr>
      <xdr:spPr>
        <a:xfrm flipV="1">
          <a:off x="635794" y="1607344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8</xdr:col>
      <xdr:colOff>211931</xdr:colOff>
      <xdr:row>7</xdr:row>
      <xdr:rowOff>178593</xdr:rowOff>
    </xdr:to>
    <xdr:cxnSp macro="">
      <xdr:nvCxnSpPr>
        <xdr:cNvPr id="2046" name="Match24">
          <a:extLst>
            <a:ext uri="{FF2B5EF4-FFF2-40B4-BE49-F238E27FC236}">
              <a16:creationId xmlns:a16="http://schemas.microsoft.com/office/drawing/2014/main" id="{37AD833E-1985-2D5D-2B4B-DED92E3383A8}"/>
            </a:ext>
          </a:extLst>
        </xdr:cNvPr>
        <xdr:cNvCxnSpPr/>
      </xdr:nvCxnSpPr>
      <xdr:spPr>
        <a:xfrm flipH="1">
          <a:off x="2331244" y="1607344"/>
          <a:ext cx="1271587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10</xdr:row>
      <xdr:rowOff>178594</xdr:rowOff>
    </xdr:from>
    <xdr:to>
      <xdr:col>7</xdr:col>
      <xdr:colOff>211931</xdr:colOff>
      <xdr:row>10</xdr:row>
      <xdr:rowOff>178594</xdr:rowOff>
    </xdr:to>
    <xdr:cxnSp macro="">
      <xdr:nvCxnSpPr>
        <xdr:cNvPr id="2047" name="Match25">
          <a:extLst>
            <a:ext uri="{FF2B5EF4-FFF2-40B4-BE49-F238E27FC236}">
              <a16:creationId xmlns:a16="http://schemas.microsoft.com/office/drawing/2014/main" id="{939AD7F6-5EBD-9FB4-DA7C-B65B779FF05E}"/>
            </a:ext>
          </a:extLst>
        </xdr:cNvPr>
        <xdr:cNvCxnSpPr/>
      </xdr:nvCxnSpPr>
      <xdr:spPr>
        <a:xfrm flipH="1">
          <a:off x="635794" y="3750469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1</xdr:col>
      <xdr:colOff>211931</xdr:colOff>
      <xdr:row>0</xdr:row>
      <xdr:rowOff>178594</xdr:rowOff>
    </xdr:to>
    <xdr:cxnSp macro="">
      <xdr:nvCxnSpPr>
        <xdr:cNvPr id="2048" name="Match26">
          <a:extLst>
            <a:ext uri="{FF2B5EF4-FFF2-40B4-BE49-F238E27FC236}">
              <a16:creationId xmlns:a16="http://schemas.microsoft.com/office/drawing/2014/main" id="{F4E18162-D77C-C9B4-E952-59BFE2DECC62}"/>
            </a:ext>
          </a:extLst>
        </xdr:cNvPr>
        <xdr:cNvCxnSpPr/>
      </xdr:nvCxnSpPr>
      <xdr:spPr>
        <a:xfrm>
          <a:off x="211931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1</xdr:col>
      <xdr:colOff>211931</xdr:colOff>
      <xdr:row>0</xdr:row>
      <xdr:rowOff>178594</xdr:rowOff>
    </xdr:to>
    <xdr:cxnSp macro="">
      <xdr:nvCxnSpPr>
        <xdr:cNvPr id="2049" name="Match27">
          <a:extLst>
            <a:ext uri="{FF2B5EF4-FFF2-40B4-BE49-F238E27FC236}">
              <a16:creationId xmlns:a16="http://schemas.microsoft.com/office/drawing/2014/main" id="{D2E487F9-EB87-3CCB-69D6-B027C737634A}"/>
            </a:ext>
          </a:extLst>
        </xdr:cNvPr>
        <xdr:cNvCxnSpPr/>
      </xdr:nvCxnSpPr>
      <xdr:spPr>
        <a:xfrm flipH="1">
          <a:off x="211931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8</xdr:col>
      <xdr:colOff>211931</xdr:colOff>
      <xdr:row>2</xdr:row>
      <xdr:rowOff>178594</xdr:rowOff>
    </xdr:to>
    <xdr:cxnSp macro="">
      <xdr:nvCxnSpPr>
        <xdr:cNvPr id="2050" name="Match28">
          <a:extLst>
            <a:ext uri="{FF2B5EF4-FFF2-40B4-BE49-F238E27FC236}">
              <a16:creationId xmlns:a16="http://schemas.microsoft.com/office/drawing/2014/main" id="{D2CE7E55-BC01-D772-04DD-BBB35A5B9078}"/>
            </a:ext>
          </a:extLst>
        </xdr:cNvPr>
        <xdr:cNvCxnSpPr/>
      </xdr:nvCxnSpPr>
      <xdr:spPr>
        <a:xfrm>
          <a:off x="3178969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1</xdr:row>
      <xdr:rowOff>203993</xdr:rowOff>
    </xdr:from>
    <xdr:to>
      <xdr:col>8</xdr:col>
      <xdr:colOff>237331</xdr:colOff>
      <xdr:row>2</xdr:row>
      <xdr:rowOff>203994</xdr:rowOff>
    </xdr:to>
    <xdr:cxnSp macro="">
      <xdr:nvCxnSpPr>
        <xdr:cNvPr id="2051" name="Match29">
          <a:extLst>
            <a:ext uri="{FF2B5EF4-FFF2-40B4-BE49-F238E27FC236}">
              <a16:creationId xmlns:a16="http://schemas.microsoft.com/office/drawing/2014/main" id="{99808DA5-A38F-7836-7A65-4BA0835DC1F5}"/>
            </a:ext>
          </a:extLst>
        </xdr:cNvPr>
        <xdr:cNvCxnSpPr/>
      </xdr:nvCxnSpPr>
      <xdr:spPr>
        <a:xfrm flipH="1" flipV="1">
          <a:off x="3204369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3</xdr:row>
      <xdr:rowOff>203993</xdr:rowOff>
    </xdr:from>
    <xdr:to>
      <xdr:col>0</xdr:col>
      <xdr:colOff>237331</xdr:colOff>
      <xdr:row>4</xdr:row>
      <xdr:rowOff>203994</xdr:rowOff>
    </xdr:to>
    <xdr:cxnSp macro="">
      <xdr:nvCxnSpPr>
        <xdr:cNvPr id="2052" name="Match30">
          <a:extLst>
            <a:ext uri="{FF2B5EF4-FFF2-40B4-BE49-F238E27FC236}">
              <a16:creationId xmlns:a16="http://schemas.microsoft.com/office/drawing/2014/main" id="{834ED447-44FE-E82C-4E0D-11CC61901C14}"/>
            </a:ext>
          </a:extLst>
        </xdr:cNvPr>
        <xdr:cNvCxnSpPr/>
      </xdr:nvCxnSpPr>
      <xdr:spPr>
        <a:xfrm>
          <a:off x="237331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4</xdr:row>
      <xdr:rowOff>203994</xdr:rowOff>
    </xdr:from>
    <xdr:to>
      <xdr:col>1</xdr:col>
      <xdr:colOff>237331</xdr:colOff>
      <xdr:row>5</xdr:row>
      <xdr:rowOff>203993</xdr:rowOff>
    </xdr:to>
    <xdr:cxnSp macro="">
      <xdr:nvCxnSpPr>
        <xdr:cNvPr id="2053" name="Match31">
          <a:extLst>
            <a:ext uri="{FF2B5EF4-FFF2-40B4-BE49-F238E27FC236}">
              <a16:creationId xmlns:a16="http://schemas.microsoft.com/office/drawing/2014/main" id="{C0F04252-FB52-8E67-5C9B-664B95959123}"/>
            </a:ext>
          </a:extLst>
        </xdr:cNvPr>
        <xdr:cNvCxnSpPr/>
      </xdr:nvCxnSpPr>
      <xdr:spPr>
        <a:xfrm>
          <a:off x="237331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3</xdr:row>
      <xdr:rowOff>229393</xdr:rowOff>
    </xdr:from>
    <xdr:to>
      <xdr:col>0</xdr:col>
      <xdr:colOff>262731</xdr:colOff>
      <xdr:row>4</xdr:row>
      <xdr:rowOff>229394</xdr:rowOff>
    </xdr:to>
    <xdr:cxnSp macro="">
      <xdr:nvCxnSpPr>
        <xdr:cNvPr id="2054" name="Match32">
          <a:extLst>
            <a:ext uri="{FF2B5EF4-FFF2-40B4-BE49-F238E27FC236}">
              <a16:creationId xmlns:a16="http://schemas.microsoft.com/office/drawing/2014/main" id="{954E7C00-83A9-69C3-C9BA-8F927691A34F}"/>
            </a:ext>
          </a:extLst>
        </xdr:cNvPr>
        <xdr:cNvCxnSpPr/>
      </xdr:nvCxnSpPr>
      <xdr:spPr>
        <a:xfrm flipV="1">
          <a:off x="262731" y="1300956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2</xdr:col>
      <xdr:colOff>211931</xdr:colOff>
      <xdr:row>6</xdr:row>
      <xdr:rowOff>178594</xdr:rowOff>
    </xdr:to>
    <xdr:cxnSp macro="">
      <xdr:nvCxnSpPr>
        <xdr:cNvPr id="2055" name="Match33">
          <a:extLst>
            <a:ext uri="{FF2B5EF4-FFF2-40B4-BE49-F238E27FC236}">
              <a16:creationId xmlns:a16="http://schemas.microsoft.com/office/drawing/2014/main" id="{8256C842-4363-8262-3E23-8B90F838CF05}"/>
            </a:ext>
          </a:extLst>
        </xdr:cNvPr>
        <xdr:cNvCxnSpPr/>
      </xdr:nvCxnSpPr>
      <xdr:spPr>
        <a:xfrm>
          <a:off x="63579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4</xdr:row>
      <xdr:rowOff>203994</xdr:rowOff>
    </xdr:from>
    <xdr:to>
      <xdr:col>1</xdr:col>
      <xdr:colOff>237331</xdr:colOff>
      <xdr:row>5</xdr:row>
      <xdr:rowOff>203993</xdr:rowOff>
    </xdr:to>
    <xdr:cxnSp macro="">
      <xdr:nvCxnSpPr>
        <xdr:cNvPr id="2056" name="Match34">
          <a:extLst>
            <a:ext uri="{FF2B5EF4-FFF2-40B4-BE49-F238E27FC236}">
              <a16:creationId xmlns:a16="http://schemas.microsoft.com/office/drawing/2014/main" id="{F010B87B-94F4-9C3B-3261-D6F3E3B95408}"/>
            </a:ext>
          </a:extLst>
        </xdr:cNvPr>
        <xdr:cNvCxnSpPr/>
      </xdr:nvCxnSpPr>
      <xdr:spPr>
        <a:xfrm flipH="1" flipV="1">
          <a:off x="237331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2</xdr:col>
      <xdr:colOff>211931</xdr:colOff>
      <xdr:row>6</xdr:row>
      <xdr:rowOff>178594</xdr:rowOff>
    </xdr:to>
    <xdr:cxnSp macro="">
      <xdr:nvCxnSpPr>
        <xdr:cNvPr id="2057" name="Match35">
          <a:extLst>
            <a:ext uri="{FF2B5EF4-FFF2-40B4-BE49-F238E27FC236}">
              <a16:creationId xmlns:a16="http://schemas.microsoft.com/office/drawing/2014/main" id="{873E812F-3434-04C4-B529-7046D1D9B323}"/>
            </a:ext>
          </a:extLst>
        </xdr:cNvPr>
        <xdr:cNvCxnSpPr/>
      </xdr:nvCxnSpPr>
      <xdr:spPr>
        <a:xfrm flipH="1" flipV="1">
          <a:off x="63579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8</xdr:row>
      <xdr:rowOff>203994</xdr:rowOff>
    </xdr:from>
    <xdr:to>
      <xdr:col>1</xdr:col>
      <xdr:colOff>237331</xdr:colOff>
      <xdr:row>9</xdr:row>
      <xdr:rowOff>203993</xdr:rowOff>
    </xdr:to>
    <xdr:cxnSp macro="">
      <xdr:nvCxnSpPr>
        <xdr:cNvPr id="2058" name="Match36">
          <a:extLst>
            <a:ext uri="{FF2B5EF4-FFF2-40B4-BE49-F238E27FC236}">
              <a16:creationId xmlns:a16="http://schemas.microsoft.com/office/drawing/2014/main" id="{0AA5E08D-3613-5411-D017-BA1D1367D487}"/>
            </a:ext>
          </a:extLst>
        </xdr:cNvPr>
        <xdr:cNvCxnSpPr/>
      </xdr:nvCxnSpPr>
      <xdr:spPr>
        <a:xfrm>
          <a:off x="661194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1</xdr:col>
      <xdr:colOff>211931</xdr:colOff>
      <xdr:row>9</xdr:row>
      <xdr:rowOff>178593</xdr:rowOff>
    </xdr:to>
    <xdr:cxnSp macro="">
      <xdr:nvCxnSpPr>
        <xdr:cNvPr id="2059" name="Match37">
          <a:extLst>
            <a:ext uri="{FF2B5EF4-FFF2-40B4-BE49-F238E27FC236}">
              <a16:creationId xmlns:a16="http://schemas.microsoft.com/office/drawing/2014/main" id="{C1961F64-B12C-41FD-890E-05D6DAFE1FC6}"/>
            </a:ext>
          </a:extLst>
        </xdr:cNvPr>
        <xdr:cNvCxnSpPr/>
      </xdr:nvCxnSpPr>
      <xdr:spPr>
        <a:xfrm flipV="1">
          <a:off x="635794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2060" name="Match38">
          <a:extLst>
            <a:ext uri="{FF2B5EF4-FFF2-40B4-BE49-F238E27FC236}">
              <a16:creationId xmlns:a16="http://schemas.microsoft.com/office/drawing/2014/main" id="{F47D6401-7D9C-42F0-4384-AFB4DD88F7FE}"/>
            </a:ext>
          </a:extLst>
        </xdr:cNvPr>
        <xdr:cNvCxnSpPr/>
      </xdr:nvCxnSpPr>
      <xdr:spPr>
        <a:xfrm>
          <a:off x="4450556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2061" name="Match39">
          <a:extLst>
            <a:ext uri="{FF2B5EF4-FFF2-40B4-BE49-F238E27FC236}">
              <a16:creationId xmlns:a16="http://schemas.microsoft.com/office/drawing/2014/main" id="{F9671D8B-C159-869B-F399-D6DAF779CAE3}"/>
            </a:ext>
          </a:extLst>
        </xdr:cNvPr>
        <xdr:cNvCxnSpPr/>
      </xdr:nvCxnSpPr>
      <xdr:spPr>
        <a:xfrm flipV="1">
          <a:off x="4450556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6</xdr:col>
      <xdr:colOff>211931</xdr:colOff>
      <xdr:row>2</xdr:row>
      <xdr:rowOff>178594</xdr:rowOff>
    </xdr:to>
    <xdr:cxnSp macro="">
      <xdr:nvCxnSpPr>
        <xdr:cNvPr id="2062" name="Match40">
          <a:extLst>
            <a:ext uri="{FF2B5EF4-FFF2-40B4-BE49-F238E27FC236}">
              <a16:creationId xmlns:a16="http://schemas.microsoft.com/office/drawing/2014/main" id="{FDB261BB-5FE3-4E87-3538-79174A166ADE}"/>
            </a:ext>
          </a:extLst>
        </xdr:cNvPr>
        <xdr:cNvCxnSpPr/>
      </xdr:nvCxnSpPr>
      <xdr:spPr>
        <a:xfrm>
          <a:off x="233124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0</xdr:row>
      <xdr:rowOff>203994</xdr:rowOff>
    </xdr:from>
    <xdr:to>
      <xdr:col>5</xdr:col>
      <xdr:colOff>237331</xdr:colOff>
      <xdr:row>1</xdr:row>
      <xdr:rowOff>203993</xdr:rowOff>
    </xdr:to>
    <xdr:cxnSp macro="">
      <xdr:nvCxnSpPr>
        <xdr:cNvPr id="2063" name="Match41">
          <a:extLst>
            <a:ext uri="{FF2B5EF4-FFF2-40B4-BE49-F238E27FC236}">
              <a16:creationId xmlns:a16="http://schemas.microsoft.com/office/drawing/2014/main" id="{1EB005E9-33BF-03C8-4F52-08648BF6280E}"/>
            </a:ext>
          </a:extLst>
        </xdr:cNvPr>
        <xdr:cNvCxnSpPr/>
      </xdr:nvCxnSpPr>
      <xdr:spPr>
        <a:xfrm flipV="1">
          <a:off x="2356644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4</xdr:col>
      <xdr:colOff>211931</xdr:colOff>
      <xdr:row>5</xdr:row>
      <xdr:rowOff>178593</xdr:rowOff>
    </xdr:to>
    <xdr:cxnSp macro="">
      <xdr:nvCxnSpPr>
        <xdr:cNvPr id="2064" name="Match42">
          <a:extLst>
            <a:ext uri="{FF2B5EF4-FFF2-40B4-BE49-F238E27FC236}">
              <a16:creationId xmlns:a16="http://schemas.microsoft.com/office/drawing/2014/main" id="{D164CFFC-6E76-67EF-57CD-BC6FF2B2A698}"/>
            </a:ext>
          </a:extLst>
        </xdr:cNvPr>
        <xdr:cNvCxnSpPr/>
      </xdr:nvCxnSpPr>
      <xdr:spPr>
        <a:xfrm>
          <a:off x="1483519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5</xdr:col>
      <xdr:colOff>211931</xdr:colOff>
      <xdr:row>6</xdr:row>
      <xdr:rowOff>178594</xdr:rowOff>
    </xdr:to>
    <xdr:cxnSp macro="">
      <xdr:nvCxnSpPr>
        <xdr:cNvPr id="2065" name="Match43">
          <a:extLst>
            <a:ext uri="{FF2B5EF4-FFF2-40B4-BE49-F238E27FC236}">
              <a16:creationId xmlns:a16="http://schemas.microsoft.com/office/drawing/2014/main" id="{6EDD9C12-C06A-B0C5-144B-D06C4A054B23}"/>
            </a:ext>
          </a:extLst>
        </xdr:cNvPr>
        <xdr:cNvCxnSpPr/>
      </xdr:nvCxnSpPr>
      <xdr:spPr>
        <a:xfrm>
          <a:off x="2331244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5</xdr:row>
      <xdr:rowOff>203993</xdr:rowOff>
    </xdr:from>
    <xdr:to>
      <xdr:col>5</xdr:col>
      <xdr:colOff>237331</xdr:colOff>
      <xdr:row>5</xdr:row>
      <xdr:rowOff>203993</xdr:rowOff>
    </xdr:to>
    <xdr:cxnSp macro="">
      <xdr:nvCxnSpPr>
        <xdr:cNvPr id="2066" name="Match44">
          <a:extLst>
            <a:ext uri="{FF2B5EF4-FFF2-40B4-BE49-F238E27FC236}">
              <a16:creationId xmlns:a16="http://schemas.microsoft.com/office/drawing/2014/main" id="{EBC659A1-DB43-AAD5-DA8A-A209AA95B0CB}"/>
            </a:ext>
          </a:extLst>
        </xdr:cNvPr>
        <xdr:cNvCxnSpPr/>
      </xdr:nvCxnSpPr>
      <xdr:spPr>
        <a:xfrm flipH="1">
          <a:off x="1932781" y="198993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4</xdr:row>
      <xdr:rowOff>229394</xdr:rowOff>
    </xdr:from>
    <xdr:to>
      <xdr:col>5</xdr:col>
      <xdr:colOff>262731</xdr:colOff>
      <xdr:row>5</xdr:row>
      <xdr:rowOff>229393</xdr:rowOff>
    </xdr:to>
    <xdr:cxnSp macro="">
      <xdr:nvCxnSpPr>
        <xdr:cNvPr id="2067" name="Match45">
          <a:extLst>
            <a:ext uri="{FF2B5EF4-FFF2-40B4-BE49-F238E27FC236}">
              <a16:creationId xmlns:a16="http://schemas.microsoft.com/office/drawing/2014/main" id="{7B18AAB4-70EC-9D00-48C2-F95A94B2E72B}"/>
            </a:ext>
          </a:extLst>
        </xdr:cNvPr>
        <xdr:cNvCxnSpPr/>
      </xdr:nvCxnSpPr>
      <xdr:spPr>
        <a:xfrm flipV="1">
          <a:off x="2382044" y="165814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2</xdr:col>
      <xdr:colOff>211931</xdr:colOff>
      <xdr:row>7</xdr:row>
      <xdr:rowOff>178593</xdr:rowOff>
    </xdr:to>
    <xdr:cxnSp macro="">
      <xdr:nvCxnSpPr>
        <xdr:cNvPr id="2068" name="Match46">
          <a:extLst>
            <a:ext uri="{FF2B5EF4-FFF2-40B4-BE49-F238E27FC236}">
              <a16:creationId xmlns:a16="http://schemas.microsoft.com/office/drawing/2014/main" id="{3FC0D206-EEFA-8145-0686-9D12C9CFEE0D}"/>
            </a:ext>
          </a:extLst>
        </xdr:cNvPr>
        <xdr:cNvCxnSpPr/>
      </xdr:nvCxnSpPr>
      <xdr:spPr>
        <a:xfrm>
          <a:off x="635794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7</xdr:row>
      <xdr:rowOff>203993</xdr:rowOff>
    </xdr:from>
    <xdr:to>
      <xdr:col>2</xdr:col>
      <xdr:colOff>237331</xdr:colOff>
      <xdr:row>8</xdr:row>
      <xdr:rowOff>203994</xdr:rowOff>
    </xdr:to>
    <xdr:cxnSp macro="">
      <xdr:nvCxnSpPr>
        <xdr:cNvPr id="2069" name="Match47">
          <a:extLst>
            <a:ext uri="{FF2B5EF4-FFF2-40B4-BE49-F238E27FC236}">
              <a16:creationId xmlns:a16="http://schemas.microsoft.com/office/drawing/2014/main" id="{CE2C663D-F84D-7E71-38AA-196BD9570420}"/>
            </a:ext>
          </a:extLst>
        </xdr:cNvPr>
        <xdr:cNvCxnSpPr/>
      </xdr:nvCxnSpPr>
      <xdr:spPr>
        <a:xfrm>
          <a:off x="661194" y="270430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6</xdr:col>
      <xdr:colOff>211931</xdr:colOff>
      <xdr:row>8</xdr:row>
      <xdr:rowOff>178594</xdr:rowOff>
    </xdr:to>
    <xdr:cxnSp macro="">
      <xdr:nvCxnSpPr>
        <xdr:cNvPr id="2070" name="Match48">
          <a:extLst>
            <a:ext uri="{FF2B5EF4-FFF2-40B4-BE49-F238E27FC236}">
              <a16:creationId xmlns:a16="http://schemas.microsoft.com/office/drawing/2014/main" id="{250C35BF-937D-7A35-D55D-835FB39E720C}"/>
            </a:ext>
          </a:extLst>
        </xdr:cNvPr>
        <xdr:cNvCxnSpPr/>
      </xdr:nvCxnSpPr>
      <xdr:spPr>
        <a:xfrm flipH="1">
          <a:off x="233124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6</xdr:row>
      <xdr:rowOff>203994</xdr:rowOff>
    </xdr:from>
    <xdr:to>
      <xdr:col>6</xdr:col>
      <xdr:colOff>237331</xdr:colOff>
      <xdr:row>7</xdr:row>
      <xdr:rowOff>203993</xdr:rowOff>
    </xdr:to>
    <xdr:cxnSp macro="">
      <xdr:nvCxnSpPr>
        <xdr:cNvPr id="2071" name="Match49">
          <a:extLst>
            <a:ext uri="{FF2B5EF4-FFF2-40B4-BE49-F238E27FC236}">
              <a16:creationId xmlns:a16="http://schemas.microsoft.com/office/drawing/2014/main" id="{7DBD9AB0-1533-7F12-6B2B-1CF13C347AAA}"/>
            </a:ext>
          </a:extLst>
        </xdr:cNvPr>
        <xdr:cNvCxnSpPr/>
      </xdr:nvCxnSpPr>
      <xdr:spPr>
        <a:xfrm flipH="1" flipV="1">
          <a:off x="2356644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7</xdr:row>
      <xdr:rowOff>178593</xdr:rowOff>
    </xdr:from>
    <xdr:to>
      <xdr:col>9</xdr:col>
      <xdr:colOff>211931</xdr:colOff>
      <xdr:row>8</xdr:row>
      <xdr:rowOff>178594</xdr:rowOff>
    </xdr:to>
    <xdr:cxnSp macro="">
      <xdr:nvCxnSpPr>
        <xdr:cNvPr id="2072" name="Match50">
          <a:extLst>
            <a:ext uri="{FF2B5EF4-FFF2-40B4-BE49-F238E27FC236}">
              <a16:creationId xmlns:a16="http://schemas.microsoft.com/office/drawing/2014/main" id="{4049BCFF-1BF8-36DB-E378-3BF599B2FC6A}"/>
            </a:ext>
          </a:extLst>
        </xdr:cNvPr>
        <xdr:cNvCxnSpPr/>
      </xdr:nvCxnSpPr>
      <xdr:spPr>
        <a:xfrm flipH="1">
          <a:off x="360283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7</xdr:row>
      <xdr:rowOff>203993</xdr:rowOff>
    </xdr:from>
    <xdr:to>
      <xdr:col>9</xdr:col>
      <xdr:colOff>237331</xdr:colOff>
      <xdr:row>7</xdr:row>
      <xdr:rowOff>203993</xdr:rowOff>
    </xdr:to>
    <xdr:cxnSp macro="">
      <xdr:nvCxnSpPr>
        <xdr:cNvPr id="2073" name="Match51">
          <a:extLst>
            <a:ext uri="{FF2B5EF4-FFF2-40B4-BE49-F238E27FC236}">
              <a16:creationId xmlns:a16="http://schemas.microsoft.com/office/drawing/2014/main" id="{1E31D714-C8EB-37A5-8437-29504FFC0A66}"/>
            </a:ext>
          </a:extLst>
        </xdr:cNvPr>
        <xdr:cNvCxnSpPr/>
      </xdr:nvCxnSpPr>
      <xdr:spPr>
        <a:xfrm flipH="1">
          <a:off x="3628231" y="270430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6</xdr:row>
      <xdr:rowOff>229394</xdr:rowOff>
    </xdr:from>
    <xdr:to>
      <xdr:col>9</xdr:col>
      <xdr:colOff>262731</xdr:colOff>
      <xdr:row>7</xdr:row>
      <xdr:rowOff>229393</xdr:rowOff>
    </xdr:to>
    <xdr:cxnSp macro="">
      <xdr:nvCxnSpPr>
        <xdr:cNvPr id="2074" name="Match52">
          <a:extLst>
            <a:ext uri="{FF2B5EF4-FFF2-40B4-BE49-F238E27FC236}">
              <a16:creationId xmlns:a16="http://schemas.microsoft.com/office/drawing/2014/main" id="{76B85BE0-7F70-6833-0400-07F09BC91D4A}"/>
            </a:ext>
          </a:extLst>
        </xdr:cNvPr>
        <xdr:cNvCxnSpPr/>
      </xdr:nvCxnSpPr>
      <xdr:spPr>
        <a:xfrm flipV="1">
          <a:off x="4077494" y="2372519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9</xdr:col>
      <xdr:colOff>211931</xdr:colOff>
      <xdr:row>8</xdr:row>
      <xdr:rowOff>178594</xdr:rowOff>
    </xdr:to>
    <xdr:cxnSp macro="">
      <xdr:nvCxnSpPr>
        <xdr:cNvPr id="2075" name="Match53">
          <a:extLst>
            <a:ext uri="{FF2B5EF4-FFF2-40B4-BE49-F238E27FC236}">
              <a16:creationId xmlns:a16="http://schemas.microsoft.com/office/drawing/2014/main" id="{8172E390-29B7-705C-7142-23E6C20EAE94}"/>
            </a:ext>
          </a:extLst>
        </xdr:cNvPr>
        <xdr:cNvCxnSpPr/>
      </xdr:nvCxnSpPr>
      <xdr:spPr>
        <a:xfrm flipH="1">
          <a:off x="3602831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7</xdr:row>
      <xdr:rowOff>203993</xdr:rowOff>
    </xdr:from>
    <xdr:to>
      <xdr:col>9</xdr:col>
      <xdr:colOff>237331</xdr:colOff>
      <xdr:row>8</xdr:row>
      <xdr:rowOff>203994</xdr:rowOff>
    </xdr:to>
    <xdr:cxnSp macro="">
      <xdr:nvCxnSpPr>
        <xdr:cNvPr id="2076" name="Match54">
          <a:extLst>
            <a:ext uri="{FF2B5EF4-FFF2-40B4-BE49-F238E27FC236}">
              <a16:creationId xmlns:a16="http://schemas.microsoft.com/office/drawing/2014/main" id="{EBD33DF6-553E-82D7-55BD-C9980BB1688D}"/>
            </a:ext>
          </a:extLst>
        </xdr:cNvPr>
        <xdr:cNvCxnSpPr/>
      </xdr:nvCxnSpPr>
      <xdr:spPr>
        <a:xfrm flipH="1" flipV="1">
          <a:off x="3628231" y="270430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9</xdr:row>
      <xdr:rowOff>178593</xdr:rowOff>
    </xdr:from>
    <xdr:to>
      <xdr:col>7</xdr:col>
      <xdr:colOff>211931</xdr:colOff>
      <xdr:row>10</xdr:row>
      <xdr:rowOff>178594</xdr:rowOff>
    </xdr:to>
    <xdr:cxnSp macro="">
      <xdr:nvCxnSpPr>
        <xdr:cNvPr id="2077" name="Match55">
          <a:extLst>
            <a:ext uri="{FF2B5EF4-FFF2-40B4-BE49-F238E27FC236}">
              <a16:creationId xmlns:a16="http://schemas.microsoft.com/office/drawing/2014/main" id="{17FD9D10-2315-B92B-1573-40E2A0D9669A}"/>
            </a:ext>
          </a:extLst>
        </xdr:cNvPr>
        <xdr:cNvCxnSpPr/>
      </xdr:nvCxnSpPr>
      <xdr:spPr>
        <a:xfrm>
          <a:off x="275510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8</xdr:row>
      <xdr:rowOff>203994</xdr:rowOff>
    </xdr:from>
    <xdr:to>
      <xdr:col>6</xdr:col>
      <xdr:colOff>237331</xdr:colOff>
      <xdr:row>9</xdr:row>
      <xdr:rowOff>203993</xdr:rowOff>
    </xdr:to>
    <xdr:cxnSp macro="">
      <xdr:nvCxnSpPr>
        <xdr:cNvPr id="2078" name="Match56">
          <a:extLst>
            <a:ext uri="{FF2B5EF4-FFF2-40B4-BE49-F238E27FC236}">
              <a16:creationId xmlns:a16="http://schemas.microsoft.com/office/drawing/2014/main" id="{32A74977-8A11-91D5-853D-DF3F4C77CA63}"/>
            </a:ext>
          </a:extLst>
        </xdr:cNvPr>
        <xdr:cNvCxnSpPr/>
      </xdr:nvCxnSpPr>
      <xdr:spPr>
        <a:xfrm flipH="1" flipV="1">
          <a:off x="2356644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9</xdr:col>
      <xdr:colOff>211931</xdr:colOff>
      <xdr:row>9</xdr:row>
      <xdr:rowOff>178593</xdr:rowOff>
    </xdr:to>
    <xdr:cxnSp macro="">
      <xdr:nvCxnSpPr>
        <xdr:cNvPr id="2079" name="Match57">
          <a:extLst>
            <a:ext uri="{FF2B5EF4-FFF2-40B4-BE49-F238E27FC236}">
              <a16:creationId xmlns:a16="http://schemas.microsoft.com/office/drawing/2014/main" id="{77317BFF-F70E-B72A-1714-7D21DF3F9076}"/>
            </a:ext>
          </a:extLst>
        </xdr:cNvPr>
        <xdr:cNvCxnSpPr/>
      </xdr:nvCxnSpPr>
      <xdr:spPr>
        <a:xfrm flipH="1" flipV="1">
          <a:off x="360283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8</xdr:col>
      <xdr:colOff>211931</xdr:colOff>
      <xdr:row>10</xdr:row>
      <xdr:rowOff>178594</xdr:rowOff>
    </xdr:to>
    <xdr:cxnSp macro="">
      <xdr:nvCxnSpPr>
        <xdr:cNvPr id="2080" name="Match58">
          <a:extLst>
            <a:ext uri="{FF2B5EF4-FFF2-40B4-BE49-F238E27FC236}">
              <a16:creationId xmlns:a16="http://schemas.microsoft.com/office/drawing/2014/main" id="{F7DA4576-4BB4-79F7-C039-3430CBBC4638}"/>
            </a:ext>
          </a:extLst>
        </xdr:cNvPr>
        <xdr:cNvCxnSpPr/>
      </xdr:nvCxnSpPr>
      <xdr:spPr>
        <a:xfrm flipH="1">
          <a:off x="3178969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10</xdr:row>
      <xdr:rowOff>178594</xdr:rowOff>
    </xdr:from>
    <xdr:to>
      <xdr:col>7</xdr:col>
      <xdr:colOff>211931</xdr:colOff>
      <xdr:row>11</xdr:row>
      <xdr:rowOff>178593</xdr:rowOff>
    </xdr:to>
    <xdr:cxnSp macro="">
      <xdr:nvCxnSpPr>
        <xdr:cNvPr id="2081" name="Match59">
          <a:extLst>
            <a:ext uri="{FF2B5EF4-FFF2-40B4-BE49-F238E27FC236}">
              <a16:creationId xmlns:a16="http://schemas.microsoft.com/office/drawing/2014/main" id="{92E142E7-6095-F406-EFB6-E7138B2E5BBF}"/>
            </a:ext>
          </a:extLst>
        </xdr:cNvPr>
        <xdr:cNvCxnSpPr/>
      </xdr:nvCxnSpPr>
      <xdr:spPr>
        <a:xfrm flipV="1">
          <a:off x="275510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0</xdr:row>
      <xdr:rowOff>203994</xdr:rowOff>
    </xdr:from>
    <xdr:to>
      <xdr:col>6</xdr:col>
      <xdr:colOff>237331</xdr:colOff>
      <xdr:row>0</xdr:row>
      <xdr:rowOff>203994</xdr:rowOff>
    </xdr:to>
    <xdr:cxnSp macro="">
      <xdr:nvCxnSpPr>
        <xdr:cNvPr id="2082" name="Match60">
          <a:extLst>
            <a:ext uri="{FF2B5EF4-FFF2-40B4-BE49-F238E27FC236}">
              <a16:creationId xmlns:a16="http://schemas.microsoft.com/office/drawing/2014/main" id="{27184817-364E-6AC3-E524-C89F14A9AECF}"/>
            </a:ext>
          </a:extLst>
        </xdr:cNvPr>
        <xdr:cNvCxnSpPr/>
      </xdr:nvCxnSpPr>
      <xdr:spPr>
        <a:xfrm>
          <a:off x="661194" y="203994"/>
          <a:ext cx="211931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</xdr:row>
      <xdr:rowOff>178593</xdr:rowOff>
    </xdr:from>
    <xdr:to>
      <xdr:col>10</xdr:col>
      <xdr:colOff>211931</xdr:colOff>
      <xdr:row>7</xdr:row>
      <xdr:rowOff>178593</xdr:rowOff>
    </xdr:to>
    <xdr:cxnSp macro="">
      <xdr:nvCxnSpPr>
        <xdr:cNvPr id="2083" name="Match61">
          <a:extLst>
            <a:ext uri="{FF2B5EF4-FFF2-40B4-BE49-F238E27FC236}">
              <a16:creationId xmlns:a16="http://schemas.microsoft.com/office/drawing/2014/main" id="{32B98F72-07D5-2243-D6B9-06A35CBF41F9}"/>
            </a:ext>
          </a:extLst>
        </xdr:cNvPr>
        <xdr:cNvCxnSpPr/>
      </xdr:nvCxnSpPr>
      <xdr:spPr>
        <a:xfrm flipV="1">
          <a:off x="4450556" y="535781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0</xdr:row>
      <xdr:rowOff>203994</xdr:rowOff>
    </xdr:from>
    <xdr:to>
      <xdr:col>1</xdr:col>
      <xdr:colOff>237331</xdr:colOff>
      <xdr:row>1</xdr:row>
      <xdr:rowOff>203993</xdr:rowOff>
    </xdr:to>
    <xdr:cxnSp macro="">
      <xdr:nvCxnSpPr>
        <xdr:cNvPr id="2084" name="Match62">
          <a:extLst>
            <a:ext uri="{FF2B5EF4-FFF2-40B4-BE49-F238E27FC236}">
              <a16:creationId xmlns:a16="http://schemas.microsoft.com/office/drawing/2014/main" id="{709EDA21-6E5A-0913-4E02-9D02195D236A}"/>
            </a:ext>
          </a:extLst>
        </xdr:cNvPr>
        <xdr:cNvCxnSpPr/>
      </xdr:nvCxnSpPr>
      <xdr:spPr>
        <a:xfrm>
          <a:off x="237331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0</xdr:row>
      <xdr:rowOff>229394</xdr:rowOff>
    </xdr:from>
    <xdr:to>
      <xdr:col>1</xdr:col>
      <xdr:colOff>262731</xdr:colOff>
      <xdr:row>1</xdr:row>
      <xdr:rowOff>229393</xdr:rowOff>
    </xdr:to>
    <xdr:cxnSp macro="">
      <xdr:nvCxnSpPr>
        <xdr:cNvPr id="2085" name="Match63">
          <a:extLst>
            <a:ext uri="{FF2B5EF4-FFF2-40B4-BE49-F238E27FC236}">
              <a16:creationId xmlns:a16="http://schemas.microsoft.com/office/drawing/2014/main" id="{BAEC257E-9746-ECA2-E3A8-F6504CD94956}"/>
            </a:ext>
          </a:extLst>
        </xdr:cNvPr>
        <xdr:cNvCxnSpPr/>
      </xdr:nvCxnSpPr>
      <xdr:spPr>
        <a:xfrm>
          <a:off x="686594" y="22939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9</xdr:col>
      <xdr:colOff>211931</xdr:colOff>
      <xdr:row>0</xdr:row>
      <xdr:rowOff>178594</xdr:rowOff>
    </xdr:to>
    <xdr:cxnSp macro="">
      <xdr:nvCxnSpPr>
        <xdr:cNvPr id="2086" name="Match64">
          <a:extLst>
            <a:ext uri="{FF2B5EF4-FFF2-40B4-BE49-F238E27FC236}">
              <a16:creationId xmlns:a16="http://schemas.microsoft.com/office/drawing/2014/main" id="{5C63F125-4D6A-7ECB-35DB-0553A49F619F}"/>
            </a:ext>
          </a:extLst>
        </xdr:cNvPr>
        <xdr:cNvCxnSpPr/>
      </xdr:nvCxnSpPr>
      <xdr:spPr>
        <a:xfrm flipH="1">
          <a:off x="3602831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0</xdr:row>
      <xdr:rowOff>203994</xdr:rowOff>
    </xdr:from>
    <xdr:to>
      <xdr:col>8</xdr:col>
      <xdr:colOff>237331</xdr:colOff>
      <xdr:row>1</xdr:row>
      <xdr:rowOff>203993</xdr:rowOff>
    </xdr:to>
    <xdr:cxnSp macro="">
      <xdr:nvCxnSpPr>
        <xdr:cNvPr id="2087" name="Match65">
          <a:extLst>
            <a:ext uri="{FF2B5EF4-FFF2-40B4-BE49-F238E27FC236}">
              <a16:creationId xmlns:a16="http://schemas.microsoft.com/office/drawing/2014/main" id="{ACF1EDB2-8162-7035-8352-CD054DF739E7}"/>
            </a:ext>
          </a:extLst>
        </xdr:cNvPr>
        <xdr:cNvCxnSpPr/>
      </xdr:nvCxnSpPr>
      <xdr:spPr>
        <a:xfrm flipV="1">
          <a:off x="3204369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2</xdr:row>
      <xdr:rowOff>229394</xdr:rowOff>
    </xdr:from>
    <xdr:to>
      <xdr:col>8</xdr:col>
      <xdr:colOff>262731</xdr:colOff>
      <xdr:row>3</xdr:row>
      <xdr:rowOff>229393</xdr:rowOff>
    </xdr:to>
    <xdr:cxnSp macro="">
      <xdr:nvCxnSpPr>
        <xdr:cNvPr id="2088" name="Match66">
          <a:extLst>
            <a:ext uri="{FF2B5EF4-FFF2-40B4-BE49-F238E27FC236}">
              <a16:creationId xmlns:a16="http://schemas.microsoft.com/office/drawing/2014/main" id="{450F2011-217D-022C-4DA9-04A7098354FB}"/>
            </a:ext>
          </a:extLst>
        </xdr:cNvPr>
        <xdr:cNvCxnSpPr/>
      </xdr:nvCxnSpPr>
      <xdr:spPr>
        <a:xfrm>
          <a:off x="3653631" y="943769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4</xdr:row>
      <xdr:rowOff>203994</xdr:rowOff>
    </xdr:from>
    <xdr:to>
      <xdr:col>10</xdr:col>
      <xdr:colOff>237331</xdr:colOff>
      <xdr:row>5</xdr:row>
      <xdr:rowOff>203993</xdr:rowOff>
    </xdr:to>
    <xdr:cxnSp macro="">
      <xdr:nvCxnSpPr>
        <xdr:cNvPr id="2089" name="Match67">
          <a:extLst>
            <a:ext uri="{FF2B5EF4-FFF2-40B4-BE49-F238E27FC236}">
              <a16:creationId xmlns:a16="http://schemas.microsoft.com/office/drawing/2014/main" id="{831D19FC-B21A-3FCA-C790-041E6E816EE8}"/>
            </a:ext>
          </a:extLst>
        </xdr:cNvPr>
        <xdr:cNvCxnSpPr/>
      </xdr:nvCxnSpPr>
      <xdr:spPr>
        <a:xfrm flipH="1">
          <a:off x="4052094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6</xdr:row>
      <xdr:rowOff>203994</xdr:rowOff>
    </xdr:from>
    <xdr:to>
      <xdr:col>3</xdr:col>
      <xdr:colOff>237331</xdr:colOff>
      <xdr:row>7</xdr:row>
      <xdr:rowOff>203993</xdr:rowOff>
    </xdr:to>
    <xdr:cxnSp macro="">
      <xdr:nvCxnSpPr>
        <xdr:cNvPr id="2090" name="Match68">
          <a:extLst>
            <a:ext uri="{FF2B5EF4-FFF2-40B4-BE49-F238E27FC236}">
              <a16:creationId xmlns:a16="http://schemas.microsoft.com/office/drawing/2014/main" id="{BC3112A4-14EA-0C08-DE98-6C3B9E5D32C9}"/>
            </a:ext>
          </a:extLst>
        </xdr:cNvPr>
        <xdr:cNvCxnSpPr/>
      </xdr:nvCxnSpPr>
      <xdr:spPr>
        <a:xfrm>
          <a:off x="1085056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5</xdr:row>
      <xdr:rowOff>229393</xdr:rowOff>
    </xdr:from>
    <xdr:to>
      <xdr:col>3</xdr:col>
      <xdr:colOff>262731</xdr:colOff>
      <xdr:row>6</xdr:row>
      <xdr:rowOff>229394</xdr:rowOff>
    </xdr:to>
    <xdr:cxnSp macro="">
      <xdr:nvCxnSpPr>
        <xdr:cNvPr id="2091" name="Match69">
          <a:extLst>
            <a:ext uri="{FF2B5EF4-FFF2-40B4-BE49-F238E27FC236}">
              <a16:creationId xmlns:a16="http://schemas.microsoft.com/office/drawing/2014/main" id="{2119C9F1-68EF-03D4-0556-5CF355BDC589}"/>
            </a:ext>
          </a:extLst>
        </xdr:cNvPr>
        <xdr:cNvCxnSpPr/>
      </xdr:nvCxnSpPr>
      <xdr:spPr>
        <a:xfrm flipV="1">
          <a:off x="1110456" y="201533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4</xdr:col>
      <xdr:colOff>211931</xdr:colOff>
      <xdr:row>7</xdr:row>
      <xdr:rowOff>178593</xdr:rowOff>
    </xdr:to>
    <xdr:cxnSp macro="">
      <xdr:nvCxnSpPr>
        <xdr:cNvPr id="2092" name="Match70">
          <a:extLst>
            <a:ext uri="{FF2B5EF4-FFF2-40B4-BE49-F238E27FC236}">
              <a16:creationId xmlns:a16="http://schemas.microsoft.com/office/drawing/2014/main" id="{A1E21696-DE62-AE29-A6D5-9A7D3EF7F50A}"/>
            </a:ext>
          </a:extLst>
        </xdr:cNvPr>
        <xdr:cNvCxnSpPr/>
      </xdr:nvCxnSpPr>
      <xdr:spPr>
        <a:xfrm flipH="1">
          <a:off x="1483519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6</xdr:row>
      <xdr:rowOff>203994</xdr:rowOff>
    </xdr:from>
    <xdr:to>
      <xdr:col>4</xdr:col>
      <xdr:colOff>237331</xdr:colOff>
      <xdr:row>7</xdr:row>
      <xdr:rowOff>203993</xdr:rowOff>
    </xdr:to>
    <xdr:cxnSp macro="">
      <xdr:nvCxnSpPr>
        <xdr:cNvPr id="2093" name="Match71">
          <a:extLst>
            <a:ext uri="{FF2B5EF4-FFF2-40B4-BE49-F238E27FC236}">
              <a16:creationId xmlns:a16="http://schemas.microsoft.com/office/drawing/2014/main" id="{4F94C05C-F34F-A25D-0F2C-4E12E59F9673}"/>
            </a:ext>
          </a:extLst>
        </xdr:cNvPr>
        <xdr:cNvCxnSpPr/>
      </xdr:nvCxnSpPr>
      <xdr:spPr>
        <a:xfrm flipV="1">
          <a:off x="1932781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7</xdr:row>
      <xdr:rowOff>229393</xdr:rowOff>
    </xdr:from>
    <xdr:to>
      <xdr:col>1</xdr:col>
      <xdr:colOff>262731</xdr:colOff>
      <xdr:row>8</xdr:row>
      <xdr:rowOff>229394</xdr:rowOff>
    </xdr:to>
    <xdr:cxnSp macro="">
      <xdr:nvCxnSpPr>
        <xdr:cNvPr id="2094" name="Match72">
          <a:extLst>
            <a:ext uri="{FF2B5EF4-FFF2-40B4-BE49-F238E27FC236}">
              <a16:creationId xmlns:a16="http://schemas.microsoft.com/office/drawing/2014/main" id="{6BC860EB-CDBF-5E0B-B327-0F1F3732E065}"/>
            </a:ext>
          </a:extLst>
        </xdr:cNvPr>
        <xdr:cNvCxnSpPr/>
      </xdr:nvCxnSpPr>
      <xdr:spPr>
        <a:xfrm flipH="1" flipV="1">
          <a:off x="262731" y="2729706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7</xdr:row>
      <xdr:rowOff>178593</xdr:rowOff>
    </xdr:from>
    <xdr:to>
      <xdr:col>11</xdr:col>
      <xdr:colOff>211931</xdr:colOff>
      <xdr:row>8</xdr:row>
      <xdr:rowOff>178594</xdr:rowOff>
    </xdr:to>
    <xdr:cxnSp macro="">
      <xdr:nvCxnSpPr>
        <xdr:cNvPr id="2095" name="Match73">
          <a:extLst>
            <a:ext uri="{FF2B5EF4-FFF2-40B4-BE49-F238E27FC236}">
              <a16:creationId xmlns:a16="http://schemas.microsoft.com/office/drawing/2014/main" id="{7A13FD2C-C2F5-F180-19A3-25F3E218CB23}"/>
            </a:ext>
          </a:extLst>
        </xdr:cNvPr>
        <xdr:cNvCxnSpPr/>
      </xdr:nvCxnSpPr>
      <xdr:spPr>
        <a:xfrm flipV="1">
          <a:off x="4450556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9</xdr:row>
      <xdr:rowOff>203993</xdr:rowOff>
    </xdr:from>
    <xdr:to>
      <xdr:col>2</xdr:col>
      <xdr:colOff>237331</xdr:colOff>
      <xdr:row>10</xdr:row>
      <xdr:rowOff>203994</xdr:rowOff>
    </xdr:to>
    <xdr:cxnSp macro="">
      <xdr:nvCxnSpPr>
        <xdr:cNvPr id="2096" name="Match74">
          <a:extLst>
            <a:ext uri="{FF2B5EF4-FFF2-40B4-BE49-F238E27FC236}">
              <a16:creationId xmlns:a16="http://schemas.microsoft.com/office/drawing/2014/main" id="{5685E1B4-581F-CDF6-EDD3-81C56393C509}"/>
            </a:ext>
          </a:extLst>
        </xdr:cNvPr>
        <xdr:cNvCxnSpPr/>
      </xdr:nvCxnSpPr>
      <xdr:spPr>
        <a:xfrm>
          <a:off x="661194" y="34186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8</xdr:row>
      <xdr:rowOff>203994</xdr:rowOff>
    </xdr:from>
    <xdr:to>
      <xdr:col>7</xdr:col>
      <xdr:colOff>237331</xdr:colOff>
      <xdr:row>9</xdr:row>
      <xdr:rowOff>203993</xdr:rowOff>
    </xdr:to>
    <xdr:cxnSp macro="">
      <xdr:nvCxnSpPr>
        <xdr:cNvPr id="2097" name="Match75">
          <a:extLst>
            <a:ext uri="{FF2B5EF4-FFF2-40B4-BE49-F238E27FC236}">
              <a16:creationId xmlns:a16="http://schemas.microsoft.com/office/drawing/2014/main" id="{46D1AE03-50EB-7462-1A2B-034EE8920576}"/>
            </a:ext>
          </a:extLst>
        </xdr:cNvPr>
        <xdr:cNvCxnSpPr/>
      </xdr:nvCxnSpPr>
      <xdr:spPr>
        <a:xfrm flipV="1">
          <a:off x="3204369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2</xdr:col>
      <xdr:colOff>211931</xdr:colOff>
      <xdr:row>8</xdr:row>
      <xdr:rowOff>178594</xdr:rowOff>
    </xdr:to>
    <xdr:cxnSp macro="">
      <xdr:nvCxnSpPr>
        <xdr:cNvPr id="2098" name="Match76">
          <a:extLst>
            <a:ext uri="{FF2B5EF4-FFF2-40B4-BE49-F238E27FC236}">
              <a16:creationId xmlns:a16="http://schemas.microsoft.com/office/drawing/2014/main" id="{007E5B53-3C06-6D19-7F85-452F0EC961F5}"/>
            </a:ext>
          </a:extLst>
        </xdr:cNvPr>
        <xdr:cNvCxnSpPr/>
      </xdr:nvCxnSpPr>
      <xdr:spPr>
        <a:xfrm>
          <a:off x="1059656" y="1607344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7" name="Chart 3">
          <a:extLst>
            <a:ext uri="{FF2B5EF4-FFF2-40B4-BE49-F238E27FC236}">
              <a16:creationId xmlns:a16="http://schemas.microsoft.com/office/drawing/2014/main" id="{15EBE040-92D7-B02C-6991-FF59DEF22B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C9" sqref="C9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3">
        <v>3</v>
      </c>
      <c r="B1" s="22">
        <v>3</v>
      </c>
      <c r="C1" s="22">
        <v>7</v>
      </c>
      <c r="D1" s="22">
        <v>2</v>
      </c>
      <c r="E1" s="22">
        <v>1</v>
      </c>
      <c r="F1" s="22">
        <v>4</v>
      </c>
      <c r="G1" s="22">
        <v>2</v>
      </c>
      <c r="H1" s="23">
        <v>8</v>
      </c>
      <c r="I1" s="23">
        <v>6</v>
      </c>
      <c r="J1" s="23">
        <v>3</v>
      </c>
      <c r="K1" s="27">
        <v>9</v>
      </c>
      <c r="L1" s="27">
        <v>8</v>
      </c>
      <c r="N1" s="2">
        <v>559</v>
      </c>
      <c r="O1" s="1">
        <v>1</v>
      </c>
    </row>
    <row r="2" spans="1:15" s="2" customFormat="1" ht="28.25" customHeight="1">
      <c r="A2" s="27">
        <v>5</v>
      </c>
      <c r="B2" s="23">
        <v>6</v>
      </c>
      <c r="C2" s="27">
        <v>7</v>
      </c>
      <c r="D2" s="27">
        <v>7</v>
      </c>
      <c r="E2" s="27">
        <v>1</v>
      </c>
      <c r="F2" s="23">
        <v>7</v>
      </c>
      <c r="G2" s="23">
        <v>2</v>
      </c>
      <c r="H2" s="23">
        <v>3</v>
      </c>
      <c r="I2" s="23">
        <v>2</v>
      </c>
      <c r="J2" s="27">
        <v>1</v>
      </c>
      <c r="K2" s="22">
        <v>8</v>
      </c>
      <c r="L2" s="27">
        <v>7</v>
      </c>
      <c r="N2" s="2">
        <v>54646</v>
      </c>
      <c r="O2" s="2">
        <v>1</v>
      </c>
    </row>
    <row r="3" spans="1:15" ht="28.25" customHeight="1">
      <c r="A3" s="27">
        <v>1</v>
      </c>
      <c r="B3" s="27">
        <v>7</v>
      </c>
      <c r="C3" s="23">
        <v>8</v>
      </c>
      <c r="D3" s="27">
        <v>1</v>
      </c>
      <c r="E3" s="22">
        <v>9</v>
      </c>
      <c r="F3" s="27">
        <v>1</v>
      </c>
      <c r="G3" s="23">
        <v>4</v>
      </c>
      <c r="H3" s="23">
        <v>8</v>
      </c>
      <c r="I3" s="23">
        <v>3</v>
      </c>
      <c r="J3" s="23">
        <v>1</v>
      </c>
      <c r="K3" s="22">
        <v>8</v>
      </c>
      <c r="L3" s="23">
        <v>8</v>
      </c>
      <c r="N3" s="2">
        <v>1734</v>
      </c>
      <c r="O3" s="1">
        <v>1</v>
      </c>
    </row>
    <row r="4" spans="1:15" ht="28.25" customHeight="1">
      <c r="A4" s="22">
        <v>3</v>
      </c>
      <c r="B4" s="22">
        <v>1</v>
      </c>
      <c r="C4" s="22">
        <v>8</v>
      </c>
      <c r="D4" s="27">
        <v>1</v>
      </c>
      <c r="E4" s="22">
        <v>5</v>
      </c>
      <c r="F4" s="27">
        <v>9</v>
      </c>
      <c r="G4" s="27">
        <v>8</v>
      </c>
      <c r="H4" s="27">
        <v>4</v>
      </c>
      <c r="I4" s="23">
        <v>6</v>
      </c>
      <c r="J4" s="23">
        <v>2</v>
      </c>
      <c r="K4" s="22">
        <v>9</v>
      </c>
      <c r="L4" s="23">
        <v>2</v>
      </c>
      <c r="N4" s="2">
        <v>318</v>
      </c>
      <c r="O4" s="1">
        <v>5</v>
      </c>
    </row>
    <row r="5" spans="1:15" ht="28.25" customHeight="1">
      <c r="A5" s="22">
        <v>3</v>
      </c>
      <c r="B5" s="22">
        <v>9</v>
      </c>
      <c r="C5" s="22">
        <v>5</v>
      </c>
      <c r="D5" s="23">
        <v>7</v>
      </c>
      <c r="E5" s="22">
        <v>5</v>
      </c>
      <c r="F5" s="22">
        <v>4</v>
      </c>
      <c r="G5" s="27">
        <v>8</v>
      </c>
      <c r="H5" s="23">
        <v>8</v>
      </c>
      <c r="I5" s="22">
        <v>8</v>
      </c>
      <c r="J5" s="23">
        <v>1</v>
      </c>
      <c r="K5" s="22">
        <v>3</v>
      </c>
      <c r="L5" s="27">
        <v>1</v>
      </c>
      <c r="N5" s="2">
        <v>28</v>
      </c>
      <c r="O5" s="1">
        <v>11</v>
      </c>
    </row>
    <row r="6" spans="1:15" ht="28.25" customHeight="1">
      <c r="A6" s="27">
        <v>8</v>
      </c>
      <c r="B6" s="22">
        <v>3</v>
      </c>
      <c r="C6" s="22">
        <v>5</v>
      </c>
      <c r="D6" s="22">
        <v>6</v>
      </c>
      <c r="E6" s="23">
        <v>4</v>
      </c>
      <c r="F6" s="23">
        <v>7</v>
      </c>
      <c r="G6" s="22">
        <v>6</v>
      </c>
      <c r="H6" s="22">
        <v>6</v>
      </c>
      <c r="I6" s="23">
        <v>6</v>
      </c>
      <c r="J6" s="23">
        <v>6</v>
      </c>
      <c r="K6" s="22">
        <v>8</v>
      </c>
      <c r="L6" s="27">
        <v>4</v>
      </c>
      <c r="N6" s="2">
        <v>468</v>
      </c>
      <c r="O6" s="1">
        <v>4</v>
      </c>
    </row>
    <row r="7" spans="1:15" ht="28.25" customHeight="1">
      <c r="A7" s="27">
        <v>5</v>
      </c>
      <c r="B7" s="22">
        <v>8</v>
      </c>
      <c r="C7" s="22">
        <v>3</v>
      </c>
      <c r="D7" s="22">
        <v>4</v>
      </c>
      <c r="E7" s="23">
        <v>6</v>
      </c>
      <c r="F7" s="23">
        <v>4</v>
      </c>
      <c r="G7" s="22">
        <v>5</v>
      </c>
      <c r="H7" s="22">
        <v>8</v>
      </c>
      <c r="I7" s="22">
        <v>1</v>
      </c>
      <c r="J7" s="22">
        <v>4</v>
      </c>
      <c r="K7" s="22">
        <v>6</v>
      </c>
      <c r="L7" s="27">
        <v>4</v>
      </c>
      <c r="N7" s="2">
        <v>37839</v>
      </c>
      <c r="O7" s="1">
        <v>1</v>
      </c>
    </row>
    <row r="8" spans="1:15" ht="28.25" customHeight="1">
      <c r="A8" s="23">
        <v>6</v>
      </c>
      <c r="B8" s="22">
        <v>7</v>
      </c>
      <c r="C8" s="22">
        <v>4</v>
      </c>
      <c r="D8" s="22">
        <v>6</v>
      </c>
      <c r="E8" s="22">
        <v>3</v>
      </c>
      <c r="F8" s="22">
        <v>8</v>
      </c>
      <c r="G8" s="23">
        <v>7</v>
      </c>
      <c r="H8" s="27">
        <v>9</v>
      </c>
      <c r="I8" s="23">
        <v>4</v>
      </c>
      <c r="J8" s="22">
        <v>7</v>
      </c>
      <c r="K8" s="22">
        <v>1</v>
      </c>
      <c r="L8" s="23">
        <v>6</v>
      </c>
      <c r="N8" s="2">
        <v>8658</v>
      </c>
      <c r="O8" s="1">
        <v>1</v>
      </c>
    </row>
    <row r="9" spans="1:15" ht="28.25" customHeight="1">
      <c r="A9" s="27">
        <v>1</v>
      </c>
      <c r="B9" s="22">
        <v>3</v>
      </c>
      <c r="C9" s="22">
        <v>4</v>
      </c>
      <c r="D9" s="22">
        <v>4</v>
      </c>
      <c r="E9" s="27">
        <v>5</v>
      </c>
      <c r="F9" s="23">
        <v>4</v>
      </c>
      <c r="G9" s="23">
        <v>1</v>
      </c>
      <c r="H9" s="23">
        <v>6</v>
      </c>
      <c r="I9" s="23">
        <v>4</v>
      </c>
      <c r="J9" s="23">
        <v>7</v>
      </c>
      <c r="K9" s="22">
        <v>3</v>
      </c>
      <c r="L9" s="27">
        <v>4</v>
      </c>
      <c r="N9" s="2">
        <v>4889261</v>
      </c>
      <c r="O9" s="1">
        <v>1</v>
      </c>
    </row>
    <row r="10" spans="1:15" ht="28.25" customHeight="1">
      <c r="A10" s="27">
        <v>8</v>
      </c>
      <c r="B10" s="23">
        <v>3</v>
      </c>
      <c r="C10" s="27">
        <v>9</v>
      </c>
      <c r="D10" s="22">
        <v>5</v>
      </c>
      <c r="E10" s="22">
        <v>8</v>
      </c>
      <c r="F10" s="23">
        <v>6</v>
      </c>
      <c r="G10" s="23">
        <v>7</v>
      </c>
      <c r="H10" s="23">
        <v>3</v>
      </c>
      <c r="I10" s="27">
        <v>1</v>
      </c>
      <c r="J10" s="23">
        <v>7</v>
      </c>
      <c r="K10" s="27">
        <v>2</v>
      </c>
      <c r="L10" s="22">
        <v>4</v>
      </c>
      <c r="N10" s="2">
        <v>33</v>
      </c>
      <c r="O10" s="1">
        <v>14</v>
      </c>
    </row>
    <row r="11" spans="1:15" ht="28.25" customHeight="1">
      <c r="A11" s="27">
        <v>7</v>
      </c>
      <c r="B11" s="22">
        <v>1</v>
      </c>
      <c r="C11" s="22">
        <v>6</v>
      </c>
      <c r="D11" s="22">
        <v>2</v>
      </c>
      <c r="E11" s="22">
        <v>9</v>
      </c>
      <c r="F11" s="22">
        <v>8</v>
      </c>
      <c r="G11" s="22">
        <v>8</v>
      </c>
      <c r="H11" s="22">
        <v>4</v>
      </c>
      <c r="I11" s="23">
        <v>7</v>
      </c>
      <c r="J11" s="27">
        <v>7</v>
      </c>
      <c r="K11" s="23">
        <v>3</v>
      </c>
      <c r="L11" s="27">
        <v>1</v>
      </c>
      <c r="N11" s="2">
        <v>74</v>
      </c>
      <c r="O11" s="1">
        <v>20</v>
      </c>
    </row>
    <row r="12" spans="1:15" ht="28.25" customHeight="1">
      <c r="A12" s="27">
        <v>3</v>
      </c>
      <c r="B12" s="27">
        <v>9</v>
      </c>
      <c r="C12" s="27">
        <v>5</v>
      </c>
      <c r="D12" s="27">
        <v>2</v>
      </c>
      <c r="E12" s="23">
        <v>2</v>
      </c>
      <c r="F12" s="27">
        <v>1</v>
      </c>
      <c r="G12" s="23">
        <v>7</v>
      </c>
      <c r="H12" s="27">
        <v>5</v>
      </c>
      <c r="I12" s="27">
        <v>2</v>
      </c>
      <c r="J12" s="27">
        <v>1</v>
      </c>
      <c r="K12" s="23">
        <v>3</v>
      </c>
      <c r="L12" s="27">
        <v>9</v>
      </c>
      <c r="N12" s="2">
        <v>372142</v>
      </c>
      <c r="O12" s="1">
        <v>1</v>
      </c>
    </row>
    <row r="13" spans="1:15" ht="28.25" customHeight="1">
      <c r="N13" s="2">
        <v>1683988</v>
      </c>
      <c r="O13" s="1">
        <v>1</v>
      </c>
    </row>
    <row r="14" spans="1:15" ht="28.25" customHeight="1">
      <c r="N14" s="2">
        <v>36</v>
      </c>
      <c r="O14" s="1">
        <v>14</v>
      </c>
    </row>
    <row r="15" spans="1:15" ht="28.25" customHeight="1">
      <c r="N15" s="2">
        <v>55344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246"/>
  <sheetViews>
    <sheetView tabSelected="1" zoomScaleNormal="100" workbookViewId="0">
      <pane ySplit="2" topLeftCell="A238" activePane="bottomLeft" state="frozen"/>
      <selection pane="bottomLeft" activeCell="A246" sqref="A246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1" spans="1:3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</row>
    <row r="2" spans="1:35" ht="246.75">
      <c r="A2" s="28" t="s">
        <v>0</v>
      </c>
      <c r="B2" s="29" t="s">
        <v>171</v>
      </c>
      <c r="C2" s="29" t="s">
        <v>172</v>
      </c>
      <c r="D2" s="29" t="s">
        <v>173</v>
      </c>
      <c r="E2" s="29" t="s">
        <v>174</v>
      </c>
      <c r="F2" s="29" t="s">
        <v>175</v>
      </c>
      <c r="G2" s="29" t="s">
        <v>10</v>
      </c>
      <c r="H2" s="29" t="s">
        <v>16</v>
      </c>
      <c r="I2" s="29" t="s">
        <v>15</v>
      </c>
      <c r="J2" s="29" t="s">
        <v>11</v>
      </c>
      <c r="K2" s="29" t="s">
        <v>437</v>
      </c>
      <c r="L2" s="29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0">
        <v>45951.701574074075</v>
      </c>
      <c r="B3" s="28">
        <v>61</v>
      </c>
      <c r="C3" s="28">
        <v>16</v>
      </c>
      <c r="D3" s="28">
        <v>0</v>
      </c>
      <c r="E3" s="28">
        <v>17</v>
      </c>
      <c r="F3" s="28">
        <v>0</v>
      </c>
      <c r="G3" s="31">
        <v>1.4050925929041114E-2</v>
      </c>
      <c r="H3" s="28" t="s">
        <v>66</v>
      </c>
      <c r="I3" s="28" t="s">
        <v>48</v>
      </c>
      <c r="J3" s="28">
        <v>0</v>
      </c>
      <c r="K3" s="28"/>
      <c r="L3" s="28"/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0">
        <v>45951.867650462962</v>
      </c>
      <c r="B4" s="28">
        <v>74</v>
      </c>
      <c r="C4" s="28">
        <v>10</v>
      </c>
      <c r="D4" s="28">
        <v>0</v>
      </c>
      <c r="E4" s="28">
        <v>0</v>
      </c>
      <c r="F4" s="28">
        <v>0</v>
      </c>
      <c r="G4" s="31">
        <v>1.0868055556784384E-2</v>
      </c>
      <c r="H4" s="28" t="s">
        <v>64</v>
      </c>
      <c r="I4" s="28" t="s">
        <v>65</v>
      </c>
      <c r="J4" s="28">
        <v>0</v>
      </c>
      <c r="K4" s="28"/>
      <c r="L4" s="28"/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0">
        <v>45952.483495370368</v>
      </c>
      <c r="B5" s="28">
        <v>42</v>
      </c>
      <c r="C5" s="28">
        <v>10</v>
      </c>
      <c r="D5" s="28">
        <v>0</v>
      </c>
      <c r="E5" s="28">
        <v>27</v>
      </c>
      <c r="F5" s="28">
        <v>0</v>
      </c>
      <c r="G5" s="31">
        <v>1.7534722217533272E-2</v>
      </c>
      <c r="H5" s="28" t="s">
        <v>62</v>
      </c>
      <c r="I5" s="28" t="s">
        <v>63</v>
      </c>
      <c r="J5" s="28">
        <v>0</v>
      </c>
      <c r="K5" s="28"/>
      <c r="L5" s="28"/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0">
        <v>45952.864699074074</v>
      </c>
      <c r="B6" s="28">
        <v>70</v>
      </c>
      <c r="C6" s="28">
        <v>32</v>
      </c>
      <c r="D6" s="28">
        <v>0</v>
      </c>
      <c r="E6" s="28">
        <v>4</v>
      </c>
      <c r="F6" s="28">
        <v>0</v>
      </c>
      <c r="G6" s="31">
        <v>1.9606481480877846E-2</v>
      </c>
      <c r="H6" s="28" t="s">
        <v>60</v>
      </c>
      <c r="I6" s="28" t="s">
        <v>61</v>
      </c>
      <c r="J6" s="28">
        <v>0</v>
      </c>
      <c r="K6" s="28"/>
      <c r="L6" s="28"/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0">
        <v>45953.849791666667</v>
      </c>
      <c r="B7" s="28">
        <v>53</v>
      </c>
      <c r="C7" s="28">
        <v>105</v>
      </c>
      <c r="D7" s="28">
        <v>0</v>
      </c>
      <c r="E7" s="28">
        <v>4</v>
      </c>
      <c r="F7" s="28">
        <v>0</v>
      </c>
      <c r="G7" s="31">
        <v>1.4953703706851229E-2</v>
      </c>
      <c r="H7" s="28" t="s">
        <v>58</v>
      </c>
      <c r="I7" s="28" t="s">
        <v>59</v>
      </c>
      <c r="J7" s="28">
        <v>0</v>
      </c>
      <c r="K7" s="28"/>
      <c r="L7" s="28"/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0">
        <v>45953.869490740741</v>
      </c>
      <c r="B8" s="28">
        <v>58</v>
      </c>
      <c r="C8" s="28">
        <v>82</v>
      </c>
      <c r="D8" s="28">
        <v>0</v>
      </c>
      <c r="E8" s="28">
        <v>3</v>
      </c>
      <c r="F8" s="28">
        <v>0</v>
      </c>
      <c r="G8" s="31">
        <v>1.8831018518540077E-2</v>
      </c>
      <c r="H8" s="28" t="s">
        <v>56</v>
      </c>
      <c r="I8" s="28" t="s">
        <v>57</v>
      </c>
      <c r="J8" s="28">
        <v>0</v>
      </c>
      <c r="K8" s="28"/>
      <c r="L8" s="28"/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0">
        <v>45954.406076388892</v>
      </c>
      <c r="B9" s="28">
        <v>50</v>
      </c>
      <c r="C9" s="28">
        <v>67</v>
      </c>
      <c r="D9" s="28">
        <v>0</v>
      </c>
      <c r="E9" s="28">
        <v>13</v>
      </c>
      <c r="F9" s="28">
        <v>0</v>
      </c>
      <c r="G9" s="31">
        <v>1.0740740741312038E-2</v>
      </c>
      <c r="H9" s="28" t="s">
        <v>54</v>
      </c>
      <c r="I9" s="28" t="s">
        <v>55</v>
      </c>
      <c r="J9" s="28">
        <v>0</v>
      </c>
      <c r="K9" s="28"/>
      <c r="L9" s="28"/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0">
        <v>45954.875092592592</v>
      </c>
      <c r="B10" s="28">
        <v>57</v>
      </c>
      <c r="C10" s="28">
        <v>66</v>
      </c>
      <c r="D10" s="28">
        <v>0</v>
      </c>
      <c r="E10" s="28">
        <v>7</v>
      </c>
      <c r="F10" s="28">
        <v>0</v>
      </c>
      <c r="G10" s="31">
        <v>2.0335648150648922E-2</v>
      </c>
      <c r="H10" s="28" t="s">
        <v>52</v>
      </c>
      <c r="I10" s="28" t="s">
        <v>53</v>
      </c>
      <c r="J10" s="28">
        <v>0</v>
      </c>
      <c r="K10" s="28"/>
      <c r="L10" s="28"/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0">
        <v>45956.6015625</v>
      </c>
      <c r="B11" s="28">
        <v>31</v>
      </c>
      <c r="C11" s="28">
        <v>14</v>
      </c>
      <c r="D11" s="28">
        <v>0</v>
      </c>
      <c r="E11" s="28">
        <v>29</v>
      </c>
      <c r="F11" s="28">
        <v>0</v>
      </c>
      <c r="G11" s="31">
        <v>1.4293981483206153E-2</v>
      </c>
      <c r="H11" s="28" t="s">
        <v>50</v>
      </c>
      <c r="I11" s="28" t="s">
        <v>51</v>
      </c>
      <c r="J11" s="28">
        <v>0</v>
      </c>
      <c r="K11" s="28"/>
      <c r="L11" s="28"/>
      <c r="Q11" s="5">
        <f t="shared" si="0"/>
        <v>1.4293981483206153E-2</v>
      </c>
    </row>
    <row r="12" spans="1:35">
      <c r="A12" s="30">
        <v>45958.470810185187</v>
      </c>
      <c r="B12" s="28">
        <v>60</v>
      </c>
      <c r="C12" s="28">
        <v>16</v>
      </c>
      <c r="D12" s="28">
        <v>0</v>
      </c>
      <c r="E12" s="28">
        <v>0</v>
      </c>
      <c r="F12" s="28">
        <v>0</v>
      </c>
      <c r="G12" s="31">
        <v>6.7708333372138441E-3</v>
      </c>
      <c r="H12" s="28" t="s">
        <v>67</v>
      </c>
      <c r="I12" s="28" t="s">
        <v>68</v>
      </c>
      <c r="J12" s="28">
        <v>0</v>
      </c>
      <c r="K12" s="28"/>
      <c r="L12" s="28"/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510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511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511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498</v>
      </c>
      <c r="I223" t="s">
        <v>499</v>
      </c>
      <c r="J223">
        <v>0</v>
      </c>
      <c r="K223">
        <f t="shared" ref="K223" si="266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7">L222+K223</f>
        <v>268</v>
      </c>
      <c r="M223">
        <f t="shared" ref="M223" si="268">2+IF(A223&gt;=DATEVALUE("2025/11/30")+TIMEVALUE("6:00"),1,0)+IF(A223&gt;=DATEVALUE("2025/12/11")+TIMEVALUE("6:00"),1,0)</f>
        <v>4</v>
      </c>
      <c r="N223">
        <f t="shared" ref="N223" si="269">N222+M223*(INT(A223-6/24)-INT(A222-6/24))+O223</f>
        <v>271</v>
      </c>
      <c r="O223">
        <f t="shared" ref="O223" si="270">IF(A223&gt;=DATEVALUE("2025/11/8")+TIMEVALUE("6:00"),1,0)-IF(A222&gt;=DATEVALUE("2025/11/8")+TIMEVALUE("6:00"),1,0)
+IF(A223&gt;=DATEVALUE("2026/1/22")+TIMEVALUE("6:00"),3,0)-IF(A222&gt;=DATEVALUE("2026/1/22")+TIMEVALUE("6:00"),3,0)</f>
        <v>0</v>
      </c>
      <c r="P223" t="str">
        <f t="shared" ref="P223" si="271">IF(L223&lt;N223,"未達成（"&amp;N223-L223&amp;"）",IF(L223=N223,"達成","前倒し（"&amp;L223-N223&amp;"）"))</f>
        <v>未達成（3）</v>
      </c>
      <c r="Q223">
        <f t="shared" ref="Q223" si="272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500</v>
      </c>
      <c r="I224" t="s">
        <v>501</v>
      </c>
      <c r="J224">
        <v>0</v>
      </c>
      <c r="K224">
        <f t="shared" ref="K224" si="273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74">L223+K224</f>
        <v>270</v>
      </c>
      <c r="M224">
        <f t="shared" ref="M224" si="275">2+IF(A224&gt;=DATEVALUE("2025/11/30")+TIMEVALUE("6:00"),1,0)+IF(A224&gt;=DATEVALUE("2025/12/11")+TIMEVALUE("6:00"),1,0)</f>
        <v>4</v>
      </c>
      <c r="N224">
        <f t="shared" ref="N224" si="276">N223+M224*(INT(A224-6/24)-INT(A223-6/24))+O224</f>
        <v>271</v>
      </c>
      <c r="O224">
        <f t="shared" ref="O224" si="277">IF(A224&gt;=DATEVALUE("2025/11/8")+TIMEVALUE("6:00"),1,0)-IF(A223&gt;=DATEVALUE("2025/11/8")+TIMEVALUE("6:00"),1,0)
+IF(A224&gt;=DATEVALUE("2026/1/22")+TIMEVALUE("6:00"),3,0)-IF(A223&gt;=DATEVALUE("2026/1/22")+TIMEVALUE("6:00"),3,0)</f>
        <v>0</v>
      </c>
      <c r="P224" t="str">
        <f t="shared" ref="P224" si="278">IF(L224&lt;N224,"未達成（"&amp;N224-L224&amp;"）",IF(L224=N224,"達成","前倒し（"&amp;L224-N224&amp;"）"))</f>
        <v>未達成（1）</v>
      </c>
      <c r="Q224">
        <f t="shared" ref="Q224" si="279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502</v>
      </c>
      <c r="I225" t="s">
        <v>503</v>
      </c>
      <c r="J225">
        <v>0</v>
      </c>
      <c r="K225">
        <f t="shared" ref="K225" si="280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81">L224+K225</f>
        <v>271</v>
      </c>
      <c r="M225">
        <f t="shared" ref="M225" si="282">2+IF(A225&gt;=DATEVALUE("2025/11/30")+TIMEVALUE("6:00"),1,0)+IF(A225&gt;=DATEVALUE("2025/12/11")+TIMEVALUE("6:00"),1,0)</f>
        <v>4</v>
      </c>
      <c r="N225">
        <f t="shared" ref="N225" si="283">N224+M225*(INT(A225-6/24)-INT(A224-6/24))+O225</f>
        <v>271</v>
      </c>
      <c r="O225">
        <f t="shared" ref="O225" si="284">IF(A225&gt;=DATEVALUE("2025/11/8")+TIMEVALUE("6:00"),1,0)-IF(A224&gt;=DATEVALUE("2025/11/8")+TIMEVALUE("6:00"),1,0)
+IF(A225&gt;=DATEVALUE("2026/1/22")+TIMEVALUE("6:00"),3,0)-IF(A224&gt;=DATEVALUE("2026/1/22")+TIMEVALUE("6:00"),3,0)</f>
        <v>0</v>
      </c>
      <c r="P225" t="str">
        <f t="shared" ref="P225" si="285">IF(L225&lt;N225,"未達成（"&amp;N225-L225&amp;"）",IF(L225=N225,"達成","前倒し（"&amp;L225-N225&amp;"）"))</f>
        <v>達成</v>
      </c>
      <c r="Q225">
        <f t="shared" ref="Q225" si="286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504</v>
      </c>
      <c r="I226" t="s">
        <v>505</v>
      </c>
      <c r="J226">
        <v>0</v>
      </c>
      <c r="K226">
        <f t="shared" ref="K226" si="287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8">L225+K226</f>
        <v>272</v>
      </c>
      <c r="M226">
        <f t="shared" ref="M226" si="289">2+IF(A226&gt;=DATEVALUE("2025/11/30")+TIMEVALUE("6:00"),1,0)+IF(A226&gt;=DATEVALUE("2025/12/11")+TIMEVALUE("6:00"),1,0)</f>
        <v>4</v>
      </c>
      <c r="N226">
        <f t="shared" ref="N226" si="290">N225+M226*(INT(A226-6/24)-INT(A225-6/24))+O226</f>
        <v>275</v>
      </c>
      <c r="O226">
        <f t="shared" ref="O226" si="291">IF(A226&gt;=DATEVALUE("2025/11/8")+TIMEVALUE("6:00"),1,0)-IF(A225&gt;=DATEVALUE("2025/11/8")+TIMEVALUE("6:00"),1,0)
+IF(A226&gt;=DATEVALUE("2026/1/22")+TIMEVALUE("6:00"),3,0)-IF(A225&gt;=DATEVALUE("2026/1/22")+TIMEVALUE("6:00"),3,0)</f>
        <v>0</v>
      </c>
      <c r="P226" t="str">
        <f t="shared" ref="P226" si="292">IF(L226&lt;N226,"未達成（"&amp;N226-L226&amp;"）",IF(L226=N226,"達成","前倒し（"&amp;L226-N226&amp;"）"))</f>
        <v>未達成（3）</v>
      </c>
      <c r="Q226">
        <f t="shared" ref="Q226" si="293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506</v>
      </c>
      <c r="I227" t="s">
        <v>507</v>
      </c>
      <c r="J227">
        <v>0</v>
      </c>
      <c r="K227">
        <f t="shared" ref="K227" si="294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95">L226+K227</f>
        <v>274</v>
      </c>
      <c r="M227">
        <f t="shared" ref="M227" si="296">2+IF(A227&gt;=DATEVALUE("2025/11/30")+TIMEVALUE("6:00"),1,0)+IF(A227&gt;=DATEVALUE("2025/12/11")+TIMEVALUE("6:00"),1,0)</f>
        <v>4</v>
      </c>
      <c r="N227">
        <f t="shared" ref="N227" si="297">N226+M227*(INT(A227-6/24)-INT(A226-6/24))+O227</f>
        <v>275</v>
      </c>
      <c r="O227">
        <f t="shared" ref="O227" si="298">IF(A227&gt;=DATEVALUE("2025/11/8")+TIMEVALUE("6:00"),1,0)-IF(A226&gt;=DATEVALUE("2025/11/8")+TIMEVALUE("6:00"),1,0)
+IF(A227&gt;=DATEVALUE("2026/1/22")+TIMEVALUE("6:00"),3,0)-IF(A226&gt;=DATEVALUE("2026/1/22")+TIMEVALUE("6:00"),3,0)</f>
        <v>0</v>
      </c>
      <c r="P227" t="str">
        <f t="shared" ref="P227" si="299">IF(L227&lt;N227,"未達成（"&amp;N227-L227&amp;"）",IF(L227=N227,"達成","前倒し（"&amp;L227-N227&amp;"）"))</f>
        <v>未達成（1）</v>
      </c>
      <c r="Q227">
        <f t="shared" ref="Q227" si="30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508</v>
      </c>
      <c r="I228" t="s">
        <v>512</v>
      </c>
      <c r="J228">
        <v>1</v>
      </c>
      <c r="K228">
        <f t="shared" ref="K228" si="30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302">L227+K228</f>
        <v>274</v>
      </c>
      <c r="M228">
        <f t="shared" ref="M228" si="303">2+IF(A228&gt;=DATEVALUE("2025/11/30")+TIMEVALUE("6:00"),1,0)+IF(A228&gt;=DATEVALUE("2025/12/11")+TIMEVALUE("6:00"),1,0)</f>
        <v>4</v>
      </c>
      <c r="N228">
        <f t="shared" ref="N228" si="304">N227+M228*(INT(A228-6/24)-INT(A227-6/24))+O228</f>
        <v>275</v>
      </c>
      <c r="O228">
        <f t="shared" ref="O228" si="305">IF(A228&gt;=DATEVALUE("2025/11/8")+TIMEVALUE("6:00"),1,0)-IF(A227&gt;=DATEVALUE("2025/11/8")+TIMEVALUE("6:00"),1,0)
+IF(A228&gt;=DATEVALUE("2026/1/22")+TIMEVALUE("6:00"),3,0)-IF(A227&gt;=DATEVALUE("2026/1/22")+TIMEVALUE("6:00"),3,0)</f>
        <v>0</v>
      </c>
      <c r="P228" t="str">
        <f t="shared" ref="P228" si="306">IF(L228&lt;N228,"未達成（"&amp;N228-L228&amp;"）",IF(L228=N228,"達成","前倒し（"&amp;L228-N228&amp;"）"))</f>
        <v>未達成（1）</v>
      </c>
      <c r="Q228" t="e">
        <f t="shared" ref="Q228" si="307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513</v>
      </c>
      <c r="I229" t="s">
        <v>509</v>
      </c>
      <c r="J229">
        <v>0</v>
      </c>
      <c r="K229">
        <f t="shared" ref="K229" si="308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309">L228+K229</f>
        <v>275</v>
      </c>
      <c r="M229">
        <f t="shared" ref="M229" si="310">2+IF(A229&gt;=DATEVALUE("2025/11/30")+TIMEVALUE("6:00"),1,0)+IF(A229&gt;=DATEVALUE("2025/12/11")+TIMEVALUE("6:00"),1,0)</f>
        <v>4</v>
      </c>
      <c r="N229">
        <f t="shared" ref="N229" si="311">N228+M229*(INT(A229-6/24)-INT(A228-6/24))+O229</f>
        <v>275</v>
      </c>
      <c r="O229">
        <f t="shared" ref="O229" si="312">IF(A229&gt;=DATEVALUE("2025/11/8")+TIMEVALUE("6:00"),1,0)-IF(A228&gt;=DATEVALUE("2025/11/8")+TIMEVALUE("6:00"),1,0)
+IF(A229&gt;=DATEVALUE("2026/1/22")+TIMEVALUE("6:00"),3,0)-IF(A228&gt;=DATEVALUE("2026/1/22")+TIMEVALUE("6:00"),3,0)</f>
        <v>0</v>
      </c>
      <c r="P229" t="str">
        <f t="shared" ref="P229" si="313">IF(L229&lt;N229,"未達成（"&amp;N229-L229&amp;"）",IF(L229=N229,"達成","前倒し（"&amp;L229-N229&amp;"）"))</f>
        <v>達成</v>
      </c>
      <c r="Q229">
        <f t="shared" ref="Q229" si="314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514</v>
      </c>
      <c r="I230" t="s">
        <v>515</v>
      </c>
      <c r="J230">
        <v>0</v>
      </c>
      <c r="K230">
        <f t="shared" ref="K230" si="315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16">L229+K230</f>
        <v>276</v>
      </c>
      <c r="M230">
        <f t="shared" ref="M230" si="317">2+IF(A230&gt;=DATEVALUE("2025/11/30")+TIMEVALUE("6:00"),1,0)+IF(A230&gt;=DATEVALUE("2025/12/11")+TIMEVALUE("6:00"),1,0)</f>
        <v>4</v>
      </c>
      <c r="N230">
        <f t="shared" ref="N230" si="318">N229+M230*(INT(A230-6/24)-INT(A229-6/24))+O230</f>
        <v>279</v>
      </c>
      <c r="O230">
        <f t="shared" ref="O230" si="319">IF(A230&gt;=DATEVALUE("2025/11/8")+TIMEVALUE("6:00"),1,0)-IF(A229&gt;=DATEVALUE("2025/11/8")+TIMEVALUE("6:00"),1,0)
+IF(A230&gt;=DATEVALUE("2026/1/22")+TIMEVALUE("6:00"),3,0)-IF(A229&gt;=DATEVALUE("2026/1/22")+TIMEVALUE("6:00"),3,0)</f>
        <v>0</v>
      </c>
      <c r="P230" t="str">
        <f t="shared" ref="P230" si="320">IF(L230&lt;N230,"未達成（"&amp;N230-L230&amp;"）",IF(L230=N230,"達成","前倒し（"&amp;L230-N230&amp;"）"))</f>
        <v>未達成（3）</v>
      </c>
      <c r="Q230">
        <f t="shared" ref="Q230" si="321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516</v>
      </c>
      <c r="I231" t="s">
        <v>517</v>
      </c>
      <c r="J231">
        <v>0</v>
      </c>
      <c r="K231">
        <f t="shared" ref="K231" si="322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23">L230+K231</f>
        <v>278</v>
      </c>
      <c r="M231">
        <f t="shared" ref="M231" si="324">2+IF(A231&gt;=DATEVALUE("2025/11/30")+TIMEVALUE("6:00"),1,0)+IF(A231&gt;=DATEVALUE("2025/12/11")+TIMEVALUE("6:00"),1,0)</f>
        <v>4</v>
      </c>
      <c r="N231">
        <f t="shared" ref="N231" si="325">N230+M231*(INT(A231-6/24)-INT(A230-6/24))+O231</f>
        <v>279</v>
      </c>
      <c r="O231">
        <f t="shared" ref="O231" si="326">IF(A231&gt;=DATEVALUE("2025/11/8")+TIMEVALUE("6:00"),1,0)-IF(A230&gt;=DATEVALUE("2025/11/8")+TIMEVALUE("6:00"),1,0)
+IF(A231&gt;=DATEVALUE("2026/1/22")+TIMEVALUE("6:00"),3,0)-IF(A230&gt;=DATEVALUE("2026/1/22")+TIMEVALUE("6:00"),3,0)</f>
        <v>0</v>
      </c>
      <c r="P231" t="str">
        <f t="shared" ref="P231" si="327">IF(L231&lt;N231,"未達成（"&amp;N231-L231&amp;"）",IF(L231=N231,"達成","前倒し（"&amp;L231-N231&amp;"）"))</f>
        <v>未達成（1）</v>
      </c>
      <c r="Q231">
        <f t="shared" ref="Q231" si="328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518</v>
      </c>
      <c r="I232" t="s">
        <v>519</v>
      </c>
      <c r="J232">
        <v>0</v>
      </c>
      <c r="K232">
        <f t="shared" ref="K232" si="329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30">L231+K232</f>
        <v>280</v>
      </c>
      <c r="M232">
        <f t="shared" ref="M232" si="331">2+IF(A232&gt;=DATEVALUE("2025/11/30")+TIMEVALUE("6:00"),1,0)+IF(A232&gt;=DATEVALUE("2025/12/11")+TIMEVALUE("6:00"),1,0)</f>
        <v>4</v>
      </c>
      <c r="N232">
        <f t="shared" ref="N232" si="332">N231+M232*(INT(A232-6/24)-INT(A231-6/24))+O232</f>
        <v>279</v>
      </c>
      <c r="O232">
        <f t="shared" ref="O232" si="333">IF(A232&gt;=DATEVALUE("2025/11/8")+TIMEVALUE("6:00"),1,0)-IF(A231&gt;=DATEVALUE("2025/11/8")+TIMEVALUE("6:00"),1,0)
+IF(A232&gt;=DATEVALUE("2026/1/22")+TIMEVALUE("6:00"),3,0)-IF(A231&gt;=DATEVALUE("2026/1/22")+TIMEVALUE("6:00"),3,0)</f>
        <v>0</v>
      </c>
      <c r="P232" t="str">
        <f t="shared" ref="P232" si="334">IF(L232&lt;N232,"未達成（"&amp;N232-L232&amp;"）",IF(L232=N232,"達成","前倒し（"&amp;L232-N232&amp;"）"))</f>
        <v>前倒し（1）</v>
      </c>
      <c r="Q232">
        <f t="shared" ref="Q232" si="335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520</v>
      </c>
      <c r="I233" t="s">
        <v>521</v>
      </c>
      <c r="J233">
        <v>0</v>
      </c>
      <c r="K233">
        <f t="shared" ref="K233" si="336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37">L232+K233</f>
        <v>282</v>
      </c>
      <c r="M233">
        <f t="shared" ref="M233" si="338">2+IF(A233&gt;=DATEVALUE("2025/11/30")+TIMEVALUE("6:00"),1,0)+IF(A233&gt;=DATEVALUE("2025/12/11")+TIMEVALUE("6:00"),1,0)</f>
        <v>4</v>
      </c>
      <c r="N233">
        <f t="shared" ref="N233" si="339">N232+M233*(INT(A233-6/24)-INT(A232-6/24))+O233</f>
        <v>283</v>
      </c>
      <c r="O233">
        <f t="shared" ref="O233" si="340">IF(A233&gt;=DATEVALUE("2025/11/8")+TIMEVALUE("6:00"),1,0)-IF(A232&gt;=DATEVALUE("2025/11/8")+TIMEVALUE("6:00"),1,0)
+IF(A233&gt;=DATEVALUE("2026/1/22")+TIMEVALUE("6:00"),3,0)-IF(A232&gt;=DATEVALUE("2026/1/22")+TIMEVALUE("6:00"),3,0)</f>
        <v>0</v>
      </c>
      <c r="P233" t="str">
        <f t="shared" ref="P233" si="341">IF(L233&lt;N233,"未達成（"&amp;N233-L233&amp;"）",IF(L233=N233,"達成","前倒し（"&amp;L233-N233&amp;"）"))</f>
        <v>未達成（1）</v>
      </c>
      <c r="Q233">
        <f t="shared" ref="Q233" si="342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522</v>
      </c>
      <c r="I234" t="s">
        <v>523</v>
      </c>
      <c r="J234">
        <v>0</v>
      </c>
      <c r="K234">
        <f t="shared" ref="K234" si="343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44">L233+K234</f>
        <v>283</v>
      </c>
      <c r="M234">
        <f t="shared" ref="M234" si="345">2+IF(A234&gt;=DATEVALUE("2025/11/30")+TIMEVALUE("6:00"),1,0)+IF(A234&gt;=DATEVALUE("2025/12/11")+TIMEVALUE("6:00"),1,0)</f>
        <v>4</v>
      </c>
      <c r="N234">
        <f t="shared" ref="N234" si="346">N233+M234*(INT(A234-6/24)-INT(A233-6/24))+O234</f>
        <v>283</v>
      </c>
      <c r="O234">
        <f t="shared" ref="O234" si="347">IF(A234&gt;=DATEVALUE("2025/11/8")+TIMEVALUE("6:00"),1,0)-IF(A233&gt;=DATEVALUE("2025/11/8")+TIMEVALUE("6:00"),1,0)
+IF(A234&gt;=DATEVALUE("2026/1/22")+TIMEVALUE("6:00"),3,0)-IF(A233&gt;=DATEVALUE("2026/1/22")+TIMEVALUE("6:00"),3,0)</f>
        <v>0</v>
      </c>
      <c r="P234" t="str">
        <f t="shared" ref="P234" si="348">IF(L234&lt;N234,"未達成（"&amp;N234-L234&amp;"）",IF(L234=N234,"達成","前倒し（"&amp;L234-N234&amp;"）"))</f>
        <v>達成</v>
      </c>
      <c r="Q234">
        <f t="shared" ref="Q234" si="349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524</v>
      </c>
      <c r="I235" t="s">
        <v>525</v>
      </c>
      <c r="J235">
        <v>0</v>
      </c>
      <c r="K235">
        <f t="shared" ref="K235" si="350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51">L234+K235</f>
        <v>284</v>
      </c>
      <c r="M235">
        <f t="shared" ref="M235" si="352">2+IF(A235&gt;=DATEVALUE("2025/11/30")+TIMEVALUE("6:00"),1,0)+IF(A235&gt;=DATEVALUE("2025/12/11")+TIMEVALUE("6:00"),1,0)</f>
        <v>4</v>
      </c>
      <c r="N235">
        <f t="shared" ref="N235" si="353">N234+M235*(INT(A235-6/24)-INT(A234-6/24))+O235</f>
        <v>287</v>
      </c>
      <c r="O235">
        <f t="shared" ref="O235" si="354">IF(A235&gt;=DATEVALUE("2025/11/8")+TIMEVALUE("6:00"),1,0)-IF(A234&gt;=DATEVALUE("2025/11/8")+TIMEVALUE("6:00"),1,0)
+IF(A235&gt;=DATEVALUE("2026/1/22")+TIMEVALUE("6:00"),3,0)-IF(A234&gt;=DATEVALUE("2026/1/22")+TIMEVALUE("6:00"),3,0)</f>
        <v>0</v>
      </c>
      <c r="P235" t="str">
        <f t="shared" ref="P235" si="355">IF(L235&lt;N235,"未達成（"&amp;N235-L235&amp;"）",IF(L235=N235,"達成","前倒し（"&amp;L235-N235&amp;"）"))</f>
        <v>未達成（3）</v>
      </c>
      <c r="Q235">
        <f t="shared" ref="Q235" si="356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526</v>
      </c>
      <c r="I236" t="s">
        <v>527</v>
      </c>
      <c r="J236">
        <v>0</v>
      </c>
      <c r="K236">
        <f t="shared" ref="K236" si="357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58">L235+K236</f>
        <v>284</v>
      </c>
      <c r="M236">
        <f t="shared" ref="M236" si="359">2+IF(A236&gt;=DATEVALUE("2025/11/30")+TIMEVALUE("6:00"),1,0)+IF(A236&gt;=DATEVALUE("2025/12/11")+TIMEVALUE("6:00"),1,0)</f>
        <v>4</v>
      </c>
      <c r="N236">
        <f t="shared" ref="N236" si="360">N235+M236*(INT(A236-6/24)-INT(A235-6/24))+O236</f>
        <v>287</v>
      </c>
      <c r="O236">
        <f t="shared" ref="O236" si="361">IF(A236&gt;=DATEVALUE("2025/11/8")+TIMEVALUE("6:00"),1,0)-IF(A235&gt;=DATEVALUE("2025/11/8")+TIMEVALUE("6:00"),1,0)
+IF(A236&gt;=DATEVALUE("2026/1/22")+TIMEVALUE("6:00"),3,0)-IF(A235&gt;=DATEVALUE("2026/1/22")+TIMEVALUE("6:00"),3,0)</f>
        <v>0</v>
      </c>
      <c r="P236" t="str">
        <f t="shared" ref="P236" si="362">IF(L236&lt;N236,"未達成（"&amp;N236-L236&amp;"）",IF(L236=N236,"達成","前倒し（"&amp;L236-N236&amp;"）"))</f>
        <v>未達成（3）</v>
      </c>
      <c r="Q236">
        <f t="shared" ref="Q236" si="363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528</v>
      </c>
      <c r="I237" t="s">
        <v>529</v>
      </c>
      <c r="J237">
        <v>0</v>
      </c>
      <c r="K237">
        <f t="shared" ref="K237" si="364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65">L236+K237</f>
        <v>285</v>
      </c>
      <c r="M237">
        <f t="shared" ref="M237" si="366">2+IF(A237&gt;=DATEVALUE("2025/11/30")+TIMEVALUE("6:00"),1,0)+IF(A237&gt;=DATEVALUE("2025/12/11")+TIMEVALUE("6:00"),1,0)</f>
        <v>4</v>
      </c>
      <c r="N237">
        <f t="shared" ref="N237" si="367">N236+M237*(INT(A237-6/24)-INT(A236-6/24))+O237</f>
        <v>287</v>
      </c>
      <c r="O237">
        <f t="shared" ref="O237" si="368">IF(A237&gt;=DATEVALUE("2025/11/8")+TIMEVALUE("6:00"),1,0)-IF(A236&gt;=DATEVALUE("2025/11/8")+TIMEVALUE("6:00"),1,0)
+IF(A237&gt;=DATEVALUE("2026/1/22")+TIMEVALUE("6:00"),3,0)-IF(A236&gt;=DATEVALUE("2026/1/22")+TIMEVALUE("6:00"),3,0)</f>
        <v>0</v>
      </c>
      <c r="P237" t="str">
        <f t="shared" ref="P237" si="369">IF(L237&lt;N237,"未達成（"&amp;N237-L237&amp;"）",IF(L237=N237,"達成","前倒し（"&amp;L237-N237&amp;"）"))</f>
        <v>未達成（2）</v>
      </c>
      <c r="Q237">
        <f t="shared" ref="Q237" si="37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530</v>
      </c>
      <c r="I238" t="s">
        <v>531</v>
      </c>
      <c r="J238">
        <v>0</v>
      </c>
      <c r="K238">
        <f t="shared" ref="K238" si="37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72">L237+K238</f>
        <v>285</v>
      </c>
      <c r="M238">
        <f t="shared" ref="M238" si="373">2+IF(A238&gt;=DATEVALUE("2025/11/30")+TIMEVALUE("6:00"),1,0)+IF(A238&gt;=DATEVALUE("2025/12/11")+TIMEVALUE("6:00"),1,0)</f>
        <v>4</v>
      </c>
      <c r="N238">
        <f t="shared" ref="N238" si="374">N237+M238*(INT(A238-6/24)-INT(A237-6/24))+O238</f>
        <v>287</v>
      </c>
      <c r="O238">
        <f t="shared" ref="O238" si="375">IF(A238&gt;=DATEVALUE("2025/11/8")+TIMEVALUE("6:00"),1,0)-IF(A237&gt;=DATEVALUE("2025/11/8")+TIMEVALUE("6:00"),1,0)
+IF(A238&gt;=DATEVALUE("2026/1/22")+TIMEVALUE("6:00"),3,0)-IF(A237&gt;=DATEVALUE("2026/1/22")+TIMEVALUE("6:00"),3,0)</f>
        <v>0</v>
      </c>
      <c r="P238" t="str">
        <f t="shared" ref="P238" si="376">IF(L238&lt;N238,"未達成（"&amp;N238-L238&amp;"）",IF(L238=N238,"達成","前倒し（"&amp;L238-N238&amp;"）"))</f>
        <v>未達成（2）</v>
      </c>
      <c r="Q238">
        <f t="shared" ref="Q238" si="377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532</v>
      </c>
      <c r="I239" t="s">
        <v>533</v>
      </c>
      <c r="J239">
        <v>0</v>
      </c>
      <c r="K239">
        <f t="shared" ref="K239" si="378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79">L238+K239</f>
        <v>287</v>
      </c>
      <c r="M239">
        <f t="shared" ref="M239" si="380">2+IF(A239&gt;=DATEVALUE("2025/11/30")+TIMEVALUE("6:00"),1,0)+IF(A239&gt;=DATEVALUE("2025/12/11")+TIMEVALUE("6:00"),1,0)</f>
        <v>4</v>
      </c>
      <c r="N239">
        <f t="shared" ref="N239" si="381">N238+M239*(INT(A239-6/24)-INT(A238-6/24))+O239</f>
        <v>287</v>
      </c>
      <c r="O239">
        <f t="shared" ref="O239" si="382">IF(A239&gt;=DATEVALUE("2025/11/8")+TIMEVALUE("6:00"),1,0)-IF(A238&gt;=DATEVALUE("2025/11/8")+TIMEVALUE("6:00"),1,0)
+IF(A239&gt;=DATEVALUE("2026/1/22")+TIMEVALUE("6:00"),3,0)-IF(A238&gt;=DATEVALUE("2026/1/22")+TIMEVALUE("6:00"),3,0)</f>
        <v>0</v>
      </c>
      <c r="P239" t="str">
        <f t="shared" ref="P239" si="383">IF(L239&lt;N239,"未達成（"&amp;N239-L239&amp;"）",IF(L239=N239,"達成","前倒し（"&amp;L239-N239&amp;"）"))</f>
        <v>達成</v>
      </c>
      <c r="Q239">
        <f t="shared" ref="Q239" si="384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534</v>
      </c>
      <c r="I240" t="s">
        <v>535</v>
      </c>
      <c r="J240">
        <v>0</v>
      </c>
      <c r="K240">
        <f t="shared" ref="K240" si="385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86">L239+K240</f>
        <v>288</v>
      </c>
      <c r="M240">
        <f t="shared" ref="M240" si="387">2+IF(A240&gt;=DATEVALUE("2025/11/30")+TIMEVALUE("6:00"),1,0)+IF(A240&gt;=DATEVALUE("2025/12/11")+TIMEVALUE("6:00"),1,0)</f>
        <v>4</v>
      </c>
      <c r="N240">
        <f t="shared" ref="N240" si="388">N239+M240*(INT(A240-6/24)-INT(A239-6/24))+O240</f>
        <v>291</v>
      </c>
      <c r="O240">
        <f t="shared" ref="O240" si="389">IF(A240&gt;=DATEVALUE("2025/11/8")+TIMEVALUE("6:00"),1,0)-IF(A239&gt;=DATEVALUE("2025/11/8")+TIMEVALUE("6:00"),1,0)
+IF(A240&gt;=DATEVALUE("2026/1/22")+TIMEVALUE("6:00"),3,0)-IF(A239&gt;=DATEVALUE("2026/1/22")+TIMEVALUE("6:00"),3,0)</f>
        <v>0</v>
      </c>
      <c r="P240" t="str">
        <f t="shared" ref="P240" si="390">IF(L240&lt;N240,"未達成（"&amp;N240-L240&amp;"）",IF(L240=N240,"達成","前倒し（"&amp;L240-N240&amp;"）"))</f>
        <v>未達成（3）</v>
      </c>
      <c r="Q240">
        <f t="shared" ref="Q240" si="391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536</v>
      </c>
      <c r="I241" t="s">
        <v>537</v>
      </c>
      <c r="J241">
        <v>0</v>
      </c>
      <c r="K241">
        <f t="shared" ref="K241" si="392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93">L240+K241</f>
        <v>290</v>
      </c>
      <c r="M241">
        <f t="shared" ref="M241" si="394">2+IF(A241&gt;=DATEVALUE("2025/11/30")+TIMEVALUE("6:00"),1,0)+IF(A241&gt;=DATEVALUE("2025/12/11")+TIMEVALUE("6:00"),1,0)</f>
        <v>4</v>
      </c>
      <c r="N241">
        <f t="shared" ref="N241" si="395">N240+M241*(INT(A241-6/24)-INT(A240-6/24))+O241</f>
        <v>291</v>
      </c>
      <c r="O241">
        <f t="shared" ref="O241" si="396">IF(A241&gt;=DATEVALUE("2025/11/8")+TIMEVALUE("6:00"),1,0)-IF(A240&gt;=DATEVALUE("2025/11/8")+TIMEVALUE("6:00"),1,0)
+IF(A241&gt;=DATEVALUE("2026/1/22")+TIMEVALUE("6:00"),3,0)-IF(A240&gt;=DATEVALUE("2026/1/22")+TIMEVALUE("6:00"),3,0)</f>
        <v>0</v>
      </c>
      <c r="P241" t="str">
        <f t="shared" ref="P241" si="397">IF(L241&lt;N241,"未達成（"&amp;N241-L241&amp;"）",IF(L241=N241,"達成","前倒し（"&amp;L241-N241&amp;"）"))</f>
        <v>未達成（1）</v>
      </c>
      <c r="Q241">
        <f t="shared" ref="Q241" si="398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538</v>
      </c>
      <c r="I242" t="s">
        <v>539</v>
      </c>
      <c r="J242">
        <v>0</v>
      </c>
      <c r="K242">
        <f t="shared" ref="K242" si="399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400">L241+K242</f>
        <v>292</v>
      </c>
      <c r="M242">
        <f t="shared" ref="M242" si="401">2+IF(A242&gt;=DATEVALUE("2025/11/30")+TIMEVALUE("6:00"),1,0)+IF(A242&gt;=DATEVALUE("2025/12/11")+TIMEVALUE("6:00"),1,0)</f>
        <v>4</v>
      </c>
      <c r="N242">
        <f t="shared" ref="N242" si="402">N241+M242*(INT(A242-6/24)-INT(A241-6/24))+O242</f>
        <v>291</v>
      </c>
      <c r="O242">
        <f t="shared" ref="O242" si="403">IF(A242&gt;=DATEVALUE("2025/11/8")+TIMEVALUE("6:00"),1,0)-IF(A241&gt;=DATEVALUE("2025/11/8")+TIMEVALUE("6:00"),1,0)
+IF(A242&gt;=DATEVALUE("2026/1/22")+TIMEVALUE("6:00"),3,0)-IF(A241&gt;=DATEVALUE("2026/1/22")+TIMEVALUE("6:00"),3,0)</f>
        <v>0</v>
      </c>
      <c r="P242" t="str">
        <f t="shared" ref="P242" si="404">IF(L242&lt;N242,"未達成（"&amp;N242-L242&amp;"）",IF(L242=N242,"達成","前倒し（"&amp;L242-N242&amp;"）"))</f>
        <v>前倒し（1）</v>
      </c>
      <c r="Q242">
        <f t="shared" ref="Q242" si="405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540</v>
      </c>
      <c r="I243" t="s">
        <v>541</v>
      </c>
      <c r="J243">
        <v>0</v>
      </c>
      <c r="K243">
        <f t="shared" ref="K243" si="406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407">L242+K243</f>
        <v>292</v>
      </c>
      <c r="M243">
        <f t="shared" ref="M243" si="408">2+IF(A243&gt;=DATEVALUE("2025/11/30")+TIMEVALUE("6:00"),1,0)+IF(A243&gt;=DATEVALUE("2025/12/11")+TIMEVALUE("6:00"),1,0)</f>
        <v>4</v>
      </c>
      <c r="N243">
        <f t="shared" ref="N243" si="409">N242+M243*(INT(A243-6/24)-INT(A242-6/24))+O243</f>
        <v>295</v>
      </c>
      <c r="O243">
        <f t="shared" ref="O243" si="410">IF(A243&gt;=DATEVALUE("2025/11/8")+TIMEVALUE("6:00"),1,0)-IF(A242&gt;=DATEVALUE("2025/11/8")+TIMEVALUE("6:00"),1,0)
+IF(A243&gt;=DATEVALUE("2026/1/22")+TIMEVALUE("6:00"),3,0)-IF(A242&gt;=DATEVALUE("2026/1/22")+TIMEVALUE("6:00"),3,0)</f>
        <v>0</v>
      </c>
      <c r="P243" t="str">
        <f t="shared" ref="P243" si="411">IF(L243&lt;N243,"未達成（"&amp;N243-L243&amp;"）",IF(L243=N243,"達成","前倒し（"&amp;L243-N243&amp;"）"))</f>
        <v>未達成（3）</v>
      </c>
      <c r="Q243">
        <f t="shared" ref="Q243" si="412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542</v>
      </c>
      <c r="I244" t="s">
        <v>544</v>
      </c>
      <c r="J244">
        <v>1</v>
      </c>
      <c r="K244">
        <f t="shared" ref="K244" si="413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414">L243+K244</f>
        <v>292</v>
      </c>
      <c r="M244">
        <f t="shared" ref="M244" si="415">2+IF(A244&gt;=DATEVALUE("2025/11/30")+TIMEVALUE("6:00"),1,0)+IF(A244&gt;=DATEVALUE("2025/12/11")+TIMEVALUE("6:00"),1,0)</f>
        <v>4</v>
      </c>
      <c r="N244">
        <f t="shared" ref="N244" si="416">N243+M244*(INT(A244-6/24)-INT(A243-6/24))+O244</f>
        <v>295</v>
      </c>
      <c r="O244">
        <f t="shared" ref="O244" si="417">IF(A244&gt;=DATEVALUE("2025/11/8")+TIMEVALUE("6:00"),1,0)-IF(A243&gt;=DATEVALUE("2025/11/8")+TIMEVALUE("6:00"),1,0)
+IF(A244&gt;=DATEVALUE("2026/1/22")+TIMEVALUE("6:00"),3,0)-IF(A243&gt;=DATEVALUE("2026/1/22")+TIMEVALUE("6:00"),3,0)</f>
        <v>0</v>
      </c>
      <c r="P244" t="str">
        <f t="shared" ref="P244" si="418">IF(L244&lt;N244,"未達成（"&amp;N244-L244&amp;"）",IF(L244=N244,"達成","前倒し（"&amp;L244-N244&amp;"）"))</f>
        <v>未達成（3）</v>
      </c>
      <c r="Q244" t="e">
        <f t="shared" ref="Q244" si="419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545</v>
      </c>
      <c r="I245" t="s">
        <v>543</v>
      </c>
      <c r="J245">
        <v>0</v>
      </c>
      <c r="K245">
        <f t="shared" ref="K245" si="420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421">L244+K245</f>
        <v>294</v>
      </c>
      <c r="M245">
        <f t="shared" ref="M245" si="422">2+IF(A245&gt;=DATEVALUE("2025/11/30")+TIMEVALUE("6:00"),1,0)+IF(A245&gt;=DATEVALUE("2025/12/11")+TIMEVALUE("6:00"),1,0)</f>
        <v>4</v>
      </c>
      <c r="N245">
        <f t="shared" ref="N245" si="423">N244+M245*(INT(A245-6/24)-INT(A244-6/24))+O245</f>
        <v>295</v>
      </c>
      <c r="O245">
        <f t="shared" ref="O245" si="424">IF(A245&gt;=DATEVALUE("2025/11/8")+TIMEVALUE("6:00"),1,0)-IF(A244&gt;=DATEVALUE("2025/11/8")+TIMEVALUE("6:00"),1,0)
+IF(A245&gt;=DATEVALUE("2026/1/22")+TIMEVALUE("6:00"),3,0)-IF(A244&gt;=DATEVALUE("2026/1/22")+TIMEVALUE("6:00"),3,0)</f>
        <v>0</v>
      </c>
      <c r="P245" t="str">
        <f t="shared" ref="P245" si="425">IF(L245&lt;N245,"未達成（"&amp;N245-L245&amp;"）",IF(L245=N245,"達成","前倒し（"&amp;L245-N245&amp;"）"))</f>
        <v>未達成（1）</v>
      </c>
      <c r="Q245">
        <f t="shared" ref="Q245" si="426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546</v>
      </c>
      <c r="I246" t="s">
        <v>547</v>
      </c>
      <c r="J246">
        <v>0</v>
      </c>
      <c r="K246">
        <f t="shared" ref="K246" si="427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28">L245+K246</f>
        <v>296</v>
      </c>
      <c r="M246">
        <f t="shared" ref="M246" si="429">2+IF(A246&gt;=DATEVALUE("2025/11/30")+TIMEVALUE("6:00"),1,0)+IF(A246&gt;=DATEVALUE("2025/12/11")+TIMEVALUE("6:00"),1,0)</f>
        <v>4</v>
      </c>
      <c r="N246">
        <f t="shared" ref="N246" si="430">N245+M246*(INT(A246-6/24)-INT(A245-6/24))+O246</f>
        <v>295</v>
      </c>
      <c r="O246">
        <f t="shared" ref="O246" si="431">IF(A246&gt;=DATEVALUE("2025/11/8")+TIMEVALUE("6:00"),1,0)-IF(A245&gt;=DATEVALUE("2025/11/8")+TIMEVALUE("6:00"),1,0)
+IF(A246&gt;=DATEVALUE("2026/1/22")+TIMEVALUE("6:00"),3,0)-IF(A245&gt;=DATEVALUE("2026/1/22")+TIMEVALUE("6:00"),3,0)</f>
        <v>0</v>
      </c>
      <c r="P246" t="str">
        <f t="shared" ref="P246" si="432">IF(L246&lt;N246,"未達成（"&amp;N246-L246&amp;"）",IF(L246=N246,"達成","前倒し（"&amp;L246-N246&amp;"）"))</f>
        <v>前倒し（1）</v>
      </c>
      <c r="Q246">
        <f t="shared" ref="Q246" si="433">IF(B246="",NA(),G246)</f>
        <v>6.7824074067175388E-3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46052.646226851852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2026-01-30T06:40:50Z</dcterms:modified>
</cp:coreProperties>
</file>
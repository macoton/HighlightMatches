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2D5A90BD-EE0C-4823-823E-4533F8EAE97E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83" i="4" l="1"/>
  <c r="M83" i="4"/>
  <c r="N83" i="4" s="1"/>
  <c r="K83" i="4"/>
  <c r="L83" i="4" s="1"/>
  <c r="P83" i="4" s="1"/>
  <c r="O82" i="4"/>
  <c r="M82" i="4"/>
  <c r="N82" i="4" s="1"/>
  <c r="K82" i="4"/>
  <c r="L82" i="4" s="1"/>
  <c r="P82" i="4" s="1"/>
  <c r="O80" i="4"/>
  <c r="M80" i="4"/>
  <c r="N80" i="4" s="1"/>
  <c r="K80" i="4"/>
  <c r="L80" i="4" s="1"/>
  <c r="O81" i="4"/>
  <c r="M81" i="4"/>
  <c r="K81" i="4"/>
  <c r="O79" i="4"/>
  <c r="M79" i="4"/>
  <c r="N79" i="4" s="1"/>
  <c r="K79" i="4"/>
  <c r="L79" i="4" s="1"/>
  <c r="O78" i="4"/>
  <c r="N78" i="4"/>
  <c r="M78" i="4"/>
  <c r="K78" i="4"/>
  <c r="L78" i="4" s="1"/>
  <c r="P78" i="4" s="1"/>
  <c r="O77" i="4"/>
  <c r="M77" i="4"/>
  <c r="N77" i="4" s="1"/>
  <c r="K77" i="4"/>
  <c r="L77" i="4" s="1"/>
  <c r="P77" i="4" s="1"/>
  <c r="O76" i="4"/>
  <c r="M76" i="4"/>
  <c r="N76" i="4" s="1"/>
  <c r="K76" i="4"/>
  <c r="L76" i="4" s="1"/>
  <c r="P76" i="4" s="1"/>
  <c r="M75" i="4"/>
  <c r="M74" i="4"/>
  <c r="M73" i="4"/>
  <c r="M72" i="4"/>
  <c r="M71" i="4"/>
  <c r="M70" i="4"/>
  <c r="M69" i="4"/>
  <c r="M68" i="4"/>
  <c r="M67" i="4"/>
  <c r="M66" i="4"/>
  <c r="M65" i="4"/>
  <c r="M64" i="4"/>
  <c r="M63" i="4"/>
  <c r="M62" i="4"/>
  <c r="M61" i="4"/>
  <c r="M60" i="4"/>
  <c r="M59" i="4"/>
  <c r="M58" i="4"/>
  <c r="M57" i="4"/>
  <c r="M56" i="4"/>
  <c r="M55" i="4"/>
  <c r="M54" i="4"/>
  <c r="M53" i="4"/>
  <c r="M52" i="4"/>
  <c r="M51" i="4"/>
  <c r="M50" i="4"/>
  <c r="M49" i="4"/>
  <c r="M48" i="4"/>
  <c r="M47" i="4"/>
  <c r="M46" i="4"/>
  <c r="M45" i="4"/>
  <c r="M44" i="4"/>
  <c r="M43" i="4"/>
  <c r="M42" i="4"/>
  <c r="M41" i="4"/>
  <c r="M40" i="4"/>
  <c r="M39" i="4"/>
  <c r="M38" i="4"/>
  <c r="M37" i="4"/>
  <c r="M36" i="4"/>
  <c r="M35" i="4"/>
  <c r="M34" i="4"/>
  <c r="M33" i="4"/>
  <c r="M32" i="4"/>
  <c r="M31" i="4"/>
  <c r="M30" i="4"/>
  <c r="M29" i="4"/>
  <c r="M28" i="4"/>
  <c r="M27" i="4"/>
  <c r="M26" i="4"/>
  <c r="M25" i="4"/>
  <c r="M24" i="4"/>
  <c r="M23" i="4"/>
  <c r="M22" i="4"/>
  <c r="M21" i="4"/>
  <c r="M20" i="4"/>
  <c r="M19" i="4"/>
  <c r="M18" i="4"/>
  <c r="M17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O17" i="4"/>
  <c r="K75" i="4"/>
  <c r="L75" i="4" s="1"/>
  <c r="K74" i="4"/>
  <c r="L74" i="4" s="1"/>
  <c r="K73" i="4"/>
  <c r="L73" i="4" s="1"/>
  <c r="P80" i="4" l="1"/>
  <c r="N81" i="4"/>
  <c r="L81" i="4"/>
  <c r="P79" i="4"/>
  <c r="K72" i="4"/>
  <c r="L72" i="4" s="1"/>
  <c r="K71" i="4"/>
  <c r="L71" i="4" s="1"/>
  <c r="K70" i="4"/>
  <c r="L70" i="4" s="1"/>
  <c r="K69" i="4"/>
  <c r="L69" i="4" s="1"/>
  <c r="K68" i="4"/>
  <c r="L68" i="4" s="1"/>
  <c r="K67" i="4"/>
  <c r="L67" i="4" s="1"/>
  <c r="K66" i="4"/>
  <c r="L66" i="4" s="1"/>
  <c r="L65" i="4"/>
  <c r="K65" i="4"/>
  <c r="K64" i="4"/>
  <c r="L64" i="4" s="1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L17" i="4" s="1"/>
  <c r="N17" i="4"/>
  <c r="P81" i="4" l="1"/>
  <c r="L18" i="4"/>
  <c r="L19" i="4" s="1"/>
  <c r="L20" i="4" s="1"/>
  <c r="L21" i="4" s="1"/>
  <c r="L22" i="4" s="1"/>
  <c r="L23" i="4" s="1"/>
  <c r="L24" i="4" s="1"/>
  <c r="L25" i="4" s="1"/>
  <c r="L26" i="4" s="1"/>
  <c r="L27" i="4" s="1"/>
  <c r="L28" i="4" s="1"/>
  <c r="L29" i="4" s="1"/>
  <c r="L30" i="4" s="1"/>
  <c r="L31" i="4" s="1"/>
  <c r="L32" i="4" s="1"/>
  <c r="L33" i="4" s="1"/>
  <c r="L34" i="4" s="1"/>
  <c r="L35" i="4" s="1"/>
  <c r="L36" i="4" s="1"/>
  <c r="L37" i="4" s="1"/>
  <c r="L38" i="4" s="1"/>
  <c r="L39" i="4" s="1"/>
  <c r="L40" i="4" s="1"/>
  <c r="L41" i="4" s="1"/>
  <c r="L42" i="4" s="1"/>
  <c r="L43" i="4" s="1"/>
  <c r="L44" i="4" s="1"/>
  <c r="L45" i="4" s="1"/>
  <c r="L46" i="4" s="1"/>
  <c r="L47" i="4" s="1"/>
  <c r="L48" i="4" s="1"/>
  <c r="L49" i="4" s="1"/>
  <c r="L50" i="4" s="1"/>
  <c r="L51" i="4" s="1"/>
  <c r="L52" i="4" s="1"/>
  <c r="L53" i="4" s="1"/>
  <c r="L54" i="4" s="1"/>
  <c r="L55" i="4" l="1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56" i="4" l="1"/>
  <c r="T2" i="5"/>
  <c r="T3" i="5"/>
  <c r="T4" i="3"/>
  <c r="S5" i="3"/>
  <c r="L57" i="4" l="1"/>
  <c r="T4" i="5"/>
  <c r="S6" i="3"/>
  <c r="T6" i="3" s="1"/>
  <c r="T5" i="3"/>
  <c r="L58" i="4" l="1"/>
  <c r="T6" i="5"/>
  <c r="T5" i="5"/>
  <c r="L59" i="4" l="1"/>
  <c r="L60" i="4" l="1"/>
  <c r="L61" i="4" l="1"/>
  <c r="L62" i="4" s="1"/>
  <c r="L63" i="4" s="1"/>
  <c r="P17" i="4" l="1"/>
  <c r="N18" i="4"/>
  <c r="N19" i="4" l="1"/>
  <c r="P18" i="4"/>
  <c r="N20" i="4" l="1"/>
  <c r="P19" i="4"/>
  <c r="N21" i="4" l="1"/>
  <c r="P20" i="4"/>
  <c r="N22" i="4" l="1"/>
  <c r="P21" i="4"/>
  <c r="N23" i="4" l="1"/>
  <c r="P22" i="4"/>
  <c r="N24" i="4" l="1"/>
  <c r="P23" i="4"/>
  <c r="N25" i="4" l="1"/>
  <c r="P24" i="4"/>
  <c r="N26" i="4" l="1"/>
  <c r="P25" i="4"/>
  <c r="N27" i="4" l="1"/>
  <c r="P26" i="4"/>
  <c r="N28" i="4" l="1"/>
  <c r="P27" i="4"/>
  <c r="N29" i="4" l="1"/>
  <c r="P28" i="4"/>
  <c r="N30" i="4" l="1"/>
  <c r="P29" i="4"/>
  <c r="N31" i="4" l="1"/>
  <c r="P30" i="4"/>
  <c r="N32" i="4" l="1"/>
  <c r="P31" i="4"/>
  <c r="N33" i="4" l="1"/>
  <c r="P32" i="4"/>
  <c r="N34" i="4" l="1"/>
  <c r="P33" i="4"/>
  <c r="N35" i="4" l="1"/>
  <c r="P34" i="4"/>
  <c r="N36" i="4" l="1"/>
  <c r="P35" i="4"/>
  <c r="N37" i="4" l="1"/>
  <c r="P36" i="4"/>
  <c r="N38" i="4" l="1"/>
  <c r="P37" i="4"/>
  <c r="N39" i="4" l="1"/>
  <c r="P38" i="4"/>
  <c r="N40" i="4" l="1"/>
  <c r="P39" i="4"/>
  <c r="N41" i="4" l="1"/>
  <c r="P40" i="4"/>
  <c r="N42" i="4" l="1"/>
  <c r="P41" i="4"/>
  <c r="N43" i="4" l="1"/>
  <c r="P42" i="4"/>
  <c r="N44" i="4" l="1"/>
  <c r="P43" i="4"/>
  <c r="N45" i="4" l="1"/>
  <c r="P44" i="4"/>
  <c r="N46" i="4" l="1"/>
  <c r="P45" i="4"/>
  <c r="N47" i="4" l="1"/>
  <c r="P46" i="4"/>
  <c r="N48" i="4" l="1"/>
  <c r="P47" i="4"/>
  <c r="N49" i="4" l="1"/>
  <c r="P48" i="4"/>
  <c r="N50" i="4" l="1"/>
  <c r="P49" i="4"/>
  <c r="N51" i="4" l="1"/>
  <c r="P50" i="4"/>
  <c r="N52" i="4" l="1"/>
  <c r="P51" i="4"/>
  <c r="N53" i="4" l="1"/>
  <c r="P52" i="4"/>
  <c r="N54" i="4" l="1"/>
  <c r="P53" i="4"/>
  <c r="N55" i="4" l="1"/>
  <c r="P54" i="4"/>
  <c r="N56" i="4" l="1"/>
  <c r="P55" i="4"/>
  <c r="N57" i="4" l="1"/>
  <c r="P56" i="4"/>
  <c r="N58" i="4" l="1"/>
  <c r="P57" i="4"/>
  <c r="N59" i="4" l="1"/>
  <c r="P58" i="4"/>
  <c r="N60" i="4" l="1"/>
  <c r="P59" i="4"/>
  <c r="N61" i="4" l="1"/>
  <c r="N62" i="4" s="1"/>
  <c r="P60" i="4"/>
  <c r="P62" i="4" l="1"/>
  <c r="N63" i="4"/>
  <c r="P61" i="4"/>
  <c r="P63" i="4" l="1"/>
  <c r="N64" i="4"/>
  <c r="N65" i="4" l="1"/>
  <c r="P64" i="4"/>
  <c r="N66" i="4" l="1"/>
  <c r="P65" i="4"/>
  <c r="P66" i="4" l="1"/>
  <c r="N67" i="4"/>
  <c r="P67" i="4" l="1"/>
  <c r="N68" i="4"/>
  <c r="N69" i="4" l="1"/>
  <c r="P68" i="4"/>
  <c r="P69" i="4" l="1"/>
  <c r="N70" i="4"/>
  <c r="P70" i="4" l="1"/>
  <c r="N71" i="4"/>
  <c r="N72" i="4" l="1"/>
  <c r="P71" i="4"/>
  <c r="N73" i="4" l="1"/>
  <c r="P72" i="4"/>
  <c r="N74" i="4" l="1"/>
  <c r="P73" i="4"/>
  <c r="P74" i="4" l="1"/>
  <c r="N75" i="4"/>
  <c r="P75" i="4" s="1"/>
</calcChain>
</file>

<file path=xl/sharedStrings.xml><?xml version="1.0" encoding="utf-8"?>
<sst xmlns="http://schemas.openxmlformats.org/spreadsheetml/2006/main" count="243" uniqueCount="224">
  <si>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</si>
  <si>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</si>
  <si>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</si>
  <si>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</si>
  <si>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</si>
  <si>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</si>
  <si>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</si>
  <si>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</si>
  <si>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</si>
  <si>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</si>
  <si>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</si>
  <si>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</si>
  <si>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</si>
  <si>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</si>
  <si>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</si>
  <si>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</si>
  <si>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</si>
  <si>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</si>
  <si>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</si>
  <si>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</si>
  <si>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</si>
  <si>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</si>
  <si>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</si>
  <si>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</si>
  <si>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</si>
  <si>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</si>
  <si>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</si>
  <si>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</si>
  <si>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</si>
  <si>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</si>
  <si>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</si>
  <si>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</si>
  <si>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</si>
  <si>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</si>
  <si>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</si>
  <si>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</si>
  <si>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</si>
  <si>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</si>
  <si>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</si>
  <si>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</si>
  <si>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</si>
  <si>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</si>
  <si>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</si>
  <si>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</si>
  <si>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</si>
  <si>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</si>
  <si>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</si>
  <si>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</si>
  <si>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</si>
  <si>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</si>
  <si>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</si>
  <si>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</si>
  <si>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</si>
  <si>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</si>
  <si>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</si>
  <si>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</si>
  <si>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</si>
  <si>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</si>
  <si>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</si>
  <si>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</si>
  <si>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</si>
  <si>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</si>
  <si>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</si>
  <si>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</si>
  <si>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</si>
  <si>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</si>
  <si>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</si>
  <si>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</si>
  <si>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</si>
  <si>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</si>
  <si>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</si>
  <si>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</si>
  <si>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</si>
  <si>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</si>
  <si>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</si>
  <si>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</si>
  <si>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</si>
  <si>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</si>
  <si>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</si>
  <si>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</si>
  <si>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</si>
  <si>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</si>
  <si>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</si>
  <si>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</si>
  <si>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</si>
  <si>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</si>
  <si>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</si>
  <si>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</si>
  <si>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</si>
  <si>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</si>
  <si>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</si>
  <si>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</si>
  <si>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</si>
  <si>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</si>
  <si>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</si>
  <si>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</si>
  <si>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</si>
  <si>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</si>
  <si>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</si>
  <si>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</si>
  <si>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</si>
  <si>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</si>
  <si>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</si>
  <si>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</si>
  <si>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</si>
  <si>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</si>
  <si>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</si>
  <si>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</si>
  <si>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</si>
  <si>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</si>
  <si>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</si>
  <si>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</si>
  <si>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</si>
  <si>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</si>
  <si>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</si>
  <si>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</si>
  <si>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</si>
  <si>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</si>
  <si>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</si>
  <si>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</si>
  <si>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</si>
  <si>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</si>
  <si>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</si>
  <si>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</si>
  <si>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</si>
  <si>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</si>
  <si>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</si>
  <si>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</si>
  <si>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</si>
  <si>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</si>
  <si>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</si>
  <si>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</si>
  <si>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</si>
  <si>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</si>
  <si>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</si>
  <si>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</si>
  <si>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</si>
  <si>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</si>
  <si>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</si>
  <si>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</si>
  <si>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</si>
  <si>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</si>
  <si>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</si>
  <si>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</si>
  <si>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</si>
  <si>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</si>
  <si>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</si>
  <si>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</si>
  <si>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</si>
  <si>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</si>
  <si>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</si>
  <si>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</si>
  <si>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</si>
  <si>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</si>
  <si>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</si>
  <si>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</si>
  <si>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</si>
  <si>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</si>
  <si>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</si>
  <si>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</si>
  <si>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</si>
  <si>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</si>
  <si>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</si>
  <si>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</si>
  <si>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</si>
  <si>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</si>
  <si>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</si>
  <si>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</si>
  <si>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</si>
  <si>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</si>
  <si>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</si>
  <si>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</si>
  <si>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</si>
  <si>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</si>
  <si>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</si>
  <si>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</si>
  <si>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</si>
  <si>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</si>
  <si>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</si>
  <si>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</si>
  <si>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</si>
  <si>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</si>
  <si>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</si>
  <si>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</si>
  <si>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</si>
  <si>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</si>
  <si>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</si>
  <si>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</si>
  <si>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</si>
  <si>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</si>
  <si>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</si>
  <si>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</si>
  <si>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</si>
  <si>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</si>
  <si>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</si>
  <si>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</si>
  <si>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</si>
  <si>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</si>
  <si>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</si>
  <si>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</si>
  <si>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</si>
  <si>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</si>
  <si>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</si>
  <si>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</si>
  <si>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</si>
  <si>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</si>
  <si>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</si>
  <si>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１日目標ポイント（２と2025/11/30以降は１）</t>
    <rPh sb="1" eb="2">
      <t>ニチ</t>
    </rPh>
    <rPh sb="21" eb="23">
      <t>イコウ</t>
    </rPh>
    <phoneticPr fontId="1"/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</si>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</sst>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3" fillId="2" borderId="0" xfId="0" applyFont="1" applyFill="1">
      <alignment vertical="center"/>
    </xf>
    <xf numFmtId="0" fontId="6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データ!$P$1:$P$82</c:f>
              <c:strCache>
                <c:ptCount val="82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  <c:pt idx="68">
                  <c:v>達成</c:v>
                </c:pt>
                <c:pt idx="69">
                  <c:v>未達成（2）</c:v>
                </c:pt>
                <c:pt idx="70">
                  <c:v>未達成（1）</c:v>
                </c:pt>
                <c:pt idx="71">
                  <c:v>達成</c:v>
                </c:pt>
                <c:pt idx="72">
                  <c:v>未達成（1）</c:v>
                </c:pt>
                <c:pt idx="73">
                  <c:v>達成</c:v>
                </c:pt>
                <c:pt idx="74">
                  <c:v>未達成（1）</c:v>
                </c:pt>
                <c:pt idx="75">
                  <c:v>前倒し（1）</c:v>
                </c:pt>
                <c:pt idx="76">
                  <c:v>未達成（1）</c:v>
                </c:pt>
                <c:pt idx="77">
                  <c:v>前倒し（1）</c:v>
                </c:pt>
                <c:pt idx="78">
                  <c:v>未達成（2）</c:v>
                </c:pt>
                <c:pt idx="79">
                  <c:v>達成</c:v>
                </c:pt>
                <c:pt idx="80">
                  <c:v>未達成（2）</c:v>
                </c:pt>
                <c:pt idx="81">
                  <c:v>未達成（1）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データ!$A$2:$A$83</c:f>
              <c:numCache>
                <c:formatCode>m/d/yyyy\ h:mm</c:formatCode>
                <c:ptCount val="82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</c:numCache>
            </c:numRef>
          </c:xVal>
          <c:yVal>
            <c:numRef>
              <c:f>データ!$B$2:$B$83</c:f>
              <c:numCache>
                <c:formatCode>General</c:formatCode>
                <c:ptCount val="82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39-4645-8399-FCE3A91CBF9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039-4645-8399-FCE3A91CBF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8330431"/>
        <c:axId val="1868355391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データ!$A$2:$A$83</c:f>
              <c:numCache>
                <c:formatCode>m/d/yyyy\ h:mm</c:formatCode>
                <c:ptCount val="82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</c:numCache>
            </c:numRef>
          </c:xVal>
          <c:yVal>
            <c:numRef>
              <c:f>データ!$G$2:$G$83</c:f>
              <c:numCache>
                <c:formatCode>[h]:mm</c:formatCode>
                <c:ptCount val="82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39-4645-8399-FCE3A91CBF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8396191"/>
        <c:axId val="1868351071"/>
      </c:scatterChart>
      <c:valAx>
        <c:axId val="18683304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68355391"/>
        <c:crosses val="autoZero"/>
        <c:crossBetween val="midCat"/>
      </c:valAx>
      <c:valAx>
        <c:axId val="1868355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68330431"/>
        <c:crosses val="autoZero"/>
        <c:crossBetween val="midCat"/>
      </c:valAx>
      <c:valAx>
        <c:axId val="1868351071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68396191"/>
        <c:crosses val="max"/>
        <c:crossBetween val="midCat"/>
      </c:valAx>
      <c:valAx>
        <c:axId val="1868396191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68351071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211931</xdr:colOff>
      <xdr:row>7</xdr:row>
      <xdr:rowOff>178593</xdr:rowOff>
    </xdr:from>
    <xdr:to>
      <xdr:col>5</xdr:col>
      <xdr:colOff>211931</xdr:colOff>
      <xdr:row>10</xdr:row>
      <xdr:rowOff>178594</xdr:rowOff>
    </xdr:to>
    <xdr:cxnSp macro="">
      <xdr:nvCxnSpPr>
        <xdr:cNvPr id="1190" name="Match0">
          <a:extLst>
            <a:ext uri="{FF2B5EF4-FFF2-40B4-BE49-F238E27FC236}">
              <a16:creationId xmlns:a16="http://schemas.microsoft.com/office/drawing/2014/main" id="{99E99E30-833B-603C-A4DD-7C82EF8E1219}"/>
            </a:ext>
          </a:extLst>
        </xdr:cNvPr>
        <xdr:cNvCxnSpPr/>
      </xdr:nvCxnSpPr>
      <xdr:spPr>
        <a:xfrm flipH="1" flipV="1">
          <a:off x="1059656" y="2678906"/>
          <a:ext cx="1271588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6</xdr:col>
      <xdr:colOff>211931</xdr:colOff>
      <xdr:row>4</xdr:row>
      <xdr:rowOff>178594</xdr:rowOff>
    </xdr:to>
    <xdr:cxnSp macro="">
      <xdr:nvCxnSpPr>
        <xdr:cNvPr id="1191" name="Match1">
          <a:extLst>
            <a:ext uri="{FF2B5EF4-FFF2-40B4-BE49-F238E27FC236}">
              <a16:creationId xmlns:a16="http://schemas.microsoft.com/office/drawing/2014/main" id="{A3BFBE23-3F98-FD2D-0D6B-19DB7B661141}"/>
            </a:ext>
          </a:extLst>
        </xdr:cNvPr>
        <xdr:cNvCxnSpPr/>
      </xdr:nvCxnSpPr>
      <xdr:spPr>
        <a:xfrm flipV="1">
          <a:off x="1059656" y="178594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11</xdr:col>
      <xdr:colOff>211931</xdr:colOff>
      <xdr:row>10</xdr:row>
      <xdr:rowOff>178594</xdr:rowOff>
    </xdr:to>
    <xdr:cxnSp macro="">
      <xdr:nvCxnSpPr>
        <xdr:cNvPr id="1192" name="Match2">
          <a:extLst>
            <a:ext uri="{FF2B5EF4-FFF2-40B4-BE49-F238E27FC236}">
              <a16:creationId xmlns:a16="http://schemas.microsoft.com/office/drawing/2014/main" id="{1B37759D-8F30-7EDE-1072-C93B6FAF5694}"/>
            </a:ext>
          </a:extLst>
        </xdr:cNvPr>
        <xdr:cNvCxnSpPr/>
      </xdr:nvCxnSpPr>
      <xdr:spPr>
        <a:xfrm flipH="1" flipV="1">
          <a:off x="3178969" y="2321719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8</xdr:col>
      <xdr:colOff>211931</xdr:colOff>
      <xdr:row>5</xdr:row>
      <xdr:rowOff>178593</xdr:rowOff>
    </xdr:to>
    <xdr:cxnSp macro="">
      <xdr:nvCxnSpPr>
        <xdr:cNvPr id="1193" name="Match3">
          <a:extLst>
            <a:ext uri="{FF2B5EF4-FFF2-40B4-BE49-F238E27FC236}">
              <a16:creationId xmlns:a16="http://schemas.microsoft.com/office/drawing/2014/main" id="{439C2300-8D3D-7524-A7D6-2D7AB65C3B84}"/>
            </a:ext>
          </a:extLst>
        </xdr:cNvPr>
        <xdr:cNvCxnSpPr/>
      </xdr:nvCxnSpPr>
      <xdr:spPr>
        <a:xfrm flipH="1">
          <a:off x="1059656" y="1964531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5</xdr:col>
      <xdr:colOff>211931</xdr:colOff>
      <xdr:row>2</xdr:row>
      <xdr:rowOff>178594</xdr:rowOff>
    </xdr:to>
    <xdr:cxnSp macro="">
      <xdr:nvCxnSpPr>
        <xdr:cNvPr id="1194" name="Match4">
          <a:extLst>
            <a:ext uri="{FF2B5EF4-FFF2-40B4-BE49-F238E27FC236}">
              <a16:creationId xmlns:a16="http://schemas.microsoft.com/office/drawing/2014/main" id="{8C90349F-71BB-0ABB-4446-8A79148266AB}"/>
            </a:ext>
          </a:extLst>
        </xdr:cNvPr>
        <xdr:cNvCxnSpPr/>
      </xdr:nvCxnSpPr>
      <xdr:spPr>
        <a:xfrm flipV="1">
          <a:off x="2331244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3</xdr:row>
      <xdr:rowOff>178593</xdr:rowOff>
    </xdr:from>
    <xdr:to>
      <xdr:col>8</xdr:col>
      <xdr:colOff>211931</xdr:colOff>
      <xdr:row>4</xdr:row>
      <xdr:rowOff>178594</xdr:rowOff>
    </xdr:to>
    <xdr:cxnSp macro="">
      <xdr:nvCxnSpPr>
        <xdr:cNvPr id="1195" name="Match5">
          <a:extLst>
            <a:ext uri="{FF2B5EF4-FFF2-40B4-BE49-F238E27FC236}">
              <a16:creationId xmlns:a16="http://schemas.microsoft.com/office/drawing/2014/main" id="{22804CDF-862A-E747-97E4-C6E14B2136CF}"/>
            </a:ext>
          </a:extLst>
        </xdr:cNvPr>
        <xdr:cNvCxnSpPr/>
      </xdr:nvCxnSpPr>
      <xdr:spPr>
        <a:xfrm>
          <a:off x="3178969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3</xdr:row>
      <xdr:rowOff>203993</xdr:rowOff>
    </xdr:from>
    <xdr:to>
      <xdr:col>7</xdr:col>
      <xdr:colOff>237331</xdr:colOff>
      <xdr:row>4</xdr:row>
      <xdr:rowOff>203994</xdr:rowOff>
    </xdr:to>
    <xdr:cxnSp macro="">
      <xdr:nvCxnSpPr>
        <xdr:cNvPr id="1196" name="Match6">
          <a:extLst>
            <a:ext uri="{FF2B5EF4-FFF2-40B4-BE49-F238E27FC236}">
              <a16:creationId xmlns:a16="http://schemas.microsoft.com/office/drawing/2014/main" id="{EC2307CF-7BBF-C53F-23D3-E026AF2A5DDD}"/>
            </a:ext>
          </a:extLst>
        </xdr:cNvPr>
        <xdr:cNvCxnSpPr/>
      </xdr:nvCxnSpPr>
      <xdr:spPr>
        <a:xfrm>
          <a:off x="3204369" y="127555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3</xdr:row>
      <xdr:rowOff>229393</xdr:rowOff>
    </xdr:from>
    <xdr:to>
      <xdr:col>7</xdr:col>
      <xdr:colOff>262731</xdr:colOff>
      <xdr:row>4</xdr:row>
      <xdr:rowOff>229394</xdr:rowOff>
    </xdr:to>
    <xdr:cxnSp macro="">
      <xdr:nvCxnSpPr>
        <xdr:cNvPr id="1197" name="Match7">
          <a:extLst>
            <a:ext uri="{FF2B5EF4-FFF2-40B4-BE49-F238E27FC236}">
              <a16:creationId xmlns:a16="http://schemas.microsoft.com/office/drawing/2014/main" id="{A375D89C-0D41-B159-08E3-20B77EA59D95}"/>
            </a:ext>
          </a:extLst>
        </xdr:cNvPr>
        <xdr:cNvCxnSpPr/>
      </xdr:nvCxnSpPr>
      <xdr:spPr>
        <a:xfrm flipH="1">
          <a:off x="2805906" y="1300956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8</xdr:row>
      <xdr:rowOff>178594</xdr:rowOff>
    </xdr:from>
    <xdr:to>
      <xdr:col>11</xdr:col>
      <xdr:colOff>211931</xdr:colOff>
      <xdr:row>9</xdr:row>
      <xdr:rowOff>178593</xdr:rowOff>
    </xdr:to>
    <xdr:cxnSp macro="">
      <xdr:nvCxnSpPr>
        <xdr:cNvPr id="1198" name="Match8">
          <a:extLst>
            <a:ext uri="{FF2B5EF4-FFF2-40B4-BE49-F238E27FC236}">
              <a16:creationId xmlns:a16="http://schemas.microsoft.com/office/drawing/2014/main" id="{848B3C9C-E0BC-40B9-35D1-BD41ECD71013}"/>
            </a:ext>
          </a:extLst>
        </xdr:cNvPr>
        <xdr:cNvCxnSpPr/>
      </xdr:nvCxnSpPr>
      <xdr:spPr>
        <a:xfrm>
          <a:off x="4450556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8</xdr:row>
      <xdr:rowOff>203994</xdr:rowOff>
    </xdr:from>
    <xdr:to>
      <xdr:col>10</xdr:col>
      <xdr:colOff>237331</xdr:colOff>
      <xdr:row>9</xdr:row>
      <xdr:rowOff>203993</xdr:rowOff>
    </xdr:to>
    <xdr:cxnSp macro="">
      <xdr:nvCxnSpPr>
        <xdr:cNvPr id="1199" name="Match9">
          <a:extLst>
            <a:ext uri="{FF2B5EF4-FFF2-40B4-BE49-F238E27FC236}">
              <a16:creationId xmlns:a16="http://schemas.microsoft.com/office/drawing/2014/main" id="{4CE2E4D3-1712-FFD2-2AFD-48F6E4AA2488}"/>
            </a:ext>
          </a:extLst>
        </xdr:cNvPr>
        <xdr:cNvCxnSpPr/>
      </xdr:nvCxnSpPr>
      <xdr:spPr>
        <a:xfrm>
          <a:off x="4475956" y="30614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8</xdr:row>
      <xdr:rowOff>178594</xdr:rowOff>
    </xdr:from>
    <xdr:to>
      <xdr:col>11</xdr:col>
      <xdr:colOff>211931</xdr:colOff>
      <xdr:row>9</xdr:row>
      <xdr:rowOff>178593</xdr:rowOff>
    </xdr:to>
    <xdr:cxnSp macro="">
      <xdr:nvCxnSpPr>
        <xdr:cNvPr id="1200" name="Match10">
          <a:extLst>
            <a:ext uri="{FF2B5EF4-FFF2-40B4-BE49-F238E27FC236}">
              <a16:creationId xmlns:a16="http://schemas.microsoft.com/office/drawing/2014/main" id="{64C36EF8-EE66-6751-00F4-016F1C67A0A2}"/>
            </a:ext>
          </a:extLst>
        </xdr:cNvPr>
        <xdr:cNvCxnSpPr/>
      </xdr:nvCxnSpPr>
      <xdr:spPr>
        <a:xfrm>
          <a:off x="4874419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8</xdr:row>
      <xdr:rowOff>203994</xdr:rowOff>
    </xdr:from>
    <xdr:to>
      <xdr:col>11</xdr:col>
      <xdr:colOff>237331</xdr:colOff>
      <xdr:row>9</xdr:row>
      <xdr:rowOff>203993</xdr:rowOff>
    </xdr:to>
    <xdr:cxnSp macro="">
      <xdr:nvCxnSpPr>
        <xdr:cNvPr id="1201" name="Match11">
          <a:extLst>
            <a:ext uri="{FF2B5EF4-FFF2-40B4-BE49-F238E27FC236}">
              <a16:creationId xmlns:a16="http://schemas.microsoft.com/office/drawing/2014/main" id="{7A4FE368-2FD2-7D69-01D2-69DB8254E992}"/>
            </a:ext>
          </a:extLst>
        </xdr:cNvPr>
        <xdr:cNvCxnSpPr/>
      </xdr:nvCxnSpPr>
      <xdr:spPr>
        <a:xfrm flipH="1">
          <a:off x="4475956" y="30614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10</xdr:row>
      <xdr:rowOff>178594</xdr:rowOff>
    </xdr:from>
    <xdr:to>
      <xdr:col>3</xdr:col>
      <xdr:colOff>211931</xdr:colOff>
      <xdr:row>11</xdr:row>
      <xdr:rowOff>178593</xdr:rowOff>
    </xdr:to>
    <xdr:cxnSp macro="">
      <xdr:nvCxnSpPr>
        <xdr:cNvPr id="1202" name="Match12">
          <a:extLst>
            <a:ext uri="{FF2B5EF4-FFF2-40B4-BE49-F238E27FC236}">
              <a16:creationId xmlns:a16="http://schemas.microsoft.com/office/drawing/2014/main" id="{60F6B33D-F106-B32A-229B-4FD6F1E53CAE}"/>
            </a:ext>
          </a:extLst>
        </xdr:cNvPr>
        <xdr:cNvCxnSpPr/>
      </xdr:nvCxnSpPr>
      <xdr:spPr>
        <a:xfrm flipH="1">
          <a:off x="1059656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10</xdr:row>
      <xdr:rowOff>178594</xdr:rowOff>
    </xdr:from>
    <xdr:to>
      <xdr:col>6</xdr:col>
      <xdr:colOff>211931</xdr:colOff>
      <xdr:row>11</xdr:row>
      <xdr:rowOff>178593</xdr:rowOff>
    </xdr:to>
    <xdr:cxnSp macro="">
      <xdr:nvCxnSpPr>
        <xdr:cNvPr id="1203" name="Match13">
          <a:extLst>
            <a:ext uri="{FF2B5EF4-FFF2-40B4-BE49-F238E27FC236}">
              <a16:creationId xmlns:a16="http://schemas.microsoft.com/office/drawing/2014/main" id="{EE4C2617-80FF-C534-C118-6ABE09960AEE}"/>
            </a:ext>
          </a:extLst>
        </xdr:cNvPr>
        <xdr:cNvCxnSpPr/>
      </xdr:nvCxnSpPr>
      <xdr:spPr>
        <a:xfrm>
          <a:off x="2755106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10</xdr:row>
      <xdr:rowOff>203994</xdr:rowOff>
    </xdr:from>
    <xdr:to>
      <xdr:col>6</xdr:col>
      <xdr:colOff>237331</xdr:colOff>
      <xdr:row>11</xdr:row>
      <xdr:rowOff>203993</xdr:rowOff>
    </xdr:to>
    <xdr:cxnSp macro="">
      <xdr:nvCxnSpPr>
        <xdr:cNvPr id="1204" name="Match14">
          <a:extLst>
            <a:ext uri="{FF2B5EF4-FFF2-40B4-BE49-F238E27FC236}">
              <a16:creationId xmlns:a16="http://schemas.microsoft.com/office/drawing/2014/main" id="{50DA7A32-6D99-6310-0754-A599DC85A446}"/>
            </a:ext>
          </a:extLst>
        </xdr:cNvPr>
        <xdr:cNvCxnSpPr/>
      </xdr:nvCxnSpPr>
      <xdr:spPr>
        <a:xfrm flipH="1">
          <a:off x="2356644" y="37758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9</xdr:row>
      <xdr:rowOff>229393</xdr:rowOff>
    </xdr:from>
    <xdr:to>
      <xdr:col>7</xdr:col>
      <xdr:colOff>262731</xdr:colOff>
      <xdr:row>10</xdr:row>
      <xdr:rowOff>229394</xdr:rowOff>
    </xdr:to>
    <xdr:cxnSp macro="">
      <xdr:nvCxnSpPr>
        <xdr:cNvPr id="1205" name="Match15">
          <a:extLst>
            <a:ext uri="{FF2B5EF4-FFF2-40B4-BE49-F238E27FC236}">
              <a16:creationId xmlns:a16="http://schemas.microsoft.com/office/drawing/2014/main" id="{9E9C2629-C310-E3C8-A7E4-8F7CFE3E32CC}"/>
            </a:ext>
          </a:extLst>
        </xdr:cNvPr>
        <xdr:cNvCxnSpPr/>
      </xdr:nvCxnSpPr>
      <xdr:spPr>
        <a:xfrm flipV="1">
          <a:off x="2805906" y="3444081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11</xdr:row>
      <xdr:rowOff>178593</xdr:rowOff>
    </xdr:from>
    <xdr:to>
      <xdr:col>7</xdr:col>
      <xdr:colOff>211931</xdr:colOff>
      <xdr:row>11</xdr:row>
      <xdr:rowOff>178593</xdr:rowOff>
    </xdr:to>
    <xdr:cxnSp macro="">
      <xdr:nvCxnSpPr>
        <xdr:cNvPr id="1206" name="Match16">
          <a:extLst>
            <a:ext uri="{FF2B5EF4-FFF2-40B4-BE49-F238E27FC236}">
              <a16:creationId xmlns:a16="http://schemas.microsoft.com/office/drawing/2014/main" id="{131D3DC2-0DC5-1AA2-5805-859D2153523C}"/>
            </a:ext>
          </a:extLst>
        </xdr:cNvPr>
        <xdr:cNvCxnSpPr/>
      </xdr:nvCxnSpPr>
      <xdr:spPr>
        <a:xfrm flipH="1">
          <a:off x="2755106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2</xdr:col>
      <xdr:colOff>211931</xdr:colOff>
      <xdr:row>3</xdr:row>
      <xdr:rowOff>178593</xdr:rowOff>
    </xdr:to>
    <xdr:cxnSp macro="">
      <xdr:nvCxnSpPr>
        <xdr:cNvPr id="1207" name="Match17">
          <a:extLst>
            <a:ext uri="{FF2B5EF4-FFF2-40B4-BE49-F238E27FC236}">
              <a16:creationId xmlns:a16="http://schemas.microsoft.com/office/drawing/2014/main" id="{0E339A3F-3DE6-1BF0-F346-F161183C625E}"/>
            </a:ext>
          </a:extLst>
        </xdr:cNvPr>
        <xdr:cNvCxnSpPr/>
      </xdr:nvCxnSpPr>
      <xdr:spPr>
        <a:xfrm flipH="1">
          <a:off x="211931" y="1250156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8</xdr:row>
      <xdr:rowOff>178594</xdr:rowOff>
    </xdr:from>
    <xdr:to>
      <xdr:col>5</xdr:col>
      <xdr:colOff>211931</xdr:colOff>
      <xdr:row>8</xdr:row>
      <xdr:rowOff>178594</xdr:rowOff>
    </xdr:to>
    <xdr:cxnSp macro="">
      <xdr:nvCxnSpPr>
        <xdr:cNvPr id="1208" name="Match18">
          <a:extLst>
            <a:ext uri="{FF2B5EF4-FFF2-40B4-BE49-F238E27FC236}">
              <a16:creationId xmlns:a16="http://schemas.microsoft.com/office/drawing/2014/main" id="{1400C8B5-0A92-4B69-2EEA-54BA26465EA7}"/>
            </a:ext>
          </a:extLst>
        </xdr:cNvPr>
        <xdr:cNvCxnSpPr/>
      </xdr:nvCxnSpPr>
      <xdr:spPr>
        <a:xfrm>
          <a:off x="1483519" y="303609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0</xdr:row>
      <xdr:rowOff>178594</xdr:rowOff>
    </xdr:from>
    <xdr:to>
      <xdr:col>4</xdr:col>
      <xdr:colOff>211931</xdr:colOff>
      <xdr:row>0</xdr:row>
      <xdr:rowOff>178594</xdr:rowOff>
    </xdr:to>
    <xdr:cxnSp macro="">
      <xdr:nvCxnSpPr>
        <xdr:cNvPr id="1209" name="Match19">
          <a:extLst>
            <a:ext uri="{FF2B5EF4-FFF2-40B4-BE49-F238E27FC236}">
              <a16:creationId xmlns:a16="http://schemas.microsoft.com/office/drawing/2014/main" id="{5148FEB7-A52E-E2E7-007F-8F8947AA4616}"/>
            </a:ext>
          </a:extLst>
        </xdr:cNvPr>
        <xdr:cNvCxnSpPr/>
      </xdr:nvCxnSpPr>
      <xdr:spPr>
        <a:xfrm>
          <a:off x="1483519" y="1785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0</xdr:row>
      <xdr:rowOff>178594</xdr:rowOff>
    </xdr:from>
    <xdr:to>
      <xdr:col>4</xdr:col>
      <xdr:colOff>211931</xdr:colOff>
      <xdr:row>0</xdr:row>
      <xdr:rowOff>178594</xdr:rowOff>
    </xdr:to>
    <xdr:cxnSp macro="">
      <xdr:nvCxnSpPr>
        <xdr:cNvPr id="1210" name="Match20">
          <a:extLst>
            <a:ext uri="{FF2B5EF4-FFF2-40B4-BE49-F238E27FC236}">
              <a16:creationId xmlns:a16="http://schemas.microsoft.com/office/drawing/2014/main" id="{7CEFB60A-3FFC-FC28-25F6-C0B584DB8662}"/>
            </a:ext>
          </a:extLst>
        </xdr:cNvPr>
        <xdr:cNvCxnSpPr/>
      </xdr:nvCxnSpPr>
      <xdr:spPr>
        <a:xfrm flipH="1">
          <a:off x="1483519" y="1785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0</xdr:row>
      <xdr:rowOff>178594</xdr:rowOff>
    </xdr:from>
    <xdr:to>
      <xdr:col>7</xdr:col>
      <xdr:colOff>211931</xdr:colOff>
      <xdr:row>1</xdr:row>
      <xdr:rowOff>178593</xdr:rowOff>
    </xdr:to>
    <xdr:cxnSp macro="">
      <xdr:nvCxnSpPr>
        <xdr:cNvPr id="1211" name="Match21">
          <a:extLst>
            <a:ext uri="{FF2B5EF4-FFF2-40B4-BE49-F238E27FC236}">
              <a16:creationId xmlns:a16="http://schemas.microsoft.com/office/drawing/2014/main" id="{25046A4D-A349-61B2-B516-C228A418D574}"/>
            </a:ext>
          </a:extLst>
        </xdr:cNvPr>
        <xdr:cNvCxnSpPr/>
      </xdr:nvCxnSpPr>
      <xdr:spPr>
        <a:xfrm>
          <a:off x="275510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0</xdr:row>
      <xdr:rowOff>178594</xdr:rowOff>
    </xdr:from>
    <xdr:to>
      <xdr:col>9</xdr:col>
      <xdr:colOff>211931</xdr:colOff>
      <xdr:row>0</xdr:row>
      <xdr:rowOff>178594</xdr:rowOff>
    </xdr:to>
    <xdr:cxnSp macro="">
      <xdr:nvCxnSpPr>
        <xdr:cNvPr id="1212" name="Match22">
          <a:extLst>
            <a:ext uri="{FF2B5EF4-FFF2-40B4-BE49-F238E27FC236}">
              <a16:creationId xmlns:a16="http://schemas.microsoft.com/office/drawing/2014/main" id="{FEEAB219-BE14-F6DA-C7F1-F56683DA3CCA}"/>
            </a:ext>
          </a:extLst>
        </xdr:cNvPr>
        <xdr:cNvCxnSpPr/>
      </xdr:nvCxnSpPr>
      <xdr:spPr>
        <a:xfrm>
          <a:off x="3602831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0</xdr:row>
      <xdr:rowOff>203994</xdr:rowOff>
    </xdr:from>
    <xdr:to>
      <xdr:col>8</xdr:col>
      <xdr:colOff>237331</xdr:colOff>
      <xdr:row>1</xdr:row>
      <xdr:rowOff>203993</xdr:rowOff>
    </xdr:to>
    <xdr:cxnSp macro="">
      <xdr:nvCxnSpPr>
        <xdr:cNvPr id="1213" name="Match23">
          <a:extLst>
            <a:ext uri="{FF2B5EF4-FFF2-40B4-BE49-F238E27FC236}">
              <a16:creationId xmlns:a16="http://schemas.microsoft.com/office/drawing/2014/main" id="{A9C08902-A261-4A37-D9A0-47E23938E794}"/>
            </a:ext>
          </a:extLst>
        </xdr:cNvPr>
        <xdr:cNvCxnSpPr/>
      </xdr:nvCxnSpPr>
      <xdr:spPr>
        <a:xfrm flipH="1">
          <a:off x="3204369" y="2039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0</xdr:row>
      <xdr:rowOff>178594</xdr:rowOff>
    </xdr:from>
    <xdr:to>
      <xdr:col>9</xdr:col>
      <xdr:colOff>211931</xdr:colOff>
      <xdr:row>0</xdr:row>
      <xdr:rowOff>178594</xdr:rowOff>
    </xdr:to>
    <xdr:cxnSp macro="">
      <xdr:nvCxnSpPr>
        <xdr:cNvPr id="1214" name="Match24">
          <a:extLst>
            <a:ext uri="{FF2B5EF4-FFF2-40B4-BE49-F238E27FC236}">
              <a16:creationId xmlns:a16="http://schemas.microsoft.com/office/drawing/2014/main" id="{C1AD5581-9816-A17D-2873-8CD103F5646D}"/>
            </a:ext>
          </a:extLst>
        </xdr:cNvPr>
        <xdr:cNvCxnSpPr/>
      </xdr:nvCxnSpPr>
      <xdr:spPr>
        <a:xfrm flipH="1">
          <a:off x="3602831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0</xdr:row>
      <xdr:rowOff>178594</xdr:rowOff>
    </xdr:from>
    <xdr:to>
      <xdr:col>7</xdr:col>
      <xdr:colOff>211931</xdr:colOff>
      <xdr:row>1</xdr:row>
      <xdr:rowOff>178593</xdr:rowOff>
    </xdr:to>
    <xdr:cxnSp macro="">
      <xdr:nvCxnSpPr>
        <xdr:cNvPr id="1215" name="Match25">
          <a:extLst>
            <a:ext uri="{FF2B5EF4-FFF2-40B4-BE49-F238E27FC236}">
              <a16:creationId xmlns:a16="http://schemas.microsoft.com/office/drawing/2014/main" id="{91F3058D-B23D-6125-6814-4087C65E6E0B}"/>
            </a:ext>
          </a:extLst>
        </xdr:cNvPr>
        <xdr:cNvCxnSpPr/>
      </xdr:nvCxnSpPr>
      <xdr:spPr>
        <a:xfrm flipH="1" flipV="1">
          <a:off x="275510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0</xdr:row>
      <xdr:rowOff>203994</xdr:rowOff>
    </xdr:from>
    <xdr:to>
      <xdr:col>8</xdr:col>
      <xdr:colOff>237331</xdr:colOff>
      <xdr:row>1</xdr:row>
      <xdr:rowOff>203993</xdr:rowOff>
    </xdr:to>
    <xdr:cxnSp macro="">
      <xdr:nvCxnSpPr>
        <xdr:cNvPr id="1216" name="Match26">
          <a:extLst>
            <a:ext uri="{FF2B5EF4-FFF2-40B4-BE49-F238E27FC236}">
              <a16:creationId xmlns:a16="http://schemas.microsoft.com/office/drawing/2014/main" id="{3034FC73-8E62-7F38-24B2-13069C1CB135}"/>
            </a:ext>
          </a:extLst>
        </xdr:cNvPr>
        <xdr:cNvCxnSpPr/>
      </xdr:nvCxnSpPr>
      <xdr:spPr>
        <a:xfrm flipV="1">
          <a:off x="3204369" y="2039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2</xdr:col>
      <xdr:colOff>211931</xdr:colOff>
      <xdr:row>3</xdr:row>
      <xdr:rowOff>178593</xdr:rowOff>
    </xdr:to>
    <xdr:cxnSp macro="">
      <xdr:nvCxnSpPr>
        <xdr:cNvPr id="1217" name="Match27">
          <a:extLst>
            <a:ext uri="{FF2B5EF4-FFF2-40B4-BE49-F238E27FC236}">
              <a16:creationId xmlns:a16="http://schemas.microsoft.com/office/drawing/2014/main" id="{D56AFADD-07EC-B83C-FBDC-B8779A2F5597}"/>
            </a:ext>
          </a:extLst>
        </xdr:cNvPr>
        <xdr:cNvCxnSpPr/>
      </xdr:nvCxnSpPr>
      <xdr:spPr>
        <a:xfrm>
          <a:off x="635794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2</xdr:row>
      <xdr:rowOff>203994</xdr:rowOff>
    </xdr:from>
    <xdr:to>
      <xdr:col>2</xdr:col>
      <xdr:colOff>237331</xdr:colOff>
      <xdr:row>3</xdr:row>
      <xdr:rowOff>203993</xdr:rowOff>
    </xdr:to>
    <xdr:cxnSp macro="">
      <xdr:nvCxnSpPr>
        <xdr:cNvPr id="1218" name="Match28">
          <a:extLst>
            <a:ext uri="{FF2B5EF4-FFF2-40B4-BE49-F238E27FC236}">
              <a16:creationId xmlns:a16="http://schemas.microsoft.com/office/drawing/2014/main" id="{A967B7F7-8FCB-6FE1-0854-0F83B5E4A555}"/>
            </a:ext>
          </a:extLst>
        </xdr:cNvPr>
        <xdr:cNvCxnSpPr/>
      </xdr:nvCxnSpPr>
      <xdr:spPr>
        <a:xfrm flipH="1" flipV="1">
          <a:off x="661194" y="9183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5</xdr:row>
      <xdr:rowOff>178593</xdr:rowOff>
    </xdr:from>
    <xdr:to>
      <xdr:col>1</xdr:col>
      <xdr:colOff>211931</xdr:colOff>
      <xdr:row>6</xdr:row>
      <xdr:rowOff>178594</xdr:rowOff>
    </xdr:to>
    <xdr:cxnSp macro="">
      <xdr:nvCxnSpPr>
        <xdr:cNvPr id="1219" name="Match29">
          <a:extLst>
            <a:ext uri="{FF2B5EF4-FFF2-40B4-BE49-F238E27FC236}">
              <a16:creationId xmlns:a16="http://schemas.microsoft.com/office/drawing/2014/main" id="{C39790AE-C561-314A-B3C7-D76E4EB09185}"/>
            </a:ext>
          </a:extLst>
        </xdr:cNvPr>
        <xdr:cNvCxnSpPr/>
      </xdr:nvCxnSpPr>
      <xdr:spPr>
        <a:xfrm>
          <a:off x="635794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5</xdr:row>
      <xdr:rowOff>203993</xdr:rowOff>
    </xdr:from>
    <xdr:to>
      <xdr:col>1</xdr:col>
      <xdr:colOff>237331</xdr:colOff>
      <xdr:row>6</xdr:row>
      <xdr:rowOff>203994</xdr:rowOff>
    </xdr:to>
    <xdr:cxnSp macro="">
      <xdr:nvCxnSpPr>
        <xdr:cNvPr id="1220" name="Match30">
          <a:extLst>
            <a:ext uri="{FF2B5EF4-FFF2-40B4-BE49-F238E27FC236}">
              <a16:creationId xmlns:a16="http://schemas.microsoft.com/office/drawing/2014/main" id="{6C595DFB-AD69-2B71-0CD2-6442E978FC73}"/>
            </a:ext>
          </a:extLst>
        </xdr:cNvPr>
        <xdr:cNvCxnSpPr/>
      </xdr:nvCxnSpPr>
      <xdr:spPr>
        <a:xfrm flipH="1">
          <a:off x="237331" y="198993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5</xdr:row>
      <xdr:rowOff>178593</xdr:rowOff>
    </xdr:from>
    <xdr:to>
      <xdr:col>6</xdr:col>
      <xdr:colOff>211931</xdr:colOff>
      <xdr:row>6</xdr:row>
      <xdr:rowOff>178594</xdr:rowOff>
    </xdr:to>
    <xdr:cxnSp macro="">
      <xdr:nvCxnSpPr>
        <xdr:cNvPr id="1221" name="Match31">
          <a:extLst>
            <a:ext uri="{FF2B5EF4-FFF2-40B4-BE49-F238E27FC236}">
              <a16:creationId xmlns:a16="http://schemas.microsoft.com/office/drawing/2014/main" id="{0C1437DF-CF22-572C-B80D-BED4FB4A846C}"/>
            </a:ext>
          </a:extLst>
        </xdr:cNvPr>
        <xdr:cNvCxnSpPr/>
      </xdr:nvCxnSpPr>
      <xdr:spPr>
        <a:xfrm flipH="1">
          <a:off x="2331244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1</xdr:col>
      <xdr:colOff>211931</xdr:colOff>
      <xdr:row>6</xdr:row>
      <xdr:rowOff>178594</xdr:rowOff>
    </xdr:to>
    <xdr:cxnSp macro="">
      <xdr:nvCxnSpPr>
        <xdr:cNvPr id="1222" name="Match32">
          <a:extLst>
            <a:ext uri="{FF2B5EF4-FFF2-40B4-BE49-F238E27FC236}">
              <a16:creationId xmlns:a16="http://schemas.microsoft.com/office/drawing/2014/main" id="{49CE4F32-727E-1C02-D14A-8A943AEA9AD4}"/>
            </a:ext>
          </a:extLst>
        </xdr:cNvPr>
        <xdr:cNvCxnSpPr/>
      </xdr:nvCxnSpPr>
      <xdr:spPr>
        <a:xfrm>
          <a:off x="211931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5</xdr:row>
      <xdr:rowOff>203993</xdr:rowOff>
    </xdr:from>
    <xdr:to>
      <xdr:col>1</xdr:col>
      <xdr:colOff>237331</xdr:colOff>
      <xdr:row>6</xdr:row>
      <xdr:rowOff>203994</xdr:rowOff>
    </xdr:to>
    <xdr:cxnSp macro="">
      <xdr:nvCxnSpPr>
        <xdr:cNvPr id="1223" name="Match33">
          <a:extLst>
            <a:ext uri="{FF2B5EF4-FFF2-40B4-BE49-F238E27FC236}">
              <a16:creationId xmlns:a16="http://schemas.microsoft.com/office/drawing/2014/main" id="{33CF4FBB-46D8-4CE5-415E-B15EDE2D0969}"/>
            </a:ext>
          </a:extLst>
        </xdr:cNvPr>
        <xdr:cNvCxnSpPr/>
      </xdr:nvCxnSpPr>
      <xdr:spPr>
        <a:xfrm flipV="1">
          <a:off x="237331" y="198993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1</xdr:col>
      <xdr:colOff>211931</xdr:colOff>
      <xdr:row>6</xdr:row>
      <xdr:rowOff>178594</xdr:rowOff>
    </xdr:to>
    <xdr:cxnSp macro="">
      <xdr:nvCxnSpPr>
        <xdr:cNvPr id="1224" name="Match34">
          <a:extLst>
            <a:ext uri="{FF2B5EF4-FFF2-40B4-BE49-F238E27FC236}">
              <a16:creationId xmlns:a16="http://schemas.microsoft.com/office/drawing/2014/main" id="{E468BDFC-059C-9F9B-BF05-463BDF25DD78}"/>
            </a:ext>
          </a:extLst>
        </xdr:cNvPr>
        <xdr:cNvCxnSpPr/>
      </xdr:nvCxnSpPr>
      <xdr:spPr>
        <a:xfrm flipH="1">
          <a:off x="211931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5</xdr:row>
      <xdr:rowOff>203993</xdr:rowOff>
    </xdr:from>
    <xdr:to>
      <xdr:col>1</xdr:col>
      <xdr:colOff>237331</xdr:colOff>
      <xdr:row>6</xdr:row>
      <xdr:rowOff>203994</xdr:rowOff>
    </xdr:to>
    <xdr:cxnSp macro="">
      <xdr:nvCxnSpPr>
        <xdr:cNvPr id="1225" name="Match35">
          <a:extLst>
            <a:ext uri="{FF2B5EF4-FFF2-40B4-BE49-F238E27FC236}">
              <a16:creationId xmlns:a16="http://schemas.microsoft.com/office/drawing/2014/main" id="{2C60D232-1826-ED0C-141B-104884A200FC}"/>
            </a:ext>
          </a:extLst>
        </xdr:cNvPr>
        <xdr:cNvCxnSpPr/>
      </xdr:nvCxnSpPr>
      <xdr:spPr>
        <a:xfrm flipV="1">
          <a:off x="661194" y="198993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5</xdr:row>
      <xdr:rowOff>178593</xdr:rowOff>
    </xdr:from>
    <xdr:to>
      <xdr:col>6</xdr:col>
      <xdr:colOff>211931</xdr:colOff>
      <xdr:row>6</xdr:row>
      <xdr:rowOff>178594</xdr:rowOff>
    </xdr:to>
    <xdr:cxnSp macro="">
      <xdr:nvCxnSpPr>
        <xdr:cNvPr id="1226" name="Match36">
          <a:extLst>
            <a:ext uri="{FF2B5EF4-FFF2-40B4-BE49-F238E27FC236}">
              <a16:creationId xmlns:a16="http://schemas.microsoft.com/office/drawing/2014/main" id="{E39E3EEF-C797-BD2B-503F-0E08A14B87EB}"/>
            </a:ext>
          </a:extLst>
        </xdr:cNvPr>
        <xdr:cNvCxnSpPr/>
      </xdr:nvCxnSpPr>
      <xdr:spPr>
        <a:xfrm flipV="1">
          <a:off x="2331244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8</xdr:row>
      <xdr:rowOff>178594</xdr:rowOff>
    </xdr:from>
    <xdr:to>
      <xdr:col>3</xdr:col>
      <xdr:colOff>211931</xdr:colOff>
      <xdr:row>8</xdr:row>
      <xdr:rowOff>178594</xdr:rowOff>
    </xdr:to>
    <xdr:cxnSp macro="">
      <xdr:nvCxnSpPr>
        <xdr:cNvPr id="1227" name="Match37">
          <a:extLst>
            <a:ext uri="{FF2B5EF4-FFF2-40B4-BE49-F238E27FC236}">
              <a16:creationId xmlns:a16="http://schemas.microsoft.com/office/drawing/2014/main" id="{3E2E3F66-B678-7CE5-E0B9-2D3166D198C9}"/>
            </a:ext>
          </a:extLst>
        </xdr:cNvPr>
        <xdr:cNvCxnSpPr/>
      </xdr:nvCxnSpPr>
      <xdr:spPr>
        <a:xfrm>
          <a:off x="1059656" y="30360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8</xdr:row>
      <xdr:rowOff>203994</xdr:rowOff>
    </xdr:from>
    <xdr:to>
      <xdr:col>3</xdr:col>
      <xdr:colOff>237331</xdr:colOff>
      <xdr:row>8</xdr:row>
      <xdr:rowOff>203994</xdr:rowOff>
    </xdr:to>
    <xdr:cxnSp macro="">
      <xdr:nvCxnSpPr>
        <xdr:cNvPr id="1228" name="Match38">
          <a:extLst>
            <a:ext uri="{FF2B5EF4-FFF2-40B4-BE49-F238E27FC236}">
              <a16:creationId xmlns:a16="http://schemas.microsoft.com/office/drawing/2014/main" id="{F74D6E09-8E42-E7F3-0D69-923972DA3294}"/>
            </a:ext>
          </a:extLst>
        </xdr:cNvPr>
        <xdr:cNvCxnSpPr/>
      </xdr:nvCxnSpPr>
      <xdr:spPr>
        <a:xfrm flipH="1">
          <a:off x="1085056" y="3061494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5</xdr:row>
      <xdr:rowOff>178593</xdr:rowOff>
    </xdr:from>
    <xdr:to>
      <xdr:col>9</xdr:col>
      <xdr:colOff>211931</xdr:colOff>
      <xdr:row>11</xdr:row>
      <xdr:rowOff>178593</xdr:rowOff>
    </xdr:to>
    <xdr:cxnSp macro="">
      <xdr:nvCxnSpPr>
        <xdr:cNvPr id="1229" name="Match39">
          <a:extLst>
            <a:ext uri="{FF2B5EF4-FFF2-40B4-BE49-F238E27FC236}">
              <a16:creationId xmlns:a16="http://schemas.microsoft.com/office/drawing/2014/main" id="{CFBA8CD3-C160-5E20-FFAC-910C6BC78CDB}"/>
            </a:ext>
          </a:extLst>
        </xdr:cNvPr>
        <xdr:cNvCxnSpPr/>
      </xdr:nvCxnSpPr>
      <xdr:spPr>
        <a:xfrm flipH="1">
          <a:off x="1483519" y="1964531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6</xdr:row>
      <xdr:rowOff>178594</xdr:rowOff>
    </xdr:from>
    <xdr:to>
      <xdr:col>4</xdr:col>
      <xdr:colOff>211931</xdr:colOff>
      <xdr:row>9</xdr:row>
      <xdr:rowOff>178593</xdr:rowOff>
    </xdr:to>
    <xdr:cxnSp macro="">
      <xdr:nvCxnSpPr>
        <xdr:cNvPr id="1230" name="Match40">
          <a:extLst>
            <a:ext uri="{FF2B5EF4-FFF2-40B4-BE49-F238E27FC236}">
              <a16:creationId xmlns:a16="http://schemas.microsoft.com/office/drawing/2014/main" id="{2329ADEF-7670-9016-BE51-B3AC9B813333}"/>
            </a:ext>
          </a:extLst>
        </xdr:cNvPr>
        <xdr:cNvCxnSpPr/>
      </xdr:nvCxnSpPr>
      <xdr:spPr>
        <a:xfrm flipV="1">
          <a:off x="635794" y="2321719"/>
          <a:ext cx="1271587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</xdr:row>
      <xdr:rowOff>178593</xdr:rowOff>
    </xdr:from>
    <xdr:to>
      <xdr:col>3</xdr:col>
      <xdr:colOff>211931</xdr:colOff>
      <xdr:row>2</xdr:row>
      <xdr:rowOff>178594</xdr:rowOff>
    </xdr:to>
    <xdr:cxnSp macro="">
      <xdr:nvCxnSpPr>
        <xdr:cNvPr id="1231" name="Match41">
          <a:extLst>
            <a:ext uri="{FF2B5EF4-FFF2-40B4-BE49-F238E27FC236}">
              <a16:creationId xmlns:a16="http://schemas.microsoft.com/office/drawing/2014/main" id="{E9EB65D8-8DEF-8F77-0F2A-CBB46C5CBE8F}"/>
            </a:ext>
          </a:extLst>
        </xdr:cNvPr>
        <xdr:cNvCxnSpPr/>
      </xdr:nvCxnSpPr>
      <xdr:spPr>
        <a:xfrm>
          <a:off x="1483519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2</xdr:row>
      <xdr:rowOff>178594</xdr:rowOff>
    </xdr:from>
    <xdr:to>
      <xdr:col>3</xdr:col>
      <xdr:colOff>211931</xdr:colOff>
      <xdr:row>3</xdr:row>
      <xdr:rowOff>178593</xdr:rowOff>
    </xdr:to>
    <xdr:cxnSp macro="">
      <xdr:nvCxnSpPr>
        <xdr:cNvPr id="1232" name="Match42">
          <a:extLst>
            <a:ext uri="{FF2B5EF4-FFF2-40B4-BE49-F238E27FC236}">
              <a16:creationId xmlns:a16="http://schemas.microsoft.com/office/drawing/2014/main" id="{A66B9447-5098-F179-C1E0-FEFE958CB296}"/>
            </a:ext>
          </a:extLst>
        </xdr:cNvPr>
        <xdr:cNvCxnSpPr/>
      </xdr:nvCxnSpPr>
      <xdr:spPr>
        <a:xfrm>
          <a:off x="1483519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1</xdr:row>
      <xdr:rowOff>203993</xdr:rowOff>
    </xdr:from>
    <xdr:to>
      <xdr:col>3</xdr:col>
      <xdr:colOff>237331</xdr:colOff>
      <xdr:row>2</xdr:row>
      <xdr:rowOff>203994</xdr:rowOff>
    </xdr:to>
    <xdr:cxnSp macro="">
      <xdr:nvCxnSpPr>
        <xdr:cNvPr id="1233" name="Match43">
          <a:extLst>
            <a:ext uri="{FF2B5EF4-FFF2-40B4-BE49-F238E27FC236}">
              <a16:creationId xmlns:a16="http://schemas.microsoft.com/office/drawing/2014/main" id="{DDD6D147-D863-1D1D-8941-4CC37836358D}"/>
            </a:ext>
          </a:extLst>
        </xdr:cNvPr>
        <xdr:cNvCxnSpPr/>
      </xdr:nvCxnSpPr>
      <xdr:spPr>
        <a:xfrm flipV="1">
          <a:off x="1508919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6</xdr:col>
      <xdr:colOff>211931</xdr:colOff>
      <xdr:row>3</xdr:row>
      <xdr:rowOff>178593</xdr:rowOff>
    </xdr:to>
    <xdr:cxnSp macro="">
      <xdr:nvCxnSpPr>
        <xdr:cNvPr id="1234" name="Match44">
          <a:extLst>
            <a:ext uri="{FF2B5EF4-FFF2-40B4-BE49-F238E27FC236}">
              <a16:creationId xmlns:a16="http://schemas.microsoft.com/office/drawing/2014/main" id="{89CDA110-AB91-AB1A-0A1F-DF30A1FC9AAE}"/>
            </a:ext>
          </a:extLst>
        </xdr:cNvPr>
        <xdr:cNvCxnSpPr/>
      </xdr:nvCxnSpPr>
      <xdr:spPr>
        <a:xfrm flipH="1">
          <a:off x="2331244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2</xdr:row>
      <xdr:rowOff>178594</xdr:rowOff>
    </xdr:from>
    <xdr:to>
      <xdr:col>3</xdr:col>
      <xdr:colOff>211931</xdr:colOff>
      <xdr:row>3</xdr:row>
      <xdr:rowOff>178593</xdr:rowOff>
    </xdr:to>
    <xdr:cxnSp macro="">
      <xdr:nvCxnSpPr>
        <xdr:cNvPr id="1235" name="Match45">
          <a:extLst>
            <a:ext uri="{FF2B5EF4-FFF2-40B4-BE49-F238E27FC236}">
              <a16:creationId xmlns:a16="http://schemas.microsoft.com/office/drawing/2014/main" id="{A4AD159B-DF4A-A550-7784-027A1958868E}"/>
            </a:ext>
          </a:extLst>
        </xdr:cNvPr>
        <xdr:cNvCxnSpPr/>
      </xdr:nvCxnSpPr>
      <xdr:spPr>
        <a:xfrm flipV="1">
          <a:off x="1483519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6</xdr:col>
      <xdr:colOff>211931</xdr:colOff>
      <xdr:row>3</xdr:row>
      <xdr:rowOff>178593</xdr:rowOff>
    </xdr:to>
    <xdr:cxnSp macro="">
      <xdr:nvCxnSpPr>
        <xdr:cNvPr id="1236" name="Match46">
          <a:extLst>
            <a:ext uri="{FF2B5EF4-FFF2-40B4-BE49-F238E27FC236}">
              <a16:creationId xmlns:a16="http://schemas.microsoft.com/office/drawing/2014/main" id="{6EC5189B-3A99-30B2-89B6-4D2F19FA34F2}"/>
            </a:ext>
          </a:extLst>
        </xdr:cNvPr>
        <xdr:cNvCxnSpPr/>
      </xdr:nvCxnSpPr>
      <xdr:spPr>
        <a:xfrm flipV="1">
          <a:off x="2331244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6</xdr:row>
      <xdr:rowOff>178594</xdr:rowOff>
    </xdr:from>
    <xdr:to>
      <xdr:col>3</xdr:col>
      <xdr:colOff>211931</xdr:colOff>
      <xdr:row>7</xdr:row>
      <xdr:rowOff>178593</xdr:rowOff>
    </xdr:to>
    <xdr:cxnSp macro="">
      <xdr:nvCxnSpPr>
        <xdr:cNvPr id="1237" name="Match47">
          <a:extLst>
            <a:ext uri="{FF2B5EF4-FFF2-40B4-BE49-F238E27FC236}">
              <a16:creationId xmlns:a16="http://schemas.microsoft.com/office/drawing/2014/main" id="{939F3C6E-D7F7-CA58-F3AE-7D92D8C9C6A9}"/>
            </a:ext>
          </a:extLst>
        </xdr:cNvPr>
        <xdr:cNvCxnSpPr/>
      </xdr:nvCxnSpPr>
      <xdr:spPr>
        <a:xfrm>
          <a:off x="1483519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6</xdr:row>
      <xdr:rowOff>178594</xdr:rowOff>
    </xdr:from>
    <xdr:to>
      <xdr:col>3</xdr:col>
      <xdr:colOff>211931</xdr:colOff>
      <xdr:row>7</xdr:row>
      <xdr:rowOff>178593</xdr:rowOff>
    </xdr:to>
    <xdr:cxnSp macro="">
      <xdr:nvCxnSpPr>
        <xdr:cNvPr id="1238" name="Match48">
          <a:extLst>
            <a:ext uri="{FF2B5EF4-FFF2-40B4-BE49-F238E27FC236}">
              <a16:creationId xmlns:a16="http://schemas.microsoft.com/office/drawing/2014/main" id="{5908DB95-0A95-937B-010A-519D6C1A5571}"/>
            </a:ext>
          </a:extLst>
        </xdr:cNvPr>
        <xdr:cNvCxnSpPr/>
      </xdr:nvCxnSpPr>
      <xdr:spPr>
        <a:xfrm flipV="1">
          <a:off x="1483519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7</xdr:row>
      <xdr:rowOff>178593</xdr:rowOff>
    </xdr:from>
    <xdr:to>
      <xdr:col>6</xdr:col>
      <xdr:colOff>211931</xdr:colOff>
      <xdr:row>8</xdr:row>
      <xdr:rowOff>178594</xdr:rowOff>
    </xdr:to>
    <xdr:cxnSp macro="">
      <xdr:nvCxnSpPr>
        <xdr:cNvPr id="1239" name="Match49">
          <a:extLst>
            <a:ext uri="{FF2B5EF4-FFF2-40B4-BE49-F238E27FC236}">
              <a16:creationId xmlns:a16="http://schemas.microsoft.com/office/drawing/2014/main" id="{5348C2F0-AE16-A2F7-509A-EBE24FD71650}"/>
            </a:ext>
          </a:extLst>
        </xdr:cNvPr>
        <xdr:cNvCxnSpPr/>
      </xdr:nvCxnSpPr>
      <xdr:spPr>
        <a:xfrm>
          <a:off x="2331244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7</xdr:row>
      <xdr:rowOff>178593</xdr:rowOff>
    </xdr:from>
    <xdr:to>
      <xdr:col>9</xdr:col>
      <xdr:colOff>211931</xdr:colOff>
      <xdr:row>8</xdr:row>
      <xdr:rowOff>178594</xdr:rowOff>
    </xdr:to>
    <xdr:cxnSp macro="">
      <xdr:nvCxnSpPr>
        <xdr:cNvPr id="1240" name="Match50">
          <a:extLst>
            <a:ext uri="{FF2B5EF4-FFF2-40B4-BE49-F238E27FC236}">
              <a16:creationId xmlns:a16="http://schemas.microsoft.com/office/drawing/2014/main" id="{654F88E8-0DCC-8133-3E36-2DAE3B889738}"/>
            </a:ext>
          </a:extLst>
        </xdr:cNvPr>
        <xdr:cNvCxnSpPr/>
      </xdr:nvCxnSpPr>
      <xdr:spPr>
        <a:xfrm flipH="1">
          <a:off x="3602831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7</xdr:row>
      <xdr:rowOff>178593</xdr:rowOff>
    </xdr:from>
    <xdr:to>
      <xdr:col>6</xdr:col>
      <xdr:colOff>211931</xdr:colOff>
      <xdr:row>8</xdr:row>
      <xdr:rowOff>178594</xdr:rowOff>
    </xdr:to>
    <xdr:cxnSp macro="">
      <xdr:nvCxnSpPr>
        <xdr:cNvPr id="1241" name="Match51">
          <a:extLst>
            <a:ext uri="{FF2B5EF4-FFF2-40B4-BE49-F238E27FC236}">
              <a16:creationId xmlns:a16="http://schemas.microsoft.com/office/drawing/2014/main" id="{D360776F-A2BF-DA3F-FD62-7E7E716E14F8}"/>
            </a:ext>
          </a:extLst>
        </xdr:cNvPr>
        <xdr:cNvCxnSpPr/>
      </xdr:nvCxnSpPr>
      <xdr:spPr>
        <a:xfrm flipH="1" flipV="1">
          <a:off x="2331244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7</xdr:row>
      <xdr:rowOff>178593</xdr:rowOff>
    </xdr:from>
    <xdr:to>
      <xdr:col>9</xdr:col>
      <xdr:colOff>211931</xdr:colOff>
      <xdr:row>8</xdr:row>
      <xdr:rowOff>178594</xdr:rowOff>
    </xdr:to>
    <xdr:cxnSp macro="">
      <xdr:nvCxnSpPr>
        <xdr:cNvPr id="1242" name="Match52">
          <a:extLst>
            <a:ext uri="{FF2B5EF4-FFF2-40B4-BE49-F238E27FC236}">
              <a16:creationId xmlns:a16="http://schemas.microsoft.com/office/drawing/2014/main" id="{EFCC0F6A-5D80-0E87-73BF-1E8774DEE75D}"/>
            </a:ext>
          </a:extLst>
        </xdr:cNvPr>
        <xdr:cNvCxnSpPr/>
      </xdr:nvCxnSpPr>
      <xdr:spPr>
        <a:xfrm flipV="1">
          <a:off x="3602831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6</xdr:row>
      <xdr:rowOff>178594</xdr:rowOff>
    </xdr:from>
    <xdr:to>
      <xdr:col>6</xdr:col>
      <xdr:colOff>211931</xdr:colOff>
      <xdr:row>11</xdr:row>
      <xdr:rowOff>178593</xdr:rowOff>
    </xdr:to>
    <xdr:cxnSp macro="">
      <xdr:nvCxnSpPr>
        <xdr:cNvPr id="1243" name="Match53">
          <a:extLst>
            <a:ext uri="{FF2B5EF4-FFF2-40B4-BE49-F238E27FC236}">
              <a16:creationId xmlns:a16="http://schemas.microsoft.com/office/drawing/2014/main" id="{2D196B14-55F5-21A6-84F1-709EBBD8FCC3}"/>
            </a:ext>
          </a:extLst>
        </xdr:cNvPr>
        <xdr:cNvCxnSpPr/>
      </xdr:nvCxnSpPr>
      <xdr:spPr>
        <a:xfrm flipH="1">
          <a:off x="635794" y="2321719"/>
          <a:ext cx="2119312" cy="178593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7</xdr:row>
      <xdr:rowOff>178593</xdr:rowOff>
    </xdr:from>
    <xdr:to>
      <xdr:col>4</xdr:col>
      <xdr:colOff>211931</xdr:colOff>
      <xdr:row>11</xdr:row>
      <xdr:rowOff>178593</xdr:rowOff>
    </xdr:to>
    <xdr:cxnSp macro="">
      <xdr:nvCxnSpPr>
        <xdr:cNvPr id="1244" name="Match54">
          <a:extLst>
            <a:ext uri="{FF2B5EF4-FFF2-40B4-BE49-F238E27FC236}">
              <a16:creationId xmlns:a16="http://schemas.microsoft.com/office/drawing/2014/main" id="{6F6AC27A-7B73-AB43-F578-D2C83041EA5A}"/>
            </a:ext>
          </a:extLst>
        </xdr:cNvPr>
        <xdr:cNvCxnSpPr/>
      </xdr:nvCxnSpPr>
      <xdr:spPr>
        <a:xfrm>
          <a:off x="211931" y="2678906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4</xdr:row>
      <xdr:rowOff>178594</xdr:rowOff>
    </xdr:from>
    <xdr:to>
      <xdr:col>6</xdr:col>
      <xdr:colOff>211931</xdr:colOff>
      <xdr:row>4</xdr:row>
      <xdr:rowOff>178594</xdr:rowOff>
    </xdr:to>
    <xdr:cxnSp macro="">
      <xdr:nvCxnSpPr>
        <xdr:cNvPr id="1245" name="Match55">
          <a:extLst>
            <a:ext uri="{FF2B5EF4-FFF2-40B4-BE49-F238E27FC236}">
              <a16:creationId xmlns:a16="http://schemas.microsoft.com/office/drawing/2014/main" id="{19A96B35-959A-5DC4-4AC5-0D4A0C7050CA}"/>
            </a:ext>
          </a:extLst>
        </xdr:cNvPr>
        <xdr:cNvCxnSpPr/>
      </xdr:nvCxnSpPr>
      <xdr:spPr>
        <a:xfrm flipH="1">
          <a:off x="1907381" y="160734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4</xdr:row>
      <xdr:rowOff>178594</xdr:rowOff>
    </xdr:from>
    <xdr:to>
      <xdr:col>10</xdr:col>
      <xdr:colOff>211931</xdr:colOff>
      <xdr:row>6</xdr:row>
      <xdr:rowOff>178594</xdr:rowOff>
    </xdr:to>
    <xdr:cxnSp macro="">
      <xdr:nvCxnSpPr>
        <xdr:cNvPr id="1246" name="Match56">
          <a:extLst>
            <a:ext uri="{FF2B5EF4-FFF2-40B4-BE49-F238E27FC236}">
              <a16:creationId xmlns:a16="http://schemas.microsoft.com/office/drawing/2014/main" id="{0024CB66-9A55-E473-CD3D-D5490A99040C}"/>
            </a:ext>
          </a:extLst>
        </xdr:cNvPr>
        <xdr:cNvCxnSpPr/>
      </xdr:nvCxnSpPr>
      <xdr:spPr>
        <a:xfrm flipH="1">
          <a:off x="3602831" y="160734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2</xdr:col>
      <xdr:colOff>211931</xdr:colOff>
      <xdr:row>2</xdr:row>
      <xdr:rowOff>178594</xdr:rowOff>
    </xdr:to>
    <xdr:cxnSp macro="">
      <xdr:nvCxnSpPr>
        <xdr:cNvPr id="1247" name="Match57">
          <a:extLst>
            <a:ext uri="{FF2B5EF4-FFF2-40B4-BE49-F238E27FC236}">
              <a16:creationId xmlns:a16="http://schemas.microsoft.com/office/drawing/2014/main" id="{B44447A0-107F-A57E-34CA-1DCF6681BC66}"/>
            </a:ext>
          </a:extLst>
        </xdr:cNvPr>
        <xdr:cNvCxnSpPr/>
      </xdr:nvCxnSpPr>
      <xdr:spPr>
        <a:xfrm flipH="1">
          <a:off x="211931" y="892969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4</xdr:row>
      <xdr:rowOff>178594</xdr:rowOff>
    </xdr:from>
    <xdr:to>
      <xdr:col>9</xdr:col>
      <xdr:colOff>211931</xdr:colOff>
      <xdr:row>6</xdr:row>
      <xdr:rowOff>178594</xdr:rowOff>
    </xdr:to>
    <xdr:cxnSp macro="">
      <xdr:nvCxnSpPr>
        <xdr:cNvPr id="1248" name="Match58">
          <a:extLst>
            <a:ext uri="{FF2B5EF4-FFF2-40B4-BE49-F238E27FC236}">
              <a16:creationId xmlns:a16="http://schemas.microsoft.com/office/drawing/2014/main" id="{B7B0F751-4D55-9F93-2F30-A95CAD84520C}"/>
            </a:ext>
          </a:extLst>
        </xdr:cNvPr>
        <xdr:cNvCxnSpPr/>
      </xdr:nvCxnSpPr>
      <xdr:spPr>
        <a:xfrm>
          <a:off x="3178969" y="160734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</xdr:row>
      <xdr:rowOff>178593</xdr:rowOff>
    </xdr:from>
    <xdr:to>
      <xdr:col>0</xdr:col>
      <xdr:colOff>211931</xdr:colOff>
      <xdr:row>2</xdr:row>
      <xdr:rowOff>178594</xdr:rowOff>
    </xdr:to>
    <xdr:cxnSp macro="">
      <xdr:nvCxnSpPr>
        <xdr:cNvPr id="1249" name="Match59">
          <a:extLst>
            <a:ext uri="{FF2B5EF4-FFF2-40B4-BE49-F238E27FC236}">
              <a16:creationId xmlns:a16="http://schemas.microsoft.com/office/drawing/2014/main" id="{45EF8D16-5D7A-DBAB-5B71-96D876BDB38F}"/>
            </a:ext>
          </a:extLst>
        </xdr:cNvPr>
        <xdr:cNvCxnSpPr/>
      </xdr:nvCxnSpPr>
      <xdr:spPr>
        <a:xfrm>
          <a:off x="211931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1</xdr:col>
      <xdr:colOff>211931</xdr:colOff>
      <xdr:row>3</xdr:row>
      <xdr:rowOff>178593</xdr:rowOff>
    </xdr:to>
    <xdr:cxnSp macro="">
      <xdr:nvCxnSpPr>
        <xdr:cNvPr id="1250" name="Match60">
          <a:extLst>
            <a:ext uri="{FF2B5EF4-FFF2-40B4-BE49-F238E27FC236}">
              <a16:creationId xmlns:a16="http://schemas.microsoft.com/office/drawing/2014/main" id="{DDFBD42B-8A47-E194-1B81-19D001D4817A}"/>
            </a:ext>
          </a:extLst>
        </xdr:cNvPr>
        <xdr:cNvCxnSpPr/>
      </xdr:nvCxnSpPr>
      <xdr:spPr>
        <a:xfrm>
          <a:off x="211931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1</xdr:row>
      <xdr:rowOff>203993</xdr:rowOff>
    </xdr:from>
    <xdr:to>
      <xdr:col>0</xdr:col>
      <xdr:colOff>237331</xdr:colOff>
      <xdr:row>2</xdr:row>
      <xdr:rowOff>203994</xdr:rowOff>
    </xdr:to>
    <xdr:cxnSp macro="">
      <xdr:nvCxnSpPr>
        <xdr:cNvPr id="1251" name="Match61">
          <a:extLst>
            <a:ext uri="{FF2B5EF4-FFF2-40B4-BE49-F238E27FC236}">
              <a16:creationId xmlns:a16="http://schemas.microsoft.com/office/drawing/2014/main" id="{60782C97-6399-5E68-205F-B2D77AAD7128}"/>
            </a:ext>
          </a:extLst>
        </xdr:cNvPr>
        <xdr:cNvCxnSpPr/>
      </xdr:nvCxnSpPr>
      <xdr:spPr>
        <a:xfrm flipV="1">
          <a:off x="237331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1</xdr:col>
      <xdr:colOff>211931</xdr:colOff>
      <xdr:row>3</xdr:row>
      <xdr:rowOff>178593</xdr:rowOff>
    </xdr:to>
    <xdr:cxnSp macro="">
      <xdr:nvCxnSpPr>
        <xdr:cNvPr id="1252" name="Match62">
          <a:extLst>
            <a:ext uri="{FF2B5EF4-FFF2-40B4-BE49-F238E27FC236}">
              <a16:creationId xmlns:a16="http://schemas.microsoft.com/office/drawing/2014/main" id="{4E14083A-67B7-D577-EC2A-09CFC096FBA8}"/>
            </a:ext>
          </a:extLst>
        </xdr:cNvPr>
        <xdr:cNvCxnSpPr/>
      </xdr:nvCxnSpPr>
      <xdr:spPr>
        <a:xfrm flipH="1" flipV="1">
          <a:off x="211931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6</xdr:row>
      <xdr:rowOff>178594</xdr:rowOff>
    </xdr:from>
    <xdr:to>
      <xdr:col>2</xdr:col>
      <xdr:colOff>211931</xdr:colOff>
      <xdr:row>7</xdr:row>
      <xdr:rowOff>178593</xdr:rowOff>
    </xdr:to>
    <xdr:cxnSp macro="">
      <xdr:nvCxnSpPr>
        <xdr:cNvPr id="1253" name="Match63">
          <a:extLst>
            <a:ext uri="{FF2B5EF4-FFF2-40B4-BE49-F238E27FC236}">
              <a16:creationId xmlns:a16="http://schemas.microsoft.com/office/drawing/2014/main" id="{58F2890E-5EED-D3FB-7414-02474C87012C}"/>
            </a:ext>
          </a:extLst>
        </xdr:cNvPr>
        <xdr:cNvCxnSpPr/>
      </xdr:nvCxnSpPr>
      <xdr:spPr>
        <a:xfrm>
          <a:off x="1059656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6</xdr:row>
      <xdr:rowOff>178594</xdr:rowOff>
    </xdr:from>
    <xdr:to>
      <xdr:col>10</xdr:col>
      <xdr:colOff>211931</xdr:colOff>
      <xdr:row>7</xdr:row>
      <xdr:rowOff>178593</xdr:rowOff>
    </xdr:to>
    <xdr:cxnSp macro="">
      <xdr:nvCxnSpPr>
        <xdr:cNvPr id="1254" name="Match64">
          <a:extLst>
            <a:ext uri="{FF2B5EF4-FFF2-40B4-BE49-F238E27FC236}">
              <a16:creationId xmlns:a16="http://schemas.microsoft.com/office/drawing/2014/main" id="{D62A5662-F899-84E4-036C-61545520356C}"/>
            </a:ext>
          </a:extLst>
        </xdr:cNvPr>
        <xdr:cNvCxnSpPr/>
      </xdr:nvCxnSpPr>
      <xdr:spPr>
        <a:xfrm>
          <a:off x="402669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6</xdr:row>
      <xdr:rowOff>203994</xdr:rowOff>
    </xdr:from>
    <xdr:to>
      <xdr:col>9</xdr:col>
      <xdr:colOff>237331</xdr:colOff>
      <xdr:row>7</xdr:row>
      <xdr:rowOff>203993</xdr:rowOff>
    </xdr:to>
    <xdr:cxnSp macro="">
      <xdr:nvCxnSpPr>
        <xdr:cNvPr id="1255" name="Match65">
          <a:extLst>
            <a:ext uri="{FF2B5EF4-FFF2-40B4-BE49-F238E27FC236}">
              <a16:creationId xmlns:a16="http://schemas.microsoft.com/office/drawing/2014/main" id="{6055229B-4588-92BF-1751-5B0DB51EC803}"/>
            </a:ext>
          </a:extLst>
        </xdr:cNvPr>
        <xdr:cNvCxnSpPr/>
      </xdr:nvCxnSpPr>
      <xdr:spPr>
        <a:xfrm flipH="1">
          <a:off x="3628231" y="234711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6</xdr:row>
      <xdr:rowOff>178594</xdr:rowOff>
    </xdr:from>
    <xdr:to>
      <xdr:col>2</xdr:col>
      <xdr:colOff>211931</xdr:colOff>
      <xdr:row>7</xdr:row>
      <xdr:rowOff>178593</xdr:rowOff>
    </xdr:to>
    <xdr:cxnSp macro="">
      <xdr:nvCxnSpPr>
        <xdr:cNvPr id="1256" name="Match66">
          <a:extLst>
            <a:ext uri="{FF2B5EF4-FFF2-40B4-BE49-F238E27FC236}">
              <a16:creationId xmlns:a16="http://schemas.microsoft.com/office/drawing/2014/main" id="{259B92D2-2031-037E-71BD-2D452EAD8C86}"/>
            </a:ext>
          </a:extLst>
        </xdr:cNvPr>
        <xdr:cNvCxnSpPr/>
      </xdr:nvCxnSpPr>
      <xdr:spPr>
        <a:xfrm flipV="1">
          <a:off x="1059656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6</xdr:row>
      <xdr:rowOff>178594</xdr:rowOff>
    </xdr:from>
    <xdr:to>
      <xdr:col>9</xdr:col>
      <xdr:colOff>211931</xdr:colOff>
      <xdr:row>7</xdr:row>
      <xdr:rowOff>178593</xdr:rowOff>
    </xdr:to>
    <xdr:cxnSp macro="">
      <xdr:nvCxnSpPr>
        <xdr:cNvPr id="1257" name="Match67">
          <a:extLst>
            <a:ext uri="{FF2B5EF4-FFF2-40B4-BE49-F238E27FC236}">
              <a16:creationId xmlns:a16="http://schemas.microsoft.com/office/drawing/2014/main" id="{BE27FD69-30A6-9BDD-A2A9-16CFB8D1A3BF}"/>
            </a:ext>
          </a:extLst>
        </xdr:cNvPr>
        <xdr:cNvCxnSpPr/>
      </xdr:nvCxnSpPr>
      <xdr:spPr>
        <a:xfrm flipV="1">
          <a:off x="360283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6</xdr:row>
      <xdr:rowOff>178594</xdr:rowOff>
    </xdr:from>
    <xdr:to>
      <xdr:col>10</xdr:col>
      <xdr:colOff>211931</xdr:colOff>
      <xdr:row>7</xdr:row>
      <xdr:rowOff>178593</xdr:rowOff>
    </xdr:to>
    <xdr:cxnSp macro="">
      <xdr:nvCxnSpPr>
        <xdr:cNvPr id="1258" name="Match68">
          <a:extLst>
            <a:ext uri="{FF2B5EF4-FFF2-40B4-BE49-F238E27FC236}">
              <a16:creationId xmlns:a16="http://schemas.microsoft.com/office/drawing/2014/main" id="{AA9092D6-5F7F-5565-A169-49C4E36716DB}"/>
            </a:ext>
          </a:extLst>
        </xdr:cNvPr>
        <xdr:cNvCxnSpPr/>
      </xdr:nvCxnSpPr>
      <xdr:spPr>
        <a:xfrm flipH="1" flipV="1">
          <a:off x="402669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8</xdr:row>
      <xdr:rowOff>178594</xdr:rowOff>
    </xdr:from>
    <xdr:to>
      <xdr:col>5</xdr:col>
      <xdr:colOff>211931</xdr:colOff>
      <xdr:row>9</xdr:row>
      <xdr:rowOff>178593</xdr:rowOff>
    </xdr:to>
    <xdr:cxnSp macro="">
      <xdr:nvCxnSpPr>
        <xdr:cNvPr id="1259" name="Match69">
          <a:extLst>
            <a:ext uri="{FF2B5EF4-FFF2-40B4-BE49-F238E27FC236}">
              <a16:creationId xmlns:a16="http://schemas.microsoft.com/office/drawing/2014/main" id="{7D7B77F3-49C8-AB25-29FC-9CA471EEC810}"/>
            </a:ext>
          </a:extLst>
        </xdr:cNvPr>
        <xdr:cNvCxnSpPr/>
      </xdr:nvCxnSpPr>
      <xdr:spPr>
        <a:xfrm>
          <a:off x="1907381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8</xdr:row>
      <xdr:rowOff>178594</xdr:rowOff>
    </xdr:from>
    <xdr:to>
      <xdr:col>5</xdr:col>
      <xdr:colOff>211931</xdr:colOff>
      <xdr:row>9</xdr:row>
      <xdr:rowOff>178593</xdr:rowOff>
    </xdr:to>
    <xdr:cxnSp macro="">
      <xdr:nvCxnSpPr>
        <xdr:cNvPr id="1260" name="Match70">
          <a:extLst>
            <a:ext uri="{FF2B5EF4-FFF2-40B4-BE49-F238E27FC236}">
              <a16:creationId xmlns:a16="http://schemas.microsoft.com/office/drawing/2014/main" id="{900BFD4B-05C2-7623-7294-C0EF39EF19AE}"/>
            </a:ext>
          </a:extLst>
        </xdr:cNvPr>
        <xdr:cNvCxnSpPr/>
      </xdr:nvCxnSpPr>
      <xdr:spPr>
        <a:xfrm flipH="1" flipV="1">
          <a:off x="1907381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0</xdr:rowOff>
        </xdr:from>
        <xdr:to>
          <xdr:col>18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0</xdr:row>
      <xdr:rowOff>0</xdr:rowOff>
    </xdr:from>
    <xdr:to>
      <xdr:col>25</xdr:col>
      <xdr:colOff>457200</xdr:colOff>
      <xdr:row>0</xdr:row>
      <xdr:rowOff>2743200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81910609-4637-C104-153F-090816AC73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E12" sqref="E12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">
        <v>9</v>
      </c>
      <c r="B1" s="2">
        <v>9</v>
      </c>
      <c r="C1" s="2">
        <v>6</v>
      </c>
      <c r="D1" s="23">
        <v>2</v>
      </c>
      <c r="E1" s="23">
        <v>2</v>
      </c>
      <c r="F1" s="2">
        <v>4</v>
      </c>
      <c r="G1" s="23">
        <v>2</v>
      </c>
      <c r="H1" s="2">
        <v>3</v>
      </c>
      <c r="I1" s="22">
        <v>2</v>
      </c>
      <c r="J1" s="22">
        <v>2</v>
      </c>
      <c r="K1" s="2">
        <v>6</v>
      </c>
      <c r="L1" s="2">
        <v>9</v>
      </c>
      <c r="N1" s="2">
        <v>7123</v>
      </c>
      <c r="O1" s="1">
        <v>1</v>
      </c>
    </row>
    <row r="2" spans="1:15" ht="28.25" customHeight="1">
      <c r="A2" s="22">
        <v>3</v>
      </c>
      <c r="B2" s="2">
        <v>7</v>
      </c>
      <c r="C2" s="2">
        <v>9</v>
      </c>
      <c r="D2" s="22">
        <v>8</v>
      </c>
      <c r="E2" s="2">
        <v>3</v>
      </c>
      <c r="F2" s="23">
        <v>9</v>
      </c>
      <c r="G2" s="2">
        <v>4</v>
      </c>
      <c r="H2" s="22">
        <v>2</v>
      </c>
      <c r="I2" s="2">
        <v>8</v>
      </c>
      <c r="J2" s="2">
        <v>6</v>
      </c>
      <c r="K2" s="2">
        <v>4</v>
      </c>
      <c r="L2" s="2">
        <v>3</v>
      </c>
      <c r="N2" s="2">
        <v>58492</v>
      </c>
      <c r="O2" s="1">
        <v>1</v>
      </c>
    </row>
    <row r="3" spans="1:15" ht="28.25" customHeight="1">
      <c r="A3" s="22">
        <v>3</v>
      </c>
      <c r="B3" s="22">
        <v>2</v>
      </c>
      <c r="C3" s="22">
        <v>9</v>
      </c>
      <c r="D3" s="23">
        <v>8</v>
      </c>
      <c r="E3" s="23">
        <v>4</v>
      </c>
      <c r="F3" s="22">
        <v>1</v>
      </c>
      <c r="G3" s="22">
        <v>8</v>
      </c>
      <c r="H3" s="2">
        <v>5</v>
      </c>
      <c r="I3" s="2">
        <v>1</v>
      </c>
      <c r="J3" s="2">
        <v>5</v>
      </c>
      <c r="K3" s="2">
        <v>7</v>
      </c>
      <c r="L3" s="2">
        <v>8</v>
      </c>
      <c r="N3" s="2">
        <v>29436</v>
      </c>
      <c r="O3" s="1">
        <v>1</v>
      </c>
    </row>
    <row r="4" spans="1:15" ht="28.25" customHeight="1">
      <c r="A4" s="22">
        <v>6</v>
      </c>
      <c r="B4" s="22">
        <v>3</v>
      </c>
      <c r="C4" s="22">
        <v>2</v>
      </c>
      <c r="D4" s="23">
        <v>8</v>
      </c>
      <c r="E4" s="2">
        <v>5</v>
      </c>
      <c r="F4" s="22">
        <v>8</v>
      </c>
      <c r="G4" s="2">
        <v>3</v>
      </c>
      <c r="H4" s="23">
        <v>1</v>
      </c>
      <c r="I4" s="2">
        <v>5</v>
      </c>
      <c r="J4" s="2">
        <v>6</v>
      </c>
      <c r="K4" s="2">
        <v>7</v>
      </c>
      <c r="L4" s="2">
        <v>9</v>
      </c>
      <c r="N4" s="2">
        <v>2726717</v>
      </c>
      <c r="O4" s="1">
        <v>1</v>
      </c>
    </row>
    <row r="5" spans="1:15" ht="28.25" customHeight="1">
      <c r="A5" s="2">
        <v>5</v>
      </c>
      <c r="B5" s="2">
        <v>7</v>
      </c>
      <c r="C5" s="23">
        <v>5</v>
      </c>
      <c r="D5" s="2">
        <v>3</v>
      </c>
      <c r="E5" s="23">
        <v>4</v>
      </c>
      <c r="F5" s="23">
        <v>4</v>
      </c>
      <c r="G5" s="23">
        <v>9</v>
      </c>
      <c r="H5" s="23">
        <v>9</v>
      </c>
      <c r="I5" s="22">
        <v>9</v>
      </c>
      <c r="J5" s="2">
        <v>8</v>
      </c>
      <c r="K5" s="22">
        <v>9</v>
      </c>
      <c r="L5" s="2">
        <v>5</v>
      </c>
      <c r="N5" s="2">
        <v>19</v>
      </c>
      <c r="O5" s="1">
        <v>13</v>
      </c>
    </row>
    <row r="6" spans="1:15" ht="28.25" customHeight="1">
      <c r="A6" s="2">
        <v>5</v>
      </c>
      <c r="B6" s="22">
        <v>2</v>
      </c>
      <c r="C6" s="23">
        <v>7</v>
      </c>
      <c r="D6" s="23">
        <v>1</v>
      </c>
      <c r="E6" s="23">
        <v>7</v>
      </c>
      <c r="F6" s="23">
        <v>6</v>
      </c>
      <c r="G6" s="23">
        <v>2</v>
      </c>
      <c r="H6" s="23">
        <v>7</v>
      </c>
      <c r="I6" s="23">
        <v>2</v>
      </c>
      <c r="J6" s="23">
        <v>4</v>
      </c>
      <c r="K6" s="2">
        <v>9</v>
      </c>
      <c r="L6" s="2">
        <v>3</v>
      </c>
      <c r="N6" s="2">
        <v>236</v>
      </c>
      <c r="O6" s="1">
        <v>2</v>
      </c>
    </row>
    <row r="7" spans="1:15" ht="28.25" customHeight="1">
      <c r="A7" s="22">
        <v>2</v>
      </c>
      <c r="B7" s="22">
        <v>2</v>
      </c>
      <c r="C7" s="23">
        <v>3</v>
      </c>
      <c r="D7" s="22">
        <v>8</v>
      </c>
      <c r="E7" s="23">
        <v>4</v>
      </c>
      <c r="F7" s="22">
        <v>2</v>
      </c>
      <c r="G7" s="23">
        <v>1</v>
      </c>
      <c r="H7" s="23">
        <v>6</v>
      </c>
      <c r="I7" s="23">
        <v>4</v>
      </c>
      <c r="J7" s="23">
        <v>3</v>
      </c>
      <c r="K7" s="2">
        <v>5</v>
      </c>
      <c r="L7" s="2">
        <v>7</v>
      </c>
      <c r="N7" s="2">
        <v>22</v>
      </c>
      <c r="O7" s="1">
        <v>20</v>
      </c>
    </row>
    <row r="8" spans="1:15" ht="28.25" customHeight="1">
      <c r="A8" s="23">
        <v>7</v>
      </c>
      <c r="B8" s="2">
        <v>5</v>
      </c>
      <c r="C8" s="23">
        <v>3</v>
      </c>
      <c r="D8" s="23">
        <v>8</v>
      </c>
      <c r="E8" s="2">
        <v>9</v>
      </c>
      <c r="F8" s="23">
        <v>8</v>
      </c>
      <c r="G8" s="2">
        <v>7</v>
      </c>
      <c r="H8" s="23">
        <v>7</v>
      </c>
      <c r="I8" s="23">
        <v>3</v>
      </c>
      <c r="J8" s="22">
        <v>8</v>
      </c>
      <c r="K8" s="22">
        <v>3</v>
      </c>
      <c r="L8" s="2">
        <v>8</v>
      </c>
      <c r="N8" s="2">
        <v>4478344</v>
      </c>
      <c r="O8" s="1">
        <v>1</v>
      </c>
    </row>
    <row r="9" spans="1:15" ht="28.25" customHeight="1">
      <c r="A9" s="2">
        <v>3</v>
      </c>
      <c r="B9" s="23">
        <v>4</v>
      </c>
      <c r="C9" s="23">
        <v>2</v>
      </c>
      <c r="D9" s="23">
        <v>2</v>
      </c>
      <c r="E9" s="23">
        <v>3</v>
      </c>
      <c r="F9" s="23">
        <v>6</v>
      </c>
      <c r="G9" s="23">
        <v>8</v>
      </c>
      <c r="H9" s="2">
        <v>5</v>
      </c>
      <c r="I9" s="22">
        <v>8</v>
      </c>
      <c r="J9" s="23">
        <v>4</v>
      </c>
      <c r="K9" s="22">
        <v>1</v>
      </c>
      <c r="L9" s="22">
        <v>1</v>
      </c>
      <c r="N9" s="2">
        <v>6284</v>
      </c>
      <c r="O9" s="1">
        <v>1</v>
      </c>
    </row>
    <row r="10" spans="1:15" ht="28.25" customHeight="1">
      <c r="A10" s="2">
        <v>5</v>
      </c>
      <c r="B10" s="23">
        <v>6</v>
      </c>
      <c r="C10" s="23">
        <v>6</v>
      </c>
      <c r="D10" s="23">
        <v>8</v>
      </c>
      <c r="E10" s="23">
        <v>1</v>
      </c>
      <c r="F10" s="23">
        <v>3</v>
      </c>
      <c r="G10" s="2">
        <v>5</v>
      </c>
      <c r="H10" s="22">
        <v>9</v>
      </c>
      <c r="I10" s="2">
        <v>7</v>
      </c>
      <c r="J10" s="2">
        <v>6</v>
      </c>
      <c r="K10" s="23">
        <v>9</v>
      </c>
      <c r="L10" s="22">
        <v>9</v>
      </c>
      <c r="N10" s="2">
        <v>88</v>
      </c>
      <c r="O10" s="1">
        <v>12</v>
      </c>
    </row>
    <row r="11" spans="1:15" ht="28.25" customHeight="1">
      <c r="A11" s="2">
        <v>4</v>
      </c>
      <c r="B11" s="2">
        <v>6</v>
      </c>
      <c r="C11" s="23">
        <v>5</v>
      </c>
      <c r="D11" s="23">
        <v>1</v>
      </c>
      <c r="E11" s="23">
        <v>4</v>
      </c>
      <c r="F11" s="23">
        <v>7</v>
      </c>
      <c r="G11" s="22">
        <v>1</v>
      </c>
      <c r="H11" s="2">
        <v>5</v>
      </c>
      <c r="I11" s="2">
        <v>8</v>
      </c>
      <c r="J11" s="2">
        <v>9</v>
      </c>
      <c r="K11" s="2">
        <v>4</v>
      </c>
      <c r="L11" s="23">
        <v>2</v>
      </c>
      <c r="N11" s="2">
        <v>183858</v>
      </c>
      <c r="O11" s="1">
        <v>1</v>
      </c>
    </row>
    <row r="12" spans="1:15" ht="28.25" customHeight="1">
      <c r="A12" s="2">
        <v>3</v>
      </c>
      <c r="B12" s="23">
        <v>8</v>
      </c>
      <c r="C12" s="22">
        <v>9</v>
      </c>
      <c r="D12" s="23">
        <v>4</v>
      </c>
      <c r="E12" s="23">
        <v>5</v>
      </c>
      <c r="F12" s="22">
        <v>9</v>
      </c>
      <c r="G12" s="22">
        <v>9</v>
      </c>
      <c r="H12" s="22">
        <v>1</v>
      </c>
      <c r="I12" s="2">
        <v>4</v>
      </c>
      <c r="J12" s="2">
        <v>2</v>
      </c>
      <c r="K12" s="2">
        <v>9</v>
      </c>
      <c r="L12" s="2">
        <v>7</v>
      </c>
      <c r="N12" s="2">
        <v>74615</v>
      </c>
      <c r="O12" s="1">
        <v>1</v>
      </c>
    </row>
    <row r="13" spans="1:15" ht="28.25" customHeight="1">
      <c r="N13" s="2">
        <v>944</v>
      </c>
      <c r="O13" s="1">
        <v>2</v>
      </c>
    </row>
    <row r="14" spans="1:15" ht="28.25" customHeight="1">
      <c r="N14" s="2">
        <v>923</v>
      </c>
      <c r="O14" s="1">
        <v>2</v>
      </c>
    </row>
    <row r="15" spans="1:15" ht="28.25" customHeight="1">
      <c r="N15" s="2">
        <v>33</v>
      </c>
      <c r="O15" s="1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83"/>
  <sheetViews>
    <sheetView tabSelected="1" zoomScaleNormal="100" workbookViewId="0">
      <pane ySplit="1" topLeftCell="A76" activePane="bottomLeft" state="frozen"/>
      <selection pane="bottomLeft" activeCell="A83" sqref="A83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1" spans="1:35" ht="246.75">
      <c r="A1" t="s">
        <v>0</v>
      </c>
      <c r="B1" s="4" t="s">
        <v>171</v>
      </c>
      <c r="C1" s="4" t="s">
        <v>172</v>
      </c>
      <c r="D1" s="4" t="s">
        <v>173</v>
      </c>
      <c r="E1" s="4" t="s">
        <v>174</v>
      </c>
      <c r="F1" s="4" t="s">
        <v>175</v>
      </c>
      <c r="G1" s="4" t="s">
        <v>10</v>
      </c>
      <c r="H1" s="4" t="s">
        <v>16</v>
      </c>
      <c r="I1" s="4" t="s">
        <v>15</v>
      </c>
      <c r="J1" s="4" t="s">
        <v>11</v>
      </c>
      <c r="K1" s="4" t="s">
        <v>179</v>
      </c>
      <c r="L1" s="4" t="s">
        <v>163</v>
      </c>
      <c r="M1" s="4" t="s">
        <v>207</v>
      </c>
      <c r="N1" s="4" t="s">
        <v>178</v>
      </c>
      <c r="O1" s="4" t="s">
        <v>180</v>
      </c>
      <c r="P1" s="4" t="s">
        <v>170</v>
      </c>
      <c r="AA1" t="s">
        <v>0</v>
      </c>
      <c r="AB1" s="4" t="s">
        <v>49</v>
      </c>
      <c r="AC1" s="4" t="s">
        <v>1</v>
      </c>
      <c r="AD1" s="4" t="s">
        <v>2</v>
      </c>
      <c r="AE1" s="4" t="s">
        <v>3</v>
      </c>
      <c r="AF1" s="4" t="s">
        <v>10</v>
      </c>
      <c r="AG1" s="4" t="s">
        <v>16</v>
      </c>
      <c r="AH1" s="4" t="s">
        <v>15</v>
      </c>
      <c r="AI1" s="4" t="s">
        <v>11</v>
      </c>
    </row>
    <row r="2" spans="1:35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66</v>
      </c>
      <c r="I2" t="s">
        <v>48</v>
      </c>
      <c r="J2">
        <v>0</v>
      </c>
      <c r="AA2" s="3">
        <v>45951.701574074075</v>
      </c>
      <c r="AB2">
        <v>20</v>
      </c>
      <c r="AC2">
        <v>0</v>
      </c>
      <c r="AD2">
        <v>3</v>
      </c>
      <c r="AE2">
        <v>0</v>
      </c>
      <c r="AF2" s="5">
        <v>1.4050925929041114E-2</v>
      </c>
      <c r="AG2" t="s">
        <v>17</v>
      </c>
      <c r="AH2" t="s">
        <v>48</v>
      </c>
      <c r="AI2">
        <v>0</v>
      </c>
    </row>
    <row r="3" spans="1:35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64</v>
      </c>
      <c r="I3" t="s">
        <v>65</v>
      </c>
      <c r="J3">
        <v>0</v>
      </c>
      <c r="AA3" s="3">
        <v>45951.867650462962</v>
      </c>
      <c r="AB3">
        <v>19</v>
      </c>
      <c r="AC3">
        <v>0</v>
      </c>
      <c r="AD3">
        <v>0</v>
      </c>
      <c r="AE3">
        <v>0</v>
      </c>
      <c r="AF3" s="5">
        <v>1.0868055556784384E-2</v>
      </c>
      <c r="AG3" t="s">
        <v>18</v>
      </c>
      <c r="AH3" t="s">
        <v>19</v>
      </c>
      <c r="AI3">
        <v>0</v>
      </c>
    </row>
    <row r="4" spans="1:35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62</v>
      </c>
      <c r="I4" t="s">
        <v>63</v>
      </c>
      <c r="J4">
        <v>0</v>
      </c>
      <c r="AA4" s="3">
        <v>45952.483495370368</v>
      </c>
      <c r="AB4">
        <v>15</v>
      </c>
      <c r="AC4">
        <v>0</v>
      </c>
      <c r="AD4">
        <v>5</v>
      </c>
      <c r="AE4">
        <v>0</v>
      </c>
      <c r="AF4" s="5">
        <v>1.7534722217533272E-2</v>
      </c>
      <c r="AG4" t="s">
        <v>20</v>
      </c>
      <c r="AH4" t="s">
        <v>21</v>
      </c>
      <c r="AI4">
        <v>0</v>
      </c>
    </row>
    <row r="5" spans="1:35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60</v>
      </c>
      <c r="I5" t="s">
        <v>61</v>
      </c>
      <c r="J5">
        <v>0</v>
      </c>
      <c r="AA5" s="3">
        <v>45952.864699074074</v>
      </c>
      <c r="AB5">
        <v>29</v>
      </c>
      <c r="AC5">
        <v>0</v>
      </c>
      <c r="AD5">
        <v>1</v>
      </c>
      <c r="AE5">
        <v>0</v>
      </c>
      <c r="AF5" s="5">
        <v>1.9606481480877846E-2</v>
      </c>
      <c r="AG5" t="s">
        <v>22</v>
      </c>
      <c r="AH5" t="s">
        <v>23</v>
      </c>
      <c r="AI5">
        <v>0</v>
      </c>
    </row>
    <row r="6" spans="1:35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58</v>
      </c>
      <c r="I6" t="s">
        <v>59</v>
      </c>
      <c r="J6">
        <v>0</v>
      </c>
      <c r="AA6" s="3">
        <v>45953.849791666667</v>
      </c>
      <c r="AB6">
        <v>65</v>
      </c>
      <c r="AC6">
        <v>0</v>
      </c>
      <c r="AD6">
        <v>1</v>
      </c>
      <c r="AE6">
        <v>0</v>
      </c>
      <c r="AF6" s="5">
        <v>1.4953703706851229E-2</v>
      </c>
      <c r="AG6" t="s">
        <v>32</v>
      </c>
      <c r="AH6" t="s">
        <v>33</v>
      </c>
      <c r="AI6">
        <v>0</v>
      </c>
    </row>
    <row r="7" spans="1:35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56</v>
      </c>
      <c r="I7" t="s">
        <v>57</v>
      </c>
      <c r="J7">
        <v>0</v>
      </c>
      <c r="AA7" s="3">
        <v>45953.869490740741</v>
      </c>
      <c r="AB7">
        <v>54</v>
      </c>
      <c r="AC7">
        <v>0</v>
      </c>
      <c r="AD7">
        <v>1</v>
      </c>
      <c r="AE7">
        <v>0</v>
      </c>
      <c r="AF7" s="5">
        <v>1.8831018518540077E-2</v>
      </c>
      <c r="AG7" t="s">
        <v>34</v>
      </c>
      <c r="AH7" t="s">
        <v>35</v>
      </c>
      <c r="AI7">
        <v>0</v>
      </c>
    </row>
    <row r="8" spans="1:35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54</v>
      </c>
      <c r="I8" t="s">
        <v>55</v>
      </c>
      <c r="J8">
        <v>0</v>
      </c>
      <c r="AA8" s="3">
        <v>45954.406076388892</v>
      </c>
      <c r="AB8">
        <v>45</v>
      </c>
      <c r="AC8">
        <v>0</v>
      </c>
      <c r="AD8">
        <v>3</v>
      </c>
      <c r="AE8">
        <v>0</v>
      </c>
      <c r="AF8" s="5">
        <v>1.0740740741312038E-2</v>
      </c>
      <c r="AG8" t="s">
        <v>36</v>
      </c>
      <c r="AH8" t="s">
        <v>37</v>
      </c>
      <c r="AI8">
        <v>0</v>
      </c>
    </row>
    <row r="9" spans="1:35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52</v>
      </c>
      <c r="I9" t="s">
        <v>53</v>
      </c>
      <c r="J9">
        <v>0</v>
      </c>
      <c r="AA9" s="3">
        <v>45954.875092592592</v>
      </c>
      <c r="AB9">
        <v>43</v>
      </c>
      <c r="AC9">
        <v>0</v>
      </c>
      <c r="AD9">
        <v>2</v>
      </c>
      <c r="AE9">
        <v>0</v>
      </c>
      <c r="AF9" s="5">
        <v>2.0335648150648922E-2</v>
      </c>
      <c r="AG9" t="s">
        <v>38</v>
      </c>
      <c r="AH9" t="s">
        <v>39</v>
      </c>
      <c r="AI9">
        <v>0</v>
      </c>
    </row>
    <row r="10" spans="1:35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50</v>
      </c>
      <c r="I10" t="s">
        <v>51</v>
      </c>
      <c r="J10">
        <v>0</v>
      </c>
    </row>
    <row r="11" spans="1:35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67</v>
      </c>
      <c r="I11" t="s">
        <v>68</v>
      </c>
      <c r="J11">
        <v>0</v>
      </c>
    </row>
    <row r="12" spans="1:35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69</v>
      </c>
      <c r="I12" t="s">
        <v>70</v>
      </c>
      <c r="J12">
        <v>0</v>
      </c>
    </row>
    <row r="13" spans="1:35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71</v>
      </c>
      <c r="I13" t="s">
        <v>72</v>
      </c>
      <c r="J13">
        <v>0</v>
      </c>
    </row>
    <row r="14" spans="1:35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73</v>
      </c>
      <c r="I14" t="s">
        <v>74</v>
      </c>
      <c r="J14">
        <v>0</v>
      </c>
    </row>
    <row r="15" spans="1:35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75</v>
      </c>
      <c r="I15" t="s">
        <v>76</v>
      </c>
      <c r="J15">
        <v>0</v>
      </c>
    </row>
    <row r="16" spans="1:35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77</v>
      </c>
      <c r="I16" t="s">
        <v>78</v>
      </c>
      <c r="J16">
        <v>0</v>
      </c>
    </row>
    <row r="17" spans="1:16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79</v>
      </c>
      <c r="I17" t="s">
        <v>80</v>
      </c>
      <c r="J17">
        <v>0</v>
      </c>
      <c r="K17">
        <f>IF(A17&lt;DATEVALUE("2025/11/20"),1,IF(B17-SUM(D17:F17)&lt;&gt;60,0,MAX(2-INT(G17*24*60/10),0)))</f>
        <v>1</v>
      </c>
      <c r="L17">
        <f>L16+K17</f>
        <v>1</v>
      </c>
      <c r="M17">
        <f>2+IF(A17&gt;=DATEVALUE("2025/11/30"),1,0)</f>
        <v>2</v>
      </c>
      <c r="N17">
        <f t="shared" ref="N17:N63" si="0">N16+M17*(INT(A17-6/24)-INT(A16-6/24))+O17</f>
        <v>2</v>
      </c>
      <c r="O17">
        <f>IF(A17&gt;=DATEVALUE("2025/11/8"),1,0)-IF(A16&gt;=DATEVALUE("2025/11/8"),1,0)</f>
        <v>0</v>
      </c>
      <c r="P17" t="str">
        <f>IF(L17&lt;N17,"未達成（"&amp;N17-L17&amp;"）",IF(L17=N17,"達成","前倒し（"&amp;L17-N17&amp;"）"))</f>
        <v>未達成（1）</v>
      </c>
    </row>
    <row r="18" spans="1:16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81</v>
      </c>
      <c r="I18" t="s">
        <v>82</v>
      </c>
      <c r="J18">
        <v>0</v>
      </c>
      <c r="K18">
        <f t="shared" ref="K18:K62" si="1">IF(A18&lt;DATEVALUE("2025/11/20"),1,IF(B18-SUM(D18:F18)&lt;&gt;60,0,MAX(2-INT(G18*24*60/10),0)))</f>
        <v>1</v>
      </c>
      <c r="L18">
        <f t="shared" ref="L18:L58" si="2">L17+K18</f>
        <v>2</v>
      </c>
      <c r="M18">
        <f t="shared" ref="M18:M75" si="3">2+IF(A18&gt;=DATEVALUE("2025/11/30"),1,0)</f>
        <v>2</v>
      </c>
      <c r="N18">
        <f t="shared" si="0"/>
        <v>2</v>
      </c>
      <c r="O18">
        <f t="shared" ref="O18:O75" si="4">IF(A18&gt;=DATEVALUE("2025/11/8"),1,0)-IF(A17&gt;=DATEVALUE("2025/11/8"),1,0)</f>
        <v>0</v>
      </c>
      <c r="P18" t="str">
        <f t="shared" ref="P18:P58" si="5">IF(L18&lt;N18,"未達成（"&amp;N18-L18&amp;"）",IF(L18=N18,"達成","前倒し（"&amp;L18-N18&amp;"）"))</f>
        <v>達成</v>
      </c>
    </row>
    <row r="19" spans="1:16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83</v>
      </c>
      <c r="I19" t="s">
        <v>84</v>
      </c>
      <c r="J19">
        <v>0</v>
      </c>
      <c r="K19">
        <f t="shared" si="1"/>
        <v>1</v>
      </c>
      <c r="L19">
        <f t="shared" si="2"/>
        <v>3</v>
      </c>
      <c r="M19">
        <f t="shared" si="3"/>
        <v>2</v>
      </c>
      <c r="N19">
        <f t="shared" si="0"/>
        <v>4</v>
      </c>
      <c r="O19">
        <f t="shared" si="4"/>
        <v>0</v>
      </c>
      <c r="P19" t="str">
        <f t="shared" si="5"/>
        <v>未達成（1）</v>
      </c>
    </row>
    <row r="20" spans="1:16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85</v>
      </c>
      <c r="I20" t="s">
        <v>86</v>
      </c>
      <c r="J20">
        <v>0</v>
      </c>
      <c r="K20">
        <f t="shared" si="1"/>
        <v>1</v>
      </c>
      <c r="L20">
        <f t="shared" si="2"/>
        <v>4</v>
      </c>
      <c r="M20">
        <f t="shared" si="3"/>
        <v>2</v>
      </c>
      <c r="N20">
        <f t="shared" si="0"/>
        <v>4</v>
      </c>
      <c r="O20">
        <f t="shared" si="4"/>
        <v>0</v>
      </c>
      <c r="P20" t="str">
        <f t="shared" si="5"/>
        <v>達成</v>
      </c>
    </row>
    <row r="21" spans="1:16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87</v>
      </c>
      <c r="I21" t="s">
        <v>88</v>
      </c>
      <c r="J21">
        <v>0</v>
      </c>
      <c r="K21">
        <f t="shared" si="1"/>
        <v>1</v>
      </c>
      <c r="L21">
        <f t="shared" si="2"/>
        <v>5</v>
      </c>
      <c r="M21">
        <f t="shared" si="3"/>
        <v>2</v>
      </c>
      <c r="N21">
        <f t="shared" si="0"/>
        <v>6</v>
      </c>
      <c r="O21">
        <f t="shared" si="4"/>
        <v>0</v>
      </c>
      <c r="P21" t="str">
        <f t="shared" si="5"/>
        <v>未達成（1）</v>
      </c>
    </row>
    <row r="22" spans="1:16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89</v>
      </c>
      <c r="I22" t="s">
        <v>90</v>
      </c>
      <c r="J22">
        <v>0</v>
      </c>
      <c r="K22">
        <f t="shared" si="1"/>
        <v>1</v>
      </c>
      <c r="L22">
        <f t="shared" si="2"/>
        <v>6</v>
      </c>
      <c r="M22">
        <f t="shared" si="3"/>
        <v>2</v>
      </c>
      <c r="N22">
        <f t="shared" si="0"/>
        <v>6</v>
      </c>
      <c r="O22">
        <f t="shared" si="4"/>
        <v>0</v>
      </c>
      <c r="P22" t="str">
        <f t="shared" si="5"/>
        <v>達成</v>
      </c>
    </row>
    <row r="23" spans="1:16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91</v>
      </c>
      <c r="I23" t="s">
        <v>92</v>
      </c>
      <c r="J23">
        <v>0</v>
      </c>
      <c r="K23">
        <f t="shared" si="1"/>
        <v>1</v>
      </c>
      <c r="L23">
        <f t="shared" si="2"/>
        <v>7</v>
      </c>
      <c r="M23">
        <f t="shared" si="3"/>
        <v>2</v>
      </c>
      <c r="N23">
        <f t="shared" si="0"/>
        <v>8</v>
      </c>
      <c r="O23">
        <f t="shared" si="4"/>
        <v>0</v>
      </c>
      <c r="P23" t="str">
        <f t="shared" si="5"/>
        <v>未達成（1）</v>
      </c>
    </row>
    <row r="24" spans="1:16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93</v>
      </c>
      <c r="I24" t="s">
        <v>94</v>
      </c>
      <c r="J24">
        <v>0</v>
      </c>
      <c r="K24">
        <f t="shared" si="1"/>
        <v>1</v>
      </c>
      <c r="L24">
        <f t="shared" si="2"/>
        <v>8</v>
      </c>
      <c r="M24">
        <f t="shared" si="3"/>
        <v>2</v>
      </c>
      <c r="N24">
        <f t="shared" si="0"/>
        <v>8</v>
      </c>
      <c r="O24">
        <f t="shared" si="4"/>
        <v>0</v>
      </c>
      <c r="P24" t="str">
        <f t="shared" si="5"/>
        <v>達成</v>
      </c>
    </row>
    <row r="25" spans="1:16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95</v>
      </c>
      <c r="I25" t="s">
        <v>96</v>
      </c>
      <c r="J25">
        <v>0</v>
      </c>
      <c r="K25">
        <f t="shared" si="1"/>
        <v>1</v>
      </c>
      <c r="L25">
        <f t="shared" si="2"/>
        <v>9</v>
      </c>
      <c r="M25">
        <f t="shared" si="3"/>
        <v>2</v>
      </c>
      <c r="N25">
        <f t="shared" si="0"/>
        <v>10</v>
      </c>
      <c r="O25">
        <f t="shared" si="4"/>
        <v>0</v>
      </c>
      <c r="P25" t="str">
        <f t="shared" si="5"/>
        <v>未達成（1）</v>
      </c>
    </row>
    <row r="26" spans="1:16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97</v>
      </c>
      <c r="I26" t="s">
        <v>98</v>
      </c>
      <c r="J26">
        <v>0</v>
      </c>
      <c r="K26">
        <f t="shared" si="1"/>
        <v>1</v>
      </c>
      <c r="L26">
        <f t="shared" si="2"/>
        <v>10</v>
      </c>
      <c r="M26">
        <f t="shared" si="3"/>
        <v>2</v>
      </c>
      <c r="N26">
        <f t="shared" si="0"/>
        <v>10</v>
      </c>
      <c r="O26">
        <f t="shared" si="4"/>
        <v>0</v>
      </c>
      <c r="P26" t="str">
        <f t="shared" si="5"/>
        <v>達成</v>
      </c>
    </row>
    <row r="27" spans="1:16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99</v>
      </c>
      <c r="I27" t="s">
        <v>100</v>
      </c>
      <c r="J27">
        <v>0</v>
      </c>
      <c r="K27">
        <f t="shared" si="1"/>
        <v>1</v>
      </c>
      <c r="L27">
        <f t="shared" si="2"/>
        <v>11</v>
      </c>
      <c r="M27">
        <f t="shared" si="3"/>
        <v>2</v>
      </c>
      <c r="N27">
        <f t="shared" si="0"/>
        <v>13</v>
      </c>
      <c r="O27">
        <f t="shared" si="4"/>
        <v>1</v>
      </c>
      <c r="P27" t="str">
        <f t="shared" si="5"/>
        <v>未達成（2）</v>
      </c>
    </row>
    <row r="28" spans="1:16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101</v>
      </c>
      <c r="I28" t="s">
        <v>102</v>
      </c>
      <c r="J28">
        <v>0</v>
      </c>
      <c r="K28">
        <f t="shared" si="1"/>
        <v>1</v>
      </c>
      <c r="L28">
        <f t="shared" si="2"/>
        <v>12</v>
      </c>
      <c r="M28">
        <f t="shared" si="3"/>
        <v>2</v>
      </c>
      <c r="N28">
        <f t="shared" si="0"/>
        <v>13</v>
      </c>
      <c r="O28">
        <f t="shared" si="4"/>
        <v>0</v>
      </c>
      <c r="P28" t="str">
        <f t="shared" si="5"/>
        <v>未達成（1）</v>
      </c>
    </row>
    <row r="29" spans="1:16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103</v>
      </c>
      <c r="I29" t="s">
        <v>104</v>
      </c>
      <c r="J29">
        <v>0</v>
      </c>
      <c r="K29">
        <f t="shared" si="1"/>
        <v>1</v>
      </c>
      <c r="L29">
        <f t="shared" si="2"/>
        <v>13</v>
      </c>
      <c r="M29">
        <f t="shared" si="3"/>
        <v>2</v>
      </c>
      <c r="N29">
        <f t="shared" si="0"/>
        <v>13</v>
      </c>
      <c r="O29">
        <f t="shared" si="4"/>
        <v>0</v>
      </c>
      <c r="P29" t="str">
        <f t="shared" si="5"/>
        <v>達成</v>
      </c>
    </row>
    <row r="30" spans="1:16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105</v>
      </c>
      <c r="I30" t="s">
        <v>106</v>
      </c>
      <c r="J30">
        <v>0</v>
      </c>
      <c r="K30">
        <f t="shared" si="1"/>
        <v>1</v>
      </c>
      <c r="L30">
        <f t="shared" si="2"/>
        <v>14</v>
      </c>
      <c r="M30">
        <f t="shared" si="3"/>
        <v>2</v>
      </c>
      <c r="N30">
        <f t="shared" si="0"/>
        <v>15</v>
      </c>
      <c r="O30">
        <f t="shared" si="4"/>
        <v>0</v>
      </c>
      <c r="P30" t="str">
        <f t="shared" si="5"/>
        <v>未達成（1）</v>
      </c>
    </row>
    <row r="31" spans="1:16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107</v>
      </c>
      <c r="I31" t="s">
        <v>108</v>
      </c>
      <c r="J31">
        <v>0</v>
      </c>
      <c r="K31">
        <f t="shared" si="1"/>
        <v>1</v>
      </c>
      <c r="L31">
        <f t="shared" si="2"/>
        <v>15</v>
      </c>
      <c r="M31">
        <f t="shared" si="3"/>
        <v>2</v>
      </c>
      <c r="N31">
        <f t="shared" si="0"/>
        <v>15</v>
      </c>
      <c r="O31">
        <f t="shared" si="4"/>
        <v>0</v>
      </c>
      <c r="P31" t="str">
        <f t="shared" si="5"/>
        <v>達成</v>
      </c>
    </row>
    <row r="32" spans="1:16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109</v>
      </c>
      <c r="I32" t="s">
        <v>110</v>
      </c>
      <c r="J32">
        <v>0</v>
      </c>
      <c r="K32">
        <f t="shared" si="1"/>
        <v>1</v>
      </c>
      <c r="L32">
        <f t="shared" si="2"/>
        <v>16</v>
      </c>
      <c r="M32">
        <f t="shared" si="3"/>
        <v>2</v>
      </c>
      <c r="N32">
        <f t="shared" si="0"/>
        <v>17</v>
      </c>
      <c r="O32">
        <f t="shared" si="4"/>
        <v>0</v>
      </c>
      <c r="P32" t="str">
        <f t="shared" si="5"/>
        <v>未達成（1）</v>
      </c>
    </row>
    <row r="33" spans="1:16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111</v>
      </c>
      <c r="I33" t="s">
        <v>112</v>
      </c>
      <c r="J33">
        <v>0</v>
      </c>
      <c r="K33">
        <f t="shared" si="1"/>
        <v>1</v>
      </c>
      <c r="L33">
        <f t="shared" si="2"/>
        <v>17</v>
      </c>
      <c r="M33">
        <f t="shared" si="3"/>
        <v>2</v>
      </c>
      <c r="N33">
        <f t="shared" si="0"/>
        <v>17</v>
      </c>
      <c r="O33">
        <f t="shared" si="4"/>
        <v>0</v>
      </c>
      <c r="P33" t="str">
        <f t="shared" si="5"/>
        <v>達成</v>
      </c>
    </row>
    <row r="34" spans="1:16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113</v>
      </c>
      <c r="I34" t="s">
        <v>114</v>
      </c>
      <c r="J34">
        <v>0</v>
      </c>
      <c r="K34">
        <f t="shared" si="1"/>
        <v>1</v>
      </c>
      <c r="L34">
        <f t="shared" si="2"/>
        <v>18</v>
      </c>
      <c r="M34">
        <f t="shared" si="3"/>
        <v>2</v>
      </c>
      <c r="N34">
        <f t="shared" si="0"/>
        <v>19</v>
      </c>
      <c r="O34">
        <f t="shared" si="4"/>
        <v>0</v>
      </c>
      <c r="P34" t="str">
        <f t="shared" si="5"/>
        <v>未達成（1）</v>
      </c>
    </row>
    <row r="35" spans="1:16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115</v>
      </c>
      <c r="I35" t="s">
        <v>116</v>
      </c>
      <c r="J35">
        <v>0</v>
      </c>
      <c r="K35">
        <f t="shared" si="1"/>
        <v>1</v>
      </c>
      <c r="L35">
        <f t="shared" si="2"/>
        <v>19</v>
      </c>
      <c r="M35">
        <f t="shared" si="3"/>
        <v>2</v>
      </c>
      <c r="N35">
        <f t="shared" si="0"/>
        <v>19</v>
      </c>
      <c r="O35">
        <f t="shared" si="4"/>
        <v>0</v>
      </c>
      <c r="P35" t="str">
        <f t="shared" si="5"/>
        <v>達成</v>
      </c>
    </row>
    <row r="36" spans="1:16">
      <c r="A36" s="3">
        <v>45973.843310185184</v>
      </c>
      <c r="B36">
        <v>55</v>
      </c>
      <c r="C36">
        <v>21</v>
      </c>
      <c r="D36">
        <v>0</v>
      </c>
      <c r="E36">
        <v>5</v>
      </c>
      <c r="F36">
        <v>3</v>
      </c>
      <c r="G36" s="5">
        <v>1.0891203703067731E-2</v>
      </c>
      <c r="H36" t="s">
        <v>119</v>
      </c>
      <c r="I36" t="s">
        <v>120</v>
      </c>
      <c r="J36">
        <v>0</v>
      </c>
      <c r="K36">
        <f t="shared" si="1"/>
        <v>1</v>
      </c>
      <c r="L36">
        <f t="shared" si="2"/>
        <v>20</v>
      </c>
      <c r="M36">
        <f t="shared" si="3"/>
        <v>2</v>
      </c>
      <c r="N36">
        <f t="shared" si="0"/>
        <v>21</v>
      </c>
      <c r="O36">
        <f t="shared" si="4"/>
        <v>0</v>
      </c>
      <c r="P36" t="str">
        <f t="shared" si="5"/>
        <v>未達成（1）</v>
      </c>
    </row>
    <row r="37" spans="1:16">
      <c r="A37" s="3">
        <v>45973.856666666667</v>
      </c>
      <c r="B37">
        <v>60</v>
      </c>
      <c r="C37">
        <v>27</v>
      </c>
      <c r="D37">
        <v>0</v>
      </c>
      <c r="E37">
        <v>0</v>
      </c>
      <c r="F37">
        <v>0</v>
      </c>
      <c r="G37" s="5">
        <v>1.0324074071832001E-2</v>
      </c>
      <c r="H37" t="s">
        <v>117</v>
      </c>
      <c r="I37" t="s">
        <v>118</v>
      </c>
      <c r="J37">
        <v>0</v>
      </c>
      <c r="K37">
        <f t="shared" si="1"/>
        <v>1</v>
      </c>
      <c r="L37">
        <f t="shared" si="2"/>
        <v>21</v>
      </c>
      <c r="M37">
        <f t="shared" si="3"/>
        <v>2</v>
      </c>
      <c r="N37">
        <f t="shared" si="0"/>
        <v>21</v>
      </c>
      <c r="O37">
        <f t="shared" si="4"/>
        <v>0</v>
      </c>
      <c r="P37" t="str">
        <f t="shared" si="5"/>
        <v>達成</v>
      </c>
    </row>
    <row r="38" spans="1:16">
      <c r="A38" s="3">
        <v>45975.317916666667</v>
      </c>
      <c r="B38">
        <v>60</v>
      </c>
      <c r="C38">
        <v>14</v>
      </c>
      <c r="D38">
        <v>0</v>
      </c>
      <c r="E38">
        <v>0</v>
      </c>
      <c r="F38">
        <v>0</v>
      </c>
      <c r="G38" s="5">
        <v>1.0081018517666962E-2</v>
      </c>
      <c r="H38" t="s">
        <v>121</v>
      </c>
      <c r="I38" t="s">
        <v>122</v>
      </c>
      <c r="J38">
        <v>0</v>
      </c>
      <c r="K38">
        <f t="shared" si="1"/>
        <v>1</v>
      </c>
      <c r="L38">
        <f t="shared" si="2"/>
        <v>22</v>
      </c>
      <c r="M38">
        <f t="shared" si="3"/>
        <v>2</v>
      </c>
      <c r="N38">
        <f t="shared" si="0"/>
        <v>25</v>
      </c>
      <c r="O38">
        <f t="shared" si="4"/>
        <v>0</v>
      </c>
      <c r="P38" t="str">
        <f t="shared" si="5"/>
        <v>未達成（3）</v>
      </c>
    </row>
    <row r="39" spans="1:16">
      <c r="A39" s="3">
        <v>45975.32885416667</v>
      </c>
      <c r="B39">
        <v>60</v>
      </c>
      <c r="C39">
        <v>21</v>
      </c>
      <c r="D39">
        <v>0</v>
      </c>
      <c r="E39">
        <v>0</v>
      </c>
      <c r="F39">
        <v>0</v>
      </c>
      <c r="G39" s="5">
        <v>1.0335648148611654E-2</v>
      </c>
      <c r="H39" t="s">
        <v>123</v>
      </c>
      <c r="I39" t="s">
        <v>124</v>
      </c>
      <c r="J39">
        <v>0</v>
      </c>
      <c r="K39">
        <f t="shared" si="1"/>
        <v>1</v>
      </c>
      <c r="L39">
        <f t="shared" si="2"/>
        <v>23</v>
      </c>
      <c r="M39">
        <f t="shared" si="3"/>
        <v>2</v>
      </c>
      <c r="N39">
        <f t="shared" si="0"/>
        <v>25</v>
      </c>
      <c r="O39">
        <f t="shared" si="4"/>
        <v>0</v>
      </c>
      <c r="P39" t="str">
        <f t="shared" si="5"/>
        <v>未達成（2）</v>
      </c>
    </row>
    <row r="40" spans="1:16">
      <c r="A40" s="3">
        <v>45976.853715277779</v>
      </c>
      <c r="B40">
        <v>60</v>
      </c>
      <c r="C40">
        <v>33</v>
      </c>
      <c r="D40">
        <v>0</v>
      </c>
      <c r="E40">
        <v>0</v>
      </c>
      <c r="F40">
        <v>0</v>
      </c>
      <c r="G40" s="5">
        <v>8.3912037080153823E-3</v>
      </c>
      <c r="H40" t="s">
        <v>125</v>
      </c>
      <c r="I40" t="s">
        <v>126</v>
      </c>
      <c r="J40">
        <v>0</v>
      </c>
      <c r="K40">
        <f t="shared" si="1"/>
        <v>1</v>
      </c>
      <c r="L40">
        <f t="shared" si="2"/>
        <v>24</v>
      </c>
      <c r="M40">
        <f t="shared" si="3"/>
        <v>2</v>
      </c>
      <c r="N40">
        <f t="shared" si="0"/>
        <v>27</v>
      </c>
      <c r="O40">
        <f t="shared" si="4"/>
        <v>0</v>
      </c>
      <c r="P40" t="str">
        <f t="shared" si="5"/>
        <v>未達成（3）</v>
      </c>
    </row>
    <row r="41" spans="1:16">
      <c r="A41" s="3">
        <v>45976.862627314818</v>
      </c>
      <c r="B41">
        <v>60</v>
      </c>
      <c r="C41">
        <v>11</v>
      </c>
      <c r="D41">
        <v>0</v>
      </c>
      <c r="E41">
        <v>0</v>
      </c>
      <c r="F41">
        <v>0</v>
      </c>
      <c r="G41" s="5">
        <v>8.4722222236450762E-3</v>
      </c>
      <c r="H41" t="s">
        <v>127</v>
      </c>
      <c r="I41" t="s">
        <v>128</v>
      </c>
      <c r="J41">
        <v>0</v>
      </c>
      <c r="K41">
        <f t="shared" si="1"/>
        <v>1</v>
      </c>
      <c r="L41">
        <f t="shared" si="2"/>
        <v>25</v>
      </c>
      <c r="M41">
        <f t="shared" si="3"/>
        <v>2</v>
      </c>
      <c r="N41">
        <f t="shared" si="0"/>
        <v>27</v>
      </c>
      <c r="O41">
        <f t="shared" si="4"/>
        <v>0</v>
      </c>
      <c r="P41" t="str">
        <f t="shared" si="5"/>
        <v>未達成（2）</v>
      </c>
    </row>
    <row r="42" spans="1:16">
      <c r="A42" s="3">
        <v>45977.309733796297</v>
      </c>
      <c r="B42">
        <v>60</v>
      </c>
      <c r="C42">
        <v>19</v>
      </c>
      <c r="D42">
        <v>0</v>
      </c>
      <c r="E42">
        <v>0</v>
      </c>
      <c r="F42">
        <v>0</v>
      </c>
      <c r="G42" s="5">
        <v>7.7546296306536533E-3</v>
      </c>
      <c r="H42" t="s">
        <v>129</v>
      </c>
      <c r="I42" t="s">
        <v>130</v>
      </c>
      <c r="J42">
        <v>0</v>
      </c>
      <c r="K42">
        <f t="shared" si="1"/>
        <v>1</v>
      </c>
      <c r="L42">
        <f t="shared" si="2"/>
        <v>26</v>
      </c>
      <c r="M42">
        <f t="shared" si="3"/>
        <v>2</v>
      </c>
      <c r="N42">
        <f t="shared" si="0"/>
        <v>29</v>
      </c>
      <c r="O42">
        <f t="shared" si="4"/>
        <v>0</v>
      </c>
      <c r="P42" t="str">
        <f t="shared" si="5"/>
        <v>未達成（3）</v>
      </c>
    </row>
    <row r="43" spans="1:16">
      <c r="A43" s="3">
        <v>45977.319560185184</v>
      </c>
      <c r="B43">
        <v>60</v>
      </c>
      <c r="C43">
        <v>24</v>
      </c>
      <c r="D43">
        <v>0</v>
      </c>
      <c r="E43">
        <v>0</v>
      </c>
      <c r="F43">
        <v>0</v>
      </c>
      <c r="G43" s="5">
        <v>8.5300925929914229E-3</v>
      </c>
      <c r="H43" t="s">
        <v>131</v>
      </c>
      <c r="I43" t="s">
        <v>132</v>
      </c>
      <c r="J43">
        <v>0</v>
      </c>
      <c r="K43">
        <f t="shared" si="1"/>
        <v>1</v>
      </c>
      <c r="L43">
        <f t="shared" si="2"/>
        <v>27</v>
      </c>
      <c r="M43">
        <f t="shared" si="3"/>
        <v>2</v>
      </c>
      <c r="N43">
        <f t="shared" si="0"/>
        <v>29</v>
      </c>
      <c r="O43">
        <f t="shared" si="4"/>
        <v>0</v>
      </c>
      <c r="P43" t="str">
        <f t="shared" si="5"/>
        <v>未達成（2）</v>
      </c>
    </row>
    <row r="44" spans="1:16">
      <c r="A44" s="3">
        <v>45977.560624999998</v>
      </c>
      <c r="B44">
        <v>60</v>
      </c>
      <c r="C44">
        <v>32</v>
      </c>
      <c r="D44">
        <v>0</v>
      </c>
      <c r="E44">
        <v>0</v>
      </c>
      <c r="F44">
        <v>0</v>
      </c>
      <c r="G44" s="5">
        <v>8.9004629626288079E-3</v>
      </c>
      <c r="H44" t="s">
        <v>133</v>
      </c>
      <c r="I44" t="s">
        <v>134</v>
      </c>
      <c r="J44">
        <v>0</v>
      </c>
      <c r="K44">
        <f t="shared" si="1"/>
        <v>1</v>
      </c>
      <c r="L44">
        <f t="shared" si="2"/>
        <v>28</v>
      </c>
      <c r="M44">
        <f t="shared" si="3"/>
        <v>2</v>
      </c>
      <c r="N44">
        <f t="shared" si="0"/>
        <v>29</v>
      </c>
      <c r="O44">
        <f t="shared" si="4"/>
        <v>0</v>
      </c>
      <c r="P44" t="str">
        <f t="shared" si="5"/>
        <v>未達成（1）</v>
      </c>
    </row>
    <row r="45" spans="1:16">
      <c r="A45" s="3">
        <v>45977.569733796299</v>
      </c>
      <c r="B45">
        <v>60</v>
      </c>
      <c r="C45">
        <v>12</v>
      </c>
      <c r="D45">
        <v>0</v>
      </c>
      <c r="E45">
        <v>0</v>
      </c>
      <c r="F45">
        <v>0</v>
      </c>
      <c r="G45" s="5">
        <v>7.6967592613073066E-3</v>
      </c>
      <c r="H45" t="s">
        <v>135</v>
      </c>
      <c r="I45" t="s">
        <v>136</v>
      </c>
      <c r="J45">
        <v>0</v>
      </c>
      <c r="K45">
        <f t="shared" si="1"/>
        <v>1</v>
      </c>
      <c r="L45">
        <f t="shared" si="2"/>
        <v>29</v>
      </c>
      <c r="M45">
        <f t="shared" si="3"/>
        <v>2</v>
      </c>
      <c r="N45">
        <f t="shared" si="0"/>
        <v>29</v>
      </c>
      <c r="O45">
        <f t="shared" si="4"/>
        <v>0</v>
      </c>
      <c r="P45" t="str">
        <f t="shared" si="5"/>
        <v>達成</v>
      </c>
    </row>
    <row r="46" spans="1:16">
      <c r="A46" s="3">
        <v>45977.856840277775</v>
      </c>
      <c r="B46">
        <v>60</v>
      </c>
      <c r="C46">
        <v>31</v>
      </c>
      <c r="D46">
        <v>0</v>
      </c>
      <c r="E46">
        <v>0</v>
      </c>
      <c r="F46">
        <v>0</v>
      </c>
      <c r="G46" s="5">
        <v>5.7870370364980772E-3</v>
      </c>
      <c r="H46" t="s">
        <v>137</v>
      </c>
      <c r="I46" t="s">
        <v>138</v>
      </c>
      <c r="J46">
        <v>0</v>
      </c>
      <c r="K46">
        <f t="shared" si="1"/>
        <v>1</v>
      </c>
      <c r="L46">
        <f t="shared" si="2"/>
        <v>30</v>
      </c>
      <c r="M46">
        <f t="shared" si="3"/>
        <v>2</v>
      </c>
      <c r="N46">
        <f t="shared" si="0"/>
        <v>29</v>
      </c>
      <c r="O46">
        <f t="shared" si="4"/>
        <v>0</v>
      </c>
      <c r="P46" t="str">
        <f t="shared" si="5"/>
        <v>前倒し（1）</v>
      </c>
    </row>
    <row r="47" spans="1:16">
      <c r="A47" s="3">
        <v>45977.87672453704</v>
      </c>
      <c r="B47">
        <v>60</v>
      </c>
      <c r="C47">
        <v>28</v>
      </c>
      <c r="D47">
        <v>0</v>
      </c>
      <c r="E47">
        <v>0</v>
      </c>
      <c r="F47">
        <v>0</v>
      </c>
      <c r="G47" s="5">
        <v>7.291666668606922E-3</v>
      </c>
      <c r="H47" t="s">
        <v>139</v>
      </c>
      <c r="I47" t="s">
        <v>140</v>
      </c>
      <c r="J47">
        <v>0</v>
      </c>
      <c r="K47">
        <f t="shared" si="1"/>
        <v>1</v>
      </c>
      <c r="L47">
        <f t="shared" si="2"/>
        <v>31</v>
      </c>
      <c r="M47">
        <f t="shared" si="3"/>
        <v>2</v>
      </c>
      <c r="N47">
        <f t="shared" si="0"/>
        <v>29</v>
      </c>
      <c r="O47">
        <f t="shared" si="4"/>
        <v>0</v>
      </c>
      <c r="P47" t="str">
        <f t="shared" si="5"/>
        <v>前倒し（2）</v>
      </c>
    </row>
    <row r="48" spans="1:16">
      <c r="A48" s="3">
        <v>45978.468275462961</v>
      </c>
      <c r="B48">
        <v>60</v>
      </c>
      <c r="C48">
        <v>23</v>
      </c>
      <c r="D48">
        <v>0</v>
      </c>
      <c r="E48">
        <v>0</v>
      </c>
      <c r="F48">
        <v>0</v>
      </c>
      <c r="G48" s="5">
        <v>5.277777774608694E-3</v>
      </c>
      <c r="H48" t="s">
        <v>141</v>
      </c>
      <c r="I48" t="s">
        <v>142</v>
      </c>
      <c r="J48">
        <v>0</v>
      </c>
      <c r="K48">
        <f t="shared" si="1"/>
        <v>1</v>
      </c>
      <c r="L48">
        <f t="shared" si="2"/>
        <v>32</v>
      </c>
      <c r="M48">
        <f t="shared" si="3"/>
        <v>2</v>
      </c>
      <c r="N48">
        <f t="shared" si="0"/>
        <v>31</v>
      </c>
      <c r="O48">
        <f t="shared" si="4"/>
        <v>0</v>
      </c>
      <c r="P48" t="str">
        <f t="shared" si="5"/>
        <v>前倒し（1）</v>
      </c>
    </row>
    <row r="49" spans="1:16">
      <c r="A49" s="3">
        <v>45978.476666666669</v>
      </c>
      <c r="B49">
        <v>60</v>
      </c>
      <c r="C49">
        <v>18</v>
      </c>
      <c r="D49">
        <v>0</v>
      </c>
      <c r="E49">
        <v>0</v>
      </c>
      <c r="F49">
        <v>0</v>
      </c>
      <c r="G49" s="5">
        <v>6.8518518528435379E-3</v>
      </c>
      <c r="H49" t="s">
        <v>143</v>
      </c>
      <c r="I49" t="s">
        <v>144</v>
      </c>
      <c r="J49">
        <v>0</v>
      </c>
      <c r="K49">
        <f t="shared" si="1"/>
        <v>1</v>
      </c>
      <c r="L49">
        <f t="shared" si="2"/>
        <v>33</v>
      </c>
      <c r="M49">
        <f t="shared" si="3"/>
        <v>2</v>
      </c>
      <c r="N49">
        <f t="shared" si="0"/>
        <v>31</v>
      </c>
      <c r="O49">
        <f t="shared" si="4"/>
        <v>0</v>
      </c>
      <c r="P49" t="str">
        <f t="shared" si="5"/>
        <v>前倒し（2）</v>
      </c>
    </row>
    <row r="50" spans="1:16">
      <c r="A50" s="3">
        <v>45978.71597222222</v>
      </c>
      <c r="B50">
        <v>60</v>
      </c>
      <c r="C50">
        <v>25</v>
      </c>
      <c r="D50">
        <v>0</v>
      </c>
      <c r="E50">
        <v>0</v>
      </c>
      <c r="F50">
        <v>0</v>
      </c>
      <c r="G50" s="5">
        <v>8.4027777775190771E-3</v>
      </c>
      <c r="H50" t="s">
        <v>145</v>
      </c>
      <c r="I50" t="s">
        <v>146</v>
      </c>
      <c r="J50">
        <v>0</v>
      </c>
      <c r="K50">
        <f t="shared" si="1"/>
        <v>1</v>
      </c>
      <c r="L50">
        <f t="shared" si="2"/>
        <v>34</v>
      </c>
      <c r="M50">
        <f t="shared" si="3"/>
        <v>2</v>
      </c>
      <c r="N50">
        <f t="shared" si="0"/>
        <v>31</v>
      </c>
      <c r="O50">
        <f t="shared" si="4"/>
        <v>0</v>
      </c>
      <c r="P50" t="str">
        <f t="shared" si="5"/>
        <v>前倒し（3）</v>
      </c>
    </row>
    <row r="51" spans="1:16">
      <c r="A51" s="3">
        <v>45978.727893518517</v>
      </c>
      <c r="B51">
        <v>60</v>
      </c>
      <c r="C51">
        <v>28</v>
      </c>
      <c r="D51">
        <v>0</v>
      </c>
      <c r="E51">
        <v>0</v>
      </c>
      <c r="F51">
        <v>0</v>
      </c>
      <c r="G51" s="5">
        <v>1.1284722218988463E-2</v>
      </c>
      <c r="H51" t="s">
        <v>147</v>
      </c>
      <c r="I51" t="s">
        <v>148</v>
      </c>
      <c r="J51">
        <v>0</v>
      </c>
      <c r="K51">
        <f t="shared" si="1"/>
        <v>1</v>
      </c>
      <c r="L51">
        <f t="shared" si="2"/>
        <v>35</v>
      </c>
      <c r="M51">
        <f t="shared" si="3"/>
        <v>2</v>
      </c>
      <c r="N51">
        <f t="shared" si="0"/>
        <v>31</v>
      </c>
      <c r="O51">
        <f t="shared" si="4"/>
        <v>0</v>
      </c>
      <c r="P51" t="str">
        <f t="shared" si="5"/>
        <v>前倒し（4）</v>
      </c>
    </row>
    <row r="52" spans="1:16">
      <c r="A52" s="3">
        <v>45980.706655092596</v>
      </c>
      <c r="B52">
        <v>60</v>
      </c>
      <c r="C52">
        <v>17</v>
      </c>
      <c r="D52">
        <v>0</v>
      </c>
      <c r="E52">
        <v>0</v>
      </c>
      <c r="F52">
        <v>0</v>
      </c>
      <c r="G52" s="5">
        <v>6.4004629675764591E-3</v>
      </c>
      <c r="H52" t="s">
        <v>149</v>
      </c>
      <c r="I52" t="s">
        <v>150</v>
      </c>
      <c r="J52">
        <v>0</v>
      </c>
      <c r="K52">
        <f t="shared" si="1"/>
        <v>1</v>
      </c>
      <c r="L52">
        <f t="shared" si="2"/>
        <v>36</v>
      </c>
      <c r="M52">
        <f t="shared" si="3"/>
        <v>2</v>
      </c>
      <c r="N52">
        <f t="shared" si="0"/>
        <v>35</v>
      </c>
      <c r="O52">
        <f t="shared" si="4"/>
        <v>0</v>
      </c>
      <c r="P52" t="str">
        <f t="shared" si="5"/>
        <v>前倒し（1）</v>
      </c>
    </row>
    <row r="53" spans="1:16">
      <c r="A53" s="3">
        <v>45980.717303240737</v>
      </c>
      <c r="B53">
        <v>60</v>
      </c>
      <c r="C53">
        <v>18</v>
      </c>
      <c r="D53">
        <v>0</v>
      </c>
      <c r="E53">
        <v>0</v>
      </c>
      <c r="F53">
        <v>0</v>
      </c>
      <c r="G53" s="5">
        <v>1.0150462956517003E-2</v>
      </c>
      <c r="H53" t="s">
        <v>151</v>
      </c>
      <c r="I53" t="s">
        <v>152</v>
      </c>
      <c r="J53">
        <v>0</v>
      </c>
      <c r="K53">
        <f t="shared" si="1"/>
        <v>1</v>
      </c>
      <c r="L53">
        <f t="shared" si="2"/>
        <v>37</v>
      </c>
      <c r="M53">
        <f t="shared" si="3"/>
        <v>2</v>
      </c>
      <c r="N53">
        <f t="shared" si="0"/>
        <v>35</v>
      </c>
      <c r="O53">
        <f t="shared" si="4"/>
        <v>0</v>
      </c>
      <c r="P53" t="str">
        <f t="shared" si="5"/>
        <v>前倒し（2）</v>
      </c>
    </row>
    <row r="54" spans="1:16">
      <c r="A54" s="3">
        <v>45981.721944444442</v>
      </c>
      <c r="B54">
        <v>60</v>
      </c>
      <c r="C54">
        <v>10</v>
      </c>
      <c r="D54">
        <v>0</v>
      </c>
      <c r="E54">
        <v>0</v>
      </c>
      <c r="F54">
        <v>0</v>
      </c>
      <c r="G54" s="5">
        <v>7.8125E-3</v>
      </c>
      <c r="H54" t="s">
        <v>153</v>
      </c>
      <c r="I54" t="s">
        <v>154</v>
      </c>
      <c r="J54">
        <v>0</v>
      </c>
      <c r="K54">
        <f t="shared" si="1"/>
        <v>1</v>
      </c>
      <c r="L54">
        <f t="shared" si="2"/>
        <v>38</v>
      </c>
      <c r="M54">
        <f t="shared" si="3"/>
        <v>2</v>
      </c>
      <c r="N54">
        <f t="shared" si="0"/>
        <v>37</v>
      </c>
      <c r="O54">
        <f t="shared" si="4"/>
        <v>0</v>
      </c>
      <c r="P54" t="str">
        <f t="shared" si="5"/>
        <v>前倒し（1）</v>
      </c>
    </row>
    <row r="55" spans="1:16">
      <c r="A55" s="3">
        <v>45981.741168981483</v>
      </c>
      <c r="B55">
        <v>60</v>
      </c>
      <c r="C55">
        <v>16</v>
      </c>
      <c r="D55">
        <v>0</v>
      </c>
      <c r="E55">
        <v>0</v>
      </c>
      <c r="F55">
        <v>0</v>
      </c>
      <c r="G55" s="5">
        <v>1.8877314818382729E-2</v>
      </c>
      <c r="H55" t="s">
        <v>155</v>
      </c>
      <c r="I55" t="s">
        <v>156</v>
      </c>
      <c r="J55">
        <v>0</v>
      </c>
      <c r="K55">
        <f t="shared" si="1"/>
        <v>0</v>
      </c>
      <c r="L55">
        <f t="shared" si="2"/>
        <v>38</v>
      </c>
      <c r="M55">
        <f t="shared" si="3"/>
        <v>2</v>
      </c>
      <c r="N55">
        <f t="shared" si="0"/>
        <v>37</v>
      </c>
      <c r="O55">
        <f t="shared" si="4"/>
        <v>0</v>
      </c>
      <c r="P55" t="str">
        <f t="shared" si="5"/>
        <v>前倒し（1）</v>
      </c>
    </row>
    <row r="56" spans="1:16">
      <c r="A56" s="3">
        <v>45982.730763888889</v>
      </c>
      <c r="B56">
        <v>60</v>
      </c>
      <c r="C56">
        <v>20</v>
      </c>
      <c r="D56">
        <v>0</v>
      </c>
      <c r="E56">
        <v>0</v>
      </c>
      <c r="F56">
        <v>0</v>
      </c>
      <c r="G56" s="5">
        <v>9.29398147854954E-3</v>
      </c>
      <c r="H56" t="s">
        <v>157</v>
      </c>
      <c r="I56" t="s">
        <v>158</v>
      </c>
      <c r="J56">
        <v>0</v>
      </c>
      <c r="K56">
        <f t="shared" si="1"/>
        <v>1</v>
      </c>
      <c r="L56">
        <f t="shared" si="2"/>
        <v>39</v>
      </c>
      <c r="M56">
        <f t="shared" si="3"/>
        <v>2</v>
      </c>
      <c r="N56">
        <f t="shared" si="0"/>
        <v>39</v>
      </c>
      <c r="O56">
        <f t="shared" si="4"/>
        <v>0</v>
      </c>
      <c r="P56" t="str">
        <f t="shared" si="5"/>
        <v>達成</v>
      </c>
    </row>
    <row r="57" spans="1:16">
      <c r="A57" s="3">
        <v>45983.588194444441</v>
      </c>
      <c r="B57">
        <v>60</v>
      </c>
      <c r="C57">
        <v>15</v>
      </c>
      <c r="D57">
        <v>0</v>
      </c>
      <c r="E57">
        <v>0</v>
      </c>
      <c r="F57">
        <v>0</v>
      </c>
      <c r="G57" s="5">
        <v>9.7453703638166189E-3</v>
      </c>
      <c r="H57" t="s">
        <v>159</v>
      </c>
      <c r="I57" t="s">
        <v>160</v>
      </c>
      <c r="J57">
        <v>0</v>
      </c>
      <c r="K57">
        <f t="shared" si="1"/>
        <v>1</v>
      </c>
      <c r="L57">
        <f t="shared" si="2"/>
        <v>40</v>
      </c>
      <c r="M57">
        <f t="shared" si="3"/>
        <v>2</v>
      </c>
      <c r="N57">
        <f t="shared" si="0"/>
        <v>41</v>
      </c>
      <c r="O57">
        <f t="shared" si="4"/>
        <v>0</v>
      </c>
      <c r="P57" t="str">
        <f t="shared" si="5"/>
        <v>未達成（1）</v>
      </c>
    </row>
    <row r="58" spans="1:16">
      <c r="A58" s="3">
        <v>45983.599224537036</v>
      </c>
      <c r="B58">
        <v>60</v>
      </c>
      <c r="C58">
        <v>20</v>
      </c>
      <c r="D58">
        <v>0</v>
      </c>
      <c r="E58">
        <v>0</v>
      </c>
      <c r="F58">
        <v>0</v>
      </c>
      <c r="G58" s="5">
        <v>1.0347222218115348E-2</v>
      </c>
      <c r="H58" t="s">
        <v>161</v>
      </c>
      <c r="I58" t="s">
        <v>162</v>
      </c>
      <c r="J58">
        <v>0</v>
      </c>
      <c r="K58">
        <f t="shared" si="1"/>
        <v>1</v>
      </c>
      <c r="L58">
        <f t="shared" si="2"/>
        <v>41</v>
      </c>
      <c r="M58">
        <f t="shared" si="3"/>
        <v>2</v>
      </c>
      <c r="N58">
        <f t="shared" si="0"/>
        <v>41</v>
      </c>
      <c r="O58">
        <f t="shared" si="4"/>
        <v>0</v>
      </c>
      <c r="P58" t="str">
        <f t="shared" si="5"/>
        <v>達成</v>
      </c>
    </row>
    <row r="59" spans="1:16">
      <c r="A59" s="3">
        <v>45985.354814814818</v>
      </c>
      <c r="B59">
        <v>60</v>
      </c>
      <c r="C59">
        <v>7</v>
      </c>
      <c r="D59">
        <v>0</v>
      </c>
      <c r="E59">
        <v>0</v>
      </c>
      <c r="F59">
        <v>0</v>
      </c>
      <c r="G59" s="5">
        <v>7.2453703760402277E-3</v>
      </c>
      <c r="H59" t="s">
        <v>164</v>
      </c>
      <c r="I59" t="s">
        <v>165</v>
      </c>
      <c r="J59">
        <v>0</v>
      </c>
      <c r="K59">
        <f t="shared" si="1"/>
        <v>1</v>
      </c>
      <c r="L59">
        <f t="shared" ref="L59" si="6">L58+K59</f>
        <v>42</v>
      </c>
      <c r="M59">
        <f t="shared" si="3"/>
        <v>2</v>
      </c>
      <c r="N59">
        <f t="shared" si="0"/>
        <v>45</v>
      </c>
      <c r="O59">
        <f t="shared" si="4"/>
        <v>0</v>
      </c>
      <c r="P59" t="str">
        <f t="shared" ref="P59" si="7">IF(L59&lt;N59,"未達成（"&amp;N59-L59&amp;"）",IF(L59=N59,"達成","前倒し（"&amp;L59-N59&amp;"）"))</f>
        <v>未達成（3）</v>
      </c>
    </row>
    <row r="60" spans="1:16">
      <c r="A60" s="3">
        <v>45985.363796296297</v>
      </c>
      <c r="B60">
        <v>54</v>
      </c>
      <c r="C60">
        <v>20</v>
      </c>
      <c r="D60">
        <v>0</v>
      </c>
      <c r="E60">
        <v>6</v>
      </c>
      <c r="F60">
        <v>0</v>
      </c>
      <c r="G60" s="5">
        <v>8.3101851851097308E-3</v>
      </c>
      <c r="H60" t="s">
        <v>166</v>
      </c>
      <c r="I60" t="s">
        <v>167</v>
      </c>
      <c r="J60">
        <v>0</v>
      </c>
      <c r="K60">
        <f t="shared" si="1"/>
        <v>0</v>
      </c>
      <c r="L60">
        <f t="shared" ref="L60" si="8">L59+K60</f>
        <v>42</v>
      </c>
      <c r="M60">
        <f t="shared" si="3"/>
        <v>2</v>
      </c>
      <c r="N60">
        <f t="shared" si="0"/>
        <v>45</v>
      </c>
      <c r="O60">
        <f t="shared" si="4"/>
        <v>0</v>
      </c>
      <c r="P60" t="str">
        <f t="shared" ref="P60" si="9">IF(L60&lt;N60,"未達成（"&amp;N60-L60&amp;"）",IF(L60=N60,"達成","前倒し（"&amp;L60-N60&amp;"）"))</f>
        <v>未達成（3）</v>
      </c>
    </row>
    <row r="61" spans="1:16">
      <c r="A61" s="3">
        <v>45985.538761574076</v>
      </c>
      <c r="B61">
        <v>60</v>
      </c>
      <c r="C61">
        <v>36</v>
      </c>
      <c r="D61">
        <v>1</v>
      </c>
      <c r="E61">
        <v>0</v>
      </c>
      <c r="F61">
        <v>0</v>
      </c>
      <c r="G61" s="5">
        <v>8.5069444467080757E-3</v>
      </c>
      <c r="H61" t="s">
        <v>168</v>
      </c>
      <c r="I61" t="s">
        <v>169</v>
      </c>
      <c r="J61">
        <v>0</v>
      </c>
      <c r="K61">
        <f t="shared" si="1"/>
        <v>0</v>
      </c>
      <c r="L61">
        <f t="shared" ref="L61" si="10">L60+K61</f>
        <v>42</v>
      </c>
      <c r="M61">
        <f t="shared" si="3"/>
        <v>2</v>
      </c>
      <c r="N61">
        <f t="shared" si="0"/>
        <v>45</v>
      </c>
      <c r="O61">
        <f t="shared" si="4"/>
        <v>0</v>
      </c>
      <c r="P61" t="str">
        <f t="shared" ref="P61" si="11">IF(L61&lt;N61,"未達成（"&amp;N61-L61&amp;"）",IF(L61=N61,"達成","前倒し（"&amp;L61-N61&amp;"）"))</f>
        <v>未達成（3）</v>
      </c>
    </row>
    <row r="62" spans="1:16">
      <c r="A62" s="3">
        <v>45985.598680555559</v>
      </c>
      <c r="B62">
        <v>60</v>
      </c>
      <c r="C62">
        <v>6</v>
      </c>
      <c r="D62">
        <v>0</v>
      </c>
      <c r="E62">
        <v>0</v>
      </c>
      <c r="F62">
        <v>0</v>
      </c>
      <c r="G62" s="5">
        <v>1.0196759263635613E-2</v>
      </c>
      <c r="H62" t="s">
        <v>176</v>
      </c>
      <c r="I62" t="s">
        <v>177</v>
      </c>
      <c r="J62">
        <v>0</v>
      </c>
      <c r="K62">
        <f t="shared" si="1"/>
        <v>1</v>
      </c>
      <c r="L62">
        <f t="shared" ref="L62" si="12">L61+K62</f>
        <v>43</v>
      </c>
      <c r="M62">
        <f t="shared" si="3"/>
        <v>2</v>
      </c>
      <c r="N62">
        <f t="shared" si="0"/>
        <v>45</v>
      </c>
      <c r="O62">
        <f t="shared" si="4"/>
        <v>0</v>
      </c>
      <c r="P62" t="str">
        <f t="shared" ref="P62" si="13">IF(L62&lt;N62,"未達成（"&amp;N62-L62&amp;"）",IF(L62=N62,"達成","前倒し（"&amp;L62-N62&amp;"）"))</f>
        <v>未達成（2）</v>
      </c>
    </row>
    <row r="63" spans="1:16">
      <c r="A63" s="3">
        <v>45985.709016203706</v>
      </c>
      <c r="B63">
        <v>60</v>
      </c>
      <c r="C63">
        <v>21</v>
      </c>
      <c r="D63">
        <v>0</v>
      </c>
      <c r="E63">
        <v>0</v>
      </c>
      <c r="F63">
        <v>0</v>
      </c>
      <c r="G63" s="5">
        <v>5.7175925976480357E-3</v>
      </c>
      <c r="H63" t="s">
        <v>181</v>
      </c>
      <c r="I63" t="s">
        <v>182</v>
      </c>
      <c r="J63">
        <v>0</v>
      </c>
      <c r="K63">
        <f t="shared" ref="K63" si="14">IF(A63&lt;DATEVALUE("2025/11/20"),1,IF(B63-SUM(D63:F63)&lt;&gt;60,0,MAX(2-INT(G63*24*60/10),0)))</f>
        <v>2</v>
      </c>
      <c r="L63">
        <f t="shared" ref="L63" si="15">L62+K63</f>
        <v>45</v>
      </c>
      <c r="M63">
        <f t="shared" si="3"/>
        <v>2</v>
      </c>
      <c r="N63">
        <f t="shared" si="0"/>
        <v>45</v>
      </c>
      <c r="O63">
        <f t="shared" si="4"/>
        <v>0</v>
      </c>
      <c r="P63" t="str">
        <f t="shared" ref="P63" si="16">IF(L63&lt;N63,"未達成（"&amp;N63-L63&amp;"）",IF(L63=N63,"達成","前倒し（"&amp;L63-N63&amp;"）"))</f>
        <v>達成</v>
      </c>
    </row>
    <row r="64" spans="1:16">
      <c r="A64" s="3">
        <v>45986.535011574073</v>
      </c>
      <c r="B64">
        <v>60</v>
      </c>
      <c r="C64">
        <v>41</v>
      </c>
      <c r="D64">
        <v>0</v>
      </c>
      <c r="E64">
        <v>0</v>
      </c>
      <c r="F64">
        <v>0</v>
      </c>
      <c r="G64" s="5">
        <v>6.701388891087845E-3</v>
      </c>
      <c r="H64" t="s">
        <v>183</v>
      </c>
      <c r="I64" t="s">
        <v>184</v>
      </c>
      <c r="J64">
        <v>0</v>
      </c>
      <c r="K64">
        <f t="shared" ref="K64" si="17">IF(A64&lt;DATEVALUE("2025/11/20"),1,IF(B64-SUM(D64:F64)&lt;&gt;60,0,MAX(2-INT(G64*24*60/10),0)))</f>
        <v>2</v>
      </c>
      <c r="L64">
        <f t="shared" ref="L64" si="18">L63+K64</f>
        <v>47</v>
      </c>
      <c r="M64">
        <f t="shared" si="3"/>
        <v>2</v>
      </c>
      <c r="N64">
        <f t="shared" ref="N64" si="19">N63+M64*(INT(A64-6/24)-INT(A63-6/24))+O64</f>
        <v>47</v>
      </c>
      <c r="O64">
        <f t="shared" si="4"/>
        <v>0</v>
      </c>
      <c r="P64" t="str">
        <f t="shared" ref="P64" si="20">IF(L64&lt;N64,"未達成（"&amp;N64-L64&amp;"）",IF(L64=N64,"達成","前倒し（"&amp;L64-N64&amp;"）"))</f>
        <v>達成</v>
      </c>
    </row>
    <row r="65" spans="1:16">
      <c r="A65" s="3">
        <v>45987.58321759259</v>
      </c>
      <c r="B65">
        <v>57</v>
      </c>
      <c r="C65">
        <v>20</v>
      </c>
      <c r="D65">
        <v>0</v>
      </c>
      <c r="E65">
        <v>3</v>
      </c>
      <c r="F65">
        <v>2</v>
      </c>
      <c r="G65" s="5">
        <v>7.696759254031349E-3</v>
      </c>
      <c r="H65" t="s">
        <v>185</v>
      </c>
      <c r="I65" t="s">
        <v>186</v>
      </c>
      <c r="J65">
        <v>0</v>
      </c>
      <c r="K65">
        <f t="shared" ref="K65" si="21">IF(A65&lt;DATEVALUE("2025/11/20"),1,IF(B65-SUM(D65:F65)&lt;&gt;60,0,MAX(2-INT(G65*24*60/10),0)))</f>
        <v>0</v>
      </c>
      <c r="L65">
        <f t="shared" ref="L65" si="22">L64+K65</f>
        <v>47</v>
      </c>
      <c r="M65">
        <f t="shared" si="3"/>
        <v>2</v>
      </c>
      <c r="N65">
        <f t="shared" ref="N65" si="23">N64+M65*(INT(A65-6/24)-INT(A64-6/24))+O65</f>
        <v>49</v>
      </c>
      <c r="O65">
        <f t="shared" si="4"/>
        <v>0</v>
      </c>
      <c r="P65" t="str">
        <f t="shared" ref="P65" si="24">IF(L65&lt;N65,"未達成（"&amp;N65-L65&amp;"）",IF(L65=N65,"達成","前倒し（"&amp;L65-N65&amp;"）"))</f>
        <v>未達成（2）</v>
      </c>
    </row>
    <row r="66" spans="1:16">
      <c r="A66" s="3">
        <v>45987.616712962961</v>
      </c>
      <c r="B66">
        <v>60</v>
      </c>
      <c r="C66">
        <v>28</v>
      </c>
      <c r="D66">
        <v>0</v>
      </c>
      <c r="E66">
        <v>0</v>
      </c>
      <c r="F66">
        <v>0</v>
      </c>
      <c r="G66" s="5">
        <v>6.6782407375285402E-3</v>
      </c>
      <c r="H66" t="s">
        <v>187</v>
      </c>
      <c r="I66" t="s">
        <v>188</v>
      </c>
      <c r="J66">
        <v>0</v>
      </c>
      <c r="K66">
        <f t="shared" ref="K66" si="25">IF(A66&lt;DATEVALUE("2025/11/20"),1,IF(B66-SUM(D66:F66)&lt;&gt;60,0,MAX(2-INT(G66*24*60/10),0)))</f>
        <v>2</v>
      </c>
      <c r="L66">
        <f t="shared" ref="L66" si="26">L65+K66</f>
        <v>49</v>
      </c>
      <c r="M66">
        <f t="shared" si="3"/>
        <v>2</v>
      </c>
      <c r="N66">
        <f t="shared" ref="N66" si="27">N65+M66*(INT(A66-6/24)-INT(A65-6/24))+O66</f>
        <v>49</v>
      </c>
      <c r="O66">
        <f t="shared" si="4"/>
        <v>0</v>
      </c>
      <c r="P66" t="str">
        <f t="shared" ref="P66" si="28">IF(L66&lt;N66,"未達成（"&amp;N66-L66&amp;"）",IF(L66=N66,"達成","前倒し（"&amp;L66-N66&amp;"）"))</f>
        <v>達成</v>
      </c>
    </row>
    <row r="67" spans="1:16">
      <c r="A67" s="3">
        <v>45988.290625000001</v>
      </c>
      <c r="B67">
        <v>60</v>
      </c>
      <c r="C67">
        <v>25</v>
      </c>
      <c r="D67">
        <v>0</v>
      </c>
      <c r="E67">
        <v>0</v>
      </c>
      <c r="F67">
        <v>0</v>
      </c>
      <c r="G67" s="5">
        <v>1.0150462963792961E-2</v>
      </c>
      <c r="H67" t="s">
        <v>189</v>
      </c>
      <c r="I67" t="s">
        <v>190</v>
      </c>
      <c r="J67">
        <v>0</v>
      </c>
      <c r="K67">
        <f t="shared" ref="K67" si="29">IF(A67&lt;DATEVALUE("2025/11/20"),1,IF(B67-SUM(D67:F67)&lt;&gt;60,0,MAX(2-INT(G67*24*60/10),0)))</f>
        <v>1</v>
      </c>
      <c r="L67">
        <f t="shared" ref="L67" si="30">L66+K67</f>
        <v>50</v>
      </c>
      <c r="M67">
        <f t="shared" si="3"/>
        <v>2</v>
      </c>
      <c r="N67">
        <f t="shared" ref="N67" si="31">N66+M67*(INT(A67-6/24)-INT(A66-6/24))+O67</f>
        <v>51</v>
      </c>
      <c r="O67">
        <f t="shared" si="4"/>
        <v>0</v>
      </c>
      <c r="P67" t="str">
        <f t="shared" ref="P67" si="32">IF(L67&lt;N67,"未達成（"&amp;N67-L67&amp;"）",IF(L67=N67,"達成","前倒し（"&amp;L67-N67&amp;"）"))</f>
        <v>未達成（1）</v>
      </c>
    </row>
    <row r="68" spans="1:16">
      <c r="A68" s="3">
        <v>45988.529618055552</v>
      </c>
      <c r="B68">
        <v>60</v>
      </c>
      <c r="C68">
        <v>21</v>
      </c>
      <c r="D68">
        <v>0</v>
      </c>
      <c r="E68">
        <v>0</v>
      </c>
      <c r="F68">
        <v>0</v>
      </c>
      <c r="G68" s="5">
        <v>1.7013888886140194E-2</v>
      </c>
      <c r="H68" t="s">
        <v>191</v>
      </c>
      <c r="I68" t="s">
        <v>192</v>
      </c>
      <c r="J68">
        <v>0</v>
      </c>
      <c r="K68">
        <f t="shared" ref="K68" si="33">IF(A68&lt;DATEVALUE("2025/11/20"),1,IF(B68-SUM(D68:F68)&lt;&gt;60,0,MAX(2-INT(G68*24*60/10),0)))</f>
        <v>0</v>
      </c>
      <c r="L68">
        <f t="shared" ref="L68" si="34">L67+K68</f>
        <v>50</v>
      </c>
      <c r="M68">
        <f t="shared" si="3"/>
        <v>2</v>
      </c>
      <c r="N68">
        <f t="shared" ref="N68" si="35">N67+M68*(INT(A68-6/24)-INT(A67-6/24))+O68</f>
        <v>51</v>
      </c>
      <c r="O68">
        <f t="shared" si="4"/>
        <v>0</v>
      </c>
      <c r="P68" t="str">
        <f t="shared" ref="P68" si="36">IF(L68&lt;N68,"未達成（"&amp;N68-L68&amp;"）",IF(L68=N68,"達成","前倒し（"&amp;L68-N68&amp;"）"))</f>
        <v>未達成（1）</v>
      </c>
    </row>
    <row r="69" spans="1:16">
      <c r="A69" s="3">
        <v>45988.852812500001</v>
      </c>
      <c r="B69">
        <v>60</v>
      </c>
      <c r="C69">
        <v>31</v>
      </c>
      <c r="D69">
        <v>0</v>
      </c>
      <c r="E69">
        <v>0</v>
      </c>
      <c r="F69">
        <v>0</v>
      </c>
      <c r="G69" s="5">
        <v>1.0983796295477077E-2</v>
      </c>
      <c r="H69" t="s">
        <v>193</v>
      </c>
      <c r="I69" t="s">
        <v>194</v>
      </c>
      <c r="J69">
        <v>0</v>
      </c>
      <c r="K69">
        <f t="shared" ref="K69" si="37">IF(A69&lt;DATEVALUE("2025/11/20"),1,IF(B69-SUM(D69:F69)&lt;&gt;60,0,MAX(2-INT(G69*24*60/10),0)))</f>
        <v>1</v>
      </c>
      <c r="L69">
        <f t="shared" ref="L69" si="38">L68+K69</f>
        <v>51</v>
      </c>
      <c r="M69">
        <f t="shared" si="3"/>
        <v>2</v>
      </c>
      <c r="N69">
        <f t="shared" ref="N69" si="39">N68+M69*(INT(A69-6/24)-INT(A68-6/24))+O69</f>
        <v>51</v>
      </c>
      <c r="O69">
        <f t="shared" si="4"/>
        <v>0</v>
      </c>
      <c r="P69" t="str">
        <f t="shared" ref="P69" si="40">IF(L69&lt;N69,"未達成（"&amp;N69-L69&amp;"）",IF(L69=N69,"達成","前倒し（"&amp;L69-N69&amp;"）"))</f>
        <v>達成</v>
      </c>
    </row>
    <row r="70" spans="1:16">
      <c r="A70" s="3">
        <v>45989.291273148148</v>
      </c>
      <c r="B70">
        <v>53</v>
      </c>
      <c r="C70">
        <v>13</v>
      </c>
      <c r="D70">
        <v>0</v>
      </c>
      <c r="E70">
        <v>7</v>
      </c>
      <c r="F70">
        <v>0</v>
      </c>
      <c r="G70" s="5">
        <v>7.9861111080390401E-3</v>
      </c>
      <c r="H70" t="s">
        <v>195</v>
      </c>
      <c r="I70" t="s">
        <v>196</v>
      </c>
      <c r="J70">
        <v>0</v>
      </c>
      <c r="K70">
        <f t="shared" ref="K70" si="41">IF(A70&lt;DATEVALUE("2025/11/20"),1,IF(B70-SUM(D70:F70)&lt;&gt;60,0,MAX(2-INT(G70*24*60/10),0)))</f>
        <v>0</v>
      </c>
      <c r="L70">
        <f t="shared" ref="L70" si="42">L69+K70</f>
        <v>51</v>
      </c>
      <c r="M70">
        <f t="shared" si="3"/>
        <v>2</v>
      </c>
      <c r="N70">
        <f t="shared" ref="N70" si="43">N69+M70*(INT(A70-6/24)-INT(A69-6/24))+O70</f>
        <v>53</v>
      </c>
      <c r="O70">
        <f t="shared" si="4"/>
        <v>0</v>
      </c>
      <c r="P70" t="str">
        <f t="shared" ref="P70" si="44">IF(L70&lt;N70,"未達成（"&amp;N70-L70&amp;"）",IF(L70=N70,"達成","前倒し（"&amp;L70-N70&amp;"）"))</f>
        <v>未達成（2）</v>
      </c>
    </row>
    <row r="71" spans="1:16">
      <c r="A71" s="3">
        <v>45989.299722222226</v>
      </c>
      <c r="B71">
        <v>60</v>
      </c>
      <c r="C71">
        <v>42</v>
      </c>
      <c r="D71">
        <v>0</v>
      </c>
      <c r="E71">
        <v>0</v>
      </c>
      <c r="F71">
        <v>0</v>
      </c>
      <c r="G71" s="5">
        <v>7.6967592613073066E-3</v>
      </c>
      <c r="H71" t="s">
        <v>197</v>
      </c>
      <c r="I71" t="s">
        <v>198</v>
      </c>
      <c r="J71">
        <v>0</v>
      </c>
      <c r="K71">
        <f t="shared" ref="K71" si="45">IF(A71&lt;DATEVALUE("2025/11/20"),1,IF(B71-SUM(D71:F71)&lt;&gt;60,0,MAX(2-INT(G71*24*60/10),0)))</f>
        <v>1</v>
      </c>
      <c r="L71">
        <f t="shared" ref="L71" si="46">L70+K71</f>
        <v>52</v>
      </c>
      <c r="M71">
        <f t="shared" si="3"/>
        <v>2</v>
      </c>
      <c r="N71">
        <f t="shared" ref="N71" si="47">N70+M71*(INT(A71-6/24)-INT(A70-6/24))+O71</f>
        <v>53</v>
      </c>
      <c r="O71">
        <f t="shared" si="4"/>
        <v>0</v>
      </c>
      <c r="P71" t="str">
        <f t="shared" ref="P71" si="48">IF(L71&lt;N71,"未達成（"&amp;N71-L71&amp;"）",IF(L71=N71,"達成","前倒し（"&amp;L71-N71&amp;"）"))</f>
        <v>未達成（1）</v>
      </c>
    </row>
    <row r="72" spans="1:16">
      <c r="A72" s="3">
        <v>45989.308298611111</v>
      </c>
      <c r="B72">
        <v>60</v>
      </c>
      <c r="C72">
        <v>19</v>
      </c>
      <c r="D72">
        <v>0</v>
      </c>
      <c r="E72">
        <v>0</v>
      </c>
      <c r="F72">
        <v>0</v>
      </c>
      <c r="G72" s="5">
        <v>7.7662037074333057E-3</v>
      </c>
      <c r="H72" t="s">
        <v>199</v>
      </c>
      <c r="I72" t="s">
        <v>200</v>
      </c>
      <c r="J72">
        <v>0</v>
      </c>
      <c r="K72">
        <f t="shared" ref="K72" si="49">IF(A72&lt;DATEVALUE("2025/11/20"),1,IF(B72-SUM(D72:F72)&lt;&gt;60,0,MAX(2-INT(G72*24*60/10),0)))</f>
        <v>1</v>
      </c>
      <c r="L72">
        <f t="shared" ref="L72" si="50">L71+K72</f>
        <v>53</v>
      </c>
      <c r="M72">
        <f t="shared" si="3"/>
        <v>2</v>
      </c>
      <c r="N72">
        <f t="shared" ref="N72" si="51">N71+M72*(INT(A72-6/24)-INT(A71-6/24))+O72</f>
        <v>53</v>
      </c>
      <c r="O72">
        <f t="shared" si="4"/>
        <v>0</v>
      </c>
      <c r="P72" t="str">
        <f t="shared" ref="P72" si="52">IF(L72&lt;N72,"未達成（"&amp;N72-L72&amp;"）",IF(L72=N72,"達成","前倒し（"&amp;L72-N72&amp;"）"))</f>
        <v>達成</v>
      </c>
    </row>
    <row r="73" spans="1:16">
      <c r="A73" s="3">
        <v>45990.459027777775</v>
      </c>
      <c r="B73">
        <v>60</v>
      </c>
      <c r="C73">
        <v>13</v>
      </c>
      <c r="D73">
        <v>0</v>
      </c>
      <c r="E73">
        <v>0</v>
      </c>
      <c r="F73">
        <v>0</v>
      </c>
      <c r="G73" s="5">
        <v>9.814814809942618E-3</v>
      </c>
      <c r="H73" t="s">
        <v>201</v>
      </c>
      <c r="I73" t="s">
        <v>202</v>
      </c>
      <c r="J73">
        <v>0</v>
      </c>
      <c r="K73">
        <f t="shared" ref="K73" si="53">IF(A73&lt;DATEVALUE("2025/11/20"),1,IF(B73-SUM(D73:F73)&lt;&gt;60,0,MAX(2-INT(G73*24*60/10),0)))</f>
        <v>1</v>
      </c>
      <c r="L73">
        <f t="shared" ref="L73" si="54">L72+K73</f>
        <v>54</v>
      </c>
      <c r="M73">
        <f t="shared" si="3"/>
        <v>2</v>
      </c>
      <c r="N73">
        <f t="shared" ref="N73" si="55">N72+M73*(INT(A73-6/24)-INT(A72-6/24))+O73</f>
        <v>55</v>
      </c>
      <c r="O73">
        <f t="shared" si="4"/>
        <v>0</v>
      </c>
      <c r="P73" t="str">
        <f t="shared" ref="P73" si="56">IF(L73&lt;N73,"未達成（"&amp;N73-L73&amp;"）",IF(L73=N73,"達成","前倒し（"&amp;L73-N73&amp;"）"))</f>
        <v>未達成（1）</v>
      </c>
    </row>
    <row r="74" spans="1:16">
      <c r="A74" s="3">
        <v>45990.539907407408</v>
      </c>
      <c r="B74">
        <v>60</v>
      </c>
      <c r="C74">
        <v>10</v>
      </c>
      <c r="D74">
        <v>0</v>
      </c>
      <c r="E74">
        <v>0</v>
      </c>
      <c r="F74">
        <v>0</v>
      </c>
      <c r="G74" s="5">
        <v>1.1226851849642117E-2</v>
      </c>
      <c r="H74" t="s">
        <v>203</v>
      </c>
      <c r="I74" t="s">
        <v>204</v>
      </c>
      <c r="J74">
        <v>0</v>
      </c>
      <c r="K74">
        <f t="shared" ref="K74" si="57">IF(A74&lt;DATEVALUE("2025/11/20"),1,IF(B74-SUM(D74:F74)&lt;&gt;60,0,MAX(2-INT(G74*24*60/10),0)))</f>
        <v>1</v>
      </c>
      <c r="L74">
        <f t="shared" ref="L74" si="58">L73+K74</f>
        <v>55</v>
      </c>
      <c r="M74">
        <f t="shared" si="3"/>
        <v>2</v>
      </c>
      <c r="N74">
        <f t="shared" ref="N74" si="59">N73+M74*(INT(A74-6/24)-INT(A73-6/24))+O74</f>
        <v>55</v>
      </c>
      <c r="O74">
        <f t="shared" si="4"/>
        <v>0</v>
      </c>
      <c r="P74" t="str">
        <f t="shared" ref="P74" si="60">IF(L74&lt;N74,"未達成（"&amp;N74-L74&amp;"）",IF(L74=N74,"達成","前倒し（"&amp;L74-N74&amp;"）"))</f>
        <v>達成</v>
      </c>
    </row>
    <row r="75" spans="1:16">
      <c r="A75" s="3">
        <v>45991.563125000001</v>
      </c>
      <c r="B75">
        <v>60</v>
      </c>
      <c r="C75">
        <v>14</v>
      </c>
      <c r="D75">
        <v>0</v>
      </c>
      <c r="E75">
        <v>0</v>
      </c>
      <c r="F75">
        <v>0</v>
      </c>
      <c r="G75" s="5">
        <v>5.694444444088731E-3</v>
      </c>
      <c r="H75" t="s">
        <v>205</v>
      </c>
      <c r="I75" t="s">
        <v>206</v>
      </c>
      <c r="J75">
        <v>0</v>
      </c>
      <c r="K75">
        <f t="shared" ref="K75" si="61">IF(A75&lt;DATEVALUE("2025/11/20"),1,IF(B75-SUM(D75:F75)&lt;&gt;60,0,MAX(2-INT(G75*24*60/10),0)))</f>
        <v>2</v>
      </c>
      <c r="L75">
        <f t="shared" ref="L75" si="62">L74+K75</f>
        <v>57</v>
      </c>
      <c r="M75">
        <f t="shared" si="3"/>
        <v>3</v>
      </c>
      <c r="N75">
        <f t="shared" ref="N75" si="63">N74+M75*(INT(A75-6/24)-INT(A74-6/24))+O75</f>
        <v>58</v>
      </c>
      <c r="O75">
        <f t="shared" si="4"/>
        <v>0</v>
      </c>
      <c r="P75" t="str">
        <f t="shared" ref="P75" si="64">IF(L75&lt;N75,"未達成（"&amp;N75-L75&amp;"）",IF(L75=N75,"達成","前倒し（"&amp;L75-N75&amp;"）"))</f>
        <v>未達成（1）</v>
      </c>
    </row>
    <row r="76" spans="1:16">
      <c r="A76" s="3">
        <v>45991.575856481482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5.5324074055533856E-3</v>
      </c>
      <c r="H76" t="s">
        <v>208</v>
      </c>
      <c r="I76" t="s">
        <v>209</v>
      </c>
      <c r="J76">
        <v>0</v>
      </c>
      <c r="K76">
        <f t="shared" ref="K76" si="65">IF(A76&lt;DATEVALUE("2025/11/20"),1,IF(B76-SUM(D76:F76)&lt;&gt;60,0,MAX(2-INT(G76*24*60/10),0)))</f>
        <v>2</v>
      </c>
      <c r="L76">
        <f t="shared" ref="L76" si="66">L75+K76</f>
        <v>59</v>
      </c>
      <c r="M76">
        <f t="shared" ref="M76" si="67">2+IF(A76&gt;=DATEVALUE("2025/11/30"),1,0)</f>
        <v>3</v>
      </c>
      <c r="N76">
        <f t="shared" ref="N76" si="68">N75+M76*(INT(A76-6/24)-INT(A75-6/24))+O76</f>
        <v>58</v>
      </c>
      <c r="O76">
        <f t="shared" ref="O76" si="69">IF(A76&gt;=DATEVALUE("2025/11/8"),1,0)-IF(A75&gt;=DATEVALUE("2025/11/8"),1,0)</f>
        <v>0</v>
      </c>
      <c r="P76" t="str">
        <f t="shared" ref="P76" si="70">IF(L76&lt;N76,"未達成（"&amp;N76-L76&amp;"）",IF(L76=N76,"達成","前倒し（"&amp;L76-N76&amp;"）"))</f>
        <v>前倒し（1）</v>
      </c>
    </row>
    <row r="77" spans="1:16">
      <c r="A77" s="3">
        <v>45992.289467592593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1.0162037040572613E-2</v>
      </c>
      <c r="H77" t="s">
        <v>210</v>
      </c>
      <c r="I77" t="s">
        <v>211</v>
      </c>
      <c r="J77">
        <v>0</v>
      </c>
      <c r="K77">
        <f t="shared" ref="K77" si="71">IF(A77&lt;DATEVALUE("2025/11/20"),1,IF(B77-SUM(D77:F77)&lt;&gt;60,0,MAX(2-INT(G77*24*60/10),0)))</f>
        <v>1</v>
      </c>
      <c r="L77">
        <f t="shared" ref="L77" si="72">L76+K77</f>
        <v>60</v>
      </c>
      <c r="M77">
        <f t="shared" ref="M77" si="73">2+IF(A77&gt;=DATEVALUE("2025/11/30"),1,0)</f>
        <v>3</v>
      </c>
      <c r="N77">
        <f t="shared" ref="N77" si="74">N76+M77*(INT(A77-6/24)-INT(A76-6/24))+O77</f>
        <v>61</v>
      </c>
      <c r="O77">
        <f t="shared" ref="O77" si="75">IF(A77&gt;=DATEVALUE("2025/11/8"),1,0)-IF(A76&gt;=DATEVALUE("2025/11/8"),1,0)</f>
        <v>0</v>
      </c>
      <c r="P77" t="str">
        <f t="shared" ref="P77" si="76">IF(L77&lt;N77,"未達成（"&amp;N77-L77&amp;"）",IF(L77=N77,"達成","前倒し（"&amp;L77-N77&amp;"）"))</f>
        <v>未達成（1）</v>
      </c>
    </row>
    <row r="78" spans="1:16">
      <c r="A78" s="3">
        <v>45992.298761574071</v>
      </c>
      <c r="B78">
        <v>60</v>
      </c>
      <c r="C78">
        <v>8</v>
      </c>
      <c r="D78">
        <v>0</v>
      </c>
      <c r="E78">
        <v>0</v>
      </c>
      <c r="F78">
        <v>0</v>
      </c>
      <c r="G78" s="5">
        <v>6.168981475639157E-3</v>
      </c>
      <c r="H78" t="s">
        <v>212</v>
      </c>
      <c r="I78" t="s">
        <v>213</v>
      </c>
      <c r="J78">
        <v>0</v>
      </c>
      <c r="K78">
        <f t="shared" ref="K78" si="77">IF(A78&lt;DATEVALUE("2025/11/20"),1,IF(B78-SUM(D78:F78)&lt;&gt;60,0,MAX(2-INT(G78*24*60/10),0)))</f>
        <v>2</v>
      </c>
      <c r="L78">
        <f t="shared" ref="L78" si="78">L77+K78</f>
        <v>62</v>
      </c>
      <c r="M78">
        <f t="shared" ref="M78" si="79">2+IF(A78&gt;=DATEVALUE("2025/11/30"),1,0)</f>
        <v>3</v>
      </c>
      <c r="N78">
        <f t="shared" ref="N78" si="80">N77+M78*(INT(A78-6/24)-INT(A77-6/24))+O78</f>
        <v>61</v>
      </c>
      <c r="O78">
        <f t="shared" ref="O78" si="81">IF(A78&gt;=DATEVALUE("2025/11/8"),1,0)-IF(A77&gt;=DATEVALUE("2025/11/8"),1,0)</f>
        <v>0</v>
      </c>
      <c r="P78" t="str">
        <f t="shared" ref="P78" si="82">IF(L78&lt;N78,"未達成（"&amp;N78-L78&amp;"）",IF(L78=N78,"達成","前倒し（"&amp;L78-N78&amp;"）"))</f>
        <v>前倒し（1）</v>
      </c>
    </row>
    <row r="79" spans="1:16">
      <c r="A79" s="3">
        <v>45993.285081018519</v>
      </c>
      <c r="B79">
        <v>48</v>
      </c>
      <c r="C79">
        <v>7</v>
      </c>
      <c r="D79">
        <v>0</v>
      </c>
      <c r="E79">
        <v>12</v>
      </c>
      <c r="F79">
        <v>0</v>
      </c>
      <c r="G79" s="5">
        <v>7.8703703693463467E-3</v>
      </c>
      <c r="H79" t="s">
        <v>214</v>
      </c>
      <c r="I79" t="s">
        <v>215</v>
      </c>
      <c r="J79">
        <v>0</v>
      </c>
      <c r="K79">
        <f t="shared" ref="K79" si="83">IF(A79&lt;DATEVALUE("2025/11/20"),1,IF(B79-SUM(D79:F79)&lt;&gt;60,0,MAX(2-INT(G79*24*60/10),0)))</f>
        <v>0</v>
      </c>
      <c r="L79">
        <f t="shared" ref="L79" si="84">L78+K79</f>
        <v>62</v>
      </c>
      <c r="M79">
        <f t="shared" ref="M79" si="85">2+IF(A79&gt;=DATEVALUE("2025/11/30"),1,0)</f>
        <v>3</v>
      </c>
      <c r="N79">
        <f t="shared" ref="N79" si="86">N78+M79*(INT(A79-6/24)-INT(A78-6/24))+O79</f>
        <v>64</v>
      </c>
      <c r="O79">
        <f t="shared" ref="O79" si="87">IF(A79&gt;=DATEVALUE("2025/11/8"),1,0)-IF(A78&gt;=DATEVALUE("2025/11/8"),1,0)</f>
        <v>0</v>
      </c>
      <c r="P79" t="str">
        <f t="shared" ref="P79" si="88">IF(L79&lt;N79,"未達成（"&amp;N79-L79&amp;"）",IF(L79=N79,"達成","前倒し（"&amp;L79-N79&amp;"）"))</f>
        <v>未達成（2）</v>
      </c>
    </row>
    <row r="80" spans="1:16">
      <c r="A80" s="3">
        <v>45993.29241898148</v>
      </c>
      <c r="B80">
        <v>60</v>
      </c>
      <c r="C80">
        <v>18</v>
      </c>
      <c r="D80">
        <v>0</v>
      </c>
      <c r="E80">
        <v>0</v>
      </c>
      <c r="F80">
        <v>0</v>
      </c>
      <c r="G80" s="5">
        <v>6.7476851836545393E-3</v>
      </c>
      <c r="H80" t="s">
        <v>218</v>
      </c>
      <c r="I80" t="s">
        <v>219</v>
      </c>
      <c r="J80">
        <v>0</v>
      </c>
      <c r="K80">
        <f t="shared" ref="K80" si="89">IF(A80&lt;DATEVALUE("2025/11/20"),1,IF(B80-SUM(D80:F80)&lt;&gt;60,0,MAX(2-INT(G80*24*60/10),0)))</f>
        <v>2</v>
      </c>
      <c r="L80">
        <f t="shared" ref="L80" si="90">L79+K80</f>
        <v>64</v>
      </c>
      <c r="M80">
        <f t="shared" ref="M80" si="91">2+IF(A80&gt;=DATEVALUE("2025/11/30"),1,0)</f>
        <v>3</v>
      </c>
      <c r="N80">
        <f t="shared" ref="N80" si="92">N79+M80*(INT(A80-6/24)-INT(A79-6/24))+O80</f>
        <v>64</v>
      </c>
      <c r="O80">
        <f t="shared" ref="O80" si="93">IF(A80&gt;=DATEVALUE("2025/11/8"),1,0)-IF(A79&gt;=DATEVALUE("2025/11/8"),1,0)</f>
        <v>0</v>
      </c>
      <c r="P80" t="str">
        <f t="shared" ref="P80" si="94">IF(L80&lt;N80,"未達成（"&amp;N80-L80&amp;"）",IF(L80=N80,"達成","前倒し（"&amp;L80-N80&amp;"）"))</f>
        <v>達成</v>
      </c>
    </row>
    <row r="81" spans="1:16">
      <c r="A81" s="3">
        <v>45994.309050925927</v>
      </c>
      <c r="B81">
        <v>60</v>
      </c>
      <c r="C81">
        <v>10</v>
      </c>
      <c r="D81">
        <v>0</v>
      </c>
      <c r="E81">
        <v>0</v>
      </c>
      <c r="F81">
        <v>0</v>
      </c>
      <c r="G81" s="5">
        <v>8.8773148163454607E-3</v>
      </c>
      <c r="H81" t="s">
        <v>216</v>
      </c>
      <c r="I81" t="s">
        <v>217</v>
      </c>
      <c r="J81">
        <v>0</v>
      </c>
      <c r="K81">
        <f t="shared" ref="K81" si="95">IF(A81&lt;DATEVALUE("2025/11/20"),1,IF(B81-SUM(D81:F81)&lt;&gt;60,0,MAX(2-INT(G81*24*60/10),0)))</f>
        <v>1</v>
      </c>
      <c r="L81">
        <f t="shared" ref="L81" si="96">L80+K81</f>
        <v>65</v>
      </c>
      <c r="M81">
        <f t="shared" ref="M81" si="97">2+IF(A81&gt;=DATEVALUE("2025/11/30"),1,0)</f>
        <v>3</v>
      </c>
      <c r="N81">
        <f t="shared" ref="N81" si="98">N80+M81*(INT(A81-6/24)-INT(A80-6/24))+O81</f>
        <v>67</v>
      </c>
      <c r="O81">
        <f t="shared" ref="O81" si="99">IF(A81&gt;=DATEVALUE("2025/11/8"),1,0)-IF(A80&gt;=DATEVALUE("2025/11/8"),1,0)</f>
        <v>0</v>
      </c>
      <c r="P81" t="str">
        <f t="shared" ref="P81" si="100">IF(L81&lt;N81,"未達成（"&amp;N81-L81&amp;"）",IF(L81=N81,"達成","前倒し（"&amp;L81-N81&amp;"）"))</f>
        <v>未達成（2）</v>
      </c>
    </row>
    <row r="82" spans="1:16">
      <c r="A82" s="3">
        <v>45994.372615740744</v>
      </c>
      <c r="B82">
        <v>60</v>
      </c>
      <c r="C82">
        <v>21</v>
      </c>
      <c r="D82">
        <v>0</v>
      </c>
      <c r="E82">
        <v>0</v>
      </c>
      <c r="F82">
        <v>0</v>
      </c>
      <c r="G82" s="5">
        <v>8.9930555550381541E-3</v>
      </c>
      <c r="H82" t="s">
        <v>220</v>
      </c>
      <c r="I82" t="s">
        <v>221</v>
      </c>
      <c r="J82">
        <v>0</v>
      </c>
      <c r="K82">
        <f t="shared" ref="K82" si="101">IF(A82&lt;DATEVALUE("2025/11/20"),1,IF(B82-SUM(D82:F82)&lt;&gt;60,0,MAX(2-INT(G82*24*60/10),0)))</f>
        <v>1</v>
      </c>
      <c r="L82">
        <f t="shared" ref="L82" si="102">L81+K82</f>
        <v>66</v>
      </c>
      <c r="M82">
        <f t="shared" ref="M82" si="103">2+IF(A82&gt;=DATEVALUE("2025/11/30"),1,0)</f>
        <v>3</v>
      </c>
      <c r="N82">
        <f t="shared" ref="N82" si="104">N81+M82*(INT(A82-6/24)-INT(A81-6/24))+O82</f>
        <v>67</v>
      </c>
      <c r="O82">
        <f t="shared" ref="O82" si="105">IF(A82&gt;=DATEVALUE("2025/11/8"),1,0)-IF(A81&gt;=DATEVALUE("2025/11/8"),1,0)</f>
        <v>0</v>
      </c>
      <c r="P82" t="str">
        <f t="shared" ref="P82" si="106">IF(L82&lt;N82,"未達成（"&amp;N82-L82&amp;"）",IF(L82=N82,"達成","前倒し（"&amp;L82-N82&amp;"）"))</f>
        <v>未達成（1）</v>
      </c>
    </row>
    <row r="83" spans="1:16">
      <c r="A83" s="3">
        <v>45994.573900462965</v>
      </c>
      <c r="B83">
        <v>60</v>
      </c>
      <c r="C83">
        <v>24</v>
      </c>
      <c r="D83">
        <v>0</v>
      </c>
      <c r="E83">
        <v>0</v>
      </c>
      <c r="F83">
        <v>0</v>
      </c>
      <c r="G83" s="5">
        <v>7.3263888916699216E-3</v>
      </c>
      <c r="H83" t="s">
        <v>222</v>
      </c>
      <c r="I83" t="s">
        <v>223</v>
      </c>
      <c r="J83">
        <v>0</v>
      </c>
      <c r="K83">
        <f t="shared" ref="K83" si="107">IF(A83&lt;DATEVALUE("2025/11/20"),1,IF(B83-SUM(D83:F83)&lt;&gt;60,0,MAX(2-INT(G83*24*60/10),0)))</f>
        <v>1</v>
      </c>
      <c r="L83">
        <f t="shared" ref="L83" si="108">L82+K83</f>
        <v>67</v>
      </c>
      <c r="M83">
        <f t="shared" ref="M83" si="109">2+IF(A83&gt;=DATEVALUE("2025/11/30"),1,0)</f>
        <v>3</v>
      </c>
      <c r="N83">
        <f t="shared" ref="N83" si="110">N82+M83*(INT(A83-6/24)-INT(A82-6/24))+O83</f>
        <v>67</v>
      </c>
      <c r="O83">
        <f t="shared" ref="O83" si="111">IF(A83&gt;=DATEVALUE("2025/11/8"),1,0)-IF(A82&gt;=DATEVALUE("2025/11/8"),1,0)</f>
        <v>0</v>
      </c>
      <c r="P83" t="str">
        <f t="shared" ref="P83" si="112">IF(L83&lt;N83,"未達成（"&amp;N83-L83&amp;"）",IF(L83=N83,"達成","前倒し（"&amp;L83-N83&amp;"）"))</f>
        <v>達成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CreateChart">
              <controlPr defaultSize="0" print="0" autoFill="0" autoPict="0" macro="[0]!LoadQuestion" altText="グラフ">
                <anchor moveWithCells="1" sizeWithCells="1"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18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18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45994.566574074073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43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2025-12-03T12:00:55Z</dcterms:modified>
</cp:coreProperties>
</file>
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39974D08-3174-4361-BBF9-BCE4DE546C43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DATEVALUE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15" i="4" l="1"/>
  <c r="M115" i="4"/>
  <c r="N115" i="4" s="1"/>
  <c r="K115" i="4"/>
  <c r="L115" i="4" s="1"/>
  <c r="O114" i="4"/>
  <c r="M114" i="4"/>
  <c r="N114" i="4" s="1"/>
  <c r="K114" i="4"/>
  <c r="L114" i="4" s="1"/>
  <c r="O113" i="4"/>
  <c r="M113" i="4"/>
  <c r="N113" i="4" s="1"/>
  <c r="K113" i="4"/>
  <c r="L113" i="4" s="1"/>
  <c r="P113" i="4" s="1"/>
  <c r="O112" i="4"/>
  <c r="M112" i="4"/>
  <c r="N112" i="4" s="1"/>
  <c r="K112" i="4"/>
  <c r="L112" i="4" s="1"/>
  <c r="P112" i="4" s="1"/>
  <c r="O111" i="4"/>
  <c r="M111" i="4"/>
  <c r="N111" i="4" s="1"/>
  <c r="K111" i="4"/>
  <c r="L111" i="4" s="1"/>
  <c r="P111" i="4" s="1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O18" i="4"/>
  <c r="M18" i="4"/>
  <c r="K18" i="4"/>
  <c r="O17" i="4"/>
  <c r="M17" i="4"/>
  <c r="K17" i="4"/>
  <c r="P115" i="4" l="1"/>
  <c r="P114" i="4"/>
  <c r="L17" i="4"/>
  <c r="L18" i="4" s="1"/>
  <c r="N17" i="4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L19" i="4" l="1"/>
  <c r="P18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20" i="4" l="1"/>
  <c r="P19" i="4"/>
  <c r="T2" i="5"/>
  <c r="T3" i="5"/>
  <c r="T4" i="3"/>
  <c r="S5" i="3"/>
  <c r="L21" i="4" l="1"/>
  <c r="P20" i="4"/>
  <c r="T4" i="5"/>
  <c r="S6" i="3"/>
  <c r="T6" i="3" s="1"/>
  <c r="T5" i="3"/>
  <c r="P21" i="4" l="1"/>
  <c r="L22" i="4"/>
  <c r="T6" i="5"/>
  <c r="T5" i="5"/>
  <c r="L23" i="4" l="1"/>
  <c r="P22" i="4"/>
  <c r="P17" i="4"/>
  <c r="L24" i="4" l="1"/>
  <c r="P23" i="4"/>
  <c r="L25" i="4" l="1"/>
  <c r="P24" i="4"/>
  <c r="P25" i="4" l="1"/>
  <c r="L26" i="4"/>
  <c r="L27" i="4" l="1"/>
  <c r="P26" i="4"/>
  <c r="L28" i="4" l="1"/>
  <c r="P27" i="4"/>
  <c r="L29" i="4" l="1"/>
  <c r="P28" i="4"/>
  <c r="P29" i="4" l="1"/>
  <c r="L30" i="4"/>
  <c r="L31" i="4" l="1"/>
  <c r="P30" i="4"/>
  <c r="L32" i="4" l="1"/>
  <c r="P31" i="4"/>
  <c r="L33" i="4" l="1"/>
  <c r="P32" i="4"/>
  <c r="P33" i="4" l="1"/>
  <c r="L34" i="4"/>
  <c r="L35" i="4" l="1"/>
  <c r="P34" i="4"/>
  <c r="L36" i="4" l="1"/>
  <c r="P35" i="4"/>
  <c r="L37" i="4" l="1"/>
  <c r="P36" i="4"/>
  <c r="P37" i="4" l="1"/>
  <c r="L38" i="4"/>
  <c r="L39" i="4" l="1"/>
  <c r="P38" i="4"/>
  <c r="L40" i="4" l="1"/>
  <c r="P39" i="4"/>
  <c r="L41" i="4" l="1"/>
  <c r="P40" i="4"/>
  <c r="P41" i="4" l="1"/>
  <c r="L42" i="4"/>
  <c r="L43" i="4" l="1"/>
  <c r="P42" i="4"/>
  <c r="L44" i="4" l="1"/>
  <c r="P43" i="4"/>
  <c r="L45" i="4" l="1"/>
  <c r="P44" i="4"/>
  <c r="P45" i="4" l="1"/>
  <c r="L46" i="4"/>
  <c r="L47" i="4" l="1"/>
  <c r="P46" i="4"/>
  <c r="L48" i="4" l="1"/>
  <c r="P47" i="4"/>
  <c r="L49" i="4" l="1"/>
  <c r="P48" i="4"/>
  <c r="P49" i="4" l="1"/>
  <c r="L50" i="4"/>
  <c r="L51" i="4" l="1"/>
  <c r="P50" i="4"/>
  <c r="L52" i="4" l="1"/>
  <c r="P51" i="4"/>
  <c r="L53" i="4" l="1"/>
  <c r="P52" i="4"/>
  <c r="P53" i="4" l="1"/>
  <c r="L54" i="4"/>
  <c r="L55" i="4" l="1"/>
  <c r="P54" i="4"/>
  <c r="L56" i="4" l="1"/>
  <c r="P55" i="4"/>
  <c r="L57" i="4" l="1"/>
  <c r="P56" i="4"/>
  <c r="P57" i="4" l="1"/>
  <c r="L58" i="4"/>
  <c r="L59" i="4" l="1"/>
  <c r="P58" i="4"/>
  <c r="L60" i="4" l="1"/>
  <c r="P59" i="4"/>
  <c r="L61" i="4" l="1"/>
  <c r="P60" i="4"/>
  <c r="P61" i="4" l="1"/>
  <c r="L62" i="4"/>
  <c r="L63" i="4" l="1"/>
  <c r="P62" i="4"/>
  <c r="L64" i="4" l="1"/>
  <c r="P63" i="4"/>
  <c r="L65" i="4" l="1"/>
  <c r="P64" i="4"/>
  <c r="P65" i="4" l="1"/>
  <c r="L66" i="4"/>
  <c r="L67" i="4" l="1"/>
  <c r="P66" i="4"/>
  <c r="L68" i="4" l="1"/>
  <c r="P67" i="4"/>
  <c r="L69" i="4" l="1"/>
  <c r="P68" i="4"/>
  <c r="P69" i="4" l="1"/>
  <c r="L70" i="4"/>
  <c r="L71" i="4" l="1"/>
  <c r="P70" i="4"/>
  <c r="L72" i="4" l="1"/>
  <c r="P71" i="4"/>
  <c r="L73" i="4" l="1"/>
  <c r="P72" i="4"/>
  <c r="P73" i="4" l="1"/>
  <c r="L74" i="4"/>
  <c r="L75" i="4" l="1"/>
  <c r="P74" i="4"/>
  <c r="L76" i="4" l="1"/>
  <c r="P75" i="4"/>
  <c r="L77" i="4" l="1"/>
  <c r="P76" i="4"/>
  <c r="P77" i="4" l="1"/>
  <c r="L78" i="4"/>
  <c r="L79" i="4" l="1"/>
  <c r="P78" i="4"/>
  <c r="L80" i="4" l="1"/>
  <c r="P79" i="4"/>
  <c r="L81" i="4" l="1"/>
  <c r="P80" i="4"/>
  <c r="P81" i="4" l="1"/>
  <c r="L82" i="4"/>
  <c r="L83" i="4" l="1"/>
  <c r="P82" i="4"/>
  <c r="L84" i="4" l="1"/>
  <c r="P83" i="4"/>
  <c r="L85" i="4" l="1"/>
  <c r="P84" i="4"/>
  <c r="P85" i="4" l="1"/>
  <c r="L86" i="4"/>
  <c r="L87" i="4" l="1"/>
  <c r="P86" i="4"/>
  <c r="L88" i="4" l="1"/>
  <c r="P87" i="4"/>
  <c r="L89" i="4" l="1"/>
  <c r="P88" i="4"/>
  <c r="P89" i="4" l="1"/>
  <c r="L90" i="4"/>
  <c r="L91" i="4" l="1"/>
  <c r="P90" i="4"/>
  <c r="L92" i="4" l="1"/>
  <c r="P91" i="4"/>
  <c r="L93" i="4" l="1"/>
  <c r="P92" i="4"/>
  <c r="P93" i="4" l="1"/>
  <c r="L94" i="4"/>
  <c r="L95" i="4" l="1"/>
  <c r="P94" i="4"/>
  <c r="L96" i="4" l="1"/>
  <c r="P95" i="4"/>
  <c r="L97" i="4" l="1"/>
  <c r="P96" i="4"/>
  <c r="P97" i="4" l="1"/>
  <c r="L98" i="4"/>
  <c r="P98" i="4" l="1"/>
  <c r="L99" i="4"/>
  <c r="P99" i="4" l="1"/>
  <c r="L100" i="4"/>
  <c r="P100" i="4" l="1"/>
  <c r="L101" i="4"/>
  <c r="P101" i="4" l="1"/>
  <c r="L102" i="4"/>
  <c r="P102" i="4" l="1"/>
  <c r="L103" i="4"/>
  <c r="P103" i="4" l="1"/>
  <c r="L104" i="4"/>
  <c r="L105" i="4" l="1"/>
  <c r="P104" i="4"/>
  <c r="P105" i="4" l="1"/>
  <c r="L106" i="4"/>
  <c r="P106" i="4" l="1"/>
  <c r="L107" i="4"/>
  <c r="L108" i="4" l="1"/>
  <c r="P107" i="4"/>
  <c r="P108" i="4" l="1"/>
  <c r="L109" i="4"/>
  <c r="P109" i="4" l="1"/>
  <c r="L110" i="4"/>
  <c r="P110" i="4" s="1"/>
</calcChain>
</file>

<file path=xl/sharedStrings.xml><?xml version="1.0" encoding="utf-8"?>
<sst xmlns="http://schemas.openxmlformats.org/spreadsheetml/2006/main" count="307" uniqueCount="288">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</sst>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データ!$P$1:$P$114</c:f>
              <c:strCache>
                <c:ptCount val="114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  <c:pt idx="95">
                  <c:v>前倒し（1）</c:v>
                </c:pt>
                <c:pt idx="96">
                  <c:v>達成</c:v>
                </c:pt>
                <c:pt idx="97">
                  <c:v>未達成（3）</c:v>
                </c:pt>
                <c:pt idx="98">
                  <c:v>未達成（3）</c:v>
                </c:pt>
                <c:pt idx="99">
                  <c:v>未達成（2）</c:v>
                </c:pt>
                <c:pt idx="100">
                  <c:v>未達成（1）</c:v>
                </c:pt>
                <c:pt idx="101">
                  <c:v>達成</c:v>
                </c:pt>
                <c:pt idx="102">
                  <c:v>未達成（2）</c:v>
                </c:pt>
                <c:pt idx="103">
                  <c:v>未達成（1）</c:v>
                </c:pt>
                <c:pt idx="104">
                  <c:v>前倒し（1）</c:v>
                </c:pt>
                <c:pt idx="105">
                  <c:v>未達成（2）</c:v>
                </c:pt>
                <c:pt idx="106">
                  <c:v>達成</c:v>
                </c:pt>
                <c:pt idx="107">
                  <c:v>未達成（3）</c:v>
                </c:pt>
                <c:pt idx="108">
                  <c:v>未達成（1）</c:v>
                </c:pt>
                <c:pt idx="109">
                  <c:v>前倒し（1）</c:v>
                </c:pt>
                <c:pt idx="110">
                  <c:v>未達成（1）</c:v>
                </c:pt>
                <c:pt idx="111">
                  <c:v>達成</c:v>
                </c:pt>
                <c:pt idx="112">
                  <c:v>未達成（2）</c:v>
                </c:pt>
                <c:pt idx="113">
                  <c:v>未達成（1）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データ!$A$2:$A$115</c:f>
              <c:numCache>
                <c:formatCode>m/d/yyyy\ h:mm</c:formatCode>
                <c:ptCount val="114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</c:numCache>
            </c:numRef>
          </c:xVal>
          <c:yVal>
            <c:numRef>
              <c:f>データ!$B$2:$B$115</c:f>
              <c:numCache>
                <c:formatCode>General</c:formatCode>
                <c:ptCount val="114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39-4F28-81F9-7145146C843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E539-4F28-81F9-7145146C8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853247"/>
        <c:axId val="421853727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データ!$A$2:$A$115</c:f>
              <c:numCache>
                <c:formatCode>m/d/yyyy\ h:mm</c:formatCode>
                <c:ptCount val="114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</c:numCache>
            </c:numRef>
          </c:xVal>
          <c:yVal>
            <c:numRef>
              <c:f>データ!$G$2:$G$115</c:f>
              <c:numCache>
                <c:formatCode>[h]:mm</c:formatCode>
                <c:ptCount val="114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39-4F28-81F9-7145146C8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519167"/>
        <c:axId val="419521567"/>
      </c:scatterChart>
      <c:valAx>
        <c:axId val="42185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21853727"/>
        <c:crosses val="autoZero"/>
        <c:crossBetween val="midCat"/>
      </c:valAx>
      <c:valAx>
        <c:axId val="42185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21853247"/>
        <c:crosses val="autoZero"/>
        <c:crossBetween val="midCat"/>
      </c:valAx>
      <c:valAx>
        <c:axId val="419521567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19519167"/>
        <c:crosses val="max"/>
        <c:crossBetween val="midCat"/>
      </c:valAx>
      <c:valAx>
        <c:axId val="419519167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19521567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211931</xdr:colOff>
      <xdr:row>1</xdr:row>
      <xdr:rowOff>178593</xdr:rowOff>
    </xdr:from>
    <xdr:to>
      <xdr:col>8</xdr:col>
      <xdr:colOff>211931</xdr:colOff>
      <xdr:row>2</xdr:row>
      <xdr:rowOff>178594</xdr:rowOff>
    </xdr:to>
    <xdr:cxnSp macro="">
      <xdr:nvCxnSpPr>
        <xdr:cNvPr id="1506" name="Match0">
          <a:extLst>
            <a:ext uri="{FF2B5EF4-FFF2-40B4-BE49-F238E27FC236}">
              <a16:creationId xmlns:a16="http://schemas.microsoft.com/office/drawing/2014/main" id="{670D5A22-90C5-9B7D-E7A3-198BDF683D6B}"/>
            </a:ext>
          </a:extLst>
        </xdr:cNvPr>
        <xdr:cNvCxnSpPr/>
      </xdr:nvCxnSpPr>
      <xdr:spPr>
        <a:xfrm>
          <a:off x="3602831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1</xdr:col>
      <xdr:colOff>211931</xdr:colOff>
      <xdr:row>6</xdr:row>
      <xdr:rowOff>178594</xdr:rowOff>
    </xdr:to>
    <xdr:cxnSp macro="">
      <xdr:nvCxnSpPr>
        <xdr:cNvPr id="1507" name="Match1">
          <a:extLst>
            <a:ext uri="{FF2B5EF4-FFF2-40B4-BE49-F238E27FC236}">
              <a16:creationId xmlns:a16="http://schemas.microsoft.com/office/drawing/2014/main" id="{D72A7239-9343-E9C0-3AB6-4DDABEFE5870}"/>
            </a:ext>
          </a:extLst>
        </xdr:cNvPr>
        <xdr:cNvCxnSpPr/>
      </xdr:nvCxnSpPr>
      <xdr:spPr>
        <a:xfrm flipH="1" flipV="1">
          <a:off x="21193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3</xdr:col>
      <xdr:colOff>211931</xdr:colOff>
      <xdr:row>10</xdr:row>
      <xdr:rowOff>178594</xdr:rowOff>
    </xdr:to>
    <xdr:cxnSp macro="">
      <xdr:nvCxnSpPr>
        <xdr:cNvPr id="1508" name="Match2">
          <a:extLst>
            <a:ext uri="{FF2B5EF4-FFF2-40B4-BE49-F238E27FC236}">
              <a16:creationId xmlns:a16="http://schemas.microsoft.com/office/drawing/2014/main" id="{D1F9FCE7-49AD-2B09-49BF-18E3B757C326}"/>
            </a:ext>
          </a:extLst>
        </xdr:cNvPr>
        <xdr:cNvCxnSpPr/>
      </xdr:nvCxnSpPr>
      <xdr:spPr>
        <a:xfrm flipH="1">
          <a:off x="105965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8</xdr:row>
      <xdr:rowOff>178594</xdr:rowOff>
    </xdr:from>
    <xdr:to>
      <xdr:col>7</xdr:col>
      <xdr:colOff>211931</xdr:colOff>
      <xdr:row>9</xdr:row>
      <xdr:rowOff>178593</xdr:rowOff>
    </xdr:to>
    <xdr:cxnSp macro="">
      <xdr:nvCxnSpPr>
        <xdr:cNvPr id="1509" name="Match3">
          <a:extLst>
            <a:ext uri="{FF2B5EF4-FFF2-40B4-BE49-F238E27FC236}">
              <a16:creationId xmlns:a16="http://schemas.microsoft.com/office/drawing/2014/main" id="{37D58B8D-1A8E-C38F-B3B6-910ED16EC234}"/>
            </a:ext>
          </a:extLst>
        </xdr:cNvPr>
        <xdr:cNvCxnSpPr/>
      </xdr:nvCxnSpPr>
      <xdr:spPr>
        <a:xfrm flipV="1">
          <a:off x="3178969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1</xdr:col>
      <xdr:colOff>211931</xdr:colOff>
      <xdr:row>10</xdr:row>
      <xdr:rowOff>178594</xdr:rowOff>
    </xdr:to>
    <xdr:cxnSp macro="">
      <xdr:nvCxnSpPr>
        <xdr:cNvPr id="1510" name="Match4">
          <a:extLst>
            <a:ext uri="{FF2B5EF4-FFF2-40B4-BE49-F238E27FC236}">
              <a16:creationId xmlns:a16="http://schemas.microsoft.com/office/drawing/2014/main" id="{7BCB1E94-C5EE-EC2F-B610-D6A26BFB7CDB}"/>
            </a:ext>
          </a:extLst>
        </xdr:cNvPr>
        <xdr:cNvCxnSpPr/>
      </xdr:nvCxnSpPr>
      <xdr:spPr>
        <a:xfrm flipV="1">
          <a:off x="21193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10</xdr:row>
      <xdr:rowOff>178594</xdr:rowOff>
    </xdr:from>
    <xdr:to>
      <xdr:col>2</xdr:col>
      <xdr:colOff>211931</xdr:colOff>
      <xdr:row>11</xdr:row>
      <xdr:rowOff>178593</xdr:rowOff>
    </xdr:to>
    <xdr:cxnSp macro="">
      <xdr:nvCxnSpPr>
        <xdr:cNvPr id="1511" name="Match5">
          <a:extLst>
            <a:ext uri="{FF2B5EF4-FFF2-40B4-BE49-F238E27FC236}">
              <a16:creationId xmlns:a16="http://schemas.microsoft.com/office/drawing/2014/main" id="{69351F58-561F-EB04-2E30-C2C92FF3D792}"/>
            </a:ext>
          </a:extLst>
        </xdr:cNvPr>
        <xdr:cNvCxnSpPr/>
      </xdr:nvCxnSpPr>
      <xdr:spPr>
        <a:xfrm flipV="1">
          <a:off x="6357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5</xdr:col>
      <xdr:colOff>211931</xdr:colOff>
      <xdr:row>1</xdr:row>
      <xdr:rowOff>178593</xdr:rowOff>
    </xdr:to>
    <xdr:cxnSp macro="">
      <xdr:nvCxnSpPr>
        <xdr:cNvPr id="1512" name="Match6">
          <a:extLst>
            <a:ext uri="{FF2B5EF4-FFF2-40B4-BE49-F238E27FC236}">
              <a16:creationId xmlns:a16="http://schemas.microsoft.com/office/drawing/2014/main" id="{1D171C0E-CB8E-D6BD-F366-4CCAD9637953}"/>
            </a:ext>
          </a:extLst>
        </xdr:cNvPr>
        <xdr:cNvCxnSpPr/>
      </xdr:nvCxnSpPr>
      <xdr:spPr>
        <a:xfrm flipH="1" flipV="1">
          <a:off x="190738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5</xdr:col>
      <xdr:colOff>211931</xdr:colOff>
      <xdr:row>3</xdr:row>
      <xdr:rowOff>178593</xdr:rowOff>
    </xdr:to>
    <xdr:cxnSp macro="">
      <xdr:nvCxnSpPr>
        <xdr:cNvPr id="1513" name="Match7">
          <a:extLst>
            <a:ext uri="{FF2B5EF4-FFF2-40B4-BE49-F238E27FC236}">
              <a16:creationId xmlns:a16="http://schemas.microsoft.com/office/drawing/2014/main" id="{534A65F4-873E-3330-DA9F-E7D7F6FE8F5C}"/>
            </a:ext>
          </a:extLst>
        </xdr:cNvPr>
        <xdr:cNvCxnSpPr/>
      </xdr:nvCxnSpPr>
      <xdr:spPr>
        <a:xfrm>
          <a:off x="2331244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2</xdr:row>
      <xdr:rowOff>203994</xdr:rowOff>
    </xdr:from>
    <xdr:to>
      <xdr:col>5</xdr:col>
      <xdr:colOff>237331</xdr:colOff>
      <xdr:row>3</xdr:row>
      <xdr:rowOff>203993</xdr:rowOff>
    </xdr:to>
    <xdr:cxnSp macro="">
      <xdr:nvCxnSpPr>
        <xdr:cNvPr id="1514" name="Match8">
          <a:extLst>
            <a:ext uri="{FF2B5EF4-FFF2-40B4-BE49-F238E27FC236}">
              <a16:creationId xmlns:a16="http://schemas.microsoft.com/office/drawing/2014/main" id="{73BBFA6E-06AE-45F6-20EB-0E353F72C989}"/>
            </a:ext>
          </a:extLst>
        </xdr:cNvPr>
        <xdr:cNvCxnSpPr/>
      </xdr:nvCxnSpPr>
      <xdr:spPr>
        <a:xfrm flipH="1">
          <a:off x="1932781" y="9183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10</xdr:col>
      <xdr:colOff>211931</xdr:colOff>
      <xdr:row>3</xdr:row>
      <xdr:rowOff>178593</xdr:rowOff>
    </xdr:to>
    <xdr:cxnSp macro="">
      <xdr:nvCxnSpPr>
        <xdr:cNvPr id="1515" name="Match9">
          <a:extLst>
            <a:ext uri="{FF2B5EF4-FFF2-40B4-BE49-F238E27FC236}">
              <a16:creationId xmlns:a16="http://schemas.microsoft.com/office/drawing/2014/main" id="{B9277DFC-BDD1-F9BF-2DB0-1F61CA5748C7}"/>
            </a:ext>
          </a:extLst>
        </xdr:cNvPr>
        <xdr:cNvCxnSpPr/>
      </xdr:nvCxnSpPr>
      <xdr:spPr>
        <a:xfrm flipH="1">
          <a:off x="4026694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1</xdr:col>
      <xdr:colOff>211931</xdr:colOff>
      <xdr:row>7</xdr:row>
      <xdr:rowOff>178593</xdr:rowOff>
    </xdr:to>
    <xdr:cxnSp macro="">
      <xdr:nvCxnSpPr>
        <xdr:cNvPr id="1516" name="Match10">
          <a:extLst>
            <a:ext uri="{FF2B5EF4-FFF2-40B4-BE49-F238E27FC236}">
              <a16:creationId xmlns:a16="http://schemas.microsoft.com/office/drawing/2014/main" id="{DB65A6FA-CC33-E876-4041-6DF076051776}"/>
            </a:ext>
          </a:extLst>
        </xdr:cNvPr>
        <xdr:cNvCxnSpPr/>
      </xdr:nvCxnSpPr>
      <xdr:spPr>
        <a:xfrm flipH="1" flipV="1">
          <a:off x="2119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8</xdr:row>
      <xdr:rowOff>178594</xdr:rowOff>
    </xdr:from>
    <xdr:to>
      <xdr:col>10</xdr:col>
      <xdr:colOff>211931</xdr:colOff>
      <xdr:row>9</xdr:row>
      <xdr:rowOff>178593</xdr:rowOff>
    </xdr:to>
    <xdr:cxnSp macro="">
      <xdr:nvCxnSpPr>
        <xdr:cNvPr id="1517" name="Match11">
          <a:extLst>
            <a:ext uri="{FF2B5EF4-FFF2-40B4-BE49-F238E27FC236}">
              <a16:creationId xmlns:a16="http://schemas.microsoft.com/office/drawing/2014/main" id="{2D628422-7AEC-78EC-B989-0526725D1FDB}"/>
            </a:ext>
          </a:extLst>
        </xdr:cNvPr>
        <xdr:cNvCxnSpPr/>
      </xdr:nvCxnSpPr>
      <xdr:spPr>
        <a:xfrm>
          <a:off x="4450556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7</xdr:row>
      <xdr:rowOff>203993</xdr:rowOff>
    </xdr:from>
    <xdr:to>
      <xdr:col>10</xdr:col>
      <xdr:colOff>237331</xdr:colOff>
      <xdr:row>8</xdr:row>
      <xdr:rowOff>203994</xdr:rowOff>
    </xdr:to>
    <xdr:cxnSp macro="">
      <xdr:nvCxnSpPr>
        <xdr:cNvPr id="1518" name="Match12">
          <a:extLst>
            <a:ext uri="{FF2B5EF4-FFF2-40B4-BE49-F238E27FC236}">
              <a16:creationId xmlns:a16="http://schemas.microsoft.com/office/drawing/2014/main" id="{9DCEC04B-87E5-3C57-94C1-B3400F9B5969}"/>
            </a:ext>
          </a:extLst>
        </xdr:cNvPr>
        <xdr:cNvCxnSpPr/>
      </xdr:nvCxnSpPr>
      <xdr:spPr>
        <a:xfrm flipV="1">
          <a:off x="4475956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1519" name="Match13">
          <a:extLst>
            <a:ext uri="{FF2B5EF4-FFF2-40B4-BE49-F238E27FC236}">
              <a16:creationId xmlns:a16="http://schemas.microsoft.com/office/drawing/2014/main" id="{9BA640F6-DF87-3059-57EC-86D5B9A0D351}"/>
            </a:ext>
          </a:extLst>
        </xdr:cNvPr>
        <xdr:cNvCxnSpPr/>
      </xdr:nvCxnSpPr>
      <xdr:spPr>
        <a:xfrm>
          <a:off x="4450556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9</xdr:row>
      <xdr:rowOff>203993</xdr:rowOff>
    </xdr:from>
    <xdr:to>
      <xdr:col>10</xdr:col>
      <xdr:colOff>237331</xdr:colOff>
      <xdr:row>10</xdr:row>
      <xdr:rowOff>203994</xdr:rowOff>
    </xdr:to>
    <xdr:cxnSp macro="">
      <xdr:nvCxnSpPr>
        <xdr:cNvPr id="1520" name="Match14">
          <a:extLst>
            <a:ext uri="{FF2B5EF4-FFF2-40B4-BE49-F238E27FC236}">
              <a16:creationId xmlns:a16="http://schemas.microsoft.com/office/drawing/2014/main" id="{4082D0A2-05DE-8F16-EDF6-BCF391CD7210}"/>
            </a:ext>
          </a:extLst>
        </xdr:cNvPr>
        <xdr:cNvCxnSpPr/>
      </xdr:nvCxnSpPr>
      <xdr:spPr>
        <a:xfrm flipV="1">
          <a:off x="4475956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4</xdr:col>
      <xdr:colOff>211931</xdr:colOff>
      <xdr:row>11</xdr:row>
      <xdr:rowOff>178593</xdr:rowOff>
    </xdr:to>
    <xdr:cxnSp macro="">
      <xdr:nvCxnSpPr>
        <xdr:cNvPr id="1521" name="Match15">
          <a:extLst>
            <a:ext uri="{FF2B5EF4-FFF2-40B4-BE49-F238E27FC236}">
              <a16:creationId xmlns:a16="http://schemas.microsoft.com/office/drawing/2014/main" id="{1B6407BB-9A10-E114-0DEE-DA17FF273384}"/>
            </a:ext>
          </a:extLst>
        </xdr:cNvPr>
        <xdr:cNvCxnSpPr/>
      </xdr:nvCxnSpPr>
      <xdr:spPr>
        <a:xfrm flipV="1">
          <a:off x="1483519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5</xdr:row>
      <xdr:rowOff>178593</xdr:rowOff>
    </xdr:from>
    <xdr:to>
      <xdr:col>11</xdr:col>
      <xdr:colOff>211931</xdr:colOff>
      <xdr:row>11</xdr:row>
      <xdr:rowOff>178593</xdr:rowOff>
    </xdr:to>
    <xdr:cxnSp macro="">
      <xdr:nvCxnSpPr>
        <xdr:cNvPr id="1522" name="Match16">
          <a:extLst>
            <a:ext uri="{FF2B5EF4-FFF2-40B4-BE49-F238E27FC236}">
              <a16:creationId xmlns:a16="http://schemas.microsoft.com/office/drawing/2014/main" id="{D4E0560C-3B1C-128A-9414-659D024DBC3E}"/>
            </a:ext>
          </a:extLst>
        </xdr:cNvPr>
        <xdr:cNvCxnSpPr/>
      </xdr:nvCxnSpPr>
      <xdr:spPr>
        <a:xfrm>
          <a:off x="4874419" y="1964531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10</xdr:col>
      <xdr:colOff>211931</xdr:colOff>
      <xdr:row>5</xdr:row>
      <xdr:rowOff>178593</xdr:rowOff>
    </xdr:to>
    <xdr:cxnSp macro="">
      <xdr:nvCxnSpPr>
        <xdr:cNvPr id="1523" name="Match17">
          <a:extLst>
            <a:ext uri="{FF2B5EF4-FFF2-40B4-BE49-F238E27FC236}">
              <a16:creationId xmlns:a16="http://schemas.microsoft.com/office/drawing/2014/main" id="{723A2A9B-39C4-B794-60C7-9397C3658917}"/>
            </a:ext>
          </a:extLst>
        </xdr:cNvPr>
        <xdr:cNvCxnSpPr/>
      </xdr:nvCxnSpPr>
      <xdr:spPr>
        <a:xfrm flipH="1" flipV="1">
          <a:off x="2331244" y="178594"/>
          <a:ext cx="2119312" cy="178593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6</xdr:col>
      <xdr:colOff>211931</xdr:colOff>
      <xdr:row>7</xdr:row>
      <xdr:rowOff>178593</xdr:rowOff>
    </xdr:to>
    <xdr:cxnSp macro="">
      <xdr:nvCxnSpPr>
        <xdr:cNvPr id="1524" name="Match18">
          <a:extLst>
            <a:ext uri="{FF2B5EF4-FFF2-40B4-BE49-F238E27FC236}">
              <a16:creationId xmlns:a16="http://schemas.microsoft.com/office/drawing/2014/main" id="{20587B18-00A2-0969-D033-8588A528AF52}"/>
            </a:ext>
          </a:extLst>
        </xdr:cNvPr>
        <xdr:cNvCxnSpPr/>
      </xdr:nvCxnSpPr>
      <xdr:spPr>
        <a:xfrm flipH="1">
          <a:off x="1483519" y="2678906"/>
          <a:ext cx="1271587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11</xdr:col>
      <xdr:colOff>211931</xdr:colOff>
      <xdr:row>4</xdr:row>
      <xdr:rowOff>178594</xdr:rowOff>
    </xdr:to>
    <xdr:cxnSp macro="">
      <xdr:nvCxnSpPr>
        <xdr:cNvPr id="1525" name="Match19">
          <a:extLst>
            <a:ext uri="{FF2B5EF4-FFF2-40B4-BE49-F238E27FC236}">
              <a16:creationId xmlns:a16="http://schemas.microsoft.com/office/drawing/2014/main" id="{2A06E0A4-1EE4-3F0E-0E09-4BC4A00F8811}"/>
            </a:ext>
          </a:extLst>
        </xdr:cNvPr>
        <xdr:cNvCxnSpPr/>
      </xdr:nvCxnSpPr>
      <xdr:spPr>
        <a:xfrm flipH="1" flipV="1">
          <a:off x="3178969" y="178594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3</xdr:col>
      <xdr:colOff>211931</xdr:colOff>
      <xdr:row>2</xdr:row>
      <xdr:rowOff>178594</xdr:rowOff>
    </xdr:to>
    <xdr:cxnSp macro="">
      <xdr:nvCxnSpPr>
        <xdr:cNvPr id="1526" name="Match20">
          <a:extLst>
            <a:ext uri="{FF2B5EF4-FFF2-40B4-BE49-F238E27FC236}">
              <a16:creationId xmlns:a16="http://schemas.microsoft.com/office/drawing/2014/main" id="{20D3A7B9-2FEB-6EE2-BCCA-169596EFE155}"/>
            </a:ext>
          </a:extLst>
        </xdr:cNvPr>
        <xdr:cNvCxnSpPr/>
      </xdr:nvCxnSpPr>
      <xdr:spPr>
        <a:xfrm>
          <a:off x="635794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2</xdr:col>
      <xdr:colOff>211931</xdr:colOff>
      <xdr:row>2</xdr:row>
      <xdr:rowOff>178594</xdr:rowOff>
    </xdr:to>
    <xdr:cxnSp macro="">
      <xdr:nvCxnSpPr>
        <xdr:cNvPr id="1527" name="Match21">
          <a:extLst>
            <a:ext uri="{FF2B5EF4-FFF2-40B4-BE49-F238E27FC236}">
              <a16:creationId xmlns:a16="http://schemas.microsoft.com/office/drawing/2014/main" id="{0688A18C-00D0-0F2F-15B6-09DCD1C20E26}"/>
            </a:ext>
          </a:extLst>
        </xdr:cNvPr>
        <xdr:cNvCxnSpPr/>
      </xdr:nvCxnSpPr>
      <xdr:spPr>
        <a:xfrm>
          <a:off x="1059656" y="1785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9</xdr:row>
      <xdr:rowOff>178593</xdr:rowOff>
    </xdr:from>
    <xdr:to>
      <xdr:col>6</xdr:col>
      <xdr:colOff>211931</xdr:colOff>
      <xdr:row>11</xdr:row>
      <xdr:rowOff>178593</xdr:rowOff>
    </xdr:to>
    <xdr:cxnSp macro="">
      <xdr:nvCxnSpPr>
        <xdr:cNvPr id="1528" name="Match22">
          <a:extLst>
            <a:ext uri="{FF2B5EF4-FFF2-40B4-BE49-F238E27FC236}">
              <a16:creationId xmlns:a16="http://schemas.microsoft.com/office/drawing/2014/main" id="{A27B1BE9-2978-9CD5-AC6C-F645DDF3FE2E}"/>
            </a:ext>
          </a:extLst>
        </xdr:cNvPr>
        <xdr:cNvCxnSpPr/>
      </xdr:nvCxnSpPr>
      <xdr:spPr>
        <a:xfrm flipV="1">
          <a:off x="2755106" y="33932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10</xdr:col>
      <xdr:colOff>211931</xdr:colOff>
      <xdr:row>8</xdr:row>
      <xdr:rowOff>178594</xdr:rowOff>
    </xdr:to>
    <xdr:cxnSp macro="">
      <xdr:nvCxnSpPr>
        <xdr:cNvPr id="1529" name="Match23">
          <a:extLst>
            <a:ext uri="{FF2B5EF4-FFF2-40B4-BE49-F238E27FC236}">
              <a16:creationId xmlns:a16="http://schemas.microsoft.com/office/drawing/2014/main" id="{0057ADF9-28E2-9402-EEC6-15187081A5B5}"/>
            </a:ext>
          </a:extLst>
        </xdr:cNvPr>
        <xdr:cNvCxnSpPr/>
      </xdr:nvCxnSpPr>
      <xdr:spPr>
        <a:xfrm>
          <a:off x="3602831" y="232171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7</xdr:col>
      <xdr:colOff>211931</xdr:colOff>
      <xdr:row>3</xdr:row>
      <xdr:rowOff>178593</xdr:rowOff>
    </xdr:to>
    <xdr:cxnSp macro="">
      <xdr:nvCxnSpPr>
        <xdr:cNvPr id="1530" name="Match24">
          <a:extLst>
            <a:ext uri="{FF2B5EF4-FFF2-40B4-BE49-F238E27FC236}">
              <a16:creationId xmlns:a16="http://schemas.microsoft.com/office/drawing/2014/main" id="{B260A803-4DFF-D422-1AB1-66D4AFF5C058}"/>
            </a:ext>
          </a:extLst>
        </xdr:cNvPr>
        <xdr:cNvCxnSpPr/>
      </xdr:nvCxnSpPr>
      <xdr:spPr>
        <a:xfrm>
          <a:off x="275510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2</xdr:row>
      <xdr:rowOff>203994</xdr:rowOff>
    </xdr:from>
    <xdr:to>
      <xdr:col>6</xdr:col>
      <xdr:colOff>237331</xdr:colOff>
      <xdr:row>3</xdr:row>
      <xdr:rowOff>203993</xdr:rowOff>
    </xdr:to>
    <xdr:cxnSp macro="">
      <xdr:nvCxnSpPr>
        <xdr:cNvPr id="1531" name="Match25">
          <a:extLst>
            <a:ext uri="{FF2B5EF4-FFF2-40B4-BE49-F238E27FC236}">
              <a16:creationId xmlns:a16="http://schemas.microsoft.com/office/drawing/2014/main" id="{4D925324-8EE7-63C6-0C4B-2DFFB4160E15}"/>
            </a:ext>
          </a:extLst>
        </xdr:cNvPr>
        <xdr:cNvCxnSpPr/>
      </xdr:nvCxnSpPr>
      <xdr:spPr>
        <a:xfrm>
          <a:off x="2780506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1</xdr:row>
      <xdr:rowOff>229393</xdr:rowOff>
    </xdr:from>
    <xdr:to>
      <xdr:col>6</xdr:col>
      <xdr:colOff>262731</xdr:colOff>
      <xdr:row>2</xdr:row>
      <xdr:rowOff>229394</xdr:rowOff>
    </xdr:to>
    <xdr:cxnSp macro="">
      <xdr:nvCxnSpPr>
        <xdr:cNvPr id="1532" name="Match26">
          <a:extLst>
            <a:ext uri="{FF2B5EF4-FFF2-40B4-BE49-F238E27FC236}">
              <a16:creationId xmlns:a16="http://schemas.microsoft.com/office/drawing/2014/main" id="{C60C9099-0E5C-5A10-DE85-E2CA3687CB6E}"/>
            </a:ext>
          </a:extLst>
        </xdr:cNvPr>
        <xdr:cNvCxnSpPr/>
      </xdr:nvCxnSpPr>
      <xdr:spPr>
        <a:xfrm flipV="1">
          <a:off x="2805906" y="586581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2</xdr:row>
      <xdr:rowOff>178594</xdr:rowOff>
    </xdr:from>
    <xdr:to>
      <xdr:col>8</xdr:col>
      <xdr:colOff>211931</xdr:colOff>
      <xdr:row>3</xdr:row>
      <xdr:rowOff>178593</xdr:rowOff>
    </xdr:to>
    <xdr:cxnSp macro="">
      <xdr:nvCxnSpPr>
        <xdr:cNvPr id="1533" name="Match27">
          <a:extLst>
            <a:ext uri="{FF2B5EF4-FFF2-40B4-BE49-F238E27FC236}">
              <a16:creationId xmlns:a16="http://schemas.microsoft.com/office/drawing/2014/main" id="{548157C4-585B-F0B1-2B05-4A6068EC0A8D}"/>
            </a:ext>
          </a:extLst>
        </xdr:cNvPr>
        <xdr:cNvCxnSpPr/>
      </xdr:nvCxnSpPr>
      <xdr:spPr>
        <a:xfrm flipH="1">
          <a:off x="3178969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1</xdr:col>
      <xdr:colOff>211931</xdr:colOff>
      <xdr:row>4</xdr:row>
      <xdr:rowOff>178594</xdr:rowOff>
    </xdr:to>
    <xdr:cxnSp macro="">
      <xdr:nvCxnSpPr>
        <xdr:cNvPr id="1534" name="Match28">
          <a:extLst>
            <a:ext uri="{FF2B5EF4-FFF2-40B4-BE49-F238E27FC236}">
              <a16:creationId xmlns:a16="http://schemas.microsoft.com/office/drawing/2014/main" id="{E87138AE-AAE2-DDEA-613A-59BA4EBB6666}"/>
            </a:ext>
          </a:extLst>
        </xdr:cNvPr>
        <xdr:cNvCxnSpPr/>
      </xdr:nvCxnSpPr>
      <xdr:spPr>
        <a:xfrm flipH="1" flipV="1">
          <a:off x="21193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5</xdr:col>
      <xdr:colOff>211931</xdr:colOff>
      <xdr:row>6</xdr:row>
      <xdr:rowOff>178594</xdr:rowOff>
    </xdr:to>
    <xdr:cxnSp macro="">
      <xdr:nvCxnSpPr>
        <xdr:cNvPr id="1535" name="Match29">
          <a:extLst>
            <a:ext uri="{FF2B5EF4-FFF2-40B4-BE49-F238E27FC236}">
              <a16:creationId xmlns:a16="http://schemas.microsoft.com/office/drawing/2014/main" id="{0E4C5C98-B200-3B23-343D-2168CCCDCC40}"/>
            </a:ext>
          </a:extLst>
        </xdr:cNvPr>
        <xdr:cNvCxnSpPr/>
      </xdr:nvCxnSpPr>
      <xdr:spPr>
        <a:xfrm>
          <a:off x="2331244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7</xdr:row>
      <xdr:rowOff>178593</xdr:rowOff>
    </xdr:from>
    <xdr:to>
      <xdr:col>7</xdr:col>
      <xdr:colOff>211931</xdr:colOff>
      <xdr:row>8</xdr:row>
      <xdr:rowOff>178594</xdr:rowOff>
    </xdr:to>
    <xdr:cxnSp macro="">
      <xdr:nvCxnSpPr>
        <xdr:cNvPr id="1536" name="Match30">
          <a:extLst>
            <a:ext uri="{FF2B5EF4-FFF2-40B4-BE49-F238E27FC236}">
              <a16:creationId xmlns:a16="http://schemas.microsoft.com/office/drawing/2014/main" id="{28FD59D6-DC8A-95B3-67CB-D8E26EA53964}"/>
            </a:ext>
          </a:extLst>
        </xdr:cNvPr>
        <xdr:cNvCxnSpPr/>
      </xdr:nvCxnSpPr>
      <xdr:spPr>
        <a:xfrm flipH="1" flipV="1">
          <a:off x="2755106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7</xdr:row>
      <xdr:rowOff>203993</xdr:rowOff>
    </xdr:from>
    <xdr:to>
      <xdr:col>7</xdr:col>
      <xdr:colOff>237331</xdr:colOff>
      <xdr:row>8</xdr:row>
      <xdr:rowOff>203994</xdr:rowOff>
    </xdr:to>
    <xdr:cxnSp macro="">
      <xdr:nvCxnSpPr>
        <xdr:cNvPr id="1537" name="Match31">
          <a:extLst>
            <a:ext uri="{FF2B5EF4-FFF2-40B4-BE49-F238E27FC236}">
              <a16:creationId xmlns:a16="http://schemas.microsoft.com/office/drawing/2014/main" id="{B0671AE4-816B-43C5-2470-5C03C61133C5}"/>
            </a:ext>
          </a:extLst>
        </xdr:cNvPr>
        <xdr:cNvCxnSpPr/>
      </xdr:nvCxnSpPr>
      <xdr:spPr>
        <a:xfrm flipV="1">
          <a:off x="3204369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9</xdr:row>
      <xdr:rowOff>203993</xdr:rowOff>
    </xdr:from>
    <xdr:to>
      <xdr:col>3</xdr:col>
      <xdr:colOff>237331</xdr:colOff>
      <xdr:row>9</xdr:row>
      <xdr:rowOff>203993</xdr:rowOff>
    </xdr:to>
    <xdr:cxnSp macro="">
      <xdr:nvCxnSpPr>
        <xdr:cNvPr id="1538" name="Match32">
          <a:extLst>
            <a:ext uri="{FF2B5EF4-FFF2-40B4-BE49-F238E27FC236}">
              <a16:creationId xmlns:a16="http://schemas.microsoft.com/office/drawing/2014/main" id="{815E5545-2B84-53A7-6EB6-6FC1CFE24D0C}"/>
            </a:ext>
          </a:extLst>
        </xdr:cNvPr>
        <xdr:cNvCxnSpPr/>
      </xdr:nvCxnSpPr>
      <xdr:spPr>
        <a:xfrm flipH="1">
          <a:off x="237331" y="3418681"/>
          <a:ext cx="1271588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7</xdr:row>
      <xdr:rowOff>203993</xdr:rowOff>
    </xdr:from>
    <xdr:to>
      <xdr:col>6</xdr:col>
      <xdr:colOff>237331</xdr:colOff>
      <xdr:row>9</xdr:row>
      <xdr:rowOff>203993</xdr:rowOff>
    </xdr:to>
    <xdr:cxnSp macro="">
      <xdr:nvCxnSpPr>
        <xdr:cNvPr id="1539" name="Match33">
          <a:extLst>
            <a:ext uri="{FF2B5EF4-FFF2-40B4-BE49-F238E27FC236}">
              <a16:creationId xmlns:a16="http://schemas.microsoft.com/office/drawing/2014/main" id="{C397886B-D210-9526-9CC9-DB6799850E1E}"/>
            </a:ext>
          </a:extLst>
        </xdr:cNvPr>
        <xdr:cNvCxnSpPr/>
      </xdr:nvCxnSpPr>
      <xdr:spPr>
        <a:xfrm>
          <a:off x="2780506" y="2704306"/>
          <a:ext cx="0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7</xdr:col>
      <xdr:colOff>211931</xdr:colOff>
      <xdr:row>9</xdr:row>
      <xdr:rowOff>178593</xdr:rowOff>
    </xdr:to>
    <xdr:cxnSp macro="">
      <xdr:nvCxnSpPr>
        <xdr:cNvPr id="1540" name="Match34">
          <a:extLst>
            <a:ext uri="{FF2B5EF4-FFF2-40B4-BE49-F238E27FC236}">
              <a16:creationId xmlns:a16="http://schemas.microsoft.com/office/drawing/2014/main" id="{631161B5-7E5F-2039-AF1F-3F4297E8FFEC}"/>
            </a:ext>
          </a:extLst>
        </xdr:cNvPr>
        <xdr:cNvCxnSpPr/>
      </xdr:nvCxnSpPr>
      <xdr:spPr>
        <a:xfrm flipH="1">
          <a:off x="2331244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11</xdr:col>
      <xdr:colOff>211931</xdr:colOff>
      <xdr:row>11</xdr:row>
      <xdr:rowOff>178593</xdr:rowOff>
    </xdr:to>
    <xdr:cxnSp macro="">
      <xdr:nvCxnSpPr>
        <xdr:cNvPr id="1541" name="Match35">
          <a:extLst>
            <a:ext uri="{FF2B5EF4-FFF2-40B4-BE49-F238E27FC236}">
              <a16:creationId xmlns:a16="http://schemas.microsoft.com/office/drawing/2014/main" id="{820ECFD1-27EB-E760-BB1F-73A4C27C712E}"/>
            </a:ext>
          </a:extLst>
        </xdr:cNvPr>
        <xdr:cNvCxnSpPr/>
      </xdr:nvCxnSpPr>
      <xdr:spPr>
        <a:xfrm flipV="1">
          <a:off x="4026694" y="33932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10</xdr:row>
      <xdr:rowOff>203994</xdr:rowOff>
    </xdr:from>
    <xdr:to>
      <xdr:col>6</xdr:col>
      <xdr:colOff>237331</xdr:colOff>
      <xdr:row>10</xdr:row>
      <xdr:rowOff>203994</xdr:rowOff>
    </xdr:to>
    <xdr:cxnSp macro="">
      <xdr:nvCxnSpPr>
        <xdr:cNvPr id="1542" name="Match36">
          <a:extLst>
            <a:ext uri="{FF2B5EF4-FFF2-40B4-BE49-F238E27FC236}">
              <a16:creationId xmlns:a16="http://schemas.microsoft.com/office/drawing/2014/main" id="{F59E45FB-B1C9-979E-C9B7-EE4616033F08}"/>
            </a:ext>
          </a:extLst>
        </xdr:cNvPr>
        <xdr:cNvCxnSpPr/>
      </xdr:nvCxnSpPr>
      <xdr:spPr>
        <a:xfrm>
          <a:off x="237331" y="3775869"/>
          <a:ext cx="2543175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7</xdr:col>
      <xdr:colOff>211931</xdr:colOff>
      <xdr:row>1</xdr:row>
      <xdr:rowOff>178593</xdr:rowOff>
    </xdr:to>
    <xdr:cxnSp macro="">
      <xdr:nvCxnSpPr>
        <xdr:cNvPr id="1543" name="Match37">
          <a:extLst>
            <a:ext uri="{FF2B5EF4-FFF2-40B4-BE49-F238E27FC236}">
              <a16:creationId xmlns:a16="http://schemas.microsoft.com/office/drawing/2014/main" id="{207FF54D-4C93-5158-52BB-09F332DF39B8}"/>
            </a:ext>
          </a:extLst>
        </xdr:cNvPr>
        <xdr:cNvCxnSpPr/>
      </xdr:nvCxnSpPr>
      <xdr:spPr>
        <a:xfrm flipH="1">
          <a:off x="275510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7</xdr:col>
      <xdr:colOff>211931</xdr:colOff>
      <xdr:row>1</xdr:row>
      <xdr:rowOff>178593</xdr:rowOff>
    </xdr:to>
    <xdr:cxnSp macro="">
      <xdr:nvCxnSpPr>
        <xdr:cNvPr id="1544" name="Match38">
          <a:extLst>
            <a:ext uri="{FF2B5EF4-FFF2-40B4-BE49-F238E27FC236}">
              <a16:creationId xmlns:a16="http://schemas.microsoft.com/office/drawing/2014/main" id="{78180EE7-3382-E254-3587-C97034356E5C}"/>
            </a:ext>
          </a:extLst>
        </xdr:cNvPr>
        <xdr:cNvCxnSpPr/>
      </xdr:nvCxnSpPr>
      <xdr:spPr>
        <a:xfrm flipH="1">
          <a:off x="2755106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1</xdr:col>
      <xdr:colOff>211931</xdr:colOff>
      <xdr:row>3</xdr:row>
      <xdr:rowOff>178593</xdr:rowOff>
    </xdr:to>
    <xdr:cxnSp macro="">
      <xdr:nvCxnSpPr>
        <xdr:cNvPr id="1545" name="Match39">
          <a:extLst>
            <a:ext uri="{FF2B5EF4-FFF2-40B4-BE49-F238E27FC236}">
              <a16:creationId xmlns:a16="http://schemas.microsoft.com/office/drawing/2014/main" id="{CB70C1A1-E229-2C14-0736-8583B6CD8CCE}"/>
            </a:ext>
          </a:extLst>
        </xdr:cNvPr>
        <xdr:cNvCxnSpPr/>
      </xdr:nvCxnSpPr>
      <xdr:spPr>
        <a:xfrm flipH="1">
          <a:off x="211931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6</xdr:col>
      <xdr:colOff>211931</xdr:colOff>
      <xdr:row>4</xdr:row>
      <xdr:rowOff>178594</xdr:rowOff>
    </xdr:to>
    <xdr:cxnSp macro="">
      <xdr:nvCxnSpPr>
        <xdr:cNvPr id="1546" name="Match40">
          <a:extLst>
            <a:ext uri="{FF2B5EF4-FFF2-40B4-BE49-F238E27FC236}">
              <a16:creationId xmlns:a16="http://schemas.microsoft.com/office/drawing/2014/main" id="{0FEC7F39-416B-23B1-5DCF-9290202A4493}"/>
            </a:ext>
          </a:extLst>
        </xdr:cNvPr>
        <xdr:cNvCxnSpPr/>
      </xdr:nvCxnSpPr>
      <xdr:spPr>
        <a:xfrm flipV="1">
          <a:off x="233124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6</xdr:col>
      <xdr:colOff>211931</xdr:colOff>
      <xdr:row>6</xdr:row>
      <xdr:rowOff>178594</xdr:rowOff>
    </xdr:to>
    <xdr:cxnSp macro="">
      <xdr:nvCxnSpPr>
        <xdr:cNvPr id="1547" name="Match41">
          <a:extLst>
            <a:ext uri="{FF2B5EF4-FFF2-40B4-BE49-F238E27FC236}">
              <a16:creationId xmlns:a16="http://schemas.microsoft.com/office/drawing/2014/main" id="{61E113E9-A517-BE2F-53BC-C07AD8D4948A}"/>
            </a:ext>
          </a:extLst>
        </xdr:cNvPr>
        <xdr:cNvCxnSpPr/>
      </xdr:nvCxnSpPr>
      <xdr:spPr>
        <a:xfrm flipH="1">
          <a:off x="233124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5</xdr:row>
      <xdr:rowOff>178593</xdr:rowOff>
    </xdr:from>
    <xdr:to>
      <xdr:col>10</xdr:col>
      <xdr:colOff>211931</xdr:colOff>
      <xdr:row>6</xdr:row>
      <xdr:rowOff>178594</xdr:rowOff>
    </xdr:to>
    <xdr:cxnSp macro="">
      <xdr:nvCxnSpPr>
        <xdr:cNvPr id="1548" name="Match42">
          <a:extLst>
            <a:ext uri="{FF2B5EF4-FFF2-40B4-BE49-F238E27FC236}">
              <a16:creationId xmlns:a16="http://schemas.microsoft.com/office/drawing/2014/main" id="{477394D8-26B0-36B3-86A0-1B9A51A57C80}"/>
            </a:ext>
          </a:extLst>
        </xdr:cNvPr>
        <xdr:cNvCxnSpPr/>
      </xdr:nvCxnSpPr>
      <xdr:spPr>
        <a:xfrm>
          <a:off x="402669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5</xdr:col>
      <xdr:colOff>211931</xdr:colOff>
      <xdr:row>6</xdr:row>
      <xdr:rowOff>178594</xdr:rowOff>
    </xdr:to>
    <xdr:cxnSp macro="">
      <xdr:nvCxnSpPr>
        <xdr:cNvPr id="1549" name="Match43">
          <a:extLst>
            <a:ext uri="{FF2B5EF4-FFF2-40B4-BE49-F238E27FC236}">
              <a16:creationId xmlns:a16="http://schemas.microsoft.com/office/drawing/2014/main" id="{0A78757D-8E3E-EBC9-F77B-D20B3DD805C9}"/>
            </a:ext>
          </a:extLst>
        </xdr:cNvPr>
        <xdr:cNvCxnSpPr/>
      </xdr:nvCxnSpPr>
      <xdr:spPr>
        <a:xfrm>
          <a:off x="1907381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6</xdr:row>
      <xdr:rowOff>203994</xdr:rowOff>
    </xdr:from>
    <xdr:to>
      <xdr:col>5</xdr:col>
      <xdr:colOff>237331</xdr:colOff>
      <xdr:row>7</xdr:row>
      <xdr:rowOff>203993</xdr:rowOff>
    </xdr:to>
    <xdr:cxnSp macro="">
      <xdr:nvCxnSpPr>
        <xdr:cNvPr id="1550" name="Match44">
          <a:extLst>
            <a:ext uri="{FF2B5EF4-FFF2-40B4-BE49-F238E27FC236}">
              <a16:creationId xmlns:a16="http://schemas.microsoft.com/office/drawing/2014/main" id="{7CB17940-1F8F-89ED-AA13-F9C5376525ED}"/>
            </a:ext>
          </a:extLst>
        </xdr:cNvPr>
        <xdr:cNvCxnSpPr/>
      </xdr:nvCxnSpPr>
      <xdr:spPr>
        <a:xfrm>
          <a:off x="1932781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3</xdr:row>
      <xdr:rowOff>203993</xdr:rowOff>
    </xdr:from>
    <xdr:to>
      <xdr:col>1</xdr:col>
      <xdr:colOff>237331</xdr:colOff>
      <xdr:row>7</xdr:row>
      <xdr:rowOff>203993</xdr:rowOff>
    </xdr:to>
    <xdr:cxnSp macro="">
      <xdr:nvCxnSpPr>
        <xdr:cNvPr id="1551" name="Match45">
          <a:extLst>
            <a:ext uri="{FF2B5EF4-FFF2-40B4-BE49-F238E27FC236}">
              <a16:creationId xmlns:a16="http://schemas.microsoft.com/office/drawing/2014/main" id="{AABEEF4E-4454-85DB-709E-4DC35926859C}"/>
            </a:ext>
          </a:extLst>
        </xdr:cNvPr>
        <xdr:cNvCxnSpPr/>
      </xdr:nvCxnSpPr>
      <xdr:spPr>
        <a:xfrm>
          <a:off x="661194" y="1275556"/>
          <a:ext cx="0" cy="142875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2</xdr:col>
      <xdr:colOff>211931</xdr:colOff>
      <xdr:row>7</xdr:row>
      <xdr:rowOff>178593</xdr:rowOff>
    </xdr:to>
    <xdr:cxnSp macro="">
      <xdr:nvCxnSpPr>
        <xdr:cNvPr id="1552" name="Match46">
          <a:extLst>
            <a:ext uri="{FF2B5EF4-FFF2-40B4-BE49-F238E27FC236}">
              <a16:creationId xmlns:a16="http://schemas.microsoft.com/office/drawing/2014/main" id="{687C0DF6-22EA-668B-43D6-A1367B39FF91}"/>
            </a:ext>
          </a:extLst>
        </xdr:cNvPr>
        <xdr:cNvCxnSpPr/>
      </xdr:nvCxnSpPr>
      <xdr:spPr>
        <a:xfrm>
          <a:off x="1059656" y="1250156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A58EADE-BD98-BB62-D88C-6723505B52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C8" sqref="C8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6">
        <v>1</v>
      </c>
      <c r="B1" s="22">
        <v>9</v>
      </c>
      <c r="C1" s="23">
        <v>9</v>
      </c>
      <c r="D1" s="26">
        <v>1</v>
      </c>
      <c r="E1" s="23">
        <v>7</v>
      </c>
      <c r="F1" s="22">
        <v>5</v>
      </c>
      <c r="G1" s="26">
        <v>3</v>
      </c>
      <c r="H1" s="22">
        <v>8</v>
      </c>
      <c r="I1" s="26">
        <v>8</v>
      </c>
      <c r="J1" s="26">
        <v>3</v>
      </c>
      <c r="K1" s="26">
        <v>7</v>
      </c>
      <c r="L1" s="26">
        <v>1</v>
      </c>
      <c r="N1" s="2">
        <v>12</v>
      </c>
      <c r="O1" s="1">
        <v>6</v>
      </c>
    </row>
    <row r="2" spans="1:15" ht="28.25" customHeight="1">
      <c r="A2" s="26">
        <v>5</v>
      </c>
      <c r="B2" s="26">
        <v>6</v>
      </c>
      <c r="C2" s="22">
        <v>9</v>
      </c>
      <c r="D2" s="26">
        <v>8</v>
      </c>
      <c r="E2" s="26">
        <v>8</v>
      </c>
      <c r="F2" s="23">
        <v>6</v>
      </c>
      <c r="G2" s="22">
        <v>4</v>
      </c>
      <c r="H2" s="23">
        <v>8</v>
      </c>
      <c r="I2" s="22">
        <v>1</v>
      </c>
      <c r="J2" s="26">
        <v>5</v>
      </c>
      <c r="K2" s="26">
        <v>5</v>
      </c>
      <c r="L2" s="26">
        <v>5</v>
      </c>
      <c r="N2" s="2">
        <v>67</v>
      </c>
      <c r="O2" s="1">
        <v>10</v>
      </c>
    </row>
    <row r="3" spans="1:15" ht="28.25" customHeight="1">
      <c r="A3" s="26">
        <v>5</v>
      </c>
      <c r="B3" s="26">
        <v>5</v>
      </c>
      <c r="C3" s="23">
        <v>5</v>
      </c>
      <c r="D3" s="22">
        <v>5</v>
      </c>
      <c r="E3" s="26">
        <v>5</v>
      </c>
      <c r="F3" s="23">
        <v>6</v>
      </c>
      <c r="G3" s="23">
        <v>2</v>
      </c>
      <c r="H3" s="22">
        <v>7</v>
      </c>
      <c r="I3" s="23">
        <v>2</v>
      </c>
      <c r="J3" s="22">
        <v>9</v>
      </c>
      <c r="K3" s="26">
        <v>3</v>
      </c>
      <c r="L3" s="26">
        <v>6</v>
      </c>
      <c r="N3" s="2">
        <v>1338525</v>
      </c>
      <c r="O3" s="1">
        <v>1</v>
      </c>
    </row>
    <row r="4" spans="1:15" ht="28.25" customHeight="1">
      <c r="A4" s="23">
        <v>4</v>
      </c>
      <c r="B4" s="22">
        <v>8</v>
      </c>
      <c r="C4" s="22">
        <v>9</v>
      </c>
      <c r="D4" s="26">
        <v>5</v>
      </c>
      <c r="E4" s="23">
        <v>7</v>
      </c>
      <c r="F4" s="23">
        <v>7</v>
      </c>
      <c r="G4" s="23">
        <v>4</v>
      </c>
      <c r="H4" s="23">
        <v>4</v>
      </c>
      <c r="I4" s="22">
        <v>3</v>
      </c>
      <c r="J4" s="22">
        <v>7</v>
      </c>
      <c r="K4" s="22">
        <v>6</v>
      </c>
      <c r="L4" s="26">
        <v>2</v>
      </c>
      <c r="N4" s="2">
        <v>683745</v>
      </c>
      <c r="O4" s="1">
        <v>1</v>
      </c>
    </row>
    <row r="5" spans="1:15" ht="28.25" customHeight="1">
      <c r="A5" s="26">
        <v>6</v>
      </c>
      <c r="B5" s="22">
        <v>2</v>
      </c>
      <c r="C5" s="22">
        <v>8</v>
      </c>
      <c r="D5" s="26">
        <v>7</v>
      </c>
      <c r="E5" s="26">
        <v>7</v>
      </c>
      <c r="F5" s="23">
        <v>8</v>
      </c>
      <c r="G5" s="26">
        <v>7</v>
      </c>
      <c r="H5" s="26">
        <v>1</v>
      </c>
      <c r="I5" s="26">
        <v>1</v>
      </c>
      <c r="J5" s="22">
        <v>8</v>
      </c>
      <c r="K5" s="26">
        <v>8</v>
      </c>
      <c r="L5" s="22">
        <v>6</v>
      </c>
      <c r="N5" s="2">
        <v>4479</v>
      </c>
      <c r="O5" s="1">
        <v>1</v>
      </c>
    </row>
    <row r="6" spans="1:15" ht="28.25" customHeight="1">
      <c r="A6" s="23">
        <v>2</v>
      </c>
      <c r="B6" s="22">
        <v>9</v>
      </c>
      <c r="C6" s="22">
        <v>3</v>
      </c>
      <c r="D6" s="26">
        <v>7</v>
      </c>
      <c r="E6" s="26">
        <v>3</v>
      </c>
      <c r="F6" s="23">
        <v>2</v>
      </c>
      <c r="G6" s="23">
        <v>8</v>
      </c>
      <c r="H6" s="26">
        <v>1</v>
      </c>
      <c r="I6" s="26">
        <v>7</v>
      </c>
      <c r="J6" s="22">
        <v>8</v>
      </c>
      <c r="K6" s="22">
        <v>6</v>
      </c>
      <c r="L6" s="22">
        <v>1</v>
      </c>
      <c r="N6" s="2">
        <v>66918</v>
      </c>
      <c r="O6" s="1">
        <v>1</v>
      </c>
    </row>
    <row r="7" spans="1:15" ht="28.25" customHeight="1">
      <c r="A7" s="23">
        <v>7</v>
      </c>
      <c r="B7" s="22">
        <v>1</v>
      </c>
      <c r="C7" s="22">
        <v>9</v>
      </c>
      <c r="D7" s="26">
        <v>8</v>
      </c>
      <c r="E7" s="23">
        <v>8</v>
      </c>
      <c r="F7" s="23">
        <v>4</v>
      </c>
      <c r="G7" s="26">
        <v>9</v>
      </c>
      <c r="H7" s="26">
        <v>3</v>
      </c>
      <c r="I7" s="22">
        <v>5</v>
      </c>
      <c r="J7" s="26">
        <v>9</v>
      </c>
      <c r="K7" s="22">
        <v>4</v>
      </c>
      <c r="L7" s="22">
        <v>3</v>
      </c>
      <c r="N7" s="2">
        <v>995</v>
      </c>
      <c r="O7" s="1">
        <v>3</v>
      </c>
    </row>
    <row r="8" spans="1:15" ht="28.25" customHeight="1">
      <c r="A8" s="26">
        <v>1</v>
      </c>
      <c r="B8" s="22">
        <v>6</v>
      </c>
      <c r="C8" s="22">
        <v>5</v>
      </c>
      <c r="D8" s="22">
        <v>9</v>
      </c>
      <c r="E8" s="22">
        <v>7</v>
      </c>
      <c r="F8" s="22">
        <v>4</v>
      </c>
      <c r="G8" s="22">
        <v>4</v>
      </c>
      <c r="H8" s="22">
        <v>4</v>
      </c>
      <c r="I8" s="26">
        <v>6</v>
      </c>
      <c r="J8" s="22">
        <v>9</v>
      </c>
      <c r="K8" s="23">
        <v>7</v>
      </c>
      <c r="L8" s="22">
        <v>3</v>
      </c>
      <c r="N8" s="2">
        <v>596</v>
      </c>
      <c r="O8" s="1">
        <v>1</v>
      </c>
    </row>
    <row r="9" spans="1:15" ht="28.25" customHeight="1">
      <c r="A9" s="26">
        <v>8</v>
      </c>
      <c r="B9" s="26">
        <v>6</v>
      </c>
      <c r="C9" s="26">
        <v>9</v>
      </c>
      <c r="D9" s="26">
        <v>8</v>
      </c>
      <c r="E9" s="26">
        <v>7</v>
      </c>
      <c r="F9" s="26">
        <v>1</v>
      </c>
      <c r="G9" s="23">
        <v>6</v>
      </c>
      <c r="H9" s="22">
        <v>2</v>
      </c>
      <c r="I9" s="26">
        <v>6</v>
      </c>
      <c r="J9" s="26">
        <v>9</v>
      </c>
      <c r="K9" s="22">
        <v>6</v>
      </c>
      <c r="L9" s="22">
        <v>8</v>
      </c>
      <c r="N9" s="2">
        <v>24</v>
      </c>
      <c r="O9" s="1">
        <v>8</v>
      </c>
    </row>
    <row r="10" spans="1:15" ht="28.25" customHeight="1">
      <c r="A10" s="22">
        <v>8</v>
      </c>
      <c r="B10" s="22">
        <v>2</v>
      </c>
      <c r="C10" s="22">
        <v>5</v>
      </c>
      <c r="D10" s="22">
        <v>1</v>
      </c>
      <c r="E10" s="26">
        <v>8</v>
      </c>
      <c r="F10" s="23">
        <v>5</v>
      </c>
      <c r="G10" s="23">
        <v>5</v>
      </c>
      <c r="H10" s="22">
        <v>1</v>
      </c>
      <c r="I10" s="26">
        <v>8</v>
      </c>
      <c r="J10" s="26">
        <v>8</v>
      </c>
      <c r="K10" s="23">
        <v>7</v>
      </c>
      <c r="L10" s="22">
        <v>5</v>
      </c>
      <c r="N10" s="2">
        <v>1528</v>
      </c>
      <c r="O10" s="1">
        <v>1</v>
      </c>
    </row>
    <row r="11" spans="1:15" ht="28.25" customHeight="1">
      <c r="A11" s="22">
        <v>1</v>
      </c>
      <c r="B11" s="22">
        <v>9</v>
      </c>
      <c r="C11" s="22">
        <v>2</v>
      </c>
      <c r="D11" s="22">
        <v>9</v>
      </c>
      <c r="E11" s="22">
        <v>7</v>
      </c>
      <c r="F11" s="22">
        <v>9</v>
      </c>
      <c r="G11" s="22">
        <v>9</v>
      </c>
      <c r="H11" s="26">
        <v>8</v>
      </c>
      <c r="I11" s="26">
        <v>1</v>
      </c>
      <c r="J11" s="26">
        <v>1</v>
      </c>
      <c r="K11" s="22">
        <v>6</v>
      </c>
      <c r="L11" s="22">
        <v>2</v>
      </c>
      <c r="N11" s="2">
        <v>465</v>
      </c>
      <c r="O11" s="1">
        <v>3</v>
      </c>
    </row>
    <row r="12" spans="1:15" ht="28.25" customHeight="1">
      <c r="A12" s="26">
        <v>7</v>
      </c>
      <c r="B12" s="23">
        <v>1</v>
      </c>
      <c r="C12" s="26">
        <v>5</v>
      </c>
      <c r="D12" s="23">
        <v>6</v>
      </c>
      <c r="E12" s="26">
        <v>2</v>
      </c>
      <c r="F12" s="26">
        <v>8</v>
      </c>
      <c r="G12" s="23">
        <v>9</v>
      </c>
      <c r="H12" s="26">
        <v>3</v>
      </c>
      <c r="I12" s="26">
        <v>1</v>
      </c>
      <c r="J12" s="22">
        <v>4</v>
      </c>
      <c r="K12" s="23">
        <v>7</v>
      </c>
      <c r="L12" s="22">
        <v>5</v>
      </c>
      <c r="N12" s="2">
        <v>1929799</v>
      </c>
      <c r="O12" s="1">
        <v>1</v>
      </c>
    </row>
    <row r="13" spans="1:15" ht="28.25" customHeight="1">
      <c r="N13" s="2">
        <v>84</v>
      </c>
      <c r="O13" s="1">
        <v>8</v>
      </c>
    </row>
    <row r="14" spans="1:15" ht="28.25" customHeight="1">
      <c r="N14" s="2">
        <v>82916</v>
      </c>
      <c r="O14" s="1">
        <v>1</v>
      </c>
    </row>
    <row r="15" spans="1:15" ht="28.25" customHeight="1">
      <c r="N15" s="2">
        <v>98395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115"/>
  <sheetViews>
    <sheetView tabSelected="1" zoomScaleNormal="100" workbookViewId="0">
      <pane ySplit="1" topLeftCell="A106" activePane="bottomLeft" state="frozen"/>
      <selection pane="bottomLeft" activeCell="A115" sqref="A115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179</v>
      </c>
      <c r="L1" s="4" t="s">
        <v>163</v>
      </c>
      <c r="M1" s="4" t="s">
        <v>251</v>
      </c>
      <c r="N1" s="4" t="s">
        <v>178</v>
      </c>
      <c r="O1" s="4" t="s">
        <v>180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IF(A17&lt;DATEVALUE("2025/11/20")+TIMEVALUE("6:00"),1,IF(B17-SUM(D17:F17)&lt;&gt;60,0,MAX(2-INT(G17*24*60/10),0)))</f>
        <v>1</v>
      </c>
      <c r="L17">
        <f>L16+K17</f>
        <v>1</v>
      </c>
      <c r="M17">
        <f t="shared" ref="M17" si="0">2+IF(A17&gt;=DATEVALUE("2025/11/30")+TIMEVALUE("6:00"),1,0)+IF(A17&gt;=DATEVALUE("2025/12/11")+TIMEVALUE("6:00"),1,0)</f>
        <v>2</v>
      </c>
      <c r="N17">
        <f t="shared" ref="N17" si="1">N16+M17*(INT(A17-6/24)-INT(A16-6/24))+O17</f>
        <v>2</v>
      </c>
      <c r="O17">
        <f>IF(A17&gt;=DATEVALUE("2025/11/8")+TIMEVALUE("6:00"),1,0)-IF(A16&gt;=DATEVALUE("2025/11/8")+TIMEVALUE("6:00"),1,0)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81" si="2">IF(A18&lt;DATEVALUE("2025/11/20")+TIMEVALUE("6:00"),1,IF(B18-SUM(D18:F18)&lt;&gt;60,0,MAX(2-INT(G18*24*60/10),0)))</f>
        <v>1</v>
      </c>
      <c r="L18">
        <f t="shared" ref="L18:L81" si="3">L17+K18</f>
        <v>2</v>
      </c>
      <c r="M18">
        <f t="shared" ref="M18:M81" si="4">2+IF(A18&gt;=DATEVALUE("2025/11/30")+TIMEVALUE("6:00"),1,0)+IF(A18&gt;=DATEVALUE("2025/12/11")+TIMEVALUE("6:00"),1,0)</f>
        <v>2</v>
      </c>
      <c r="N18">
        <f t="shared" ref="N18:N81" si="5">N17+M18*(INT(A18-6/24)-INT(A17-6/24))+O18</f>
        <v>2</v>
      </c>
      <c r="O18">
        <f t="shared" ref="O18:O81" si="6">IF(A18&gt;=DATEVALUE("2025/11/8")+TIMEVALUE("6:00"),1,0)-IF(A17&gt;=DATEVALUE("2025/11/8")+TIMEVALUE("6:00"),1,0)</f>
        <v>0</v>
      </c>
      <c r="P18" t="str">
        <f t="shared" ref="P18:P81" si="7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2"/>
        <v>1</v>
      </c>
      <c r="L19">
        <f t="shared" si="3"/>
        <v>3</v>
      </c>
      <c r="M19">
        <f t="shared" si="4"/>
        <v>2</v>
      </c>
      <c r="N19">
        <f t="shared" si="5"/>
        <v>4</v>
      </c>
      <c r="O19">
        <f t="shared" si="6"/>
        <v>0</v>
      </c>
      <c r="P19" t="str">
        <f t="shared" si="7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2"/>
        <v>1</v>
      </c>
      <c r="L20">
        <f t="shared" si="3"/>
        <v>4</v>
      </c>
      <c r="M20">
        <f t="shared" si="4"/>
        <v>2</v>
      </c>
      <c r="N20">
        <f t="shared" si="5"/>
        <v>4</v>
      </c>
      <c r="O20">
        <f t="shared" si="6"/>
        <v>0</v>
      </c>
      <c r="P20" t="str">
        <f t="shared" si="7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2"/>
        <v>1</v>
      </c>
      <c r="L21">
        <f t="shared" si="3"/>
        <v>5</v>
      </c>
      <c r="M21">
        <f t="shared" si="4"/>
        <v>2</v>
      </c>
      <c r="N21">
        <f t="shared" si="5"/>
        <v>6</v>
      </c>
      <c r="O21">
        <f t="shared" si="6"/>
        <v>0</v>
      </c>
      <c r="P21" t="str">
        <f t="shared" si="7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2"/>
        <v>1</v>
      </c>
      <c r="L22">
        <f t="shared" si="3"/>
        <v>6</v>
      </c>
      <c r="M22">
        <f t="shared" si="4"/>
        <v>2</v>
      </c>
      <c r="N22">
        <f t="shared" si="5"/>
        <v>6</v>
      </c>
      <c r="O22">
        <f t="shared" si="6"/>
        <v>0</v>
      </c>
      <c r="P22" t="str">
        <f t="shared" si="7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2"/>
        <v>1</v>
      </c>
      <c r="L23">
        <f t="shared" si="3"/>
        <v>7</v>
      </c>
      <c r="M23">
        <f t="shared" si="4"/>
        <v>2</v>
      </c>
      <c r="N23">
        <f t="shared" si="5"/>
        <v>8</v>
      </c>
      <c r="O23">
        <f t="shared" si="6"/>
        <v>0</v>
      </c>
      <c r="P23" t="str">
        <f t="shared" si="7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2"/>
        <v>1</v>
      </c>
      <c r="L24">
        <f t="shared" si="3"/>
        <v>8</v>
      </c>
      <c r="M24">
        <f t="shared" si="4"/>
        <v>2</v>
      </c>
      <c r="N24">
        <f t="shared" si="5"/>
        <v>8</v>
      </c>
      <c r="O24">
        <f t="shared" si="6"/>
        <v>0</v>
      </c>
      <c r="P24" t="str">
        <f t="shared" si="7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2"/>
        <v>1</v>
      </c>
      <c r="L25">
        <f t="shared" si="3"/>
        <v>9</v>
      </c>
      <c r="M25">
        <f t="shared" si="4"/>
        <v>2</v>
      </c>
      <c r="N25">
        <f t="shared" si="5"/>
        <v>10</v>
      </c>
      <c r="O25">
        <f t="shared" si="6"/>
        <v>0</v>
      </c>
      <c r="P25" t="str">
        <f t="shared" si="7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2"/>
        <v>1</v>
      </c>
      <c r="L26">
        <f t="shared" si="3"/>
        <v>10</v>
      </c>
      <c r="M26">
        <f t="shared" si="4"/>
        <v>2</v>
      </c>
      <c r="N26">
        <f t="shared" si="5"/>
        <v>10</v>
      </c>
      <c r="O26">
        <f t="shared" si="6"/>
        <v>0</v>
      </c>
      <c r="P26" t="str">
        <f t="shared" si="7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2"/>
        <v>1</v>
      </c>
      <c r="L27">
        <f t="shared" si="3"/>
        <v>11</v>
      </c>
      <c r="M27">
        <f t="shared" si="4"/>
        <v>2</v>
      </c>
      <c r="N27">
        <f t="shared" si="5"/>
        <v>13</v>
      </c>
      <c r="O27">
        <f t="shared" si="6"/>
        <v>1</v>
      </c>
      <c r="P27" t="str">
        <f t="shared" si="7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2"/>
        <v>1</v>
      </c>
      <c r="L28">
        <f t="shared" si="3"/>
        <v>12</v>
      </c>
      <c r="M28">
        <f t="shared" si="4"/>
        <v>2</v>
      </c>
      <c r="N28">
        <f t="shared" si="5"/>
        <v>13</v>
      </c>
      <c r="O28">
        <f t="shared" si="6"/>
        <v>0</v>
      </c>
      <c r="P28" t="str">
        <f t="shared" si="7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2"/>
        <v>1</v>
      </c>
      <c r="L29">
        <f t="shared" si="3"/>
        <v>13</v>
      </c>
      <c r="M29">
        <f t="shared" si="4"/>
        <v>2</v>
      </c>
      <c r="N29">
        <f t="shared" si="5"/>
        <v>13</v>
      </c>
      <c r="O29">
        <f t="shared" si="6"/>
        <v>0</v>
      </c>
      <c r="P29" t="str">
        <f t="shared" si="7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2"/>
        <v>1</v>
      </c>
      <c r="L30">
        <f t="shared" si="3"/>
        <v>14</v>
      </c>
      <c r="M30">
        <f t="shared" si="4"/>
        <v>2</v>
      </c>
      <c r="N30">
        <f t="shared" si="5"/>
        <v>15</v>
      </c>
      <c r="O30">
        <f t="shared" si="6"/>
        <v>0</v>
      </c>
      <c r="P30" t="str">
        <f t="shared" si="7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2"/>
        <v>1</v>
      </c>
      <c r="L31">
        <f t="shared" si="3"/>
        <v>15</v>
      </c>
      <c r="M31">
        <f t="shared" si="4"/>
        <v>2</v>
      </c>
      <c r="N31">
        <f t="shared" si="5"/>
        <v>15</v>
      </c>
      <c r="O31">
        <f t="shared" si="6"/>
        <v>0</v>
      </c>
      <c r="P31" t="str">
        <f t="shared" si="7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2"/>
        <v>1</v>
      </c>
      <c r="L32">
        <f t="shared" si="3"/>
        <v>16</v>
      </c>
      <c r="M32">
        <f t="shared" si="4"/>
        <v>2</v>
      </c>
      <c r="N32">
        <f t="shared" si="5"/>
        <v>17</v>
      </c>
      <c r="O32">
        <f t="shared" si="6"/>
        <v>0</v>
      </c>
      <c r="P32" t="str">
        <f t="shared" si="7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2"/>
        <v>1</v>
      </c>
      <c r="L33">
        <f t="shared" si="3"/>
        <v>17</v>
      </c>
      <c r="M33">
        <f t="shared" si="4"/>
        <v>2</v>
      </c>
      <c r="N33">
        <f t="shared" si="5"/>
        <v>17</v>
      </c>
      <c r="O33">
        <f t="shared" si="6"/>
        <v>0</v>
      </c>
      <c r="P33" t="str">
        <f t="shared" si="7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2"/>
        <v>1</v>
      </c>
      <c r="L34">
        <f t="shared" si="3"/>
        <v>18</v>
      </c>
      <c r="M34">
        <f t="shared" si="4"/>
        <v>2</v>
      </c>
      <c r="N34">
        <f t="shared" si="5"/>
        <v>19</v>
      </c>
      <c r="O34">
        <f t="shared" si="6"/>
        <v>0</v>
      </c>
      <c r="P34" t="str">
        <f t="shared" si="7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2"/>
        <v>1</v>
      </c>
      <c r="L35">
        <f t="shared" si="3"/>
        <v>19</v>
      </c>
      <c r="M35">
        <f t="shared" si="4"/>
        <v>2</v>
      </c>
      <c r="N35">
        <f t="shared" si="5"/>
        <v>19</v>
      </c>
      <c r="O35">
        <f t="shared" si="6"/>
        <v>0</v>
      </c>
      <c r="P35" t="str">
        <f t="shared" si="7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2"/>
        <v>1</v>
      </c>
      <c r="L36">
        <f t="shared" si="3"/>
        <v>20</v>
      </c>
      <c r="M36">
        <f t="shared" si="4"/>
        <v>2</v>
      </c>
      <c r="N36">
        <f t="shared" si="5"/>
        <v>21</v>
      </c>
      <c r="O36">
        <f t="shared" si="6"/>
        <v>0</v>
      </c>
      <c r="P36" t="str">
        <f t="shared" si="7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2"/>
        <v>1</v>
      </c>
      <c r="L37">
        <f t="shared" si="3"/>
        <v>21</v>
      </c>
      <c r="M37">
        <f t="shared" si="4"/>
        <v>2</v>
      </c>
      <c r="N37">
        <f t="shared" si="5"/>
        <v>21</v>
      </c>
      <c r="O37">
        <f t="shared" si="6"/>
        <v>0</v>
      </c>
      <c r="P37" t="str">
        <f t="shared" si="7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2"/>
        <v>1</v>
      </c>
      <c r="L38">
        <f t="shared" si="3"/>
        <v>22</v>
      </c>
      <c r="M38">
        <f t="shared" si="4"/>
        <v>2</v>
      </c>
      <c r="N38">
        <f t="shared" si="5"/>
        <v>25</v>
      </c>
      <c r="O38">
        <f t="shared" si="6"/>
        <v>0</v>
      </c>
      <c r="P38" t="str">
        <f t="shared" si="7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2"/>
        <v>1</v>
      </c>
      <c r="L39">
        <f t="shared" si="3"/>
        <v>23</v>
      </c>
      <c r="M39">
        <f t="shared" si="4"/>
        <v>2</v>
      </c>
      <c r="N39">
        <f t="shared" si="5"/>
        <v>25</v>
      </c>
      <c r="O39">
        <f t="shared" si="6"/>
        <v>0</v>
      </c>
      <c r="P39" t="str">
        <f t="shared" si="7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2"/>
        <v>1</v>
      </c>
      <c r="L40">
        <f t="shared" si="3"/>
        <v>24</v>
      </c>
      <c r="M40">
        <f t="shared" si="4"/>
        <v>2</v>
      </c>
      <c r="N40">
        <f t="shared" si="5"/>
        <v>27</v>
      </c>
      <c r="O40">
        <f t="shared" si="6"/>
        <v>0</v>
      </c>
      <c r="P40" t="str">
        <f t="shared" si="7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2"/>
        <v>1</v>
      </c>
      <c r="L41">
        <f t="shared" si="3"/>
        <v>25</v>
      </c>
      <c r="M41">
        <f t="shared" si="4"/>
        <v>2</v>
      </c>
      <c r="N41">
        <f t="shared" si="5"/>
        <v>27</v>
      </c>
      <c r="O41">
        <f t="shared" si="6"/>
        <v>0</v>
      </c>
      <c r="P41" t="str">
        <f t="shared" si="7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2"/>
        <v>1</v>
      </c>
      <c r="L42">
        <f t="shared" si="3"/>
        <v>26</v>
      </c>
      <c r="M42">
        <f t="shared" si="4"/>
        <v>2</v>
      </c>
      <c r="N42">
        <f t="shared" si="5"/>
        <v>29</v>
      </c>
      <c r="O42">
        <f t="shared" si="6"/>
        <v>0</v>
      </c>
      <c r="P42" t="str">
        <f t="shared" si="7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2"/>
        <v>1</v>
      </c>
      <c r="L43">
        <f t="shared" si="3"/>
        <v>27</v>
      </c>
      <c r="M43">
        <f t="shared" si="4"/>
        <v>2</v>
      </c>
      <c r="N43">
        <f t="shared" si="5"/>
        <v>29</v>
      </c>
      <c r="O43">
        <f t="shared" si="6"/>
        <v>0</v>
      </c>
      <c r="P43" t="str">
        <f t="shared" si="7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2"/>
        <v>1</v>
      </c>
      <c r="L44">
        <f t="shared" si="3"/>
        <v>28</v>
      </c>
      <c r="M44">
        <f t="shared" si="4"/>
        <v>2</v>
      </c>
      <c r="N44">
        <f t="shared" si="5"/>
        <v>29</v>
      </c>
      <c r="O44">
        <f t="shared" si="6"/>
        <v>0</v>
      </c>
      <c r="P44" t="str">
        <f t="shared" si="7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2"/>
        <v>1</v>
      </c>
      <c r="L45">
        <f t="shared" si="3"/>
        <v>29</v>
      </c>
      <c r="M45">
        <f t="shared" si="4"/>
        <v>2</v>
      </c>
      <c r="N45">
        <f t="shared" si="5"/>
        <v>29</v>
      </c>
      <c r="O45">
        <f t="shared" si="6"/>
        <v>0</v>
      </c>
      <c r="P45" t="str">
        <f t="shared" si="7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2"/>
        <v>1</v>
      </c>
      <c r="L46">
        <f t="shared" si="3"/>
        <v>30</v>
      </c>
      <c r="M46">
        <f t="shared" si="4"/>
        <v>2</v>
      </c>
      <c r="N46">
        <f t="shared" si="5"/>
        <v>29</v>
      </c>
      <c r="O46">
        <f t="shared" si="6"/>
        <v>0</v>
      </c>
      <c r="P46" t="str">
        <f t="shared" si="7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2"/>
        <v>1</v>
      </c>
      <c r="L47">
        <f t="shared" si="3"/>
        <v>31</v>
      </c>
      <c r="M47">
        <f t="shared" si="4"/>
        <v>2</v>
      </c>
      <c r="N47">
        <f t="shared" si="5"/>
        <v>29</v>
      </c>
      <c r="O47">
        <f t="shared" si="6"/>
        <v>0</v>
      </c>
      <c r="P47" t="str">
        <f t="shared" si="7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2"/>
        <v>1</v>
      </c>
      <c r="L48">
        <f t="shared" si="3"/>
        <v>32</v>
      </c>
      <c r="M48">
        <f t="shared" si="4"/>
        <v>2</v>
      </c>
      <c r="N48">
        <f t="shared" si="5"/>
        <v>31</v>
      </c>
      <c r="O48">
        <f t="shared" si="6"/>
        <v>0</v>
      </c>
      <c r="P48" t="str">
        <f t="shared" si="7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2"/>
        <v>1</v>
      </c>
      <c r="L49">
        <f t="shared" si="3"/>
        <v>33</v>
      </c>
      <c r="M49">
        <f t="shared" si="4"/>
        <v>2</v>
      </c>
      <c r="N49">
        <f t="shared" si="5"/>
        <v>31</v>
      </c>
      <c r="O49">
        <f t="shared" si="6"/>
        <v>0</v>
      </c>
      <c r="P49" t="str">
        <f t="shared" si="7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2"/>
        <v>1</v>
      </c>
      <c r="L50">
        <f t="shared" si="3"/>
        <v>34</v>
      </c>
      <c r="M50">
        <f t="shared" si="4"/>
        <v>2</v>
      </c>
      <c r="N50">
        <f t="shared" si="5"/>
        <v>31</v>
      </c>
      <c r="O50">
        <f t="shared" si="6"/>
        <v>0</v>
      </c>
      <c r="P50" t="str">
        <f t="shared" si="7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2"/>
        <v>1</v>
      </c>
      <c r="L51">
        <f t="shared" si="3"/>
        <v>35</v>
      </c>
      <c r="M51">
        <f t="shared" si="4"/>
        <v>2</v>
      </c>
      <c r="N51">
        <f t="shared" si="5"/>
        <v>31</v>
      </c>
      <c r="O51">
        <f t="shared" si="6"/>
        <v>0</v>
      </c>
      <c r="P51" t="str">
        <f t="shared" si="7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2"/>
        <v>1</v>
      </c>
      <c r="L52">
        <f t="shared" si="3"/>
        <v>36</v>
      </c>
      <c r="M52">
        <f t="shared" si="4"/>
        <v>2</v>
      </c>
      <c r="N52">
        <f t="shared" si="5"/>
        <v>35</v>
      </c>
      <c r="O52">
        <f t="shared" si="6"/>
        <v>0</v>
      </c>
      <c r="P52" t="str">
        <f t="shared" si="7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2"/>
        <v>1</v>
      </c>
      <c r="L53">
        <f t="shared" si="3"/>
        <v>37</v>
      </c>
      <c r="M53">
        <f t="shared" si="4"/>
        <v>2</v>
      </c>
      <c r="N53">
        <f t="shared" si="5"/>
        <v>35</v>
      </c>
      <c r="O53">
        <f t="shared" si="6"/>
        <v>0</v>
      </c>
      <c r="P53" t="str">
        <f t="shared" si="7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2"/>
        <v>1</v>
      </c>
      <c r="L54">
        <f t="shared" si="3"/>
        <v>38</v>
      </c>
      <c r="M54">
        <f t="shared" si="4"/>
        <v>2</v>
      </c>
      <c r="N54">
        <f t="shared" si="5"/>
        <v>37</v>
      </c>
      <c r="O54">
        <f t="shared" si="6"/>
        <v>0</v>
      </c>
      <c r="P54" t="str">
        <f t="shared" si="7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2"/>
        <v>0</v>
      </c>
      <c r="L55">
        <f t="shared" si="3"/>
        <v>38</v>
      </c>
      <c r="M55">
        <f t="shared" si="4"/>
        <v>2</v>
      </c>
      <c r="N55">
        <f t="shared" si="5"/>
        <v>37</v>
      </c>
      <c r="O55">
        <f t="shared" si="6"/>
        <v>0</v>
      </c>
      <c r="P55" t="str">
        <f t="shared" si="7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2"/>
        <v>1</v>
      </c>
      <c r="L56">
        <f t="shared" si="3"/>
        <v>39</v>
      </c>
      <c r="M56">
        <f t="shared" si="4"/>
        <v>2</v>
      </c>
      <c r="N56">
        <f t="shared" si="5"/>
        <v>39</v>
      </c>
      <c r="O56">
        <f t="shared" si="6"/>
        <v>0</v>
      </c>
      <c r="P56" t="str">
        <f t="shared" si="7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2"/>
        <v>1</v>
      </c>
      <c r="L57">
        <f t="shared" si="3"/>
        <v>40</v>
      </c>
      <c r="M57">
        <f t="shared" si="4"/>
        <v>2</v>
      </c>
      <c r="N57">
        <f t="shared" si="5"/>
        <v>41</v>
      </c>
      <c r="O57">
        <f t="shared" si="6"/>
        <v>0</v>
      </c>
      <c r="P57" t="str">
        <f t="shared" si="7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2"/>
        <v>1</v>
      </c>
      <c r="L58">
        <f t="shared" si="3"/>
        <v>41</v>
      </c>
      <c r="M58">
        <f t="shared" si="4"/>
        <v>2</v>
      </c>
      <c r="N58">
        <f t="shared" si="5"/>
        <v>41</v>
      </c>
      <c r="O58">
        <f t="shared" si="6"/>
        <v>0</v>
      </c>
      <c r="P58" t="str">
        <f t="shared" si="7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2"/>
        <v>1</v>
      </c>
      <c r="L59">
        <f t="shared" si="3"/>
        <v>42</v>
      </c>
      <c r="M59">
        <f t="shared" si="4"/>
        <v>2</v>
      </c>
      <c r="N59">
        <f t="shared" si="5"/>
        <v>45</v>
      </c>
      <c r="O59">
        <f t="shared" si="6"/>
        <v>0</v>
      </c>
      <c r="P59" t="str">
        <f t="shared" si="7"/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2"/>
        <v>0</v>
      </c>
      <c r="L60">
        <f t="shared" si="3"/>
        <v>42</v>
      </c>
      <c r="M60">
        <f t="shared" si="4"/>
        <v>2</v>
      </c>
      <c r="N60">
        <f t="shared" si="5"/>
        <v>45</v>
      </c>
      <c r="O60">
        <f t="shared" si="6"/>
        <v>0</v>
      </c>
      <c r="P60" t="str">
        <f t="shared" si="7"/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2"/>
        <v>0</v>
      </c>
      <c r="L61">
        <f t="shared" si="3"/>
        <v>42</v>
      </c>
      <c r="M61">
        <f t="shared" si="4"/>
        <v>2</v>
      </c>
      <c r="N61">
        <f t="shared" si="5"/>
        <v>45</v>
      </c>
      <c r="O61">
        <f t="shared" si="6"/>
        <v>0</v>
      </c>
      <c r="P61" t="str">
        <f t="shared" si="7"/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2"/>
        <v>1</v>
      </c>
      <c r="L62">
        <f t="shared" si="3"/>
        <v>43</v>
      </c>
      <c r="M62">
        <f t="shared" si="4"/>
        <v>2</v>
      </c>
      <c r="N62">
        <f t="shared" si="5"/>
        <v>45</v>
      </c>
      <c r="O62">
        <f t="shared" si="6"/>
        <v>0</v>
      </c>
      <c r="P62" t="str">
        <f t="shared" si="7"/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181</v>
      </c>
      <c r="I63" t="s">
        <v>182</v>
      </c>
      <c r="J63">
        <v>0</v>
      </c>
      <c r="K63">
        <f t="shared" si="2"/>
        <v>2</v>
      </c>
      <c r="L63">
        <f t="shared" si="3"/>
        <v>45</v>
      </c>
      <c r="M63">
        <f t="shared" si="4"/>
        <v>2</v>
      </c>
      <c r="N63">
        <f t="shared" si="5"/>
        <v>45</v>
      </c>
      <c r="O63">
        <f t="shared" si="6"/>
        <v>0</v>
      </c>
      <c r="P63" t="str">
        <f t="shared" si="7"/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183</v>
      </c>
      <c r="I64" t="s">
        <v>184</v>
      </c>
      <c r="J64">
        <v>0</v>
      </c>
      <c r="K64">
        <f t="shared" si="2"/>
        <v>2</v>
      </c>
      <c r="L64">
        <f t="shared" si="3"/>
        <v>47</v>
      </c>
      <c r="M64">
        <f t="shared" si="4"/>
        <v>2</v>
      </c>
      <c r="N64">
        <f t="shared" si="5"/>
        <v>47</v>
      </c>
      <c r="O64">
        <f t="shared" si="6"/>
        <v>0</v>
      </c>
      <c r="P64" t="str">
        <f t="shared" si="7"/>
        <v>達成</v>
      </c>
    </row>
    <row r="65" spans="1:16">
      <c r="A65" s="3">
        <v>45987.58321759259</v>
      </c>
      <c r="B65">
        <v>57</v>
      </c>
      <c r="C65">
        <v>20</v>
      </c>
      <c r="D65">
        <v>0</v>
      </c>
      <c r="E65">
        <v>3</v>
      </c>
      <c r="F65">
        <v>2</v>
      </c>
      <c r="G65" s="5">
        <v>7.696759254031349E-3</v>
      </c>
      <c r="H65" t="s">
        <v>185</v>
      </c>
      <c r="I65" t="s">
        <v>186</v>
      </c>
      <c r="J65">
        <v>0</v>
      </c>
      <c r="K65">
        <f t="shared" si="2"/>
        <v>0</v>
      </c>
      <c r="L65">
        <f t="shared" si="3"/>
        <v>47</v>
      </c>
      <c r="M65">
        <f t="shared" si="4"/>
        <v>2</v>
      </c>
      <c r="N65">
        <f t="shared" si="5"/>
        <v>49</v>
      </c>
      <c r="O65">
        <f t="shared" si="6"/>
        <v>0</v>
      </c>
      <c r="P65" t="str">
        <f t="shared" si="7"/>
        <v>未達成（2）</v>
      </c>
    </row>
    <row r="66" spans="1:16">
      <c r="A66" s="3">
        <v>45987.616712962961</v>
      </c>
      <c r="B66">
        <v>60</v>
      </c>
      <c r="C66">
        <v>28</v>
      </c>
      <c r="D66">
        <v>0</v>
      </c>
      <c r="E66">
        <v>0</v>
      </c>
      <c r="F66">
        <v>0</v>
      </c>
      <c r="G66" s="5">
        <v>6.6782407375285402E-3</v>
      </c>
      <c r="H66" t="s">
        <v>187</v>
      </c>
      <c r="I66" t="s">
        <v>188</v>
      </c>
      <c r="J66">
        <v>0</v>
      </c>
      <c r="K66">
        <f t="shared" si="2"/>
        <v>2</v>
      </c>
      <c r="L66">
        <f t="shared" si="3"/>
        <v>49</v>
      </c>
      <c r="M66">
        <f t="shared" si="4"/>
        <v>2</v>
      </c>
      <c r="N66">
        <f t="shared" si="5"/>
        <v>49</v>
      </c>
      <c r="O66">
        <f t="shared" si="6"/>
        <v>0</v>
      </c>
      <c r="P66" t="str">
        <f t="shared" si="7"/>
        <v>達成</v>
      </c>
    </row>
    <row r="67" spans="1:16">
      <c r="A67" s="3">
        <v>45988.290625000001</v>
      </c>
      <c r="B67">
        <v>60</v>
      </c>
      <c r="C67">
        <v>25</v>
      </c>
      <c r="D67">
        <v>0</v>
      </c>
      <c r="E67">
        <v>0</v>
      </c>
      <c r="F67">
        <v>0</v>
      </c>
      <c r="G67" s="5">
        <v>1.0150462963792961E-2</v>
      </c>
      <c r="H67" t="s">
        <v>189</v>
      </c>
      <c r="I67" t="s">
        <v>190</v>
      </c>
      <c r="J67">
        <v>0</v>
      </c>
      <c r="K67">
        <f t="shared" si="2"/>
        <v>1</v>
      </c>
      <c r="L67">
        <f t="shared" si="3"/>
        <v>50</v>
      </c>
      <c r="M67">
        <f t="shared" si="4"/>
        <v>2</v>
      </c>
      <c r="N67">
        <f t="shared" si="5"/>
        <v>51</v>
      </c>
      <c r="O67">
        <f t="shared" si="6"/>
        <v>0</v>
      </c>
      <c r="P67" t="str">
        <f t="shared" si="7"/>
        <v>未達成（1）</v>
      </c>
    </row>
    <row r="68" spans="1:16">
      <c r="A68" s="3">
        <v>45988.529618055552</v>
      </c>
      <c r="B68">
        <v>60</v>
      </c>
      <c r="C68">
        <v>21</v>
      </c>
      <c r="D68">
        <v>0</v>
      </c>
      <c r="E68">
        <v>0</v>
      </c>
      <c r="F68">
        <v>0</v>
      </c>
      <c r="G68" s="5">
        <v>1.7013888886140194E-2</v>
      </c>
      <c r="H68" t="s">
        <v>191</v>
      </c>
      <c r="I68" t="s">
        <v>192</v>
      </c>
      <c r="J68">
        <v>0</v>
      </c>
      <c r="K68">
        <f t="shared" si="2"/>
        <v>0</v>
      </c>
      <c r="L68">
        <f t="shared" si="3"/>
        <v>50</v>
      </c>
      <c r="M68">
        <f t="shared" si="4"/>
        <v>2</v>
      </c>
      <c r="N68">
        <f t="shared" si="5"/>
        <v>51</v>
      </c>
      <c r="O68">
        <f t="shared" si="6"/>
        <v>0</v>
      </c>
      <c r="P68" t="str">
        <f t="shared" si="7"/>
        <v>未達成（1）</v>
      </c>
    </row>
    <row r="69" spans="1:16">
      <c r="A69" s="3">
        <v>45988.852812500001</v>
      </c>
      <c r="B69">
        <v>60</v>
      </c>
      <c r="C69">
        <v>31</v>
      </c>
      <c r="D69">
        <v>0</v>
      </c>
      <c r="E69">
        <v>0</v>
      </c>
      <c r="F69">
        <v>0</v>
      </c>
      <c r="G69" s="5">
        <v>1.0983796295477077E-2</v>
      </c>
      <c r="H69" t="s">
        <v>193</v>
      </c>
      <c r="I69" t="s">
        <v>194</v>
      </c>
      <c r="J69">
        <v>0</v>
      </c>
      <c r="K69">
        <f t="shared" si="2"/>
        <v>1</v>
      </c>
      <c r="L69">
        <f t="shared" si="3"/>
        <v>51</v>
      </c>
      <c r="M69">
        <f t="shared" si="4"/>
        <v>2</v>
      </c>
      <c r="N69">
        <f t="shared" si="5"/>
        <v>51</v>
      </c>
      <c r="O69">
        <f t="shared" si="6"/>
        <v>0</v>
      </c>
      <c r="P69" t="str">
        <f t="shared" si="7"/>
        <v>達成</v>
      </c>
    </row>
    <row r="70" spans="1:16">
      <c r="A70" s="3">
        <v>45989.291273148148</v>
      </c>
      <c r="B70">
        <v>53</v>
      </c>
      <c r="C70">
        <v>13</v>
      </c>
      <c r="D70">
        <v>0</v>
      </c>
      <c r="E70">
        <v>7</v>
      </c>
      <c r="F70">
        <v>0</v>
      </c>
      <c r="G70" s="5">
        <v>7.9861111080390401E-3</v>
      </c>
      <c r="H70" t="s">
        <v>195</v>
      </c>
      <c r="I70" t="s">
        <v>196</v>
      </c>
      <c r="J70">
        <v>0</v>
      </c>
      <c r="K70">
        <f t="shared" si="2"/>
        <v>0</v>
      </c>
      <c r="L70">
        <f t="shared" si="3"/>
        <v>51</v>
      </c>
      <c r="M70">
        <f t="shared" si="4"/>
        <v>2</v>
      </c>
      <c r="N70">
        <f t="shared" si="5"/>
        <v>53</v>
      </c>
      <c r="O70">
        <f t="shared" si="6"/>
        <v>0</v>
      </c>
      <c r="P70" t="str">
        <f t="shared" si="7"/>
        <v>未達成（2）</v>
      </c>
    </row>
    <row r="71" spans="1:16">
      <c r="A71" s="3">
        <v>45989.299722222226</v>
      </c>
      <c r="B71">
        <v>60</v>
      </c>
      <c r="C71">
        <v>42</v>
      </c>
      <c r="D71">
        <v>0</v>
      </c>
      <c r="E71">
        <v>0</v>
      </c>
      <c r="F71">
        <v>0</v>
      </c>
      <c r="G71" s="5">
        <v>7.6967592613073066E-3</v>
      </c>
      <c r="H71" t="s">
        <v>197</v>
      </c>
      <c r="I71" t="s">
        <v>198</v>
      </c>
      <c r="J71">
        <v>0</v>
      </c>
      <c r="K71">
        <f t="shared" si="2"/>
        <v>1</v>
      </c>
      <c r="L71">
        <f t="shared" si="3"/>
        <v>52</v>
      </c>
      <c r="M71">
        <f t="shared" si="4"/>
        <v>2</v>
      </c>
      <c r="N71">
        <f t="shared" si="5"/>
        <v>53</v>
      </c>
      <c r="O71">
        <f t="shared" si="6"/>
        <v>0</v>
      </c>
      <c r="P71" t="str">
        <f t="shared" si="7"/>
        <v>未達成（1）</v>
      </c>
    </row>
    <row r="72" spans="1:16">
      <c r="A72" s="3">
        <v>45989.308298611111</v>
      </c>
      <c r="B72">
        <v>60</v>
      </c>
      <c r="C72">
        <v>19</v>
      </c>
      <c r="D72">
        <v>0</v>
      </c>
      <c r="E72">
        <v>0</v>
      </c>
      <c r="F72">
        <v>0</v>
      </c>
      <c r="G72" s="5">
        <v>7.7662037074333057E-3</v>
      </c>
      <c r="H72" t="s">
        <v>199</v>
      </c>
      <c r="I72" t="s">
        <v>200</v>
      </c>
      <c r="J72">
        <v>0</v>
      </c>
      <c r="K72">
        <f t="shared" si="2"/>
        <v>1</v>
      </c>
      <c r="L72">
        <f t="shared" si="3"/>
        <v>53</v>
      </c>
      <c r="M72">
        <f t="shared" si="4"/>
        <v>2</v>
      </c>
      <c r="N72">
        <f t="shared" si="5"/>
        <v>53</v>
      </c>
      <c r="O72">
        <f t="shared" si="6"/>
        <v>0</v>
      </c>
      <c r="P72" t="str">
        <f t="shared" si="7"/>
        <v>達成</v>
      </c>
    </row>
    <row r="73" spans="1:16">
      <c r="A73" s="3">
        <v>45990.459027777775</v>
      </c>
      <c r="B73">
        <v>60</v>
      </c>
      <c r="C73">
        <v>13</v>
      </c>
      <c r="D73">
        <v>0</v>
      </c>
      <c r="E73">
        <v>0</v>
      </c>
      <c r="F73">
        <v>0</v>
      </c>
      <c r="G73" s="5">
        <v>9.814814809942618E-3</v>
      </c>
      <c r="H73" t="s">
        <v>201</v>
      </c>
      <c r="I73" t="s">
        <v>202</v>
      </c>
      <c r="J73">
        <v>0</v>
      </c>
      <c r="K73">
        <f t="shared" si="2"/>
        <v>1</v>
      </c>
      <c r="L73">
        <f t="shared" si="3"/>
        <v>54</v>
      </c>
      <c r="M73">
        <f t="shared" si="4"/>
        <v>2</v>
      </c>
      <c r="N73">
        <f t="shared" si="5"/>
        <v>55</v>
      </c>
      <c r="O73">
        <f t="shared" si="6"/>
        <v>0</v>
      </c>
      <c r="P73" t="str">
        <f t="shared" si="7"/>
        <v>未達成（1）</v>
      </c>
    </row>
    <row r="74" spans="1:16">
      <c r="A74" s="3">
        <v>45990.539907407408</v>
      </c>
      <c r="B74">
        <v>60</v>
      </c>
      <c r="C74">
        <v>10</v>
      </c>
      <c r="D74">
        <v>0</v>
      </c>
      <c r="E74">
        <v>0</v>
      </c>
      <c r="F74">
        <v>0</v>
      </c>
      <c r="G74" s="5">
        <v>1.1226851849642117E-2</v>
      </c>
      <c r="H74" t="s">
        <v>203</v>
      </c>
      <c r="I74" t="s">
        <v>204</v>
      </c>
      <c r="J74">
        <v>0</v>
      </c>
      <c r="K74">
        <f t="shared" si="2"/>
        <v>1</v>
      </c>
      <c r="L74">
        <f t="shared" si="3"/>
        <v>55</v>
      </c>
      <c r="M74">
        <f t="shared" si="4"/>
        <v>2</v>
      </c>
      <c r="N74">
        <f t="shared" si="5"/>
        <v>55</v>
      </c>
      <c r="O74">
        <f t="shared" si="6"/>
        <v>0</v>
      </c>
      <c r="P74" t="str">
        <f t="shared" si="7"/>
        <v>達成</v>
      </c>
    </row>
    <row r="75" spans="1:16">
      <c r="A75" s="3">
        <v>45991.563125000001</v>
      </c>
      <c r="B75">
        <v>60</v>
      </c>
      <c r="C75">
        <v>14</v>
      </c>
      <c r="D75">
        <v>0</v>
      </c>
      <c r="E75">
        <v>0</v>
      </c>
      <c r="F75">
        <v>0</v>
      </c>
      <c r="G75" s="5">
        <v>5.694444444088731E-3</v>
      </c>
      <c r="H75" t="s">
        <v>205</v>
      </c>
      <c r="I75" t="s">
        <v>206</v>
      </c>
      <c r="J75">
        <v>0</v>
      </c>
      <c r="K75">
        <f t="shared" si="2"/>
        <v>2</v>
      </c>
      <c r="L75">
        <f t="shared" si="3"/>
        <v>57</v>
      </c>
      <c r="M75">
        <f t="shared" si="4"/>
        <v>3</v>
      </c>
      <c r="N75">
        <f t="shared" si="5"/>
        <v>58</v>
      </c>
      <c r="O75">
        <f t="shared" si="6"/>
        <v>0</v>
      </c>
      <c r="P75" t="str">
        <f t="shared" si="7"/>
        <v>未達成（1）</v>
      </c>
    </row>
    <row r="76" spans="1:16">
      <c r="A76" s="3">
        <v>45991.575856481482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5.5324074055533856E-3</v>
      </c>
      <c r="H76" t="s">
        <v>207</v>
      </c>
      <c r="I76" t="s">
        <v>208</v>
      </c>
      <c r="J76">
        <v>0</v>
      </c>
      <c r="K76">
        <f t="shared" si="2"/>
        <v>2</v>
      </c>
      <c r="L76">
        <f t="shared" si="3"/>
        <v>59</v>
      </c>
      <c r="M76">
        <f t="shared" si="4"/>
        <v>3</v>
      </c>
      <c r="N76">
        <f t="shared" si="5"/>
        <v>58</v>
      </c>
      <c r="O76">
        <f t="shared" si="6"/>
        <v>0</v>
      </c>
      <c r="P76" t="str">
        <f t="shared" si="7"/>
        <v>前倒し（1）</v>
      </c>
    </row>
    <row r="77" spans="1:16">
      <c r="A77" s="3">
        <v>45992.289467592593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1.0162037040572613E-2</v>
      </c>
      <c r="H77" t="s">
        <v>209</v>
      </c>
      <c r="I77" t="s">
        <v>210</v>
      </c>
      <c r="J77">
        <v>0</v>
      </c>
      <c r="K77">
        <f t="shared" si="2"/>
        <v>1</v>
      </c>
      <c r="L77">
        <f t="shared" si="3"/>
        <v>60</v>
      </c>
      <c r="M77">
        <f t="shared" si="4"/>
        <v>3</v>
      </c>
      <c r="N77">
        <f t="shared" si="5"/>
        <v>61</v>
      </c>
      <c r="O77">
        <f t="shared" si="6"/>
        <v>0</v>
      </c>
      <c r="P77" t="str">
        <f t="shared" si="7"/>
        <v>未達成（1）</v>
      </c>
    </row>
    <row r="78" spans="1:16">
      <c r="A78" s="3">
        <v>45992.298761574071</v>
      </c>
      <c r="B78">
        <v>60</v>
      </c>
      <c r="C78">
        <v>8</v>
      </c>
      <c r="D78">
        <v>0</v>
      </c>
      <c r="E78">
        <v>0</v>
      </c>
      <c r="F78">
        <v>0</v>
      </c>
      <c r="G78" s="5">
        <v>6.168981475639157E-3</v>
      </c>
      <c r="H78" t="s">
        <v>211</v>
      </c>
      <c r="I78" t="s">
        <v>212</v>
      </c>
      <c r="J78">
        <v>0</v>
      </c>
      <c r="K78">
        <f t="shared" si="2"/>
        <v>2</v>
      </c>
      <c r="L78">
        <f t="shared" si="3"/>
        <v>62</v>
      </c>
      <c r="M78">
        <f t="shared" si="4"/>
        <v>3</v>
      </c>
      <c r="N78">
        <f t="shared" si="5"/>
        <v>61</v>
      </c>
      <c r="O78">
        <f t="shared" si="6"/>
        <v>0</v>
      </c>
      <c r="P78" t="str">
        <f t="shared" si="7"/>
        <v>前倒し（1）</v>
      </c>
    </row>
    <row r="79" spans="1:16">
      <c r="A79" s="3">
        <v>45993.285081018519</v>
      </c>
      <c r="B79">
        <v>48</v>
      </c>
      <c r="C79">
        <v>7</v>
      </c>
      <c r="D79">
        <v>0</v>
      </c>
      <c r="E79">
        <v>12</v>
      </c>
      <c r="F79">
        <v>0</v>
      </c>
      <c r="G79" s="5">
        <v>7.8703703693463467E-3</v>
      </c>
      <c r="H79" t="s">
        <v>213</v>
      </c>
      <c r="I79" t="s">
        <v>214</v>
      </c>
      <c r="J79">
        <v>0</v>
      </c>
      <c r="K79">
        <f t="shared" si="2"/>
        <v>0</v>
      </c>
      <c r="L79">
        <f t="shared" si="3"/>
        <v>62</v>
      </c>
      <c r="M79">
        <f t="shared" si="4"/>
        <v>3</v>
      </c>
      <c r="N79">
        <f t="shared" si="5"/>
        <v>64</v>
      </c>
      <c r="O79">
        <f t="shared" si="6"/>
        <v>0</v>
      </c>
      <c r="P79" t="str">
        <f t="shared" si="7"/>
        <v>未達成（2）</v>
      </c>
    </row>
    <row r="80" spans="1:16">
      <c r="A80" s="3">
        <v>45993.29241898148</v>
      </c>
      <c r="B80">
        <v>60</v>
      </c>
      <c r="C80">
        <v>18</v>
      </c>
      <c r="D80">
        <v>0</v>
      </c>
      <c r="E80">
        <v>0</v>
      </c>
      <c r="F80">
        <v>0</v>
      </c>
      <c r="G80" s="5">
        <v>6.7476851836545393E-3</v>
      </c>
      <c r="H80" t="s">
        <v>217</v>
      </c>
      <c r="I80" t="s">
        <v>218</v>
      </c>
      <c r="J80">
        <v>0</v>
      </c>
      <c r="K80">
        <f t="shared" si="2"/>
        <v>2</v>
      </c>
      <c r="L80">
        <f t="shared" si="3"/>
        <v>64</v>
      </c>
      <c r="M80">
        <f t="shared" si="4"/>
        <v>3</v>
      </c>
      <c r="N80">
        <f t="shared" si="5"/>
        <v>64</v>
      </c>
      <c r="O80">
        <f t="shared" si="6"/>
        <v>0</v>
      </c>
      <c r="P80" t="str">
        <f t="shared" si="7"/>
        <v>達成</v>
      </c>
    </row>
    <row r="81" spans="1:16">
      <c r="A81" s="3">
        <v>45994.309050925927</v>
      </c>
      <c r="B81">
        <v>60</v>
      </c>
      <c r="C81">
        <v>10</v>
      </c>
      <c r="D81">
        <v>0</v>
      </c>
      <c r="E81">
        <v>0</v>
      </c>
      <c r="F81">
        <v>0</v>
      </c>
      <c r="G81" s="5">
        <v>8.8773148163454607E-3</v>
      </c>
      <c r="H81" t="s">
        <v>215</v>
      </c>
      <c r="I81" t="s">
        <v>216</v>
      </c>
      <c r="J81">
        <v>0</v>
      </c>
      <c r="K81">
        <f t="shared" si="2"/>
        <v>1</v>
      </c>
      <c r="L81">
        <f t="shared" si="3"/>
        <v>65</v>
      </c>
      <c r="M81">
        <f t="shared" si="4"/>
        <v>3</v>
      </c>
      <c r="N81">
        <f t="shared" si="5"/>
        <v>67</v>
      </c>
      <c r="O81">
        <f t="shared" si="6"/>
        <v>0</v>
      </c>
      <c r="P81" t="str">
        <f t="shared" si="7"/>
        <v>未達成（2）</v>
      </c>
    </row>
    <row r="82" spans="1:16">
      <c r="A82" s="3">
        <v>45994.372615740744</v>
      </c>
      <c r="B82">
        <v>60</v>
      </c>
      <c r="C82">
        <v>21</v>
      </c>
      <c r="D82">
        <v>0</v>
      </c>
      <c r="E82">
        <v>0</v>
      </c>
      <c r="F82">
        <v>0</v>
      </c>
      <c r="G82" s="5">
        <v>8.9930555550381541E-3</v>
      </c>
      <c r="H82" t="s">
        <v>219</v>
      </c>
      <c r="I82" t="s">
        <v>220</v>
      </c>
      <c r="J82">
        <v>0</v>
      </c>
      <c r="K82">
        <f t="shared" ref="K82:K97" si="8">IF(A82&lt;DATEVALUE("2025/11/20")+TIMEVALUE("6:00"),1,IF(B82-SUM(D82:F82)&lt;&gt;60,0,MAX(2-INT(G82*24*60/10),0)))</f>
        <v>1</v>
      </c>
      <c r="L82">
        <f t="shared" ref="L82:L97" si="9">L81+K82</f>
        <v>66</v>
      </c>
      <c r="M82">
        <f t="shared" ref="M82:M97" si="10">2+IF(A82&gt;=DATEVALUE("2025/11/30")+TIMEVALUE("6:00"),1,0)+IF(A82&gt;=DATEVALUE("2025/12/11")+TIMEVALUE("6:00"),1,0)</f>
        <v>3</v>
      </c>
      <c r="N82">
        <f t="shared" ref="N82:N97" si="11">N81+M82*(INT(A82-6/24)-INT(A81-6/24))+O82</f>
        <v>67</v>
      </c>
      <c r="O82">
        <f t="shared" ref="O82:O97" si="12">IF(A82&gt;=DATEVALUE("2025/11/8")+TIMEVALUE("6:00"),1,0)-IF(A81&gt;=DATEVALUE("2025/11/8")+TIMEVALUE("6:00"),1,0)</f>
        <v>0</v>
      </c>
      <c r="P82" t="str">
        <f t="shared" ref="P82:P97" si="13">IF(L82&lt;N82,"未達成（"&amp;N82-L82&amp;"）",IF(L82=N82,"達成","前倒し（"&amp;L82-N82&amp;"）"))</f>
        <v>未達成（1）</v>
      </c>
    </row>
    <row r="83" spans="1:16">
      <c r="A83" s="3">
        <v>45994.573900462965</v>
      </c>
      <c r="B83">
        <v>60</v>
      </c>
      <c r="C83">
        <v>24</v>
      </c>
      <c r="D83">
        <v>0</v>
      </c>
      <c r="E83">
        <v>0</v>
      </c>
      <c r="F83">
        <v>0</v>
      </c>
      <c r="G83" s="5">
        <v>7.3263888916699216E-3</v>
      </c>
      <c r="H83" t="s">
        <v>221</v>
      </c>
      <c r="I83" t="s">
        <v>222</v>
      </c>
      <c r="J83">
        <v>0</v>
      </c>
      <c r="K83">
        <f t="shared" si="8"/>
        <v>1</v>
      </c>
      <c r="L83">
        <f t="shared" si="9"/>
        <v>67</v>
      </c>
      <c r="M83">
        <f t="shared" si="10"/>
        <v>3</v>
      </c>
      <c r="N83">
        <f t="shared" si="11"/>
        <v>67</v>
      </c>
      <c r="O83">
        <f t="shared" si="12"/>
        <v>0</v>
      </c>
      <c r="P83" t="str">
        <f t="shared" si="13"/>
        <v>達成</v>
      </c>
    </row>
    <row r="84" spans="1:16">
      <c r="A84" s="3">
        <v>45995.297349537039</v>
      </c>
      <c r="B84">
        <v>60</v>
      </c>
      <c r="C84">
        <v>13</v>
      </c>
      <c r="D84">
        <v>0</v>
      </c>
      <c r="E84">
        <v>0</v>
      </c>
      <c r="F84">
        <v>0</v>
      </c>
      <c r="G84" s="5">
        <v>8.8888888931251131E-3</v>
      </c>
      <c r="H84" t="s">
        <v>223</v>
      </c>
      <c r="I84" t="s">
        <v>224</v>
      </c>
      <c r="J84">
        <v>0</v>
      </c>
      <c r="K84">
        <f t="shared" si="8"/>
        <v>1</v>
      </c>
      <c r="L84">
        <f t="shared" si="9"/>
        <v>68</v>
      </c>
      <c r="M84">
        <f t="shared" si="10"/>
        <v>3</v>
      </c>
      <c r="N84">
        <f t="shared" si="11"/>
        <v>70</v>
      </c>
      <c r="O84">
        <f t="shared" si="12"/>
        <v>0</v>
      </c>
      <c r="P84" t="str">
        <f t="shared" si="13"/>
        <v>未達成（2）</v>
      </c>
    </row>
    <row r="85" spans="1:16">
      <c r="A85" s="3">
        <v>45995.308217592596</v>
      </c>
      <c r="B85">
        <v>60</v>
      </c>
      <c r="C85">
        <v>12</v>
      </c>
      <c r="D85">
        <v>0</v>
      </c>
      <c r="E85">
        <v>0</v>
      </c>
      <c r="F85">
        <v>0</v>
      </c>
      <c r="G85" s="5">
        <v>7.7777777842129581E-3</v>
      </c>
      <c r="H85" t="s">
        <v>225</v>
      </c>
      <c r="I85" t="s">
        <v>226</v>
      </c>
      <c r="J85">
        <v>0</v>
      </c>
      <c r="K85">
        <f t="shared" si="8"/>
        <v>1</v>
      </c>
      <c r="L85">
        <f t="shared" si="9"/>
        <v>69</v>
      </c>
      <c r="M85">
        <f t="shared" si="10"/>
        <v>3</v>
      </c>
      <c r="N85">
        <f t="shared" si="11"/>
        <v>70</v>
      </c>
      <c r="O85">
        <f t="shared" si="12"/>
        <v>0</v>
      </c>
      <c r="P85" t="str">
        <f t="shared" si="13"/>
        <v>未達成（1）</v>
      </c>
    </row>
    <row r="86" spans="1:16">
      <c r="A86" s="3">
        <v>45995.571805555555</v>
      </c>
      <c r="B86">
        <v>60</v>
      </c>
      <c r="C86">
        <v>16</v>
      </c>
      <c r="D86">
        <v>0</v>
      </c>
      <c r="E86">
        <v>0</v>
      </c>
      <c r="F86">
        <v>0</v>
      </c>
      <c r="G86" s="5">
        <v>6.1226851830724627E-3</v>
      </c>
      <c r="H86" t="s">
        <v>227</v>
      </c>
      <c r="I86" t="s">
        <v>228</v>
      </c>
      <c r="J86">
        <v>0</v>
      </c>
      <c r="K86">
        <f t="shared" si="8"/>
        <v>2</v>
      </c>
      <c r="L86">
        <f t="shared" si="9"/>
        <v>71</v>
      </c>
      <c r="M86">
        <f t="shared" si="10"/>
        <v>3</v>
      </c>
      <c r="N86">
        <f t="shared" si="11"/>
        <v>70</v>
      </c>
      <c r="O86">
        <f t="shared" si="12"/>
        <v>0</v>
      </c>
      <c r="P86" t="str">
        <f t="shared" si="13"/>
        <v>前倒し（1）</v>
      </c>
    </row>
    <row r="87" spans="1:16">
      <c r="A87" s="3">
        <v>45996.284409722219</v>
      </c>
      <c r="B87">
        <v>60</v>
      </c>
      <c r="C87">
        <v>6</v>
      </c>
      <c r="D87">
        <v>0</v>
      </c>
      <c r="E87">
        <v>0</v>
      </c>
      <c r="F87">
        <v>0</v>
      </c>
      <c r="G87" s="5">
        <v>7.3842592537403107E-3</v>
      </c>
      <c r="H87" t="s">
        <v>229</v>
      </c>
      <c r="I87" t="s">
        <v>230</v>
      </c>
      <c r="J87">
        <v>0</v>
      </c>
      <c r="K87">
        <f t="shared" si="8"/>
        <v>1</v>
      </c>
      <c r="L87">
        <f t="shared" si="9"/>
        <v>72</v>
      </c>
      <c r="M87">
        <f t="shared" si="10"/>
        <v>3</v>
      </c>
      <c r="N87">
        <f t="shared" si="11"/>
        <v>73</v>
      </c>
      <c r="O87">
        <f t="shared" si="12"/>
        <v>0</v>
      </c>
      <c r="P87" t="str">
        <f t="shared" si="13"/>
        <v>未達成（1）</v>
      </c>
    </row>
    <row r="88" spans="1:16">
      <c r="A88" s="3">
        <v>45996.311747685184</v>
      </c>
      <c r="B88">
        <v>60</v>
      </c>
      <c r="C88">
        <v>16</v>
      </c>
      <c r="D88">
        <v>0</v>
      </c>
      <c r="E88">
        <v>0</v>
      </c>
      <c r="F88">
        <v>0</v>
      </c>
      <c r="G88" s="5">
        <v>1.17013888884685E-2</v>
      </c>
      <c r="H88" t="s">
        <v>231</v>
      </c>
      <c r="I88" t="s">
        <v>232</v>
      </c>
      <c r="J88">
        <v>0</v>
      </c>
      <c r="K88">
        <f t="shared" si="8"/>
        <v>1</v>
      </c>
      <c r="L88">
        <f t="shared" si="9"/>
        <v>73</v>
      </c>
      <c r="M88">
        <f t="shared" si="10"/>
        <v>3</v>
      </c>
      <c r="N88">
        <f t="shared" si="11"/>
        <v>73</v>
      </c>
      <c r="O88">
        <f t="shared" si="12"/>
        <v>0</v>
      </c>
      <c r="P88" t="str">
        <f t="shared" si="13"/>
        <v>達成</v>
      </c>
    </row>
    <row r="89" spans="1:16">
      <c r="A89" s="3">
        <v>45997.303113425929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5.7291666671517305E-3</v>
      </c>
      <c r="H89" t="s">
        <v>233</v>
      </c>
      <c r="I89" t="s">
        <v>234</v>
      </c>
      <c r="J89">
        <v>0</v>
      </c>
      <c r="K89">
        <f t="shared" si="8"/>
        <v>2</v>
      </c>
      <c r="L89">
        <f t="shared" si="9"/>
        <v>75</v>
      </c>
      <c r="M89">
        <f t="shared" si="10"/>
        <v>3</v>
      </c>
      <c r="N89">
        <f t="shared" si="11"/>
        <v>76</v>
      </c>
      <c r="O89">
        <f t="shared" si="12"/>
        <v>0</v>
      </c>
      <c r="P89" t="str">
        <f t="shared" si="13"/>
        <v>未達成（1）</v>
      </c>
    </row>
    <row r="90" spans="1:16">
      <c r="A90" s="3">
        <v>45997.312106481484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6.4699074064265005E-3</v>
      </c>
      <c r="H90" t="s">
        <v>235</v>
      </c>
      <c r="I90" t="s">
        <v>236</v>
      </c>
      <c r="J90">
        <v>0</v>
      </c>
      <c r="K90">
        <f t="shared" si="8"/>
        <v>2</v>
      </c>
      <c r="L90">
        <f t="shared" si="9"/>
        <v>77</v>
      </c>
      <c r="M90">
        <f t="shared" si="10"/>
        <v>3</v>
      </c>
      <c r="N90">
        <f t="shared" si="11"/>
        <v>76</v>
      </c>
      <c r="O90">
        <f t="shared" si="12"/>
        <v>0</v>
      </c>
      <c r="P90" t="str">
        <f t="shared" si="13"/>
        <v>前倒し（1）</v>
      </c>
    </row>
    <row r="91" spans="1:16">
      <c r="A91" s="3">
        <v>45998.290590277778</v>
      </c>
      <c r="B91">
        <v>60</v>
      </c>
      <c r="C91">
        <v>4</v>
      </c>
      <c r="D91">
        <v>0</v>
      </c>
      <c r="E91">
        <v>0</v>
      </c>
      <c r="F91">
        <v>0</v>
      </c>
      <c r="G91" s="5">
        <v>6.805555553000886E-3</v>
      </c>
      <c r="H91" t="s">
        <v>237</v>
      </c>
      <c r="I91" t="s">
        <v>238</v>
      </c>
      <c r="J91">
        <v>0</v>
      </c>
      <c r="K91">
        <f t="shared" si="8"/>
        <v>2</v>
      </c>
      <c r="L91">
        <f t="shared" si="9"/>
        <v>79</v>
      </c>
      <c r="M91">
        <f t="shared" si="10"/>
        <v>3</v>
      </c>
      <c r="N91">
        <f t="shared" si="11"/>
        <v>79</v>
      </c>
      <c r="O91">
        <f t="shared" si="12"/>
        <v>0</v>
      </c>
      <c r="P91" t="str">
        <f t="shared" si="13"/>
        <v>達成</v>
      </c>
    </row>
    <row r="92" spans="1:16">
      <c r="A92" s="3">
        <v>45999.308831018519</v>
      </c>
      <c r="B92">
        <v>60</v>
      </c>
      <c r="C92">
        <v>19</v>
      </c>
      <c r="D92">
        <v>0</v>
      </c>
      <c r="E92">
        <v>0</v>
      </c>
      <c r="F92">
        <v>0</v>
      </c>
      <c r="G92" s="5">
        <v>7.8935185229056515E-3</v>
      </c>
      <c r="H92" t="s">
        <v>239</v>
      </c>
      <c r="I92" t="s">
        <v>240</v>
      </c>
      <c r="J92">
        <v>0</v>
      </c>
      <c r="K92">
        <f t="shared" si="8"/>
        <v>1</v>
      </c>
      <c r="L92">
        <f t="shared" si="9"/>
        <v>80</v>
      </c>
      <c r="M92">
        <f t="shared" si="10"/>
        <v>3</v>
      </c>
      <c r="N92">
        <f t="shared" si="11"/>
        <v>82</v>
      </c>
      <c r="O92">
        <f t="shared" si="12"/>
        <v>0</v>
      </c>
      <c r="P92" t="str">
        <f t="shared" si="13"/>
        <v>未達成（2）</v>
      </c>
    </row>
    <row r="93" spans="1:16">
      <c r="A93" s="3">
        <v>45999.538287037038</v>
      </c>
      <c r="B93">
        <v>60</v>
      </c>
      <c r="C93">
        <v>10</v>
      </c>
      <c r="D93">
        <v>0</v>
      </c>
      <c r="E93">
        <v>0</v>
      </c>
      <c r="F93">
        <v>0</v>
      </c>
      <c r="G93" s="5">
        <v>8.2407407389837317E-3</v>
      </c>
      <c r="H93" t="s">
        <v>241</v>
      </c>
      <c r="I93" t="s">
        <v>242</v>
      </c>
      <c r="J93">
        <v>0</v>
      </c>
      <c r="K93">
        <f t="shared" si="8"/>
        <v>1</v>
      </c>
      <c r="L93">
        <f t="shared" si="9"/>
        <v>81</v>
      </c>
      <c r="M93">
        <f t="shared" si="10"/>
        <v>3</v>
      </c>
      <c r="N93">
        <f t="shared" si="11"/>
        <v>82</v>
      </c>
      <c r="O93">
        <f t="shared" si="12"/>
        <v>0</v>
      </c>
      <c r="P93" t="str">
        <f t="shared" si="13"/>
        <v>未達成（1）</v>
      </c>
    </row>
    <row r="94" spans="1:16">
      <c r="A94" s="3">
        <v>45999.866469907407</v>
      </c>
      <c r="B94">
        <v>60</v>
      </c>
      <c r="C94">
        <v>12</v>
      </c>
      <c r="D94">
        <v>0</v>
      </c>
      <c r="E94">
        <v>0</v>
      </c>
      <c r="F94">
        <v>0</v>
      </c>
      <c r="G94" s="5">
        <v>5.6134259284590371E-3</v>
      </c>
      <c r="H94" t="s">
        <v>243</v>
      </c>
      <c r="I94" t="s">
        <v>244</v>
      </c>
      <c r="J94">
        <v>0</v>
      </c>
      <c r="K94">
        <f t="shared" si="8"/>
        <v>2</v>
      </c>
      <c r="L94">
        <f t="shared" si="9"/>
        <v>83</v>
      </c>
      <c r="M94">
        <f t="shared" si="10"/>
        <v>3</v>
      </c>
      <c r="N94">
        <f t="shared" si="11"/>
        <v>82</v>
      </c>
      <c r="O94">
        <f t="shared" si="12"/>
        <v>0</v>
      </c>
      <c r="P94" t="str">
        <f t="shared" si="13"/>
        <v>前倒し（1）</v>
      </c>
    </row>
    <row r="95" spans="1:16">
      <c r="A95" s="3">
        <v>46000.300081018519</v>
      </c>
      <c r="B95">
        <v>60</v>
      </c>
      <c r="C95">
        <v>13</v>
      </c>
      <c r="D95">
        <v>0</v>
      </c>
      <c r="E95">
        <v>0</v>
      </c>
      <c r="F95">
        <v>0</v>
      </c>
      <c r="G95" s="5">
        <v>1.1423611111240461E-2</v>
      </c>
      <c r="H95" t="s">
        <v>245</v>
      </c>
      <c r="I95" t="s">
        <v>246</v>
      </c>
      <c r="J95">
        <v>0</v>
      </c>
      <c r="K95">
        <f t="shared" si="8"/>
        <v>1</v>
      </c>
      <c r="L95">
        <f t="shared" si="9"/>
        <v>84</v>
      </c>
      <c r="M95">
        <f t="shared" si="10"/>
        <v>3</v>
      </c>
      <c r="N95">
        <f t="shared" si="11"/>
        <v>85</v>
      </c>
      <c r="O95">
        <f t="shared" si="12"/>
        <v>0</v>
      </c>
      <c r="P95" t="str">
        <f t="shared" si="13"/>
        <v>未達成（1）</v>
      </c>
    </row>
    <row r="96" spans="1:16">
      <c r="A96" s="3">
        <v>46000.312152777777</v>
      </c>
      <c r="B96">
        <v>60</v>
      </c>
      <c r="C96">
        <v>9</v>
      </c>
      <c r="D96">
        <v>0</v>
      </c>
      <c r="E96">
        <v>0</v>
      </c>
      <c r="F96">
        <v>0</v>
      </c>
      <c r="G96" s="5">
        <v>5.8101851827814244E-3</v>
      </c>
      <c r="H96" t="s">
        <v>247</v>
      </c>
      <c r="I96" t="s">
        <v>248</v>
      </c>
      <c r="J96">
        <v>0</v>
      </c>
      <c r="K96">
        <f t="shared" si="8"/>
        <v>2</v>
      </c>
      <c r="L96">
        <f t="shared" si="9"/>
        <v>86</v>
      </c>
      <c r="M96">
        <f t="shared" si="10"/>
        <v>3</v>
      </c>
      <c r="N96">
        <f t="shared" si="11"/>
        <v>85</v>
      </c>
      <c r="O96">
        <f t="shared" si="12"/>
        <v>0</v>
      </c>
      <c r="P96" t="str">
        <f t="shared" si="13"/>
        <v>前倒し（1）</v>
      </c>
    </row>
    <row r="97" spans="1:16">
      <c r="A97" s="3">
        <v>46001.313842592594</v>
      </c>
      <c r="B97">
        <v>60</v>
      </c>
      <c r="C97">
        <v>7</v>
      </c>
      <c r="D97">
        <v>0</v>
      </c>
      <c r="E97">
        <v>0</v>
      </c>
      <c r="F97">
        <v>0</v>
      </c>
      <c r="G97" s="5">
        <v>5.1157407433493063E-3</v>
      </c>
      <c r="H97" t="s">
        <v>249</v>
      </c>
      <c r="I97" t="s">
        <v>250</v>
      </c>
      <c r="J97">
        <v>0</v>
      </c>
      <c r="K97">
        <f t="shared" si="8"/>
        <v>2</v>
      </c>
      <c r="L97">
        <f t="shared" si="9"/>
        <v>88</v>
      </c>
      <c r="M97">
        <f t="shared" si="10"/>
        <v>3</v>
      </c>
      <c r="N97">
        <f t="shared" si="11"/>
        <v>88</v>
      </c>
      <c r="O97">
        <f t="shared" si="12"/>
        <v>0</v>
      </c>
      <c r="P97" t="str">
        <f t="shared" si="13"/>
        <v>達成</v>
      </c>
    </row>
    <row r="98" spans="1:16">
      <c r="A98" s="3">
        <v>46002.297708333332</v>
      </c>
      <c r="B98">
        <v>60</v>
      </c>
      <c r="C98">
        <v>11</v>
      </c>
      <c r="D98">
        <v>0</v>
      </c>
      <c r="E98">
        <v>0</v>
      </c>
      <c r="F98">
        <v>0</v>
      </c>
      <c r="G98" s="5">
        <v>1.0185185186855961E-2</v>
      </c>
      <c r="H98" t="s">
        <v>252</v>
      </c>
      <c r="I98" t="s">
        <v>253</v>
      </c>
      <c r="J98">
        <v>0</v>
      </c>
      <c r="K98">
        <f t="shared" ref="K98" si="14">IF(A98&lt;DATEVALUE("2025/11/20")+TIMEVALUE("6:00"),1,IF(B98-SUM(D98:F98)&lt;&gt;60,0,MAX(2-INT(G98*24*60/10),0)))</f>
        <v>1</v>
      </c>
      <c r="L98">
        <f t="shared" ref="L98" si="15">L97+K98</f>
        <v>89</v>
      </c>
      <c r="M98">
        <f t="shared" ref="M98" si="16">2+IF(A98&gt;=DATEVALUE("2025/11/30")+TIMEVALUE("6:00"),1,0)+IF(A98&gt;=DATEVALUE("2025/12/11")+TIMEVALUE("6:00"),1,0)</f>
        <v>4</v>
      </c>
      <c r="N98">
        <f t="shared" ref="N98" si="17">N97+M98*(INT(A98-6/24)-INT(A97-6/24))+O98</f>
        <v>92</v>
      </c>
      <c r="O98">
        <f t="shared" ref="O98" si="18">IF(A98&gt;=DATEVALUE("2025/11/8")+TIMEVALUE("6:00"),1,0)-IF(A97&gt;=DATEVALUE("2025/11/8")+TIMEVALUE("6:00"),1,0)</f>
        <v>0</v>
      </c>
      <c r="P98" t="str">
        <f t="shared" ref="P98" si="19">IF(L98&lt;N98,"未達成（"&amp;N98-L98&amp;"）",IF(L98=N98,"達成","前倒し（"&amp;L98-N98&amp;"）"))</f>
        <v>未達成（3）</v>
      </c>
    </row>
    <row r="99" spans="1:16">
      <c r="A99" s="3">
        <v>46002.315185185187</v>
      </c>
      <c r="B99">
        <v>53</v>
      </c>
      <c r="C99">
        <v>14</v>
      </c>
      <c r="D99">
        <v>0</v>
      </c>
      <c r="E99">
        <v>7</v>
      </c>
      <c r="F99">
        <v>5</v>
      </c>
      <c r="G99" s="5">
        <v>8.078703707724344E-3</v>
      </c>
      <c r="H99" t="s">
        <v>254</v>
      </c>
      <c r="I99" t="s">
        <v>255</v>
      </c>
      <c r="J99">
        <v>0</v>
      </c>
      <c r="K99">
        <f t="shared" ref="K99" si="20">IF(A99&lt;DATEVALUE("2025/11/20")+TIMEVALUE("6:00"),1,IF(B99-SUM(D99:F99)&lt;&gt;60,0,MAX(2-INT(G99*24*60/10),0)))</f>
        <v>0</v>
      </c>
      <c r="L99">
        <f t="shared" ref="L99" si="21">L98+K99</f>
        <v>89</v>
      </c>
      <c r="M99">
        <f t="shared" ref="M99" si="22">2+IF(A99&gt;=DATEVALUE("2025/11/30")+TIMEVALUE("6:00"),1,0)+IF(A99&gt;=DATEVALUE("2025/12/11")+TIMEVALUE("6:00"),1,0)</f>
        <v>4</v>
      </c>
      <c r="N99">
        <f t="shared" ref="N99" si="23">N98+M99*(INT(A99-6/24)-INT(A98-6/24))+O99</f>
        <v>92</v>
      </c>
      <c r="O99">
        <f t="shared" ref="O99" si="24">IF(A99&gt;=DATEVALUE("2025/11/8")+TIMEVALUE("6:00"),1,0)-IF(A98&gt;=DATEVALUE("2025/11/8")+TIMEVALUE("6:00"),1,0)</f>
        <v>0</v>
      </c>
      <c r="P99" t="str">
        <f t="shared" ref="P99" si="25">IF(L99&lt;N99,"未達成（"&amp;N99-L99&amp;"）",IF(L99=N99,"達成","前倒し（"&amp;L99-N99&amp;"）"))</f>
        <v>未達成（3）</v>
      </c>
    </row>
    <row r="100" spans="1:16">
      <c r="A100" s="3">
        <v>46002.372048611112</v>
      </c>
      <c r="B100">
        <v>60</v>
      </c>
      <c r="C100">
        <v>18</v>
      </c>
      <c r="D100">
        <v>0</v>
      </c>
      <c r="E100">
        <v>0</v>
      </c>
      <c r="F100">
        <v>0</v>
      </c>
      <c r="G100" s="5">
        <v>9.6412037019035779E-3</v>
      </c>
      <c r="H100" t="s">
        <v>256</v>
      </c>
      <c r="I100" t="s">
        <v>257</v>
      </c>
      <c r="J100">
        <v>0</v>
      </c>
      <c r="K100">
        <f t="shared" ref="K100" si="26">IF(A100&lt;DATEVALUE("2025/11/20")+TIMEVALUE("6:00"),1,IF(B100-SUM(D100:F100)&lt;&gt;60,0,MAX(2-INT(G100*24*60/10),0)))</f>
        <v>1</v>
      </c>
      <c r="L100">
        <f t="shared" ref="L100" si="27">L99+K100</f>
        <v>90</v>
      </c>
      <c r="M100">
        <f t="shared" ref="M100" si="28">2+IF(A100&gt;=DATEVALUE("2025/11/30")+TIMEVALUE("6:00"),1,0)+IF(A100&gt;=DATEVALUE("2025/12/11")+TIMEVALUE("6:00"),1,0)</f>
        <v>4</v>
      </c>
      <c r="N100">
        <f t="shared" ref="N100" si="29">N99+M100*(INT(A100-6/24)-INT(A99-6/24))+O100</f>
        <v>92</v>
      </c>
      <c r="O100">
        <f t="shared" ref="O100" si="30">IF(A100&gt;=DATEVALUE("2025/11/8")+TIMEVALUE("6:00"),1,0)-IF(A99&gt;=DATEVALUE("2025/11/8")+TIMEVALUE("6:00"),1,0)</f>
        <v>0</v>
      </c>
      <c r="P100" t="str">
        <f t="shared" ref="P100" si="31">IF(L100&lt;N100,"未達成（"&amp;N100-L100&amp;"）",IF(L100=N100,"達成","前倒し（"&amp;L100-N100&amp;"）"))</f>
        <v>未達成（2）</v>
      </c>
    </row>
    <row r="101" spans="1:16">
      <c r="A101" s="3">
        <v>46002.381273148145</v>
      </c>
      <c r="B101">
        <v>60</v>
      </c>
      <c r="C101">
        <v>7</v>
      </c>
      <c r="D101">
        <v>0</v>
      </c>
      <c r="E101">
        <v>0</v>
      </c>
      <c r="F101">
        <v>0</v>
      </c>
      <c r="G101" s="5">
        <v>7.0833333302289248E-3</v>
      </c>
      <c r="H101" t="s">
        <v>258</v>
      </c>
      <c r="I101" t="s">
        <v>259</v>
      </c>
      <c r="J101">
        <v>0</v>
      </c>
      <c r="K101">
        <f t="shared" ref="K101" si="32">IF(A101&lt;DATEVALUE("2025/11/20")+TIMEVALUE("6:00"),1,IF(B101-SUM(D101:F101)&lt;&gt;60,0,MAX(2-INT(G101*24*60/10),0)))</f>
        <v>1</v>
      </c>
      <c r="L101">
        <f t="shared" ref="L101" si="33">L100+K101</f>
        <v>91</v>
      </c>
      <c r="M101">
        <f t="shared" ref="M101" si="34">2+IF(A101&gt;=DATEVALUE("2025/11/30")+TIMEVALUE("6:00"),1,0)+IF(A101&gt;=DATEVALUE("2025/12/11")+TIMEVALUE("6:00"),1,0)</f>
        <v>4</v>
      </c>
      <c r="N101">
        <f t="shared" ref="N101" si="35">N100+M101*(INT(A101-6/24)-INT(A100-6/24))+O101</f>
        <v>92</v>
      </c>
      <c r="O101">
        <f t="shared" ref="O101" si="36">IF(A101&gt;=DATEVALUE("2025/11/8")+TIMEVALUE("6:00"),1,0)-IF(A100&gt;=DATEVALUE("2025/11/8")+TIMEVALUE("6:00"),1,0)</f>
        <v>0</v>
      </c>
      <c r="P101" t="str">
        <f t="shared" ref="P101" si="37">IF(L101&lt;N101,"未達成（"&amp;N101-L101&amp;"）",IF(L101=N101,"達成","前倒し（"&amp;L101-N101&amp;"）"))</f>
        <v>未達成（1）</v>
      </c>
    </row>
    <row r="102" spans="1:16">
      <c r="A102" s="3">
        <v>46002.400023148148</v>
      </c>
      <c r="B102">
        <v>60</v>
      </c>
      <c r="C102">
        <v>12</v>
      </c>
      <c r="D102">
        <v>0</v>
      </c>
      <c r="E102">
        <v>0</v>
      </c>
      <c r="F102">
        <v>0</v>
      </c>
      <c r="G102" s="5">
        <v>1.2152777773735579E-2</v>
      </c>
      <c r="H102" t="s">
        <v>260</v>
      </c>
      <c r="I102" t="s">
        <v>261</v>
      </c>
      <c r="J102">
        <v>0</v>
      </c>
      <c r="K102">
        <f t="shared" ref="K102" si="38">IF(A102&lt;DATEVALUE("2025/11/20")+TIMEVALUE("6:00"),1,IF(B102-SUM(D102:F102)&lt;&gt;60,0,MAX(2-INT(G102*24*60/10),0)))</f>
        <v>1</v>
      </c>
      <c r="L102">
        <f t="shared" ref="L102" si="39">L101+K102</f>
        <v>92</v>
      </c>
      <c r="M102">
        <f t="shared" ref="M102" si="40">2+IF(A102&gt;=DATEVALUE("2025/11/30")+TIMEVALUE("6:00"),1,0)+IF(A102&gt;=DATEVALUE("2025/12/11")+TIMEVALUE("6:00"),1,0)</f>
        <v>4</v>
      </c>
      <c r="N102">
        <f t="shared" ref="N102" si="41">N101+M102*(INT(A102-6/24)-INT(A101-6/24))+O102</f>
        <v>92</v>
      </c>
      <c r="O102">
        <f t="shared" ref="O102" si="42">IF(A102&gt;=DATEVALUE("2025/11/8")+TIMEVALUE("6:00"),1,0)-IF(A101&gt;=DATEVALUE("2025/11/8")+TIMEVALUE("6:00"),1,0)</f>
        <v>0</v>
      </c>
      <c r="P102" t="str">
        <f t="shared" ref="P102" si="43">IF(L102&lt;N102,"未達成（"&amp;N102-L102&amp;"）",IF(L102=N102,"達成","前倒し（"&amp;L102-N102&amp;"）"))</f>
        <v>達成</v>
      </c>
    </row>
    <row r="103" spans="1:16">
      <c r="A103" s="3">
        <v>46003.272280092591</v>
      </c>
      <c r="B103">
        <v>60</v>
      </c>
      <c r="C103">
        <v>22</v>
      </c>
      <c r="D103">
        <v>0</v>
      </c>
      <c r="E103">
        <v>0</v>
      </c>
      <c r="F103">
        <v>0</v>
      </c>
      <c r="G103" s="5">
        <v>6.655092591245193E-3</v>
      </c>
      <c r="H103" t="s">
        <v>262</v>
      </c>
      <c r="I103" t="s">
        <v>263</v>
      </c>
      <c r="J103">
        <v>0</v>
      </c>
      <c r="K103">
        <f t="shared" ref="K103" si="44">IF(A103&lt;DATEVALUE("2025/11/20")+TIMEVALUE("6:00"),1,IF(B103-SUM(D103:F103)&lt;&gt;60,0,MAX(2-INT(G103*24*60/10),0)))</f>
        <v>2</v>
      </c>
      <c r="L103">
        <f t="shared" ref="L103" si="45">L102+K103</f>
        <v>94</v>
      </c>
      <c r="M103">
        <f t="shared" ref="M103" si="46">2+IF(A103&gt;=DATEVALUE("2025/11/30")+TIMEVALUE("6:00"),1,0)+IF(A103&gt;=DATEVALUE("2025/12/11")+TIMEVALUE("6:00"),1,0)</f>
        <v>4</v>
      </c>
      <c r="N103">
        <f t="shared" ref="N103" si="47">N102+M103*(INT(A103-6/24)-INT(A102-6/24))+O103</f>
        <v>96</v>
      </c>
      <c r="O103">
        <f t="shared" ref="O103" si="48">IF(A103&gt;=DATEVALUE("2025/11/8")+TIMEVALUE("6:00"),1,0)-IF(A102&gt;=DATEVALUE("2025/11/8")+TIMEVALUE("6:00"),1,0)</f>
        <v>0</v>
      </c>
      <c r="P103" t="str">
        <f t="shared" ref="P103" si="49">IF(L103&lt;N103,"未達成（"&amp;N103-L103&amp;"）",IF(L103=N103,"達成","前倒し（"&amp;L103-N103&amp;"）"))</f>
        <v>未達成（2）</v>
      </c>
    </row>
    <row r="104" spans="1:16">
      <c r="A104" s="3">
        <v>46003.28633101852</v>
      </c>
      <c r="B104">
        <v>60</v>
      </c>
      <c r="C104">
        <v>6</v>
      </c>
      <c r="D104">
        <v>0</v>
      </c>
      <c r="E104">
        <v>0</v>
      </c>
      <c r="F104">
        <v>0</v>
      </c>
      <c r="G104" s="5">
        <v>9.9074074096279219E-3</v>
      </c>
      <c r="H104" t="s">
        <v>264</v>
      </c>
      <c r="I104" t="s">
        <v>265</v>
      </c>
      <c r="J104">
        <v>0</v>
      </c>
      <c r="K104">
        <f t="shared" ref="K104" si="50">IF(A104&lt;DATEVALUE("2025/11/20")+TIMEVALUE("6:00"),1,IF(B104-SUM(D104:F104)&lt;&gt;60,0,MAX(2-INT(G104*24*60/10),0)))</f>
        <v>1</v>
      </c>
      <c r="L104">
        <f t="shared" ref="L104" si="51">L103+K104</f>
        <v>95</v>
      </c>
      <c r="M104">
        <f t="shared" ref="M104" si="52">2+IF(A104&gt;=DATEVALUE("2025/11/30")+TIMEVALUE("6:00"),1,0)+IF(A104&gt;=DATEVALUE("2025/12/11")+TIMEVALUE("6:00"),1,0)</f>
        <v>4</v>
      </c>
      <c r="N104">
        <f t="shared" ref="N104" si="53">N103+M104*(INT(A104-6/24)-INT(A103-6/24))+O104</f>
        <v>96</v>
      </c>
      <c r="O104">
        <f t="shared" ref="O104" si="54">IF(A104&gt;=DATEVALUE("2025/11/8")+TIMEVALUE("6:00"),1,0)-IF(A103&gt;=DATEVALUE("2025/11/8")+TIMEVALUE("6:00"),1,0)</f>
        <v>0</v>
      </c>
      <c r="P104" t="str">
        <f t="shared" ref="P104" si="55">IF(L104&lt;N104,"未達成（"&amp;N104-L104&amp;"）",IF(L104=N104,"達成","前倒し（"&amp;L104-N104&amp;"）"))</f>
        <v>未達成（1）</v>
      </c>
    </row>
    <row r="105" spans="1:16">
      <c r="A105" s="3">
        <v>46003.295949074076</v>
      </c>
      <c r="B105">
        <v>60</v>
      </c>
      <c r="C105">
        <v>27</v>
      </c>
      <c r="D105">
        <v>0</v>
      </c>
      <c r="E105">
        <v>0</v>
      </c>
      <c r="F105">
        <v>0</v>
      </c>
      <c r="G105" s="5">
        <v>6.8981481526861899E-3</v>
      </c>
      <c r="H105" t="s">
        <v>266</v>
      </c>
      <c r="I105" t="s">
        <v>267</v>
      </c>
      <c r="J105">
        <v>0</v>
      </c>
      <c r="K105">
        <f t="shared" ref="K105" si="56">IF(A105&lt;DATEVALUE("2025/11/20")+TIMEVALUE("6:00"),1,IF(B105-SUM(D105:F105)&lt;&gt;60,0,MAX(2-INT(G105*24*60/10),0)))</f>
        <v>2</v>
      </c>
      <c r="L105">
        <f t="shared" ref="L105" si="57">L104+K105</f>
        <v>97</v>
      </c>
      <c r="M105">
        <f t="shared" ref="M105" si="58">2+IF(A105&gt;=DATEVALUE("2025/11/30")+TIMEVALUE("6:00"),1,0)+IF(A105&gt;=DATEVALUE("2025/12/11")+TIMEVALUE("6:00"),1,0)</f>
        <v>4</v>
      </c>
      <c r="N105">
        <f t="shared" ref="N105" si="59">N104+M105*(INT(A105-6/24)-INT(A104-6/24))+O105</f>
        <v>96</v>
      </c>
      <c r="O105">
        <f t="shared" ref="O105" si="60">IF(A105&gt;=DATEVALUE("2025/11/8")+TIMEVALUE("6:00"),1,0)-IF(A104&gt;=DATEVALUE("2025/11/8")+TIMEVALUE("6:00"),1,0)</f>
        <v>0</v>
      </c>
      <c r="P105" t="str">
        <f t="shared" ref="P105" si="61">IF(L105&lt;N105,"未達成（"&amp;N105-L105&amp;"）",IF(L105=N105,"達成","前倒し（"&amp;L105-N105&amp;"）"))</f>
        <v>前倒し（1）</v>
      </c>
    </row>
    <row r="106" spans="1:16">
      <c r="A106" s="3">
        <v>46004.307025462964</v>
      </c>
      <c r="B106">
        <v>60</v>
      </c>
      <c r="C106">
        <v>20</v>
      </c>
      <c r="D106">
        <v>0</v>
      </c>
      <c r="E106">
        <v>0</v>
      </c>
      <c r="F106">
        <v>0</v>
      </c>
      <c r="G106" s="5">
        <v>7.4884259302052669E-3</v>
      </c>
      <c r="H106" t="s">
        <v>268</v>
      </c>
      <c r="I106" t="s">
        <v>269</v>
      </c>
      <c r="J106">
        <v>0</v>
      </c>
      <c r="K106">
        <f t="shared" ref="K106" si="62">IF(A106&lt;DATEVALUE("2025/11/20")+TIMEVALUE("6:00"),1,IF(B106-SUM(D106:F106)&lt;&gt;60,0,MAX(2-INT(G106*24*60/10),0)))</f>
        <v>1</v>
      </c>
      <c r="L106">
        <f t="shared" ref="L106" si="63">L105+K106</f>
        <v>98</v>
      </c>
      <c r="M106">
        <f t="shared" ref="M106" si="64">2+IF(A106&gt;=DATEVALUE("2025/11/30")+TIMEVALUE("6:00"),1,0)+IF(A106&gt;=DATEVALUE("2025/12/11")+TIMEVALUE("6:00"),1,0)</f>
        <v>4</v>
      </c>
      <c r="N106">
        <f t="shared" ref="N106" si="65">N105+M106*(INT(A106-6/24)-INT(A105-6/24))+O106</f>
        <v>100</v>
      </c>
      <c r="O106">
        <f t="shared" ref="O106" si="66">IF(A106&gt;=DATEVALUE("2025/11/8")+TIMEVALUE("6:00"),1,0)-IF(A105&gt;=DATEVALUE("2025/11/8")+TIMEVALUE("6:00"),1,0)</f>
        <v>0</v>
      </c>
      <c r="P106" t="str">
        <f t="shared" ref="P106" si="67">IF(L106&lt;N106,"未達成（"&amp;N106-L106&amp;"）",IF(L106=N106,"達成","前倒し（"&amp;L106-N106&amp;"）"))</f>
        <v>未達成（2）</v>
      </c>
    </row>
    <row r="107" spans="1:16">
      <c r="A107" s="3">
        <v>46004.371006944442</v>
      </c>
      <c r="B107">
        <v>60</v>
      </c>
      <c r="C107">
        <v>24</v>
      </c>
      <c r="D107">
        <v>0</v>
      </c>
      <c r="E107">
        <v>0</v>
      </c>
      <c r="F107">
        <v>0</v>
      </c>
      <c r="G107" s="5">
        <v>5.9953703676001169E-3</v>
      </c>
      <c r="H107" t="s">
        <v>270</v>
      </c>
      <c r="I107" t="s">
        <v>271</v>
      </c>
      <c r="J107">
        <v>0</v>
      </c>
      <c r="K107">
        <f t="shared" ref="K107" si="68">IF(A107&lt;DATEVALUE("2025/11/20")+TIMEVALUE("6:00"),1,IF(B107-SUM(D107:F107)&lt;&gt;60,0,MAX(2-INT(G107*24*60/10),0)))</f>
        <v>2</v>
      </c>
      <c r="L107">
        <f t="shared" ref="L107" si="69">L106+K107</f>
        <v>100</v>
      </c>
      <c r="M107">
        <f t="shared" ref="M107" si="70">2+IF(A107&gt;=DATEVALUE("2025/11/30")+TIMEVALUE("6:00"),1,0)+IF(A107&gt;=DATEVALUE("2025/12/11")+TIMEVALUE("6:00"),1,0)</f>
        <v>4</v>
      </c>
      <c r="N107">
        <f t="shared" ref="N107" si="71">N106+M107*(INT(A107-6/24)-INT(A106-6/24))+O107</f>
        <v>100</v>
      </c>
      <c r="O107">
        <f t="shared" ref="O107" si="72">IF(A107&gt;=DATEVALUE("2025/11/8")+TIMEVALUE("6:00"),1,0)-IF(A106&gt;=DATEVALUE("2025/11/8")+TIMEVALUE("6:00"),1,0)</f>
        <v>0</v>
      </c>
      <c r="P107" t="str">
        <f t="shared" ref="P107" si="73">IF(L107&lt;N107,"未達成（"&amp;N107-L107&amp;"）",IF(L107=N107,"達成","前倒し（"&amp;L107-N107&amp;"）"))</f>
        <v>達成</v>
      </c>
    </row>
    <row r="108" spans="1:16">
      <c r="A108" s="3">
        <v>46005.293657407405</v>
      </c>
      <c r="B108">
        <v>60</v>
      </c>
      <c r="C108">
        <v>9</v>
      </c>
      <c r="D108">
        <v>0</v>
      </c>
      <c r="E108">
        <v>0</v>
      </c>
      <c r="F108">
        <v>0</v>
      </c>
      <c r="G108" s="5">
        <v>9.4097222172422335E-3</v>
      </c>
      <c r="H108" t="s">
        <v>272</v>
      </c>
      <c r="I108" t="s">
        <v>273</v>
      </c>
      <c r="J108">
        <v>0</v>
      </c>
      <c r="K108">
        <f t="shared" ref="K108" si="74">IF(A108&lt;DATEVALUE("2025/11/20")+TIMEVALUE("6:00"),1,IF(B108-SUM(D108:F108)&lt;&gt;60,0,MAX(2-INT(G108*24*60/10),0)))</f>
        <v>1</v>
      </c>
      <c r="L108">
        <f t="shared" ref="L108" si="75">L107+K108</f>
        <v>101</v>
      </c>
      <c r="M108">
        <f t="shared" ref="M108" si="76">2+IF(A108&gt;=DATEVALUE("2025/11/30")+TIMEVALUE("6:00"),1,0)+IF(A108&gt;=DATEVALUE("2025/12/11")+TIMEVALUE("6:00"),1,0)</f>
        <v>4</v>
      </c>
      <c r="N108">
        <f t="shared" ref="N108" si="77">N107+M108*(INT(A108-6/24)-INT(A107-6/24))+O108</f>
        <v>104</v>
      </c>
      <c r="O108">
        <f t="shared" ref="O108" si="78">IF(A108&gt;=DATEVALUE("2025/11/8")+TIMEVALUE("6:00"),1,0)-IF(A107&gt;=DATEVALUE("2025/11/8")+TIMEVALUE("6:00"),1,0)</f>
        <v>0</v>
      </c>
      <c r="P108" t="str">
        <f t="shared" ref="P108" si="79">IF(L108&lt;N108,"未達成（"&amp;N108-L108&amp;"）",IF(L108=N108,"達成","前倒し（"&amp;L108-N108&amp;"）"))</f>
        <v>未達成（3）</v>
      </c>
    </row>
    <row r="109" spans="1:16">
      <c r="A109" s="3">
        <v>46005.300185185188</v>
      </c>
      <c r="B109">
        <v>60</v>
      </c>
      <c r="C109">
        <v>13</v>
      </c>
      <c r="D109">
        <v>0</v>
      </c>
      <c r="E109">
        <v>0</v>
      </c>
      <c r="F109">
        <v>0</v>
      </c>
      <c r="G109" s="5">
        <v>4.8379629661212675E-3</v>
      </c>
      <c r="H109" t="s">
        <v>274</v>
      </c>
      <c r="I109" t="s">
        <v>275</v>
      </c>
      <c r="J109">
        <v>0</v>
      </c>
      <c r="K109">
        <f t="shared" ref="K109" si="80">IF(A109&lt;DATEVALUE("2025/11/20")+TIMEVALUE("6:00"),1,IF(B109-SUM(D109:F109)&lt;&gt;60,0,MAX(2-INT(G109*24*60/10),0)))</f>
        <v>2</v>
      </c>
      <c r="L109">
        <f t="shared" ref="L109" si="81">L108+K109</f>
        <v>103</v>
      </c>
      <c r="M109">
        <f t="shared" ref="M109" si="82">2+IF(A109&gt;=DATEVALUE("2025/11/30")+TIMEVALUE("6:00"),1,0)+IF(A109&gt;=DATEVALUE("2025/12/11")+TIMEVALUE("6:00"),1,0)</f>
        <v>4</v>
      </c>
      <c r="N109">
        <f t="shared" ref="N109" si="83">N108+M109*(INT(A109-6/24)-INT(A108-6/24))+O109</f>
        <v>104</v>
      </c>
      <c r="O109">
        <f t="shared" ref="O109" si="84">IF(A109&gt;=DATEVALUE("2025/11/8")+TIMEVALUE("6:00"),1,0)-IF(A108&gt;=DATEVALUE("2025/11/8")+TIMEVALUE("6:00"),1,0)</f>
        <v>0</v>
      </c>
      <c r="P109" t="str">
        <f t="shared" ref="P109" si="85">IF(L109&lt;N109,"未達成（"&amp;N109-L109&amp;"）",IF(L109=N109,"達成","前倒し（"&amp;L109-N109&amp;"）"))</f>
        <v>未達成（1）</v>
      </c>
    </row>
    <row r="110" spans="1:16">
      <c r="A110" s="3">
        <v>46005.307916666665</v>
      </c>
      <c r="B110">
        <v>60</v>
      </c>
      <c r="C110">
        <v>16</v>
      </c>
      <c r="D110">
        <v>0</v>
      </c>
      <c r="E110">
        <v>0</v>
      </c>
      <c r="F110">
        <v>0</v>
      </c>
      <c r="G110" s="5">
        <v>5.9259259214741178E-3</v>
      </c>
      <c r="H110" t="s">
        <v>276</v>
      </c>
      <c r="I110" t="s">
        <v>277</v>
      </c>
      <c r="J110">
        <v>0</v>
      </c>
      <c r="K110">
        <f t="shared" ref="K110" si="86">IF(A110&lt;DATEVALUE("2025/11/20")+TIMEVALUE("6:00"),1,IF(B110-SUM(D110:F110)&lt;&gt;60,0,MAX(2-INT(G110*24*60/10),0)))</f>
        <v>2</v>
      </c>
      <c r="L110">
        <f t="shared" ref="L110" si="87">L109+K110</f>
        <v>105</v>
      </c>
      <c r="M110">
        <f t="shared" ref="M110" si="88">2+IF(A110&gt;=DATEVALUE("2025/11/30")+TIMEVALUE("6:00"),1,0)+IF(A110&gt;=DATEVALUE("2025/12/11")+TIMEVALUE("6:00"),1,0)</f>
        <v>4</v>
      </c>
      <c r="N110">
        <f t="shared" ref="N110" si="89">N109+M110*(INT(A110-6/24)-INT(A109-6/24))+O110</f>
        <v>104</v>
      </c>
      <c r="O110">
        <f t="shared" ref="O110" si="90">IF(A110&gt;=DATEVALUE("2025/11/8")+TIMEVALUE("6:00"),1,0)-IF(A109&gt;=DATEVALUE("2025/11/8")+TIMEVALUE("6:00"),1,0)</f>
        <v>0</v>
      </c>
      <c r="P110" t="str">
        <f t="shared" ref="P110" si="91">IF(L110&lt;N110,"未達成（"&amp;N110-L110&amp;"）",IF(L110=N110,"達成","前倒し（"&amp;L110-N110&amp;"）"))</f>
        <v>前倒し（1）</v>
      </c>
    </row>
    <row r="111" spans="1:16">
      <c r="A111" s="3">
        <v>46006.28056712963</v>
      </c>
      <c r="B111">
        <v>60</v>
      </c>
      <c r="C111">
        <v>7</v>
      </c>
      <c r="D111">
        <v>0</v>
      </c>
      <c r="E111">
        <v>0</v>
      </c>
      <c r="F111">
        <v>0</v>
      </c>
      <c r="G111" s="5">
        <v>6.2962962983874604E-3</v>
      </c>
      <c r="H111" t="s">
        <v>278</v>
      </c>
      <c r="I111" t="s">
        <v>279</v>
      </c>
      <c r="J111">
        <v>0</v>
      </c>
      <c r="K111">
        <f t="shared" ref="K111" si="92">IF(A111&lt;DATEVALUE("2025/11/20")+TIMEVALUE("6:00"),1,IF(B111-SUM(D111:F111)&lt;&gt;60,0,MAX(2-INT(G111*24*60/10),0)))</f>
        <v>2</v>
      </c>
      <c r="L111">
        <f t="shared" ref="L111" si="93">L110+K111</f>
        <v>107</v>
      </c>
      <c r="M111">
        <f t="shared" ref="M111" si="94">2+IF(A111&gt;=DATEVALUE("2025/11/30")+TIMEVALUE("6:00"),1,0)+IF(A111&gt;=DATEVALUE("2025/12/11")+TIMEVALUE("6:00"),1,0)</f>
        <v>4</v>
      </c>
      <c r="N111">
        <f t="shared" ref="N111" si="95">N110+M111*(INT(A111-6/24)-INT(A110-6/24))+O111</f>
        <v>108</v>
      </c>
      <c r="O111">
        <f t="shared" ref="O111" si="96">IF(A111&gt;=DATEVALUE("2025/11/8")+TIMEVALUE("6:00"),1,0)-IF(A110&gt;=DATEVALUE("2025/11/8")+TIMEVALUE("6:00"),1,0)</f>
        <v>0</v>
      </c>
      <c r="P111" t="str">
        <f t="shared" ref="P111" si="97">IF(L111&lt;N111,"未達成（"&amp;N111-L111&amp;"）",IF(L111=N111,"達成","前倒し（"&amp;L111-N111&amp;"）"))</f>
        <v>未達成（1）</v>
      </c>
    </row>
    <row r="112" spans="1:16">
      <c r="A112" s="3">
        <v>46006.299976851849</v>
      </c>
      <c r="B112">
        <v>60</v>
      </c>
      <c r="C112">
        <v>22</v>
      </c>
      <c r="D112">
        <v>0</v>
      </c>
      <c r="E112">
        <v>0</v>
      </c>
      <c r="F112">
        <v>0</v>
      </c>
      <c r="G112" s="5">
        <v>1.077546295709908E-2</v>
      </c>
      <c r="H112" t="s">
        <v>280</v>
      </c>
      <c r="I112" t="s">
        <v>281</v>
      </c>
      <c r="J112">
        <v>0</v>
      </c>
      <c r="K112">
        <f t="shared" ref="K112" si="98">IF(A112&lt;DATEVALUE("2025/11/20")+TIMEVALUE("6:00"),1,IF(B112-SUM(D112:F112)&lt;&gt;60,0,MAX(2-INT(G112*24*60/10),0)))</f>
        <v>1</v>
      </c>
      <c r="L112">
        <f t="shared" ref="L112" si="99">L111+K112</f>
        <v>108</v>
      </c>
      <c r="M112">
        <f t="shared" ref="M112" si="100">2+IF(A112&gt;=DATEVALUE("2025/11/30")+TIMEVALUE("6:00"),1,0)+IF(A112&gt;=DATEVALUE("2025/12/11")+TIMEVALUE("6:00"),1,0)</f>
        <v>4</v>
      </c>
      <c r="N112">
        <f t="shared" ref="N112" si="101">N111+M112*(INT(A112-6/24)-INT(A111-6/24))+O112</f>
        <v>108</v>
      </c>
      <c r="O112">
        <f t="shared" ref="O112" si="102">IF(A112&gt;=DATEVALUE("2025/11/8")+TIMEVALUE("6:00"),1,0)-IF(A111&gt;=DATEVALUE("2025/11/8")+TIMEVALUE("6:00"),1,0)</f>
        <v>0</v>
      </c>
      <c r="P112" t="str">
        <f t="shared" ref="P112" si="103">IF(L112&lt;N112,"未達成（"&amp;N112-L112&amp;"）",IF(L112=N112,"達成","前倒し（"&amp;L112-N112&amp;"）"))</f>
        <v>達成</v>
      </c>
    </row>
    <row r="113" spans="1:16">
      <c r="A113" s="3">
        <v>46007.284803240742</v>
      </c>
      <c r="B113">
        <v>60</v>
      </c>
      <c r="C113">
        <v>4</v>
      </c>
      <c r="D113">
        <v>0</v>
      </c>
      <c r="E113">
        <v>0</v>
      </c>
      <c r="F113">
        <v>0</v>
      </c>
      <c r="G113" s="5">
        <v>6.3425925909541547E-3</v>
      </c>
      <c r="H113" t="s">
        <v>282</v>
      </c>
      <c r="I113" t="s">
        <v>283</v>
      </c>
      <c r="J113">
        <v>0</v>
      </c>
      <c r="K113">
        <f t="shared" ref="K113" si="104">IF(A113&lt;DATEVALUE("2025/11/20")+TIMEVALUE("6:00"),1,IF(B113-SUM(D113:F113)&lt;&gt;60,0,MAX(2-INT(G113*24*60/10),0)))</f>
        <v>2</v>
      </c>
      <c r="L113">
        <f t="shared" ref="L113" si="105">L112+K113</f>
        <v>110</v>
      </c>
      <c r="M113">
        <f t="shared" ref="M113" si="106">2+IF(A113&gt;=DATEVALUE("2025/11/30")+TIMEVALUE("6:00"),1,0)+IF(A113&gt;=DATEVALUE("2025/12/11")+TIMEVALUE("6:00"),1,0)</f>
        <v>4</v>
      </c>
      <c r="N113">
        <f t="shared" ref="N113" si="107">N112+M113*(INT(A113-6/24)-INT(A112-6/24))+O113</f>
        <v>112</v>
      </c>
      <c r="O113">
        <f t="shared" ref="O113" si="108">IF(A113&gt;=DATEVALUE("2025/11/8")+TIMEVALUE("6:00"),1,0)-IF(A112&gt;=DATEVALUE("2025/11/8")+TIMEVALUE("6:00"),1,0)</f>
        <v>0</v>
      </c>
      <c r="P113" t="str">
        <f t="shared" ref="P113" si="109">IF(L113&lt;N113,"未達成（"&amp;N113-L113&amp;"）",IF(L113=N113,"達成","前倒し（"&amp;L113-N113&amp;"）"))</f>
        <v>未達成（2）</v>
      </c>
    </row>
    <row r="114" spans="1:16">
      <c r="A114" s="3">
        <v>46007.309988425928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8.819444446999114E-3</v>
      </c>
      <c r="H114" t="s">
        <v>284</v>
      </c>
      <c r="I114" t="s">
        <v>285</v>
      </c>
      <c r="J114">
        <v>0</v>
      </c>
      <c r="K114">
        <f t="shared" ref="K114" si="110">IF(A114&lt;DATEVALUE("2025/11/20")+TIMEVALUE("6:00"),1,IF(B114-SUM(D114:F114)&lt;&gt;60,0,MAX(2-INT(G114*24*60/10),0)))</f>
        <v>1</v>
      </c>
      <c r="L114">
        <f t="shared" ref="L114" si="111">L113+K114</f>
        <v>111</v>
      </c>
      <c r="M114">
        <f t="shared" ref="M114" si="112">2+IF(A114&gt;=DATEVALUE("2025/11/30")+TIMEVALUE("6:00"),1,0)+IF(A114&gt;=DATEVALUE("2025/12/11")+TIMEVALUE("6:00"),1,0)</f>
        <v>4</v>
      </c>
      <c r="N114">
        <f t="shared" ref="N114" si="113">N113+M114*(INT(A114-6/24)-INT(A113-6/24))+O114</f>
        <v>112</v>
      </c>
      <c r="O114">
        <f t="shared" ref="O114" si="114">IF(A114&gt;=DATEVALUE("2025/11/8")+TIMEVALUE("6:00"),1,0)-IF(A113&gt;=DATEVALUE("2025/11/8")+TIMEVALUE("6:00"),1,0)</f>
        <v>0</v>
      </c>
      <c r="P114" t="str">
        <f t="shared" ref="P114" si="115">IF(L114&lt;N114,"未達成（"&amp;N114-L114&amp;"）",IF(L114=N114,"達成","前倒し（"&amp;L114-N114&amp;"）"))</f>
        <v>未達成（1）</v>
      </c>
    </row>
    <row r="115" spans="1:16">
      <c r="A115" s="3">
        <v>46007.322476851848</v>
      </c>
      <c r="B115">
        <v>60</v>
      </c>
      <c r="C115">
        <v>8</v>
      </c>
      <c r="D115">
        <v>0</v>
      </c>
      <c r="E115">
        <v>0</v>
      </c>
      <c r="F115">
        <v>0</v>
      </c>
      <c r="G115" s="5">
        <v>7.6504629614646547E-3</v>
      </c>
      <c r="H115" t="s">
        <v>286</v>
      </c>
      <c r="I115" t="s">
        <v>287</v>
      </c>
      <c r="J115">
        <v>0</v>
      </c>
      <c r="K115">
        <f t="shared" ref="K115" si="116">IF(A115&lt;DATEVALUE("2025/11/20")+TIMEVALUE("6:00"),1,IF(B115-SUM(D115:F115)&lt;&gt;60,0,MAX(2-INT(G115*24*60/10),0)))</f>
        <v>1</v>
      </c>
      <c r="L115">
        <f t="shared" ref="L115" si="117">L114+K115</f>
        <v>112</v>
      </c>
      <c r="M115">
        <f t="shared" ref="M115" si="118">2+IF(A115&gt;=DATEVALUE("2025/11/30")+TIMEVALUE("6:00"),1,0)+IF(A115&gt;=DATEVALUE("2025/12/11")+TIMEVALUE("6:00"),1,0)</f>
        <v>4</v>
      </c>
      <c r="N115">
        <f t="shared" ref="N115" si="119">N114+M115*(INT(A115-6/24)-INT(A114-6/24))+O115</f>
        <v>112</v>
      </c>
      <c r="O115">
        <f t="shared" ref="O115" si="120">IF(A115&gt;=DATEVALUE("2025/11/8")+TIMEVALUE("6:00"),1,0)-IF(A114&gt;=DATEVALUE("2025/11/8")+TIMEVALUE("6:00"),1,0)</f>
        <v>0</v>
      </c>
      <c r="P115" t="str">
        <f t="shared" ref="P115" si="121">IF(L115&lt;N115,"未達成（"&amp;N115-L115&amp;"）",IF(L115=N115,"達成","前倒し（"&amp;L115-N115&amp;"）"))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46007.314826388887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2025-12-15T22:44:57Z</dcterms:modified>
</cp:coreProperties>
</file>
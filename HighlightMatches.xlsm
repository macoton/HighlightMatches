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80C88A90-6EA6-4DD8-A9C9-8CFAEE4ABD67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4" i="4" l="1"/>
  <c r="M164" i="4"/>
  <c r="N164" i="4" s="1"/>
  <c r="K164" i="4"/>
  <c r="L164" i="4" s="1"/>
  <c r="P164" i="4" s="1"/>
  <c r="O163" i="4"/>
  <c r="M163" i="4"/>
  <c r="N163" i="4" s="1"/>
  <c r="K163" i="4"/>
  <c r="L163" i="4" s="1"/>
  <c r="O162" i="4"/>
  <c r="M162" i="4"/>
  <c r="N162" i="4" s="1"/>
  <c r="K162" i="4"/>
  <c r="L162" i="4" s="1"/>
  <c r="P162" i="4" s="1"/>
  <c r="O161" i="4"/>
  <c r="M161" i="4"/>
  <c r="N161" i="4" s="1"/>
  <c r="K161" i="4"/>
  <c r="L161" i="4" s="1"/>
  <c r="P161" i="4" s="1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P163" i="4" l="1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l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L22" i="4" l="1"/>
  <c r="P21" i="4"/>
  <c r="T4" i="5"/>
  <c r="S6" i="3"/>
  <c r="T6" i="3" s="1"/>
  <c r="T5" i="3"/>
  <c r="P22" i="4" l="1"/>
  <c r="L23" i="4"/>
  <c r="T6" i="5"/>
  <c r="T5" i="5"/>
  <c r="L24" i="4" l="1"/>
  <c r="P23" i="4"/>
  <c r="P18" i="4"/>
  <c r="L25" i="4" l="1"/>
  <c r="P24" i="4"/>
  <c r="L26" i="4" l="1"/>
  <c r="P25" i="4"/>
  <c r="P26" i="4" l="1"/>
  <c r="L27" i="4"/>
  <c r="L28" i="4" l="1"/>
  <c r="P27" i="4"/>
  <c r="L29" i="4" l="1"/>
  <c r="P28" i="4"/>
  <c r="L30" i="4" l="1"/>
  <c r="P29" i="4"/>
  <c r="P30" i="4" l="1"/>
  <c r="L31" i="4"/>
  <c r="L32" i="4" l="1"/>
  <c r="P31" i="4"/>
  <c r="L33" i="4" l="1"/>
  <c r="P32" i="4"/>
  <c r="L34" i="4" l="1"/>
  <c r="P33" i="4"/>
  <c r="P34" i="4" l="1"/>
  <c r="L35" i="4"/>
  <c r="L36" i="4" l="1"/>
  <c r="P35" i="4"/>
  <c r="L37" i="4" l="1"/>
  <c r="P36" i="4"/>
  <c r="L38" i="4" l="1"/>
  <c r="P37" i="4"/>
  <c r="P38" i="4" l="1"/>
  <c r="L39" i="4"/>
  <c r="L40" i="4" l="1"/>
  <c r="P39" i="4"/>
  <c r="L41" i="4" l="1"/>
  <c r="P40" i="4"/>
  <c r="L42" i="4" l="1"/>
  <c r="P41" i="4"/>
  <c r="P42" i="4" l="1"/>
  <c r="L43" i="4"/>
  <c r="L44" i="4" l="1"/>
  <c r="P43" i="4"/>
  <c r="L45" i="4" l="1"/>
  <c r="P44" i="4"/>
  <c r="L46" i="4" l="1"/>
  <c r="P45" i="4"/>
  <c r="P46" i="4" l="1"/>
  <c r="L47" i="4"/>
  <c r="L48" i="4" l="1"/>
  <c r="P47" i="4"/>
  <c r="L49" i="4" l="1"/>
  <c r="P48" i="4"/>
  <c r="L50" i="4" l="1"/>
  <c r="P49" i="4"/>
  <c r="P50" i="4" l="1"/>
  <c r="L51" i="4"/>
  <c r="L52" i="4" l="1"/>
  <c r="P51" i="4"/>
  <c r="L53" i="4" l="1"/>
  <c r="P52" i="4"/>
  <c r="L54" i="4" l="1"/>
  <c r="P53" i="4"/>
  <c r="P54" i="4" l="1"/>
  <c r="L55" i="4"/>
  <c r="L56" i="4" l="1"/>
  <c r="P55" i="4"/>
  <c r="L57" i="4" l="1"/>
  <c r="P56" i="4"/>
  <c r="L58" i="4" l="1"/>
  <c r="P57" i="4"/>
  <c r="P58" i="4" l="1"/>
  <c r="L59" i="4"/>
  <c r="L60" i="4" l="1"/>
  <c r="P59" i="4"/>
  <c r="L61" i="4" l="1"/>
  <c r="P60" i="4"/>
  <c r="L62" i="4" l="1"/>
  <c r="P61" i="4"/>
  <c r="P62" i="4" l="1"/>
  <c r="L63" i="4"/>
  <c r="L64" i="4" l="1"/>
  <c r="P63" i="4"/>
  <c r="L65" i="4" l="1"/>
  <c r="P64" i="4"/>
  <c r="L66" i="4" l="1"/>
  <c r="P65" i="4"/>
  <c r="P66" i="4" l="1"/>
  <c r="L67" i="4"/>
  <c r="L68" i="4" l="1"/>
  <c r="P67" i="4"/>
  <c r="L69" i="4" l="1"/>
  <c r="P68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P104" i="4" l="1"/>
  <c r="L105" i="4"/>
  <c r="L106" i="4" l="1"/>
  <c r="P105" i="4"/>
  <c r="P106" i="4" l="1"/>
  <c r="L107" i="4"/>
  <c r="P107" i="4" l="1"/>
  <c r="L108" i="4"/>
  <c r="L109" i="4" l="1"/>
  <c r="P108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P115" i="4" l="1"/>
  <c r="L116" i="4"/>
  <c r="L117" i="4" l="1"/>
  <c r="P116" i="4"/>
  <c r="P117" i="4" l="1"/>
  <c r="L118" i="4"/>
  <c r="L119" i="4" l="1"/>
  <c r="P118" i="4"/>
  <c r="L120" i="4" l="1"/>
  <c r="P119" i="4"/>
  <c r="L121" i="4" l="1"/>
  <c r="P120" i="4"/>
  <c r="P121" i="4" l="1"/>
  <c r="L122" i="4"/>
  <c r="P122" i="4" l="1"/>
  <c r="L123" i="4"/>
  <c r="P123" i="4" l="1"/>
  <c r="L124" i="4"/>
  <c r="L125" i="4" l="1"/>
  <c r="P124" i="4"/>
  <c r="P125" i="4" l="1"/>
  <c r="L126" i="4"/>
  <c r="L127" i="4" l="1"/>
  <c r="P126" i="4"/>
  <c r="L128" i="4" l="1"/>
  <c r="P127" i="4"/>
  <c r="L129" i="4" l="1"/>
  <c r="P128" i="4"/>
  <c r="P129" i="4" l="1"/>
  <c r="L130" i="4"/>
  <c r="P130" i="4" l="1"/>
  <c r="L131" i="4"/>
  <c r="P131" i="4" l="1"/>
  <c r="L132" i="4"/>
  <c r="P132" i="4" l="1"/>
  <c r="L133" i="4"/>
  <c r="P133" i="4" l="1"/>
  <c r="L134" i="4"/>
  <c r="P134" i="4" l="1"/>
  <c r="L135" i="4"/>
  <c r="L136" i="4" l="1"/>
  <c r="P135" i="4"/>
  <c r="L137" i="4" l="1"/>
  <c r="P136" i="4"/>
  <c r="P137" i="4" l="1"/>
  <c r="L138" i="4"/>
  <c r="P138" i="4" l="1"/>
  <c r="L139" i="4"/>
  <c r="L140" i="4" s="1"/>
  <c r="P140" i="4" l="1"/>
  <c r="L141" i="4"/>
  <c r="L142" i="4" s="1"/>
  <c r="L143" i="4" s="1"/>
  <c r="P139" i="4"/>
  <c r="P143" i="4" l="1"/>
  <c r="L144" i="4"/>
  <c r="P142" i="4"/>
  <c r="P141" i="4"/>
  <c r="L145" i="4" l="1"/>
  <c r="P144" i="4"/>
  <c r="L146" i="4" l="1"/>
  <c r="P145" i="4"/>
  <c r="P146" i="4" l="1"/>
  <c r="L147" i="4"/>
  <c r="P147" i="4" l="1"/>
  <c r="L148" i="4"/>
  <c r="P148" i="4" l="1"/>
  <c r="L149" i="4"/>
  <c r="P149" i="4" l="1"/>
  <c r="L150" i="4"/>
  <c r="P150" i="4" l="1"/>
  <c r="L151" i="4"/>
  <c r="L152" i="4" l="1"/>
  <c r="P151" i="4"/>
  <c r="P152" i="4" l="1"/>
  <c r="L153" i="4"/>
  <c r="L154" i="4" l="1"/>
  <c r="P153" i="4"/>
  <c r="L155" i="4" l="1"/>
  <c r="P154" i="4"/>
  <c r="L156" i="4" l="1"/>
  <c r="P155" i="4"/>
  <c r="P156" i="4" l="1"/>
  <c r="L157" i="4"/>
  <c r="P157" i="4" l="1"/>
  <c r="L158" i="4"/>
  <c r="P158" i="4" l="1"/>
  <c r="L159" i="4"/>
  <c r="P159" i="4" l="1"/>
  <c r="L160" i="4"/>
  <c r="P160" i="4" l="1"/>
</calcChain>
</file>

<file path=xl/sharedStrings.xml><?xml version="1.0" encoding="utf-8"?>
<sst xmlns="http://schemas.openxmlformats.org/spreadsheetml/2006/main" count="404" uniqueCount="385">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</sst>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データ!$P$2:$P$163</c:f>
              <c:strCache>
                <c:ptCount val="162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  <c:pt idx="149">
                  <c:v>達成</c:v>
                </c:pt>
                <c:pt idx="150">
                  <c:v>未達成（2）</c:v>
                </c:pt>
                <c:pt idx="151">
                  <c:v>達成</c:v>
                </c:pt>
                <c:pt idx="152">
                  <c:v>未達成（3）</c:v>
                </c:pt>
                <c:pt idx="153">
                  <c:v>未達成（1）</c:v>
                </c:pt>
                <c:pt idx="154">
                  <c:v>前倒し（1）</c:v>
                </c:pt>
                <c:pt idx="155">
                  <c:v>未達成（1）</c:v>
                </c:pt>
                <c:pt idx="156">
                  <c:v>達成</c:v>
                </c:pt>
                <c:pt idx="157">
                  <c:v>未達成（3）</c:v>
                </c:pt>
                <c:pt idx="158">
                  <c:v>未達成（1）</c:v>
                </c:pt>
                <c:pt idx="159">
                  <c:v>達成</c:v>
                </c:pt>
                <c:pt idx="160">
                  <c:v>未達成（2）</c:v>
                </c:pt>
                <c:pt idx="161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データ!$A$3:$A$164</c:f>
              <c:numCache>
                <c:formatCode>m/d/yyyy\ h:mm</c:formatCode>
                <c:ptCount val="16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</c:numCache>
            </c:numRef>
          </c:xVal>
          <c:yVal>
            <c:numRef>
              <c:f>データ!$B$3:$B$164</c:f>
              <c:numCache>
                <c:formatCode>General</c:formatCode>
                <c:ptCount val="16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4-4ED3-AA3F-E64478C3394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AF4-4ED3-AA3F-E64478C33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848719"/>
        <c:axId val="55686455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データ!$A$3:$A$164</c:f>
              <c:numCache>
                <c:formatCode>m/d/yyyy\ h:mm</c:formatCode>
                <c:ptCount val="16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</c:numCache>
            </c:numRef>
          </c:xVal>
          <c:yVal>
            <c:numRef>
              <c:f>データ!$G$3:$G$164</c:f>
              <c:numCache>
                <c:formatCode>[h]:mm</c:formatCode>
                <c:ptCount val="16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4-4ED3-AA3F-E64478C33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862159"/>
        <c:axId val="556860239"/>
      </c:scatterChart>
      <c:valAx>
        <c:axId val="556848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6864559"/>
        <c:crosses val="autoZero"/>
        <c:crossBetween val="midCat"/>
      </c:valAx>
      <c:valAx>
        <c:axId val="55686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6848719"/>
        <c:crosses val="autoZero"/>
        <c:crossBetween val="midCat"/>
      </c:valAx>
      <c:valAx>
        <c:axId val="55686023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6862159"/>
        <c:crosses val="max"/>
        <c:crossBetween val="midCat"/>
      </c:valAx>
      <c:valAx>
        <c:axId val="556862159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686023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211931</xdr:colOff>
      <xdr:row>6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035" name="Match0">
          <a:extLst>
            <a:ext uri="{FF2B5EF4-FFF2-40B4-BE49-F238E27FC236}">
              <a16:creationId xmlns:a16="http://schemas.microsoft.com/office/drawing/2014/main" id="{CD2C8132-C736-42A0-9D7E-A120D077A99E}"/>
            </a:ext>
          </a:extLst>
        </xdr:cNvPr>
        <xdr:cNvCxnSpPr/>
      </xdr:nvCxnSpPr>
      <xdr:spPr>
        <a:xfrm>
          <a:off x="2755106" y="232171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036" name="Match1">
          <a:extLst>
            <a:ext uri="{FF2B5EF4-FFF2-40B4-BE49-F238E27FC236}">
              <a16:creationId xmlns:a16="http://schemas.microsoft.com/office/drawing/2014/main" id="{B74868E5-BEBF-EFFB-09D8-0504AA3A4DC0}"/>
            </a:ext>
          </a:extLst>
        </xdr:cNvPr>
        <xdr:cNvCxnSpPr/>
      </xdr:nvCxnSpPr>
      <xdr:spPr>
        <a:xfrm flipH="1" flipV="1">
          <a:off x="211931" y="160734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037" name="Match2">
          <a:extLst>
            <a:ext uri="{FF2B5EF4-FFF2-40B4-BE49-F238E27FC236}">
              <a16:creationId xmlns:a16="http://schemas.microsoft.com/office/drawing/2014/main" id="{0BF95980-C4DD-74E4-9CA3-C8040CC2B9B9}"/>
            </a:ext>
          </a:extLst>
        </xdr:cNvPr>
        <xdr:cNvCxnSpPr/>
      </xdr:nvCxnSpPr>
      <xdr:spPr>
        <a:xfrm flipV="1">
          <a:off x="1059656" y="125015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038" name="Match3">
          <a:extLst>
            <a:ext uri="{FF2B5EF4-FFF2-40B4-BE49-F238E27FC236}">
              <a16:creationId xmlns:a16="http://schemas.microsoft.com/office/drawing/2014/main" id="{26DB8CD2-2EBA-CD66-FC6C-55FF4969017C}"/>
            </a:ext>
          </a:extLst>
        </xdr:cNvPr>
        <xdr:cNvCxnSpPr/>
      </xdr:nvCxnSpPr>
      <xdr:spPr>
        <a:xfrm>
          <a:off x="1483519" y="12501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10</xdr:col>
      <xdr:colOff>211931</xdr:colOff>
      <xdr:row>2</xdr:row>
      <xdr:rowOff>178594</xdr:rowOff>
    </xdr:to>
    <xdr:cxnSp macro="">
      <xdr:nvCxnSpPr>
        <xdr:cNvPr id="1039" name="Match4">
          <a:extLst>
            <a:ext uri="{FF2B5EF4-FFF2-40B4-BE49-F238E27FC236}">
              <a16:creationId xmlns:a16="http://schemas.microsoft.com/office/drawing/2014/main" id="{7FA2288D-7223-9F67-EE45-DF6F59C83D48}"/>
            </a:ext>
          </a:extLst>
        </xdr:cNvPr>
        <xdr:cNvCxnSpPr/>
      </xdr:nvCxnSpPr>
      <xdr:spPr>
        <a:xfrm flipH="1">
          <a:off x="2331244" y="892969"/>
          <a:ext cx="211931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040" name="Match5">
          <a:extLst>
            <a:ext uri="{FF2B5EF4-FFF2-40B4-BE49-F238E27FC236}">
              <a16:creationId xmlns:a16="http://schemas.microsoft.com/office/drawing/2014/main" id="{F3BAC47F-E098-69A6-6EF5-45AB572143B3}"/>
            </a:ext>
          </a:extLst>
        </xdr:cNvPr>
        <xdr:cNvCxnSpPr/>
      </xdr:nvCxnSpPr>
      <xdr:spPr>
        <a:xfrm flipV="1">
          <a:off x="211931" y="196453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041" name="Match6">
          <a:extLst>
            <a:ext uri="{FF2B5EF4-FFF2-40B4-BE49-F238E27FC236}">
              <a16:creationId xmlns:a16="http://schemas.microsoft.com/office/drawing/2014/main" id="{FD7E2197-7B9B-BA1D-7979-F0A16A9692F5}"/>
            </a:ext>
          </a:extLst>
        </xdr:cNvPr>
        <xdr:cNvCxnSpPr/>
      </xdr:nvCxnSpPr>
      <xdr:spPr>
        <a:xfrm flipV="1">
          <a:off x="1483519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3</xdr:col>
      <xdr:colOff>237331</xdr:colOff>
      <xdr:row>7</xdr:row>
      <xdr:rowOff>203993</xdr:rowOff>
    </xdr:to>
    <xdr:cxnSp macro="">
      <xdr:nvCxnSpPr>
        <xdr:cNvPr id="1042" name="Match7">
          <a:extLst>
            <a:ext uri="{FF2B5EF4-FFF2-40B4-BE49-F238E27FC236}">
              <a16:creationId xmlns:a16="http://schemas.microsoft.com/office/drawing/2014/main" id="{F3718351-CC4C-50F8-0A2B-DAFFE165BE19}"/>
            </a:ext>
          </a:extLst>
        </xdr:cNvPr>
        <xdr:cNvCxnSpPr/>
      </xdr:nvCxnSpPr>
      <xdr:spPr>
        <a:xfrm flipV="1">
          <a:off x="1508919" y="1989931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043" name="Match8">
          <a:extLst>
            <a:ext uri="{FF2B5EF4-FFF2-40B4-BE49-F238E27FC236}">
              <a16:creationId xmlns:a16="http://schemas.microsoft.com/office/drawing/2014/main" id="{E998DA94-BB70-000D-D170-D39F6CA7DEC6}"/>
            </a:ext>
          </a:extLst>
        </xdr:cNvPr>
        <xdr:cNvCxnSpPr/>
      </xdr:nvCxnSpPr>
      <xdr:spPr>
        <a:xfrm>
          <a:off x="3178969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044" name="Match9">
          <a:extLst>
            <a:ext uri="{FF2B5EF4-FFF2-40B4-BE49-F238E27FC236}">
              <a16:creationId xmlns:a16="http://schemas.microsoft.com/office/drawing/2014/main" id="{4B7237F8-177E-7203-905A-BC5E98C71366}"/>
            </a:ext>
          </a:extLst>
        </xdr:cNvPr>
        <xdr:cNvCxnSpPr/>
      </xdr:nvCxnSpPr>
      <xdr:spPr>
        <a:xfrm flipH="1">
          <a:off x="6357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1045" name="Match10">
          <a:extLst>
            <a:ext uri="{FF2B5EF4-FFF2-40B4-BE49-F238E27FC236}">
              <a16:creationId xmlns:a16="http://schemas.microsoft.com/office/drawing/2014/main" id="{5C636081-EF33-DD99-ACB6-6F4EFF068CC8}"/>
            </a:ext>
          </a:extLst>
        </xdr:cNvPr>
        <xdr:cNvCxnSpPr/>
      </xdr:nvCxnSpPr>
      <xdr:spPr>
        <a:xfrm flipV="1">
          <a:off x="402669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046" name="Match11">
          <a:extLst>
            <a:ext uri="{FF2B5EF4-FFF2-40B4-BE49-F238E27FC236}">
              <a16:creationId xmlns:a16="http://schemas.microsoft.com/office/drawing/2014/main" id="{A3480989-3854-7732-B1F4-3FE2B9A9E7A5}"/>
            </a:ext>
          </a:extLst>
        </xdr:cNvPr>
        <xdr:cNvCxnSpPr/>
      </xdr:nvCxnSpPr>
      <xdr:spPr>
        <a:xfrm flipV="1">
          <a:off x="10596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3</xdr:row>
      <xdr:rowOff>178593</xdr:rowOff>
    </xdr:to>
    <xdr:cxnSp macro="">
      <xdr:nvCxnSpPr>
        <xdr:cNvPr id="1047" name="Match12">
          <a:extLst>
            <a:ext uri="{FF2B5EF4-FFF2-40B4-BE49-F238E27FC236}">
              <a16:creationId xmlns:a16="http://schemas.microsoft.com/office/drawing/2014/main" id="{F8749003-808D-D912-9289-4BBF758118E5}"/>
            </a:ext>
          </a:extLst>
        </xdr:cNvPr>
        <xdr:cNvCxnSpPr/>
      </xdr:nvCxnSpPr>
      <xdr:spPr>
        <a:xfrm flipH="1">
          <a:off x="445055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0</xdr:col>
      <xdr:colOff>211931</xdr:colOff>
      <xdr:row>5</xdr:row>
      <xdr:rowOff>178593</xdr:rowOff>
    </xdr:to>
    <xdr:cxnSp macro="">
      <xdr:nvCxnSpPr>
        <xdr:cNvPr id="1048" name="Match13">
          <a:extLst>
            <a:ext uri="{FF2B5EF4-FFF2-40B4-BE49-F238E27FC236}">
              <a16:creationId xmlns:a16="http://schemas.microsoft.com/office/drawing/2014/main" id="{71D4B131-80B7-8A15-3E17-0472DDB715DA}"/>
            </a:ext>
          </a:extLst>
        </xdr:cNvPr>
        <xdr:cNvCxnSpPr/>
      </xdr:nvCxnSpPr>
      <xdr:spPr>
        <a:xfrm>
          <a:off x="211931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3</xdr:row>
      <xdr:rowOff>203993</xdr:rowOff>
    </xdr:from>
    <xdr:to>
      <xdr:col>0</xdr:col>
      <xdr:colOff>237331</xdr:colOff>
      <xdr:row>4</xdr:row>
      <xdr:rowOff>203994</xdr:rowOff>
    </xdr:to>
    <xdr:cxnSp macro="">
      <xdr:nvCxnSpPr>
        <xdr:cNvPr id="1049" name="Match14">
          <a:extLst>
            <a:ext uri="{FF2B5EF4-FFF2-40B4-BE49-F238E27FC236}">
              <a16:creationId xmlns:a16="http://schemas.microsoft.com/office/drawing/2014/main" id="{FD8C5774-26D6-08D7-EDC3-6A2C3D768B4A}"/>
            </a:ext>
          </a:extLst>
        </xdr:cNvPr>
        <xdr:cNvCxnSpPr/>
      </xdr:nvCxnSpPr>
      <xdr:spPr>
        <a:xfrm flipV="1">
          <a:off x="237331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055" name="Match15">
          <a:extLst>
            <a:ext uri="{FF2B5EF4-FFF2-40B4-BE49-F238E27FC236}">
              <a16:creationId xmlns:a16="http://schemas.microsoft.com/office/drawing/2014/main" id="{091B6F12-DBA5-CC9C-CD8F-59CB728ABA89}"/>
            </a:ext>
          </a:extLst>
        </xdr:cNvPr>
        <xdr:cNvCxnSpPr/>
      </xdr:nvCxnSpPr>
      <xdr:spPr>
        <a:xfrm>
          <a:off x="44505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3</xdr:row>
      <xdr:rowOff>203993</xdr:rowOff>
    </xdr:from>
    <xdr:to>
      <xdr:col>10</xdr:col>
      <xdr:colOff>237331</xdr:colOff>
      <xdr:row>4</xdr:row>
      <xdr:rowOff>203994</xdr:rowOff>
    </xdr:to>
    <xdr:cxnSp macro="">
      <xdr:nvCxnSpPr>
        <xdr:cNvPr id="1056" name="Match16">
          <a:extLst>
            <a:ext uri="{FF2B5EF4-FFF2-40B4-BE49-F238E27FC236}">
              <a16:creationId xmlns:a16="http://schemas.microsoft.com/office/drawing/2014/main" id="{4C6A19B8-0631-419C-F4AA-D511AACA19EB}"/>
            </a:ext>
          </a:extLst>
        </xdr:cNvPr>
        <xdr:cNvCxnSpPr/>
      </xdr:nvCxnSpPr>
      <xdr:spPr>
        <a:xfrm flipV="1">
          <a:off x="4475956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1057" name="Match17">
          <a:extLst>
            <a:ext uri="{FF2B5EF4-FFF2-40B4-BE49-F238E27FC236}">
              <a16:creationId xmlns:a16="http://schemas.microsoft.com/office/drawing/2014/main" id="{5093819D-C2BC-CDD5-9944-CD6FDCF79C17}"/>
            </a:ext>
          </a:extLst>
        </xdr:cNvPr>
        <xdr:cNvCxnSpPr/>
      </xdr:nvCxnSpPr>
      <xdr:spPr>
        <a:xfrm>
          <a:off x="44505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061" name="Match18">
          <a:extLst>
            <a:ext uri="{FF2B5EF4-FFF2-40B4-BE49-F238E27FC236}">
              <a16:creationId xmlns:a16="http://schemas.microsoft.com/office/drawing/2014/main" id="{9E94A618-D455-6C1B-17DF-82B0B4BB842D}"/>
            </a:ext>
          </a:extLst>
        </xdr:cNvPr>
        <xdr:cNvCxnSpPr/>
      </xdr:nvCxnSpPr>
      <xdr:spPr>
        <a:xfrm>
          <a:off x="44505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10</xdr:col>
      <xdr:colOff>237331</xdr:colOff>
      <xdr:row>7</xdr:row>
      <xdr:rowOff>203993</xdr:rowOff>
    </xdr:to>
    <xdr:cxnSp macro="">
      <xdr:nvCxnSpPr>
        <xdr:cNvPr id="1064" name="Match19">
          <a:extLst>
            <a:ext uri="{FF2B5EF4-FFF2-40B4-BE49-F238E27FC236}">
              <a16:creationId xmlns:a16="http://schemas.microsoft.com/office/drawing/2014/main" id="{0AD1D1BF-0FC6-6899-3CF1-4A8153367E82}"/>
            </a:ext>
          </a:extLst>
        </xdr:cNvPr>
        <xdr:cNvCxnSpPr/>
      </xdr:nvCxnSpPr>
      <xdr:spPr>
        <a:xfrm flipH="1">
          <a:off x="40520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5</xdr:row>
      <xdr:rowOff>229393</xdr:rowOff>
    </xdr:from>
    <xdr:to>
      <xdr:col>11</xdr:col>
      <xdr:colOff>262731</xdr:colOff>
      <xdr:row>6</xdr:row>
      <xdr:rowOff>229394</xdr:rowOff>
    </xdr:to>
    <xdr:cxnSp macro="">
      <xdr:nvCxnSpPr>
        <xdr:cNvPr id="1065" name="Match20">
          <a:extLst>
            <a:ext uri="{FF2B5EF4-FFF2-40B4-BE49-F238E27FC236}">
              <a16:creationId xmlns:a16="http://schemas.microsoft.com/office/drawing/2014/main" id="{4DABEA63-BF28-8AE5-15FF-9F4C302272C8}"/>
            </a:ext>
          </a:extLst>
        </xdr:cNvPr>
        <xdr:cNvCxnSpPr/>
      </xdr:nvCxnSpPr>
      <xdr:spPr>
        <a:xfrm flipV="1">
          <a:off x="4501356" y="201533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7</xdr:row>
      <xdr:rowOff>203993</xdr:rowOff>
    </xdr:from>
    <xdr:to>
      <xdr:col>3</xdr:col>
      <xdr:colOff>237331</xdr:colOff>
      <xdr:row>7</xdr:row>
      <xdr:rowOff>203993</xdr:rowOff>
    </xdr:to>
    <xdr:cxnSp macro="">
      <xdr:nvCxnSpPr>
        <xdr:cNvPr id="1066" name="Match21">
          <a:extLst>
            <a:ext uri="{FF2B5EF4-FFF2-40B4-BE49-F238E27FC236}">
              <a16:creationId xmlns:a16="http://schemas.microsoft.com/office/drawing/2014/main" id="{6CD43F17-507D-A142-1EBB-D79A9FD1166C}"/>
            </a:ext>
          </a:extLst>
        </xdr:cNvPr>
        <xdr:cNvCxnSpPr/>
      </xdr:nvCxnSpPr>
      <xdr:spPr>
        <a:xfrm>
          <a:off x="1085056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6</xdr:row>
      <xdr:rowOff>229394</xdr:rowOff>
    </xdr:from>
    <xdr:to>
      <xdr:col>3</xdr:col>
      <xdr:colOff>262731</xdr:colOff>
      <xdr:row>7</xdr:row>
      <xdr:rowOff>229393</xdr:rowOff>
    </xdr:to>
    <xdr:cxnSp macro="">
      <xdr:nvCxnSpPr>
        <xdr:cNvPr id="1067" name="Match22">
          <a:extLst>
            <a:ext uri="{FF2B5EF4-FFF2-40B4-BE49-F238E27FC236}">
              <a16:creationId xmlns:a16="http://schemas.microsoft.com/office/drawing/2014/main" id="{1087909B-FA51-E078-3815-88901789403F}"/>
            </a:ext>
          </a:extLst>
        </xdr:cNvPr>
        <xdr:cNvCxnSpPr/>
      </xdr:nvCxnSpPr>
      <xdr:spPr>
        <a:xfrm flipV="1">
          <a:off x="1110456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068" name="Match23">
          <a:extLst>
            <a:ext uri="{FF2B5EF4-FFF2-40B4-BE49-F238E27FC236}">
              <a16:creationId xmlns:a16="http://schemas.microsoft.com/office/drawing/2014/main" id="{FF946EB7-55D2-C457-5048-00953B14C9F4}"/>
            </a:ext>
          </a:extLst>
        </xdr:cNvPr>
        <xdr:cNvCxnSpPr/>
      </xdr:nvCxnSpPr>
      <xdr:spPr>
        <a:xfrm>
          <a:off x="44505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7</xdr:row>
      <xdr:rowOff>203993</xdr:rowOff>
    </xdr:from>
    <xdr:to>
      <xdr:col>10</xdr:col>
      <xdr:colOff>237331</xdr:colOff>
      <xdr:row>7</xdr:row>
      <xdr:rowOff>203993</xdr:rowOff>
    </xdr:to>
    <xdr:cxnSp macro="">
      <xdr:nvCxnSpPr>
        <xdr:cNvPr id="1069" name="Match24">
          <a:extLst>
            <a:ext uri="{FF2B5EF4-FFF2-40B4-BE49-F238E27FC236}">
              <a16:creationId xmlns:a16="http://schemas.microsoft.com/office/drawing/2014/main" id="{9CACD68A-9953-C648-2C40-B3F44BF8C890}"/>
            </a:ext>
          </a:extLst>
        </xdr:cNvPr>
        <xdr:cNvCxnSpPr/>
      </xdr:nvCxnSpPr>
      <xdr:spPr>
        <a:xfrm flipH="1">
          <a:off x="4052094" y="270430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070" name="Match25">
          <a:extLst>
            <a:ext uri="{FF2B5EF4-FFF2-40B4-BE49-F238E27FC236}">
              <a16:creationId xmlns:a16="http://schemas.microsoft.com/office/drawing/2014/main" id="{474F0335-AF0A-485C-4404-32006745D0CF}"/>
            </a:ext>
          </a:extLst>
        </xdr:cNvPr>
        <xdr:cNvCxnSpPr/>
      </xdr:nvCxnSpPr>
      <xdr:spPr>
        <a:xfrm flipH="1">
          <a:off x="10596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071" name="Match26">
          <a:extLst>
            <a:ext uri="{FF2B5EF4-FFF2-40B4-BE49-F238E27FC236}">
              <a16:creationId xmlns:a16="http://schemas.microsoft.com/office/drawing/2014/main" id="{B2D96F39-75F2-0C95-FD5C-EC0225463D37}"/>
            </a:ext>
          </a:extLst>
        </xdr:cNvPr>
        <xdr:cNvCxnSpPr/>
      </xdr:nvCxnSpPr>
      <xdr:spPr>
        <a:xfrm>
          <a:off x="275510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072" name="Match27">
          <a:extLst>
            <a:ext uri="{FF2B5EF4-FFF2-40B4-BE49-F238E27FC236}">
              <a16:creationId xmlns:a16="http://schemas.microsoft.com/office/drawing/2014/main" id="{0B3D3810-0E5D-567A-74B1-09827839FFEF}"/>
            </a:ext>
          </a:extLst>
        </xdr:cNvPr>
        <xdr:cNvCxnSpPr/>
      </xdr:nvCxnSpPr>
      <xdr:spPr>
        <a:xfrm flipH="1">
          <a:off x="1483519" y="535781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073" name="Match28">
          <a:extLst>
            <a:ext uri="{FF2B5EF4-FFF2-40B4-BE49-F238E27FC236}">
              <a16:creationId xmlns:a16="http://schemas.microsoft.com/office/drawing/2014/main" id="{DF26A519-D703-A59A-2F12-96B3A06AA38F}"/>
            </a:ext>
          </a:extLst>
        </xdr:cNvPr>
        <xdr:cNvCxnSpPr/>
      </xdr:nvCxnSpPr>
      <xdr:spPr>
        <a:xfrm flipH="1">
          <a:off x="3178969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074" name="Match29">
          <a:extLst>
            <a:ext uri="{FF2B5EF4-FFF2-40B4-BE49-F238E27FC236}">
              <a16:creationId xmlns:a16="http://schemas.microsoft.com/office/drawing/2014/main" id="{F6FAAD84-E56F-64D7-B6C4-C3E44078EF95}"/>
            </a:ext>
          </a:extLst>
        </xdr:cNvPr>
        <xdr:cNvCxnSpPr/>
      </xdr:nvCxnSpPr>
      <xdr:spPr>
        <a:xfrm flipV="1">
          <a:off x="3178969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075" name="Match30">
          <a:extLst>
            <a:ext uri="{FF2B5EF4-FFF2-40B4-BE49-F238E27FC236}">
              <a16:creationId xmlns:a16="http://schemas.microsoft.com/office/drawing/2014/main" id="{DE748235-C542-5C0B-A09D-60546B3BC361}"/>
            </a:ext>
          </a:extLst>
        </xdr:cNvPr>
        <xdr:cNvCxnSpPr/>
      </xdr:nvCxnSpPr>
      <xdr:spPr>
        <a:xfrm flipV="1">
          <a:off x="10596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1076" name="Match31">
          <a:extLst>
            <a:ext uri="{FF2B5EF4-FFF2-40B4-BE49-F238E27FC236}">
              <a16:creationId xmlns:a16="http://schemas.microsoft.com/office/drawing/2014/main" id="{C3129271-0863-C84A-2CC1-7721FD3E001F}"/>
            </a:ext>
          </a:extLst>
        </xdr:cNvPr>
        <xdr:cNvCxnSpPr/>
      </xdr:nvCxnSpPr>
      <xdr:spPr>
        <a:xfrm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077" name="Match32">
          <a:extLst>
            <a:ext uri="{FF2B5EF4-FFF2-40B4-BE49-F238E27FC236}">
              <a16:creationId xmlns:a16="http://schemas.microsoft.com/office/drawing/2014/main" id="{4C8C5C6F-A258-EA09-C24A-B367EF331FD7}"/>
            </a:ext>
          </a:extLst>
        </xdr:cNvPr>
        <xdr:cNvCxnSpPr/>
      </xdr:nvCxnSpPr>
      <xdr:spPr>
        <a:xfrm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078" name="Match33">
          <a:extLst>
            <a:ext uri="{FF2B5EF4-FFF2-40B4-BE49-F238E27FC236}">
              <a16:creationId xmlns:a16="http://schemas.microsoft.com/office/drawing/2014/main" id="{AC58E6B4-87CE-6312-A54F-3465A038780D}"/>
            </a:ext>
          </a:extLst>
        </xdr:cNvPr>
        <xdr:cNvCxnSpPr/>
      </xdr:nvCxnSpPr>
      <xdr:spPr>
        <a:xfrm>
          <a:off x="275510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1079" name="Match34">
          <a:extLst>
            <a:ext uri="{FF2B5EF4-FFF2-40B4-BE49-F238E27FC236}">
              <a16:creationId xmlns:a16="http://schemas.microsoft.com/office/drawing/2014/main" id="{DD13501B-5A01-C873-AEEC-A3901587F9AB}"/>
            </a:ext>
          </a:extLst>
        </xdr:cNvPr>
        <xdr:cNvCxnSpPr/>
      </xdr:nvCxnSpPr>
      <xdr:spPr>
        <a:xfrm>
          <a:off x="6357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1</xdr:col>
      <xdr:colOff>237331</xdr:colOff>
      <xdr:row>4</xdr:row>
      <xdr:rowOff>203994</xdr:rowOff>
    </xdr:to>
    <xdr:cxnSp macro="">
      <xdr:nvCxnSpPr>
        <xdr:cNvPr id="1080" name="Match35">
          <a:extLst>
            <a:ext uri="{FF2B5EF4-FFF2-40B4-BE49-F238E27FC236}">
              <a16:creationId xmlns:a16="http://schemas.microsoft.com/office/drawing/2014/main" id="{C8197FBF-D243-0794-8F37-20C2B0E22966}"/>
            </a:ext>
          </a:extLst>
        </xdr:cNvPr>
        <xdr:cNvCxnSpPr/>
      </xdr:nvCxnSpPr>
      <xdr:spPr>
        <a:xfrm flipH="1">
          <a:off x="237331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3</xdr:row>
      <xdr:rowOff>229393</xdr:rowOff>
    </xdr:from>
    <xdr:to>
      <xdr:col>2</xdr:col>
      <xdr:colOff>262731</xdr:colOff>
      <xdr:row>4</xdr:row>
      <xdr:rowOff>229394</xdr:rowOff>
    </xdr:to>
    <xdr:cxnSp macro="">
      <xdr:nvCxnSpPr>
        <xdr:cNvPr id="1081" name="Match36">
          <a:extLst>
            <a:ext uri="{FF2B5EF4-FFF2-40B4-BE49-F238E27FC236}">
              <a16:creationId xmlns:a16="http://schemas.microsoft.com/office/drawing/2014/main" id="{ABB30027-1B21-7AB4-0DF0-0ED7BA97D948}"/>
            </a:ext>
          </a:extLst>
        </xdr:cNvPr>
        <xdr:cNvCxnSpPr/>
      </xdr:nvCxnSpPr>
      <xdr:spPr>
        <a:xfrm flipV="1">
          <a:off x="686594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082" name="Match37">
          <a:extLst>
            <a:ext uri="{FF2B5EF4-FFF2-40B4-BE49-F238E27FC236}">
              <a16:creationId xmlns:a16="http://schemas.microsoft.com/office/drawing/2014/main" id="{EFCA4703-61DB-865A-C87F-BF5ABAD2AEDF}"/>
            </a:ext>
          </a:extLst>
        </xdr:cNvPr>
        <xdr:cNvCxnSpPr/>
      </xdr:nvCxnSpPr>
      <xdr:spPr>
        <a:xfrm>
          <a:off x="233124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083" name="Match38">
          <a:extLst>
            <a:ext uri="{FF2B5EF4-FFF2-40B4-BE49-F238E27FC236}">
              <a16:creationId xmlns:a16="http://schemas.microsoft.com/office/drawing/2014/main" id="{5AEA7B4D-420D-6B4F-4F1A-FC655F5972CB}"/>
            </a:ext>
          </a:extLst>
        </xdr:cNvPr>
        <xdr:cNvCxnSpPr/>
      </xdr:nvCxnSpPr>
      <xdr:spPr>
        <a:xfrm flipH="1" flipV="1"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084" name="Match39">
          <a:extLst>
            <a:ext uri="{FF2B5EF4-FFF2-40B4-BE49-F238E27FC236}">
              <a16:creationId xmlns:a16="http://schemas.microsoft.com/office/drawing/2014/main" id="{BB823860-81BD-C535-9271-4DB1A0ACB61D}"/>
            </a:ext>
          </a:extLst>
        </xdr:cNvPr>
        <xdr:cNvCxnSpPr/>
      </xdr:nvCxnSpPr>
      <xdr:spPr>
        <a:xfrm flipH="1" flipV="1">
          <a:off x="44505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1085" name="Match40">
          <a:extLst>
            <a:ext uri="{FF2B5EF4-FFF2-40B4-BE49-F238E27FC236}">
              <a16:creationId xmlns:a16="http://schemas.microsoft.com/office/drawing/2014/main" id="{6F4F2527-7BB1-4FE6-C8C4-57C9399FBBA7}"/>
            </a:ext>
          </a:extLst>
        </xdr:cNvPr>
        <xdr:cNvCxnSpPr/>
      </xdr:nvCxnSpPr>
      <xdr:spPr>
        <a:xfrm>
          <a:off x="233124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5</xdr:col>
      <xdr:colOff>237331</xdr:colOff>
      <xdr:row>9</xdr:row>
      <xdr:rowOff>203993</xdr:rowOff>
    </xdr:to>
    <xdr:cxnSp macro="">
      <xdr:nvCxnSpPr>
        <xdr:cNvPr id="1086" name="Match41">
          <a:extLst>
            <a:ext uri="{FF2B5EF4-FFF2-40B4-BE49-F238E27FC236}">
              <a16:creationId xmlns:a16="http://schemas.microsoft.com/office/drawing/2014/main" id="{F68C0DD8-220F-269A-3430-A15DBB252885}"/>
            </a:ext>
          </a:extLst>
        </xdr:cNvPr>
        <xdr:cNvCxnSpPr/>
      </xdr:nvCxnSpPr>
      <xdr:spPr>
        <a:xfrm flipH="1">
          <a:off x="1932781" y="34186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087" name="Match42">
          <a:extLst>
            <a:ext uri="{FF2B5EF4-FFF2-40B4-BE49-F238E27FC236}">
              <a16:creationId xmlns:a16="http://schemas.microsoft.com/office/drawing/2014/main" id="{74A1DC33-B4CF-0646-8632-65EC00869636}"/>
            </a:ext>
          </a:extLst>
        </xdr:cNvPr>
        <xdr:cNvCxnSpPr/>
      </xdr:nvCxnSpPr>
      <xdr:spPr>
        <a:xfrm>
          <a:off x="44505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472" name="Match43">
          <a:extLst>
            <a:ext uri="{FF2B5EF4-FFF2-40B4-BE49-F238E27FC236}">
              <a16:creationId xmlns:a16="http://schemas.microsoft.com/office/drawing/2014/main" id="{B8E188E5-727C-82AF-FDA8-4106FC11CF3B}"/>
            </a:ext>
          </a:extLst>
        </xdr:cNvPr>
        <xdr:cNvCxnSpPr/>
      </xdr:nvCxnSpPr>
      <xdr:spPr>
        <a:xfrm flipH="1"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473" name="Match44">
          <a:extLst>
            <a:ext uri="{FF2B5EF4-FFF2-40B4-BE49-F238E27FC236}">
              <a16:creationId xmlns:a16="http://schemas.microsoft.com/office/drawing/2014/main" id="{AAAFC744-1D19-C5A6-CC3E-58B982E70C2D}"/>
            </a:ext>
          </a:extLst>
        </xdr:cNvPr>
        <xdr:cNvCxnSpPr/>
      </xdr:nvCxnSpPr>
      <xdr:spPr>
        <a:xfrm flipH="1">
          <a:off x="44505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474" name="Match45">
          <a:extLst>
            <a:ext uri="{FF2B5EF4-FFF2-40B4-BE49-F238E27FC236}">
              <a16:creationId xmlns:a16="http://schemas.microsoft.com/office/drawing/2014/main" id="{39C227C0-D198-583B-AE2F-FD1DCFA6D1F9}"/>
            </a:ext>
          </a:extLst>
        </xdr:cNvPr>
        <xdr:cNvCxnSpPr/>
      </xdr:nvCxnSpPr>
      <xdr:spPr>
        <a:xfrm flipV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475" name="Match46">
          <a:extLst>
            <a:ext uri="{FF2B5EF4-FFF2-40B4-BE49-F238E27FC236}">
              <a16:creationId xmlns:a16="http://schemas.microsoft.com/office/drawing/2014/main" id="{B877204D-13EA-16E7-2E35-97E375B0B4E4}"/>
            </a:ext>
          </a:extLst>
        </xdr:cNvPr>
        <xdr:cNvCxnSpPr/>
      </xdr:nvCxnSpPr>
      <xdr:spPr>
        <a:xfrm flipV="1"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476" name="Match47">
          <a:extLst>
            <a:ext uri="{FF2B5EF4-FFF2-40B4-BE49-F238E27FC236}">
              <a16:creationId xmlns:a16="http://schemas.microsoft.com/office/drawing/2014/main" id="{06553282-C5E9-BD99-04D6-C7F237C60175}"/>
            </a:ext>
          </a:extLst>
        </xdr:cNvPr>
        <xdr:cNvCxnSpPr/>
      </xdr:nvCxnSpPr>
      <xdr:spPr>
        <a:xfrm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477" name="Match48">
          <a:extLst>
            <a:ext uri="{FF2B5EF4-FFF2-40B4-BE49-F238E27FC236}">
              <a16:creationId xmlns:a16="http://schemas.microsoft.com/office/drawing/2014/main" id="{13012583-5A16-5440-6C66-ECACF1CD806A}"/>
            </a:ext>
          </a:extLst>
        </xdr:cNvPr>
        <xdr:cNvCxnSpPr/>
      </xdr:nvCxnSpPr>
      <xdr:spPr>
        <a:xfrm flipH="1" flipV="1"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478" name="Match49">
          <a:extLst>
            <a:ext uri="{FF2B5EF4-FFF2-40B4-BE49-F238E27FC236}">
              <a16:creationId xmlns:a16="http://schemas.microsoft.com/office/drawing/2014/main" id="{F9C1AC81-E489-F07F-4BB7-211F7DD03343}"/>
            </a:ext>
          </a:extLst>
        </xdr:cNvPr>
        <xdr:cNvCxnSpPr/>
      </xdr:nvCxnSpPr>
      <xdr:spPr>
        <a:xfrm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479" name="Match50">
          <a:extLst>
            <a:ext uri="{FF2B5EF4-FFF2-40B4-BE49-F238E27FC236}">
              <a16:creationId xmlns:a16="http://schemas.microsoft.com/office/drawing/2014/main" id="{E6E059AF-5710-A2BE-E1E1-7A46E7CBF6B0}"/>
            </a:ext>
          </a:extLst>
        </xdr:cNvPr>
        <xdr:cNvCxnSpPr/>
      </xdr:nvCxnSpPr>
      <xdr:spPr>
        <a:xfrm flipH="1" flipV="1"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480" name="Match51">
          <a:extLst>
            <a:ext uri="{FF2B5EF4-FFF2-40B4-BE49-F238E27FC236}">
              <a16:creationId xmlns:a16="http://schemas.microsoft.com/office/drawing/2014/main" id="{1D81B7E4-FA78-E81B-A401-009891204538}"/>
            </a:ext>
          </a:extLst>
        </xdr:cNvPr>
        <xdr:cNvCxnSpPr/>
      </xdr:nvCxnSpPr>
      <xdr:spPr>
        <a:xfrm>
          <a:off x="233124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5</xdr:col>
      <xdr:colOff>237331</xdr:colOff>
      <xdr:row>6</xdr:row>
      <xdr:rowOff>203994</xdr:rowOff>
    </xdr:to>
    <xdr:cxnSp macro="">
      <xdr:nvCxnSpPr>
        <xdr:cNvPr id="1481" name="Match52">
          <a:extLst>
            <a:ext uri="{FF2B5EF4-FFF2-40B4-BE49-F238E27FC236}">
              <a16:creationId xmlns:a16="http://schemas.microsoft.com/office/drawing/2014/main" id="{0C87E2DE-62BA-6D01-B0A8-247C85E4AA11}"/>
            </a:ext>
          </a:extLst>
        </xdr:cNvPr>
        <xdr:cNvCxnSpPr/>
      </xdr:nvCxnSpPr>
      <xdr:spPr>
        <a:xfrm flipH="1">
          <a:off x="193278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482" name="Match53">
          <a:extLst>
            <a:ext uri="{FF2B5EF4-FFF2-40B4-BE49-F238E27FC236}">
              <a16:creationId xmlns:a16="http://schemas.microsoft.com/office/drawing/2014/main" id="{CF669372-CD77-2E91-5FB4-487B1F7AB8DE}"/>
            </a:ext>
          </a:extLst>
        </xdr:cNvPr>
        <xdr:cNvCxnSpPr/>
      </xdr:nvCxnSpPr>
      <xdr:spPr>
        <a:xfrm>
          <a:off x="190738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5</xdr:col>
      <xdr:colOff>237331</xdr:colOff>
      <xdr:row>6</xdr:row>
      <xdr:rowOff>203994</xdr:rowOff>
    </xdr:to>
    <xdr:cxnSp macro="">
      <xdr:nvCxnSpPr>
        <xdr:cNvPr id="1483" name="Match54">
          <a:extLst>
            <a:ext uri="{FF2B5EF4-FFF2-40B4-BE49-F238E27FC236}">
              <a16:creationId xmlns:a16="http://schemas.microsoft.com/office/drawing/2014/main" id="{B33E3E31-F7A2-48BC-8DCC-5BDB2CC7D4DA}"/>
            </a:ext>
          </a:extLst>
        </xdr:cNvPr>
        <xdr:cNvCxnSpPr/>
      </xdr:nvCxnSpPr>
      <xdr:spPr>
        <a:xfrm flipV="1">
          <a:off x="193278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484" name="Match55">
          <a:extLst>
            <a:ext uri="{FF2B5EF4-FFF2-40B4-BE49-F238E27FC236}">
              <a16:creationId xmlns:a16="http://schemas.microsoft.com/office/drawing/2014/main" id="{1FDAFB2D-ABF2-AC71-7447-B9C73516B2CD}"/>
            </a:ext>
          </a:extLst>
        </xdr:cNvPr>
        <xdr:cNvCxnSpPr/>
      </xdr:nvCxnSpPr>
      <xdr:spPr>
        <a:xfrm flipH="1">
          <a:off x="190738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5</xdr:col>
      <xdr:colOff>237331</xdr:colOff>
      <xdr:row>6</xdr:row>
      <xdr:rowOff>203994</xdr:rowOff>
    </xdr:to>
    <xdr:cxnSp macro="">
      <xdr:nvCxnSpPr>
        <xdr:cNvPr id="1485" name="Match56">
          <a:extLst>
            <a:ext uri="{FF2B5EF4-FFF2-40B4-BE49-F238E27FC236}">
              <a16:creationId xmlns:a16="http://schemas.microsoft.com/office/drawing/2014/main" id="{009483EB-6D57-D759-9B03-CA6EA99CD917}"/>
            </a:ext>
          </a:extLst>
        </xdr:cNvPr>
        <xdr:cNvCxnSpPr/>
      </xdr:nvCxnSpPr>
      <xdr:spPr>
        <a:xfrm flipV="1">
          <a:off x="2356644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486" name="Match57">
          <a:extLst>
            <a:ext uri="{FF2B5EF4-FFF2-40B4-BE49-F238E27FC236}">
              <a16:creationId xmlns:a16="http://schemas.microsoft.com/office/drawing/2014/main" id="{95AB3B14-91D1-E515-D8ED-1A5D19B1DDE5}"/>
            </a:ext>
          </a:extLst>
        </xdr:cNvPr>
        <xdr:cNvCxnSpPr/>
      </xdr:nvCxnSpPr>
      <xdr:spPr>
        <a:xfrm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1</xdr:col>
      <xdr:colOff>237331</xdr:colOff>
      <xdr:row>8</xdr:row>
      <xdr:rowOff>203994</xdr:rowOff>
    </xdr:to>
    <xdr:cxnSp macro="">
      <xdr:nvCxnSpPr>
        <xdr:cNvPr id="1487" name="Match58">
          <a:extLst>
            <a:ext uri="{FF2B5EF4-FFF2-40B4-BE49-F238E27FC236}">
              <a16:creationId xmlns:a16="http://schemas.microsoft.com/office/drawing/2014/main" id="{82FAEF8E-B2F6-39ED-291A-883C43D9F0E1}"/>
            </a:ext>
          </a:extLst>
        </xdr:cNvPr>
        <xdr:cNvCxnSpPr/>
      </xdr:nvCxnSpPr>
      <xdr:spPr>
        <a:xfrm>
          <a:off x="661194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488" name="Match59">
          <a:extLst>
            <a:ext uri="{FF2B5EF4-FFF2-40B4-BE49-F238E27FC236}">
              <a16:creationId xmlns:a16="http://schemas.microsoft.com/office/drawing/2014/main" id="{5FCAA95D-B620-4DCE-B8AC-254B14DD7D5F}"/>
            </a:ext>
          </a:extLst>
        </xdr:cNvPr>
        <xdr:cNvCxnSpPr/>
      </xdr:nvCxnSpPr>
      <xdr:spPr>
        <a:xfrm>
          <a:off x="6357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2</xdr:col>
      <xdr:colOff>237331</xdr:colOff>
      <xdr:row>9</xdr:row>
      <xdr:rowOff>203993</xdr:rowOff>
    </xdr:to>
    <xdr:cxnSp macro="">
      <xdr:nvCxnSpPr>
        <xdr:cNvPr id="1489" name="Match60">
          <a:extLst>
            <a:ext uri="{FF2B5EF4-FFF2-40B4-BE49-F238E27FC236}">
              <a16:creationId xmlns:a16="http://schemas.microsoft.com/office/drawing/2014/main" id="{87D6626C-09EA-EC56-AB0A-B045E96DAE1C}"/>
            </a:ext>
          </a:extLst>
        </xdr:cNvPr>
        <xdr:cNvCxnSpPr/>
      </xdr:nvCxnSpPr>
      <xdr:spPr>
        <a:xfrm>
          <a:off x="66119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7</xdr:row>
      <xdr:rowOff>229393</xdr:rowOff>
    </xdr:from>
    <xdr:to>
      <xdr:col>1</xdr:col>
      <xdr:colOff>262731</xdr:colOff>
      <xdr:row>8</xdr:row>
      <xdr:rowOff>229394</xdr:rowOff>
    </xdr:to>
    <xdr:cxnSp macro="">
      <xdr:nvCxnSpPr>
        <xdr:cNvPr id="1490" name="Match61">
          <a:extLst>
            <a:ext uri="{FF2B5EF4-FFF2-40B4-BE49-F238E27FC236}">
              <a16:creationId xmlns:a16="http://schemas.microsoft.com/office/drawing/2014/main" id="{49C19796-239C-FFCD-B4AF-8F4A88A87039}"/>
            </a:ext>
          </a:extLst>
        </xdr:cNvPr>
        <xdr:cNvCxnSpPr/>
      </xdr:nvCxnSpPr>
      <xdr:spPr>
        <a:xfrm flipV="1">
          <a:off x="686594" y="272970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491" name="Match62">
          <a:extLst>
            <a:ext uri="{FF2B5EF4-FFF2-40B4-BE49-F238E27FC236}">
              <a16:creationId xmlns:a16="http://schemas.microsoft.com/office/drawing/2014/main" id="{6074A0CF-A792-5537-657E-B3C6D54B0F67}"/>
            </a:ext>
          </a:extLst>
        </xdr:cNvPr>
        <xdr:cNvCxnSpPr/>
      </xdr:nvCxnSpPr>
      <xdr:spPr>
        <a:xfrm>
          <a:off x="1059656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2</xdr:col>
      <xdr:colOff>237331</xdr:colOff>
      <xdr:row>8</xdr:row>
      <xdr:rowOff>203994</xdr:rowOff>
    </xdr:to>
    <xdr:cxnSp macro="">
      <xdr:nvCxnSpPr>
        <xdr:cNvPr id="1492" name="Match63">
          <a:extLst>
            <a:ext uri="{FF2B5EF4-FFF2-40B4-BE49-F238E27FC236}">
              <a16:creationId xmlns:a16="http://schemas.microsoft.com/office/drawing/2014/main" id="{CBC54ECC-8109-AB60-EED9-ECA4C90FAE5A}"/>
            </a:ext>
          </a:extLst>
        </xdr:cNvPr>
        <xdr:cNvCxnSpPr/>
      </xdr:nvCxnSpPr>
      <xdr:spPr>
        <a:xfrm flipH="1">
          <a:off x="661194" y="30614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7</xdr:row>
      <xdr:rowOff>229393</xdr:rowOff>
    </xdr:from>
    <xdr:to>
      <xdr:col>2</xdr:col>
      <xdr:colOff>262731</xdr:colOff>
      <xdr:row>8</xdr:row>
      <xdr:rowOff>229394</xdr:rowOff>
    </xdr:to>
    <xdr:cxnSp macro="">
      <xdr:nvCxnSpPr>
        <xdr:cNvPr id="1493" name="Match64">
          <a:extLst>
            <a:ext uri="{FF2B5EF4-FFF2-40B4-BE49-F238E27FC236}">
              <a16:creationId xmlns:a16="http://schemas.microsoft.com/office/drawing/2014/main" id="{C38ABC4F-0237-F899-9768-1237FA3A17F0}"/>
            </a:ext>
          </a:extLst>
        </xdr:cNvPr>
        <xdr:cNvCxnSpPr/>
      </xdr:nvCxnSpPr>
      <xdr:spPr>
        <a:xfrm flipH="1" flipV="1">
          <a:off x="686594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8</xdr:row>
      <xdr:rowOff>178594</xdr:rowOff>
    </xdr:to>
    <xdr:cxnSp macro="">
      <xdr:nvCxnSpPr>
        <xdr:cNvPr id="1494" name="Match65">
          <a:extLst>
            <a:ext uri="{FF2B5EF4-FFF2-40B4-BE49-F238E27FC236}">
              <a16:creationId xmlns:a16="http://schemas.microsoft.com/office/drawing/2014/main" id="{D07DF6A3-A805-9072-627A-1EF90D0558C9}"/>
            </a:ext>
          </a:extLst>
        </xdr:cNvPr>
        <xdr:cNvCxnSpPr/>
      </xdr:nvCxnSpPr>
      <xdr:spPr>
        <a:xfrm>
          <a:off x="190738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8</xdr:row>
      <xdr:rowOff>178594</xdr:rowOff>
    </xdr:to>
    <xdr:cxnSp macro="">
      <xdr:nvCxnSpPr>
        <xdr:cNvPr id="1495" name="Match66">
          <a:extLst>
            <a:ext uri="{FF2B5EF4-FFF2-40B4-BE49-F238E27FC236}">
              <a16:creationId xmlns:a16="http://schemas.microsoft.com/office/drawing/2014/main" id="{D32A55E2-8CB7-7EE1-2747-A5D18B872AE3}"/>
            </a:ext>
          </a:extLst>
        </xdr:cNvPr>
        <xdr:cNvCxnSpPr/>
      </xdr:nvCxnSpPr>
      <xdr:spPr>
        <a:xfrm flipH="1">
          <a:off x="190738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496" name="Match67">
          <a:extLst>
            <a:ext uri="{FF2B5EF4-FFF2-40B4-BE49-F238E27FC236}">
              <a16:creationId xmlns:a16="http://schemas.microsoft.com/office/drawing/2014/main" id="{99C6CC61-9756-C294-83F3-0D9AFD6219B4}"/>
            </a:ext>
          </a:extLst>
        </xdr:cNvPr>
        <xdr:cNvCxnSpPr/>
      </xdr:nvCxnSpPr>
      <xdr:spPr>
        <a:xfrm>
          <a:off x="40266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1497" name="Match68">
          <a:extLst>
            <a:ext uri="{FF2B5EF4-FFF2-40B4-BE49-F238E27FC236}">
              <a16:creationId xmlns:a16="http://schemas.microsoft.com/office/drawing/2014/main" id="{2D6BC0D6-11ED-EE75-08CC-5E5D483645D7}"/>
            </a:ext>
          </a:extLst>
        </xdr:cNvPr>
        <xdr:cNvCxnSpPr/>
      </xdr:nvCxnSpPr>
      <xdr:spPr>
        <a:xfrm>
          <a:off x="405209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1498" name="Match69">
          <a:extLst>
            <a:ext uri="{FF2B5EF4-FFF2-40B4-BE49-F238E27FC236}">
              <a16:creationId xmlns:a16="http://schemas.microsoft.com/office/drawing/2014/main" id="{EE4260BC-6C94-63E2-FB59-C147D2D11DFA}"/>
            </a:ext>
          </a:extLst>
        </xdr:cNvPr>
        <xdr:cNvCxnSpPr/>
      </xdr:nvCxnSpPr>
      <xdr:spPr>
        <a:xfrm flipH="1">
          <a:off x="40266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8</xdr:row>
      <xdr:rowOff>203994</xdr:rowOff>
    </xdr:to>
    <xdr:cxnSp macro="">
      <xdr:nvCxnSpPr>
        <xdr:cNvPr id="1499" name="Match70">
          <a:extLst>
            <a:ext uri="{FF2B5EF4-FFF2-40B4-BE49-F238E27FC236}">
              <a16:creationId xmlns:a16="http://schemas.microsoft.com/office/drawing/2014/main" id="{7B6661AE-CE31-5F21-EF5D-3F626E379A86}"/>
            </a:ext>
          </a:extLst>
        </xdr:cNvPr>
        <xdr:cNvCxnSpPr/>
      </xdr:nvCxnSpPr>
      <xdr:spPr>
        <a:xfrm flipH="1">
          <a:off x="4052094" y="30614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500" name="Match71">
          <a:extLst>
            <a:ext uri="{FF2B5EF4-FFF2-40B4-BE49-F238E27FC236}">
              <a16:creationId xmlns:a16="http://schemas.microsoft.com/office/drawing/2014/main" id="{65A7DB3C-6085-8D9B-0449-AF5AA9C3830A}"/>
            </a:ext>
          </a:extLst>
        </xdr:cNvPr>
        <xdr:cNvCxnSpPr/>
      </xdr:nvCxnSpPr>
      <xdr:spPr>
        <a:xfrm flipH="1" flipV="1">
          <a:off x="6357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8</xdr:row>
      <xdr:rowOff>203994</xdr:rowOff>
    </xdr:from>
    <xdr:to>
      <xdr:col>2</xdr:col>
      <xdr:colOff>237331</xdr:colOff>
      <xdr:row>9</xdr:row>
      <xdr:rowOff>203993</xdr:rowOff>
    </xdr:to>
    <xdr:cxnSp macro="">
      <xdr:nvCxnSpPr>
        <xdr:cNvPr id="1501" name="Match72">
          <a:extLst>
            <a:ext uri="{FF2B5EF4-FFF2-40B4-BE49-F238E27FC236}">
              <a16:creationId xmlns:a16="http://schemas.microsoft.com/office/drawing/2014/main" id="{093F1CFA-A8B1-9EC4-D4C7-8A6274612CB5}"/>
            </a:ext>
          </a:extLst>
        </xdr:cNvPr>
        <xdr:cNvCxnSpPr/>
      </xdr:nvCxnSpPr>
      <xdr:spPr>
        <a:xfrm flipV="1">
          <a:off x="1085056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502" name="Match73">
          <a:extLst>
            <a:ext uri="{FF2B5EF4-FFF2-40B4-BE49-F238E27FC236}">
              <a16:creationId xmlns:a16="http://schemas.microsoft.com/office/drawing/2014/main" id="{27331DE8-A1FA-113A-39CE-2E09858A1598}"/>
            </a:ext>
          </a:extLst>
        </xdr:cNvPr>
        <xdr:cNvCxnSpPr/>
      </xdr:nvCxnSpPr>
      <xdr:spPr>
        <a:xfrm flipV="1">
          <a:off x="40266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503" name="Match74">
          <a:extLst>
            <a:ext uri="{FF2B5EF4-FFF2-40B4-BE49-F238E27FC236}">
              <a16:creationId xmlns:a16="http://schemas.microsoft.com/office/drawing/2014/main" id="{264457FB-1EE6-A3DA-9BF8-49C1DB936826}"/>
            </a:ext>
          </a:extLst>
        </xdr:cNvPr>
        <xdr:cNvCxnSpPr/>
      </xdr:nvCxnSpPr>
      <xdr:spPr>
        <a:xfrm flipV="1">
          <a:off x="405209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504" name="Match75">
          <a:extLst>
            <a:ext uri="{FF2B5EF4-FFF2-40B4-BE49-F238E27FC236}">
              <a16:creationId xmlns:a16="http://schemas.microsoft.com/office/drawing/2014/main" id="{0C7B9DF2-5B3A-C973-A2B9-5F2A81B0B7A7}"/>
            </a:ext>
          </a:extLst>
        </xdr:cNvPr>
        <xdr:cNvCxnSpPr/>
      </xdr:nvCxnSpPr>
      <xdr:spPr>
        <a:xfrm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1505" name="Match76">
          <a:extLst>
            <a:ext uri="{FF2B5EF4-FFF2-40B4-BE49-F238E27FC236}">
              <a16:creationId xmlns:a16="http://schemas.microsoft.com/office/drawing/2014/main" id="{03DB0963-16A0-BD35-0F88-6F25EA2FD0BA}"/>
            </a:ext>
          </a:extLst>
        </xdr:cNvPr>
        <xdr:cNvCxnSpPr/>
      </xdr:nvCxnSpPr>
      <xdr:spPr>
        <a:xfrm flipH="1">
          <a:off x="6611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1506" name="Match77">
          <a:extLst>
            <a:ext uri="{FF2B5EF4-FFF2-40B4-BE49-F238E27FC236}">
              <a16:creationId xmlns:a16="http://schemas.microsoft.com/office/drawing/2014/main" id="{7122BE0E-D750-8F41-ECDF-FDD10D4DA158}"/>
            </a:ext>
          </a:extLst>
        </xdr:cNvPr>
        <xdr:cNvCxnSpPr/>
      </xdr:nvCxnSpPr>
      <xdr:spPr>
        <a:xfrm flipH="1" flipV="1">
          <a:off x="2373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1</xdr:row>
      <xdr:rowOff>229393</xdr:rowOff>
    </xdr:from>
    <xdr:to>
      <xdr:col>2</xdr:col>
      <xdr:colOff>262731</xdr:colOff>
      <xdr:row>2</xdr:row>
      <xdr:rowOff>229394</xdr:rowOff>
    </xdr:to>
    <xdr:cxnSp macro="">
      <xdr:nvCxnSpPr>
        <xdr:cNvPr id="1507" name="Match78">
          <a:extLst>
            <a:ext uri="{FF2B5EF4-FFF2-40B4-BE49-F238E27FC236}">
              <a16:creationId xmlns:a16="http://schemas.microsoft.com/office/drawing/2014/main" id="{A9A373A0-48F8-5341-7279-5B613E47E6DB}"/>
            </a:ext>
          </a:extLst>
        </xdr:cNvPr>
        <xdr:cNvCxnSpPr/>
      </xdr:nvCxnSpPr>
      <xdr:spPr>
        <a:xfrm flipV="1">
          <a:off x="686594" y="5865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3</xdr:row>
      <xdr:rowOff>203993</xdr:rowOff>
    </xdr:from>
    <xdr:to>
      <xdr:col>6</xdr:col>
      <xdr:colOff>237331</xdr:colOff>
      <xdr:row>4</xdr:row>
      <xdr:rowOff>203994</xdr:rowOff>
    </xdr:to>
    <xdr:cxnSp macro="">
      <xdr:nvCxnSpPr>
        <xdr:cNvPr id="1508" name="Match79">
          <a:extLst>
            <a:ext uri="{FF2B5EF4-FFF2-40B4-BE49-F238E27FC236}">
              <a16:creationId xmlns:a16="http://schemas.microsoft.com/office/drawing/2014/main" id="{D5541C12-3981-FEB1-4638-0FAEC16203EE}"/>
            </a:ext>
          </a:extLst>
        </xdr:cNvPr>
        <xdr:cNvCxnSpPr/>
      </xdr:nvCxnSpPr>
      <xdr:spPr>
        <a:xfrm flipH="1">
          <a:off x="235664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3</xdr:row>
      <xdr:rowOff>203993</xdr:rowOff>
    </xdr:from>
    <xdr:to>
      <xdr:col>6</xdr:col>
      <xdr:colOff>237331</xdr:colOff>
      <xdr:row>4</xdr:row>
      <xdr:rowOff>203994</xdr:rowOff>
    </xdr:to>
    <xdr:cxnSp macro="">
      <xdr:nvCxnSpPr>
        <xdr:cNvPr id="1509" name="Match80">
          <a:extLst>
            <a:ext uri="{FF2B5EF4-FFF2-40B4-BE49-F238E27FC236}">
              <a16:creationId xmlns:a16="http://schemas.microsoft.com/office/drawing/2014/main" id="{06EE6BBC-5C61-B2D7-C7DC-DB62EA99AB4D}"/>
            </a:ext>
          </a:extLst>
        </xdr:cNvPr>
        <xdr:cNvCxnSpPr/>
      </xdr:nvCxnSpPr>
      <xdr:spPr>
        <a:xfrm flipV="1">
          <a:off x="235664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8</xdr:row>
      <xdr:rowOff>203994</xdr:rowOff>
    </xdr:from>
    <xdr:to>
      <xdr:col>11</xdr:col>
      <xdr:colOff>237331</xdr:colOff>
      <xdr:row>9</xdr:row>
      <xdr:rowOff>203993</xdr:rowOff>
    </xdr:to>
    <xdr:cxnSp macro="">
      <xdr:nvCxnSpPr>
        <xdr:cNvPr id="1510" name="Match81">
          <a:extLst>
            <a:ext uri="{FF2B5EF4-FFF2-40B4-BE49-F238E27FC236}">
              <a16:creationId xmlns:a16="http://schemas.microsoft.com/office/drawing/2014/main" id="{0F4A0140-83A4-FCE9-49B4-B16906ED9138}"/>
            </a:ext>
          </a:extLst>
        </xdr:cNvPr>
        <xdr:cNvCxnSpPr/>
      </xdr:nvCxnSpPr>
      <xdr:spPr>
        <a:xfrm>
          <a:off x="4899819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8</xdr:row>
      <xdr:rowOff>229394</xdr:rowOff>
    </xdr:from>
    <xdr:to>
      <xdr:col>11</xdr:col>
      <xdr:colOff>262731</xdr:colOff>
      <xdr:row>9</xdr:row>
      <xdr:rowOff>229393</xdr:rowOff>
    </xdr:to>
    <xdr:cxnSp macro="">
      <xdr:nvCxnSpPr>
        <xdr:cNvPr id="1511" name="Match82">
          <a:extLst>
            <a:ext uri="{FF2B5EF4-FFF2-40B4-BE49-F238E27FC236}">
              <a16:creationId xmlns:a16="http://schemas.microsoft.com/office/drawing/2014/main" id="{CD028EDA-9802-0A5D-1BC7-F7891A212365}"/>
            </a:ext>
          </a:extLst>
        </xdr:cNvPr>
        <xdr:cNvCxnSpPr/>
      </xdr:nvCxnSpPr>
      <xdr:spPr>
        <a:xfrm flipH="1">
          <a:off x="4501356" y="30868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9</xdr:row>
      <xdr:rowOff>203993</xdr:rowOff>
    </xdr:from>
    <xdr:to>
      <xdr:col>11</xdr:col>
      <xdr:colOff>237331</xdr:colOff>
      <xdr:row>9</xdr:row>
      <xdr:rowOff>203993</xdr:rowOff>
    </xdr:to>
    <xdr:cxnSp macro="">
      <xdr:nvCxnSpPr>
        <xdr:cNvPr id="1512" name="Match83">
          <a:extLst>
            <a:ext uri="{FF2B5EF4-FFF2-40B4-BE49-F238E27FC236}">
              <a16:creationId xmlns:a16="http://schemas.microsoft.com/office/drawing/2014/main" id="{635845FD-65C4-25C0-B57D-02E16190A650}"/>
            </a:ext>
          </a:extLst>
        </xdr:cNvPr>
        <xdr:cNvCxnSpPr/>
      </xdr:nvCxnSpPr>
      <xdr:spPr>
        <a:xfrm>
          <a:off x="4475956" y="34186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9</xdr:row>
      <xdr:rowOff>229393</xdr:rowOff>
    </xdr:from>
    <xdr:to>
      <xdr:col>11</xdr:col>
      <xdr:colOff>262731</xdr:colOff>
      <xdr:row>10</xdr:row>
      <xdr:rowOff>229394</xdr:rowOff>
    </xdr:to>
    <xdr:cxnSp macro="">
      <xdr:nvCxnSpPr>
        <xdr:cNvPr id="1513" name="Match84">
          <a:extLst>
            <a:ext uri="{FF2B5EF4-FFF2-40B4-BE49-F238E27FC236}">
              <a16:creationId xmlns:a16="http://schemas.microsoft.com/office/drawing/2014/main" id="{5F67C2BE-D1CE-5F8B-C152-CBA1034B596E}"/>
            </a:ext>
          </a:extLst>
        </xdr:cNvPr>
        <xdr:cNvCxnSpPr/>
      </xdr:nvCxnSpPr>
      <xdr:spPr>
        <a:xfrm>
          <a:off x="4501356" y="34440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288131</xdr:colOff>
      <xdr:row>8</xdr:row>
      <xdr:rowOff>254794</xdr:rowOff>
    </xdr:from>
    <xdr:to>
      <xdr:col>11</xdr:col>
      <xdr:colOff>288131</xdr:colOff>
      <xdr:row>9</xdr:row>
      <xdr:rowOff>254793</xdr:rowOff>
    </xdr:to>
    <xdr:cxnSp macro="">
      <xdr:nvCxnSpPr>
        <xdr:cNvPr id="1514" name="Match85">
          <a:extLst>
            <a:ext uri="{FF2B5EF4-FFF2-40B4-BE49-F238E27FC236}">
              <a16:creationId xmlns:a16="http://schemas.microsoft.com/office/drawing/2014/main" id="{1AF0E695-A046-BC0C-D6F4-A289E00180DC}"/>
            </a:ext>
          </a:extLst>
        </xdr:cNvPr>
        <xdr:cNvCxnSpPr/>
      </xdr:nvCxnSpPr>
      <xdr:spPr>
        <a:xfrm flipV="1">
          <a:off x="4526756" y="3112294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9</xdr:row>
      <xdr:rowOff>203993</xdr:rowOff>
    </xdr:from>
    <xdr:to>
      <xdr:col>11</xdr:col>
      <xdr:colOff>237331</xdr:colOff>
      <xdr:row>10</xdr:row>
      <xdr:rowOff>203994</xdr:rowOff>
    </xdr:to>
    <xdr:cxnSp macro="">
      <xdr:nvCxnSpPr>
        <xdr:cNvPr id="1515" name="Match86">
          <a:extLst>
            <a:ext uri="{FF2B5EF4-FFF2-40B4-BE49-F238E27FC236}">
              <a16:creationId xmlns:a16="http://schemas.microsoft.com/office/drawing/2014/main" id="{429402FF-B4E4-D31A-142E-FB91DCA48646}"/>
            </a:ext>
          </a:extLst>
        </xdr:cNvPr>
        <xdr:cNvCxnSpPr/>
      </xdr:nvCxnSpPr>
      <xdr:spPr>
        <a:xfrm>
          <a:off x="4899819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9</xdr:row>
      <xdr:rowOff>229393</xdr:rowOff>
    </xdr:from>
    <xdr:to>
      <xdr:col>11</xdr:col>
      <xdr:colOff>262731</xdr:colOff>
      <xdr:row>9</xdr:row>
      <xdr:rowOff>229393</xdr:rowOff>
    </xdr:to>
    <xdr:cxnSp macro="">
      <xdr:nvCxnSpPr>
        <xdr:cNvPr id="1516" name="Match87">
          <a:extLst>
            <a:ext uri="{FF2B5EF4-FFF2-40B4-BE49-F238E27FC236}">
              <a16:creationId xmlns:a16="http://schemas.microsoft.com/office/drawing/2014/main" id="{48862A93-E40D-7E13-4B66-C38D6E1A23F9}"/>
            </a:ext>
          </a:extLst>
        </xdr:cNvPr>
        <xdr:cNvCxnSpPr/>
      </xdr:nvCxnSpPr>
      <xdr:spPr>
        <a:xfrm flipH="1">
          <a:off x="4501356" y="3444081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288131</xdr:colOff>
      <xdr:row>8</xdr:row>
      <xdr:rowOff>254794</xdr:rowOff>
    </xdr:from>
    <xdr:to>
      <xdr:col>11</xdr:col>
      <xdr:colOff>288131</xdr:colOff>
      <xdr:row>9</xdr:row>
      <xdr:rowOff>254793</xdr:rowOff>
    </xdr:to>
    <xdr:cxnSp macro="">
      <xdr:nvCxnSpPr>
        <xdr:cNvPr id="1517" name="Match88">
          <a:extLst>
            <a:ext uri="{FF2B5EF4-FFF2-40B4-BE49-F238E27FC236}">
              <a16:creationId xmlns:a16="http://schemas.microsoft.com/office/drawing/2014/main" id="{271901CD-D483-5E20-95AC-C7FE001C1E0C}"/>
            </a:ext>
          </a:extLst>
        </xdr:cNvPr>
        <xdr:cNvCxnSpPr/>
      </xdr:nvCxnSpPr>
      <xdr:spPr>
        <a:xfrm flipV="1">
          <a:off x="4950619" y="3112294"/>
          <a:ext cx="0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10</xdr:row>
      <xdr:rowOff>203994</xdr:rowOff>
    </xdr:from>
    <xdr:to>
      <xdr:col>11</xdr:col>
      <xdr:colOff>237331</xdr:colOff>
      <xdr:row>11</xdr:row>
      <xdr:rowOff>203993</xdr:rowOff>
    </xdr:to>
    <xdr:cxnSp macro="">
      <xdr:nvCxnSpPr>
        <xdr:cNvPr id="1518" name="Match89">
          <a:extLst>
            <a:ext uri="{FF2B5EF4-FFF2-40B4-BE49-F238E27FC236}">
              <a16:creationId xmlns:a16="http://schemas.microsoft.com/office/drawing/2014/main" id="{46A78D8C-846B-F6C4-EE0C-F3058453D411}"/>
            </a:ext>
          </a:extLst>
        </xdr:cNvPr>
        <xdr:cNvCxnSpPr/>
      </xdr:nvCxnSpPr>
      <xdr:spPr>
        <a:xfrm flipH="1">
          <a:off x="4475956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9</xdr:row>
      <xdr:rowOff>229393</xdr:rowOff>
    </xdr:from>
    <xdr:to>
      <xdr:col>11</xdr:col>
      <xdr:colOff>262731</xdr:colOff>
      <xdr:row>10</xdr:row>
      <xdr:rowOff>229394</xdr:rowOff>
    </xdr:to>
    <xdr:cxnSp macro="">
      <xdr:nvCxnSpPr>
        <xdr:cNvPr id="1519" name="Match90">
          <a:extLst>
            <a:ext uri="{FF2B5EF4-FFF2-40B4-BE49-F238E27FC236}">
              <a16:creationId xmlns:a16="http://schemas.microsoft.com/office/drawing/2014/main" id="{1BD2B402-5B37-9D97-C940-CCAFA0A30884}"/>
            </a:ext>
          </a:extLst>
        </xdr:cNvPr>
        <xdr:cNvCxnSpPr/>
      </xdr:nvCxnSpPr>
      <xdr:spPr>
        <a:xfrm flipH="1" flipV="1">
          <a:off x="4501356" y="34440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288131</xdr:colOff>
      <xdr:row>9</xdr:row>
      <xdr:rowOff>254793</xdr:rowOff>
    </xdr:from>
    <xdr:to>
      <xdr:col>11</xdr:col>
      <xdr:colOff>288131</xdr:colOff>
      <xdr:row>10</xdr:row>
      <xdr:rowOff>254794</xdr:rowOff>
    </xdr:to>
    <xdr:cxnSp macro="">
      <xdr:nvCxnSpPr>
        <xdr:cNvPr id="1520" name="Match91">
          <a:extLst>
            <a:ext uri="{FF2B5EF4-FFF2-40B4-BE49-F238E27FC236}">
              <a16:creationId xmlns:a16="http://schemas.microsoft.com/office/drawing/2014/main" id="{38EC5B14-B00D-1699-6BF4-0B2A9A4B3CE0}"/>
            </a:ext>
          </a:extLst>
        </xdr:cNvPr>
        <xdr:cNvCxnSpPr/>
      </xdr:nvCxnSpPr>
      <xdr:spPr>
        <a:xfrm flipV="1">
          <a:off x="4950619" y="3469481"/>
          <a:ext cx="0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11</xdr:row>
      <xdr:rowOff>203993</xdr:rowOff>
    </xdr:from>
    <xdr:to>
      <xdr:col>10</xdr:col>
      <xdr:colOff>237331</xdr:colOff>
      <xdr:row>11</xdr:row>
      <xdr:rowOff>203993</xdr:rowOff>
    </xdr:to>
    <xdr:cxnSp macro="">
      <xdr:nvCxnSpPr>
        <xdr:cNvPr id="1521" name="Match92">
          <a:extLst>
            <a:ext uri="{FF2B5EF4-FFF2-40B4-BE49-F238E27FC236}">
              <a16:creationId xmlns:a16="http://schemas.microsoft.com/office/drawing/2014/main" id="{B5C6ED28-161D-4D06-CE3E-268FE01CE611}"/>
            </a:ext>
          </a:extLst>
        </xdr:cNvPr>
        <xdr:cNvCxnSpPr/>
      </xdr:nvCxnSpPr>
      <xdr:spPr>
        <a:xfrm>
          <a:off x="4052094" y="413305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11</xdr:row>
      <xdr:rowOff>203993</xdr:rowOff>
    </xdr:from>
    <xdr:to>
      <xdr:col>10</xdr:col>
      <xdr:colOff>237331</xdr:colOff>
      <xdr:row>11</xdr:row>
      <xdr:rowOff>203993</xdr:rowOff>
    </xdr:to>
    <xdr:cxnSp macro="">
      <xdr:nvCxnSpPr>
        <xdr:cNvPr id="1522" name="Match93">
          <a:extLst>
            <a:ext uri="{FF2B5EF4-FFF2-40B4-BE49-F238E27FC236}">
              <a16:creationId xmlns:a16="http://schemas.microsoft.com/office/drawing/2014/main" id="{A8FE807C-0052-BFE6-8F8D-51479624CA49}"/>
            </a:ext>
          </a:extLst>
        </xdr:cNvPr>
        <xdr:cNvCxnSpPr/>
      </xdr:nvCxnSpPr>
      <xdr:spPr>
        <a:xfrm flipH="1">
          <a:off x="4052094" y="413305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10</xdr:row>
      <xdr:rowOff>229394</xdr:rowOff>
    </xdr:from>
    <xdr:to>
      <xdr:col>11</xdr:col>
      <xdr:colOff>262731</xdr:colOff>
      <xdr:row>11</xdr:row>
      <xdr:rowOff>229393</xdr:rowOff>
    </xdr:to>
    <xdr:cxnSp macro="">
      <xdr:nvCxnSpPr>
        <xdr:cNvPr id="1523" name="Match94">
          <a:extLst>
            <a:ext uri="{FF2B5EF4-FFF2-40B4-BE49-F238E27FC236}">
              <a16:creationId xmlns:a16="http://schemas.microsoft.com/office/drawing/2014/main" id="{A3444835-AB4D-22A3-6AED-8B8202EA6231}"/>
            </a:ext>
          </a:extLst>
        </xdr:cNvPr>
        <xdr:cNvCxnSpPr/>
      </xdr:nvCxnSpPr>
      <xdr:spPr>
        <a:xfrm flipV="1">
          <a:off x="4501356" y="38012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9</xdr:col>
      <xdr:colOff>211931</xdr:colOff>
      <xdr:row>0</xdr:row>
      <xdr:rowOff>178594</xdr:rowOff>
    </xdr:to>
    <xdr:cxnSp macro="">
      <xdr:nvCxnSpPr>
        <xdr:cNvPr id="1524" name="Match95">
          <a:extLst>
            <a:ext uri="{FF2B5EF4-FFF2-40B4-BE49-F238E27FC236}">
              <a16:creationId xmlns:a16="http://schemas.microsoft.com/office/drawing/2014/main" id="{6E5115CF-B407-1D48-F069-4B4DC7BD6630}"/>
            </a:ext>
          </a:extLst>
        </xdr:cNvPr>
        <xdr:cNvCxnSpPr/>
      </xdr:nvCxnSpPr>
      <xdr:spPr>
        <a:xfrm flipH="1">
          <a:off x="2331244" y="1785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525" name="Match96">
          <a:extLst>
            <a:ext uri="{FF2B5EF4-FFF2-40B4-BE49-F238E27FC236}">
              <a16:creationId xmlns:a16="http://schemas.microsoft.com/office/drawing/2014/main" id="{EFBDA602-9A24-4919-015D-B5F0BA8CB43E}"/>
            </a:ext>
          </a:extLst>
        </xdr:cNvPr>
        <xdr:cNvCxnSpPr/>
      </xdr:nvCxnSpPr>
      <xdr:spPr>
        <a:xfrm flipV="1">
          <a:off x="635794" y="89296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526" name="Match97">
          <a:extLst>
            <a:ext uri="{FF2B5EF4-FFF2-40B4-BE49-F238E27FC236}">
              <a16:creationId xmlns:a16="http://schemas.microsoft.com/office/drawing/2014/main" id="{36A1582E-B34D-2646-934B-54E37C21B0A4}"/>
            </a:ext>
          </a:extLst>
        </xdr:cNvPr>
        <xdr:cNvCxnSpPr/>
      </xdr:nvCxnSpPr>
      <xdr:spPr>
        <a:xfrm flipV="1">
          <a:off x="3602831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527" name="Match98">
          <a:extLst>
            <a:ext uri="{FF2B5EF4-FFF2-40B4-BE49-F238E27FC236}">
              <a16:creationId xmlns:a16="http://schemas.microsoft.com/office/drawing/2014/main" id="{011D3698-E6E1-985E-39F3-2987F13C59C1}"/>
            </a:ext>
          </a:extLst>
        </xdr:cNvPr>
        <xdr:cNvCxnSpPr/>
      </xdr:nvCxnSpPr>
      <xdr:spPr>
        <a:xfrm flipH="1" flipV="1">
          <a:off x="635794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2FC1929-566E-9962-056B-EE2EDC01E6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B3" sqref="B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1</v>
      </c>
      <c r="B1" s="27">
        <v>4</v>
      </c>
      <c r="C1" s="22">
        <v>3</v>
      </c>
      <c r="D1" s="22">
        <v>1</v>
      </c>
      <c r="E1" s="27">
        <v>4</v>
      </c>
      <c r="F1" s="23">
        <v>6</v>
      </c>
      <c r="G1" s="23">
        <v>8</v>
      </c>
      <c r="H1" s="23">
        <v>6</v>
      </c>
      <c r="I1" s="23">
        <v>4</v>
      </c>
      <c r="J1" s="23">
        <v>2</v>
      </c>
      <c r="K1" s="27">
        <v>1</v>
      </c>
      <c r="L1" s="27">
        <v>2</v>
      </c>
      <c r="N1" s="2">
        <v>2493</v>
      </c>
      <c r="O1" s="1">
        <v>2</v>
      </c>
    </row>
    <row r="2" spans="1:15" s="2" customFormat="1" ht="28.25" customHeight="1">
      <c r="A2" s="22">
        <v>7</v>
      </c>
      <c r="B2" s="22">
        <v>2</v>
      </c>
      <c r="C2" s="22">
        <v>7</v>
      </c>
      <c r="D2" s="23">
        <v>5</v>
      </c>
      <c r="E2" s="23">
        <v>1</v>
      </c>
      <c r="F2" s="23">
        <v>6</v>
      </c>
      <c r="G2" s="23">
        <v>6</v>
      </c>
      <c r="H2" s="22">
        <v>7</v>
      </c>
      <c r="I2" s="27">
        <v>8</v>
      </c>
      <c r="J2" s="22">
        <v>3</v>
      </c>
      <c r="K2" s="27">
        <v>8</v>
      </c>
      <c r="L2" s="27">
        <v>8</v>
      </c>
      <c r="N2" s="2">
        <v>34533</v>
      </c>
      <c r="O2" s="2">
        <v>1</v>
      </c>
    </row>
    <row r="3" spans="1:15" ht="28.25" customHeight="1">
      <c r="A3" s="22">
        <v>1</v>
      </c>
      <c r="B3" s="23">
        <v>7</v>
      </c>
      <c r="C3" s="27">
        <v>8</v>
      </c>
      <c r="D3" s="22">
        <v>2</v>
      </c>
      <c r="E3" s="27">
        <v>5</v>
      </c>
      <c r="F3" s="23">
        <v>9</v>
      </c>
      <c r="G3" s="23">
        <v>8</v>
      </c>
      <c r="H3" s="23">
        <v>1</v>
      </c>
      <c r="I3" s="23">
        <v>3</v>
      </c>
      <c r="J3" s="23">
        <v>9</v>
      </c>
      <c r="K3" s="23">
        <v>5</v>
      </c>
      <c r="L3" s="27">
        <v>6</v>
      </c>
      <c r="N3" s="2">
        <v>1487449</v>
      </c>
      <c r="O3" s="1">
        <v>1</v>
      </c>
    </row>
    <row r="4" spans="1:15" ht="28.25" customHeight="1">
      <c r="A4" s="22">
        <v>2</v>
      </c>
      <c r="B4" s="23">
        <v>1</v>
      </c>
      <c r="C4" s="23">
        <v>3</v>
      </c>
      <c r="D4" s="23">
        <v>1</v>
      </c>
      <c r="E4" s="23">
        <v>4</v>
      </c>
      <c r="F4" s="23">
        <v>8</v>
      </c>
      <c r="G4" s="23">
        <v>7</v>
      </c>
      <c r="H4" s="23">
        <v>4</v>
      </c>
      <c r="I4" s="23">
        <v>4</v>
      </c>
      <c r="J4" s="23">
        <v>9</v>
      </c>
      <c r="K4" s="22">
        <v>2</v>
      </c>
      <c r="L4" s="22">
        <v>3</v>
      </c>
      <c r="N4" s="2">
        <v>593189</v>
      </c>
      <c r="O4" s="1">
        <v>1</v>
      </c>
    </row>
    <row r="5" spans="1:15" ht="28.25" customHeight="1">
      <c r="A5" s="22">
        <v>3</v>
      </c>
      <c r="B5" s="23">
        <v>7</v>
      </c>
      <c r="C5" s="23">
        <v>3</v>
      </c>
      <c r="D5" s="27">
        <v>6</v>
      </c>
      <c r="E5" s="27">
        <v>6</v>
      </c>
      <c r="F5" s="23">
        <v>7</v>
      </c>
      <c r="G5" s="22">
        <v>3</v>
      </c>
      <c r="H5" s="27">
        <v>6</v>
      </c>
      <c r="I5" s="22">
        <v>8</v>
      </c>
      <c r="J5" s="27">
        <v>5</v>
      </c>
      <c r="K5" s="23">
        <v>3</v>
      </c>
      <c r="L5" s="27">
        <v>5</v>
      </c>
      <c r="N5" s="2">
        <v>6814618</v>
      </c>
      <c r="O5" s="1">
        <v>1</v>
      </c>
    </row>
    <row r="6" spans="1:15" ht="28.25" customHeight="1">
      <c r="A6" s="22">
        <v>2</v>
      </c>
      <c r="B6" s="23">
        <v>9</v>
      </c>
      <c r="C6" s="23">
        <v>5</v>
      </c>
      <c r="D6" s="22">
        <v>7</v>
      </c>
      <c r="E6" s="23">
        <v>2</v>
      </c>
      <c r="F6" s="22">
        <v>1</v>
      </c>
      <c r="G6" s="23">
        <v>8</v>
      </c>
      <c r="H6" s="27">
        <v>6</v>
      </c>
      <c r="I6" s="22">
        <v>2</v>
      </c>
      <c r="J6" s="27">
        <v>9</v>
      </c>
      <c r="K6" s="22">
        <v>3</v>
      </c>
      <c r="L6" s="23">
        <v>2</v>
      </c>
      <c r="N6" s="2">
        <v>227</v>
      </c>
      <c r="O6" s="1">
        <v>3</v>
      </c>
    </row>
    <row r="7" spans="1:15" ht="28.25" customHeight="1">
      <c r="A7" s="27">
        <v>5</v>
      </c>
      <c r="B7" s="23">
        <v>4</v>
      </c>
      <c r="C7" s="23">
        <v>4</v>
      </c>
      <c r="D7" s="23">
        <v>2</v>
      </c>
      <c r="E7" s="22">
        <v>1</v>
      </c>
      <c r="F7" s="23">
        <v>1</v>
      </c>
      <c r="G7" s="23">
        <v>2</v>
      </c>
      <c r="H7" s="27">
        <v>4</v>
      </c>
      <c r="I7" s="22">
        <v>7</v>
      </c>
      <c r="J7" s="23">
        <v>9</v>
      </c>
      <c r="K7" s="22">
        <v>3</v>
      </c>
      <c r="L7" s="27">
        <v>5</v>
      </c>
      <c r="N7" s="2">
        <v>32</v>
      </c>
      <c r="O7" s="1">
        <v>18</v>
      </c>
    </row>
    <row r="8" spans="1:15" ht="28.25" customHeight="1">
      <c r="A8" s="27">
        <v>2</v>
      </c>
      <c r="B8" s="22">
        <v>1</v>
      </c>
      <c r="C8" s="23">
        <v>3</v>
      </c>
      <c r="D8" s="22">
        <v>2</v>
      </c>
      <c r="E8" s="23">
        <v>6</v>
      </c>
      <c r="F8" s="27">
        <v>9</v>
      </c>
      <c r="G8" s="23">
        <v>4</v>
      </c>
      <c r="H8" s="27">
        <v>6</v>
      </c>
      <c r="I8" s="23">
        <v>8</v>
      </c>
      <c r="J8" s="22">
        <v>2</v>
      </c>
      <c r="K8" s="22">
        <v>3</v>
      </c>
      <c r="L8" s="22">
        <v>2</v>
      </c>
      <c r="N8" s="2">
        <v>6615</v>
      </c>
      <c r="O8" s="1">
        <v>1</v>
      </c>
    </row>
    <row r="9" spans="1:15" ht="28.25" customHeight="1">
      <c r="A9" s="27">
        <v>6</v>
      </c>
      <c r="B9" s="22">
        <v>1</v>
      </c>
      <c r="C9" s="22">
        <v>1</v>
      </c>
      <c r="D9" s="23">
        <v>4</v>
      </c>
      <c r="E9" s="22">
        <v>1</v>
      </c>
      <c r="F9" s="22">
        <v>1</v>
      </c>
      <c r="G9" s="23">
        <v>9</v>
      </c>
      <c r="H9" s="23">
        <v>9</v>
      </c>
      <c r="I9" s="27">
        <v>6</v>
      </c>
      <c r="J9" s="23">
        <v>1</v>
      </c>
      <c r="K9" s="23">
        <v>1</v>
      </c>
      <c r="L9" s="22">
        <v>7</v>
      </c>
      <c r="N9" s="2">
        <v>989</v>
      </c>
      <c r="O9" s="1">
        <v>2</v>
      </c>
    </row>
    <row r="10" spans="1:15" ht="28.25" customHeight="1">
      <c r="A10" s="27">
        <v>5</v>
      </c>
      <c r="B10" s="23">
        <v>8</v>
      </c>
      <c r="C10" s="23">
        <v>1</v>
      </c>
      <c r="D10" s="22">
        <v>3</v>
      </c>
      <c r="E10" s="23">
        <v>3</v>
      </c>
      <c r="F10" s="23">
        <v>7</v>
      </c>
      <c r="G10" s="23">
        <v>3</v>
      </c>
      <c r="H10" s="27">
        <v>6</v>
      </c>
      <c r="I10" s="27">
        <v>4</v>
      </c>
      <c r="J10" s="22">
        <v>1</v>
      </c>
      <c r="K10" s="23">
        <v>7</v>
      </c>
      <c r="L10" s="23">
        <v>7</v>
      </c>
      <c r="N10" s="2">
        <v>73</v>
      </c>
      <c r="O10" s="1">
        <v>17</v>
      </c>
    </row>
    <row r="11" spans="1:15" ht="28.25" customHeight="1">
      <c r="A11" s="27">
        <v>4</v>
      </c>
      <c r="B11" s="23">
        <v>8</v>
      </c>
      <c r="C11" s="23">
        <v>2</v>
      </c>
      <c r="D11" s="27">
        <v>5</v>
      </c>
      <c r="E11" s="27">
        <v>6</v>
      </c>
      <c r="F11" s="27">
        <v>5</v>
      </c>
      <c r="G11" s="27">
        <v>4</v>
      </c>
      <c r="H11" s="22">
        <v>2</v>
      </c>
      <c r="I11" s="27">
        <v>5</v>
      </c>
      <c r="J11" s="27">
        <v>5</v>
      </c>
      <c r="K11" s="22">
        <v>3</v>
      </c>
      <c r="L11" s="22">
        <v>7</v>
      </c>
      <c r="N11" s="2">
        <v>11</v>
      </c>
      <c r="O11" s="1">
        <v>28</v>
      </c>
    </row>
    <row r="12" spans="1:15" ht="28.25" customHeight="1">
      <c r="A12" s="23">
        <v>6</v>
      </c>
      <c r="B12" s="27">
        <v>5</v>
      </c>
      <c r="C12" s="27">
        <v>6</v>
      </c>
      <c r="D12" s="23">
        <v>7</v>
      </c>
      <c r="E12" s="27">
        <v>6</v>
      </c>
      <c r="F12" s="27">
        <v>1</v>
      </c>
      <c r="G12" s="27">
        <v>2</v>
      </c>
      <c r="H12" s="22">
        <v>2</v>
      </c>
      <c r="I12" s="22">
        <v>2</v>
      </c>
      <c r="J12" s="22">
        <v>7</v>
      </c>
      <c r="K12" s="22">
        <v>7</v>
      </c>
      <c r="L12" s="27">
        <v>9</v>
      </c>
      <c r="N12" s="2">
        <v>77</v>
      </c>
      <c r="O12" s="1">
        <v>20</v>
      </c>
    </row>
    <row r="13" spans="1:15" ht="28.25" customHeight="1">
      <c r="N13" s="2">
        <v>24686</v>
      </c>
      <c r="O13" s="1">
        <v>1</v>
      </c>
    </row>
    <row r="14" spans="1:15" ht="28.25" customHeight="1">
      <c r="N14" s="2">
        <v>49717</v>
      </c>
      <c r="O14" s="1">
        <v>1</v>
      </c>
    </row>
    <row r="15" spans="1:15" ht="28.25" customHeight="1">
      <c r="N15" s="2">
        <v>728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64"/>
  <sheetViews>
    <sheetView tabSelected="1" zoomScaleNormal="100" workbookViewId="0">
      <pane ySplit="2" topLeftCell="A160" activePane="bottomLeft" state="frozen"/>
      <selection pane="bottomLeft" activeCell="A164" sqref="A16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179</v>
      </c>
      <c r="L2" s="4" t="s">
        <v>163</v>
      </c>
      <c r="M2" s="4" t="s">
        <v>251</v>
      </c>
      <c r="N2" s="4" t="s">
        <v>178</v>
      </c>
      <c r="O2" s="4" t="s">
        <v>180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IF(A18&lt;DATEVALUE("2025/11/20")+TIMEVALUE("6:00"),1,IF(B18-SUM(D18:F18)&lt;&gt;60,0,MAX(2-INT(G18*24*60/10),0)))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IF(A19&lt;DATEVALUE("2025/11/20")+TIMEVALUE("6:00"),1,IF(B19-SUM(D19:F19)&lt;&gt;60,0,MAX(2-INT(G19*24*60/10),0)))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181</v>
      </c>
      <c r="I64" t="s">
        <v>182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183</v>
      </c>
      <c r="I65" t="s">
        <v>184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185</v>
      </c>
      <c r="I66" t="s">
        <v>186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187</v>
      </c>
      <c r="I67" t="s">
        <v>188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189</v>
      </c>
      <c r="I68" t="s">
        <v>190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191</v>
      </c>
      <c r="I69" t="s">
        <v>192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193</v>
      </c>
      <c r="I70" t="s">
        <v>194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195</v>
      </c>
      <c r="I71" t="s">
        <v>196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197</v>
      </c>
      <c r="I72" t="s">
        <v>198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199</v>
      </c>
      <c r="I73" t="s">
        <v>200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201</v>
      </c>
      <c r="I74" t="s">
        <v>202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203</v>
      </c>
      <c r="I75" t="s">
        <v>204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205</v>
      </c>
      <c r="I76" t="s">
        <v>206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207</v>
      </c>
      <c r="I77" t="s">
        <v>208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209</v>
      </c>
      <c r="I78" t="s">
        <v>210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211</v>
      </c>
      <c r="I79" t="s">
        <v>212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213</v>
      </c>
      <c r="I80" t="s">
        <v>214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217</v>
      </c>
      <c r="I81" t="s">
        <v>218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215</v>
      </c>
      <c r="I82" t="s">
        <v>216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219</v>
      </c>
      <c r="I83" t="s">
        <v>220</v>
      </c>
      <c r="J83">
        <v>0</v>
      </c>
      <c r="K83">
        <f t="shared" ref="K83:K98" si="8">IF(A83&lt;DATEVALUE("2025/11/20")+TIMEVALUE("6:00"),1,IF(B83-SUM(D83:F83)&lt;&gt;60,0,MAX(2-INT(G83*24*60/10),0)))</f>
        <v>1</v>
      </c>
      <c r="L83">
        <f t="shared" ref="L83:L98" si="9">L82+K83</f>
        <v>66</v>
      </c>
      <c r="M83">
        <f t="shared" ref="M83:M98" si="10">2+IF(A83&gt;=DATEVALUE("2025/11/30")+TIMEVALUE("6:00"),1,0)+IF(A83&gt;=DATEVALUE("2025/12/11")+TIMEVALUE("6:00"),1,0)</f>
        <v>3</v>
      </c>
      <c r="N83">
        <f t="shared" ref="N83:N98" si="11">N82+M83*(INT(A83-6/24)-INT(A82-6/24))+O83</f>
        <v>67</v>
      </c>
      <c r="O83">
        <f t="shared" ref="O83:O98" si="12">IF(A83&gt;=DATEVALUE("2025/11/8")+TIMEVALUE("6:00"),1,0)-IF(A82&gt;=DATEVALUE("2025/11/8")+TIMEVALUE("6:00"),1,0)</f>
        <v>0</v>
      </c>
      <c r="P83" t="str">
        <f t="shared" ref="P83:P98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221</v>
      </c>
      <c r="I84" t="s">
        <v>222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223</v>
      </c>
      <c r="I85" t="s">
        <v>224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225</v>
      </c>
      <c r="I86" t="s">
        <v>226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227</v>
      </c>
      <c r="I87" t="s">
        <v>228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229</v>
      </c>
      <c r="I88" t="s">
        <v>230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231</v>
      </c>
      <c r="I89" t="s">
        <v>232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233</v>
      </c>
      <c r="I90" t="s">
        <v>234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235</v>
      </c>
      <c r="I91" t="s">
        <v>236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237</v>
      </c>
      <c r="I92" t="s">
        <v>238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239</v>
      </c>
      <c r="I93" t="s">
        <v>240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241</v>
      </c>
      <c r="I94" t="s">
        <v>242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243</v>
      </c>
      <c r="I95" t="s">
        <v>244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245</v>
      </c>
      <c r="I96" t="s">
        <v>246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247</v>
      </c>
      <c r="I97" t="s">
        <v>248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249</v>
      </c>
      <c r="I98" t="s">
        <v>250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252</v>
      </c>
      <c r="I99" t="s">
        <v>253</v>
      </c>
      <c r="J99">
        <v>0</v>
      </c>
      <c r="K99">
        <f t="shared" ref="K99" si="14">IF(A99&lt;DATEVALUE("2025/11/20")+TIMEVALUE("6:00"),1,IF(B99-SUM(D99:F99)&lt;&gt;60,0,MAX(2-INT(G99*24*60/10),0)))</f>
        <v>1</v>
      </c>
      <c r="L99">
        <f t="shared" ref="L99" si="15">L98+K99</f>
        <v>89</v>
      </c>
      <c r="M99">
        <f t="shared" ref="M99" si="16">2+IF(A99&gt;=DATEVALUE("2025/11/30")+TIMEVALUE("6:00"),1,0)+IF(A99&gt;=DATEVALUE("2025/12/11")+TIMEVALUE("6:00"),1,0)</f>
        <v>4</v>
      </c>
      <c r="N99">
        <f t="shared" ref="N99" si="17">N98+M99*(INT(A99-6/24)-INT(A98-6/24))+O99</f>
        <v>92</v>
      </c>
      <c r="O99">
        <f t="shared" ref="O99" si="18">IF(A99&gt;=DATEVALUE("2025/11/8")+TIMEVALUE("6:00"),1,0)-IF(A98&gt;=DATEVALUE("2025/11/8")+TIMEVALUE("6:00"),1,0)</f>
        <v>0</v>
      </c>
      <c r="P99" t="str">
        <f t="shared" ref="P99" si="19">IF(L99&lt;N99,"未達成（"&amp;N99-L99&amp;"）",IF(L99=N99,"達成","前倒し（"&amp;L99-N99&amp;"）"))</f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254</v>
      </c>
      <c r="I100" t="s">
        <v>255</v>
      </c>
      <c r="J100">
        <v>0</v>
      </c>
      <c r="K100">
        <f t="shared" ref="K100" si="20">IF(A100&lt;DATEVALUE("2025/11/20")+TIMEVALUE("6:00"),1,IF(B100-SUM(D100:F100)&lt;&gt;60,0,MAX(2-INT(G100*24*60/10),0)))</f>
        <v>0</v>
      </c>
      <c r="L100">
        <f t="shared" ref="L100" si="21">L99+K100</f>
        <v>89</v>
      </c>
      <c r="M100">
        <f t="shared" ref="M100" si="22">2+IF(A100&gt;=DATEVALUE("2025/11/30")+TIMEVALUE("6:00"),1,0)+IF(A100&gt;=DATEVALUE("2025/12/11")+TIMEVALUE("6:00"),1,0)</f>
        <v>4</v>
      </c>
      <c r="N100">
        <f t="shared" ref="N100" si="23">N99+M100*(INT(A100-6/24)-INT(A99-6/24))+O100</f>
        <v>92</v>
      </c>
      <c r="O100">
        <f t="shared" ref="O100" si="24">IF(A100&gt;=DATEVALUE("2025/11/8")+TIMEVALUE("6:00"),1,0)-IF(A99&gt;=DATEVALUE("2025/11/8")+TIMEVALUE("6:00"),1,0)</f>
        <v>0</v>
      </c>
      <c r="P100" t="str">
        <f t="shared" ref="P100" si="25">IF(L100&lt;N100,"未達成（"&amp;N100-L100&amp;"）",IF(L100=N100,"達成","前倒し（"&amp;L100-N100&amp;"）"))</f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256</v>
      </c>
      <c r="I101" t="s">
        <v>257</v>
      </c>
      <c r="J101">
        <v>0</v>
      </c>
      <c r="K101">
        <f t="shared" ref="K101" si="26">IF(A101&lt;DATEVALUE("2025/11/20")+TIMEVALUE("6:00"),1,IF(B101-SUM(D101:F101)&lt;&gt;60,0,MAX(2-INT(G101*24*60/10),0)))</f>
        <v>1</v>
      </c>
      <c r="L101">
        <f t="shared" ref="L101" si="27">L100+K101</f>
        <v>90</v>
      </c>
      <c r="M101">
        <f t="shared" ref="M101" si="28">2+IF(A101&gt;=DATEVALUE("2025/11/30")+TIMEVALUE("6:00"),1,0)+IF(A101&gt;=DATEVALUE("2025/12/11")+TIMEVALUE("6:00"),1,0)</f>
        <v>4</v>
      </c>
      <c r="N101">
        <f t="shared" ref="N101" si="29">N100+M101*(INT(A101-6/24)-INT(A100-6/24))+O101</f>
        <v>92</v>
      </c>
      <c r="O101">
        <f t="shared" ref="O101" si="30">IF(A101&gt;=DATEVALUE("2025/11/8")+TIMEVALUE("6:00"),1,0)-IF(A100&gt;=DATEVALUE("2025/11/8")+TIMEVALUE("6:00"),1,0)</f>
        <v>0</v>
      </c>
      <c r="P101" t="str">
        <f t="shared" ref="P101" si="31">IF(L101&lt;N101,"未達成（"&amp;N101-L101&amp;"）",IF(L101=N101,"達成","前倒し（"&amp;L101-N101&amp;"）"))</f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258</v>
      </c>
      <c r="I102" t="s">
        <v>259</v>
      </c>
      <c r="J102">
        <v>0</v>
      </c>
      <c r="K102">
        <f t="shared" ref="K102" si="32">IF(A102&lt;DATEVALUE("2025/11/20")+TIMEVALUE("6:00"),1,IF(B102-SUM(D102:F102)&lt;&gt;60,0,MAX(2-INT(G102*24*60/10),0)))</f>
        <v>1</v>
      </c>
      <c r="L102">
        <f t="shared" ref="L102" si="33">L101+K102</f>
        <v>91</v>
      </c>
      <c r="M102">
        <f t="shared" ref="M102" si="34">2+IF(A102&gt;=DATEVALUE("2025/11/30")+TIMEVALUE("6:00"),1,0)+IF(A102&gt;=DATEVALUE("2025/12/11")+TIMEVALUE("6:00"),1,0)</f>
        <v>4</v>
      </c>
      <c r="N102">
        <f t="shared" ref="N102" si="35">N101+M102*(INT(A102-6/24)-INT(A101-6/24))+O102</f>
        <v>92</v>
      </c>
      <c r="O102">
        <f t="shared" ref="O102" si="36">IF(A102&gt;=DATEVALUE("2025/11/8")+TIMEVALUE("6:00"),1,0)-IF(A101&gt;=DATEVALUE("2025/11/8")+TIMEVALUE("6:00"),1,0)</f>
        <v>0</v>
      </c>
      <c r="P102" t="str">
        <f t="shared" ref="P102" si="37">IF(L102&lt;N102,"未達成（"&amp;N102-L102&amp;"）",IF(L102=N102,"達成","前倒し（"&amp;L102-N102&amp;"）"))</f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260</v>
      </c>
      <c r="I103" t="s">
        <v>261</v>
      </c>
      <c r="J103">
        <v>0</v>
      </c>
      <c r="K103">
        <f t="shared" ref="K103" si="38">IF(A103&lt;DATEVALUE("2025/11/20")+TIMEVALUE("6:00"),1,IF(B103-SUM(D103:F103)&lt;&gt;60,0,MAX(2-INT(G103*24*60/10),0)))</f>
        <v>1</v>
      </c>
      <c r="L103">
        <f t="shared" ref="L103" si="39">L102+K103</f>
        <v>92</v>
      </c>
      <c r="M103">
        <f t="shared" ref="M103" si="40">2+IF(A103&gt;=DATEVALUE("2025/11/30")+TIMEVALUE("6:00"),1,0)+IF(A103&gt;=DATEVALUE("2025/12/11")+TIMEVALUE("6:00"),1,0)</f>
        <v>4</v>
      </c>
      <c r="N103">
        <f t="shared" ref="N103" si="41">N102+M103*(INT(A103-6/24)-INT(A102-6/24))+O103</f>
        <v>92</v>
      </c>
      <c r="O103">
        <f t="shared" ref="O103" si="42">IF(A103&gt;=DATEVALUE("2025/11/8")+TIMEVALUE("6:00"),1,0)-IF(A102&gt;=DATEVALUE("2025/11/8")+TIMEVALUE("6:00"),1,0)</f>
        <v>0</v>
      </c>
      <c r="P103" t="str">
        <f t="shared" ref="P103" si="43">IF(L103&lt;N103,"未達成（"&amp;N103-L103&amp;"）",IF(L103=N103,"達成","前倒し（"&amp;L103-N103&amp;"）"))</f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262</v>
      </c>
      <c r="I104" t="s">
        <v>263</v>
      </c>
      <c r="J104">
        <v>0</v>
      </c>
      <c r="K104">
        <f t="shared" ref="K104" si="44">IF(A104&lt;DATEVALUE("2025/11/20")+TIMEVALUE("6:00"),1,IF(B104-SUM(D104:F104)&lt;&gt;60,0,MAX(2-INT(G104*24*60/10),0)))</f>
        <v>2</v>
      </c>
      <c r="L104">
        <f t="shared" ref="L104" si="45">L103+K104</f>
        <v>94</v>
      </c>
      <c r="M104">
        <f t="shared" ref="M104" si="46">2+IF(A104&gt;=DATEVALUE("2025/11/30")+TIMEVALUE("6:00"),1,0)+IF(A104&gt;=DATEVALUE("2025/12/11")+TIMEVALUE("6:00"),1,0)</f>
        <v>4</v>
      </c>
      <c r="N104">
        <f t="shared" ref="N104" si="47">N103+M104*(INT(A104-6/24)-INT(A103-6/24))+O104</f>
        <v>96</v>
      </c>
      <c r="O104">
        <f t="shared" ref="O104" si="48">IF(A104&gt;=DATEVALUE("2025/11/8")+TIMEVALUE("6:00"),1,0)-IF(A103&gt;=DATEVALUE("2025/11/8")+TIMEVALUE("6:00"),1,0)</f>
        <v>0</v>
      </c>
      <c r="P104" t="str">
        <f t="shared" ref="P104" si="49">IF(L104&lt;N104,"未達成（"&amp;N104-L104&amp;"）",IF(L104=N104,"達成","前倒し（"&amp;L104-N104&amp;"）"))</f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264</v>
      </c>
      <c r="I105" t="s">
        <v>265</v>
      </c>
      <c r="J105">
        <v>0</v>
      </c>
      <c r="K105">
        <f t="shared" ref="K105" si="50">IF(A105&lt;DATEVALUE("2025/11/20")+TIMEVALUE("6:00"),1,IF(B105-SUM(D105:F105)&lt;&gt;60,0,MAX(2-INT(G105*24*60/10),0)))</f>
        <v>1</v>
      </c>
      <c r="L105">
        <f t="shared" ref="L105" si="51">L104+K105</f>
        <v>95</v>
      </c>
      <c r="M105">
        <f t="shared" ref="M105" si="52">2+IF(A105&gt;=DATEVALUE("2025/11/30")+TIMEVALUE("6:00"),1,0)+IF(A105&gt;=DATEVALUE("2025/12/11")+TIMEVALUE("6:00"),1,0)</f>
        <v>4</v>
      </c>
      <c r="N105">
        <f t="shared" ref="N105" si="53">N104+M105*(INT(A105-6/24)-INT(A104-6/24))+O105</f>
        <v>96</v>
      </c>
      <c r="O105">
        <f t="shared" ref="O105" si="54">IF(A105&gt;=DATEVALUE("2025/11/8")+TIMEVALUE("6:00"),1,0)-IF(A104&gt;=DATEVALUE("2025/11/8")+TIMEVALUE("6:00"),1,0)</f>
        <v>0</v>
      </c>
      <c r="P105" t="str">
        <f t="shared" ref="P105" si="55">IF(L105&lt;N105,"未達成（"&amp;N105-L105&amp;"）",IF(L105=N105,"達成","前倒し（"&amp;L105-N105&amp;"）"))</f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266</v>
      </c>
      <c r="I106" t="s">
        <v>267</v>
      </c>
      <c r="J106">
        <v>0</v>
      </c>
      <c r="K106">
        <f t="shared" ref="K106" si="56">IF(A106&lt;DATEVALUE("2025/11/20")+TIMEVALUE("6:00"),1,IF(B106-SUM(D106:F106)&lt;&gt;60,0,MAX(2-INT(G106*24*60/10),0)))</f>
        <v>2</v>
      </c>
      <c r="L106">
        <f t="shared" ref="L106" si="57">L105+K106</f>
        <v>97</v>
      </c>
      <c r="M106">
        <f t="shared" ref="M106" si="58">2+IF(A106&gt;=DATEVALUE("2025/11/30")+TIMEVALUE("6:00"),1,0)+IF(A106&gt;=DATEVALUE("2025/12/11")+TIMEVALUE("6:00"),1,0)</f>
        <v>4</v>
      </c>
      <c r="N106">
        <f t="shared" ref="N106" si="59">N105+M106*(INT(A106-6/24)-INT(A105-6/24))+O106</f>
        <v>96</v>
      </c>
      <c r="O106">
        <f t="shared" ref="O106" si="60">IF(A106&gt;=DATEVALUE("2025/11/8")+TIMEVALUE("6:00"),1,0)-IF(A105&gt;=DATEVALUE("2025/11/8")+TIMEVALUE("6:00"),1,0)</f>
        <v>0</v>
      </c>
      <c r="P106" t="str">
        <f t="shared" ref="P106" si="61">IF(L106&lt;N106,"未達成（"&amp;N106-L106&amp;"）",IF(L106=N106,"達成","前倒し（"&amp;L106-N106&amp;"）"))</f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268</v>
      </c>
      <c r="I107" t="s">
        <v>269</v>
      </c>
      <c r="J107">
        <v>0</v>
      </c>
      <c r="K107">
        <f t="shared" ref="K107" si="62">IF(A107&lt;DATEVALUE("2025/11/20")+TIMEVALUE("6:00"),1,IF(B107-SUM(D107:F107)&lt;&gt;60,0,MAX(2-INT(G107*24*60/10),0)))</f>
        <v>1</v>
      </c>
      <c r="L107">
        <f t="shared" ref="L107" si="63">L106+K107</f>
        <v>98</v>
      </c>
      <c r="M107">
        <f t="shared" ref="M107" si="64">2+IF(A107&gt;=DATEVALUE("2025/11/30")+TIMEVALUE("6:00"),1,0)+IF(A107&gt;=DATEVALUE("2025/12/11")+TIMEVALUE("6:00"),1,0)</f>
        <v>4</v>
      </c>
      <c r="N107">
        <f t="shared" ref="N107" si="65">N106+M107*(INT(A107-6/24)-INT(A106-6/24))+O107</f>
        <v>100</v>
      </c>
      <c r="O107">
        <f t="shared" ref="O107" si="66">IF(A107&gt;=DATEVALUE("2025/11/8")+TIMEVALUE("6:00"),1,0)-IF(A106&gt;=DATEVALUE("2025/11/8")+TIMEVALUE("6:00"),1,0)</f>
        <v>0</v>
      </c>
      <c r="P107" t="str">
        <f t="shared" ref="P107" si="67">IF(L107&lt;N107,"未達成（"&amp;N107-L107&amp;"）",IF(L107=N107,"達成","前倒し（"&amp;L107-N107&amp;"）"))</f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270</v>
      </c>
      <c r="I108" t="s">
        <v>271</v>
      </c>
      <c r="J108">
        <v>0</v>
      </c>
      <c r="K108">
        <f t="shared" ref="K108" si="68">IF(A108&lt;DATEVALUE("2025/11/20")+TIMEVALUE("6:00"),1,IF(B108-SUM(D108:F108)&lt;&gt;60,0,MAX(2-INT(G108*24*60/10),0)))</f>
        <v>2</v>
      </c>
      <c r="L108">
        <f t="shared" ref="L108" si="69">L107+K108</f>
        <v>100</v>
      </c>
      <c r="M108">
        <f t="shared" ref="M108" si="70">2+IF(A108&gt;=DATEVALUE("2025/11/30")+TIMEVALUE("6:00"),1,0)+IF(A108&gt;=DATEVALUE("2025/12/11")+TIMEVALUE("6:00"),1,0)</f>
        <v>4</v>
      </c>
      <c r="N108">
        <f t="shared" ref="N108" si="71">N107+M108*(INT(A108-6/24)-INT(A107-6/24))+O108</f>
        <v>100</v>
      </c>
      <c r="O108">
        <f t="shared" ref="O108" si="72">IF(A108&gt;=DATEVALUE("2025/11/8")+TIMEVALUE("6:00"),1,0)-IF(A107&gt;=DATEVALUE("2025/11/8")+TIMEVALUE("6:00"),1,0)</f>
        <v>0</v>
      </c>
      <c r="P108" t="str">
        <f t="shared" ref="P108" si="73">IF(L108&lt;N108,"未達成（"&amp;N108-L108&amp;"）",IF(L108=N108,"達成","前倒し（"&amp;L108-N108&amp;"）"))</f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272</v>
      </c>
      <c r="I109" t="s">
        <v>273</v>
      </c>
      <c r="J109">
        <v>0</v>
      </c>
      <c r="K109">
        <f t="shared" ref="K109" si="74">IF(A109&lt;DATEVALUE("2025/11/20")+TIMEVALUE("6:00"),1,IF(B109-SUM(D109:F109)&lt;&gt;60,0,MAX(2-INT(G109*24*60/10),0)))</f>
        <v>1</v>
      </c>
      <c r="L109">
        <f t="shared" ref="L109" si="75">L108+K109</f>
        <v>101</v>
      </c>
      <c r="M109">
        <f t="shared" ref="M109" si="76">2+IF(A109&gt;=DATEVALUE("2025/11/30")+TIMEVALUE("6:00"),1,0)+IF(A109&gt;=DATEVALUE("2025/12/11")+TIMEVALUE("6:00"),1,0)</f>
        <v>4</v>
      </c>
      <c r="N109">
        <f t="shared" ref="N109" si="77">N108+M109*(INT(A109-6/24)-INT(A108-6/24))+O109</f>
        <v>104</v>
      </c>
      <c r="O109">
        <f t="shared" ref="O109" si="78">IF(A109&gt;=DATEVALUE("2025/11/8")+TIMEVALUE("6:00"),1,0)-IF(A108&gt;=DATEVALUE("2025/11/8")+TIMEVALUE("6:00"),1,0)</f>
        <v>0</v>
      </c>
      <c r="P109" t="str">
        <f t="shared" ref="P109" si="79">IF(L109&lt;N109,"未達成（"&amp;N109-L109&amp;"）",IF(L109=N109,"達成","前倒し（"&amp;L109-N109&amp;"）"))</f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274</v>
      </c>
      <c r="I110" t="s">
        <v>275</v>
      </c>
      <c r="J110">
        <v>0</v>
      </c>
      <c r="K110">
        <f t="shared" ref="K110" si="80">IF(A110&lt;DATEVALUE("2025/11/20")+TIMEVALUE("6:00"),1,IF(B110-SUM(D110:F110)&lt;&gt;60,0,MAX(2-INT(G110*24*60/10),0)))</f>
        <v>2</v>
      </c>
      <c r="L110">
        <f t="shared" ref="L110" si="81">L109+K110</f>
        <v>103</v>
      </c>
      <c r="M110">
        <f t="shared" ref="M110" si="82">2+IF(A110&gt;=DATEVALUE("2025/11/30")+TIMEVALUE("6:00"),1,0)+IF(A110&gt;=DATEVALUE("2025/12/11")+TIMEVALUE("6:00"),1,0)</f>
        <v>4</v>
      </c>
      <c r="N110">
        <f t="shared" ref="N110" si="83">N109+M110*(INT(A110-6/24)-INT(A109-6/24))+O110</f>
        <v>104</v>
      </c>
      <c r="O110">
        <f t="shared" ref="O110" si="84">IF(A110&gt;=DATEVALUE("2025/11/8")+TIMEVALUE("6:00"),1,0)-IF(A109&gt;=DATEVALUE("2025/11/8")+TIMEVALUE("6:00"),1,0)</f>
        <v>0</v>
      </c>
      <c r="P110" t="str">
        <f t="shared" ref="P110" si="85">IF(L110&lt;N110,"未達成（"&amp;N110-L110&amp;"）",IF(L110=N110,"達成","前倒し（"&amp;L110-N110&amp;"）"))</f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276</v>
      </c>
      <c r="I111" t="s">
        <v>277</v>
      </c>
      <c r="J111">
        <v>0</v>
      </c>
      <c r="K111">
        <f t="shared" ref="K111" si="86">IF(A111&lt;DATEVALUE("2025/11/20")+TIMEVALUE("6:00"),1,IF(B111-SUM(D111:F111)&lt;&gt;60,0,MAX(2-INT(G111*24*60/10),0)))</f>
        <v>2</v>
      </c>
      <c r="L111">
        <f t="shared" ref="L111" si="87">L110+K111</f>
        <v>105</v>
      </c>
      <c r="M111">
        <f t="shared" ref="M111" si="88">2+IF(A111&gt;=DATEVALUE("2025/11/30")+TIMEVALUE("6:00"),1,0)+IF(A111&gt;=DATEVALUE("2025/12/11")+TIMEVALUE("6:00"),1,0)</f>
        <v>4</v>
      </c>
      <c r="N111">
        <f t="shared" ref="N111" si="89">N110+M111*(INT(A111-6/24)-INT(A110-6/24))+O111</f>
        <v>104</v>
      </c>
      <c r="O111">
        <f t="shared" ref="O111" si="90">IF(A111&gt;=DATEVALUE("2025/11/8")+TIMEVALUE("6:00"),1,0)-IF(A110&gt;=DATEVALUE("2025/11/8")+TIMEVALUE("6:00"),1,0)</f>
        <v>0</v>
      </c>
      <c r="P111" t="str">
        <f t="shared" ref="P111" si="91">IF(L111&lt;N111,"未達成（"&amp;N111-L111&amp;"）",IF(L111=N111,"達成","前倒し（"&amp;L111-N111&amp;"）"))</f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278</v>
      </c>
      <c r="I112" t="s">
        <v>279</v>
      </c>
      <c r="J112">
        <v>0</v>
      </c>
      <c r="K112">
        <f t="shared" ref="K112" si="92">IF(A112&lt;DATEVALUE("2025/11/20")+TIMEVALUE("6:00"),1,IF(B112-SUM(D112:F112)&lt;&gt;60,0,MAX(2-INT(G112*24*60/10),0)))</f>
        <v>2</v>
      </c>
      <c r="L112">
        <f t="shared" ref="L112" si="93">L111+K112</f>
        <v>107</v>
      </c>
      <c r="M112">
        <f t="shared" ref="M112" si="94">2+IF(A112&gt;=DATEVALUE("2025/11/30")+TIMEVALUE("6:00"),1,0)+IF(A112&gt;=DATEVALUE("2025/12/11")+TIMEVALUE("6:00"),1,0)</f>
        <v>4</v>
      </c>
      <c r="N112">
        <f t="shared" ref="N112" si="95">N111+M112*(INT(A112-6/24)-INT(A111-6/24))+O112</f>
        <v>108</v>
      </c>
      <c r="O112">
        <f t="shared" ref="O112" si="96">IF(A112&gt;=DATEVALUE("2025/11/8")+TIMEVALUE("6:00"),1,0)-IF(A111&gt;=DATEVALUE("2025/11/8")+TIMEVALUE("6:00"),1,0)</f>
        <v>0</v>
      </c>
      <c r="P112" t="str">
        <f t="shared" ref="P112" si="97">IF(L112&lt;N112,"未達成（"&amp;N112-L112&amp;"）",IF(L112=N112,"達成","前倒し（"&amp;L112-N112&amp;"）"))</f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280</v>
      </c>
      <c r="I113" t="s">
        <v>281</v>
      </c>
      <c r="J113">
        <v>0</v>
      </c>
      <c r="K113">
        <f t="shared" ref="K113" si="98">IF(A113&lt;DATEVALUE("2025/11/20")+TIMEVALUE("6:00"),1,IF(B113-SUM(D113:F113)&lt;&gt;60,0,MAX(2-INT(G113*24*60/10),0)))</f>
        <v>1</v>
      </c>
      <c r="L113">
        <f t="shared" ref="L113" si="99">L112+K113</f>
        <v>108</v>
      </c>
      <c r="M113">
        <f t="shared" ref="M113" si="100">2+IF(A113&gt;=DATEVALUE("2025/11/30")+TIMEVALUE("6:00"),1,0)+IF(A113&gt;=DATEVALUE("2025/12/11")+TIMEVALUE("6:00"),1,0)</f>
        <v>4</v>
      </c>
      <c r="N113">
        <f t="shared" ref="N113" si="101">N112+M113*(INT(A113-6/24)-INT(A112-6/24))+O113</f>
        <v>108</v>
      </c>
      <c r="O113">
        <f t="shared" ref="O113" si="102">IF(A113&gt;=DATEVALUE("2025/11/8")+TIMEVALUE("6:00"),1,0)-IF(A112&gt;=DATEVALUE("2025/11/8")+TIMEVALUE("6:00"),1,0)</f>
        <v>0</v>
      </c>
      <c r="P113" t="str">
        <f t="shared" ref="P113" si="103">IF(L113&lt;N113,"未達成（"&amp;N113-L113&amp;"）",IF(L113=N113,"達成","前倒し（"&amp;L113-N113&amp;"）"))</f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282</v>
      </c>
      <c r="I114" t="s">
        <v>283</v>
      </c>
      <c r="J114">
        <v>0</v>
      </c>
      <c r="K114">
        <f t="shared" ref="K114" si="104">IF(A114&lt;DATEVALUE("2025/11/20")+TIMEVALUE("6:00"),1,IF(B114-SUM(D114:F114)&lt;&gt;60,0,MAX(2-INT(G114*24*60/10),0)))</f>
        <v>2</v>
      </c>
      <c r="L114">
        <f t="shared" ref="L114" si="105">L113+K114</f>
        <v>110</v>
      </c>
      <c r="M114">
        <f t="shared" ref="M114" si="106">2+IF(A114&gt;=DATEVALUE("2025/11/30")+TIMEVALUE("6:00"),1,0)+IF(A114&gt;=DATEVALUE("2025/12/11")+TIMEVALUE("6:00"),1,0)</f>
        <v>4</v>
      </c>
      <c r="N114">
        <f t="shared" ref="N114" si="107">N113+M114*(INT(A114-6/24)-INT(A113-6/24))+O114</f>
        <v>112</v>
      </c>
      <c r="O114">
        <f t="shared" ref="O114" si="108">IF(A114&gt;=DATEVALUE("2025/11/8")+TIMEVALUE("6:00"),1,0)-IF(A113&gt;=DATEVALUE("2025/11/8")+TIMEVALUE("6:00"),1,0)</f>
        <v>0</v>
      </c>
      <c r="P114" t="str">
        <f t="shared" ref="P114" si="109">IF(L114&lt;N114,"未達成（"&amp;N114-L114&amp;"）",IF(L114=N114,"達成","前倒し（"&amp;L114-N114&amp;"）"))</f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284</v>
      </c>
      <c r="I115" t="s">
        <v>285</v>
      </c>
      <c r="J115">
        <v>0</v>
      </c>
      <c r="K115">
        <f t="shared" ref="K115" si="110">IF(A115&lt;DATEVALUE("2025/11/20")+TIMEVALUE("6:00"),1,IF(B115-SUM(D115:F115)&lt;&gt;60,0,MAX(2-INT(G115*24*60/10),0)))</f>
        <v>1</v>
      </c>
      <c r="L115">
        <f t="shared" ref="L115" si="111">L114+K115</f>
        <v>111</v>
      </c>
      <c r="M115">
        <f t="shared" ref="M115" si="112">2+IF(A115&gt;=DATEVALUE("2025/11/30")+TIMEVALUE("6:00"),1,0)+IF(A115&gt;=DATEVALUE("2025/12/11")+TIMEVALUE("6:00"),1,0)</f>
        <v>4</v>
      </c>
      <c r="N115">
        <f t="shared" ref="N115" si="113">N114+M115*(INT(A115-6/24)-INT(A114-6/24))+O115</f>
        <v>112</v>
      </c>
      <c r="O115">
        <f t="shared" ref="O115" si="114">IF(A115&gt;=DATEVALUE("2025/11/8")+TIMEVALUE("6:00"),1,0)-IF(A114&gt;=DATEVALUE("2025/11/8")+TIMEVALUE("6:00"),1,0)</f>
        <v>0</v>
      </c>
      <c r="P115" t="str">
        <f t="shared" ref="P115" si="115">IF(L115&lt;N115,"未達成（"&amp;N115-L115&amp;"）",IF(L115=N115,"達成","前倒し（"&amp;L115-N115&amp;"）"))</f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286</v>
      </c>
      <c r="I116" t="s">
        <v>287</v>
      </c>
      <c r="J116">
        <v>0</v>
      </c>
      <c r="K116">
        <f t="shared" ref="K116" si="116">IF(A116&lt;DATEVALUE("2025/11/20")+TIMEVALUE("6:00"),1,IF(B116-SUM(D116:F116)&lt;&gt;60,0,MAX(2-INT(G116*24*60/10),0)))</f>
        <v>1</v>
      </c>
      <c r="L116">
        <f t="shared" ref="L116" si="117">L115+K116</f>
        <v>112</v>
      </c>
      <c r="M116">
        <f t="shared" ref="M116" si="118">2+IF(A116&gt;=DATEVALUE("2025/11/30")+TIMEVALUE("6:00"),1,0)+IF(A116&gt;=DATEVALUE("2025/12/11")+TIMEVALUE("6:00"),1,0)</f>
        <v>4</v>
      </c>
      <c r="N116">
        <f t="shared" ref="N116" si="119">N115+M116*(INT(A116-6/24)-INT(A115-6/24))+O116</f>
        <v>112</v>
      </c>
      <c r="O116">
        <f t="shared" ref="O116" si="120">IF(A116&gt;=DATEVALUE("2025/11/8")+TIMEVALUE("6:00"),1,0)-IF(A115&gt;=DATEVALUE("2025/11/8")+TIMEVALUE("6:00"),1,0)</f>
        <v>0</v>
      </c>
      <c r="P116" t="str">
        <f t="shared" ref="P116" si="121">IF(L116&lt;N116,"未達成（"&amp;N116-L116&amp;"）",IF(L116=N116,"達成","前倒し（"&amp;L116-N116&amp;"）"))</f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288</v>
      </c>
      <c r="I117" t="s">
        <v>289</v>
      </c>
      <c r="J117">
        <v>0</v>
      </c>
      <c r="K117">
        <f t="shared" ref="K117" si="122">IF(A117&lt;DATEVALUE("2025/11/20")+TIMEVALUE("6:00"),1,IF(B117-SUM(D117:F117)&lt;&gt;60,0,MAX(2-INT(G117*24*60/10),0)))</f>
        <v>1</v>
      </c>
      <c r="L117">
        <f t="shared" ref="L117" si="123">L116+K117</f>
        <v>113</v>
      </c>
      <c r="M117">
        <f t="shared" ref="M117" si="124">2+IF(A117&gt;=DATEVALUE("2025/11/30")+TIMEVALUE("6:00"),1,0)+IF(A117&gt;=DATEVALUE("2025/12/11")+TIMEVALUE("6:00"),1,0)</f>
        <v>4</v>
      </c>
      <c r="N117">
        <f t="shared" ref="N117" si="125">N116+M117*(INT(A117-6/24)-INT(A116-6/24))+O117</f>
        <v>116</v>
      </c>
      <c r="O117">
        <f t="shared" ref="O117" si="126">IF(A117&gt;=DATEVALUE("2025/11/8")+TIMEVALUE("6:00"),1,0)-IF(A116&gt;=DATEVALUE("2025/11/8")+TIMEVALUE("6:00"),1,0)</f>
        <v>0</v>
      </c>
      <c r="P117" t="str">
        <f t="shared" ref="P117" si="127">IF(L117&lt;N117,"未達成（"&amp;N117-L117&amp;"）",IF(L117=N117,"達成","前倒し（"&amp;L117-N117&amp;"）"))</f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290</v>
      </c>
      <c r="I118" t="s">
        <v>291</v>
      </c>
      <c r="J118">
        <v>0</v>
      </c>
      <c r="K118">
        <f t="shared" ref="K118" si="128">IF(A118&lt;DATEVALUE("2025/11/20")+TIMEVALUE("6:00"),1,IF(B118-SUM(D118:F118)&lt;&gt;60,0,MAX(2-INT(G118*24*60/10),0)))</f>
        <v>0</v>
      </c>
      <c r="L118">
        <f t="shared" ref="L118" si="129">L117+K118</f>
        <v>113</v>
      </c>
      <c r="M118">
        <f t="shared" ref="M118" si="130">2+IF(A118&gt;=DATEVALUE("2025/11/30")+TIMEVALUE("6:00"),1,0)+IF(A118&gt;=DATEVALUE("2025/12/11")+TIMEVALUE("6:00"),1,0)</f>
        <v>4</v>
      </c>
      <c r="N118">
        <f t="shared" ref="N118" si="131">N117+M118*(INT(A118-6/24)-INT(A117-6/24))+O118</f>
        <v>116</v>
      </c>
      <c r="O118">
        <f t="shared" ref="O118" si="132">IF(A118&gt;=DATEVALUE("2025/11/8")+TIMEVALUE("6:00"),1,0)-IF(A117&gt;=DATEVALUE("2025/11/8")+TIMEVALUE("6:00"),1,0)</f>
        <v>0</v>
      </c>
      <c r="P118" t="str">
        <f t="shared" ref="P118" si="133">IF(L118&lt;N118,"未達成（"&amp;N118-L118&amp;"）",IF(L118=N118,"達成","前倒し（"&amp;L118-N118&amp;"）"))</f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292</v>
      </c>
      <c r="I119" t="s">
        <v>293</v>
      </c>
      <c r="J119">
        <v>0</v>
      </c>
      <c r="K119">
        <f t="shared" ref="K119" si="134">IF(A119&lt;DATEVALUE("2025/11/20")+TIMEVALUE("6:00"),1,IF(B119-SUM(D119:F119)&lt;&gt;60,0,MAX(2-INT(G119*24*60/10),0)))</f>
        <v>1</v>
      </c>
      <c r="L119">
        <f t="shared" ref="L119" si="135">L118+K119</f>
        <v>114</v>
      </c>
      <c r="M119">
        <f t="shared" ref="M119" si="136">2+IF(A119&gt;=DATEVALUE("2025/11/30")+TIMEVALUE("6:00"),1,0)+IF(A119&gt;=DATEVALUE("2025/12/11")+TIMEVALUE("6:00"),1,0)</f>
        <v>4</v>
      </c>
      <c r="N119">
        <f t="shared" ref="N119" si="137">N118+M119*(INT(A119-6/24)-INT(A118-6/24))+O119</f>
        <v>116</v>
      </c>
      <c r="O119">
        <f t="shared" ref="O119" si="138">IF(A119&gt;=DATEVALUE("2025/11/8")+TIMEVALUE("6:00"),1,0)-IF(A118&gt;=DATEVALUE("2025/11/8")+TIMEVALUE("6:00"),1,0)</f>
        <v>0</v>
      </c>
      <c r="P119" t="str">
        <f t="shared" ref="P119" si="139">IF(L119&lt;N119,"未達成（"&amp;N119-L119&amp;"）",IF(L119=N119,"達成","前倒し（"&amp;L119-N119&amp;"）"))</f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294</v>
      </c>
      <c r="I120" t="s">
        <v>295</v>
      </c>
      <c r="J120">
        <v>0</v>
      </c>
      <c r="K120">
        <f t="shared" ref="K120" si="140">IF(A120&lt;DATEVALUE("2025/11/20")+TIMEVALUE("6:00"),1,IF(B120-SUM(D120:F120)&lt;&gt;60,0,MAX(2-INT(G120*24*60/10),0)))</f>
        <v>2</v>
      </c>
      <c r="L120">
        <f t="shared" ref="L120" si="141">L119+K120</f>
        <v>116</v>
      </c>
      <c r="M120">
        <f t="shared" ref="M120" si="142">2+IF(A120&gt;=DATEVALUE("2025/11/30")+TIMEVALUE("6:00"),1,0)+IF(A120&gt;=DATEVALUE("2025/12/11")+TIMEVALUE("6:00"),1,0)</f>
        <v>4</v>
      </c>
      <c r="N120">
        <f t="shared" ref="N120" si="143">N119+M120*(INT(A120-6/24)-INT(A119-6/24))+O120</f>
        <v>116</v>
      </c>
      <c r="O120">
        <f t="shared" ref="O120" si="144">IF(A120&gt;=DATEVALUE("2025/11/8")+TIMEVALUE("6:00"),1,0)-IF(A119&gt;=DATEVALUE("2025/11/8")+TIMEVALUE("6:00"),1,0)</f>
        <v>0</v>
      </c>
      <c r="P120" t="str">
        <f t="shared" ref="P120" si="145">IF(L120&lt;N120,"未達成（"&amp;N120-L120&amp;"）",IF(L120=N120,"達成","前倒し（"&amp;L120-N120&amp;"）"))</f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296</v>
      </c>
      <c r="I121" t="s">
        <v>297</v>
      </c>
      <c r="J121">
        <v>0</v>
      </c>
      <c r="K121">
        <f t="shared" ref="K121" si="146">IF(A121&lt;DATEVALUE("2025/11/20")+TIMEVALUE("6:00"),1,IF(B121-SUM(D121:F121)&lt;&gt;60,0,MAX(2-INT(G121*24*60/10),0)))</f>
        <v>1</v>
      </c>
      <c r="L121">
        <f t="shared" ref="L121" si="147">L120+K121</f>
        <v>117</v>
      </c>
      <c r="M121">
        <f t="shared" ref="M121" si="148">2+IF(A121&gt;=DATEVALUE("2025/11/30")+TIMEVALUE("6:00"),1,0)+IF(A121&gt;=DATEVALUE("2025/12/11")+TIMEVALUE("6:00"),1,0)</f>
        <v>4</v>
      </c>
      <c r="N121">
        <f t="shared" ref="N121" si="149">N120+M121*(INT(A121-6/24)-INT(A120-6/24))+O121</f>
        <v>120</v>
      </c>
      <c r="O121">
        <f t="shared" ref="O121" si="150">IF(A121&gt;=DATEVALUE("2025/11/8")+TIMEVALUE("6:00"),1,0)-IF(A120&gt;=DATEVALUE("2025/11/8")+TIMEVALUE("6:00"),1,0)</f>
        <v>0</v>
      </c>
      <c r="P121" t="str">
        <f t="shared" ref="P121" si="151">IF(L121&lt;N121,"未達成（"&amp;N121-L121&amp;"）",IF(L121=N121,"達成","前倒し（"&amp;L121-N121&amp;"）"))</f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298</v>
      </c>
      <c r="I122" t="s">
        <v>299</v>
      </c>
      <c r="J122">
        <v>0</v>
      </c>
      <c r="K122">
        <f t="shared" ref="K122" si="152">IF(A122&lt;DATEVALUE("2025/11/20")+TIMEVALUE("6:00"),1,IF(B122-SUM(D122:F122)&lt;&gt;60,0,MAX(2-INT(G122*24*60/10),0)))</f>
        <v>1</v>
      </c>
      <c r="L122">
        <f t="shared" ref="L122" si="153">L121+K122</f>
        <v>118</v>
      </c>
      <c r="M122">
        <f t="shared" ref="M122" si="154">2+IF(A122&gt;=DATEVALUE("2025/11/30")+TIMEVALUE("6:00"),1,0)+IF(A122&gt;=DATEVALUE("2025/12/11")+TIMEVALUE("6:00"),1,0)</f>
        <v>4</v>
      </c>
      <c r="N122">
        <f t="shared" ref="N122" si="155">N121+M122*(INT(A122-6/24)-INT(A121-6/24))+O122</f>
        <v>120</v>
      </c>
      <c r="O122">
        <f t="shared" ref="O122" si="156">IF(A122&gt;=DATEVALUE("2025/11/8")+TIMEVALUE("6:00"),1,0)-IF(A121&gt;=DATEVALUE("2025/11/8")+TIMEVALUE("6:00"),1,0)</f>
        <v>0</v>
      </c>
      <c r="P122" t="str">
        <f t="shared" ref="P122" si="157">IF(L122&lt;N122,"未達成（"&amp;N122-L122&amp;"）",IF(L122=N122,"達成","前倒し（"&amp;L122-N122&amp;"）"))</f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300</v>
      </c>
      <c r="I123" t="s">
        <v>301</v>
      </c>
      <c r="J123">
        <v>0</v>
      </c>
      <c r="K123">
        <f t="shared" ref="K123" si="158">IF(A123&lt;DATEVALUE("2025/11/20")+TIMEVALUE("6:00"),1,IF(B123-SUM(D123:F123)&lt;&gt;60,0,MAX(2-INT(G123*24*60/10),0)))</f>
        <v>0</v>
      </c>
      <c r="L123">
        <f t="shared" ref="L123" si="159">L122+K123</f>
        <v>118</v>
      </c>
      <c r="M123">
        <f t="shared" ref="M123" si="160">2+IF(A123&gt;=DATEVALUE("2025/11/30")+TIMEVALUE("6:00"),1,0)+IF(A123&gt;=DATEVALUE("2025/12/11")+TIMEVALUE("6:00"),1,0)</f>
        <v>4</v>
      </c>
      <c r="N123">
        <f t="shared" ref="N123" si="161">N122+M123*(INT(A123-6/24)-INT(A122-6/24))+O123</f>
        <v>120</v>
      </c>
      <c r="O123">
        <f t="shared" ref="O123" si="162">IF(A123&gt;=DATEVALUE("2025/11/8")+TIMEVALUE("6:00"),1,0)-IF(A122&gt;=DATEVALUE("2025/11/8")+TIMEVALUE("6:00"),1,0)</f>
        <v>0</v>
      </c>
      <c r="P123" t="str">
        <f t="shared" ref="P123" si="163">IF(L123&lt;N123,"未達成（"&amp;N123-L123&amp;"）",IF(L123=N123,"達成","前倒し（"&amp;L123-N123&amp;"）"))</f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302</v>
      </c>
      <c r="I124" t="s">
        <v>303</v>
      </c>
      <c r="J124">
        <v>0</v>
      </c>
      <c r="K124">
        <f t="shared" ref="K124" si="164">IF(A124&lt;DATEVALUE("2025/11/20")+TIMEVALUE("6:00"),1,IF(B124-SUM(D124:F124)&lt;&gt;60,0,MAX(2-INT(G124*24*60/10),0)))</f>
        <v>2</v>
      </c>
      <c r="L124">
        <f t="shared" ref="L124" si="165">L123+K124</f>
        <v>120</v>
      </c>
      <c r="M124">
        <f t="shared" ref="M124" si="166">2+IF(A124&gt;=DATEVALUE("2025/11/30")+TIMEVALUE("6:00"),1,0)+IF(A124&gt;=DATEVALUE("2025/12/11")+TIMEVALUE("6:00"),1,0)</f>
        <v>4</v>
      </c>
      <c r="N124">
        <f t="shared" ref="N124" si="167">N123+M124*(INT(A124-6/24)-INT(A123-6/24))+O124</f>
        <v>120</v>
      </c>
      <c r="O124">
        <f t="shared" ref="O124" si="168">IF(A124&gt;=DATEVALUE("2025/11/8")+TIMEVALUE("6:00"),1,0)-IF(A123&gt;=DATEVALUE("2025/11/8")+TIMEVALUE("6:00"),1,0)</f>
        <v>0</v>
      </c>
      <c r="P124" t="str">
        <f t="shared" ref="P124" si="169">IF(L124&lt;N124,"未達成（"&amp;N124-L124&amp;"）",IF(L124=N124,"達成","前倒し（"&amp;L124-N124&amp;"）"))</f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304</v>
      </c>
      <c r="I125" t="s">
        <v>305</v>
      </c>
      <c r="J125">
        <v>0</v>
      </c>
      <c r="K125">
        <f t="shared" ref="K125" si="170">IF(A125&lt;DATEVALUE("2025/11/20")+TIMEVALUE("6:00"),1,IF(B125-SUM(D125:F125)&lt;&gt;60,0,MAX(2-INT(G125*24*60/10),0)))</f>
        <v>1</v>
      </c>
      <c r="L125">
        <f t="shared" ref="L125" si="171">L124+K125</f>
        <v>121</v>
      </c>
      <c r="M125">
        <f t="shared" ref="M125" si="172">2+IF(A125&gt;=DATEVALUE("2025/11/30")+TIMEVALUE("6:00"),1,0)+IF(A125&gt;=DATEVALUE("2025/12/11")+TIMEVALUE("6:00"),1,0)</f>
        <v>4</v>
      </c>
      <c r="N125">
        <f t="shared" ref="N125" si="173">N124+M125*(INT(A125-6/24)-INT(A124-6/24))+O125</f>
        <v>124</v>
      </c>
      <c r="O125">
        <f t="shared" ref="O125" si="174">IF(A125&gt;=DATEVALUE("2025/11/8")+TIMEVALUE("6:00"),1,0)-IF(A124&gt;=DATEVALUE("2025/11/8")+TIMEVALUE("6:00"),1,0)</f>
        <v>0</v>
      </c>
      <c r="P125" t="str">
        <f t="shared" ref="P125" si="175">IF(L125&lt;N125,"未達成（"&amp;N125-L125&amp;"）",IF(L125=N125,"達成","前倒し（"&amp;L125-N125&amp;"）"))</f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306</v>
      </c>
      <c r="I126" t="s">
        <v>307</v>
      </c>
      <c r="J126">
        <v>0</v>
      </c>
      <c r="K126">
        <f t="shared" ref="K126" si="176">IF(A126&lt;DATEVALUE("2025/11/20")+TIMEVALUE("6:00"),1,IF(B126-SUM(D126:F126)&lt;&gt;60,0,MAX(2-INT(G126*24*60/10),0)))</f>
        <v>2</v>
      </c>
      <c r="L126">
        <f t="shared" ref="L126" si="177">L125+K126</f>
        <v>123</v>
      </c>
      <c r="M126">
        <f t="shared" ref="M126" si="178">2+IF(A126&gt;=DATEVALUE("2025/11/30")+TIMEVALUE("6:00"),1,0)+IF(A126&gt;=DATEVALUE("2025/12/11")+TIMEVALUE("6:00"),1,0)</f>
        <v>4</v>
      </c>
      <c r="N126">
        <f t="shared" ref="N126" si="179">N125+M126*(INT(A126-6/24)-INT(A125-6/24))+O126</f>
        <v>124</v>
      </c>
      <c r="O126">
        <f t="shared" ref="O126" si="180">IF(A126&gt;=DATEVALUE("2025/11/8")+TIMEVALUE("6:00"),1,0)-IF(A125&gt;=DATEVALUE("2025/11/8")+TIMEVALUE("6:00"),1,0)</f>
        <v>0</v>
      </c>
      <c r="P126" t="str">
        <f t="shared" ref="P126" si="181">IF(L126&lt;N126,"未達成（"&amp;N126-L126&amp;"）",IF(L126=N126,"達成","前倒し（"&amp;L126-N126&amp;"）"))</f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308</v>
      </c>
      <c r="I127" t="s">
        <v>309</v>
      </c>
      <c r="J127">
        <v>0</v>
      </c>
      <c r="K127">
        <f t="shared" ref="K127" si="182">IF(A127&lt;DATEVALUE("2025/11/20")+TIMEVALUE("6:00"),1,IF(B127-SUM(D127:F127)&lt;&gt;60,0,MAX(2-INT(G127*24*60/10),0)))</f>
        <v>1</v>
      </c>
      <c r="L127">
        <f t="shared" ref="L127" si="183">L126+K127</f>
        <v>124</v>
      </c>
      <c r="M127">
        <f t="shared" ref="M127" si="184">2+IF(A127&gt;=DATEVALUE("2025/11/30")+TIMEVALUE("6:00"),1,0)+IF(A127&gt;=DATEVALUE("2025/12/11")+TIMEVALUE("6:00"),1,0)</f>
        <v>4</v>
      </c>
      <c r="N127">
        <f t="shared" ref="N127" si="185">N126+M127*(INT(A127-6/24)-INT(A126-6/24))+O127</f>
        <v>124</v>
      </c>
      <c r="O127">
        <f t="shared" ref="O127" si="186">IF(A127&gt;=DATEVALUE("2025/11/8")+TIMEVALUE("6:00"),1,0)-IF(A126&gt;=DATEVALUE("2025/11/8")+TIMEVALUE("6:00"),1,0)</f>
        <v>0</v>
      </c>
      <c r="P127" t="str">
        <f t="shared" ref="P127" si="187">IF(L127&lt;N127,"未達成（"&amp;N127-L127&amp;"）",IF(L127=N127,"達成","前倒し（"&amp;L127-N127&amp;"）"))</f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310</v>
      </c>
      <c r="I128" t="s">
        <v>311</v>
      </c>
      <c r="J128">
        <v>0</v>
      </c>
      <c r="K128">
        <f t="shared" ref="K128" si="188">IF(A128&lt;DATEVALUE("2025/11/20")+TIMEVALUE("6:00"),1,IF(B128-SUM(D128:F128)&lt;&gt;60,0,MAX(2-INT(G128*24*60/10),0)))</f>
        <v>1</v>
      </c>
      <c r="L128">
        <f t="shared" ref="L128" si="189">L127+K128</f>
        <v>125</v>
      </c>
      <c r="M128">
        <f t="shared" ref="M128" si="190">2+IF(A128&gt;=DATEVALUE("2025/11/30")+TIMEVALUE("6:00"),1,0)+IF(A128&gt;=DATEVALUE("2025/12/11")+TIMEVALUE("6:00"),1,0)</f>
        <v>4</v>
      </c>
      <c r="N128">
        <f t="shared" ref="N128" si="191">N127+M128*(INT(A128-6/24)-INT(A127-6/24))+O128</f>
        <v>128</v>
      </c>
      <c r="O128">
        <f t="shared" ref="O128" si="192">IF(A128&gt;=DATEVALUE("2025/11/8")+TIMEVALUE("6:00"),1,0)-IF(A127&gt;=DATEVALUE("2025/11/8")+TIMEVALUE("6:00"),1,0)</f>
        <v>0</v>
      </c>
      <c r="P128" t="str">
        <f t="shared" ref="P128" si="193">IF(L128&lt;N128,"未達成（"&amp;N128-L128&amp;"）",IF(L128=N128,"達成","前倒し（"&amp;L128-N128&amp;"）"))</f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312</v>
      </c>
      <c r="I129" t="s">
        <v>313</v>
      </c>
      <c r="J129">
        <v>0</v>
      </c>
      <c r="K129">
        <f t="shared" ref="K129" si="194">IF(A129&lt;DATEVALUE("2025/11/20")+TIMEVALUE("6:00"),1,IF(B129-SUM(D129:F129)&lt;&gt;60,0,MAX(2-INT(G129*24*60/10),0)))</f>
        <v>2</v>
      </c>
      <c r="L129">
        <f t="shared" ref="L129" si="195">L128+K129</f>
        <v>127</v>
      </c>
      <c r="M129">
        <f t="shared" ref="M129" si="196">2+IF(A129&gt;=DATEVALUE("2025/11/30")+TIMEVALUE("6:00"),1,0)+IF(A129&gt;=DATEVALUE("2025/12/11")+TIMEVALUE("6:00"),1,0)</f>
        <v>4</v>
      </c>
      <c r="N129">
        <f t="shared" ref="N129" si="197">N128+M129*(INT(A129-6/24)-INT(A128-6/24))+O129</f>
        <v>128</v>
      </c>
      <c r="O129">
        <f t="shared" ref="O129" si="198">IF(A129&gt;=DATEVALUE("2025/11/8")+TIMEVALUE("6:00"),1,0)-IF(A128&gt;=DATEVALUE("2025/11/8")+TIMEVALUE("6:00"),1,0)</f>
        <v>0</v>
      </c>
      <c r="P129" t="str">
        <f t="shared" ref="P129" si="199">IF(L129&lt;N129,"未達成（"&amp;N129-L129&amp;"）",IF(L129=N129,"達成","前倒し（"&amp;L129-N129&amp;"）"))</f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314</v>
      </c>
      <c r="I130" t="s">
        <v>315</v>
      </c>
      <c r="J130">
        <v>0</v>
      </c>
      <c r="K130">
        <f t="shared" ref="K130" si="200">IF(A130&lt;DATEVALUE("2025/11/20")+TIMEVALUE("6:00"),1,IF(B130-SUM(D130:F130)&lt;&gt;60,0,MAX(2-INT(G130*24*60/10),0)))</f>
        <v>1</v>
      </c>
      <c r="L130">
        <f t="shared" ref="L130" si="201">L129+K130</f>
        <v>128</v>
      </c>
      <c r="M130">
        <f t="shared" ref="M130" si="202">2+IF(A130&gt;=DATEVALUE("2025/11/30")+TIMEVALUE("6:00"),1,0)+IF(A130&gt;=DATEVALUE("2025/12/11")+TIMEVALUE("6:00"),1,0)</f>
        <v>4</v>
      </c>
      <c r="N130">
        <f t="shared" ref="N130" si="203">N129+M130*(INT(A130-6/24)-INT(A129-6/24))+O130</f>
        <v>128</v>
      </c>
      <c r="O130">
        <f t="shared" ref="O130" si="204">IF(A130&gt;=DATEVALUE("2025/11/8")+TIMEVALUE("6:00"),1,0)-IF(A129&gt;=DATEVALUE("2025/11/8")+TIMEVALUE("6:00"),1,0)</f>
        <v>0</v>
      </c>
      <c r="P130" t="str">
        <f t="shared" ref="P130" si="205">IF(L130&lt;N130,"未達成（"&amp;N130-L130&amp;"）",IF(L130=N130,"達成","前倒し（"&amp;L130-N130&amp;"）"))</f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316</v>
      </c>
      <c r="I131" t="s">
        <v>317</v>
      </c>
      <c r="J131">
        <v>0</v>
      </c>
      <c r="K131">
        <f t="shared" ref="K131" si="206">IF(A131&lt;DATEVALUE("2025/11/20")+TIMEVALUE("6:00"),1,IF(B131-SUM(D131:F131)&lt;&gt;60,0,MAX(2-INT(G131*24*60/10),0)))</f>
        <v>2</v>
      </c>
      <c r="L131">
        <f t="shared" ref="L131" si="207">L130+K131</f>
        <v>130</v>
      </c>
      <c r="M131">
        <f t="shared" ref="M131" si="208">2+IF(A131&gt;=DATEVALUE("2025/11/30")+TIMEVALUE("6:00"),1,0)+IF(A131&gt;=DATEVALUE("2025/12/11")+TIMEVALUE("6:00"),1,0)</f>
        <v>4</v>
      </c>
      <c r="N131">
        <f t="shared" ref="N131" si="209">N130+M131*(INT(A131-6/24)-INT(A130-6/24))+O131</f>
        <v>132</v>
      </c>
      <c r="O131">
        <f t="shared" ref="O131" si="210">IF(A131&gt;=DATEVALUE("2025/11/8")+TIMEVALUE("6:00"),1,0)-IF(A130&gt;=DATEVALUE("2025/11/8")+TIMEVALUE("6:00"),1,0)</f>
        <v>0</v>
      </c>
      <c r="P131" t="str">
        <f t="shared" ref="P131" si="211">IF(L131&lt;N131,"未達成（"&amp;N131-L131&amp;"）",IF(L131=N131,"達成","前倒し（"&amp;L131-N131&amp;"）"))</f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318</v>
      </c>
      <c r="I132" t="s">
        <v>319</v>
      </c>
      <c r="J132">
        <v>0</v>
      </c>
      <c r="K132">
        <f t="shared" ref="K132" si="212">IF(A132&lt;DATEVALUE("2025/11/20")+TIMEVALUE("6:00"),1,IF(B132-SUM(D132:F132)&lt;&gt;60,0,MAX(2-INT(G132*24*60/10),0)))</f>
        <v>2</v>
      </c>
      <c r="L132">
        <f t="shared" ref="L132" si="213">L131+K132</f>
        <v>132</v>
      </c>
      <c r="M132">
        <f t="shared" ref="M132" si="214">2+IF(A132&gt;=DATEVALUE("2025/11/30")+TIMEVALUE("6:00"),1,0)+IF(A132&gt;=DATEVALUE("2025/12/11")+TIMEVALUE("6:00"),1,0)</f>
        <v>4</v>
      </c>
      <c r="N132">
        <f t="shared" ref="N132" si="215">N131+M132*(INT(A132-6/24)-INT(A131-6/24))+O132</f>
        <v>132</v>
      </c>
      <c r="O132">
        <f t="shared" ref="O132" si="216">IF(A132&gt;=DATEVALUE("2025/11/8")+TIMEVALUE("6:00"),1,0)-IF(A131&gt;=DATEVALUE("2025/11/8")+TIMEVALUE("6:00"),1,0)</f>
        <v>0</v>
      </c>
      <c r="P132" t="str">
        <f t="shared" ref="P132" si="217">IF(L132&lt;N132,"未達成（"&amp;N132-L132&amp;"）",IF(L132=N132,"達成","前倒し（"&amp;L132-N132&amp;"）"))</f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320</v>
      </c>
      <c r="I133" t="s">
        <v>321</v>
      </c>
      <c r="J133">
        <v>0</v>
      </c>
      <c r="K133">
        <f t="shared" ref="K133" si="218">IF(A133&lt;DATEVALUE("2025/11/20")+TIMEVALUE("6:00"),1,IF(B133-SUM(D133:F133)&lt;&gt;60,0,MAX(2-INT(G133*24*60/10),0)))</f>
        <v>1</v>
      </c>
      <c r="L133">
        <f t="shared" ref="L133" si="219">L132+K133</f>
        <v>133</v>
      </c>
      <c r="M133">
        <f t="shared" ref="M133" si="220">2+IF(A133&gt;=DATEVALUE("2025/11/30")+TIMEVALUE("6:00"),1,0)+IF(A133&gt;=DATEVALUE("2025/12/11")+TIMEVALUE("6:00"),1,0)</f>
        <v>4</v>
      </c>
      <c r="N133">
        <f t="shared" ref="N133" si="221">N132+M133*(INT(A133-6/24)-INT(A132-6/24))+O133</f>
        <v>136</v>
      </c>
      <c r="O133">
        <f t="shared" ref="O133" si="222">IF(A133&gt;=DATEVALUE("2025/11/8")+TIMEVALUE("6:00"),1,0)-IF(A132&gt;=DATEVALUE("2025/11/8")+TIMEVALUE("6:00"),1,0)</f>
        <v>0</v>
      </c>
      <c r="P133" t="str">
        <f t="shared" ref="P133" si="223">IF(L133&lt;N133,"未達成（"&amp;N133-L133&amp;"）",IF(L133=N133,"達成","前倒し（"&amp;L133-N133&amp;"）"))</f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322</v>
      </c>
      <c r="I134" t="s">
        <v>323</v>
      </c>
      <c r="J134">
        <v>0</v>
      </c>
      <c r="K134">
        <f t="shared" ref="K134" si="224">IF(A134&lt;DATEVALUE("2025/11/20")+TIMEVALUE("6:00"),1,IF(B134-SUM(D134:F134)&lt;&gt;60,0,MAX(2-INT(G134*24*60/10),0)))</f>
        <v>0</v>
      </c>
      <c r="L134">
        <f t="shared" ref="L134" si="225">L133+K134</f>
        <v>133</v>
      </c>
      <c r="M134">
        <f t="shared" ref="M134" si="226">2+IF(A134&gt;=DATEVALUE("2025/11/30")+TIMEVALUE("6:00"),1,0)+IF(A134&gt;=DATEVALUE("2025/12/11")+TIMEVALUE("6:00"),1,0)</f>
        <v>4</v>
      </c>
      <c r="N134">
        <f t="shared" ref="N134" si="227">N133+M134*(INT(A134-6/24)-INT(A133-6/24))+O134</f>
        <v>136</v>
      </c>
      <c r="O134">
        <f t="shared" ref="O134" si="228">IF(A134&gt;=DATEVALUE("2025/11/8")+TIMEVALUE("6:00"),1,0)-IF(A133&gt;=DATEVALUE("2025/11/8")+TIMEVALUE("6:00"),1,0)</f>
        <v>0</v>
      </c>
      <c r="P134" t="str">
        <f t="shared" ref="P134" si="229">IF(L134&lt;N134,"未達成（"&amp;N134-L134&amp;"）",IF(L134=N134,"達成","前倒し（"&amp;L134-N134&amp;"）"))</f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324</v>
      </c>
      <c r="I135" t="s">
        <v>325</v>
      </c>
      <c r="J135">
        <v>0</v>
      </c>
      <c r="K135">
        <f t="shared" ref="K135" si="230">IF(A135&lt;DATEVALUE("2025/11/20")+TIMEVALUE("6:00"),1,IF(B135-SUM(D135:F135)&lt;&gt;60,0,MAX(2-INT(G135*24*60/10),0)))</f>
        <v>1</v>
      </c>
      <c r="L135">
        <f t="shared" ref="L135" si="231">L134+K135</f>
        <v>134</v>
      </c>
      <c r="M135">
        <f t="shared" ref="M135" si="232">2+IF(A135&gt;=DATEVALUE("2025/11/30")+TIMEVALUE("6:00"),1,0)+IF(A135&gt;=DATEVALUE("2025/12/11")+TIMEVALUE("6:00"),1,0)</f>
        <v>4</v>
      </c>
      <c r="N135">
        <f t="shared" ref="N135" si="233">N134+M135*(INT(A135-6/24)-INT(A134-6/24))+O135</f>
        <v>136</v>
      </c>
      <c r="O135">
        <f t="shared" ref="O135" si="234">IF(A135&gt;=DATEVALUE("2025/11/8")+TIMEVALUE("6:00"),1,0)-IF(A134&gt;=DATEVALUE("2025/11/8")+TIMEVALUE("6:00"),1,0)</f>
        <v>0</v>
      </c>
      <c r="P135" t="str">
        <f t="shared" ref="P135" si="235">IF(L135&lt;N135,"未達成（"&amp;N135-L135&amp;"）",IF(L135=N135,"達成","前倒し（"&amp;L135-N135&amp;"）"))</f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326</v>
      </c>
      <c r="I136" t="s">
        <v>327</v>
      </c>
      <c r="J136">
        <v>0</v>
      </c>
      <c r="K136">
        <f t="shared" ref="K136" si="236">IF(A136&lt;DATEVALUE("2025/11/20")+TIMEVALUE("6:00"),1,IF(B136-SUM(D136:F136)&lt;&gt;60,0,MAX(2-INT(G136*24*60/10),0)))</f>
        <v>2</v>
      </c>
      <c r="L136">
        <f t="shared" ref="L136" si="237">L135+K136</f>
        <v>136</v>
      </c>
      <c r="M136">
        <f t="shared" ref="M136" si="238">2+IF(A136&gt;=DATEVALUE("2025/11/30")+TIMEVALUE("6:00"),1,0)+IF(A136&gt;=DATEVALUE("2025/12/11")+TIMEVALUE("6:00"),1,0)</f>
        <v>4</v>
      </c>
      <c r="N136">
        <f t="shared" ref="N136" si="239">N135+M136*(INT(A136-6/24)-INT(A135-6/24))+O136</f>
        <v>136</v>
      </c>
      <c r="O136">
        <f t="shared" ref="O136" si="240">IF(A136&gt;=DATEVALUE("2025/11/8")+TIMEVALUE("6:00"),1,0)-IF(A135&gt;=DATEVALUE("2025/11/8")+TIMEVALUE("6:00"),1,0)</f>
        <v>0</v>
      </c>
      <c r="P136" t="str">
        <f t="shared" ref="P136" si="241">IF(L136&lt;N136,"未達成（"&amp;N136-L136&amp;"）",IF(L136=N136,"達成","前倒し（"&amp;L136-N136&amp;"）"))</f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328</v>
      </c>
      <c r="I137" t="s">
        <v>329</v>
      </c>
      <c r="J137">
        <v>0</v>
      </c>
      <c r="K137">
        <f t="shared" ref="K137" si="242">IF(A137&lt;DATEVALUE("2025/11/20")+TIMEVALUE("6:00"),1,IF(B137-SUM(D137:F137)&lt;&gt;60,0,MAX(2-INT(G137*24*60/10),0)))</f>
        <v>2</v>
      </c>
      <c r="L137">
        <f t="shared" ref="L137" si="243">L136+K137</f>
        <v>138</v>
      </c>
      <c r="M137">
        <f t="shared" ref="M137" si="244">2+IF(A137&gt;=DATEVALUE("2025/11/30")+TIMEVALUE("6:00"),1,0)+IF(A137&gt;=DATEVALUE("2025/12/11")+TIMEVALUE("6:00"),1,0)</f>
        <v>4</v>
      </c>
      <c r="N137">
        <f t="shared" ref="N137" si="245">N136+M137*(INT(A137-6/24)-INT(A136-6/24))+O137</f>
        <v>140</v>
      </c>
      <c r="O137">
        <f t="shared" ref="O137" si="246">IF(A137&gt;=DATEVALUE("2025/11/8")+TIMEVALUE("6:00"),1,0)-IF(A136&gt;=DATEVALUE("2025/11/8")+TIMEVALUE("6:00"),1,0)</f>
        <v>0</v>
      </c>
      <c r="P137" t="str">
        <f t="shared" ref="P137" si="247">IF(L137&lt;N137,"未達成（"&amp;N137-L137&amp;"）",IF(L137=N137,"達成","前倒し（"&amp;L137-N137&amp;"）"))</f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330</v>
      </c>
      <c r="I138" t="s">
        <v>331</v>
      </c>
      <c r="J138">
        <v>0</v>
      </c>
      <c r="K138">
        <f t="shared" ref="K138" si="248">IF(A138&lt;DATEVALUE("2025/11/20")+TIMEVALUE("6:00"),1,IF(B138-SUM(D138:F138)&lt;&gt;60,0,MAX(2-INT(G138*24*60/10),0)))</f>
        <v>0</v>
      </c>
      <c r="L138">
        <f t="shared" ref="L138" si="249">L137+K138</f>
        <v>138</v>
      </c>
      <c r="M138">
        <f t="shared" ref="M138" si="250">2+IF(A138&gt;=DATEVALUE("2025/11/30")+TIMEVALUE("6:00"),1,0)+IF(A138&gt;=DATEVALUE("2025/12/11")+TIMEVALUE("6:00"),1,0)</f>
        <v>4</v>
      </c>
      <c r="N138">
        <f t="shared" ref="N138" si="251">N137+M138*(INT(A138-6/24)-INT(A137-6/24))+O138</f>
        <v>140</v>
      </c>
      <c r="O138">
        <f t="shared" ref="O138" si="252">IF(A138&gt;=DATEVALUE("2025/11/8")+TIMEVALUE("6:00"),1,0)-IF(A137&gt;=DATEVALUE("2025/11/8")+TIMEVALUE("6:00"),1,0)</f>
        <v>0</v>
      </c>
      <c r="P138" t="str">
        <f t="shared" ref="P138" si="253">IF(L138&lt;N138,"未達成（"&amp;N138-L138&amp;"）",IF(L138=N138,"達成","前倒し（"&amp;L138-N138&amp;"）"))</f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332</v>
      </c>
      <c r="I139" t="s">
        <v>333</v>
      </c>
      <c r="J139">
        <v>0</v>
      </c>
      <c r="K139">
        <f t="shared" ref="K139" si="254">IF(A139&lt;DATEVALUE("2025/11/20")+TIMEVALUE("6:00"),1,IF(B139-SUM(D139:F139)&lt;&gt;60,0,MAX(2-INT(G139*24*60/10),0)))</f>
        <v>2</v>
      </c>
      <c r="L139">
        <f t="shared" ref="L139" si="255">L138+K139</f>
        <v>140</v>
      </c>
      <c r="M139">
        <f t="shared" ref="M139" si="256">2+IF(A139&gt;=DATEVALUE("2025/11/30")+TIMEVALUE("6:00"),1,0)+IF(A139&gt;=DATEVALUE("2025/12/11")+TIMEVALUE("6:00"),1,0)</f>
        <v>4</v>
      </c>
      <c r="N139">
        <f t="shared" ref="N139" si="257">N138+M139*(INT(A139-6/24)-INT(A138-6/24))+O139</f>
        <v>140</v>
      </c>
      <c r="O139">
        <f t="shared" ref="O139" si="258">IF(A139&gt;=DATEVALUE("2025/11/8")+TIMEVALUE("6:00"),1,0)-IF(A138&gt;=DATEVALUE("2025/11/8")+TIMEVALUE("6:00"),1,0)</f>
        <v>0</v>
      </c>
      <c r="P139" t="str">
        <f t="shared" ref="P139" si="259">IF(L139&lt;N139,"未達成（"&amp;N139-L139&amp;"）",IF(L139=N139,"達成","前倒し（"&amp;L139-N139&amp;"）"))</f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334</v>
      </c>
      <c r="I140" t="s">
        <v>335</v>
      </c>
      <c r="J140">
        <v>0</v>
      </c>
      <c r="K140">
        <f t="shared" ref="K140" si="260">IF(A140&lt;DATEVALUE("2025/11/20")+TIMEVALUE("6:00"),1,IF(B140-SUM(D140:F140)&lt;&gt;60,0,MAX(2-INT(G140*24*60/10),0)))</f>
        <v>1</v>
      </c>
      <c r="L140">
        <f t="shared" ref="L140" si="261">L139+K140</f>
        <v>141</v>
      </c>
      <c r="M140">
        <f t="shared" ref="M140" si="262">2+IF(A140&gt;=DATEVALUE("2025/11/30")+TIMEVALUE("6:00"),1,0)+IF(A140&gt;=DATEVALUE("2025/12/11")+TIMEVALUE("6:00"),1,0)</f>
        <v>4</v>
      </c>
      <c r="N140">
        <f t="shared" ref="N140" si="263">N139+M140*(INT(A140-6/24)-INT(A139-6/24))+O140</f>
        <v>144</v>
      </c>
      <c r="O140">
        <f t="shared" ref="O140" si="264">IF(A140&gt;=DATEVALUE("2025/11/8")+TIMEVALUE("6:00"),1,0)-IF(A139&gt;=DATEVALUE("2025/11/8")+TIMEVALUE("6:00"),1,0)</f>
        <v>0</v>
      </c>
      <c r="P140" t="str">
        <f t="shared" ref="P140" si="265">IF(L140&lt;N140,"未達成（"&amp;N140-L140&amp;"）",IF(L140=N140,"達成","前倒し（"&amp;L140-N140&amp;"）"))</f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336</v>
      </c>
      <c r="I141" t="s">
        <v>337</v>
      </c>
      <c r="J141">
        <v>0</v>
      </c>
      <c r="K141">
        <f t="shared" ref="K141" si="266">IF(A141&lt;DATEVALUE("2025/11/20")+TIMEVALUE("6:00"),1,IF(B141-SUM(D141:F141)&lt;&gt;60,0,MAX(2-INT(G141*24*60/10),0)))</f>
        <v>2</v>
      </c>
      <c r="L141">
        <f t="shared" ref="L141" si="267">L140+K141</f>
        <v>143</v>
      </c>
      <c r="M141">
        <f t="shared" ref="M141" si="268">2+IF(A141&gt;=DATEVALUE("2025/11/30")+TIMEVALUE("6:00"),1,0)+IF(A141&gt;=DATEVALUE("2025/12/11")+TIMEVALUE("6:00"),1,0)</f>
        <v>4</v>
      </c>
      <c r="N141">
        <f t="shared" ref="N141" si="269">N140+M141*(INT(A141-6/24)-INT(A140-6/24))+O141</f>
        <v>144</v>
      </c>
      <c r="O141">
        <f t="shared" ref="O141" si="270">IF(A141&gt;=DATEVALUE("2025/11/8")+TIMEVALUE("6:00"),1,0)-IF(A140&gt;=DATEVALUE("2025/11/8")+TIMEVALUE("6:00"),1,0)</f>
        <v>0</v>
      </c>
      <c r="P141" t="str">
        <f t="shared" ref="P141" si="271">IF(L141&lt;N141,"未達成（"&amp;N141-L141&amp;"）",IF(L141=N141,"達成","前倒し（"&amp;L141-N141&amp;"）"))</f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338</v>
      </c>
      <c r="I142" t="s">
        <v>339</v>
      </c>
      <c r="J142">
        <v>0</v>
      </c>
      <c r="K142">
        <f t="shared" ref="K142" si="272">IF(A142&lt;DATEVALUE("2025/11/20")+TIMEVALUE("6:00"),1,IF(B142-SUM(D142:F142)&lt;&gt;60,0,MAX(2-INT(G142*24*60/10),0)))</f>
        <v>1</v>
      </c>
      <c r="L142">
        <f t="shared" ref="L142" si="273">L141+K142</f>
        <v>144</v>
      </c>
      <c r="M142">
        <f t="shared" ref="M142" si="274">2+IF(A142&gt;=DATEVALUE("2025/11/30")+TIMEVALUE("6:00"),1,0)+IF(A142&gt;=DATEVALUE("2025/12/11")+TIMEVALUE("6:00"),1,0)</f>
        <v>4</v>
      </c>
      <c r="N142">
        <f t="shared" ref="N142" si="275">N141+M142*(INT(A142-6/24)-INT(A141-6/24))+O142</f>
        <v>144</v>
      </c>
      <c r="O142">
        <f t="shared" ref="O142" si="276">IF(A142&gt;=DATEVALUE("2025/11/8")+TIMEVALUE("6:00"),1,0)-IF(A141&gt;=DATEVALUE("2025/11/8")+TIMEVALUE("6:00"),1,0)</f>
        <v>0</v>
      </c>
      <c r="P142" t="str">
        <f t="shared" ref="P142" si="277">IF(L142&lt;N142,"未達成（"&amp;N142-L142&amp;"）",IF(L142=N142,"達成","前倒し（"&amp;L142-N142&amp;"）"))</f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341</v>
      </c>
      <c r="I143" t="s">
        <v>342</v>
      </c>
      <c r="J143">
        <v>0</v>
      </c>
      <c r="K143">
        <f t="shared" ref="K143" si="278">IF(A143&lt;DATEVALUE("2025/11/20")+TIMEVALUE("6:00"),1,IF(B143-SUM(D143:F143)&lt;&gt;60,0,MAX(2-INT(G143*24*60/10),0)))</f>
        <v>1</v>
      </c>
      <c r="L143">
        <f t="shared" ref="L143" si="279">L142+K143</f>
        <v>145</v>
      </c>
      <c r="M143">
        <f t="shared" ref="M143" si="280">2+IF(A143&gt;=DATEVALUE("2025/11/30")+TIMEVALUE("6:00"),1,0)+IF(A143&gt;=DATEVALUE("2025/12/11")+TIMEVALUE("6:00"),1,0)</f>
        <v>4</v>
      </c>
      <c r="N143">
        <f t="shared" ref="N143" si="281">N142+M143*(INT(A143-6/24)-INT(A142-6/24))+O143</f>
        <v>148</v>
      </c>
      <c r="O143">
        <f t="shared" ref="O143" si="282">IF(A143&gt;=DATEVALUE("2025/11/8")+TIMEVALUE("6:00"),1,0)-IF(A142&gt;=DATEVALUE("2025/11/8")+TIMEVALUE("6:00"),1,0)</f>
        <v>0</v>
      </c>
      <c r="P143" t="str">
        <f t="shared" ref="P143" si="283">IF(L143&lt;N143,"未達成（"&amp;N143-L143&amp;"）",IF(L143=N143,"達成","前倒し（"&amp;L143-N143&amp;"）"))</f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343</v>
      </c>
      <c r="I144" t="s">
        <v>344</v>
      </c>
      <c r="J144">
        <v>0</v>
      </c>
      <c r="K144">
        <f t="shared" ref="K144" si="284">IF(A144&lt;DATEVALUE("2025/11/20")+TIMEVALUE("6:00"),1,IF(B144-SUM(D144:F144)&lt;&gt;60,0,MAX(2-INT(G144*24*60/10),0)))</f>
        <v>1</v>
      </c>
      <c r="L144">
        <f t="shared" ref="L144" si="285">L143+K144</f>
        <v>146</v>
      </c>
      <c r="M144">
        <f t="shared" ref="M144" si="286">2+IF(A144&gt;=DATEVALUE("2025/11/30")+TIMEVALUE("6:00"),1,0)+IF(A144&gt;=DATEVALUE("2025/12/11")+TIMEVALUE("6:00"),1,0)</f>
        <v>4</v>
      </c>
      <c r="N144">
        <f t="shared" ref="N144" si="287">N143+M144*(INT(A144-6/24)-INT(A143-6/24))+O144</f>
        <v>148</v>
      </c>
      <c r="O144">
        <f t="shared" ref="O144" si="288">IF(A144&gt;=DATEVALUE("2025/11/8")+TIMEVALUE("6:00"),1,0)-IF(A143&gt;=DATEVALUE("2025/11/8")+TIMEVALUE("6:00"),1,0)</f>
        <v>0</v>
      </c>
      <c r="P144" t="str">
        <f t="shared" ref="P144" si="289">IF(L144&lt;N144,"未達成（"&amp;N144-L144&amp;"）",IF(L144=N144,"達成","前倒し（"&amp;L144-N144&amp;"）"))</f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345</v>
      </c>
      <c r="I145" t="s">
        <v>346</v>
      </c>
      <c r="J145">
        <v>0</v>
      </c>
      <c r="K145">
        <f t="shared" ref="K145" si="290">IF(A145&lt;DATEVALUE("2025/11/20")+TIMEVALUE("6:00"),1,IF(B145-SUM(D145:F145)&lt;&gt;60,0,MAX(2-INT(G145*24*60/10),0)))</f>
        <v>2</v>
      </c>
      <c r="L145">
        <f t="shared" ref="L145" si="291">L144+K145</f>
        <v>148</v>
      </c>
      <c r="M145">
        <f t="shared" ref="M145" si="292">2+IF(A145&gt;=DATEVALUE("2025/11/30")+TIMEVALUE("6:00"),1,0)+IF(A145&gt;=DATEVALUE("2025/12/11")+TIMEVALUE("6:00"),1,0)</f>
        <v>4</v>
      </c>
      <c r="N145">
        <f t="shared" ref="N145" si="293">N144+M145*(INT(A145-6/24)-INT(A144-6/24))+O145</f>
        <v>148</v>
      </c>
      <c r="O145">
        <f t="shared" ref="O145" si="294">IF(A145&gt;=DATEVALUE("2025/11/8")+TIMEVALUE("6:00"),1,0)-IF(A144&gt;=DATEVALUE("2025/11/8")+TIMEVALUE("6:00"),1,0)</f>
        <v>0</v>
      </c>
      <c r="P145" t="str">
        <f t="shared" ref="P145" si="295">IF(L145&lt;N145,"未達成（"&amp;N145-L145&amp;"）",IF(L145=N145,"達成","前倒し（"&amp;L145-N145&amp;"）"))</f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347</v>
      </c>
      <c r="I146" t="s">
        <v>348</v>
      </c>
      <c r="J146">
        <v>0</v>
      </c>
      <c r="K146">
        <f t="shared" ref="K146" si="296">IF(A146&lt;DATEVALUE("2025/11/20")+TIMEVALUE("6:00"),1,IF(B146-SUM(D146:F146)&lt;&gt;60,0,MAX(2-INT(G146*24*60/10),0)))</f>
        <v>1</v>
      </c>
      <c r="L146">
        <f t="shared" ref="L146" si="297">L145+K146</f>
        <v>149</v>
      </c>
      <c r="M146">
        <f t="shared" ref="M146" si="298">2+IF(A146&gt;=DATEVALUE("2025/11/30")+TIMEVALUE("6:00"),1,0)+IF(A146&gt;=DATEVALUE("2025/12/11")+TIMEVALUE("6:00"),1,0)</f>
        <v>4</v>
      </c>
      <c r="N146">
        <f t="shared" ref="N146" si="299">N145+M146*(INT(A146-6/24)-INT(A145-6/24))+O146</f>
        <v>152</v>
      </c>
      <c r="O146">
        <f t="shared" ref="O146" si="300">IF(A146&gt;=DATEVALUE("2025/11/8")+TIMEVALUE("6:00"),1,0)-IF(A145&gt;=DATEVALUE("2025/11/8")+TIMEVALUE("6:00"),1,0)</f>
        <v>0</v>
      </c>
      <c r="P146" t="str">
        <f t="shared" ref="P146" si="301">IF(L146&lt;N146,"未達成（"&amp;N146-L146&amp;"）",IF(L146=N146,"達成","前倒し（"&amp;L146-N146&amp;"）"))</f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349</v>
      </c>
      <c r="I147" t="s">
        <v>350</v>
      </c>
      <c r="J147">
        <v>0</v>
      </c>
      <c r="K147">
        <f t="shared" ref="K147" si="302">IF(A147&lt;DATEVALUE("2025/11/20")+TIMEVALUE("6:00"),1,IF(B147-SUM(D147:F147)&lt;&gt;60,0,MAX(2-INT(G147*24*60/10),0)))</f>
        <v>1</v>
      </c>
      <c r="L147">
        <f t="shared" ref="L147" si="303">L146+K147</f>
        <v>150</v>
      </c>
      <c r="M147">
        <f t="shared" ref="M147" si="304">2+IF(A147&gt;=DATEVALUE("2025/11/30")+TIMEVALUE("6:00"),1,0)+IF(A147&gt;=DATEVALUE("2025/12/11")+TIMEVALUE("6:00"),1,0)</f>
        <v>4</v>
      </c>
      <c r="N147">
        <f t="shared" ref="N147" si="305">N146+M147*(INT(A147-6/24)-INT(A146-6/24))+O147</f>
        <v>152</v>
      </c>
      <c r="O147">
        <f t="shared" ref="O147" si="306">IF(A147&gt;=DATEVALUE("2025/11/8")+TIMEVALUE("6:00"),1,0)-IF(A146&gt;=DATEVALUE("2025/11/8")+TIMEVALUE("6:00"),1,0)</f>
        <v>0</v>
      </c>
      <c r="P147" t="str">
        <f t="shared" ref="P147" si="307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351</v>
      </c>
      <c r="I148" t="s">
        <v>352</v>
      </c>
      <c r="J148">
        <v>0</v>
      </c>
      <c r="K148">
        <f t="shared" ref="K148" si="308">IF(A148&lt;DATEVALUE("2025/11/20")+TIMEVALUE("6:00"),1,IF(B148-SUM(D148:F148)&lt;&gt;60,0,MAX(2-INT(G148*24*60/10),0)))</f>
        <v>2</v>
      </c>
      <c r="L148">
        <f t="shared" ref="L148" si="309">L147+K148</f>
        <v>152</v>
      </c>
      <c r="M148">
        <f t="shared" ref="M148" si="310">2+IF(A148&gt;=DATEVALUE("2025/11/30")+TIMEVALUE("6:00"),1,0)+IF(A148&gt;=DATEVALUE("2025/12/11")+TIMEVALUE("6:00"),1,0)</f>
        <v>4</v>
      </c>
      <c r="N148">
        <f t="shared" ref="N148" si="311">N147+M148*(INT(A148-6/24)-INT(A147-6/24))+O148</f>
        <v>152</v>
      </c>
      <c r="O148">
        <f t="shared" ref="O148" si="312">IF(A148&gt;=DATEVALUE("2025/11/8")+TIMEVALUE("6:00"),1,0)-IF(A147&gt;=DATEVALUE("2025/11/8")+TIMEVALUE("6:00"),1,0)</f>
        <v>0</v>
      </c>
      <c r="P148" t="str">
        <f t="shared" ref="P148" si="313">IF(L148&lt;N148,"未達成（"&amp;N148-L148&amp;"）",IF(L148=N148,"達成","前倒し（"&amp;L148-N148&amp;"）"))</f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353</v>
      </c>
      <c r="I149" t="s">
        <v>354</v>
      </c>
      <c r="J149">
        <v>0</v>
      </c>
      <c r="K149">
        <f t="shared" ref="K149" si="314">IF(A149&lt;DATEVALUE("2025/11/20")+TIMEVALUE("6:00"),1,IF(B149-SUM(D149:F149)&lt;&gt;60,0,MAX(2-INT(G149*24*60/10),0)))</f>
        <v>1</v>
      </c>
      <c r="L149">
        <f t="shared" ref="L149" si="315">L148+K149</f>
        <v>153</v>
      </c>
      <c r="M149">
        <f t="shared" ref="M149" si="316">2+IF(A149&gt;=DATEVALUE("2025/11/30")+TIMEVALUE("6:00"),1,0)+IF(A149&gt;=DATEVALUE("2025/12/11")+TIMEVALUE("6:00"),1,0)</f>
        <v>4</v>
      </c>
      <c r="N149">
        <f t="shared" ref="N149" si="317">N148+M149*(INT(A149-6/24)-INT(A148-6/24))+O149</f>
        <v>156</v>
      </c>
      <c r="O149">
        <f t="shared" ref="O149" si="318">IF(A149&gt;=DATEVALUE("2025/11/8")+TIMEVALUE("6:00"),1,0)-IF(A148&gt;=DATEVALUE("2025/11/8")+TIMEVALUE("6:00"),1,0)</f>
        <v>0</v>
      </c>
      <c r="P149" t="str">
        <f t="shared" ref="P149" si="319">IF(L149&lt;N149,"未達成（"&amp;N149-L149&amp;"）",IF(L149=N149,"達成","前倒し（"&amp;L149-N149&amp;"）"))</f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355</v>
      </c>
      <c r="I150" t="s">
        <v>356</v>
      </c>
      <c r="J150">
        <v>0</v>
      </c>
      <c r="K150">
        <f t="shared" ref="K150" si="320">IF(A150&lt;DATEVALUE("2025/11/20")+TIMEVALUE("6:00"),1,IF(B150-SUM(D150:F150)&lt;&gt;60,0,MAX(2-INT(G150*24*60/10),0)))</f>
        <v>2</v>
      </c>
      <c r="L150">
        <f t="shared" ref="L150" si="321">L149+K150</f>
        <v>155</v>
      </c>
      <c r="M150">
        <f t="shared" ref="M150" si="322">2+IF(A150&gt;=DATEVALUE("2025/11/30")+TIMEVALUE("6:00"),1,0)+IF(A150&gt;=DATEVALUE("2025/12/11")+TIMEVALUE("6:00"),1,0)</f>
        <v>4</v>
      </c>
      <c r="N150">
        <f t="shared" ref="N150" si="323">N149+M150*(INT(A150-6/24)-INT(A149-6/24))+O150</f>
        <v>156</v>
      </c>
      <c r="O150">
        <f t="shared" ref="O150" si="324">IF(A150&gt;=DATEVALUE("2025/11/8")+TIMEVALUE("6:00"),1,0)-IF(A149&gt;=DATEVALUE("2025/11/8")+TIMEVALUE("6:00"),1,0)</f>
        <v>0</v>
      </c>
      <c r="P150" t="str">
        <f t="shared" ref="P150" si="325">IF(L150&lt;N150,"未達成（"&amp;N150-L150&amp;"）",IF(L150=N150,"達成","前倒し（"&amp;L150-N150&amp;"）"))</f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357</v>
      </c>
      <c r="I151" t="s">
        <v>358</v>
      </c>
      <c r="J151">
        <v>0</v>
      </c>
      <c r="K151">
        <f t="shared" ref="K151" si="326">IF(A151&lt;DATEVALUE("2025/11/20")+TIMEVALUE("6:00"),1,IF(B151-SUM(D151:F151)&lt;&gt;60,0,MAX(2-INT(G151*24*60/10),0)))</f>
        <v>1</v>
      </c>
      <c r="L151">
        <f t="shared" ref="L151" si="327">L150+K151</f>
        <v>156</v>
      </c>
      <c r="M151">
        <f t="shared" ref="M151" si="328">2+IF(A151&gt;=DATEVALUE("2025/11/30")+TIMEVALUE("6:00"),1,0)+IF(A151&gt;=DATEVALUE("2025/12/11")+TIMEVALUE("6:00"),1,0)</f>
        <v>4</v>
      </c>
      <c r="N151">
        <f t="shared" ref="N151" si="329">N150+M151*(INT(A151-6/24)-INT(A150-6/24))+O151</f>
        <v>156</v>
      </c>
      <c r="O151">
        <f t="shared" ref="O151" si="330">IF(A151&gt;=DATEVALUE("2025/11/8")+TIMEVALUE("6:00"),1,0)-IF(A150&gt;=DATEVALUE("2025/11/8")+TIMEVALUE("6:00"),1,0)</f>
        <v>0</v>
      </c>
      <c r="P151" t="str">
        <f t="shared" ref="P151" si="331">IF(L151&lt;N151,"未達成（"&amp;N151-L151&amp;"）",IF(L151=N151,"達成","前倒し（"&amp;L151-N151&amp;"）"))</f>
        <v>達成</v>
      </c>
    </row>
    <row r="152" spans="1:16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359</v>
      </c>
      <c r="I152" t="s">
        <v>360</v>
      </c>
      <c r="J152">
        <v>0</v>
      </c>
      <c r="K152">
        <f t="shared" ref="K152" si="332">IF(A152&lt;DATEVALUE("2025/11/20")+TIMEVALUE("6:00"),1,IF(B152-SUM(D152:F152)&lt;&gt;60,0,MAX(2-INT(G152*24*60/10),0)))</f>
        <v>2</v>
      </c>
      <c r="L152">
        <f t="shared" ref="L152" si="333">L151+K152</f>
        <v>158</v>
      </c>
      <c r="M152">
        <f t="shared" ref="M152" si="334">2+IF(A152&gt;=DATEVALUE("2025/11/30")+TIMEVALUE("6:00"),1,0)+IF(A152&gt;=DATEVALUE("2025/12/11")+TIMEVALUE("6:00"),1,0)</f>
        <v>4</v>
      </c>
      <c r="N152">
        <f t="shared" ref="N152" si="335">N151+M152*(INT(A152-6/24)-INT(A151-6/24))+O152</f>
        <v>160</v>
      </c>
      <c r="O152">
        <f t="shared" ref="O152" si="336">IF(A152&gt;=DATEVALUE("2025/11/8")+TIMEVALUE("6:00"),1,0)-IF(A151&gt;=DATEVALUE("2025/11/8")+TIMEVALUE("6:00"),1,0)</f>
        <v>0</v>
      </c>
      <c r="P152" t="str">
        <f t="shared" ref="P152" si="337">IF(L152&lt;N152,"未達成（"&amp;N152-L152&amp;"）",IF(L152=N152,"達成","前倒し（"&amp;L152-N152&amp;"）"))</f>
        <v>未達成（2）</v>
      </c>
    </row>
    <row r="153" spans="1:16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361</v>
      </c>
      <c r="I153" t="s">
        <v>362</v>
      </c>
      <c r="J153">
        <v>0</v>
      </c>
      <c r="K153">
        <f t="shared" ref="K153" si="338">IF(A153&lt;DATEVALUE("2025/11/20")+TIMEVALUE("6:00"),1,IF(B153-SUM(D153:F153)&lt;&gt;60,0,MAX(2-INT(G153*24*60/10),0)))</f>
        <v>2</v>
      </c>
      <c r="L153">
        <f t="shared" ref="L153" si="339">L152+K153</f>
        <v>160</v>
      </c>
      <c r="M153">
        <f t="shared" ref="M153" si="340">2+IF(A153&gt;=DATEVALUE("2025/11/30")+TIMEVALUE("6:00"),1,0)+IF(A153&gt;=DATEVALUE("2025/12/11")+TIMEVALUE("6:00"),1,0)</f>
        <v>4</v>
      </c>
      <c r="N153">
        <f t="shared" ref="N153" si="341">N152+M153*(INT(A153-6/24)-INT(A152-6/24))+O153</f>
        <v>160</v>
      </c>
      <c r="O153">
        <f t="shared" ref="O153" si="342">IF(A153&gt;=DATEVALUE("2025/11/8")+TIMEVALUE("6:00"),1,0)-IF(A152&gt;=DATEVALUE("2025/11/8")+TIMEVALUE("6:00"),1,0)</f>
        <v>0</v>
      </c>
      <c r="P153" t="str">
        <f t="shared" ref="P153" si="343">IF(L153&lt;N153,"未達成（"&amp;N153-L153&amp;"）",IF(L153=N153,"達成","前倒し（"&amp;L153-N153&amp;"）"))</f>
        <v>達成</v>
      </c>
    </row>
    <row r="154" spans="1:16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363</v>
      </c>
      <c r="I154" t="s">
        <v>364</v>
      </c>
      <c r="J154">
        <v>0</v>
      </c>
      <c r="K154">
        <f t="shared" ref="K154" si="344">IF(A154&lt;DATEVALUE("2025/11/20")+TIMEVALUE("6:00"),1,IF(B154-SUM(D154:F154)&lt;&gt;60,0,MAX(2-INT(G154*24*60/10),0)))</f>
        <v>1</v>
      </c>
      <c r="L154">
        <f t="shared" ref="L154" si="345">L153+K154</f>
        <v>161</v>
      </c>
      <c r="M154">
        <f t="shared" ref="M154" si="346">2+IF(A154&gt;=DATEVALUE("2025/11/30")+TIMEVALUE("6:00"),1,0)+IF(A154&gt;=DATEVALUE("2025/12/11")+TIMEVALUE("6:00"),1,0)</f>
        <v>4</v>
      </c>
      <c r="N154">
        <f t="shared" ref="N154" si="347">N153+M154*(INT(A154-6/24)-INT(A153-6/24))+O154</f>
        <v>164</v>
      </c>
      <c r="O154">
        <f t="shared" ref="O154" si="348">IF(A154&gt;=DATEVALUE("2025/11/8")+TIMEVALUE("6:00"),1,0)-IF(A153&gt;=DATEVALUE("2025/11/8")+TIMEVALUE("6:00"),1,0)</f>
        <v>0</v>
      </c>
      <c r="P154" t="str">
        <f t="shared" ref="P154" si="349">IF(L154&lt;N154,"未達成（"&amp;N154-L154&amp;"）",IF(L154=N154,"達成","前倒し（"&amp;L154-N154&amp;"）"))</f>
        <v>未達成（3）</v>
      </c>
    </row>
    <row r="155" spans="1:16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365</v>
      </c>
      <c r="I155" t="s">
        <v>366</v>
      </c>
      <c r="J155">
        <v>0</v>
      </c>
      <c r="K155">
        <f t="shared" ref="K155" si="350">IF(A155&lt;DATEVALUE("2025/11/20")+TIMEVALUE("6:00"),1,IF(B155-SUM(D155:F155)&lt;&gt;60,0,MAX(2-INT(G155*24*60/10),0)))</f>
        <v>2</v>
      </c>
      <c r="L155">
        <f t="shared" ref="L155" si="351">L154+K155</f>
        <v>163</v>
      </c>
      <c r="M155">
        <f t="shared" ref="M155" si="352">2+IF(A155&gt;=DATEVALUE("2025/11/30")+TIMEVALUE("6:00"),1,0)+IF(A155&gt;=DATEVALUE("2025/12/11")+TIMEVALUE("6:00"),1,0)</f>
        <v>4</v>
      </c>
      <c r="N155">
        <f t="shared" ref="N155" si="353">N154+M155*(INT(A155-6/24)-INT(A154-6/24))+O155</f>
        <v>164</v>
      </c>
      <c r="O155">
        <f t="shared" ref="O155" si="354">IF(A155&gt;=DATEVALUE("2025/11/8")+TIMEVALUE("6:00"),1,0)-IF(A154&gt;=DATEVALUE("2025/11/8")+TIMEVALUE("6:00"),1,0)</f>
        <v>0</v>
      </c>
      <c r="P155" t="str">
        <f t="shared" ref="P155" si="355">IF(L155&lt;N155,"未達成（"&amp;N155-L155&amp;"）",IF(L155=N155,"達成","前倒し（"&amp;L155-N155&amp;"）"))</f>
        <v>未達成（1）</v>
      </c>
    </row>
    <row r="156" spans="1:16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367</v>
      </c>
      <c r="I156" t="s">
        <v>368</v>
      </c>
      <c r="J156">
        <v>0</v>
      </c>
      <c r="K156">
        <f t="shared" ref="K156" si="356">IF(A156&lt;DATEVALUE("2025/11/20")+TIMEVALUE("6:00"),1,IF(B156-SUM(D156:F156)&lt;&gt;60,0,MAX(2-INT(G156*24*60/10),0)))</f>
        <v>2</v>
      </c>
      <c r="L156">
        <f t="shared" ref="L156" si="357">L155+K156</f>
        <v>165</v>
      </c>
      <c r="M156">
        <f t="shared" ref="M156" si="358">2+IF(A156&gt;=DATEVALUE("2025/11/30")+TIMEVALUE("6:00"),1,0)+IF(A156&gt;=DATEVALUE("2025/12/11")+TIMEVALUE("6:00"),1,0)</f>
        <v>4</v>
      </c>
      <c r="N156">
        <f t="shared" ref="N156" si="359">N155+M156*(INT(A156-6/24)-INT(A155-6/24))+O156</f>
        <v>164</v>
      </c>
      <c r="O156">
        <f t="shared" ref="O156" si="360">IF(A156&gt;=DATEVALUE("2025/11/8")+TIMEVALUE("6:00"),1,0)-IF(A155&gt;=DATEVALUE("2025/11/8")+TIMEVALUE("6:00"),1,0)</f>
        <v>0</v>
      </c>
      <c r="P156" t="str">
        <f t="shared" ref="P156" si="361">IF(L156&lt;N156,"未達成（"&amp;N156-L156&amp;"）",IF(L156=N156,"達成","前倒し（"&amp;L156-N156&amp;"）"))</f>
        <v>前倒し（1）</v>
      </c>
    </row>
    <row r="157" spans="1:16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369</v>
      </c>
      <c r="I157" t="s">
        <v>370</v>
      </c>
      <c r="J157">
        <v>0</v>
      </c>
      <c r="K157">
        <f t="shared" ref="K157" si="362">IF(A157&lt;DATEVALUE("2025/11/20")+TIMEVALUE("6:00"),1,IF(B157-SUM(D157:F157)&lt;&gt;60,0,MAX(2-INT(G157*24*60/10),0)))</f>
        <v>2</v>
      </c>
      <c r="L157">
        <f t="shared" ref="L157" si="363">L156+K157</f>
        <v>167</v>
      </c>
      <c r="M157">
        <f t="shared" ref="M157" si="364">2+IF(A157&gt;=DATEVALUE("2025/11/30")+TIMEVALUE("6:00"),1,0)+IF(A157&gt;=DATEVALUE("2025/12/11")+TIMEVALUE("6:00"),1,0)</f>
        <v>4</v>
      </c>
      <c r="N157">
        <f t="shared" ref="N157" si="365">N156+M157*(INT(A157-6/24)-INT(A156-6/24))+O157</f>
        <v>168</v>
      </c>
      <c r="O157">
        <f t="shared" ref="O157" si="366">IF(A157&gt;=DATEVALUE("2025/11/8")+TIMEVALUE("6:00"),1,0)-IF(A156&gt;=DATEVALUE("2025/11/8")+TIMEVALUE("6:00"),1,0)</f>
        <v>0</v>
      </c>
      <c r="P157" t="str">
        <f t="shared" ref="P157" si="367">IF(L157&lt;N157,"未達成（"&amp;N157-L157&amp;"）",IF(L157=N157,"達成","前倒し（"&amp;L157-N157&amp;"）"))</f>
        <v>未達成（1）</v>
      </c>
    </row>
    <row r="158" spans="1:16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371</v>
      </c>
      <c r="I158" t="s">
        <v>372</v>
      </c>
      <c r="J158">
        <v>0</v>
      </c>
      <c r="K158">
        <f t="shared" ref="K158" si="368">IF(A158&lt;DATEVALUE("2025/11/20")+TIMEVALUE("6:00"),1,IF(B158-SUM(D158:F158)&lt;&gt;60,0,MAX(2-INT(G158*24*60/10),0)))</f>
        <v>1</v>
      </c>
      <c r="L158">
        <f t="shared" ref="L158" si="369">L157+K158</f>
        <v>168</v>
      </c>
      <c r="M158">
        <f t="shared" ref="M158" si="370">2+IF(A158&gt;=DATEVALUE("2025/11/30")+TIMEVALUE("6:00"),1,0)+IF(A158&gt;=DATEVALUE("2025/12/11")+TIMEVALUE("6:00"),1,0)</f>
        <v>4</v>
      </c>
      <c r="N158">
        <f t="shared" ref="N158" si="371">N157+M158*(INT(A158-6/24)-INT(A157-6/24))+O158</f>
        <v>168</v>
      </c>
      <c r="O158">
        <f t="shared" ref="O158" si="372">IF(A158&gt;=DATEVALUE("2025/11/8")+TIMEVALUE("6:00"),1,0)-IF(A157&gt;=DATEVALUE("2025/11/8")+TIMEVALUE("6:00"),1,0)</f>
        <v>0</v>
      </c>
      <c r="P158" t="str">
        <f t="shared" ref="P158" si="373">IF(L158&lt;N158,"未達成（"&amp;N158-L158&amp;"）",IF(L158=N158,"達成","前倒し（"&amp;L158-N158&amp;"）"))</f>
        <v>達成</v>
      </c>
    </row>
    <row r="159" spans="1:16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373</v>
      </c>
      <c r="I159" t="s">
        <v>374</v>
      </c>
      <c r="J159">
        <v>0</v>
      </c>
      <c r="K159">
        <f t="shared" ref="K159" si="374">IF(A159&lt;DATEVALUE("2025/11/20")+TIMEVALUE("6:00"),1,IF(B159-SUM(D159:F159)&lt;&gt;60,0,MAX(2-INT(G159*24*60/10),0)))</f>
        <v>1</v>
      </c>
      <c r="L159">
        <f t="shared" ref="L159" si="375">L158+K159</f>
        <v>169</v>
      </c>
      <c r="M159">
        <f t="shared" ref="M159" si="376">2+IF(A159&gt;=DATEVALUE("2025/11/30")+TIMEVALUE("6:00"),1,0)+IF(A159&gt;=DATEVALUE("2025/12/11")+TIMEVALUE("6:00"),1,0)</f>
        <v>4</v>
      </c>
      <c r="N159">
        <f t="shared" ref="N159" si="377">N158+M159*(INT(A159-6/24)-INT(A158-6/24))+O159</f>
        <v>172</v>
      </c>
      <c r="O159">
        <f t="shared" ref="O159" si="378">IF(A159&gt;=DATEVALUE("2025/11/8")+TIMEVALUE("6:00"),1,0)-IF(A158&gt;=DATEVALUE("2025/11/8")+TIMEVALUE("6:00"),1,0)</f>
        <v>0</v>
      </c>
      <c r="P159" t="str">
        <f t="shared" ref="P159" si="379">IF(L159&lt;N159,"未達成（"&amp;N159-L159&amp;"）",IF(L159=N159,"達成","前倒し（"&amp;L159-N159&amp;"）"))</f>
        <v>未達成（3）</v>
      </c>
    </row>
    <row r="160" spans="1:16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375</v>
      </c>
      <c r="I160" t="s">
        <v>376</v>
      </c>
      <c r="J160">
        <v>0</v>
      </c>
      <c r="K160">
        <f t="shared" ref="K160" si="380">IF(A160&lt;DATEVALUE("2025/11/20")+TIMEVALUE("6:00"),1,IF(B160-SUM(D160:F160)&lt;&gt;60,0,MAX(2-INT(G160*24*60/10),0)))</f>
        <v>2</v>
      </c>
      <c r="L160">
        <f t="shared" ref="L160" si="381">L159+K160</f>
        <v>171</v>
      </c>
      <c r="M160">
        <f t="shared" ref="M160" si="382">2+IF(A160&gt;=DATEVALUE("2025/11/30")+TIMEVALUE("6:00"),1,0)+IF(A160&gt;=DATEVALUE("2025/12/11")+TIMEVALUE("6:00"),1,0)</f>
        <v>4</v>
      </c>
      <c r="N160">
        <f t="shared" ref="N160" si="383">N159+M160*(INT(A160-6/24)-INT(A159-6/24))+O160</f>
        <v>172</v>
      </c>
      <c r="O160">
        <f t="shared" ref="O160" si="384">IF(A160&gt;=DATEVALUE("2025/11/8")+TIMEVALUE("6:00"),1,0)-IF(A159&gt;=DATEVALUE("2025/11/8")+TIMEVALUE("6:00"),1,0)</f>
        <v>0</v>
      </c>
      <c r="P160" t="str">
        <f t="shared" ref="P160" si="385">IF(L160&lt;N160,"未達成（"&amp;N160-L160&amp;"）",IF(L160=N160,"達成","前倒し（"&amp;L160-N160&amp;"）"))</f>
        <v>未達成（1）</v>
      </c>
    </row>
    <row r="161" spans="1:16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377</v>
      </c>
      <c r="I161" t="s">
        <v>378</v>
      </c>
      <c r="J161">
        <v>0</v>
      </c>
      <c r="K161">
        <f t="shared" ref="K161" si="386">IF(A161&lt;DATEVALUE("2025/11/20")+TIMEVALUE("6:00"),1,IF(B161-SUM(D161:F161)&lt;&gt;60,0,MAX(2-INT(G161*24*60/10),0)))</f>
        <v>1</v>
      </c>
      <c r="L161">
        <f t="shared" ref="L161" si="387">L160+K161</f>
        <v>172</v>
      </c>
      <c r="M161">
        <f t="shared" ref="M161" si="388">2+IF(A161&gt;=DATEVALUE("2025/11/30")+TIMEVALUE("6:00"),1,0)+IF(A161&gt;=DATEVALUE("2025/12/11")+TIMEVALUE("6:00"),1,0)</f>
        <v>4</v>
      </c>
      <c r="N161">
        <f t="shared" ref="N161" si="389">N160+M161*(INT(A161-6/24)-INT(A160-6/24))+O161</f>
        <v>172</v>
      </c>
      <c r="O161">
        <f t="shared" ref="O161" si="390">IF(A161&gt;=DATEVALUE("2025/11/8")+TIMEVALUE("6:00"),1,0)-IF(A160&gt;=DATEVALUE("2025/11/8")+TIMEVALUE("6:00"),1,0)</f>
        <v>0</v>
      </c>
      <c r="P161" t="str">
        <f t="shared" ref="P161" si="391">IF(L161&lt;N161,"未達成（"&amp;N161-L161&amp;"）",IF(L161=N161,"達成","前倒し（"&amp;L161-N161&amp;"）"))</f>
        <v>達成</v>
      </c>
    </row>
    <row r="162" spans="1:16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379</v>
      </c>
      <c r="I162" t="s">
        <v>380</v>
      </c>
      <c r="J162">
        <v>0</v>
      </c>
      <c r="K162">
        <f t="shared" ref="K162" si="392">IF(A162&lt;DATEVALUE("2025/11/20")+TIMEVALUE("6:00"),1,IF(B162-SUM(D162:F162)&lt;&gt;60,0,MAX(2-INT(G162*24*60/10),0)))</f>
        <v>2</v>
      </c>
      <c r="L162">
        <f t="shared" ref="L162" si="393">L161+K162</f>
        <v>174</v>
      </c>
      <c r="M162">
        <f t="shared" ref="M162" si="394">2+IF(A162&gt;=DATEVALUE("2025/11/30")+TIMEVALUE("6:00"),1,0)+IF(A162&gt;=DATEVALUE("2025/12/11")+TIMEVALUE("6:00"),1,0)</f>
        <v>4</v>
      </c>
      <c r="N162">
        <f t="shared" ref="N162" si="395">N161+M162*(INT(A162-6/24)-INT(A161-6/24))+O162</f>
        <v>176</v>
      </c>
      <c r="O162">
        <f t="shared" ref="O162" si="396">IF(A162&gt;=DATEVALUE("2025/11/8")+TIMEVALUE("6:00"),1,0)-IF(A161&gt;=DATEVALUE("2025/11/8")+TIMEVALUE("6:00"),1,0)</f>
        <v>0</v>
      </c>
      <c r="P162" t="str">
        <f t="shared" ref="P162" si="397">IF(L162&lt;N162,"未達成（"&amp;N162-L162&amp;"）",IF(L162=N162,"達成","前倒し（"&amp;L162-N162&amp;"）"))</f>
        <v>未達成（2）</v>
      </c>
    </row>
    <row r="163" spans="1:16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381</v>
      </c>
      <c r="I163" t="s">
        <v>382</v>
      </c>
      <c r="J163">
        <v>0</v>
      </c>
      <c r="K163">
        <f t="shared" ref="K163" si="398">IF(A163&lt;DATEVALUE("2025/11/20")+TIMEVALUE("6:00"),1,IF(B163-SUM(D163:F163)&lt;&gt;60,0,MAX(2-INT(G163*24*60/10),0)))</f>
        <v>1</v>
      </c>
      <c r="L163">
        <f t="shared" ref="L163" si="399">L162+K163</f>
        <v>175</v>
      </c>
      <c r="M163">
        <f t="shared" ref="M163" si="400">2+IF(A163&gt;=DATEVALUE("2025/11/30")+TIMEVALUE("6:00"),1,0)+IF(A163&gt;=DATEVALUE("2025/12/11")+TIMEVALUE("6:00"),1,0)</f>
        <v>4</v>
      </c>
      <c r="N163">
        <f t="shared" ref="N163" si="401">N162+M163*(INT(A163-6/24)-INT(A162-6/24))+O163</f>
        <v>176</v>
      </c>
      <c r="O163">
        <f t="shared" ref="O163" si="402">IF(A163&gt;=DATEVALUE("2025/11/8")+TIMEVALUE("6:00"),1,0)-IF(A162&gt;=DATEVALUE("2025/11/8")+TIMEVALUE("6:00"),1,0)</f>
        <v>0</v>
      </c>
      <c r="P163" t="str">
        <f t="shared" ref="P163" si="403">IF(L163&lt;N163,"未達成（"&amp;N163-L163&amp;"）",IF(L163=N163,"達成","前倒し（"&amp;L163-N163&amp;"）"))</f>
        <v>未達成（1）</v>
      </c>
    </row>
    <row r="164" spans="1:16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383</v>
      </c>
      <c r="I164" t="s">
        <v>384</v>
      </c>
      <c r="J164">
        <v>0</v>
      </c>
      <c r="K164">
        <f t="shared" ref="K164" si="404">IF(A164&lt;DATEVALUE("2025/11/20")+TIMEVALUE("6:00"),1,IF(B164-SUM(D164:F164)&lt;&gt;60,0,MAX(2-INT(G164*24*60/10),0)))</f>
        <v>2</v>
      </c>
      <c r="L164">
        <f t="shared" ref="L164" si="405">L163+K164</f>
        <v>177</v>
      </c>
      <c r="M164">
        <f t="shared" ref="M164" si="406">2+IF(A164&gt;=DATEVALUE("2025/11/30")+TIMEVALUE("6:00"),1,0)+IF(A164&gt;=DATEVALUE("2025/12/11")+TIMEVALUE("6:00"),1,0)</f>
        <v>4</v>
      </c>
      <c r="N164">
        <f t="shared" ref="N164" si="407">N163+M164*(INT(A164-6/24)-INT(A163-6/24))+O164</f>
        <v>176</v>
      </c>
      <c r="O164">
        <f t="shared" ref="O164" si="408">IF(A164&gt;=DATEVALUE("2025/11/8")+TIMEVALUE("6:00"),1,0)-IF(A163&gt;=DATEVALUE("2025/11/8")+TIMEVALUE("6:00"),1,0)</f>
        <v>0</v>
      </c>
      <c r="P164" t="str">
        <f t="shared" ref="P164" si="409">IF(L164&lt;N164,"未達成（"&amp;N164-L164&amp;"）",IF(L164=N164,"達成","前倒し（"&amp;L164-N164&amp;"）"))</f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46023.448055555556</v>
      </c>
      <c r="D3" s="25"/>
    </row>
    <row r="4" spans="1:4">
      <c r="A4" t="s">
        <v>340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2026-01-01T01:52:44Z</dcterms:modified>
</cp:coreProperties>
</file>
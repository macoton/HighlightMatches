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0D49A31B-9F2C-4863-B704-11F3ADB7075F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79" i="4" l="1"/>
  <c r="M179" i="4"/>
  <c r="N179" i="4" s="1"/>
  <c r="K179" i="4"/>
  <c r="L179" i="4" s="1"/>
  <c r="P179" i="4" s="1"/>
  <c r="O178" i="4"/>
  <c r="M178" i="4"/>
  <c r="K178" i="4"/>
  <c r="O177" i="4"/>
  <c r="M177" i="4"/>
  <c r="K177" i="4"/>
  <c r="O176" i="4"/>
  <c r="M176" i="4"/>
  <c r="K176" i="4"/>
  <c r="O175" i="4"/>
  <c r="M175" i="4"/>
  <c r="K175" i="4"/>
  <c r="K174" i="4"/>
  <c r="K173" i="4"/>
  <c r="K172" i="4"/>
  <c r="K171" i="4"/>
  <c r="K170" i="4"/>
  <c r="K169" i="4"/>
  <c r="K168" i="4"/>
  <c r="K167" i="4"/>
  <c r="K166" i="4"/>
  <c r="K165" i="4"/>
  <c r="K164" i="4"/>
  <c r="K163" i="4"/>
  <c r="K162" i="4"/>
  <c r="K161" i="4"/>
  <c r="K160" i="4"/>
  <c r="K159" i="4"/>
  <c r="K158" i="4"/>
  <c r="K157" i="4"/>
  <c r="K156" i="4"/>
  <c r="K155" i="4"/>
  <c r="K154" i="4"/>
  <c r="K153" i="4"/>
  <c r="K152" i="4"/>
  <c r="K151" i="4"/>
  <c r="K150" i="4"/>
  <c r="K149" i="4"/>
  <c r="K148" i="4"/>
  <c r="K147" i="4"/>
  <c r="K146" i="4"/>
  <c r="K145" i="4"/>
  <c r="K144" i="4"/>
  <c r="K143" i="4"/>
  <c r="K142" i="4"/>
  <c r="K141" i="4"/>
  <c r="K140" i="4"/>
  <c r="K139" i="4"/>
  <c r="K138" i="4"/>
  <c r="K137" i="4"/>
  <c r="K136" i="4"/>
  <c r="K135" i="4"/>
  <c r="K134" i="4"/>
  <c r="K133" i="4"/>
  <c r="K132" i="4"/>
  <c r="K131" i="4"/>
  <c r="K130" i="4"/>
  <c r="K129" i="4"/>
  <c r="K128" i="4"/>
  <c r="K127" i="4"/>
  <c r="K126" i="4"/>
  <c r="K125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O174" i="4"/>
  <c r="M174" i="4"/>
  <c r="O173" i="4"/>
  <c r="M173" i="4"/>
  <c r="O172" i="4"/>
  <c r="M172" i="4"/>
  <c r="O171" i="4"/>
  <c r="M171" i="4"/>
  <c r="O170" i="4"/>
  <c r="M170" i="4"/>
  <c r="O169" i="4"/>
  <c r="M169" i="4"/>
  <c r="O168" i="4"/>
  <c r="M168" i="4"/>
  <c r="O167" i="4"/>
  <c r="M167" i="4"/>
  <c r="O166" i="4"/>
  <c r="M166" i="4"/>
  <c r="O165" i="4"/>
  <c r="M165" i="4"/>
  <c r="O164" i="4"/>
  <c r="M164" i="4"/>
  <c r="O163" i="4"/>
  <c r="M163" i="4"/>
  <c r="O162" i="4"/>
  <c r="M162" i="4"/>
  <c r="O161" i="4"/>
  <c r="M161" i="4"/>
  <c r="O160" i="4"/>
  <c r="M160" i="4"/>
  <c r="O159" i="4"/>
  <c r="M159" i="4"/>
  <c r="O158" i="4"/>
  <c r="M158" i="4"/>
  <c r="O157" i="4"/>
  <c r="M157" i="4"/>
  <c r="O156" i="4"/>
  <c r="M156" i="4"/>
  <c r="O155" i="4"/>
  <c r="M155" i="4"/>
  <c r="O154" i="4"/>
  <c r="M154" i="4"/>
  <c r="O153" i="4"/>
  <c r="M153" i="4"/>
  <c r="O152" i="4"/>
  <c r="M152" i="4"/>
  <c r="O151" i="4"/>
  <c r="M151" i="4"/>
  <c r="O150" i="4"/>
  <c r="M150" i="4"/>
  <c r="O149" i="4"/>
  <c r="M149" i="4"/>
  <c r="O148" i="4"/>
  <c r="M148" i="4"/>
  <c r="O147" i="4"/>
  <c r="M147" i="4"/>
  <c r="O146" i="4"/>
  <c r="M146" i="4"/>
  <c r="O145" i="4"/>
  <c r="M145" i="4"/>
  <c r="O144" i="4"/>
  <c r="M144" i="4"/>
  <c r="O143" i="4"/>
  <c r="M143" i="4"/>
  <c r="O142" i="4"/>
  <c r="M142" i="4"/>
  <c r="O141" i="4"/>
  <c r="M141" i="4"/>
  <c r="O140" i="4"/>
  <c r="M140" i="4"/>
  <c r="O139" i="4"/>
  <c r="M139" i="4"/>
  <c r="O138" i="4"/>
  <c r="M138" i="4"/>
  <c r="O137" i="4"/>
  <c r="M137" i="4"/>
  <c r="O136" i="4"/>
  <c r="M136" i="4"/>
  <c r="O135" i="4"/>
  <c r="M135" i="4"/>
  <c r="O134" i="4"/>
  <c r="M134" i="4"/>
  <c r="O133" i="4"/>
  <c r="M133" i="4"/>
  <c r="O132" i="4"/>
  <c r="M132" i="4"/>
  <c r="O131" i="4"/>
  <c r="M131" i="4"/>
  <c r="O130" i="4"/>
  <c r="M130" i="4"/>
  <c r="O129" i="4"/>
  <c r="M129" i="4"/>
  <c r="O128" i="4"/>
  <c r="M128" i="4"/>
  <c r="O127" i="4"/>
  <c r="M127" i="4"/>
  <c r="O126" i="4"/>
  <c r="M126" i="4"/>
  <c r="O125" i="4"/>
  <c r="M125" i="4"/>
  <c r="O124" i="4"/>
  <c r="M124" i="4"/>
  <c r="O123" i="4"/>
  <c r="M123" i="4"/>
  <c r="O122" i="4"/>
  <c r="M122" i="4"/>
  <c r="O121" i="4"/>
  <c r="M121" i="4"/>
  <c r="O120" i="4"/>
  <c r="M120" i="4"/>
  <c r="O119" i="4"/>
  <c r="M119" i="4"/>
  <c r="O118" i="4"/>
  <c r="M118" i="4"/>
  <c r="O117" i="4"/>
  <c r="M117" i="4"/>
  <c r="O116" i="4"/>
  <c r="M116" i="4"/>
  <c r="O115" i="4"/>
  <c r="M115" i="4"/>
  <c r="O114" i="4"/>
  <c r="M114" i="4"/>
  <c r="O113" i="4"/>
  <c r="M113" i="4"/>
  <c r="O112" i="4"/>
  <c r="M112" i="4"/>
  <c r="O111" i="4"/>
  <c r="M111" i="4"/>
  <c r="O110" i="4"/>
  <c r="M110" i="4"/>
  <c r="O109" i="4"/>
  <c r="M109" i="4"/>
  <c r="O108" i="4"/>
  <c r="M108" i="4"/>
  <c r="O107" i="4"/>
  <c r="M107" i="4"/>
  <c r="O106" i="4"/>
  <c r="M106" i="4"/>
  <c r="O105" i="4"/>
  <c r="M105" i="4"/>
  <c r="O104" i="4"/>
  <c r="M104" i="4"/>
  <c r="O103" i="4"/>
  <c r="M103" i="4"/>
  <c r="O102" i="4"/>
  <c r="M102" i="4"/>
  <c r="O101" i="4"/>
  <c r="M101" i="4"/>
  <c r="O100" i="4"/>
  <c r="M100" i="4"/>
  <c r="O99" i="4"/>
  <c r="M99" i="4"/>
  <c r="O98" i="4"/>
  <c r="M98" i="4"/>
  <c r="O97" i="4"/>
  <c r="M97" i="4"/>
  <c r="O96" i="4"/>
  <c r="M96" i="4"/>
  <c r="O95" i="4"/>
  <c r="M95" i="4"/>
  <c r="O94" i="4"/>
  <c r="M94" i="4"/>
  <c r="O93" i="4"/>
  <c r="M93" i="4"/>
  <c r="O92" i="4"/>
  <c r="M92" i="4"/>
  <c r="O91" i="4"/>
  <c r="M91" i="4"/>
  <c r="O90" i="4"/>
  <c r="M90" i="4"/>
  <c r="O89" i="4"/>
  <c r="M89" i="4"/>
  <c r="O88" i="4"/>
  <c r="M88" i="4"/>
  <c r="O87" i="4"/>
  <c r="M87" i="4"/>
  <c r="O86" i="4"/>
  <c r="M86" i="4"/>
  <c r="O85" i="4"/>
  <c r="M85" i="4"/>
  <c r="O84" i="4"/>
  <c r="M84" i="4"/>
  <c r="O83" i="4"/>
  <c r="M83" i="4"/>
  <c r="O82" i="4"/>
  <c r="M82" i="4"/>
  <c r="O81" i="4"/>
  <c r="M81" i="4"/>
  <c r="O80" i="4"/>
  <c r="M80" i="4"/>
  <c r="O79" i="4"/>
  <c r="M79" i="4"/>
  <c r="O78" i="4"/>
  <c r="M78" i="4"/>
  <c r="O77" i="4"/>
  <c r="M77" i="4"/>
  <c r="O76" i="4"/>
  <c r="M76" i="4"/>
  <c r="O75" i="4"/>
  <c r="M75" i="4"/>
  <c r="O74" i="4"/>
  <c r="M74" i="4"/>
  <c r="O73" i="4"/>
  <c r="M73" i="4"/>
  <c r="O72" i="4"/>
  <c r="M72" i="4"/>
  <c r="O71" i="4"/>
  <c r="M71" i="4"/>
  <c r="O70" i="4"/>
  <c r="M70" i="4"/>
  <c r="O69" i="4"/>
  <c r="M69" i="4"/>
  <c r="O68" i="4"/>
  <c r="M68" i="4"/>
  <c r="O67" i="4"/>
  <c r="M67" i="4"/>
  <c r="O66" i="4"/>
  <c r="M66" i="4"/>
  <c r="O65" i="4"/>
  <c r="M65" i="4"/>
  <c r="O64" i="4"/>
  <c r="M64" i="4"/>
  <c r="O63" i="4"/>
  <c r="M63" i="4"/>
  <c r="O62" i="4"/>
  <c r="M62" i="4"/>
  <c r="O61" i="4"/>
  <c r="M61" i="4"/>
  <c r="O60" i="4"/>
  <c r="M60" i="4"/>
  <c r="O59" i="4"/>
  <c r="M59" i="4"/>
  <c r="O58" i="4"/>
  <c r="M58" i="4"/>
  <c r="O57" i="4"/>
  <c r="M57" i="4"/>
  <c r="O56" i="4"/>
  <c r="M56" i="4"/>
  <c r="O55" i="4"/>
  <c r="M55" i="4"/>
  <c r="O54" i="4"/>
  <c r="M54" i="4"/>
  <c r="O53" i="4"/>
  <c r="M53" i="4"/>
  <c r="O52" i="4"/>
  <c r="M52" i="4"/>
  <c r="O51" i="4"/>
  <c r="M51" i="4"/>
  <c r="O50" i="4"/>
  <c r="M50" i="4"/>
  <c r="O49" i="4"/>
  <c r="M49" i="4"/>
  <c r="O48" i="4"/>
  <c r="M48" i="4"/>
  <c r="O47" i="4"/>
  <c r="M47" i="4"/>
  <c r="O46" i="4"/>
  <c r="M46" i="4"/>
  <c r="O45" i="4"/>
  <c r="M45" i="4"/>
  <c r="O44" i="4"/>
  <c r="M44" i="4"/>
  <c r="O43" i="4"/>
  <c r="M43" i="4"/>
  <c r="O42" i="4"/>
  <c r="M42" i="4"/>
  <c r="O41" i="4"/>
  <c r="M41" i="4"/>
  <c r="O40" i="4"/>
  <c r="M40" i="4"/>
  <c r="O39" i="4"/>
  <c r="M39" i="4"/>
  <c r="O38" i="4"/>
  <c r="M38" i="4"/>
  <c r="O37" i="4"/>
  <c r="M37" i="4"/>
  <c r="O36" i="4"/>
  <c r="M36" i="4"/>
  <c r="O35" i="4"/>
  <c r="M35" i="4"/>
  <c r="O34" i="4"/>
  <c r="M34" i="4"/>
  <c r="O33" i="4"/>
  <c r="M33" i="4"/>
  <c r="O32" i="4"/>
  <c r="M32" i="4"/>
  <c r="O31" i="4"/>
  <c r="M31" i="4"/>
  <c r="O30" i="4"/>
  <c r="M30" i="4"/>
  <c r="O29" i="4"/>
  <c r="M29" i="4"/>
  <c r="O28" i="4"/>
  <c r="M28" i="4"/>
  <c r="O27" i="4"/>
  <c r="M27" i="4"/>
  <c r="O26" i="4"/>
  <c r="M26" i="4"/>
  <c r="O25" i="4"/>
  <c r="M25" i="4"/>
  <c r="O24" i="4"/>
  <c r="M24" i="4"/>
  <c r="O23" i="4"/>
  <c r="M23" i="4"/>
  <c r="O22" i="4"/>
  <c r="M22" i="4"/>
  <c r="O21" i="4"/>
  <c r="M21" i="4"/>
  <c r="O20" i="4"/>
  <c r="M20" i="4"/>
  <c r="O19" i="4"/>
  <c r="M19" i="4"/>
  <c r="O18" i="4"/>
  <c r="M18" i="4"/>
  <c r="L18" i="4" l="1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L20" i="4" l="1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21" i="4" l="1"/>
  <c r="P20" i="4"/>
  <c r="T2" i="5"/>
  <c r="T3" i="5"/>
  <c r="T4" i="3"/>
  <c r="S5" i="3"/>
  <c r="P21" i="4" l="1"/>
  <c r="L22" i="4"/>
  <c r="T4" i="5"/>
  <c r="S6" i="3"/>
  <c r="T6" i="3" s="1"/>
  <c r="T5" i="3"/>
  <c r="L23" i="4" l="1"/>
  <c r="P22" i="4"/>
  <c r="T6" i="5"/>
  <c r="T5" i="5"/>
  <c r="L24" i="4" l="1"/>
  <c r="P23" i="4"/>
  <c r="P18" i="4"/>
  <c r="P24" i="4" l="1"/>
  <c r="L25" i="4"/>
  <c r="P25" i="4" l="1"/>
  <c r="L26" i="4"/>
  <c r="L27" i="4" l="1"/>
  <c r="P26" i="4"/>
  <c r="L28" i="4" l="1"/>
  <c r="P27" i="4"/>
  <c r="L29" i="4" l="1"/>
  <c r="P28" i="4"/>
  <c r="P29" i="4" l="1"/>
  <c r="L30" i="4"/>
  <c r="L31" i="4" l="1"/>
  <c r="P30" i="4"/>
  <c r="L32" i="4" l="1"/>
  <c r="P31" i="4"/>
  <c r="P32" i="4" l="1"/>
  <c r="L33" i="4"/>
  <c r="P33" i="4" l="1"/>
  <c r="L34" i="4"/>
  <c r="L35" i="4" l="1"/>
  <c r="P34" i="4"/>
  <c r="L36" i="4" l="1"/>
  <c r="P35" i="4"/>
  <c r="L37" i="4" l="1"/>
  <c r="P36" i="4"/>
  <c r="P37" i="4" l="1"/>
  <c r="L38" i="4"/>
  <c r="L39" i="4" l="1"/>
  <c r="P38" i="4"/>
  <c r="L40" i="4" l="1"/>
  <c r="P39" i="4"/>
  <c r="P40" i="4" l="1"/>
  <c r="L41" i="4"/>
  <c r="P41" i="4" l="1"/>
  <c r="L42" i="4"/>
  <c r="L43" i="4" l="1"/>
  <c r="P42" i="4"/>
  <c r="L44" i="4" l="1"/>
  <c r="P43" i="4"/>
  <c r="L45" i="4" l="1"/>
  <c r="P44" i="4"/>
  <c r="P45" i="4" l="1"/>
  <c r="L46" i="4"/>
  <c r="L47" i="4" l="1"/>
  <c r="P46" i="4"/>
  <c r="L48" i="4" l="1"/>
  <c r="P47" i="4"/>
  <c r="P48" i="4" l="1"/>
  <c r="L49" i="4"/>
  <c r="P49" i="4" l="1"/>
  <c r="L50" i="4"/>
  <c r="L51" i="4" l="1"/>
  <c r="P50" i="4"/>
  <c r="L52" i="4" l="1"/>
  <c r="P51" i="4"/>
  <c r="P52" i="4" l="1"/>
  <c r="L53" i="4"/>
  <c r="P53" i="4" l="1"/>
  <c r="L54" i="4"/>
  <c r="L55" i="4" l="1"/>
  <c r="P54" i="4"/>
  <c r="L56" i="4" l="1"/>
  <c r="P55" i="4"/>
  <c r="P56" i="4" l="1"/>
  <c r="L57" i="4"/>
  <c r="P57" i="4" l="1"/>
  <c r="L58" i="4"/>
  <c r="L59" i="4" l="1"/>
  <c r="P58" i="4"/>
  <c r="L60" i="4" l="1"/>
  <c r="P59" i="4"/>
  <c r="P60" i="4" l="1"/>
  <c r="L61" i="4"/>
  <c r="P61" i="4" l="1"/>
  <c r="L62" i="4"/>
  <c r="L63" i="4" l="1"/>
  <c r="P62" i="4"/>
  <c r="L64" i="4" l="1"/>
  <c r="P63" i="4"/>
  <c r="P64" i="4" l="1"/>
  <c r="L65" i="4"/>
  <c r="P65" i="4" l="1"/>
  <c r="L66" i="4"/>
  <c r="L67" i="4" l="1"/>
  <c r="P66" i="4"/>
  <c r="L68" i="4" l="1"/>
  <c r="P67" i="4"/>
  <c r="P68" i="4" l="1"/>
  <c r="L69" i="4"/>
  <c r="P69" i="4" l="1"/>
  <c r="L70" i="4"/>
  <c r="L71" i="4" l="1"/>
  <c r="P70" i="4"/>
  <c r="P71" i="4" l="1"/>
  <c r="L72" i="4"/>
  <c r="L73" i="4" l="1"/>
  <c r="P72" i="4"/>
  <c r="L74" i="4" l="1"/>
  <c r="P73" i="4"/>
  <c r="L75" i="4" l="1"/>
  <c r="P74" i="4"/>
  <c r="P75" i="4" l="1"/>
  <c r="L76" i="4"/>
  <c r="L77" i="4" l="1"/>
  <c r="P76" i="4"/>
  <c r="L78" i="4" l="1"/>
  <c r="P77" i="4"/>
  <c r="L79" i="4" l="1"/>
  <c r="P78" i="4"/>
  <c r="P79" i="4" l="1"/>
  <c r="L80" i="4"/>
  <c r="L81" i="4" l="1"/>
  <c r="P80" i="4"/>
  <c r="L82" i="4" l="1"/>
  <c r="P81" i="4"/>
  <c r="L83" i="4" l="1"/>
  <c r="P82" i="4"/>
  <c r="P83" i="4" l="1"/>
  <c r="L84" i="4"/>
  <c r="L85" i="4" l="1"/>
  <c r="P84" i="4"/>
  <c r="L86" i="4" l="1"/>
  <c r="P85" i="4"/>
  <c r="L87" i="4" l="1"/>
  <c r="P86" i="4"/>
  <c r="P87" i="4" l="1"/>
  <c r="L88" i="4"/>
  <c r="L89" i="4" l="1"/>
  <c r="P88" i="4"/>
  <c r="L90" i="4" l="1"/>
  <c r="P89" i="4"/>
  <c r="L91" i="4" l="1"/>
  <c r="P90" i="4"/>
  <c r="P91" i="4" l="1"/>
  <c r="L92" i="4"/>
  <c r="L93" i="4" l="1"/>
  <c r="P92" i="4"/>
  <c r="L94" i="4" l="1"/>
  <c r="P93" i="4"/>
  <c r="L95" i="4" l="1"/>
  <c r="P94" i="4"/>
  <c r="P95" i="4" l="1"/>
  <c r="L96" i="4"/>
  <c r="L97" i="4" l="1"/>
  <c r="P96" i="4"/>
  <c r="L98" i="4" l="1"/>
  <c r="P97" i="4"/>
  <c r="L99" i="4" l="1"/>
  <c r="P98" i="4"/>
  <c r="P99" i="4" l="1"/>
  <c r="L100" i="4"/>
  <c r="L101" i="4" l="1"/>
  <c r="P100" i="4"/>
  <c r="L102" i="4" l="1"/>
  <c r="P101" i="4"/>
  <c r="L103" i="4" l="1"/>
  <c r="P102" i="4"/>
  <c r="P103" i="4" l="1"/>
  <c r="L104" i="4"/>
  <c r="L105" i="4" l="1"/>
  <c r="P104" i="4"/>
  <c r="L106" i="4" l="1"/>
  <c r="P105" i="4"/>
  <c r="L107" i="4" l="1"/>
  <c r="P106" i="4"/>
  <c r="P107" i="4" l="1"/>
  <c r="L108" i="4"/>
  <c r="L109" i="4" l="1"/>
  <c r="P108" i="4"/>
  <c r="L110" i="4" l="1"/>
  <c r="P109" i="4"/>
  <c r="L111" i="4" l="1"/>
  <c r="P110" i="4"/>
  <c r="P111" i="4" l="1"/>
  <c r="L112" i="4"/>
  <c r="L113" i="4" l="1"/>
  <c r="P112" i="4"/>
  <c r="L114" i="4" l="1"/>
  <c r="P113" i="4"/>
  <c r="L115" i="4" l="1"/>
  <c r="P114" i="4"/>
  <c r="P115" i="4" l="1"/>
  <c r="L116" i="4"/>
  <c r="L117" i="4" l="1"/>
  <c r="P116" i="4"/>
  <c r="L118" i="4" l="1"/>
  <c r="P117" i="4"/>
  <c r="L119" i="4" l="1"/>
  <c r="P118" i="4"/>
  <c r="P119" i="4" l="1"/>
  <c r="L120" i="4"/>
  <c r="L121" i="4" l="1"/>
  <c r="P120" i="4"/>
  <c r="L122" i="4" l="1"/>
  <c r="P121" i="4"/>
  <c r="L123" i="4" l="1"/>
  <c r="P122" i="4"/>
  <c r="P123" i="4" l="1"/>
  <c r="L124" i="4"/>
  <c r="L125" i="4" l="1"/>
  <c r="P124" i="4"/>
  <c r="L126" i="4" l="1"/>
  <c r="P125" i="4"/>
  <c r="L127" i="4" l="1"/>
  <c r="P126" i="4"/>
  <c r="P127" i="4" l="1"/>
  <c r="L128" i="4"/>
  <c r="L129" i="4" l="1"/>
  <c r="P128" i="4"/>
  <c r="L130" i="4" l="1"/>
  <c r="P129" i="4"/>
  <c r="L131" i="4" l="1"/>
  <c r="P130" i="4"/>
  <c r="P131" i="4" l="1"/>
  <c r="L132" i="4"/>
  <c r="L133" i="4" l="1"/>
  <c r="P132" i="4"/>
  <c r="L134" i="4" l="1"/>
  <c r="P133" i="4"/>
  <c r="L135" i="4" l="1"/>
  <c r="P134" i="4"/>
  <c r="P135" i="4" l="1"/>
  <c r="L136" i="4"/>
  <c r="L137" i="4" l="1"/>
  <c r="P136" i="4"/>
  <c r="L138" i="4" l="1"/>
  <c r="P137" i="4"/>
  <c r="L139" i="4" l="1"/>
  <c r="P138" i="4"/>
  <c r="P139" i="4" l="1"/>
  <c r="L140" i="4"/>
  <c r="L141" i="4" l="1"/>
  <c r="P140" i="4"/>
  <c r="L142" i="4" l="1"/>
  <c r="P141" i="4"/>
  <c r="L143" i="4" l="1"/>
  <c r="P142" i="4"/>
  <c r="P143" i="4" l="1"/>
  <c r="L144" i="4"/>
  <c r="L145" i="4" l="1"/>
  <c r="P144" i="4"/>
  <c r="L146" i="4" l="1"/>
  <c r="P145" i="4"/>
  <c r="L147" i="4" l="1"/>
  <c r="P146" i="4"/>
  <c r="P147" i="4" l="1"/>
  <c r="L148" i="4"/>
  <c r="L149" i="4" l="1"/>
  <c r="P148" i="4"/>
  <c r="L150" i="4" l="1"/>
  <c r="P149" i="4"/>
  <c r="L151" i="4" l="1"/>
  <c r="P150" i="4"/>
  <c r="P151" i="4" l="1"/>
  <c r="L152" i="4"/>
  <c r="L153" i="4" l="1"/>
  <c r="P152" i="4"/>
  <c r="L154" i="4" l="1"/>
  <c r="P153" i="4"/>
  <c r="L155" i="4" l="1"/>
  <c r="P154" i="4"/>
  <c r="P155" i="4" l="1"/>
  <c r="L156" i="4"/>
  <c r="L157" i="4" l="1"/>
  <c r="P156" i="4"/>
  <c r="L158" i="4" l="1"/>
  <c r="P157" i="4"/>
  <c r="L159" i="4" l="1"/>
  <c r="P158" i="4"/>
  <c r="P159" i="4" l="1"/>
  <c r="L160" i="4"/>
  <c r="L161" i="4" l="1"/>
  <c r="P160" i="4"/>
  <c r="L162" i="4" l="1"/>
  <c r="P161" i="4"/>
  <c r="L163" i="4" l="1"/>
  <c r="P162" i="4"/>
  <c r="P163" i="4" l="1"/>
  <c r="L164" i="4"/>
  <c r="L165" i="4" l="1"/>
  <c r="P164" i="4"/>
  <c r="L166" i="4" l="1"/>
  <c r="P165" i="4"/>
  <c r="L167" i="4" l="1"/>
  <c r="P166" i="4"/>
  <c r="P167" i="4" l="1"/>
  <c r="L168" i="4"/>
  <c r="L169" i="4" l="1"/>
  <c r="P168" i="4"/>
  <c r="L170" i="4" l="1"/>
  <c r="P169" i="4"/>
  <c r="L171" i="4" l="1"/>
  <c r="P170" i="4"/>
  <c r="P171" i="4" l="1"/>
  <c r="L172" i="4"/>
  <c r="L173" i="4" l="1"/>
  <c r="P172" i="4"/>
  <c r="L174" i="4" l="1"/>
  <c r="L175" i="4" s="1"/>
  <c r="L176" i="4" s="1"/>
  <c r="P173" i="4"/>
  <c r="L177" i="4" l="1"/>
  <c r="P176" i="4"/>
  <c r="P175" i="4"/>
  <c r="P174" i="4"/>
  <c r="P177" i="4" l="1"/>
  <c r="L178" i="4"/>
  <c r="P178" i="4" l="1"/>
</calcChain>
</file>

<file path=xl/sharedStrings.xml><?xml version="1.0" encoding="utf-8"?>
<sst xmlns="http://schemas.openxmlformats.org/spreadsheetml/2006/main" count="434" uniqueCount="415">
  <si>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</si>
  <si>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</si>
  <si>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</si>
  <si>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</si>
  <si>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</si>
  <si>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</si>
  <si>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</si>
  <si>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</si>
  <si>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</si>
  <si>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</si>
  <si>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</si>
  <si>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</si>
  <si>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</si>
  <si>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</si>
  <si>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</si>
  <si>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</si>
  <si>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</si>
  <si>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</si>
  <si>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</si>
  <si>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</si>
  <si>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</si>
  <si>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</si>
  <si>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</si>
  <si>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</si>
  <si>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</si>
  <si>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</si>
  <si>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</si>
  <si>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</si>
  <si>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</si>
  <si>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</si>
  <si>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</si>
  <si>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</si>
  <si>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</si>
  <si>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</si>
  <si>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</si>
  <si>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</si>
  <si>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</si>
  <si>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</si>
  <si>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</si>
  <si>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</si>
  <si>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</si>
  <si>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</si>
  <si>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</si>
  <si>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</si>
  <si>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</si>
  <si>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</si>
  <si>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</si>
  <si>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</si>
  <si>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</si>
  <si>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</si>
  <si>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</si>
  <si>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</si>
  <si>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</si>
  <si>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</si>
  <si>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</si>
  <si>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</si>
  <si>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</si>
  <si>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</si>
  <si>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</si>
  <si>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</si>
  <si>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</si>
  <si>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</si>
  <si>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</si>
  <si>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</si>
  <si>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</si>
  <si>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</si>
  <si>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</si>
  <si>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</si>
  <si>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</si>
  <si>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</si>
  <si>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</si>
  <si>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</si>
  <si>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</si>
  <si>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</si>
  <si>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</si>
  <si>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</si>
  <si>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</si>
  <si>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</si>
  <si>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</si>
  <si>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</si>
  <si>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</si>
  <si>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</si>
  <si>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</si>
  <si>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</si>
  <si>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</si>
  <si>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</si>
  <si>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</si>
  <si>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</si>
  <si>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</si>
  <si>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</si>
  <si>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</si>
  <si>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</si>
  <si>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</si>
  <si>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</si>
  <si>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</si>
  <si>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</si>
  <si>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</si>
  <si>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</si>
  <si>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</si>
  <si>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</si>
  <si>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</si>
  <si>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</si>
  <si>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</si>
  <si>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</si>
  <si>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</si>
  <si>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</si>
  <si>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</si>
  <si>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</si>
  <si>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</si>
  <si>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</si>
  <si>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</si>
  <si>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</si>
  <si>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</si>
  <si>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</si>
  <si>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</si>
  <si>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</si>
  <si>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</si>
  <si>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</si>
  <si>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</si>
  <si>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</si>
  <si>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</si>
  <si>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</si>
  <si>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</si>
  <si>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</si>
  <si>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</si>
  <si>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</si>
  <si>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</si>
  <si>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</si>
  <si>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</si>
  <si>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</si>
  <si>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</si>
  <si>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</si>
  <si>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</si>
  <si>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</si>
  <si>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</si>
  <si>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</si>
  <si>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</si>
  <si>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</si>
  <si>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</si>
  <si>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</si>
  <si>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</si>
  <si>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</si>
  <si>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</si>
  <si>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</si>
  <si>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</si>
  <si>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</si>
  <si>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</si>
  <si>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</si>
  <si>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</si>
  <si>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</si>
  <si>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</si>
  <si>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</si>
  <si>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</si>
  <si>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</si>
  <si>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</si>
  <si>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</si>
  <si>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</si>
  <si>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</si>
  <si>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</si>
  <si>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</si>
  <si>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</si>
  <si>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</si>
  <si>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</si>
  <si>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</si>
  <si>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</si>
  <si>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</si>
  <si>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</si>
  <si>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</si>
  <si>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</si>
  <si>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</si>
  <si>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</si>
  <si>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</si>
  <si>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</si>
  <si>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</si>
  <si>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</si>
  <si>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</si>
  <si>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</si>
  <si>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</si>
  <si>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</si>
  <si>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</si>
  <si>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</si>
  <si>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</si>
  <si>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</si>
  <si>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</si>
  <si>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</si>
  <si>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</si>
  <si>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</si>
  <si>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</si>
  <si>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</si>
  <si>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</si>
  <si>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</si>
  <si>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</si>
  <si>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</si>
  <si>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</si>
  <si>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</si>
  <si>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</si>
  <si>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</si>
  <si>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</si>
  <si>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</si>
  <si>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</si>
  <si>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</si>
  <si>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</si>
  <si>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</si>
  <si>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</si>
  <si>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</si>
  <si>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</si>
  <si>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</si>
  <si>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</si>
  <si>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</si>
  <si>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</si>
  <si>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</si>
  <si>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</si>
  <si>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</si>
  <si>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</si>
  <si>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</si>
  <si>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</si>
  <si>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</si>
  <si>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</si>
  <si>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</si>
  <si>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</si>
  <si>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</si>
  <si>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</si>
  <si>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</si>
  <si>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</si>
  <si>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</si>
  <si>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</si>
  <si>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</si>
  <si>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</si>
  <si>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</si>
  <si>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</si>
  <si>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</si>
  <si>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</si>
  <si>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</si>
  <si>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</si>
  <si>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</si>
  <si>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</si>
  <si>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</si>
  <si>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</si>
  <si>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</si>
  <si>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</si>
  <si>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</si>
  <si>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</si>
  <si>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</si>
  <si>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</si>
  <si>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</si>
  <si>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</si>
  <si>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</si>
  <si>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</si>
  <si>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</si>
  <si>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</si>
  <si>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</si>
  <si>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</si>
  <si>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</si>
  <si>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</si>
  <si>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</si>
  <si>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</si>
  <si>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</si>
  <si>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</si>
  <si>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</si>
  <si>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</si>
  <si>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</si>
  <si>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</si>
  <si>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</si>
  <si>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</si>
  <si>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</si>
  <si>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</si>
  <si>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</si>
  <si>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</si>
  <si>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</si>
  <si>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</si>
  <si>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</si>
  <si>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</si>
  <si>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</si>
  <si>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</si>
  <si>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</si>
  <si>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</si>
  <si>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</si>
  <si>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</si>
  <si>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</si>
  <si>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</si>
  <si>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</si>
  <si>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</si>
  <si>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</si>
  <si>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</si>
  <si>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</si>
  <si>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</si>
  <si>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</si>
  <si>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</si>
  <si>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</si>
  <si>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</si>
  <si>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</si>
  <si>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</si>
  <si>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</si>
  <si>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</si>
  <si>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</si>
  <si>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</si>
  <si>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</si>
  <si>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</si>
  <si>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</si>
  <si>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</si>
  <si>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</si>
  <si>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</si>
  <si>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</si>
  <si>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</si>
  <si>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</si>
  <si>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</si>
  <si>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</si>
  <si>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</si>
  <si>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</si>
  <si>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</si>
  <si>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</si>
  <si>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</si>
  <si>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</si>
  <si>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</si>
  <si>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</si>
  <si>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</si>
  <si>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</si>
  <si>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</si>
  <si>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</si>
  <si>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</si>
  <si>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</si>
  <si>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</si>
  <si>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</si>
  <si>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</si>
  <si>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</si>
  <si>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</si>
  <si>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</si>
  <si>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</si>
  <si>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</si>
  <si>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</si>
  <si>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</si>
  <si>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</si>
  <si>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</si>
  <si>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</si>
  <si>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</si>
  <si>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</si>
  <si>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</si>
  <si>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</si>
  <si>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</si>
  <si>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</si>
  <si>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</si>
  <si>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</si>
  <si>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</si>
  <si>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</si>
  <si>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</si>
  <si>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</si>
  <si>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</si>
  <si>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</si>
  <si>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</si>
  <si>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</si>
  <si>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</si>
  <si>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</si>
  <si>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</si>
  <si>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</si>
  <si>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</si>
  <si>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</si>
  <si>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</si>
  <si>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</si>
  <si>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</si>
  <si>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</si>
  <si>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</si>
  <si>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</si>
  <si>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</si>
  <si>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</si>
  <si>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</si>
  <si>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</si>
  <si>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</si>
  <si>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</si>
  <si>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</si>
  <si>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</si>
  <si>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</si>
  <si>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</si>
  <si>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</si>
  <si>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</si>
  <si>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</si>
  <si>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</si>
  <si>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</si>
  <si>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</si>
  <si>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</si>
  <si>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</si>
  <si>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</si>
  <si>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</si>
  <si>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</si>
  <si>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</si>
  <si>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</si>
  <si>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</si>
  <si>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</si>
  <si>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</si>
  <si>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</si>
  <si>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</si>
  <si>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</si>
  <si>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</si>
  <si>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</si>
  <si>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</si>
  <si>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</si>
  <si>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</si>
  <si>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</si>
  <si>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</si>
  <si>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</si>
  <si>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</si>
  <si>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</si>
  <si>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</si>
  <si>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</si>
  <si>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</si>
  <si>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ポイント（2025/11/20未満は１、2025/11/20以上は得点１が６０点以外は０、減点１２３が０点以外は０、経過時間が２０分※１以上は０、１０分台は１、0分台は２）
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7" eb="99">
      <t>ミマン</t>
    </rPh>
    <rPh sb="102" eb="103">
      <t>フン</t>
    </rPh>
    <rPh sb="114" eb="116">
      <t>イジョウ</t>
    </rPh>
    <phoneticPr fontId="1"/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</si>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</sst>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vertical="center" wrapText="1"/>
    </xf>
    <xf numFmtId="22" fontId="0" fillId="0" borderId="0" xfId="0" applyNumberFormat="1" applyFill="1">
      <alignment vertical="center"/>
    </xf>
    <xf numFmtId="176" fontId="0" fillId="0" borderId="0" xfId="0" applyNumberForma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データ!$P$2:$P$178</c:f>
              <c:strCache>
                <c:ptCount val="177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  <c:pt idx="63">
                  <c:v>達成</c:v>
                </c:pt>
                <c:pt idx="64">
                  <c:v>未達成（2）</c:v>
                </c:pt>
                <c:pt idx="65">
                  <c:v>達成</c:v>
                </c:pt>
                <c:pt idx="66">
                  <c:v>未達成（1）</c:v>
                </c:pt>
                <c:pt idx="67">
                  <c:v>未達成（1）</c:v>
                </c:pt>
                <c:pt idx="68">
                  <c:v>達成</c:v>
                </c:pt>
                <c:pt idx="69">
                  <c:v>未達成（2）</c:v>
                </c:pt>
                <c:pt idx="70">
                  <c:v>未達成（1）</c:v>
                </c:pt>
                <c:pt idx="71">
                  <c:v>達成</c:v>
                </c:pt>
                <c:pt idx="72">
                  <c:v>未達成（1）</c:v>
                </c:pt>
                <c:pt idx="73">
                  <c:v>達成</c:v>
                </c:pt>
                <c:pt idx="74">
                  <c:v>未達成（1）</c:v>
                </c:pt>
                <c:pt idx="75">
                  <c:v>前倒し（1）</c:v>
                </c:pt>
                <c:pt idx="76">
                  <c:v>未達成（1）</c:v>
                </c:pt>
                <c:pt idx="77">
                  <c:v>前倒し（1）</c:v>
                </c:pt>
                <c:pt idx="78">
                  <c:v>未達成（2）</c:v>
                </c:pt>
                <c:pt idx="79">
                  <c:v>達成</c:v>
                </c:pt>
                <c:pt idx="80">
                  <c:v>未達成（2）</c:v>
                </c:pt>
                <c:pt idx="81">
                  <c:v>未達成（1）</c:v>
                </c:pt>
                <c:pt idx="82">
                  <c:v>達成</c:v>
                </c:pt>
                <c:pt idx="83">
                  <c:v>未達成（2）</c:v>
                </c:pt>
                <c:pt idx="84">
                  <c:v>未達成（1）</c:v>
                </c:pt>
                <c:pt idx="85">
                  <c:v>前倒し（1）</c:v>
                </c:pt>
                <c:pt idx="86">
                  <c:v>未達成（1）</c:v>
                </c:pt>
                <c:pt idx="87">
                  <c:v>達成</c:v>
                </c:pt>
                <c:pt idx="88">
                  <c:v>未達成（1）</c:v>
                </c:pt>
                <c:pt idx="89">
                  <c:v>前倒し（1）</c:v>
                </c:pt>
                <c:pt idx="90">
                  <c:v>達成</c:v>
                </c:pt>
                <c:pt idx="91">
                  <c:v>未達成（2）</c:v>
                </c:pt>
                <c:pt idx="92">
                  <c:v>未達成（1）</c:v>
                </c:pt>
                <c:pt idx="93">
                  <c:v>前倒し（1）</c:v>
                </c:pt>
                <c:pt idx="94">
                  <c:v>未達成（1）</c:v>
                </c:pt>
                <c:pt idx="95">
                  <c:v>前倒し（1）</c:v>
                </c:pt>
                <c:pt idx="96">
                  <c:v>達成</c:v>
                </c:pt>
                <c:pt idx="97">
                  <c:v>未達成（3）</c:v>
                </c:pt>
                <c:pt idx="98">
                  <c:v>未達成（3）</c:v>
                </c:pt>
                <c:pt idx="99">
                  <c:v>未達成（2）</c:v>
                </c:pt>
                <c:pt idx="100">
                  <c:v>未達成（1）</c:v>
                </c:pt>
                <c:pt idx="101">
                  <c:v>達成</c:v>
                </c:pt>
                <c:pt idx="102">
                  <c:v>未達成（2）</c:v>
                </c:pt>
                <c:pt idx="103">
                  <c:v>未達成（1）</c:v>
                </c:pt>
                <c:pt idx="104">
                  <c:v>前倒し（1）</c:v>
                </c:pt>
                <c:pt idx="105">
                  <c:v>未達成（2）</c:v>
                </c:pt>
                <c:pt idx="106">
                  <c:v>達成</c:v>
                </c:pt>
                <c:pt idx="107">
                  <c:v>未達成（3）</c:v>
                </c:pt>
                <c:pt idx="108">
                  <c:v>未達成（1）</c:v>
                </c:pt>
                <c:pt idx="109">
                  <c:v>前倒し（1）</c:v>
                </c:pt>
                <c:pt idx="110">
                  <c:v>未達成（1）</c:v>
                </c:pt>
                <c:pt idx="111">
                  <c:v>達成</c:v>
                </c:pt>
                <c:pt idx="112">
                  <c:v>未達成（2）</c:v>
                </c:pt>
                <c:pt idx="113">
                  <c:v>未達成（1）</c:v>
                </c:pt>
                <c:pt idx="114">
                  <c:v>達成</c:v>
                </c:pt>
                <c:pt idx="115">
                  <c:v>未達成（3）</c:v>
                </c:pt>
                <c:pt idx="116">
                  <c:v>未達成（3）</c:v>
                </c:pt>
                <c:pt idx="117">
                  <c:v>未達成（2）</c:v>
                </c:pt>
                <c:pt idx="118">
                  <c:v>達成</c:v>
                </c:pt>
                <c:pt idx="119">
                  <c:v>未達成（3）</c:v>
                </c:pt>
                <c:pt idx="120">
                  <c:v>未達成（2）</c:v>
                </c:pt>
                <c:pt idx="121">
                  <c:v>未達成（2）</c:v>
                </c:pt>
                <c:pt idx="122">
                  <c:v>達成</c:v>
                </c:pt>
                <c:pt idx="123">
                  <c:v>未達成（3）</c:v>
                </c:pt>
                <c:pt idx="124">
                  <c:v>未達成（1）</c:v>
                </c:pt>
                <c:pt idx="125">
                  <c:v>達成</c:v>
                </c:pt>
                <c:pt idx="126">
                  <c:v>未達成（3）</c:v>
                </c:pt>
                <c:pt idx="127">
                  <c:v>未達成（1）</c:v>
                </c:pt>
                <c:pt idx="128">
                  <c:v>達成</c:v>
                </c:pt>
                <c:pt idx="129">
                  <c:v>未達成（2）</c:v>
                </c:pt>
                <c:pt idx="130">
                  <c:v>達成</c:v>
                </c:pt>
                <c:pt idx="131">
                  <c:v>未達成（3）</c:v>
                </c:pt>
                <c:pt idx="132">
                  <c:v>未達成（3）</c:v>
                </c:pt>
                <c:pt idx="133">
                  <c:v>未達成（2）</c:v>
                </c:pt>
                <c:pt idx="134">
                  <c:v>達成</c:v>
                </c:pt>
                <c:pt idx="135">
                  <c:v>未達成（2）</c:v>
                </c:pt>
                <c:pt idx="136">
                  <c:v>未達成（2）</c:v>
                </c:pt>
                <c:pt idx="137">
                  <c:v>達成</c:v>
                </c:pt>
                <c:pt idx="138">
                  <c:v>未達成（3）</c:v>
                </c:pt>
                <c:pt idx="139">
                  <c:v>未達成（1）</c:v>
                </c:pt>
                <c:pt idx="140">
                  <c:v>達成</c:v>
                </c:pt>
                <c:pt idx="141">
                  <c:v>未達成（3）</c:v>
                </c:pt>
                <c:pt idx="142">
                  <c:v>未達成（2）</c:v>
                </c:pt>
                <c:pt idx="143">
                  <c:v>達成</c:v>
                </c:pt>
                <c:pt idx="144">
                  <c:v>未達成（3）</c:v>
                </c:pt>
                <c:pt idx="145">
                  <c:v>未達成（2）</c:v>
                </c:pt>
                <c:pt idx="146">
                  <c:v>達成</c:v>
                </c:pt>
                <c:pt idx="147">
                  <c:v>未達成（3）</c:v>
                </c:pt>
                <c:pt idx="148">
                  <c:v>未達成（1）</c:v>
                </c:pt>
                <c:pt idx="149">
                  <c:v>達成</c:v>
                </c:pt>
                <c:pt idx="150">
                  <c:v>未達成（2）</c:v>
                </c:pt>
                <c:pt idx="151">
                  <c:v>達成</c:v>
                </c:pt>
                <c:pt idx="152">
                  <c:v>未達成（3）</c:v>
                </c:pt>
                <c:pt idx="153">
                  <c:v>未達成（1）</c:v>
                </c:pt>
                <c:pt idx="154">
                  <c:v>前倒し（1）</c:v>
                </c:pt>
                <c:pt idx="155">
                  <c:v>未達成（1）</c:v>
                </c:pt>
                <c:pt idx="156">
                  <c:v>達成</c:v>
                </c:pt>
                <c:pt idx="157">
                  <c:v>未達成（3）</c:v>
                </c:pt>
                <c:pt idx="158">
                  <c:v>未達成（1）</c:v>
                </c:pt>
                <c:pt idx="159">
                  <c:v>達成</c:v>
                </c:pt>
                <c:pt idx="160">
                  <c:v>未達成（2）</c:v>
                </c:pt>
                <c:pt idx="161">
                  <c:v>未達成（1）</c:v>
                </c:pt>
                <c:pt idx="162">
                  <c:v>前倒し（1）</c:v>
                </c:pt>
                <c:pt idx="163">
                  <c:v>未達成（2）</c:v>
                </c:pt>
                <c:pt idx="164">
                  <c:v>未達成（1）</c:v>
                </c:pt>
                <c:pt idx="165">
                  <c:v>前倒し（1）</c:v>
                </c:pt>
                <c:pt idx="166">
                  <c:v>未達成（2）</c:v>
                </c:pt>
                <c:pt idx="167">
                  <c:v>達成</c:v>
                </c:pt>
                <c:pt idx="168">
                  <c:v>未達成（2）</c:v>
                </c:pt>
                <c:pt idx="169">
                  <c:v>達成</c:v>
                </c:pt>
                <c:pt idx="170">
                  <c:v>未達成（3）</c:v>
                </c:pt>
                <c:pt idx="171">
                  <c:v>未達成（2）</c:v>
                </c:pt>
                <c:pt idx="172">
                  <c:v>達成</c:v>
                </c:pt>
                <c:pt idx="173">
                  <c:v>未達成（2）</c:v>
                </c:pt>
                <c:pt idx="174">
                  <c:v>未達成（1）</c:v>
                </c:pt>
                <c:pt idx="175">
                  <c:v>前倒し（1）</c:v>
                </c:pt>
                <c:pt idx="176">
                  <c:v>未達成（1）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データ!$A$3:$A$179</c:f>
              <c:numCache>
                <c:formatCode>m/d/yyyy\ h:mm</c:formatCode>
                <c:ptCount val="177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</c:numCache>
            </c:numRef>
          </c:xVal>
          <c:yVal>
            <c:numRef>
              <c:f>データ!$B$3:$B$179</c:f>
              <c:numCache>
                <c:formatCode>General</c:formatCode>
                <c:ptCount val="177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25-4B3F-8A54-52FBD9CCD0EA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D025-4B3F-8A54-52FBD9CCD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66400"/>
        <c:axId val="1595567360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データ!$A$3:$A$179</c:f>
              <c:numCache>
                <c:formatCode>m/d/yyyy\ h:mm</c:formatCode>
                <c:ptCount val="177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</c:numCache>
            </c:numRef>
          </c:xVal>
          <c:yVal>
            <c:numRef>
              <c:f>データ!$G$3:$G$179</c:f>
              <c:numCache>
                <c:formatCode>[h]:mm</c:formatCode>
                <c:ptCount val="177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25-4B3F-8A54-52FBD9CCD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26560"/>
        <c:axId val="1595516000"/>
      </c:scatterChart>
      <c:valAx>
        <c:axId val="1595566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95567360"/>
        <c:crosses val="autoZero"/>
        <c:crossBetween val="midCat"/>
      </c:valAx>
      <c:valAx>
        <c:axId val="159556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95566400"/>
        <c:crosses val="autoZero"/>
        <c:crossBetween val="midCat"/>
      </c:valAx>
      <c:valAx>
        <c:axId val="1595516000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95526560"/>
        <c:crosses val="max"/>
        <c:crossBetween val="midCat"/>
      </c:valAx>
      <c:valAx>
        <c:axId val="1595526560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9551600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211931</xdr:colOff>
      <xdr:row>10</xdr:row>
      <xdr:rowOff>178594</xdr:rowOff>
    </xdr:from>
    <xdr:to>
      <xdr:col>9</xdr:col>
      <xdr:colOff>211931</xdr:colOff>
      <xdr:row>10</xdr:row>
      <xdr:rowOff>178594</xdr:rowOff>
    </xdr:to>
    <xdr:cxnSp macro="">
      <xdr:nvCxnSpPr>
        <xdr:cNvPr id="1461" name="Match0">
          <a:extLst>
            <a:ext uri="{FF2B5EF4-FFF2-40B4-BE49-F238E27FC236}">
              <a16:creationId xmlns:a16="http://schemas.microsoft.com/office/drawing/2014/main" id="{A6696FBB-280A-89E9-5CDC-2F12A85F1A06}"/>
            </a:ext>
          </a:extLst>
        </xdr:cNvPr>
        <xdr:cNvCxnSpPr/>
      </xdr:nvCxnSpPr>
      <xdr:spPr>
        <a:xfrm flipH="1">
          <a:off x="1483519" y="3750469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7</xdr:row>
      <xdr:rowOff>178593</xdr:rowOff>
    </xdr:from>
    <xdr:to>
      <xdr:col>2</xdr:col>
      <xdr:colOff>211931</xdr:colOff>
      <xdr:row>9</xdr:row>
      <xdr:rowOff>178593</xdr:rowOff>
    </xdr:to>
    <xdr:cxnSp macro="">
      <xdr:nvCxnSpPr>
        <xdr:cNvPr id="1462" name="Match1">
          <a:extLst>
            <a:ext uri="{FF2B5EF4-FFF2-40B4-BE49-F238E27FC236}">
              <a16:creationId xmlns:a16="http://schemas.microsoft.com/office/drawing/2014/main" id="{B26700B0-3C30-3AD7-6446-612D444D9F15}"/>
            </a:ext>
          </a:extLst>
        </xdr:cNvPr>
        <xdr:cNvCxnSpPr/>
      </xdr:nvCxnSpPr>
      <xdr:spPr>
        <a:xfrm flipH="1">
          <a:off x="211931" y="267890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8</xdr:row>
      <xdr:rowOff>178594</xdr:rowOff>
    </xdr:from>
    <xdr:to>
      <xdr:col>2</xdr:col>
      <xdr:colOff>211931</xdr:colOff>
      <xdr:row>8</xdr:row>
      <xdr:rowOff>178594</xdr:rowOff>
    </xdr:to>
    <xdr:cxnSp macro="">
      <xdr:nvCxnSpPr>
        <xdr:cNvPr id="1463" name="Match2">
          <a:extLst>
            <a:ext uri="{FF2B5EF4-FFF2-40B4-BE49-F238E27FC236}">
              <a16:creationId xmlns:a16="http://schemas.microsoft.com/office/drawing/2014/main" id="{20EB8953-F8D4-83A0-DB7A-E448C5EA3C74}"/>
            </a:ext>
          </a:extLst>
        </xdr:cNvPr>
        <xdr:cNvCxnSpPr/>
      </xdr:nvCxnSpPr>
      <xdr:spPr>
        <a:xfrm>
          <a:off x="211931" y="303609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8</xdr:row>
      <xdr:rowOff>178594</xdr:rowOff>
    </xdr:from>
    <xdr:to>
      <xdr:col>11</xdr:col>
      <xdr:colOff>211931</xdr:colOff>
      <xdr:row>10</xdr:row>
      <xdr:rowOff>178594</xdr:rowOff>
    </xdr:to>
    <xdr:cxnSp macro="">
      <xdr:nvCxnSpPr>
        <xdr:cNvPr id="1464" name="Match3">
          <a:extLst>
            <a:ext uri="{FF2B5EF4-FFF2-40B4-BE49-F238E27FC236}">
              <a16:creationId xmlns:a16="http://schemas.microsoft.com/office/drawing/2014/main" id="{D429E141-9674-A843-ACF3-371246CBA1AD}"/>
            </a:ext>
          </a:extLst>
        </xdr:cNvPr>
        <xdr:cNvCxnSpPr/>
      </xdr:nvCxnSpPr>
      <xdr:spPr>
        <a:xfrm flipH="1" flipV="1">
          <a:off x="4026694" y="30360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0</xdr:row>
      <xdr:rowOff>178594</xdr:rowOff>
    </xdr:from>
    <xdr:to>
      <xdr:col>10</xdr:col>
      <xdr:colOff>211931</xdr:colOff>
      <xdr:row>1</xdr:row>
      <xdr:rowOff>178593</xdr:rowOff>
    </xdr:to>
    <xdr:cxnSp macro="">
      <xdr:nvCxnSpPr>
        <xdr:cNvPr id="1465" name="Match4">
          <a:extLst>
            <a:ext uri="{FF2B5EF4-FFF2-40B4-BE49-F238E27FC236}">
              <a16:creationId xmlns:a16="http://schemas.microsoft.com/office/drawing/2014/main" id="{1CB6A1F7-A4B4-E8B3-5986-D20F1E3F0547}"/>
            </a:ext>
          </a:extLst>
        </xdr:cNvPr>
        <xdr:cNvCxnSpPr/>
      </xdr:nvCxnSpPr>
      <xdr:spPr>
        <a:xfrm flipH="1" flipV="1">
          <a:off x="4026694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4</xdr:row>
      <xdr:rowOff>178594</xdr:rowOff>
    </xdr:from>
    <xdr:to>
      <xdr:col>9</xdr:col>
      <xdr:colOff>211931</xdr:colOff>
      <xdr:row>5</xdr:row>
      <xdr:rowOff>178593</xdr:rowOff>
    </xdr:to>
    <xdr:cxnSp macro="">
      <xdr:nvCxnSpPr>
        <xdr:cNvPr id="1466" name="Match5">
          <a:extLst>
            <a:ext uri="{FF2B5EF4-FFF2-40B4-BE49-F238E27FC236}">
              <a16:creationId xmlns:a16="http://schemas.microsoft.com/office/drawing/2014/main" id="{711D00EB-946B-9CFF-7BF5-5D4A9586CD6D}"/>
            </a:ext>
          </a:extLst>
        </xdr:cNvPr>
        <xdr:cNvCxnSpPr/>
      </xdr:nvCxnSpPr>
      <xdr:spPr>
        <a:xfrm>
          <a:off x="3602831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4</xdr:row>
      <xdr:rowOff>203994</xdr:rowOff>
    </xdr:from>
    <xdr:to>
      <xdr:col>8</xdr:col>
      <xdr:colOff>237331</xdr:colOff>
      <xdr:row>5</xdr:row>
      <xdr:rowOff>203993</xdr:rowOff>
    </xdr:to>
    <xdr:cxnSp macro="">
      <xdr:nvCxnSpPr>
        <xdr:cNvPr id="1467" name="Match6">
          <a:extLst>
            <a:ext uri="{FF2B5EF4-FFF2-40B4-BE49-F238E27FC236}">
              <a16:creationId xmlns:a16="http://schemas.microsoft.com/office/drawing/2014/main" id="{B228FF87-625F-D659-3002-32BED6C8EDCE}"/>
            </a:ext>
          </a:extLst>
        </xdr:cNvPr>
        <xdr:cNvCxnSpPr/>
      </xdr:nvCxnSpPr>
      <xdr:spPr>
        <a:xfrm flipH="1">
          <a:off x="3204369" y="163274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262731</xdr:colOff>
      <xdr:row>3</xdr:row>
      <xdr:rowOff>229393</xdr:rowOff>
    </xdr:from>
    <xdr:to>
      <xdr:col>8</xdr:col>
      <xdr:colOff>262731</xdr:colOff>
      <xdr:row>4</xdr:row>
      <xdr:rowOff>229394</xdr:rowOff>
    </xdr:to>
    <xdr:cxnSp macro="">
      <xdr:nvCxnSpPr>
        <xdr:cNvPr id="1468" name="Match7">
          <a:extLst>
            <a:ext uri="{FF2B5EF4-FFF2-40B4-BE49-F238E27FC236}">
              <a16:creationId xmlns:a16="http://schemas.microsoft.com/office/drawing/2014/main" id="{D594F684-1CCC-B18C-5173-0E059DD33970}"/>
            </a:ext>
          </a:extLst>
        </xdr:cNvPr>
        <xdr:cNvCxnSpPr/>
      </xdr:nvCxnSpPr>
      <xdr:spPr>
        <a:xfrm flipH="1" flipV="1">
          <a:off x="3229769" y="1300956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4</xdr:row>
      <xdr:rowOff>178594</xdr:rowOff>
    </xdr:from>
    <xdr:to>
      <xdr:col>10</xdr:col>
      <xdr:colOff>211931</xdr:colOff>
      <xdr:row>5</xdr:row>
      <xdr:rowOff>178593</xdr:rowOff>
    </xdr:to>
    <xdr:cxnSp macro="">
      <xdr:nvCxnSpPr>
        <xdr:cNvPr id="1469" name="Match8">
          <a:extLst>
            <a:ext uri="{FF2B5EF4-FFF2-40B4-BE49-F238E27FC236}">
              <a16:creationId xmlns:a16="http://schemas.microsoft.com/office/drawing/2014/main" id="{C9AE44FB-7120-63D3-3073-F1E342F676AA}"/>
            </a:ext>
          </a:extLst>
        </xdr:cNvPr>
        <xdr:cNvCxnSpPr/>
      </xdr:nvCxnSpPr>
      <xdr:spPr>
        <a:xfrm flipH="1">
          <a:off x="4026694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5</xdr:row>
      <xdr:rowOff>178593</xdr:rowOff>
    </xdr:from>
    <xdr:to>
      <xdr:col>7</xdr:col>
      <xdr:colOff>211931</xdr:colOff>
      <xdr:row>5</xdr:row>
      <xdr:rowOff>178593</xdr:rowOff>
    </xdr:to>
    <xdr:cxnSp macro="">
      <xdr:nvCxnSpPr>
        <xdr:cNvPr id="1470" name="Match9">
          <a:extLst>
            <a:ext uri="{FF2B5EF4-FFF2-40B4-BE49-F238E27FC236}">
              <a16:creationId xmlns:a16="http://schemas.microsoft.com/office/drawing/2014/main" id="{F43FE6E7-EFB3-4319-85BD-7BAC5557960F}"/>
            </a:ext>
          </a:extLst>
        </xdr:cNvPr>
        <xdr:cNvCxnSpPr/>
      </xdr:nvCxnSpPr>
      <xdr:spPr>
        <a:xfrm>
          <a:off x="2755106" y="196453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5</xdr:row>
      <xdr:rowOff>178593</xdr:rowOff>
    </xdr:from>
    <xdr:to>
      <xdr:col>10</xdr:col>
      <xdr:colOff>211931</xdr:colOff>
      <xdr:row>5</xdr:row>
      <xdr:rowOff>178593</xdr:rowOff>
    </xdr:to>
    <xdr:cxnSp macro="">
      <xdr:nvCxnSpPr>
        <xdr:cNvPr id="1471" name="Match10">
          <a:extLst>
            <a:ext uri="{FF2B5EF4-FFF2-40B4-BE49-F238E27FC236}">
              <a16:creationId xmlns:a16="http://schemas.microsoft.com/office/drawing/2014/main" id="{5574C4C4-F2BC-E1B0-5BBA-640C80B10E49}"/>
            </a:ext>
          </a:extLst>
        </xdr:cNvPr>
        <xdr:cNvCxnSpPr/>
      </xdr:nvCxnSpPr>
      <xdr:spPr>
        <a:xfrm flipH="1">
          <a:off x="4026694" y="196453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7</xdr:row>
      <xdr:rowOff>178593</xdr:rowOff>
    </xdr:from>
    <xdr:to>
      <xdr:col>5</xdr:col>
      <xdr:colOff>211931</xdr:colOff>
      <xdr:row>8</xdr:row>
      <xdr:rowOff>178594</xdr:rowOff>
    </xdr:to>
    <xdr:cxnSp macro="">
      <xdr:nvCxnSpPr>
        <xdr:cNvPr id="1472" name="Match11">
          <a:extLst>
            <a:ext uri="{FF2B5EF4-FFF2-40B4-BE49-F238E27FC236}">
              <a16:creationId xmlns:a16="http://schemas.microsoft.com/office/drawing/2014/main" id="{1C93315C-0132-9703-8013-F258B2646C7E}"/>
            </a:ext>
          </a:extLst>
        </xdr:cNvPr>
        <xdr:cNvCxnSpPr/>
      </xdr:nvCxnSpPr>
      <xdr:spPr>
        <a:xfrm flipV="1">
          <a:off x="1907381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6</xdr:row>
      <xdr:rowOff>178594</xdr:rowOff>
    </xdr:from>
    <xdr:to>
      <xdr:col>3</xdr:col>
      <xdr:colOff>211931</xdr:colOff>
      <xdr:row>9</xdr:row>
      <xdr:rowOff>178593</xdr:rowOff>
    </xdr:to>
    <xdr:cxnSp macro="">
      <xdr:nvCxnSpPr>
        <xdr:cNvPr id="1473" name="Match12">
          <a:extLst>
            <a:ext uri="{FF2B5EF4-FFF2-40B4-BE49-F238E27FC236}">
              <a16:creationId xmlns:a16="http://schemas.microsoft.com/office/drawing/2014/main" id="{7519D958-D352-DEFD-8908-9D77B356CC45}"/>
            </a:ext>
          </a:extLst>
        </xdr:cNvPr>
        <xdr:cNvCxnSpPr/>
      </xdr:nvCxnSpPr>
      <xdr:spPr>
        <a:xfrm>
          <a:off x="1483519" y="2321719"/>
          <a:ext cx="0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5</xdr:row>
      <xdr:rowOff>178593</xdr:rowOff>
    </xdr:from>
    <xdr:to>
      <xdr:col>11</xdr:col>
      <xdr:colOff>211931</xdr:colOff>
      <xdr:row>8</xdr:row>
      <xdr:rowOff>178594</xdr:rowOff>
    </xdr:to>
    <xdr:cxnSp macro="">
      <xdr:nvCxnSpPr>
        <xdr:cNvPr id="1474" name="Match13">
          <a:extLst>
            <a:ext uri="{FF2B5EF4-FFF2-40B4-BE49-F238E27FC236}">
              <a16:creationId xmlns:a16="http://schemas.microsoft.com/office/drawing/2014/main" id="{E1949627-CE29-DB02-6383-B477B4496638}"/>
            </a:ext>
          </a:extLst>
        </xdr:cNvPr>
        <xdr:cNvCxnSpPr/>
      </xdr:nvCxnSpPr>
      <xdr:spPr>
        <a:xfrm flipV="1">
          <a:off x="4874419" y="1964531"/>
          <a:ext cx="0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11</xdr:row>
      <xdr:rowOff>178593</xdr:rowOff>
    </xdr:from>
    <xdr:to>
      <xdr:col>9</xdr:col>
      <xdr:colOff>211931</xdr:colOff>
      <xdr:row>11</xdr:row>
      <xdr:rowOff>178593</xdr:rowOff>
    </xdr:to>
    <xdr:cxnSp macro="">
      <xdr:nvCxnSpPr>
        <xdr:cNvPr id="1475" name="Match14">
          <a:extLst>
            <a:ext uri="{FF2B5EF4-FFF2-40B4-BE49-F238E27FC236}">
              <a16:creationId xmlns:a16="http://schemas.microsoft.com/office/drawing/2014/main" id="{92D708C3-5CA5-8ACA-1D79-CB64877C7674}"/>
            </a:ext>
          </a:extLst>
        </xdr:cNvPr>
        <xdr:cNvCxnSpPr/>
      </xdr:nvCxnSpPr>
      <xdr:spPr>
        <a:xfrm flipH="1">
          <a:off x="2331244" y="4107656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3</xdr:row>
      <xdr:rowOff>178593</xdr:rowOff>
    </xdr:from>
    <xdr:to>
      <xdr:col>10</xdr:col>
      <xdr:colOff>211931</xdr:colOff>
      <xdr:row>4</xdr:row>
      <xdr:rowOff>178594</xdr:rowOff>
    </xdr:to>
    <xdr:cxnSp macro="">
      <xdr:nvCxnSpPr>
        <xdr:cNvPr id="1476" name="Match15">
          <a:extLst>
            <a:ext uri="{FF2B5EF4-FFF2-40B4-BE49-F238E27FC236}">
              <a16:creationId xmlns:a16="http://schemas.microsoft.com/office/drawing/2014/main" id="{4EAD5A94-8CD4-0E46-CD2B-2F28DF92120D}"/>
            </a:ext>
          </a:extLst>
        </xdr:cNvPr>
        <xdr:cNvCxnSpPr/>
      </xdr:nvCxnSpPr>
      <xdr:spPr>
        <a:xfrm>
          <a:off x="4026694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3</xdr:row>
      <xdr:rowOff>203993</xdr:rowOff>
    </xdr:from>
    <xdr:to>
      <xdr:col>9</xdr:col>
      <xdr:colOff>237331</xdr:colOff>
      <xdr:row>4</xdr:row>
      <xdr:rowOff>203994</xdr:rowOff>
    </xdr:to>
    <xdr:cxnSp macro="">
      <xdr:nvCxnSpPr>
        <xdr:cNvPr id="1477" name="Match16">
          <a:extLst>
            <a:ext uri="{FF2B5EF4-FFF2-40B4-BE49-F238E27FC236}">
              <a16:creationId xmlns:a16="http://schemas.microsoft.com/office/drawing/2014/main" id="{B2AB2A58-82FE-EB95-E6B4-97127ADB577E}"/>
            </a:ext>
          </a:extLst>
        </xdr:cNvPr>
        <xdr:cNvCxnSpPr/>
      </xdr:nvCxnSpPr>
      <xdr:spPr>
        <a:xfrm flipH="1">
          <a:off x="3628231" y="127555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3</xdr:row>
      <xdr:rowOff>178593</xdr:rowOff>
    </xdr:from>
    <xdr:to>
      <xdr:col>11</xdr:col>
      <xdr:colOff>211931</xdr:colOff>
      <xdr:row>4</xdr:row>
      <xdr:rowOff>178594</xdr:rowOff>
    </xdr:to>
    <xdr:cxnSp macro="">
      <xdr:nvCxnSpPr>
        <xdr:cNvPr id="1478" name="Match17">
          <a:extLst>
            <a:ext uri="{FF2B5EF4-FFF2-40B4-BE49-F238E27FC236}">
              <a16:creationId xmlns:a16="http://schemas.microsoft.com/office/drawing/2014/main" id="{8FB36F72-C89F-ABC5-3F2F-C4612FE5E873}"/>
            </a:ext>
          </a:extLst>
        </xdr:cNvPr>
        <xdr:cNvCxnSpPr/>
      </xdr:nvCxnSpPr>
      <xdr:spPr>
        <a:xfrm flipH="1">
          <a:off x="4450556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288131</xdr:colOff>
      <xdr:row>3</xdr:row>
      <xdr:rowOff>254793</xdr:rowOff>
    </xdr:from>
    <xdr:to>
      <xdr:col>9</xdr:col>
      <xdr:colOff>288131</xdr:colOff>
      <xdr:row>4</xdr:row>
      <xdr:rowOff>254794</xdr:rowOff>
    </xdr:to>
    <xdr:cxnSp macro="">
      <xdr:nvCxnSpPr>
        <xdr:cNvPr id="1479" name="Match18">
          <a:extLst>
            <a:ext uri="{FF2B5EF4-FFF2-40B4-BE49-F238E27FC236}">
              <a16:creationId xmlns:a16="http://schemas.microsoft.com/office/drawing/2014/main" id="{4D673A77-2A2D-3049-8371-CA36F5398D67}"/>
            </a:ext>
          </a:extLst>
        </xdr:cNvPr>
        <xdr:cNvCxnSpPr/>
      </xdr:nvCxnSpPr>
      <xdr:spPr>
        <a:xfrm flipV="1">
          <a:off x="3679031" y="1326356"/>
          <a:ext cx="423863" cy="357188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4</xdr:row>
      <xdr:rowOff>203994</xdr:rowOff>
    </xdr:from>
    <xdr:to>
      <xdr:col>10</xdr:col>
      <xdr:colOff>237331</xdr:colOff>
      <xdr:row>5</xdr:row>
      <xdr:rowOff>203993</xdr:rowOff>
    </xdr:to>
    <xdr:cxnSp macro="">
      <xdr:nvCxnSpPr>
        <xdr:cNvPr id="1480" name="Match19">
          <a:extLst>
            <a:ext uri="{FF2B5EF4-FFF2-40B4-BE49-F238E27FC236}">
              <a16:creationId xmlns:a16="http://schemas.microsoft.com/office/drawing/2014/main" id="{41F9CAE7-1FBC-10E1-677F-37BCC7DDBEFA}"/>
            </a:ext>
          </a:extLst>
        </xdr:cNvPr>
        <xdr:cNvCxnSpPr/>
      </xdr:nvCxnSpPr>
      <xdr:spPr>
        <a:xfrm>
          <a:off x="4475956" y="163274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262731</xdr:colOff>
      <xdr:row>3</xdr:row>
      <xdr:rowOff>229393</xdr:rowOff>
    </xdr:from>
    <xdr:to>
      <xdr:col>10</xdr:col>
      <xdr:colOff>262731</xdr:colOff>
      <xdr:row>4</xdr:row>
      <xdr:rowOff>229394</xdr:rowOff>
    </xdr:to>
    <xdr:cxnSp macro="">
      <xdr:nvCxnSpPr>
        <xdr:cNvPr id="1481" name="Match20">
          <a:extLst>
            <a:ext uri="{FF2B5EF4-FFF2-40B4-BE49-F238E27FC236}">
              <a16:creationId xmlns:a16="http://schemas.microsoft.com/office/drawing/2014/main" id="{ED406C16-A7B8-C4E6-0AB2-8B996B4DF64B}"/>
            </a:ext>
          </a:extLst>
        </xdr:cNvPr>
        <xdr:cNvCxnSpPr/>
      </xdr:nvCxnSpPr>
      <xdr:spPr>
        <a:xfrm flipH="1" flipV="1">
          <a:off x="4077494" y="1300956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288131</xdr:colOff>
      <xdr:row>3</xdr:row>
      <xdr:rowOff>254793</xdr:rowOff>
    </xdr:from>
    <xdr:to>
      <xdr:col>11</xdr:col>
      <xdr:colOff>288131</xdr:colOff>
      <xdr:row>4</xdr:row>
      <xdr:rowOff>254794</xdr:rowOff>
    </xdr:to>
    <xdr:cxnSp macro="">
      <xdr:nvCxnSpPr>
        <xdr:cNvPr id="1482" name="Match21">
          <a:extLst>
            <a:ext uri="{FF2B5EF4-FFF2-40B4-BE49-F238E27FC236}">
              <a16:creationId xmlns:a16="http://schemas.microsoft.com/office/drawing/2014/main" id="{DF413B95-5071-F68F-9F5B-9BE9BBFF4DA0}"/>
            </a:ext>
          </a:extLst>
        </xdr:cNvPr>
        <xdr:cNvCxnSpPr/>
      </xdr:nvCxnSpPr>
      <xdr:spPr>
        <a:xfrm flipV="1">
          <a:off x="4526756" y="1326356"/>
          <a:ext cx="423863" cy="357188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4</xdr:row>
      <xdr:rowOff>203994</xdr:rowOff>
    </xdr:from>
    <xdr:to>
      <xdr:col>10</xdr:col>
      <xdr:colOff>237331</xdr:colOff>
      <xdr:row>5</xdr:row>
      <xdr:rowOff>203993</xdr:rowOff>
    </xdr:to>
    <xdr:cxnSp macro="">
      <xdr:nvCxnSpPr>
        <xdr:cNvPr id="1483" name="Match22">
          <a:extLst>
            <a:ext uri="{FF2B5EF4-FFF2-40B4-BE49-F238E27FC236}">
              <a16:creationId xmlns:a16="http://schemas.microsoft.com/office/drawing/2014/main" id="{91F4343A-CBCB-36FF-76D5-93CE23D7ED8E}"/>
            </a:ext>
          </a:extLst>
        </xdr:cNvPr>
        <xdr:cNvCxnSpPr/>
      </xdr:nvCxnSpPr>
      <xdr:spPr>
        <a:xfrm flipV="1">
          <a:off x="4475956" y="163274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6</xdr:row>
      <xdr:rowOff>178594</xdr:rowOff>
    </xdr:from>
    <xdr:to>
      <xdr:col>0</xdr:col>
      <xdr:colOff>211931</xdr:colOff>
      <xdr:row>7</xdr:row>
      <xdr:rowOff>178593</xdr:rowOff>
    </xdr:to>
    <xdr:cxnSp macro="">
      <xdr:nvCxnSpPr>
        <xdr:cNvPr id="1484" name="Match23">
          <a:extLst>
            <a:ext uri="{FF2B5EF4-FFF2-40B4-BE49-F238E27FC236}">
              <a16:creationId xmlns:a16="http://schemas.microsoft.com/office/drawing/2014/main" id="{15058C14-3454-8631-A7D0-CB95B4162FBB}"/>
            </a:ext>
          </a:extLst>
        </xdr:cNvPr>
        <xdr:cNvCxnSpPr/>
      </xdr:nvCxnSpPr>
      <xdr:spPr>
        <a:xfrm>
          <a:off x="211931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6</xdr:row>
      <xdr:rowOff>178594</xdr:rowOff>
    </xdr:from>
    <xdr:to>
      <xdr:col>0</xdr:col>
      <xdr:colOff>211931</xdr:colOff>
      <xdr:row>7</xdr:row>
      <xdr:rowOff>178593</xdr:rowOff>
    </xdr:to>
    <xdr:cxnSp macro="">
      <xdr:nvCxnSpPr>
        <xdr:cNvPr id="1485" name="Match24">
          <a:extLst>
            <a:ext uri="{FF2B5EF4-FFF2-40B4-BE49-F238E27FC236}">
              <a16:creationId xmlns:a16="http://schemas.microsoft.com/office/drawing/2014/main" id="{09585006-DE24-8F6C-3ACC-7DD5E1C20499}"/>
            </a:ext>
          </a:extLst>
        </xdr:cNvPr>
        <xdr:cNvCxnSpPr/>
      </xdr:nvCxnSpPr>
      <xdr:spPr>
        <a:xfrm flipV="1">
          <a:off x="211931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0</xdr:row>
      <xdr:rowOff>178594</xdr:rowOff>
    </xdr:from>
    <xdr:to>
      <xdr:col>8</xdr:col>
      <xdr:colOff>211931</xdr:colOff>
      <xdr:row>0</xdr:row>
      <xdr:rowOff>178594</xdr:rowOff>
    </xdr:to>
    <xdr:cxnSp macro="">
      <xdr:nvCxnSpPr>
        <xdr:cNvPr id="1486" name="Match25">
          <a:extLst>
            <a:ext uri="{FF2B5EF4-FFF2-40B4-BE49-F238E27FC236}">
              <a16:creationId xmlns:a16="http://schemas.microsoft.com/office/drawing/2014/main" id="{3DB42B9C-AF98-A460-0BAA-DFD7A5DD7292}"/>
            </a:ext>
          </a:extLst>
        </xdr:cNvPr>
        <xdr:cNvCxnSpPr/>
      </xdr:nvCxnSpPr>
      <xdr:spPr>
        <a:xfrm flipH="1">
          <a:off x="1907381" y="178594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3</xdr:col>
      <xdr:colOff>211931</xdr:colOff>
      <xdr:row>2</xdr:row>
      <xdr:rowOff>178594</xdr:rowOff>
    </xdr:to>
    <xdr:cxnSp macro="">
      <xdr:nvCxnSpPr>
        <xdr:cNvPr id="1487" name="Match26">
          <a:extLst>
            <a:ext uri="{FF2B5EF4-FFF2-40B4-BE49-F238E27FC236}">
              <a16:creationId xmlns:a16="http://schemas.microsoft.com/office/drawing/2014/main" id="{529A3666-B0C8-CF0C-3749-E0F9A9E9B916}"/>
            </a:ext>
          </a:extLst>
        </xdr:cNvPr>
        <xdr:cNvCxnSpPr/>
      </xdr:nvCxnSpPr>
      <xdr:spPr>
        <a:xfrm flipH="1">
          <a:off x="635794" y="892969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2</xdr:row>
      <xdr:rowOff>178594</xdr:rowOff>
    </xdr:from>
    <xdr:to>
      <xdr:col>5</xdr:col>
      <xdr:colOff>211931</xdr:colOff>
      <xdr:row>5</xdr:row>
      <xdr:rowOff>178593</xdr:rowOff>
    </xdr:to>
    <xdr:cxnSp macro="">
      <xdr:nvCxnSpPr>
        <xdr:cNvPr id="1488" name="Match27">
          <a:extLst>
            <a:ext uri="{FF2B5EF4-FFF2-40B4-BE49-F238E27FC236}">
              <a16:creationId xmlns:a16="http://schemas.microsoft.com/office/drawing/2014/main" id="{4F761A11-DDBD-0EF8-AC90-8A3B31C8FBD0}"/>
            </a:ext>
          </a:extLst>
        </xdr:cNvPr>
        <xdr:cNvCxnSpPr/>
      </xdr:nvCxnSpPr>
      <xdr:spPr>
        <a:xfrm flipV="1">
          <a:off x="2331244" y="892969"/>
          <a:ext cx="0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6</xdr:row>
      <xdr:rowOff>178594</xdr:rowOff>
    </xdr:from>
    <xdr:to>
      <xdr:col>11</xdr:col>
      <xdr:colOff>211931</xdr:colOff>
      <xdr:row>9</xdr:row>
      <xdr:rowOff>178593</xdr:rowOff>
    </xdr:to>
    <xdr:cxnSp macro="">
      <xdr:nvCxnSpPr>
        <xdr:cNvPr id="1489" name="Match28">
          <a:extLst>
            <a:ext uri="{FF2B5EF4-FFF2-40B4-BE49-F238E27FC236}">
              <a16:creationId xmlns:a16="http://schemas.microsoft.com/office/drawing/2014/main" id="{0449E2FB-2119-70A2-00F2-173B05432051}"/>
            </a:ext>
          </a:extLst>
        </xdr:cNvPr>
        <xdr:cNvCxnSpPr/>
      </xdr:nvCxnSpPr>
      <xdr:spPr>
        <a:xfrm flipH="1" flipV="1">
          <a:off x="3602831" y="2321719"/>
          <a:ext cx="1271588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2</xdr:col>
      <xdr:colOff>211931</xdr:colOff>
      <xdr:row>6</xdr:row>
      <xdr:rowOff>178594</xdr:rowOff>
    </xdr:to>
    <xdr:cxnSp macro="">
      <xdr:nvCxnSpPr>
        <xdr:cNvPr id="1490" name="Match29">
          <a:extLst>
            <a:ext uri="{FF2B5EF4-FFF2-40B4-BE49-F238E27FC236}">
              <a16:creationId xmlns:a16="http://schemas.microsoft.com/office/drawing/2014/main" id="{CE6A150E-7283-461E-DFF1-1D170E80A6FE}"/>
            </a:ext>
          </a:extLst>
        </xdr:cNvPr>
        <xdr:cNvCxnSpPr/>
      </xdr:nvCxnSpPr>
      <xdr:spPr>
        <a:xfrm>
          <a:off x="1059656" y="160734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4</xdr:row>
      <xdr:rowOff>203994</xdr:rowOff>
    </xdr:from>
    <xdr:to>
      <xdr:col>3</xdr:col>
      <xdr:colOff>237331</xdr:colOff>
      <xdr:row>6</xdr:row>
      <xdr:rowOff>203994</xdr:rowOff>
    </xdr:to>
    <xdr:cxnSp macro="">
      <xdr:nvCxnSpPr>
        <xdr:cNvPr id="1491" name="Match30">
          <a:extLst>
            <a:ext uri="{FF2B5EF4-FFF2-40B4-BE49-F238E27FC236}">
              <a16:creationId xmlns:a16="http://schemas.microsoft.com/office/drawing/2014/main" id="{396E6708-066B-CF44-0CEE-DD8BA855F78A}"/>
            </a:ext>
          </a:extLst>
        </xdr:cNvPr>
        <xdr:cNvCxnSpPr/>
      </xdr:nvCxnSpPr>
      <xdr:spPr>
        <a:xfrm flipH="1" flipV="1">
          <a:off x="661194" y="1632744"/>
          <a:ext cx="847725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9</xdr:row>
      <xdr:rowOff>178593</xdr:rowOff>
    </xdr:from>
    <xdr:to>
      <xdr:col>8</xdr:col>
      <xdr:colOff>211931</xdr:colOff>
      <xdr:row>11</xdr:row>
      <xdr:rowOff>178593</xdr:rowOff>
    </xdr:to>
    <xdr:cxnSp macro="">
      <xdr:nvCxnSpPr>
        <xdr:cNvPr id="1492" name="Match31">
          <a:extLst>
            <a:ext uri="{FF2B5EF4-FFF2-40B4-BE49-F238E27FC236}">
              <a16:creationId xmlns:a16="http://schemas.microsoft.com/office/drawing/2014/main" id="{2B4FF550-D75C-562A-BBB0-FC803BD17AA5}"/>
            </a:ext>
          </a:extLst>
        </xdr:cNvPr>
        <xdr:cNvCxnSpPr/>
      </xdr:nvCxnSpPr>
      <xdr:spPr>
        <a:xfrm>
          <a:off x="3602831" y="339328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5</xdr:row>
      <xdr:rowOff>203993</xdr:rowOff>
    </xdr:from>
    <xdr:to>
      <xdr:col>8</xdr:col>
      <xdr:colOff>237331</xdr:colOff>
      <xdr:row>9</xdr:row>
      <xdr:rowOff>203993</xdr:rowOff>
    </xdr:to>
    <xdr:cxnSp macro="">
      <xdr:nvCxnSpPr>
        <xdr:cNvPr id="1493" name="Match32">
          <a:extLst>
            <a:ext uri="{FF2B5EF4-FFF2-40B4-BE49-F238E27FC236}">
              <a16:creationId xmlns:a16="http://schemas.microsoft.com/office/drawing/2014/main" id="{4E359A31-E8BD-CD2C-D578-32FC4D058C4F}"/>
            </a:ext>
          </a:extLst>
        </xdr:cNvPr>
        <xdr:cNvCxnSpPr/>
      </xdr:nvCxnSpPr>
      <xdr:spPr>
        <a:xfrm flipH="1" flipV="1">
          <a:off x="1932781" y="1989931"/>
          <a:ext cx="1695450" cy="142875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3</xdr:row>
      <xdr:rowOff>178593</xdr:rowOff>
    </xdr:from>
    <xdr:to>
      <xdr:col>8</xdr:col>
      <xdr:colOff>211931</xdr:colOff>
      <xdr:row>3</xdr:row>
      <xdr:rowOff>178593</xdr:rowOff>
    </xdr:to>
    <xdr:cxnSp macro="">
      <xdr:nvCxnSpPr>
        <xdr:cNvPr id="1494" name="Match33">
          <a:extLst>
            <a:ext uri="{FF2B5EF4-FFF2-40B4-BE49-F238E27FC236}">
              <a16:creationId xmlns:a16="http://schemas.microsoft.com/office/drawing/2014/main" id="{FCA138D9-62C9-A817-60AF-9970D8E1747F}"/>
            </a:ext>
          </a:extLst>
        </xdr:cNvPr>
        <xdr:cNvCxnSpPr/>
      </xdr:nvCxnSpPr>
      <xdr:spPr>
        <a:xfrm>
          <a:off x="3178969" y="12501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5</xdr:row>
      <xdr:rowOff>178593</xdr:rowOff>
    </xdr:from>
    <xdr:to>
      <xdr:col>7</xdr:col>
      <xdr:colOff>211931</xdr:colOff>
      <xdr:row>6</xdr:row>
      <xdr:rowOff>178594</xdr:rowOff>
    </xdr:to>
    <xdr:cxnSp macro="">
      <xdr:nvCxnSpPr>
        <xdr:cNvPr id="1495" name="Match34">
          <a:extLst>
            <a:ext uri="{FF2B5EF4-FFF2-40B4-BE49-F238E27FC236}">
              <a16:creationId xmlns:a16="http://schemas.microsoft.com/office/drawing/2014/main" id="{391ADBA0-2D31-3032-DC40-A74A432B1AC7}"/>
            </a:ext>
          </a:extLst>
        </xdr:cNvPr>
        <xdr:cNvCxnSpPr/>
      </xdr:nvCxnSpPr>
      <xdr:spPr>
        <a:xfrm>
          <a:off x="3178969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5</xdr:row>
      <xdr:rowOff>203993</xdr:rowOff>
    </xdr:from>
    <xdr:to>
      <xdr:col>7</xdr:col>
      <xdr:colOff>237331</xdr:colOff>
      <xdr:row>6</xdr:row>
      <xdr:rowOff>203994</xdr:rowOff>
    </xdr:to>
    <xdr:cxnSp macro="">
      <xdr:nvCxnSpPr>
        <xdr:cNvPr id="1496" name="Match35">
          <a:extLst>
            <a:ext uri="{FF2B5EF4-FFF2-40B4-BE49-F238E27FC236}">
              <a16:creationId xmlns:a16="http://schemas.microsoft.com/office/drawing/2014/main" id="{3237BF0A-C2B9-F54F-B3AC-0B7E2512B1FC}"/>
            </a:ext>
          </a:extLst>
        </xdr:cNvPr>
        <xdr:cNvCxnSpPr/>
      </xdr:nvCxnSpPr>
      <xdr:spPr>
        <a:xfrm flipH="1">
          <a:off x="2780506" y="198993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4</xdr:row>
      <xdr:rowOff>178594</xdr:rowOff>
    </xdr:from>
    <xdr:to>
      <xdr:col>9</xdr:col>
      <xdr:colOff>211931</xdr:colOff>
      <xdr:row>5</xdr:row>
      <xdr:rowOff>178593</xdr:rowOff>
    </xdr:to>
    <xdr:cxnSp macro="">
      <xdr:nvCxnSpPr>
        <xdr:cNvPr id="1497" name="Match36">
          <a:extLst>
            <a:ext uri="{FF2B5EF4-FFF2-40B4-BE49-F238E27FC236}">
              <a16:creationId xmlns:a16="http://schemas.microsoft.com/office/drawing/2014/main" id="{7E67D085-9364-DC2E-7B73-B15FD9FE19E1}"/>
            </a:ext>
          </a:extLst>
        </xdr:cNvPr>
        <xdr:cNvCxnSpPr/>
      </xdr:nvCxnSpPr>
      <xdr:spPr>
        <a:xfrm flipV="1">
          <a:off x="4026694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6</xdr:row>
      <xdr:rowOff>178594</xdr:rowOff>
    </xdr:from>
    <xdr:to>
      <xdr:col>8</xdr:col>
      <xdr:colOff>211931</xdr:colOff>
      <xdr:row>7</xdr:row>
      <xdr:rowOff>178593</xdr:rowOff>
    </xdr:to>
    <xdr:cxnSp macro="">
      <xdr:nvCxnSpPr>
        <xdr:cNvPr id="1498" name="Match37">
          <a:extLst>
            <a:ext uri="{FF2B5EF4-FFF2-40B4-BE49-F238E27FC236}">
              <a16:creationId xmlns:a16="http://schemas.microsoft.com/office/drawing/2014/main" id="{C98AAE7B-829D-C035-FAC6-7308C495D689}"/>
            </a:ext>
          </a:extLst>
        </xdr:cNvPr>
        <xdr:cNvCxnSpPr/>
      </xdr:nvCxnSpPr>
      <xdr:spPr>
        <a:xfrm flipH="1">
          <a:off x="3178969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6</xdr:row>
      <xdr:rowOff>203994</xdr:rowOff>
    </xdr:from>
    <xdr:to>
      <xdr:col>8</xdr:col>
      <xdr:colOff>237331</xdr:colOff>
      <xdr:row>6</xdr:row>
      <xdr:rowOff>203994</xdr:rowOff>
    </xdr:to>
    <xdr:cxnSp macro="">
      <xdr:nvCxnSpPr>
        <xdr:cNvPr id="1499" name="Match38">
          <a:extLst>
            <a:ext uri="{FF2B5EF4-FFF2-40B4-BE49-F238E27FC236}">
              <a16:creationId xmlns:a16="http://schemas.microsoft.com/office/drawing/2014/main" id="{586C9928-72D9-CC32-20EA-4D2D911A32D7}"/>
            </a:ext>
          </a:extLst>
        </xdr:cNvPr>
        <xdr:cNvCxnSpPr/>
      </xdr:nvCxnSpPr>
      <xdr:spPr>
        <a:xfrm flipH="1">
          <a:off x="3204369" y="2347119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7</xdr:row>
      <xdr:rowOff>178593</xdr:rowOff>
    </xdr:from>
    <xdr:to>
      <xdr:col>6</xdr:col>
      <xdr:colOff>211931</xdr:colOff>
      <xdr:row>8</xdr:row>
      <xdr:rowOff>178594</xdr:rowOff>
    </xdr:to>
    <xdr:cxnSp macro="">
      <xdr:nvCxnSpPr>
        <xdr:cNvPr id="1500" name="Match39">
          <a:extLst>
            <a:ext uri="{FF2B5EF4-FFF2-40B4-BE49-F238E27FC236}">
              <a16:creationId xmlns:a16="http://schemas.microsoft.com/office/drawing/2014/main" id="{056B6747-81CD-045E-7432-9D6CD85B1E1D}"/>
            </a:ext>
          </a:extLst>
        </xdr:cNvPr>
        <xdr:cNvCxnSpPr/>
      </xdr:nvCxnSpPr>
      <xdr:spPr>
        <a:xfrm>
          <a:off x="2331244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7</xdr:row>
      <xdr:rowOff>203993</xdr:rowOff>
    </xdr:from>
    <xdr:to>
      <xdr:col>5</xdr:col>
      <xdr:colOff>237331</xdr:colOff>
      <xdr:row>8</xdr:row>
      <xdr:rowOff>203994</xdr:rowOff>
    </xdr:to>
    <xdr:cxnSp macro="">
      <xdr:nvCxnSpPr>
        <xdr:cNvPr id="1501" name="Match40">
          <a:extLst>
            <a:ext uri="{FF2B5EF4-FFF2-40B4-BE49-F238E27FC236}">
              <a16:creationId xmlns:a16="http://schemas.microsoft.com/office/drawing/2014/main" id="{6C2B9539-D03A-FFC3-9146-727BBF920B85}"/>
            </a:ext>
          </a:extLst>
        </xdr:cNvPr>
        <xdr:cNvCxnSpPr/>
      </xdr:nvCxnSpPr>
      <xdr:spPr>
        <a:xfrm>
          <a:off x="2356644" y="270430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262731</xdr:colOff>
      <xdr:row>7</xdr:row>
      <xdr:rowOff>229393</xdr:rowOff>
    </xdr:from>
    <xdr:to>
      <xdr:col>5</xdr:col>
      <xdr:colOff>262731</xdr:colOff>
      <xdr:row>7</xdr:row>
      <xdr:rowOff>229393</xdr:rowOff>
    </xdr:to>
    <xdr:cxnSp macro="">
      <xdr:nvCxnSpPr>
        <xdr:cNvPr id="1502" name="Match41">
          <a:extLst>
            <a:ext uri="{FF2B5EF4-FFF2-40B4-BE49-F238E27FC236}">
              <a16:creationId xmlns:a16="http://schemas.microsoft.com/office/drawing/2014/main" id="{536BC681-612C-20FC-2E55-343D4DF1EA0B}"/>
            </a:ext>
          </a:extLst>
        </xdr:cNvPr>
        <xdr:cNvCxnSpPr/>
      </xdr:nvCxnSpPr>
      <xdr:spPr>
        <a:xfrm flipH="1">
          <a:off x="1958181" y="2729706"/>
          <a:ext cx="423863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288131</xdr:colOff>
      <xdr:row>6</xdr:row>
      <xdr:rowOff>254794</xdr:rowOff>
    </xdr:from>
    <xdr:to>
      <xdr:col>6</xdr:col>
      <xdr:colOff>288131</xdr:colOff>
      <xdr:row>7</xdr:row>
      <xdr:rowOff>254793</xdr:rowOff>
    </xdr:to>
    <xdr:cxnSp macro="">
      <xdr:nvCxnSpPr>
        <xdr:cNvPr id="1503" name="Match42">
          <a:extLst>
            <a:ext uri="{FF2B5EF4-FFF2-40B4-BE49-F238E27FC236}">
              <a16:creationId xmlns:a16="http://schemas.microsoft.com/office/drawing/2014/main" id="{BF3A0C0A-A829-5270-D0FC-246719519FD2}"/>
            </a:ext>
          </a:extLst>
        </xdr:cNvPr>
        <xdr:cNvCxnSpPr/>
      </xdr:nvCxnSpPr>
      <xdr:spPr>
        <a:xfrm flipV="1">
          <a:off x="2407444" y="2397919"/>
          <a:ext cx="423862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8</xdr:row>
      <xdr:rowOff>178594</xdr:rowOff>
    </xdr:from>
    <xdr:to>
      <xdr:col>9</xdr:col>
      <xdr:colOff>211931</xdr:colOff>
      <xdr:row>9</xdr:row>
      <xdr:rowOff>178593</xdr:rowOff>
    </xdr:to>
    <xdr:cxnSp macro="">
      <xdr:nvCxnSpPr>
        <xdr:cNvPr id="1504" name="Match43">
          <a:extLst>
            <a:ext uri="{FF2B5EF4-FFF2-40B4-BE49-F238E27FC236}">
              <a16:creationId xmlns:a16="http://schemas.microsoft.com/office/drawing/2014/main" id="{37434E1A-73FE-2580-A910-7243216C0C99}"/>
            </a:ext>
          </a:extLst>
        </xdr:cNvPr>
        <xdr:cNvCxnSpPr/>
      </xdr:nvCxnSpPr>
      <xdr:spPr>
        <a:xfrm>
          <a:off x="3602831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8</xdr:row>
      <xdr:rowOff>203994</xdr:rowOff>
    </xdr:from>
    <xdr:to>
      <xdr:col>8</xdr:col>
      <xdr:colOff>237331</xdr:colOff>
      <xdr:row>9</xdr:row>
      <xdr:rowOff>203993</xdr:rowOff>
    </xdr:to>
    <xdr:cxnSp macro="">
      <xdr:nvCxnSpPr>
        <xdr:cNvPr id="1505" name="Match44">
          <a:extLst>
            <a:ext uri="{FF2B5EF4-FFF2-40B4-BE49-F238E27FC236}">
              <a16:creationId xmlns:a16="http://schemas.microsoft.com/office/drawing/2014/main" id="{73AE0912-47BA-8E2F-B550-05A341D7A1C3}"/>
            </a:ext>
          </a:extLst>
        </xdr:cNvPr>
        <xdr:cNvCxnSpPr/>
      </xdr:nvCxnSpPr>
      <xdr:spPr>
        <a:xfrm flipH="1">
          <a:off x="3204369" y="30614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262731</xdr:colOff>
      <xdr:row>7</xdr:row>
      <xdr:rowOff>229393</xdr:rowOff>
    </xdr:from>
    <xdr:to>
      <xdr:col>8</xdr:col>
      <xdr:colOff>262731</xdr:colOff>
      <xdr:row>8</xdr:row>
      <xdr:rowOff>229394</xdr:rowOff>
    </xdr:to>
    <xdr:cxnSp macro="">
      <xdr:nvCxnSpPr>
        <xdr:cNvPr id="1506" name="Match45">
          <a:extLst>
            <a:ext uri="{FF2B5EF4-FFF2-40B4-BE49-F238E27FC236}">
              <a16:creationId xmlns:a16="http://schemas.microsoft.com/office/drawing/2014/main" id="{70D7E606-36D2-4D6F-ED08-C90A7AE3878F}"/>
            </a:ext>
          </a:extLst>
        </xdr:cNvPr>
        <xdr:cNvCxnSpPr/>
      </xdr:nvCxnSpPr>
      <xdr:spPr>
        <a:xfrm flipH="1" flipV="1">
          <a:off x="3229769" y="2729706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10</xdr:row>
      <xdr:rowOff>178594</xdr:rowOff>
    </xdr:from>
    <xdr:to>
      <xdr:col>4</xdr:col>
      <xdr:colOff>211931</xdr:colOff>
      <xdr:row>11</xdr:row>
      <xdr:rowOff>178593</xdr:rowOff>
    </xdr:to>
    <xdr:cxnSp macro="">
      <xdr:nvCxnSpPr>
        <xdr:cNvPr id="1507" name="Match46">
          <a:extLst>
            <a:ext uri="{FF2B5EF4-FFF2-40B4-BE49-F238E27FC236}">
              <a16:creationId xmlns:a16="http://schemas.microsoft.com/office/drawing/2014/main" id="{D1BC4D1E-6B0C-7D81-9E29-23F310D1A3CC}"/>
            </a:ext>
          </a:extLst>
        </xdr:cNvPr>
        <xdr:cNvCxnSpPr/>
      </xdr:nvCxnSpPr>
      <xdr:spPr>
        <a:xfrm flipH="1" flipV="1">
          <a:off x="1483519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10</xdr:row>
      <xdr:rowOff>203994</xdr:rowOff>
    </xdr:from>
    <xdr:to>
      <xdr:col>5</xdr:col>
      <xdr:colOff>237331</xdr:colOff>
      <xdr:row>11</xdr:row>
      <xdr:rowOff>203993</xdr:rowOff>
    </xdr:to>
    <xdr:cxnSp macro="">
      <xdr:nvCxnSpPr>
        <xdr:cNvPr id="1508" name="Match47">
          <a:extLst>
            <a:ext uri="{FF2B5EF4-FFF2-40B4-BE49-F238E27FC236}">
              <a16:creationId xmlns:a16="http://schemas.microsoft.com/office/drawing/2014/main" id="{12342385-55C7-2597-E1F8-08891A4EF58F}"/>
            </a:ext>
          </a:extLst>
        </xdr:cNvPr>
        <xdr:cNvCxnSpPr/>
      </xdr:nvCxnSpPr>
      <xdr:spPr>
        <a:xfrm flipV="1">
          <a:off x="1932781" y="37758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0</xdr:row>
      <xdr:rowOff>178594</xdr:rowOff>
    </xdr:from>
    <xdr:to>
      <xdr:col>0</xdr:col>
      <xdr:colOff>211931</xdr:colOff>
      <xdr:row>6</xdr:row>
      <xdr:rowOff>178594</xdr:rowOff>
    </xdr:to>
    <xdr:cxnSp macro="">
      <xdr:nvCxnSpPr>
        <xdr:cNvPr id="1509" name="Match48">
          <a:extLst>
            <a:ext uri="{FF2B5EF4-FFF2-40B4-BE49-F238E27FC236}">
              <a16:creationId xmlns:a16="http://schemas.microsoft.com/office/drawing/2014/main" id="{E48C7387-7E02-95B2-48DE-4AB8AC31112B}"/>
            </a:ext>
          </a:extLst>
        </xdr:cNvPr>
        <xdr:cNvCxnSpPr/>
      </xdr:nvCxnSpPr>
      <xdr:spPr>
        <a:xfrm>
          <a:off x="211931" y="178594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1</xdr:row>
      <xdr:rowOff>178593</xdr:rowOff>
    </xdr:from>
    <xdr:to>
      <xdr:col>11</xdr:col>
      <xdr:colOff>211931</xdr:colOff>
      <xdr:row>2</xdr:row>
      <xdr:rowOff>178594</xdr:rowOff>
    </xdr:to>
    <xdr:cxnSp macro="">
      <xdr:nvCxnSpPr>
        <xdr:cNvPr id="1510" name="Match49">
          <a:extLst>
            <a:ext uri="{FF2B5EF4-FFF2-40B4-BE49-F238E27FC236}">
              <a16:creationId xmlns:a16="http://schemas.microsoft.com/office/drawing/2014/main" id="{D03C3450-235D-5868-0713-BDE2BE6F01FC}"/>
            </a:ext>
          </a:extLst>
        </xdr:cNvPr>
        <xdr:cNvCxnSpPr/>
      </xdr:nvCxnSpPr>
      <xdr:spPr>
        <a:xfrm>
          <a:off x="4874419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2</xdr:row>
      <xdr:rowOff>178594</xdr:rowOff>
    </xdr:from>
    <xdr:to>
      <xdr:col>7</xdr:col>
      <xdr:colOff>211931</xdr:colOff>
      <xdr:row>2</xdr:row>
      <xdr:rowOff>178594</xdr:rowOff>
    </xdr:to>
    <xdr:cxnSp macro="">
      <xdr:nvCxnSpPr>
        <xdr:cNvPr id="1511" name="Match50">
          <a:extLst>
            <a:ext uri="{FF2B5EF4-FFF2-40B4-BE49-F238E27FC236}">
              <a16:creationId xmlns:a16="http://schemas.microsoft.com/office/drawing/2014/main" id="{B78D2FBA-7CBD-B87B-BC71-587F6F812B43}"/>
            </a:ext>
          </a:extLst>
        </xdr:cNvPr>
        <xdr:cNvCxnSpPr/>
      </xdr:nvCxnSpPr>
      <xdr:spPr>
        <a:xfrm>
          <a:off x="2755106" y="8929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2</xdr:row>
      <xdr:rowOff>203994</xdr:rowOff>
    </xdr:from>
    <xdr:to>
      <xdr:col>6</xdr:col>
      <xdr:colOff>237331</xdr:colOff>
      <xdr:row>3</xdr:row>
      <xdr:rowOff>203993</xdr:rowOff>
    </xdr:to>
    <xdr:cxnSp macro="">
      <xdr:nvCxnSpPr>
        <xdr:cNvPr id="1512" name="Match51">
          <a:extLst>
            <a:ext uri="{FF2B5EF4-FFF2-40B4-BE49-F238E27FC236}">
              <a16:creationId xmlns:a16="http://schemas.microsoft.com/office/drawing/2014/main" id="{A6A14D39-BAE5-0974-809E-203D3CF7B212}"/>
            </a:ext>
          </a:extLst>
        </xdr:cNvPr>
        <xdr:cNvCxnSpPr/>
      </xdr:nvCxnSpPr>
      <xdr:spPr>
        <a:xfrm flipH="1">
          <a:off x="2356644" y="9183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2</xdr:row>
      <xdr:rowOff>178594</xdr:rowOff>
    </xdr:from>
    <xdr:to>
      <xdr:col>7</xdr:col>
      <xdr:colOff>211931</xdr:colOff>
      <xdr:row>2</xdr:row>
      <xdr:rowOff>178594</xdr:rowOff>
    </xdr:to>
    <xdr:cxnSp macro="">
      <xdr:nvCxnSpPr>
        <xdr:cNvPr id="1513" name="Match52">
          <a:extLst>
            <a:ext uri="{FF2B5EF4-FFF2-40B4-BE49-F238E27FC236}">
              <a16:creationId xmlns:a16="http://schemas.microsoft.com/office/drawing/2014/main" id="{71A3CADA-DB64-5E5B-0FD4-0BFA222BDC37}"/>
            </a:ext>
          </a:extLst>
        </xdr:cNvPr>
        <xdr:cNvCxnSpPr/>
      </xdr:nvCxnSpPr>
      <xdr:spPr>
        <a:xfrm flipH="1">
          <a:off x="2755106" y="8929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1</xdr:row>
      <xdr:rowOff>178593</xdr:rowOff>
    </xdr:from>
    <xdr:to>
      <xdr:col>11</xdr:col>
      <xdr:colOff>211931</xdr:colOff>
      <xdr:row>2</xdr:row>
      <xdr:rowOff>178594</xdr:rowOff>
    </xdr:to>
    <xdr:cxnSp macro="">
      <xdr:nvCxnSpPr>
        <xdr:cNvPr id="1514" name="Match53">
          <a:extLst>
            <a:ext uri="{FF2B5EF4-FFF2-40B4-BE49-F238E27FC236}">
              <a16:creationId xmlns:a16="http://schemas.microsoft.com/office/drawing/2014/main" id="{A403592A-9FD1-8C72-72EA-8A8E7D2AF0B5}"/>
            </a:ext>
          </a:extLst>
        </xdr:cNvPr>
        <xdr:cNvCxnSpPr/>
      </xdr:nvCxnSpPr>
      <xdr:spPr>
        <a:xfrm flipV="1">
          <a:off x="4874419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3</xdr:row>
      <xdr:rowOff>178593</xdr:rowOff>
    </xdr:from>
    <xdr:to>
      <xdr:col>4</xdr:col>
      <xdr:colOff>211931</xdr:colOff>
      <xdr:row>4</xdr:row>
      <xdr:rowOff>178594</xdr:rowOff>
    </xdr:to>
    <xdr:cxnSp macro="">
      <xdr:nvCxnSpPr>
        <xdr:cNvPr id="1515" name="Match54">
          <a:extLst>
            <a:ext uri="{FF2B5EF4-FFF2-40B4-BE49-F238E27FC236}">
              <a16:creationId xmlns:a16="http://schemas.microsoft.com/office/drawing/2014/main" id="{E3E8ABE2-FEDA-B4C9-89BC-52FE0C7992F2}"/>
            </a:ext>
          </a:extLst>
        </xdr:cNvPr>
        <xdr:cNvCxnSpPr/>
      </xdr:nvCxnSpPr>
      <xdr:spPr>
        <a:xfrm>
          <a:off x="1483519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3</xdr:row>
      <xdr:rowOff>178593</xdr:rowOff>
    </xdr:from>
    <xdr:to>
      <xdr:col>5</xdr:col>
      <xdr:colOff>211931</xdr:colOff>
      <xdr:row>4</xdr:row>
      <xdr:rowOff>178594</xdr:rowOff>
    </xdr:to>
    <xdr:cxnSp macro="">
      <xdr:nvCxnSpPr>
        <xdr:cNvPr id="1516" name="Match55">
          <a:extLst>
            <a:ext uri="{FF2B5EF4-FFF2-40B4-BE49-F238E27FC236}">
              <a16:creationId xmlns:a16="http://schemas.microsoft.com/office/drawing/2014/main" id="{461B6F3F-2B3E-8B6A-33A2-3342B358DE87}"/>
            </a:ext>
          </a:extLst>
        </xdr:cNvPr>
        <xdr:cNvCxnSpPr/>
      </xdr:nvCxnSpPr>
      <xdr:spPr>
        <a:xfrm flipH="1">
          <a:off x="1907381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2</xdr:row>
      <xdr:rowOff>203994</xdr:rowOff>
    </xdr:from>
    <xdr:to>
      <xdr:col>6</xdr:col>
      <xdr:colOff>237331</xdr:colOff>
      <xdr:row>3</xdr:row>
      <xdr:rowOff>203993</xdr:rowOff>
    </xdr:to>
    <xdr:cxnSp macro="">
      <xdr:nvCxnSpPr>
        <xdr:cNvPr id="1517" name="Match56">
          <a:extLst>
            <a:ext uri="{FF2B5EF4-FFF2-40B4-BE49-F238E27FC236}">
              <a16:creationId xmlns:a16="http://schemas.microsoft.com/office/drawing/2014/main" id="{B4B9E669-D34E-4530-19AF-C33DF433B454}"/>
            </a:ext>
          </a:extLst>
        </xdr:cNvPr>
        <xdr:cNvCxnSpPr/>
      </xdr:nvCxnSpPr>
      <xdr:spPr>
        <a:xfrm flipV="1">
          <a:off x="2356644" y="9183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4</xdr:row>
      <xdr:rowOff>178594</xdr:rowOff>
    </xdr:from>
    <xdr:to>
      <xdr:col>5</xdr:col>
      <xdr:colOff>211931</xdr:colOff>
      <xdr:row>5</xdr:row>
      <xdr:rowOff>178593</xdr:rowOff>
    </xdr:to>
    <xdr:cxnSp macro="">
      <xdr:nvCxnSpPr>
        <xdr:cNvPr id="1518" name="Match57">
          <a:extLst>
            <a:ext uri="{FF2B5EF4-FFF2-40B4-BE49-F238E27FC236}">
              <a16:creationId xmlns:a16="http://schemas.microsoft.com/office/drawing/2014/main" id="{D2201E54-DBDD-9F19-6FCB-B0C2E0E9F1A0}"/>
            </a:ext>
          </a:extLst>
        </xdr:cNvPr>
        <xdr:cNvCxnSpPr/>
      </xdr:nvCxnSpPr>
      <xdr:spPr>
        <a:xfrm>
          <a:off x="1907381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3</xdr:row>
      <xdr:rowOff>203993</xdr:rowOff>
    </xdr:from>
    <xdr:to>
      <xdr:col>4</xdr:col>
      <xdr:colOff>237331</xdr:colOff>
      <xdr:row>4</xdr:row>
      <xdr:rowOff>203994</xdr:rowOff>
    </xdr:to>
    <xdr:cxnSp macro="">
      <xdr:nvCxnSpPr>
        <xdr:cNvPr id="1519" name="Match58">
          <a:extLst>
            <a:ext uri="{FF2B5EF4-FFF2-40B4-BE49-F238E27FC236}">
              <a16:creationId xmlns:a16="http://schemas.microsoft.com/office/drawing/2014/main" id="{49887365-3413-A20D-F34A-3EAC6288E3F4}"/>
            </a:ext>
          </a:extLst>
        </xdr:cNvPr>
        <xdr:cNvCxnSpPr/>
      </xdr:nvCxnSpPr>
      <xdr:spPr>
        <a:xfrm flipH="1" flipV="1">
          <a:off x="1508919" y="127555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262731</xdr:colOff>
      <xdr:row>3</xdr:row>
      <xdr:rowOff>229393</xdr:rowOff>
    </xdr:from>
    <xdr:to>
      <xdr:col>5</xdr:col>
      <xdr:colOff>262731</xdr:colOff>
      <xdr:row>4</xdr:row>
      <xdr:rowOff>229394</xdr:rowOff>
    </xdr:to>
    <xdr:cxnSp macro="">
      <xdr:nvCxnSpPr>
        <xdr:cNvPr id="1520" name="Match59">
          <a:extLst>
            <a:ext uri="{FF2B5EF4-FFF2-40B4-BE49-F238E27FC236}">
              <a16:creationId xmlns:a16="http://schemas.microsoft.com/office/drawing/2014/main" id="{6F72984B-9ED0-3EA8-3879-9693169B80A0}"/>
            </a:ext>
          </a:extLst>
        </xdr:cNvPr>
        <xdr:cNvCxnSpPr/>
      </xdr:nvCxnSpPr>
      <xdr:spPr>
        <a:xfrm flipV="1">
          <a:off x="1958181" y="1300956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4</xdr:row>
      <xdr:rowOff>203994</xdr:rowOff>
    </xdr:from>
    <xdr:to>
      <xdr:col>5</xdr:col>
      <xdr:colOff>237331</xdr:colOff>
      <xdr:row>5</xdr:row>
      <xdr:rowOff>203993</xdr:rowOff>
    </xdr:to>
    <xdr:cxnSp macro="">
      <xdr:nvCxnSpPr>
        <xdr:cNvPr id="1521" name="Match60">
          <a:extLst>
            <a:ext uri="{FF2B5EF4-FFF2-40B4-BE49-F238E27FC236}">
              <a16:creationId xmlns:a16="http://schemas.microsoft.com/office/drawing/2014/main" id="{EE4E15A1-259E-70C4-CAE5-06A6A5A53E4B}"/>
            </a:ext>
          </a:extLst>
        </xdr:cNvPr>
        <xdr:cNvCxnSpPr/>
      </xdr:nvCxnSpPr>
      <xdr:spPr>
        <a:xfrm flipH="1" flipV="1">
          <a:off x="1932781" y="163274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6</xdr:row>
      <xdr:rowOff>178594</xdr:rowOff>
    </xdr:from>
    <xdr:to>
      <xdr:col>10</xdr:col>
      <xdr:colOff>211931</xdr:colOff>
      <xdr:row>7</xdr:row>
      <xdr:rowOff>178593</xdr:rowOff>
    </xdr:to>
    <xdr:cxnSp macro="">
      <xdr:nvCxnSpPr>
        <xdr:cNvPr id="1522" name="Match61">
          <a:extLst>
            <a:ext uri="{FF2B5EF4-FFF2-40B4-BE49-F238E27FC236}">
              <a16:creationId xmlns:a16="http://schemas.microsoft.com/office/drawing/2014/main" id="{3EF562C6-EC56-53C5-2082-0E640B54DE36}"/>
            </a:ext>
          </a:extLst>
        </xdr:cNvPr>
        <xdr:cNvCxnSpPr/>
      </xdr:nvCxnSpPr>
      <xdr:spPr>
        <a:xfrm>
          <a:off x="402669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6</xdr:row>
      <xdr:rowOff>203994</xdr:rowOff>
    </xdr:from>
    <xdr:to>
      <xdr:col>9</xdr:col>
      <xdr:colOff>237331</xdr:colOff>
      <xdr:row>7</xdr:row>
      <xdr:rowOff>203993</xdr:rowOff>
    </xdr:to>
    <xdr:cxnSp macro="">
      <xdr:nvCxnSpPr>
        <xdr:cNvPr id="1523" name="Match62">
          <a:extLst>
            <a:ext uri="{FF2B5EF4-FFF2-40B4-BE49-F238E27FC236}">
              <a16:creationId xmlns:a16="http://schemas.microsoft.com/office/drawing/2014/main" id="{7FA0B92D-270F-1D4E-87AE-870FAF659B80}"/>
            </a:ext>
          </a:extLst>
        </xdr:cNvPr>
        <xdr:cNvCxnSpPr/>
      </xdr:nvCxnSpPr>
      <xdr:spPr>
        <a:xfrm>
          <a:off x="4052094" y="234711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7</xdr:row>
      <xdr:rowOff>178593</xdr:rowOff>
    </xdr:from>
    <xdr:to>
      <xdr:col>10</xdr:col>
      <xdr:colOff>211931</xdr:colOff>
      <xdr:row>7</xdr:row>
      <xdr:rowOff>178593</xdr:rowOff>
    </xdr:to>
    <xdr:cxnSp macro="">
      <xdr:nvCxnSpPr>
        <xdr:cNvPr id="1524" name="Match63">
          <a:extLst>
            <a:ext uri="{FF2B5EF4-FFF2-40B4-BE49-F238E27FC236}">
              <a16:creationId xmlns:a16="http://schemas.microsoft.com/office/drawing/2014/main" id="{354D9C9A-8A32-D11F-FAB6-4A41C4A555D9}"/>
            </a:ext>
          </a:extLst>
        </xdr:cNvPr>
        <xdr:cNvCxnSpPr/>
      </xdr:nvCxnSpPr>
      <xdr:spPr>
        <a:xfrm>
          <a:off x="4026694" y="267890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6</xdr:row>
      <xdr:rowOff>203994</xdr:rowOff>
    </xdr:from>
    <xdr:to>
      <xdr:col>9</xdr:col>
      <xdr:colOff>237331</xdr:colOff>
      <xdr:row>7</xdr:row>
      <xdr:rowOff>203993</xdr:rowOff>
    </xdr:to>
    <xdr:cxnSp macro="">
      <xdr:nvCxnSpPr>
        <xdr:cNvPr id="1525" name="Match64">
          <a:extLst>
            <a:ext uri="{FF2B5EF4-FFF2-40B4-BE49-F238E27FC236}">
              <a16:creationId xmlns:a16="http://schemas.microsoft.com/office/drawing/2014/main" id="{55F140C2-FE73-27B8-D6B5-218373EE2266}"/>
            </a:ext>
          </a:extLst>
        </xdr:cNvPr>
        <xdr:cNvCxnSpPr/>
      </xdr:nvCxnSpPr>
      <xdr:spPr>
        <a:xfrm flipV="1">
          <a:off x="4052094" y="234711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7</xdr:row>
      <xdr:rowOff>178593</xdr:rowOff>
    </xdr:from>
    <xdr:to>
      <xdr:col>10</xdr:col>
      <xdr:colOff>211931</xdr:colOff>
      <xdr:row>7</xdr:row>
      <xdr:rowOff>178593</xdr:rowOff>
    </xdr:to>
    <xdr:cxnSp macro="">
      <xdr:nvCxnSpPr>
        <xdr:cNvPr id="1526" name="Match65">
          <a:extLst>
            <a:ext uri="{FF2B5EF4-FFF2-40B4-BE49-F238E27FC236}">
              <a16:creationId xmlns:a16="http://schemas.microsoft.com/office/drawing/2014/main" id="{D5D312CD-34B0-DA64-BC5C-03ACF1721681}"/>
            </a:ext>
          </a:extLst>
        </xdr:cNvPr>
        <xdr:cNvCxnSpPr/>
      </xdr:nvCxnSpPr>
      <xdr:spPr>
        <a:xfrm flipH="1">
          <a:off x="4026694" y="267890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6</xdr:row>
      <xdr:rowOff>203994</xdr:rowOff>
    </xdr:from>
    <xdr:to>
      <xdr:col>10</xdr:col>
      <xdr:colOff>237331</xdr:colOff>
      <xdr:row>7</xdr:row>
      <xdr:rowOff>203993</xdr:rowOff>
    </xdr:to>
    <xdr:cxnSp macro="">
      <xdr:nvCxnSpPr>
        <xdr:cNvPr id="1527" name="Match66">
          <a:extLst>
            <a:ext uri="{FF2B5EF4-FFF2-40B4-BE49-F238E27FC236}">
              <a16:creationId xmlns:a16="http://schemas.microsoft.com/office/drawing/2014/main" id="{2A7893B2-90C5-1C4E-49F0-71BA438D5356}"/>
            </a:ext>
          </a:extLst>
        </xdr:cNvPr>
        <xdr:cNvCxnSpPr/>
      </xdr:nvCxnSpPr>
      <xdr:spPr>
        <a:xfrm flipH="1" flipV="1">
          <a:off x="4052094" y="234711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9</xdr:row>
      <xdr:rowOff>178593</xdr:rowOff>
    </xdr:from>
    <xdr:to>
      <xdr:col>4</xdr:col>
      <xdr:colOff>211931</xdr:colOff>
      <xdr:row>10</xdr:row>
      <xdr:rowOff>178594</xdr:rowOff>
    </xdr:to>
    <xdr:cxnSp macro="">
      <xdr:nvCxnSpPr>
        <xdr:cNvPr id="1528" name="Match67">
          <a:extLst>
            <a:ext uri="{FF2B5EF4-FFF2-40B4-BE49-F238E27FC236}">
              <a16:creationId xmlns:a16="http://schemas.microsoft.com/office/drawing/2014/main" id="{020ABAE6-AB93-6E94-95DF-A10C5E46CB6D}"/>
            </a:ext>
          </a:extLst>
        </xdr:cNvPr>
        <xdr:cNvCxnSpPr/>
      </xdr:nvCxnSpPr>
      <xdr:spPr>
        <a:xfrm>
          <a:off x="1907381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10</xdr:row>
      <xdr:rowOff>178594</xdr:rowOff>
    </xdr:from>
    <xdr:to>
      <xdr:col>5</xdr:col>
      <xdr:colOff>211931</xdr:colOff>
      <xdr:row>11</xdr:row>
      <xdr:rowOff>178593</xdr:rowOff>
    </xdr:to>
    <xdr:cxnSp macro="">
      <xdr:nvCxnSpPr>
        <xdr:cNvPr id="1529" name="Match68">
          <a:extLst>
            <a:ext uri="{FF2B5EF4-FFF2-40B4-BE49-F238E27FC236}">
              <a16:creationId xmlns:a16="http://schemas.microsoft.com/office/drawing/2014/main" id="{DD669E28-4661-1835-1A78-536C4F89059C}"/>
            </a:ext>
          </a:extLst>
        </xdr:cNvPr>
        <xdr:cNvCxnSpPr/>
      </xdr:nvCxnSpPr>
      <xdr:spPr>
        <a:xfrm>
          <a:off x="190738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9</xdr:row>
      <xdr:rowOff>203993</xdr:rowOff>
    </xdr:from>
    <xdr:to>
      <xdr:col>4</xdr:col>
      <xdr:colOff>237331</xdr:colOff>
      <xdr:row>10</xdr:row>
      <xdr:rowOff>203994</xdr:rowOff>
    </xdr:to>
    <xdr:cxnSp macro="">
      <xdr:nvCxnSpPr>
        <xdr:cNvPr id="1530" name="Match69">
          <a:extLst>
            <a:ext uri="{FF2B5EF4-FFF2-40B4-BE49-F238E27FC236}">
              <a16:creationId xmlns:a16="http://schemas.microsoft.com/office/drawing/2014/main" id="{9A913B38-4BA3-C745-E42D-BA76D8897862}"/>
            </a:ext>
          </a:extLst>
        </xdr:cNvPr>
        <xdr:cNvCxnSpPr/>
      </xdr:nvCxnSpPr>
      <xdr:spPr>
        <a:xfrm flipV="1">
          <a:off x="1932781" y="34186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10</xdr:row>
      <xdr:rowOff>178594</xdr:rowOff>
    </xdr:from>
    <xdr:to>
      <xdr:col>5</xdr:col>
      <xdr:colOff>211931</xdr:colOff>
      <xdr:row>11</xdr:row>
      <xdr:rowOff>178593</xdr:rowOff>
    </xdr:to>
    <xdr:cxnSp macro="">
      <xdr:nvCxnSpPr>
        <xdr:cNvPr id="1531" name="Match70">
          <a:extLst>
            <a:ext uri="{FF2B5EF4-FFF2-40B4-BE49-F238E27FC236}">
              <a16:creationId xmlns:a16="http://schemas.microsoft.com/office/drawing/2014/main" id="{FAF73436-A2CE-6222-21F9-2872516D00EF}"/>
            </a:ext>
          </a:extLst>
        </xdr:cNvPr>
        <xdr:cNvCxnSpPr/>
      </xdr:nvCxnSpPr>
      <xdr:spPr>
        <a:xfrm flipH="1" flipV="1">
          <a:off x="190738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9</xdr:row>
      <xdr:rowOff>178593</xdr:rowOff>
    </xdr:from>
    <xdr:to>
      <xdr:col>7</xdr:col>
      <xdr:colOff>211931</xdr:colOff>
      <xdr:row>9</xdr:row>
      <xdr:rowOff>178593</xdr:rowOff>
    </xdr:to>
    <xdr:cxnSp macro="">
      <xdr:nvCxnSpPr>
        <xdr:cNvPr id="1532" name="Match71">
          <a:extLst>
            <a:ext uri="{FF2B5EF4-FFF2-40B4-BE49-F238E27FC236}">
              <a16:creationId xmlns:a16="http://schemas.microsoft.com/office/drawing/2014/main" id="{EFFBD017-8F17-C251-0157-25E30CDDC366}"/>
            </a:ext>
          </a:extLst>
        </xdr:cNvPr>
        <xdr:cNvCxnSpPr/>
      </xdr:nvCxnSpPr>
      <xdr:spPr>
        <a:xfrm flipH="1">
          <a:off x="1059656" y="3393281"/>
          <a:ext cx="211931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B0FEB072-4BCD-00FD-4443-6BBA38A295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/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2">
        <v>6</v>
      </c>
      <c r="B1" s="27">
        <v>9</v>
      </c>
      <c r="C1" s="27">
        <v>2</v>
      </c>
      <c r="D1" s="27">
        <v>6</v>
      </c>
      <c r="E1" s="22">
        <v>7</v>
      </c>
      <c r="F1" s="22">
        <v>8</v>
      </c>
      <c r="G1" s="22">
        <v>5</v>
      </c>
      <c r="H1" s="22">
        <v>4</v>
      </c>
      <c r="I1" s="22">
        <v>2</v>
      </c>
      <c r="J1" s="23">
        <v>9</v>
      </c>
      <c r="K1" s="27">
        <v>6</v>
      </c>
      <c r="L1" s="27">
        <v>6</v>
      </c>
      <c r="N1" s="2">
        <v>4761383</v>
      </c>
      <c r="O1" s="1">
        <v>1</v>
      </c>
    </row>
    <row r="2" spans="1:15" s="2" customFormat="1" ht="28.25" customHeight="1">
      <c r="A2" s="22">
        <v>1</v>
      </c>
      <c r="B2" s="27">
        <v>8</v>
      </c>
      <c r="C2" s="27">
        <v>2</v>
      </c>
      <c r="D2" s="27">
        <v>1</v>
      </c>
      <c r="E2" s="27">
        <v>1</v>
      </c>
      <c r="F2" s="27">
        <v>5</v>
      </c>
      <c r="G2" s="27">
        <v>5</v>
      </c>
      <c r="H2" s="27">
        <v>2</v>
      </c>
      <c r="I2" s="27">
        <v>2</v>
      </c>
      <c r="J2" s="27">
        <v>5</v>
      </c>
      <c r="K2" s="23">
        <v>4</v>
      </c>
      <c r="L2" s="23">
        <v>8</v>
      </c>
      <c r="N2" s="2">
        <v>637</v>
      </c>
      <c r="O2" s="2">
        <v>3</v>
      </c>
    </row>
    <row r="3" spans="1:15" ht="28.25" customHeight="1">
      <c r="A3" s="22">
        <v>2</v>
      </c>
      <c r="B3" s="22">
        <v>6</v>
      </c>
      <c r="C3" s="22">
        <v>2</v>
      </c>
      <c r="D3" s="22">
        <v>5</v>
      </c>
      <c r="E3" s="27">
        <v>1</v>
      </c>
      <c r="F3" s="23">
        <v>9</v>
      </c>
      <c r="G3" s="23">
        <v>8</v>
      </c>
      <c r="H3" s="23">
        <v>8</v>
      </c>
      <c r="I3" s="27">
        <v>1</v>
      </c>
      <c r="J3" s="27">
        <v>7</v>
      </c>
      <c r="K3" s="27">
        <v>6</v>
      </c>
      <c r="L3" s="23">
        <v>8</v>
      </c>
      <c r="N3" s="2">
        <v>49</v>
      </c>
      <c r="O3" s="1">
        <v>8</v>
      </c>
    </row>
    <row r="4" spans="1:15" ht="28.25" customHeight="1">
      <c r="A4" s="22">
        <v>2</v>
      </c>
      <c r="B4" s="27">
        <v>9</v>
      </c>
      <c r="C4" s="27">
        <v>7</v>
      </c>
      <c r="D4" s="23">
        <v>8</v>
      </c>
      <c r="E4" s="27">
        <v>7</v>
      </c>
      <c r="F4" s="23">
        <v>8</v>
      </c>
      <c r="G4" s="27">
        <v>1</v>
      </c>
      <c r="H4" s="23">
        <v>9</v>
      </c>
      <c r="I4" s="23">
        <v>3</v>
      </c>
      <c r="J4" s="22">
        <v>4</v>
      </c>
      <c r="K4" s="27">
        <v>5</v>
      </c>
      <c r="L4" s="23">
        <v>4</v>
      </c>
      <c r="N4" s="2">
        <v>2335</v>
      </c>
      <c r="O4" s="1">
        <v>2</v>
      </c>
    </row>
    <row r="5" spans="1:15" ht="28.25" customHeight="1">
      <c r="A5" s="22">
        <v>6</v>
      </c>
      <c r="B5" s="23">
        <v>1</v>
      </c>
      <c r="C5" s="22">
        <v>2</v>
      </c>
      <c r="D5" s="27">
        <v>2</v>
      </c>
      <c r="E5" s="23">
        <v>8</v>
      </c>
      <c r="F5" s="23">
        <v>7</v>
      </c>
      <c r="G5" s="27">
        <v>2</v>
      </c>
      <c r="H5" s="27">
        <v>7</v>
      </c>
      <c r="I5" s="22">
        <v>4</v>
      </c>
      <c r="J5" s="23">
        <v>3</v>
      </c>
      <c r="K5" s="23">
        <v>4</v>
      </c>
      <c r="L5" s="27">
        <v>3</v>
      </c>
      <c r="N5" s="2">
        <v>61868</v>
      </c>
      <c r="O5" s="1">
        <v>1</v>
      </c>
    </row>
    <row r="6" spans="1:15" ht="28.25" customHeight="1">
      <c r="A6" s="22">
        <v>8</v>
      </c>
      <c r="B6" s="27">
        <v>2</v>
      </c>
      <c r="C6" s="22">
        <v>7</v>
      </c>
      <c r="D6" s="27">
        <v>5</v>
      </c>
      <c r="E6" s="22">
        <v>1</v>
      </c>
      <c r="F6" s="23">
        <v>8</v>
      </c>
      <c r="G6" s="22">
        <v>4</v>
      </c>
      <c r="H6" s="22">
        <v>9</v>
      </c>
      <c r="I6" s="27">
        <v>5</v>
      </c>
      <c r="J6" s="23">
        <v>9</v>
      </c>
      <c r="K6" s="23">
        <v>4</v>
      </c>
      <c r="L6" s="22">
        <v>5</v>
      </c>
      <c r="N6" s="2">
        <v>44</v>
      </c>
      <c r="O6" s="1">
        <v>10</v>
      </c>
    </row>
    <row r="7" spans="1:15" ht="28.25" customHeight="1">
      <c r="A7" s="22">
        <v>4</v>
      </c>
      <c r="B7" s="27">
        <v>7</v>
      </c>
      <c r="C7" s="22">
        <v>1</v>
      </c>
      <c r="D7" s="23">
        <v>2</v>
      </c>
      <c r="E7" s="27">
        <v>2</v>
      </c>
      <c r="F7" s="22">
        <v>7</v>
      </c>
      <c r="G7" s="23">
        <v>3</v>
      </c>
      <c r="H7" s="23">
        <v>3</v>
      </c>
      <c r="I7" s="22">
        <v>9</v>
      </c>
      <c r="J7" s="23">
        <v>8</v>
      </c>
      <c r="K7" s="27">
        <v>1</v>
      </c>
      <c r="L7" s="22">
        <v>3</v>
      </c>
      <c r="N7" s="2">
        <v>24587</v>
      </c>
      <c r="O7" s="1">
        <v>1</v>
      </c>
    </row>
    <row r="8" spans="1:15" ht="28.25" customHeight="1">
      <c r="A8" s="23">
        <v>4</v>
      </c>
      <c r="B8" s="27">
        <v>2</v>
      </c>
      <c r="C8" s="23">
        <v>6</v>
      </c>
      <c r="D8" s="23">
        <v>3</v>
      </c>
      <c r="E8" s="23">
        <v>3</v>
      </c>
      <c r="F8" s="23">
        <v>9</v>
      </c>
      <c r="G8" s="22">
        <v>6</v>
      </c>
      <c r="H8" s="23">
        <v>3</v>
      </c>
      <c r="I8" s="27">
        <v>1</v>
      </c>
      <c r="J8" s="22">
        <v>8</v>
      </c>
      <c r="K8" s="23">
        <v>8</v>
      </c>
      <c r="L8" s="22">
        <v>3</v>
      </c>
      <c r="N8" s="2">
        <v>526</v>
      </c>
      <c r="O8" s="1">
        <v>1</v>
      </c>
    </row>
    <row r="9" spans="1:15" ht="28.25" customHeight="1">
      <c r="A9" s="22">
        <v>6</v>
      </c>
      <c r="B9" s="22">
        <v>3</v>
      </c>
      <c r="C9" s="22">
        <v>7</v>
      </c>
      <c r="D9" s="23">
        <v>3</v>
      </c>
      <c r="E9" s="23">
        <v>4</v>
      </c>
      <c r="F9" s="23">
        <v>3</v>
      </c>
      <c r="G9" s="23">
        <v>3</v>
      </c>
      <c r="H9" s="22">
        <v>1</v>
      </c>
      <c r="I9" s="22">
        <v>9</v>
      </c>
      <c r="J9" s="23">
        <v>7</v>
      </c>
      <c r="K9" s="22">
        <v>7</v>
      </c>
      <c r="L9" s="22">
        <v>2</v>
      </c>
      <c r="N9" s="2">
        <v>8789</v>
      </c>
      <c r="O9" s="1">
        <v>2</v>
      </c>
    </row>
    <row r="10" spans="1:15" ht="28.25" customHeight="1">
      <c r="A10" s="23">
        <v>7</v>
      </c>
      <c r="B10" s="27">
        <v>1</v>
      </c>
      <c r="C10" s="22">
        <v>8</v>
      </c>
      <c r="D10" s="22">
        <v>5</v>
      </c>
      <c r="E10" s="22">
        <v>8</v>
      </c>
      <c r="F10" s="22">
        <v>7</v>
      </c>
      <c r="G10" s="22">
        <v>3</v>
      </c>
      <c r="H10" s="22">
        <v>3</v>
      </c>
      <c r="I10" s="22">
        <v>2</v>
      </c>
      <c r="J10" s="23">
        <v>3</v>
      </c>
      <c r="K10" s="23">
        <v>3</v>
      </c>
      <c r="L10" s="22">
        <v>8</v>
      </c>
      <c r="N10" s="2">
        <v>271</v>
      </c>
      <c r="O10" s="1">
        <v>3</v>
      </c>
    </row>
    <row r="11" spans="1:15" ht="28.25" customHeight="1">
      <c r="A11" s="27">
        <v>5</v>
      </c>
      <c r="B11" s="27">
        <v>2</v>
      </c>
      <c r="C11" s="27">
        <v>1</v>
      </c>
      <c r="D11" s="22">
        <v>3</v>
      </c>
      <c r="E11" s="22">
        <v>8</v>
      </c>
      <c r="F11" s="22">
        <v>3</v>
      </c>
      <c r="G11" s="22">
        <v>1</v>
      </c>
      <c r="H11" s="22">
        <v>6</v>
      </c>
      <c r="I11" s="22">
        <v>7</v>
      </c>
      <c r="J11" s="22">
        <v>4</v>
      </c>
      <c r="K11" s="27">
        <v>7</v>
      </c>
      <c r="L11" s="23">
        <v>6</v>
      </c>
      <c r="N11" s="2">
        <v>21671</v>
      </c>
      <c r="O11" s="1">
        <v>1</v>
      </c>
    </row>
    <row r="12" spans="1:15" ht="28.25" customHeight="1">
      <c r="A12" s="27">
        <v>7</v>
      </c>
      <c r="B12" s="27">
        <v>4</v>
      </c>
      <c r="C12" s="27">
        <v>7</v>
      </c>
      <c r="D12" s="27">
        <v>7</v>
      </c>
      <c r="E12" s="23">
        <v>9</v>
      </c>
      <c r="F12" s="22">
        <v>8</v>
      </c>
      <c r="G12" s="22">
        <v>6</v>
      </c>
      <c r="H12" s="22">
        <v>8</v>
      </c>
      <c r="I12" s="22">
        <v>1</v>
      </c>
      <c r="J12" s="22">
        <v>6</v>
      </c>
      <c r="K12" s="27">
        <v>8</v>
      </c>
      <c r="L12" s="27">
        <v>9</v>
      </c>
      <c r="N12" s="2">
        <v>93</v>
      </c>
      <c r="O12" s="1">
        <v>15</v>
      </c>
    </row>
    <row r="13" spans="1:15" ht="28.25" customHeight="1">
      <c r="N13" s="2">
        <v>6122684</v>
      </c>
      <c r="O13" s="1">
        <v>1</v>
      </c>
    </row>
    <row r="14" spans="1:15" ht="28.25" customHeight="1">
      <c r="N14" s="2">
        <v>88</v>
      </c>
      <c r="O14" s="1">
        <v>22</v>
      </c>
    </row>
    <row r="15" spans="1:15" ht="28.25" customHeight="1">
      <c r="N15" s="2">
        <v>337858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179"/>
  <sheetViews>
    <sheetView tabSelected="1" zoomScaleNormal="100" workbookViewId="0">
      <pane ySplit="2" topLeftCell="A173" activePane="bottomLeft" state="frozen"/>
      <selection pane="bottomLeft" activeCell="A179" sqref="A179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1" spans="1:35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</row>
    <row r="2" spans="1:35" ht="246.75">
      <c r="A2" s="28" t="s">
        <v>0</v>
      </c>
      <c r="B2" s="29" t="s">
        <v>171</v>
      </c>
      <c r="C2" s="29" t="s">
        <v>172</v>
      </c>
      <c r="D2" s="29" t="s">
        <v>173</v>
      </c>
      <c r="E2" s="29" t="s">
        <v>174</v>
      </c>
      <c r="F2" s="29" t="s">
        <v>175</v>
      </c>
      <c r="G2" s="29" t="s">
        <v>10</v>
      </c>
      <c r="H2" s="29" t="s">
        <v>16</v>
      </c>
      <c r="I2" s="29" t="s">
        <v>15</v>
      </c>
      <c r="J2" s="29" t="s">
        <v>11</v>
      </c>
      <c r="K2" s="29" t="s">
        <v>404</v>
      </c>
      <c r="L2" s="29" t="s">
        <v>163</v>
      </c>
      <c r="M2" s="4" t="s">
        <v>250</v>
      </c>
      <c r="N2" s="4" t="s">
        <v>178</v>
      </c>
      <c r="O2" s="4" t="s">
        <v>179</v>
      </c>
      <c r="P2" s="4" t="s">
        <v>170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0">
        <v>45951.701574074075</v>
      </c>
      <c r="B3" s="28">
        <v>61</v>
      </c>
      <c r="C3" s="28">
        <v>16</v>
      </c>
      <c r="D3" s="28">
        <v>0</v>
      </c>
      <c r="E3" s="28">
        <v>17</v>
      </c>
      <c r="F3" s="28">
        <v>0</v>
      </c>
      <c r="G3" s="31">
        <v>1.4050925929041114E-2</v>
      </c>
      <c r="H3" s="28" t="s">
        <v>66</v>
      </c>
      <c r="I3" s="28" t="s">
        <v>48</v>
      </c>
      <c r="J3" s="28">
        <v>0</v>
      </c>
      <c r="K3" s="28"/>
      <c r="L3" s="28"/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0">
        <v>45951.867650462962</v>
      </c>
      <c r="B4" s="28">
        <v>74</v>
      </c>
      <c r="C4" s="28">
        <v>10</v>
      </c>
      <c r="D4" s="28">
        <v>0</v>
      </c>
      <c r="E4" s="28">
        <v>0</v>
      </c>
      <c r="F4" s="28">
        <v>0</v>
      </c>
      <c r="G4" s="31">
        <v>1.0868055556784384E-2</v>
      </c>
      <c r="H4" s="28" t="s">
        <v>64</v>
      </c>
      <c r="I4" s="28" t="s">
        <v>65</v>
      </c>
      <c r="J4" s="28">
        <v>0</v>
      </c>
      <c r="K4" s="28"/>
      <c r="L4" s="28"/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0">
        <v>45952.483495370368</v>
      </c>
      <c r="B5" s="28">
        <v>42</v>
      </c>
      <c r="C5" s="28">
        <v>10</v>
      </c>
      <c r="D5" s="28">
        <v>0</v>
      </c>
      <c r="E5" s="28">
        <v>27</v>
      </c>
      <c r="F5" s="28">
        <v>0</v>
      </c>
      <c r="G5" s="31">
        <v>1.7534722217533272E-2</v>
      </c>
      <c r="H5" s="28" t="s">
        <v>62</v>
      </c>
      <c r="I5" s="28" t="s">
        <v>63</v>
      </c>
      <c r="J5" s="28">
        <v>0</v>
      </c>
      <c r="K5" s="28"/>
      <c r="L5" s="28"/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0">
        <v>45952.864699074074</v>
      </c>
      <c r="B6" s="28">
        <v>70</v>
      </c>
      <c r="C6" s="28">
        <v>32</v>
      </c>
      <c r="D6" s="28">
        <v>0</v>
      </c>
      <c r="E6" s="28">
        <v>4</v>
      </c>
      <c r="F6" s="28">
        <v>0</v>
      </c>
      <c r="G6" s="31">
        <v>1.9606481480877846E-2</v>
      </c>
      <c r="H6" s="28" t="s">
        <v>60</v>
      </c>
      <c r="I6" s="28" t="s">
        <v>61</v>
      </c>
      <c r="J6" s="28">
        <v>0</v>
      </c>
      <c r="K6" s="28"/>
      <c r="L6" s="28"/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0">
        <v>45953.849791666667</v>
      </c>
      <c r="B7" s="28">
        <v>53</v>
      </c>
      <c r="C7" s="28">
        <v>105</v>
      </c>
      <c r="D7" s="28">
        <v>0</v>
      </c>
      <c r="E7" s="28">
        <v>4</v>
      </c>
      <c r="F7" s="28">
        <v>0</v>
      </c>
      <c r="G7" s="31">
        <v>1.4953703706851229E-2</v>
      </c>
      <c r="H7" s="28" t="s">
        <v>58</v>
      </c>
      <c r="I7" s="28" t="s">
        <v>59</v>
      </c>
      <c r="J7" s="28">
        <v>0</v>
      </c>
      <c r="K7" s="28"/>
      <c r="L7" s="28"/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0">
        <v>45953.869490740741</v>
      </c>
      <c r="B8" s="28">
        <v>58</v>
      </c>
      <c r="C8" s="28">
        <v>82</v>
      </c>
      <c r="D8" s="28">
        <v>0</v>
      </c>
      <c r="E8" s="28">
        <v>3</v>
      </c>
      <c r="F8" s="28">
        <v>0</v>
      </c>
      <c r="G8" s="31">
        <v>1.8831018518540077E-2</v>
      </c>
      <c r="H8" s="28" t="s">
        <v>56</v>
      </c>
      <c r="I8" s="28" t="s">
        <v>57</v>
      </c>
      <c r="J8" s="28">
        <v>0</v>
      </c>
      <c r="K8" s="28"/>
      <c r="L8" s="28"/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0">
        <v>45954.406076388892</v>
      </c>
      <c r="B9" s="28">
        <v>50</v>
      </c>
      <c r="C9" s="28">
        <v>67</v>
      </c>
      <c r="D9" s="28">
        <v>0</v>
      </c>
      <c r="E9" s="28">
        <v>13</v>
      </c>
      <c r="F9" s="28">
        <v>0</v>
      </c>
      <c r="G9" s="31">
        <v>1.0740740741312038E-2</v>
      </c>
      <c r="H9" s="28" t="s">
        <v>54</v>
      </c>
      <c r="I9" s="28" t="s">
        <v>55</v>
      </c>
      <c r="J9" s="28">
        <v>0</v>
      </c>
      <c r="K9" s="28"/>
      <c r="L9" s="28"/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0">
        <v>45954.875092592592</v>
      </c>
      <c r="B10" s="28">
        <v>57</v>
      </c>
      <c r="C10" s="28">
        <v>66</v>
      </c>
      <c r="D10" s="28">
        <v>0</v>
      </c>
      <c r="E10" s="28">
        <v>7</v>
      </c>
      <c r="F10" s="28">
        <v>0</v>
      </c>
      <c r="G10" s="31">
        <v>2.0335648150648922E-2</v>
      </c>
      <c r="H10" s="28" t="s">
        <v>52</v>
      </c>
      <c r="I10" s="28" t="s">
        <v>53</v>
      </c>
      <c r="J10" s="28">
        <v>0</v>
      </c>
      <c r="K10" s="28"/>
      <c r="L10" s="28"/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0">
        <v>45956.6015625</v>
      </c>
      <c r="B11" s="28">
        <v>31</v>
      </c>
      <c r="C11" s="28">
        <v>14</v>
      </c>
      <c r="D11" s="28">
        <v>0</v>
      </c>
      <c r="E11" s="28">
        <v>29</v>
      </c>
      <c r="F11" s="28">
        <v>0</v>
      </c>
      <c r="G11" s="31">
        <v>1.4293981483206153E-2</v>
      </c>
      <c r="H11" s="28" t="s">
        <v>50</v>
      </c>
      <c r="I11" s="28" t="s">
        <v>51</v>
      </c>
      <c r="J11" s="28">
        <v>0</v>
      </c>
      <c r="K11" s="28"/>
      <c r="L11" s="28"/>
    </row>
    <row r="12" spans="1:35">
      <c r="A12" s="30">
        <v>45958.470810185187</v>
      </c>
      <c r="B12" s="28">
        <v>60</v>
      </c>
      <c r="C12" s="28">
        <v>16</v>
      </c>
      <c r="D12" s="28">
        <v>0</v>
      </c>
      <c r="E12" s="28">
        <v>0</v>
      </c>
      <c r="F12" s="28">
        <v>0</v>
      </c>
      <c r="G12" s="31">
        <v>6.7708333372138441E-3</v>
      </c>
      <c r="H12" s="28" t="s">
        <v>67</v>
      </c>
      <c r="I12" s="28" t="s">
        <v>68</v>
      </c>
      <c r="J12" s="28">
        <v>0</v>
      </c>
      <c r="K12" s="28"/>
      <c r="L12" s="28"/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</row>
    <row r="17" spans="1:16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</row>
    <row r="18" spans="1:16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0">2+IF(A18&gt;=DATEVALUE("2025/11/30")+TIMEVALUE("6:00"),1,0)+IF(A18&gt;=DATEVALUE("2025/12/11")+TIMEVALUE("6:00"),1,0)</f>
        <v>2</v>
      </c>
      <c r="N18">
        <f t="shared" ref="N18" si="1">N17+M18*(INT(A18-6/24)-INT(A17-6/24))+O18</f>
        <v>2</v>
      </c>
      <c r="O18">
        <f>IF(A18&gt;=DATEVALUE("2025/11/8")+TIMEVALUE("6:00"),1,0)-IF(A17&gt;=DATEVALUE("2025/11/8")+TIMEVALUE("6:00"),1,0)</f>
        <v>0</v>
      </c>
      <c r="P18" t="str">
        <f>IF(L18&lt;N18,"未達成（"&amp;N18-L18&amp;"）",IF(L18=N18,"達成","前倒し（"&amp;L18-N18&amp;"）"))</f>
        <v>未達成（1）</v>
      </c>
    </row>
    <row r="19" spans="1:16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2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3">L18+K19</f>
        <v>2</v>
      </c>
      <c r="M19">
        <f t="shared" ref="M19:M82" si="4">2+IF(A19&gt;=DATEVALUE("2025/11/30")+TIMEVALUE("6:00"),1,0)+IF(A19&gt;=DATEVALUE("2025/12/11")+TIMEVALUE("6:00"),1,0)</f>
        <v>2</v>
      </c>
      <c r="N19">
        <f t="shared" ref="N19:N82" si="5">N18+M19*(INT(A19-6/24)-INT(A18-6/24))+O19</f>
        <v>2</v>
      </c>
      <c r="O19">
        <f t="shared" ref="O19:O82" si="6">IF(A19&gt;=DATEVALUE("2025/11/8")+TIMEVALUE("6:00"),1,0)-IF(A18&gt;=DATEVALUE("2025/11/8")+TIMEVALUE("6:00"),1,0)</f>
        <v>0</v>
      </c>
      <c r="P19" t="str">
        <f t="shared" ref="P19:P82" si="7">IF(L19&lt;N19,"未達成（"&amp;N19-L19&amp;"）",IF(L19=N19,"達成","前倒し（"&amp;L19-N19&amp;"）"))</f>
        <v>達成</v>
      </c>
    </row>
    <row r="20" spans="1:16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2"/>
        <v>1</v>
      </c>
      <c r="L20">
        <f t="shared" si="3"/>
        <v>3</v>
      </c>
      <c r="M20">
        <f t="shared" si="4"/>
        <v>2</v>
      </c>
      <c r="N20">
        <f t="shared" si="5"/>
        <v>4</v>
      </c>
      <c r="O20">
        <f t="shared" si="6"/>
        <v>0</v>
      </c>
      <c r="P20" t="str">
        <f t="shared" si="7"/>
        <v>未達成（1）</v>
      </c>
    </row>
    <row r="21" spans="1:16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2"/>
        <v>1</v>
      </c>
      <c r="L21">
        <f t="shared" si="3"/>
        <v>4</v>
      </c>
      <c r="M21">
        <f t="shared" si="4"/>
        <v>2</v>
      </c>
      <c r="N21">
        <f t="shared" si="5"/>
        <v>4</v>
      </c>
      <c r="O21">
        <f t="shared" si="6"/>
        <v>0</v>
      </c>
      <c r="P21" t="str">
        <f t="shared" si="7"/>
        <v>達成</v>
      </c>
    </row>
    <row r="22" spans="1:16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2"/>
        <v>1</v>
      </c>
      <c r="L22">
        <f t="shared" si="3"/>
        <v>5</v>
      </c>
      <c r="M22">
        <f t="shared" si="4"/>
        <v>2</v>
      </c>
      <c r="N22">
        <f t="shared" si="5"/>
        <v>6</v>
      </c>
      <c r="O22">
        <f t="shared" si="6"/>
        <v>0</v>
      </c>
      <c r="P22" t="str">
        <f t="shared" si="7"/>
        <v>未達成（1）</v>
      </c>
    </row>
    <row r="23" spans="1:16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2"/>
        <v>1</v>
      </c>
      <c r="L23">
        <f t="shared" si="3"/>
        <v>6</v>
      </c>
      <c r="M23">
        <f t="shared" si="4"/>
        <v>2</v>
      </c>
      <c r="N23">
        <f t="shared" si="5"/>
        <v>6</v>
      </c>
      <c r="O23">
        <f t="shared" si="6"/>
        <v>0</v>
      </c>
      <c r="P23" t="str">
        <f t="shared" si="7"/>
        <v>達成</v>
      </c>
    </row>
    <row r="24" spans="1:16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2"/>
        <v>1</v>
      </c>
      <c r="L24">
        <f t="shared" si="3"/>
        <v>7</v>
      </c>
      <c r="M24">
        <f t="shared" si="4"/>
        <v>2</v>
      </c>
      <c r="N24">
        <f t="shared" si="5"/>
        <v>8</v>
      </c>
      <c r="O24">
        <f t="shared" si="6"/>
        <v>0</v>
      </c>
      <c r="P24" t="str">
        <f t="shared" si="7"/>
        <v>未達成（1）</v>
      </c>
    </row>
    <row r="25" spans="1:16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2"/>
        <v>1</v>
      </c>
      <c r="L25">
        <f t="shared" si="3"/>
        <v>8</v>
      </c>
      <c r="M25">
        <f t="shared" si="4"/>
        <v>2</v>
      </c>
      <c r="N25">
        <f t="shared" si="5"/>
        <v>8</v>
      </c>
      <c r="O25">
        <f t="shared" si="6"/>
        <v>0</v>
      </c>
      <c r="P25" t="str">
        <f t="shared" si="7"/>
        <v>達成</v>
      </c>
    </row>
    <row r="26" spans="1:16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2"/>
        <v>1</v>
      </c>
      <c r="L26">
        <f t="shared" si="3"/>
        <v>9</v>
      </c>
      <c r="M26">
        <f t="shared" si="4"/>
        <v>2</v>
      </c>
      <c r="N26">
        <f t="shared" si="5"/>
        <v>10</v>
      </c>
      <c r="O26">
        <f t="shared" si="6"/>
        <v>0</v>
      </c>
      <c r="P26" t="str">
        <f t="shared" si="7"/>
        <v>未達成（1）</v>
      </c>
    </row>
    <row r="27" spans="1:16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2"/>
        <v>1</v>
      </c>
      <c r="L27">
        <f t="shared" si="3"/>
        <v>10</v>
      </c>
      <c r="M27">
        <f t="shared" si="4"/>
        <v>2</v>
      </c>
      <c r="N27">
        <f t="shared" si="5"/>
        <v>10</v>
      </c>
      <c r="O27">
        <f t="shared" si="6"/>
        <v>0</v>
      </c>
      <c r="P27" t="str">
        <f t="shared" si="7"/>
        <v>達成</v>
      </c>
    </row>
    <row r="28" spans="1:16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2"/>
        <v>1</v>
      </c>
      <c r="L28">
        <f t="shared" si="3"/>
        <v>11</v>
      </c>
      <c r="M28">
        <f t="shared" si="4"/>
        <v>2</v>
      </c>
      <c r="N28">
        <f t="shared" si="5"/>
        <v>13</v>
      </c>
      <c r="O28">
        <f t="shared" si="6"/>
        <v>1</v>
      </c>
      <c r="P28" t="str">
        <f t="shared" si="7"/>
        <v>未達成（2）</v>
      </c>
    </row>
    <row r="29" spans="1:16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2"/>
        <v>1</v>
      </c>
      <c r="L29">
        <f t="shared" si="3"/>
        <v>12</v>
      </c>
      <c r="M29">
        <f t="shared" si="4"/>
        <v>2</v>
      </c>
      <c r="N29">
        <f t="shared" si="5"/>
        <v>13</v>
      </c>
      <c r="O29">
        <f t="shared" si="6"/>
        <v>0</v>
      </c>
      <c r="P29" t="str">
        <f t="shared" si="7"/>
        <v>未達成（1）</v>
      </c>
    </row>
    <row r="30" spans="1:16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2"/>
        <v>1</v>
      </c>
      <c r="L30">
        <f t="shared" si="3"/>
        <v>13</v>
      </c>
      <c r="M30">
        <f t="shared" si="4"/>
        <v>2</v>
      </c>
      <c r="N30">
        <f t="shared" si="5"/>
        <v>13</v>
      </c>
      <c r="O30">
        <f t="shared" si="6"/>
        <v>0</v>
      </c>
      <c r="P30" t="str">
        <f t="shared" si="7"/>
        <v>達成</v>
      </c>
    </row>
    <row r="31" spans="1:16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2"/>
        <v>1</v>
      </c>
      <c r="L31">
        <f t="shared" si="3"/>
        <v>14</v>
      </c>
      <c r="M31">
        <f t="shared" si="4"/>
        <v>2</v>
      </c>
      <c r="N31">
        <f t="shared" si="5"/>
        <v>15</v>
      </c>
      <c r="O31">
        <f t="shared" si="6"/>
        <v>0</v>
      </c>
      <c r="P31" t="str">
        <f t="shared" si="7"/>
        <v>未達成（1）</v>
      </c>
    </row>
    <row r="32" spans="1:16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2"/>
        <v>1</v>
      </c>
      <c r="L32">
        <f t="shared" si="3"/>
        <v>15</v>
      </c>
      <c r="M32">
        <f t="shared" si="4"/>
        <v>2</v>
      </c>
      <c r="N32">
        <f t="shared" si="5"/>
        <v>15</v>
      </c>
      <c r="O32">
        <f t="shared" si="6"/>
        <v>0</v>
      </c>
      <c r="P32" t="str">
        <f t="shared" si="7"/>
        <v>達成</v>
      </c>
    </row>
    <row r="33" spans="1:16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2"/>
        <v>1</v>
      </c>
      <c r="L33">
        <f t="shared" si="3"/>
        <v>16</v>
      </c>
      <c r="M33">
        <f t="shared" si="4"/>
        <v>2</v>
      </c>
      <c r="N33">
        <f t="shared" si="5"/>
        <v>17</v>
      </c>
      <c r="O33">
        <f t="shared" si="6"/>
        <v>0</v>
      </c>
      <c r="P33" t="str">
        <f t="shared" si="7"/>
        <v>未達成（1）</v>
      </c>
    </row>
    <row r="34" spans="1:16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2"/>
        <v>1</v>
      </c>
      <c r="L34">
        <f t="shared" si="3"/>
        <v>17</v>
      </c>
      <c r="M34">
        <f t="shared" si="4"/>
        <v>2</v>
      </c>
      <c r="N34">
        <f t="shared" si="5"/>
        <v>17</v>
      </c>
      <c r="O34">
        <f t="shared" si="6"/>
        <v>0</v>
      </c>
      <c r="P34" t="str">
        <f t="shared" si="7"/>
        <v>達成</v>
      </c>
    </row>
    <row r="35" spans="1:16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2"/>
        <v>1</v>
      </c>
      <c r="L35">
        <f t="shared" si="3"/>
        <v>18</v>
      </c>
      <c r="M35">
        <f t="shared" si="4"/>
        <v>2</v>
      </c>
      <c r="N35">
        <f t="shared" si="5"/>
        <v>19</v>
      </c>
      <c r="O35">
        <f t="shared" si="6"/>
        <v>0</v>
      </c>
      <c r="P35" t="str">
        <f t="shared" si="7"/>
        <v>未達成（1）</v>
      </c>
    </row>
    <row r="36" spans="1:16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2"/>
        <v>1</v>
      </c>
      <c r="L36">
        <f t="shared" si="3"/>
        <v>19</v>
      </c>
      <c r="M36">
        <f t="shared" si="4"/>
        <v>2</v>
      </c>
      <c r="N36">
        <f t="shared" si="5"/>
        <v>19</v>
      </c>
      <c r="O36">
        <f t="shared" si="6"/>
        <v>0</v>
      </c>
      <c r="P36" t="str">
        <f t="shared" si="7"/>
        <v>達成</v>
      </c>
    </row>
    <row r="37" spans="1:16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2"/>
        <v>1</v>
      </c>
      <c r="L37">
        <f t="shared" si="3"/>
        <v>20</v>
      </c>
      <c r="M37">
        <f t="shared" si="4"/>
        <v>2</v>
      </c>
      <c r="N37">
        <f t="shared" si="5"/>
        <v>21</v>
      </c>
      <c r="O37">
        <f t="shared" si="6"/>
        <v>0</v>
      </c>
      <c r="P37" t="str">
        <f t="shared" si="7"/>
        <v>未達成（1）</v>
      </c>
    </row>
    <row r="38" spans="1:16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2"/>
        <v>1</v>
      </c>
      <c r="L38">
        <f t="shared" si="3"/>
        <v>21</v>
      </c>
      <c r="M38">
        <f t="shared" si="4"/>
        <v>2</v>
      </c>
      <c r="N38">
        <f t="shared" si="5"/>
        <v>21</v>
      </c>
      <c r="O38">
        <f t="shared" si="6"/>
        <v>0</v>
      </c>
      <c r="P38" t="str">
        <f t="shared" si="7"/>
        <v>達成</v>
      </c>
    </row>
    <row r="39" spans="1:16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2"/>
        <v>1</v>
      </c>
      <c r="L39">
        <f t="shared" si="3"/>
        <v>22</v>
      </c>
      <c r="M39">
        <f t="shared" si="4"/>
        <v>2</v>
      </c>
      <c r="N39">
        <f t="shared" si="5"/>
        <v>25</v>
      </c>
      <c r="O39">
        <f t="shared" si="6"/>
        <v>0</v>
      </c>
      <c r="P39" t="str">
        <f t="shared" si="7"/>
        <v>未達成（3）</v>
      </c>
    </row>
    <row r="40" spans="1:16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2"/>
        <v>1</v>
      </c>
      <c r="L40">
        <f t="shared" si="3"/>
        <v>23</v>
      </c>
      <c r="M40">
        <f t="shared" si="4"/>
        <v>2</v>
      </c>
      <c r="N40">
        <f t="shared" si="5"/>
        <v>25</v>
      </c>
      <c r="O40">
        <f t="shared" si="6"/>
        <v>0</v>
      </c>
      <c r="P40" t="str">
        <f t="shared" si="7"/>
        <v>未達成（2）</v>
      </c>
    </row>
    <row r="41" spans="1:16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2"/>
        <v>1</v>
      </c>
      <c r="L41">
        <f t="shared" si="3"/>
        <v>24</v>
      </c>
      <c r="M41">
        <f t="shared" si="4"/>
        <v>2</v>
      </c>
      <c r="N41">
        <f t="shared" si="5"/>
        <v>27</v>
      </c>
      <c r="O41">
        <f t="shared" si="6"/>
        <v>0</v>
      </c>
      <c r="P41" t="str">
        <f t="shared" si="7"/>
        <v>未達成（3）</v>
      </c>
    </row>
    <row r="42" spans="1:16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2"/>
        <v>1</v>
      </c>
      <c r="L42">
        <f t="shared" si="3"/>
        <v>25</v>
      </c>
      <c r="M42">
        <f t="shared" si="4"/>
        <v>2</v>
      </c>
      <c r="N42">
        <f t="shared" si="5"/>
        <v>27</v>
      </c>
      <c r="O42">
        <f t="shared" si="6"/>
        <v>0</v>
      </c>
      <c r="P42" t="str">
        <f t="shared" si="7"/>
        <v>未達成（2）</v>
      </c>
    </row>
    <row r="43" spans="1:16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2"/>
        <v>1</v>
      </c>
      <c r="L43">
        <f t="shared" si="3"/>
        <v>26</v>
      </c>
      <c r="M43">
        <f t="shared" si="4"/>
        <v>2</v>
      </c>
      <c r="N43">
        <f t="shared" si="5"/>
        <v>29</v>
      </c>
      <c r="O43">
        <f t="shared" si="6"/>
        <v>0</v>
      </c>
      <c r="P43" t="str">
        <f t="shared" si="7"/>
        <v>未達成（3）</v>
      </c>
    </row>
    <row r="44" spans="1:16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2"/>
        <v>1</v>
      </c>
      <c r="L44">
        <f t="shared" si="3"/>
        <v>27</v>
      </c>
      <c r="M44">
        <f t="shared" si="4"/>
        <v>2</v>
      </c>
      <c r="N44">
        <f t="shared" si="5"/>
        <v>29</v>
      </c>
      <c r="O44">
        <f t="shared" si="6"/>
        <v>0</v>
      </c>
      <c r="P44" t="str">
        <f t="shared" si="7"/>
        <v>未達成（2）</v>
      </c>
    </row>
    <row r="45" spans="1:16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2"/>
        <v>1</v>
      </c>
      <c r="L45">
        <f t="shared" si="3"/>
        <v>28</v>
      </c>
      <c r="M45">
        <f t="shared" si="4"/>
        <v>2</v>
      </c>
      <c r="N45">
        <f t="shared" si="5"/>
        <v>29</v>
      </c>
      <c r="O45">
        <f t="shared" si="6"/>
        <v>0</v>
      </c>
      <c r="P45" t="str">
        <f t="shared" si="7"/>
        <v>未達成（1）</v>
      </c>
    </row>
    <row r="46" spans="1:16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2"/>
        <v>1</v>
      </c>
      <c r="L46">
        <f t="shared" si="3"/>
        <v>29</v>
      </c>
      <c r="M46">
        <f t="shared" si="4"/>
        <v>2</v>
      </c>
      <c r="N46">
        <f t="shared" si="5"/>
        <v>29</v>
      </c>
      <c r="O46">
        <f t="shared" si="6"/>
        <v>0</v>
      </c>
      <c r="P46" t="str">
        <f t="shared" si="7"/>
        <v>達成</v>
      </c>
    </row>
    <row r="47" spans="1:16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2"/>
        <v>1</v>
      </c>
      <c r="L47">
        <f t="shared" si="3"/>
        <v>30</v>
      </c>
      <c r="M47">
        <f t="shared" si="4"/>
        <v>2</v>
      </c>
      <c r="N47">
        <f t="shared" si="5"/>
        <v>29</v>
      </c>
      <c r="O47">
        <f t="shared" si="6"/>
        <v>0</v>
      </c>
      <c r="P47" t="str">
        <f t="shared" si="7"/>
        <v>前倒し（1）</v>
      </c>
    </row>
    <row r="48" spans="1:16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2"/>
        <v>1</v>
      </c>
      <c r="L48">
        <f t="shared" si="3"/>
        <v>31</v>
      </c>
      <c r="M48">
        <f t="shared" si="4"/>
        <v>2</v>
      </c>
      <c r="N48">
        <f t="shared" si="5"/>
        <v>29</v>
      </c>
      <c r="O48">
        <f t="shared" si="6"/>
        <v>0</v>
      </c>
      <c r="P48" t="str">
        <f t="shared" si="7"/>
        <v>前倒し（2）</v>
      </c>
    </row>
    <row r="49" spans="1:16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2"/>
        <v>1</v>
      </c>
      <c r="L49">
        <f t="shared" si="3"/>
        <v>32</v>
      </c>
      <c r="M49">
        <f t="shared" si="4"/>
        <v>2</v>
      </c>
      <c r="N49">
        <f t="shared" si="5"/>
        <v>31</v>
      </c>
      <c r="O49">
        <f t="shared" si="6"/>
        <v>0</v>
      </c>
      <c r="P49" t="str">
        <f t="shared" si="7"/>
        <v>前倒し（1）</v>
      </c>
    </row>
    <row r="50" spans="1:16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2"/>
        <v>1</v>
      </c>
      <c r="L50">
        <f t="shared" si="3"/>
        <v>33</v>
      </c>
      <c r="M50">
        <f t="shared" si="4"/>
        <v>2</v>
      </c>
      <c r="N50">
        <f t="shared" si="5"/>
        <v>31</v>
      </c>
      <c r="O50">
        <f t="shared" si="6"/>
        <v>0</v>
      </c>
      <c r="P50" t="str">
        <f t="shared" si="7"/>
        <v>前倒し（2）</v>
      </c>
    </row>
    <row r="51" spans="1:16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2"/>
        <v>1</v>
      </c>
      <c r="L51">
        <f t="shared" si="3"/>
        <v>34</v>
      </c>
      <c r="M51">
        <f t="shared" si="4"/>
        <v>2</v>
      </c>
      <c r="N51">
        <f t="shared" si="5"/>
        <v>31</v>
      </c>
      <c r="O51">
        <f t="shared" si="6"/>
        <v>0</v>
      </c>
      <c r="P51" t="str">
        <f t="shared" si="7"/>
        <v>前倒し（3）</v>
      </c>
    </row>
    <row r="52" spans="1:16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2"/>
        <v>1</v>
      </c>
      <c r="L52">
        <f t="shared" si="3"/>
        <v>35</v>
      </c>
      <c r="M52">
        <f t="shared" si="4"/>
        <v>2</v>
      </c>
      <c r="N52">
        <f t="shared" si="5"/>
        <v>31</v>
      </c>
      <c r="O52">
        <f t="shared" si="6"/>
        <v>0</v>
      </c>
      <c r="P52" t="str">
        <f t="shared" si="7"/>
        <v>前倒し（4）</v>
      </c>
    </row>
    <row r="53" spans="1:16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2"/>
        <v>1</v>
      </c>
      <c r="L53">
        <f t="shared" si="3"/>
        <v>36</v>
      </c>
      <c r="M53">
        <f t="shared" si="4"/>
        <v>2</v>
      </c>
      <c r="N53">
        <f t="shared" si="5"/>
        <v>35</v>
      </c>
      <c r="O53">
        <f t="shared" si="6"/>
        <v>0</v>
      </c>
      <c r="P53" t="str">
        <f t="shared" si="7"/>
        <v>前倒し（1）</v>
      </c>
    </row>
    <row r="54" spans="1:16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2"/>
        <v>1</v>
      </c>
      <c r="L54">
        <f t="shared" si="3"/>
        <v>37</v>
      </c>
      <c r="M54">
        <f t="shared" si="4"/>
        <v>2</v>
      </c>
      <c r="N54">
        <f t="shared" si="5"/>
        <v>35</v>
      </c>
      <c r="O54">
        <f t="shared" si="6"/>
        <v>0</v>
      </c>
      <c r="P54" t="str">
        <f t="shared" si="7"/>
        <v>前倒し（2）</v>
      </c>
    </row>
    <row r="55" spans="1:16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2"/>
        <v>1</v>
      </c>
      <c r="L55">
        <f t="shared" si="3"/>
        <v>38</v>
      </c>
      <c r="M55">
        <f t="shared" si="4"/>
        <v>2</v>
      </c>
      <c r="N55">
        <f t="shared" si="5"/>
        <v>37</v>
      </c>
      <c r="O55">
        <f t="shared" si="6"/>
        <v>0</v>
      </c>
      <c r="P55" t="str">
        <f t="shared" si="7"/>
        <v>前倒し（1）</v>
      </c>
    </row>
    <row r="56" spans="1:16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2"/>
        <v>0</v>
      </c>
      <c r="L56">
        <f t="shared" si="3"/>
        <v>38</v>
      </c>
      <c r="M56">
        <f t="shared" si="4"/>
        <v>2</v>
      </c>
      <c r="N56">
        <f t="shared" si="5"/>
        <v>37</v>
      </c>
      <c r="O56">
        <f t="shared" si="6"/>
        <v>0</v>
      </c>
      <c r="P56" t="str">
        <f t="shared" si="7"/>
        <v>前倒し（1）</v>
      </c>
    </row>
    <row r="57" spans="1:16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2"/>
        <v>1</v>
      </c>
      <c r="L57">
        <f t="shared" si="3"/>
        <v>39</v>
      </c>
      <c r="M57">
        <f t="shared" si="4"/>
        <v>2</v>
      </c>
      <c r="N57">
        <f t="shared" si="5"/>
        <v>39</v>
      </c>
      <c r="O57">
        <f t="shared" si="6"/>
        <v>0</v>
      </c>
      <c r="P57" t="str">
        <f t="shared" si="7"/>
        <v>達成</v>
      </c>
    </row>
    <row r="58" spans="1:16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2"/>
        <v>1</v>
      </c>
      <c r="L58">
        <f t="shared" si="3"/>
        <v>40</v>
      </c>
      <c r="M58">
        <f t="shared" si="4"/>
        <v>2</v>
      </c>
      <c r="N58">
        <f t="shared" si="5"/>
        <v>41</v>
      </c>
      <c r="O58">
        <f t="shared" si="6"/>
        <v>0</v>
      </c>
      <c r="P58" t="str">
        <f t="shared" si="7"/>
        <v>未達成（1）</v>
      </c>
    </row>
    <row r="59" spans="1:16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2"/>
        <v>1</v>
      </c>
      <c r="L59">
        <f t="shared" si="3"/>
        <v>41</v>
      </c>
      <c r="M59">
        <f t="shared" si="4"/>
        <v>2</v>
      </c>
      <c r="N59">
        <f t="shared" si="5"/>
        <v>41</v>
      </c>
      <c r="O59">
        <f t="shared" si="6"/>
        <v>0</v>
      </c>
      <c r="P59" t="str">
        <f t="shared" si="7"/>
        <v>達成</v>
      </c>
    </row>
    <row r="60" spans="1:16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2"/>
        <v>1</v>
      </c>
      <c r="L60">
        <f t="shared" si="3"/>
        <v>42</v>
      </c>
      <c r="M60">
        <f t="shared" si="4"/>
        <v>2</v>
      </c>
      <c r="N60">
        <f t="shared" si="5"/>
        <v>45</v>
      </c>
      <c r="O60">
        <f t="shared" si="6"/>
        <v>0</v>
      </c>
      <c r="P60" t="str">
        <f t="shared" si="7"/>
        <v>未達成（3）</v>
      </c>
    </row>
    <row r="61" spans="1:16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2"/>
        <v>0</v>
      </c>
      <c r="L61">
        <f t="shared" si="3"/>
        <v>42</v>
      </c>
      <c r="M61">
        <f t="shared" si="4"/>
        <v>2</v>
      </c>
      <c r="N61">
        <f t="shared" si="5"/>
        <v>45</v>
      </c>
      <c r="O61">
        <f t="shared" si="6"/>
        <v>0</v>
      </c>
      <c r="P61" t="str">
        <f t="shared" si="7"/>
        <v>未達成（3）</v>
      </c>
    </row>
    <row r="62" spans="1:16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2"/>
        <v>0</v>
      </c>
      <c r="L62">
        <f t="shared" si="3"/>
        <v>42</v>
      </c>
      <c r="M62">
        <f t="shared" si="4"/>
        <v>2</v>
      </c>
      <c r="N62">
        <f t="shared" si="5"/>
        <v>45</v>
      </c>
      <c r="O62">
        <f t="shared" si="6"/>
        <v>0</v>
      </c>
      <c r="P62" t="str">
        <f t="shared" si="7"/>
        <v>未達成（3）</v>
      </c>
    </row>
    <row r="63" spans="1:16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2"/>
        <v>1</v>
      </c>
      <c r="L63">
        <f t="shared" si="3"/>
        <v>43</v>
      </c>
      <c r="M63">
        <f t="shared" si="4"/>
        <v>2</v>
      </c>
      <c r="N63">
        <f t="shared" si="5"/>
        <v>45</v>
      </c>
      <c r="O63">
        <f t="shared" si="6"/>
        <v>0</v>
      </c>
      <c r="P63" t="str">
        <f t="shared" si="7"/>
        <v>未達成（2）</v>
      </c>
    </row>
    <row r="64" spans="1:16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180</v>
      </c>
      <c r="I64" t="s">
        <v>181</v>
      </c>
      <c r="J64">
        <v>0</v>
      </c>
      <c r="K64">
        <f t="shared" si="2"/>
        <v>2</v>
      </c>
      <c r="L64">
        <f t="shared" si="3"/>
        <v>45</v>
      </c>
      <c r="M64">
        <f t="shared" si="4"/>
        <v>2</v>
      </c>
      <c r="N64">
        <f t="shared" si="5"/>
        <v>45</v>
      </c>
      <c r="O64">
        <f t="shared" si="6"/>
        <v>0</v>
      </c>
      <c r="P64" t="str">
        <f t="shared" si="7"/>
        <v>達成</v>
      </c>
    </row>
    <row r="65" spans="1:16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182</v>
      </c>
      <c r="I65" t="s">
        <v>183</v>
      </c>
      <c r="J65">
        <v>0</v>
      </c>
      <c r="K65">
        <f t="shared" si="2"/>
        <v>2</v>
      </c>
      <c r="L65">
        <f t="shared" si="3"/>
        <v>47</v>
      </c>
      <c r="M65">
        <f t="shared" si="4"/>
        <v>2</v>
      </c>
      <c r="N65">
        <f t="shared" si="5"/>
        <v>47</v>
      </c>
      <c r="O65">
        <f t="shared" si="6"/>
        <v>0</v>
      </c>
      <c r="P65" t="str">
        <f t="shared" si="7"/>
        <v>達成</v>
      </c>
    </row>
    <row r="66" spans="1:16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184</v>
      </c>
      <c r="I66" t="s">
        <v>185</v>
      </c>
      <c r="J66">
        <v>0</v>
      </c>
      <c r="K66">
        <f t="shared" si="2"/>
        <v>0</v>
      </c>
      <c r="L66">
        <f t="shared" si="3"/>
        <v>47</v>
      </c>
      <c r="M66">
        <f t="shared" si="4"/>
        <v>2</v>
      </c>
      <c r="N66">
        <f t="shared" si="5"/>
        <v>49</v>
      </c>
      <c r="O66">
        <f t="shared" si="6"/>
        <v>0</v>
      </c>
      <c r="P66" t="str">
        <f t="shared" si="7"/>
        <v>未達成（2）</v>
      </c>
    </row>
    <row r="67" spans="1:16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186</v>
      </c>
      <c r="I67" t="s">
        <v>187</v>
      </c>
      <c r="J67">
        <v>0</v>
      </c>
      <c r="K67">
        <f t="shared" si="2"/>
        <v>2</v>
      </c>
      <c r="L67">
        <f t="shared" si="3"/>
        <v>49</v>
      </c>
      <c r="M67">
        <f t="shared" si="4"/>
        <v>2</v>
      </c>
      <c r="N67">
        <f t="shared" si="5"/>
        <v>49</v>
      </c>
      <c r="O67">
        <f t="shared" si="6"/>
        <v>0</v>
      </c>
      <c r="P67" t="str">
        <f t="shared" si="7"/>
        <v>達成</v>
      </c>
    </row>
    <row r="68" spans="1:16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188</v>
      </c>
      <c r="I68" t="s">
        <v>189</v>
      </c>
      <c r="J68">
        <v>0</v>
      </c>
      <c r="K68">
        <f t="shared" si="2"/>
        <v>1</v>
      </c>
      <c r="L68">
        <f t="shared" si="3"/>
        <v>50</v>
      </c>
      <c r="M68">
        <f t="shared" si="4"/>
        <v>2</v>
      </c>
      <c r="N68">
        <f t="shared" si="5"/>
        <v>51</v>
      </c>
      <c r="O68">
        <f t="shared" si="6"/>
        <v>0</v>
      </c>
      <c r="P68" t="str">
        <f t="shared" si="7"/>
        <v>未達成（1）</v>
      </c>
    </row>
    <row r="69" spans="1:16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190</v>
      </c>
      <c r="I69" t="s">
        <v>191</v>
      </c>
      <c r="J69">
        <v>0</v>
      </c>
      <c r="K69">
        <f t="shared" si="2"/>
        <v>0</v>
      </c>
      <c r="L69">
        <f t="shared" si="3"/>
        <v>50</v>
      </c>
      <c r="M69">
        <f t="shared" si="4"/>
        <v>2</v>
      </c>
      <c r="N69">
        <f t="shared" si="5"/>
        <v>51</v>
      </c>
      <c r="O69">
        <f t="shared" si="6"/>
        <v>0</v>
      </c>
      <c r="P69" t="str">
        <f t="shared" si="7"/>
        <v>未達成（1）</v>
      </c>
    </row>
    <row r="70" spans="1:16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192</v>
      </c>
      <c r="I70" t="s">
        <v>193</v>
      </c>
      <c r="J70">
        <v>0</v>
      </c>
      <c r="K70">
        <f t="shared" si="2"/>
        <v>1</v>
      </c>
      <c r="L70">
        <f t="shared" si="3"/>
        <v>51</v>
      </c>
      <c r="M70">
        <f t="shared" si="4"/>
        <v>2</v>
      </c>
      <c r="N70">
        <f t="shared" si="5"/>
        <v>51</v>
      </c>
      <c r="O70">
        <f t="shared" si="6"/>
        <v>0</v>
      </c>
      <c r="P70" t="str">
        <f t="shared" si="7"/>
        <v>達成</v>
      </c>
    </row>
    <row r="71" spans="1:16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194</v>
      </c>
      <c r="I71" t="s">
        <v>195</v>
      </c>
      <c r="J71">
        <v>0</v>
      </c>
      <c r="K71">
        <f t="shared" si="2"/>
        <v>0</v>
      </c>
      <c r="L71">
        <f t="shared" si="3"/>
        <v>51</v>
      </c>
      <c r="M71">
        <f t="shared" si="4"/>
        <v>2</v>
      </c>
      <c r="N71">
        <f t="shared" si="5"/>
        <v>53</v>
      </c>
      <c r="O71">
        <f t="shared" si="6"/>
        <v>0</v>
      </c>
      <c r="P71" t="str">
        <f t="shared" si="7"/>
        <v>未達成（2）</v>
      </c>
    </row>
    <row r="72" spans="1:16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196</v>
      </c>
      <c r="I72" t="s">
        <v>197</v>
      </c>
      <c r="J72">
        <v>0</v>
      </c>
      <c r="K72">
        <f t="shared" si="2"/>
        <v>1</v>
      </c>
      <c r="L72">
        <f t="shared" si="3"/>
        <v>52</v>
      </c>
      <c r="M72">
        <f t="shared" si="4"/>
        <v>2</v>
      </c>
      <c r="N72">
        <f t="shared" si="5"/>
        <v>53</v>
      </c>
      <c r="O72">
        <f t="shared" si="6"/>
        <v>0</v>
      </c>
      <c r="P72" t="str">
        <f t="shared" si="7"/>
        <v>未達成（1）</v>
      </c>
    </row>
    <row r="73" spans="1:16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198</v>
      </c>
      <c r="I73" t="s">
        <v>199</v>
      </c>
      <c r="J73">
        <v>0</v>
      </c>
      <c r="K73">
        <f t="shared" si="2"/>
        <v>1</v>
      </c>
      <c r="L73">
        <f t="shared" si="3"/>
        <v>53</v>
      </c>
      <c r="M73">
        <f t="shared" si="4"/>
        <v>2</v>
      </c>
      <c r="N73">
        <f t="shared" si="5"/>
        <v>53</v>
      </c>
      <c r="O73">
        <f t="shared" si="6"/>
        <v>0</v>
      </c>
      <c r="P73" t="str">
        <f t="shared" si="7"/>
        <v>達成</v>
      </c>
    </row>
    <row r="74" spans="1:16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200</v>
      </c>
      <c r="I74" t="s">
        <v>201</v>
      </c>
      <c r="J74">
        <v>0</v>
      </c>
      <c r="K74">
        <f t="shared" si="2"/>
        <v>1</v>
      </c>
      <c r="L74">
        <f t="shared" si="3"/>
        <v>54</v>
      </c>
      <c r="M74">
        <f t="shared" si="4"/>
        <v>2</v>
      </c>
      <c r="N74">
        <f t="shared" si="5"/>
        <v>55</v>
      </c>
      <c r="O74">
        <f t="shared" si="6"/>
        <v>0</v>
      </c>
      <c r="P74" t="str">
        <f t="shared" si="7"/>
        <v>未達成（1）</v>
      </c>
    </row>
    <row r="75" spans="1:16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202</v>
      </c>
      <c r="I75" t="s">
        <v>203</v>
      </c>
      <c r="J75">
        <v>0</v>
      </c>
      <c r="K75">
        <f t="shared" si="2"/>
        <v>1</v>
      </c>
      <c r="L75">
        <f t="shared" si="3"/>
        <v>55</v>
      </c>
      <c r="M75">
        <f t="shared" si="4"/>
        <v>2</v>
      </c>
      <c r="N75">
        <f t="shared" si="5"/>
        <v>55</v>
      </c>
      <c r="O75">
        <f t="shared" si="6"/>
        <v>0</v>
      </c>
      <c r="P75" t="str">
        <f t="shared" si="7"/>
        <v>達成</v>
      </c>
    </row>
    <row r="76" spans="1:16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204</v>
      </c>
      <c r="I76" t="s">
        <v>205</v>
      </c>
      <c r="J76">
        <v>0</v>
      </c>
      <c r="K76">
        <f t="shared" si="2"/>
        <v>2</v>
      </c>
      <c r="L76">
        <f t="shared" si="3"/>
        <v>57</v>
      </c>
      <c r="M76">
        <f t="shared" si="4"/>
        <v>3</v>
      </c>
      <c r="N76">
        <f t="shared" si="5"/>
        <v>58</v>
      </c>
      <c r="O76">
        <f t="shared" si="6"/>
        <v>0</v>
      </c>
      <c r="P76" t="str">
        <f t="shared" si="7"/>
        <v>未達成（1）</v>
      </c>
    </row>
    <row r="77" spans="1:16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206</v>
      </c>
      <c r="I77" t="s">
        <v>207</v>
      </c>
      <c r="J77">
        <v>0</v>
      </c>
      <c r="K77">
        <f t="shared" si="2"/>
        <v>2</v>
      </c>
      <c r="L77">
        <f t="shared" si="3"/>
        <v>59</v>
      </c>
      <c r="M77">
        <f t="shared" si="4"/>
        <v>3</v>
      </c>
      <c r="N77">
        <f t="shared" si="5"/>
        <v>58</v>
      </c>
      <c r="O77">
        <f t="shared" si="6"/>
        <v>0</v>
      </c>
      <c r="P77" t="str">
        <f t="shared" si="7"/>
        <v>前倒し（1）</v>
      </c>
    </row>
    <row r="78" spans="1:16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208</v>
      </c>
      <c r="I78" t="s">
        <v>209</v>
      </c>
      <c r="J78">
        <v>0</v>
      </c>
      <c r="K78">
        <f t="shared" si="2"/>
        <v>1</v>
      </c>
      <c r="L78">
        <f t="shared" si="3"/>
        <v>60</v>
      </c>
      <c r="M78">
        <f t="shared" si="4"/>
        <v>3</v>
      </c>
      <c r="N78">
        <f t="shared" si="5"/>
        <v>61</v>
      </c>
      <c r="O78">
        <f t="shared" si="6"/>
        <v>0</v>
      </c>
      <c r="P78" t="str">
        <f t="shared" si="7"/>
        <v>未達成（1）</v>
      </c>
    </row>
    <row r="79" spans="1:16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210</v>
      </c>
      <c r="I79" t="s">
        <v>211</v>
      </c>
      <c r="J79">
        <v>0</v>
      </c>
      <c r="K79">
        <f t="shared" si="2"/>
        <v>2</v>
      </c>
      <c r="L79">
        <f t="shared" si="3"/>
        <v>62</v>
      </c>
      <c r="M79">
        <f t="shared" si="4"/>
        <v>3</v>
      </c>
      <c r="N79">
        <f t="shared" si="5"/>
        <v>61</v>
      </c>
      <c r="O79">
        <f t="shared" si="6"/>
        <v>0</v>
      </c>
      <c r="P79" t="str">
        <f t="shared" si="7"/>
        <v>前倒し（1）</v>
      </c>
    </row>
    <row r="80" spans="1:16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212</v>
      </c>
      <c r="I80" t="s">
        <v>213</v>
      </c>
      <c r="J80">
        <v>0</v>
      </c>
      <c r="K80">
        <f t="shared" si="2"/>
        <v>0</v>
      </c>
      <c r="L80">
        <f t="shared" si="3"/>
        <v>62</v>
      </c>
      <c r="M80">
        <f t="shared" si="4"/>
        <v>3</v>
      </c>
      <c r="N80">
        <f t="shared" si="5"/>
        <v>64</v>
      </c>
      <c r="O80">
        <f t="shared" si="6"/>
        <v>0</v>
      </c>
      <c r="P80" t="str">
        <f t="shared" si="7"/>
        <v>未達成（2）</v>
      </c>
    </row>
    <row r="81" spans="1:16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216</v>
      </c>
      <c r="I81" t="s">
        <v>217</v>
      </c>
      <c r="J81">
        <v>0</v>
      </c>
      <c r="K81">
        <f t="shared" si="2"/>
        <v>2</v>
      </c>
      <c r="L81">
        <f t="shared" si="3"/>
        <v>64</v>
      </c>
      <c r="M81">
        <f t="shared" si="4"/>
        <v>3</v>
      </c>
      <c r="N81">
        <f t="shared" si="5"/>
        <v>64</v>
      </c>
      <c r="O81">
        <f t="shared" si="6"/>
        <v>0</v>
      </c>
      <c r="P81" t="str">
        <f t="shared" si="7"/>
        <v>達成</v>
      </c>
    </row>
    <row r="82" spans="1:16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214</v>
      </c>
      <c r="I82" t="s">
        <v>215</v>
      </c>
      <c r="J82">
        <v>0</v>
      </c>
      <c r="K82">
        <f t="shared" si="2"/>
        <v>1</v>
      </c>
      <c r="L82">
        <f t="shared" si="3"/>
        <v>65</v>
      </c>
      <c r="M82">
        <f t="shared" si="4"/>
        <v>3</v>
      </c>
      <c r="N82">
        <f t="shared" si="5"/>
        <v>67</v>
      </c>
      <c r="O82">
        <f t="shared" si="6"/>
        <v>0</v>
      </c>
      <c r="P82" t="str">
        <f t="shared" si="7"/>
        <v>未達成（2）</v>
      </c>
    </row>
    <row r="83" spans="1:16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218</v>
      </c>
      <c r="I83" t="s">
        <v>219</v>
      </c>
      <c r="J83">
        <v>0</v>
      </c>
      <c r="K83">
        <f t="shared" ref="K83:K146" si="8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9">L82+K83</f>
        <v>66</v>
      </c>
      <c r="M83">
        <f t="shared" ref="M83:M146" si="10">2+IF(A83&gt;=DATEVALUE("2025/11/30")+TIMEVALUE("6:00"),1,0)+IF(A83&gt;=DATEVALUE("2025/12/11")+TIMEVALUE("6:00"),1,0)</f>
        <v>3</v>
      </c>
      <c r="N83">
        <f t="shared" ref="N83:N146" si="11">N82+M83*(INT(A83-6/24)-INT(A82-6/24))+O83</f>
        <v>67</v>
      </c>
      <c r="O83">
        <f t="shared" ref="O83:O146" si="12">IF(A83&gt;=DATEVALUE("2025/11/8")+TIMEVALUE("6:00"),1,0)-IF(A82&gt;=DATEVALUE("2025/11/8")+TIMEVALUE("6:00"),1,0)</f>
        <v>0</v>
      </c>
      <c r="P83" t="str">
        <f t="shared" ref="P83:P146" si="13">IF(L83&lt;N83,"未達成（"&amp;N83-L83&amp;"）",IF(L83=N83,"達成","前倒し（"&amp;L83-N83&amp;"）"))</f>
        <v>未達成（1）</v>
      </c>
    </row>
    <row r="84" spans="1:16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220</v>
      </c>
      <c r="I84" t="s">
        <v>221</v>
      </c>
      <c r="J84">
        <v>0</v>
      </c>
      <c r="K84">
        <f t="shared" si="8"/>
        <v>1</v>
      </c>
      <c r="L84">
        <f t="shared" si="9"/>
        <v>67</v>
      </c>
      <c r="M84">
        <f t="shared" si="10"/>
        <v>3</v>
      </c>
      <c r="N84">
        <f t="shared" si="11"/>
        <v>67</v>
      </c>
      <c r="O84">
        <f t="shared" si="12"/>
        <v>0</v>
      </c>
      <c r="P84" t="str">
        <f t="shared" si="13"/>
        <v>達成</v>
      </c>
    </row>
    <row r="85" spans="1:16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222</v>
      </c>
      <c r="I85" t="s">
        <v>223</v>
      </c>
      <c r="J85">
        <v>0</v>
      </c>
      <c r="K85">
        <f t="shared" si="8"/>
        <v>1</v>
      </c>
      <c r="L85">
        <f t="shared" si="9"/>
        <v>68</v>
      </c>
      <c r="M85">
        <f t="shared" si="10"/>
        <v>3</v>
      </c>
      <c r="N85">
        <f t="shared" si="11"/>
        <v>70</v>
      </c>
      <c r="O85">
        <f t="shared" si="12"/>
        <v>0</v>
      </c>
      <c r="P85" t="str">
        <f t="shared" si="13"/>
        <v>未達成（2）</v>
      </c>
    </row>
    <row r="86" spans="1:16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224</v>
      </c>
      <c r="I86" t="s">
        <v>225</v>
      </c>
      <c r="J86">
        <v>0</v>
      </c>
      <c r="K86">
        <f t="shared" si="8"/>
        <v>1</v>
      </c>
      <c r="L86">
        <f t="shared" si="9"/>
        <v>69</v>
      </c>
      <c r="M86">
        <f t="shared" si="10"/>
        <v>3</v>
      </c>
      <c r="N86">
        <f t="shared" si="11"/>
        <v>70</v>
      </c>
      <c r="O86">
        <f t="shared" si="12"/>
        <v>0</v>
      </c>
      <c r="P86" t="str">
        <f t="shared" si="13"/>
        <v>未達成（1）</v>
      </c>
    </row>
    <row r="87" spans="1:16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226</v>
      </c>
      <c r="I87" t="s">
        <v>227</v>
      </c>
      <c r="J87">
        <v>0</v>
      </c>
      <c r="K87">
        <f t="shared" si="8"/>
        <v>2</v>
      </c>
      <c r="L87">
        <f t="shared" si="9"/>
        <v>71</v>
      </c>
      <c r="M87">
        <f t="shared" si="10"/>
        <v>3</v>
      </c>
      <c r="N87">
        <f t="shared" si="11"/>
        <v>70</v>
      </c>
      <c r="O87">
        <f t="shared" si="12"/>
        <v>0</v>
      </c>
      <c r="P87" t="str">
        <f t="shared" si="13"/>
        <v>前倒し（1）</v>
      </c>
    </row>
    <row r="88" spans="1:16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228</v>
      </c>
      <c r="I88" t="s">
        <v>229</v>
      </c>
      <c r="J88">
        <v>0</v>
      </c>
      <c r="K88">
        <f t="shared" si="8"/>
        <v>1</v>
      </c>
      <c r="L88">
        <f t="shared" si="9"/>
        <v>72</v>
      </c>
      <c r="M88">
        <f t="shared" si="10"/>
        <v>3</v>
      </c>
      <c r="N88">
        <f t="shared" si="11"/>
        <v>73</v>
      </c>
      <c r="O88">
        <f t="shared" si="12"/>
        <v>0</v>
      </c>
      <c r="P88" t="str">
        <f t="shared" si="13"/>
        <v>未達成（1）</v>
      </c>
    </row>
    <row r="89" spans="1:16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230</v>
      </c>
      <c r="I89" t="s">
        <v>231</v>
      </c>
      <c r="J89">
        <v>0</v>
      </c>
      <c r="K89">
        <f t="shared" si="8"/>
        <v>1</v>
      </c>
      <c r="L89">
        <f t="shared" si="9"/>
        <v>73</v>
      </c>
      <c r="M89">
        <f t="shared" si="10"/>
        <v>3</v>
      </c>
      <c r="N89">
        <f t="shared" si="11"/>
        <v>73</v>
      </c>
      <c r="O89">
        <f t="shared" si="12"/>
        <v>0</v>
      </c>
      <c r="P89" t="str">
        <f t="shared" si="13"/>
        <v>達成</v>
      </c>
    </row>
    <row r="90" spans="1:16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232</v>
      </c>
      <c r="I90" t="s">
        <v>233</v>
      </c>
      <c r="J90">
        <v>0</v>
      </c>
      <c r="K90">
        <f t="shared" si="8"/>
        <v>2</v>
      </c>
      <c r="L90">
        <f t="shared" si="9"/>
        <v>75</v>
      </c>
      <c r="M90">
        <f t="shared" si="10"/>
        <v>3</v>
      </c>
      <c r="N90">
        <f t="shared" si="11"/>
        <v>76</v>
      </c>
      <c r="O90">
        <f t="shared" si="12"/>
        <v>0</v>
      </c>
      <c r="P90" t="str">
        <f t="shared" si="13"/>
        <v>未達成（1）</v>
      </c>
    </row>
    <row r="91" spans="1:16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234</v>
      </c>
      <c r="I91" t="s">
        <v>235</v>
      </c>
      <c r="J91">
        <v>0</v>
      </c>
      <c r="K91">
        <f t="shared" si="8"/>
        <v>2</v>
      </c>
      <c r="L91">
        <f t="shared" si="9"/>
        <v>77</v>
      </c>
      <c r="M91">
        <f t="shared" si="10"/>
        <v>3</v>
      </c>
      <c r="N91">
        <f t="shared" si="11"/>
        <v>76</v>
      </c>
      <c r="O91">
        <f t="shared" si="12"/>
        <v>0</v>
      </c>
      <c r="P91" t="str">
        <f t="shared" si="13"/>
        <v>前倒し（1）</v>
      </c>
    </row>
    <row r="92" spans="1:16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236</v>
      </c>
      <c r="I92" t="s">
        <v>237</v>
      </c>
      <c r="J92">
        <v>0</v>
      </c>
      <c r="K92">
        <f t="shared" si="8"/>
        <v>2</v>
      </c>
      <c r="L92">
        <f t="shared" si="9"/>
        <v>79</v>
      </c>
      <c r="M92">
        <f t="shared" si="10"/>
        <v>3</v>
      </c>
      <c r="N92">
        <f t="shared" si="11"/>
        <v>79</v>
      </c>
      <c r="O92">
        <f t="shared" si="12"/>
        <v>0</v>
      </c>
      <c r="P92" t="str">
        <f t="shared" si="13"/>
        <v>達成</v>
      </c>
    </row>
    <row r="93" spans="1:16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238</v>
      </c>
      <c r="I93" t="s">
        <v>239</v>
      </c>
      <c r="J93">
        <v>0</v>
      </c>
      <c r="K93">
        <f t="shared" si="8"/>
        <v>1</v>
      </c>
      <c r="L93">
        <f t="shared" si="9"/>
        <v>80</v>
      </c>
      <c r="M93">
        <f t="shared" si="10"/>
        <v>3</v>
      </c>
      <c r="N93">
        <f t="shared" si="11"/>
        <v>82</v>
      </c>
      <c r="O93">
        <f t="shared" si="12"/>
        <v>0</v>
      </c>
      <c r="P93" t="str">
        <f t="shared" si="13"/>
        <v>未達成（2）</v>
      </c>
    </row>
    <row r="94" spans="1:16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240</v>
      </c>
      <c r="I94" t="s">
        <v>241</v>
      </c>
      <c r="J94">
        <v>0</v>
      </c>
      <c r="K94">
        <f t="shared" si="8"/>
        <v>1</v>
      </c>
      <c r="L94">
        <f t="shared" si="9"/>
        <v>81</v>
      </c>
      <c r="M94">
        <f t="shared" si="10"/>
        <v>3</v>
      </c>
      <c r="N94">
        <f t="shared" si="11"/>
        <v>82</v>
      </c>
      <c r="O94">
        <f t="shared" si="12"/>
        <v>0</v>
      </c>
      <c r="P94" t="str">
        <f t="shared" si="13"/>
        <v>未達成（1）</v>
      </c>
    </row>
    <row r="95" spans="1:16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242</v>
      </c>
      <c r="I95" t="s">
        <v>243</v>
      </c>
      <c r="J95">
        <v>0</v>
      </c>
      <c r="K95">
        <f t="shared" si="8"/>
        <v>2</v>
      </c>
      <c r="L95">
        <f t="shared" si="9"/>
        <v>83</v>
      </c>
      <c r="M95">
        <f t="shared" si="10"/>
        <v>3</v>
      </c>
      <c r="N95">
        <f t="shared" si="11"/>
        <v>82</v>
      </c>
      <c r="O95">
        <f t="shared" si="12"/>
        <v>0</v>
      </c>
      <c r="P95" t="str">
        <f t="shared" si="13"/>
        <v>前倒し（1）</v>
      </c>
    </row>
    <row r="96" spans="1:16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244</v>
      </c>
      <c r="I96" t="s">
        <v>245</v>
      </c>
      <c r="J96">
        <v>0</v>
      </c>
      <c r="K96">
        <f t="shared" si="8"/>
        <v>1</v>
      </c>
      <c r="L96">
        <f t="shared" si="9"/>
        <v>84</v>
      </c>
      <c r="M96">
        <f t="shared" si="10"/>
        <v>3</v>
      </c>
      <c r="N96">
        <f t="shared" si="11"/>
        <v>85</v>
      </c>
      <c r="O96">
        <f t="shared" si="12"/>
        <v>0</v>
      </c>
      <c r="P96" t="str">
        <f t="shared" si="13"/>
        <v>未達成（1）</v>
      </c>
    </row>
    <row r="97" spans="1:16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246</v>
      </c>
      <c r="I97" t="s">
        <v>247</v>
      </c>
      <c r="J97">
        <v>0</v>
      </c>
      <c r="K97">
        <f t="shared" si="8"/>
        <v>2</v>
      </c>
      <c r="L97">
        <f t="shared" si="9"/>
        <v>86</v>
      </c>
      <c r="M97">
        <f t="shared" si="10"/>
        <v>3</v>
      </c>
      <c r="N97">
        <f t="shared" si="11"/>
        <v>85</v>
      </c>
      <c r="O97">
        <f t="shared" si="12"/>
        <v>0</v>
      </c>
      <c r="P97" t="str">
        <f t="shared" si="13"/>
        <v>前倒し（1）</v>
      </c>
    </row>
    <row r="98" spans="1:16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248</v>
      </c>
      <c r="I98" t="s">
        <v>249</v>
      </c>
      <c r="J98">
        <v>0</v>
      </c>
      <c r="K98">
        <f t="shared" si="8"/>
        <v>2</v>
      </c>
      <c r="L98">
        <f t="shared" si="9"/>
        <v>88</v>
      </c>
      <c r="M98">
        <f t="shared" si="10"/>
        <v>3</v>
      </c>
      <c r="N98">
        <f t="shared" si="11"/>
        <v>88</v>
      </c>
      <c r="O98">
        <f t="shared" si="12"/>
        <v>0</v>
      </c>
      <c r="P98" t="str">
        <f t="shared" si="13"/>
        <v>達成</v>
      </c>
    </row>
    <row r="99" spans="1:16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251</v>
      </c>
      <c r="I99" t="s">
        <v>252</v>
      </c>
      <c r="J99">
        <v>0</v>
      </c>
      <c r="K99">
        <f t="shared" si="8"/>
        <v>1</v>
      </c>
      <c r="L99">
        <f t="shared" si="9"/>
        <v>89</v>
      </c>
      <c r="M99">
        <f t="shared" si="10"/>
        <v>4</v>
      </c>
      <c r="N99">
        <f t="shared" si="11"/>
        <v>92</v>
      </c>
      <c r="O99">
        <f t="shared" si="12"/>
        <v>0</v>
      </c>
      <c r="P99" t="str">
        <f t="shared" si="13"/>
        <v>未達成（3）</v>
      </c>
    </row>
    <row r="100" spans="1:16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253</v>
      </c>
      <c r="I100" t="s">
        <v>254</v>
      </c>
      <c r="J100">
        <v>0</v>
      </c>
      <c r="K100">
        <f t="shared" si="8"/>
        <v>0</v>
      </c>
      <c r="L100">
        <f t="shared" si="9"/>
        <v>89</v>
      </c>
      <c r="M100">
        <f t="shared" si="10"/>
        <v>4</v>
      </c>
      <c r="N100">
        <f t="shared" si="11"/>
        <v>92</v>
      </c>
      <c r="O100">
        <f t="shared" si="12"/>
        <v>0</v>
      </c>
      <c r="P100" t="str">
        <f t="shared" si="13"/>
        <v>未達成（3）</v>
      </c>
    </row>
    <row r="101" spans="1:16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255</v>
      </c>
      <c r="I101" t="s">
        <v>256</v>
      </c>
      <c r="J101">
        <v>0</v>
      </c>
      <c r="K101">
        <f t="shared" si="8"/>
        <v>1</v>
      </c>
      <c r="L101">
        <f t="shared" si="9"/>
        <v>90</v>
      </c>
      <c r="M101">
        <f t="shared" si="10"/>
        <v>4</v>
      </c>
      <c r="N101">
        <f t="shared" si="11"/>
        <v>92</v>
      </c>
      <c r="O101">
        <f t="shared" si="12"/>
        <v>0</v>
      </c>
      <c r="P101" t="str">
        <f t="shared" si="13"/>
        <v>未達成（2）</v>
      </c>
    </row>
    <row r="102" spans="1:16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257</v>
      </c>
      <c r="I102" t="s">
        <v>258</v>
      </c>
      <c r="J102">
        <v>0</v>
      </c>
      <c r="K102">
        <f t="shared" si="8"/>
        <v>1</v>
      </c>
      <c r="L102">
        <f t="shared" si="9"/>
        <v>91</v>
      </c>
      <c r="M102">
        <f t="shared" si="10"/>
        <v>4</v>
      </c>
      <c r="N102">
        <f t="shared" si="11"/>
        <v>92</v>
      </c>
      <c r="O102">
        <f t="shared" si="12"/>
        <v>0</v>
      </c>
      <c r="P102" t="str">
        <f t="shared" si="13"/>
        <v>未達成（1）</v>
      </c>
    </row>
    <row r="103" spans="1:16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259</v>
      </c>
      <c r="I103" t="s">
        <v>260</v>
      </c>
      <c r="J103">
        <v>0</v>
      </c>
      <c r="K103">
        <f t="shared" si="8"/>
        <v>1</v>
      </c>
      <c r="L103">
        <f t="shared" si="9"/>
        <v>92</v>
      </c>
      <c r="M103">
        <f t="shared" si="10"/>
        <v>4</v>
      </c>
      <c r="N103">
        <f t="shared" si="11"/>
        <v>92</v>
      </c>
      <c r="O103">
        <f t="shared" si="12"/>
        <v>0</v>
      </c>
      <c r="P103" t="str">
        <f t="shared" si="13"/>
        <v>達成</v>
      </c>
    </row>
    <row r="104" spans="1:16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261</v>
      </c>
      <c r="I104" t="s">
        <v>262</v>
      </c>
      <c r="J104">
        <v>0</v>
      </c>
      <c r="K104">
        <f t="shared" si="8"/>
        <v>2</v>
      </c>
      <c r="L104">
        <f t="shared" si="9"/>
        <v>94</v>
      </c>
      <c r="M104">
        <f t="shared" si="10"/>
        <v>4</v>
      </c>
      <c r="N104">
        <f t="shared" si="11"/>
        <v>96</v>
      </c>
      <c r="O104">
        <f t="shared" si="12"/>
        <v>0</v>
      </c>
      <c r="P104" t="str">
        <f t="shared" si="13"/>
        <v>未達成（2）</v>
      </c>
    </row>
    <row r="105" spans="1:16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263</v>
      </c>
      <c r="I105" t="s">
        <v>264</v>
      </c>
      <c r="J105">
        <v>0</v>
      </c>
      <c r="K105">
        <f t="shared" si="8"/>
        <v>1</v>
      </c>
      <c r="L105">
        <f t="shared" si="9"/>
        <v>95</v>
      </c>
      <c r="M105">
        <f t="shared" si="10"/>
        <v>4</v>
      </c>
      <c r="N105">
        <f t="shared" si="11"/>
        <v>96</v>
      </c>
      <c r="O105">
        <f t="shared" si="12"/>
        <v>0</v>
      </c>
      <c r="P105" t="str">
        <f t="shared" si="13"/>
        <v>未達成（1）</v>
      </c>
    </row>
    <row r="106" spans="1:16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265</v>
      </c>
      <c r="I106" t="s">
        <v>266</v>
      </c>
      <c r="J106">
        <v>0</v>
      </c>
      <c r="K106">
        <f t="shared" si="8"/>
        <v>2</v>
      </c>
      <c r="L106">
        <f t="shared" si="9"/>
        <v>97</v>
      </c>
      <c r="M106">
        <f t="shared" si="10"/>
        <v>4</v>
      </c>
      <c r="N106">
        <f t="shared" si="11"/>
        <v>96</v>
      </c>
      <c r="O106">
        <f t="shared" si="12"/>
        <v>0</v>
      </c>
      <c r="P106" t="str">
        <f t="shared" si="13"/>
        <v>前倒し（1）</v>
      </c>
    </row>
    <row r="107" spans="1:16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267</v>
      </c>
      <c r="I107" t="s">
        <v>268</v>
      </c>
      <c r="J107">
        <v>0</v>
      </c>
      <c r="K107">
        <f t="shared" si="8"/>
        <v>1</v>
      </c>
      <c r="L107">
        <f t="shared" si="9"/>
        <v>98</v>
      </c>
      <c r="M107">
        <f t="shared" si="10"/>
        <v>4</v>
      </c>
      <c r="N107">
        <f t="shared" si="11"/>
        <v>100</v>
      </c>
      <c r="O107">
        <f t="shared" si="12"/>
        <v>0</v>
      </c>
      <c r="P107" t="str">
        <f t="shared" si="13"/>
        <v>未達成（2）</v>
      </c>
    </row>
    <row r="108" spans="1:16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269</v>
      </c>
      <c r="I108" t="s">
        <v>270</v>
      </c>
      <c r="J108">
        <v>0</v>
      </c>
      <c r="K108">
        <f t="shared" si="8"/>
        <v>2</v>
      </c>
      <c r="L108">
        <f t="shared" si="9"/>
        <v>100</v>
      </c>
      <c r="M108">
        <f t="shared" si="10"/>
        <v>4</v>
      </c>
      <c r="N108">
        <f t="shared" si="11"/>
        <v>100</v>
      </c>
      <c r="O108">
        <f t="shared" si="12"/>
        <v>0</v>
      </c>
      <c r="P108" t="str">
        <f t="shared" si="13"/>
        <v>達成</v>
      </c>
    </row>
    <row r="109" spans="1:16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271</v>
      </c>
      <c r="I109" t="s">
        <v>272</v>
      </c>
      <c r="J109">
        <v>0</v>
      </c>
      <c r="K109">
        <f t="shared" si="8"/>
        <v>1</v>
      </c>
      <c r="L109">
        <f t="shared" si="9"/>
        <v>101</v>
      </c>
      <c r="M109">
        <f t="shared" si="10"/>
        <v>4</v>
      </c>
      <c r="N109">
        <f t="shared" si="11"/>
        <v>104</v>
      </c>
      <c r="O109">
        <f t="shared" si="12"/>
        <v>0</v>
      </c>
      <c r="P109" t="str">
        <f t="shared" si="13"/>
        <v>未達成（3）</v>
      </c>
    </row>
    <row r="110" spans="1:16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273</v>
      </c>
      <c r="I110" t="s">
        <v>274</v>
      </c>
      <c r="J110">
        <v>0</v>
      </c>
      <c r="K110">
        <f t="shared" si="8"/>
        <v>2</v>
      </c>
      <c r="L110">
        <f t="shared" si="9"/>
        <v>103</v>
      </c>
      <c r="M110">
        <f t="shared" si="10"/>
        <v>4</v>
      </c>
      <c r="N110">
        <f t="shared" si="11"/>
        <v>104</v>
      </c>
      <c r="O110">
        <f t="shared" si="12"/>
        <v>0</v>
      </c>
      <c r="P110" t="str">
        <f t="shared" si="13"/>
        <v>未達成（1）</v>
      </c>
    </row>
    <row r="111" spans="1:16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275</v>
      </c>
      <c r="I111" t="s">
        <v>276</v>
      </c>
      <c r="J111">
        <v>0</v>
      </c>
      <c r="K111">
        <f t="shared" si="8"/>
        <v>2</v>
      </c>
      <c r="L111">
        <f t="shared" si="9"/>
        <v>105</v>
      </c>
      <c r="M111">
        <f t="shared" si="10"/>
        <v>4</v>
      </c>
      <c r="N111">
        <f t="shared" si="11"/>
        <v>104</v>
      </c>
      <c r="O111">
        <f t="shared" si="12"/>
        <v>0</v>
      </c>
      <c r="P111" t="str">
        <f t="shared" si="13"/>
        <v>前倒し（1）</v>
      </c>
    </row>
    <row r="112" spans="1:16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277</v>
      </c>
      <c r="I112" t="s">
        <v>278</v>
      </c>
      <c r="J112">
        <v>0</v>
      </c>
      <c r="K112">
        <f t="shared" si="8"/>
        <v>2</v>
      </c>
      <c r="L112">
        <f t="shared" si="9"/>
        <v>107</v>
      </c>
      <c r="M112">
        <f t="shared" si="10"/>
        <v>4</v>
      </c>
      <c r="N112">
        <f t="shared" si="11"/>
        <v>108</v>
      </c>
      <c r="O112">
        <f t="shared" si="12"/>
        <v>0</v>
      </c>
      <c r="P112" t="str">
        <f t="shared" si="13"/>
        <v>未達成（1）</v>
      </c>
    </row>
    <row r="113" spans="1:16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279</v>
      </c>
      <c r="I113" t="s">
        <v>280</v>
      </c>
      <c r="J113">
        <v>0</v>
      </c>
      <c r="K113">
        <f t="shared" si="8"/>
        <v>1</v>
      </c>
      <c r="L113">
        <f t="shared" si="9"/>
        <v>108</v>
      </c>
      <c r="M113">
        <f t="shared" si="10"/>
        <v>4</v>
      </c>
      <c r="N113">
        <f t="shared" si="11"/>
        <v>108</v>
      </c>
      <c r="O113">
        <f t="shared" si="12"/>
        <v>0</v>
      </c>
      <c r="P113" t="str">
        <f t="shared" si="13"/>
        <v>達成</v>
      </c>
    </row>
    <row r="114" spans="1:16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281</v>
      </c>
      <c r="I114" t="s">
        <v>282</v>
      </c>
      <c r="J114">
        <v>0</v>
      </c>
      <c r="K114">
        <f t="shared" si="8"/>
        <v>2</v>
      </c>
      <c r="L114">
        <f t="shared" si="9"/>
        <v>110</v>
      </c>
      <c r="M114">
        <f t="shared" si="10"/>
        <v>4</v>
      </c>
      <c r="N114">
        <f t="shared" si="11"/>
        <v>112</v>
      </c>
      <c r="O114">
        <f t="shared" si="12"/>
        <v>0</v>
      </c>
      <c r="P114" t="str">
        <f t="shared" si="13"/>
        <v>未達成（2）</v>
      </c>
    </row>
    <row r="115" spans="1:16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283</v>
      </c>
      <c r="I115" t="s">
        <v>284</v>
      </c>
      <c r="J115">
        <v>0</v>
      </c>
      <c r="K115">
        <f t="shared" si="8"/>
        <v>1</v>
      </c>
      <c r="L115">
        <f t="shared" si="9"/>
        <v>111</v>
      </c>
      <c r="M115">
        <f t="shared" si="10"/>
        <v>4</v>
      </c>
      <c r="N115">
        <f t="shared" si="11"/>
        <v>112</v>
      </c>
      <c r="O115">
        <f t="shared" si="12"/>
        <v>0</v>
      </c>
      <c r="P115" t="str">
        <f t="shared" si="13"/>
        <v>未達成（1）</v>
      </c>
    </row>
    <row r="116" spans="1:16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285</v>
      </c>
      <c r="I116" t="s">
        <v>286</v>
      </c>
      <c r="J116">
        <v>0</v>
      </c>
      <c r="K116">
        <f t="shared" si="8"/>
        <v>1</v>
      </c>
      <c r="L116">
        <f t="shared" si="9"/>
        <v>112</v>
      </c>
      <c r="M116">
        <f t="shared" si="10"/>
        <v>4</v>
      </c>
      <c r="N116">
        <f t="shared" si="11"/>
        <v>112</v>
      </c>
      <c r="O116">
        <f t="shared" si="12"/>
        <v>0</v>
      </c>
      <c r="P116" t="str">
        <f t="shared" si="13"/>
        <v>達成</v>
      </c>
    </row>
    <row r="117" spans="1:16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287</v>
      </c>
      <c r="I117" t="s">
        <v>288</v>
      </c>
      <c r="J117">
        <v>0</v>
      </c>
      <c r="K117">
        <f t="shared" si="8"/>
        <v>1</v>
      </c>
      <c r="L117">
        <f t="shared" si="9"/>
        <v>113</v>
      </c>
      <c r="M117">
        <f t="shared" si="10"/>
        <v>4</v>
      </c>
      <c r="N117">
        <f t="shared" si="11"/>
        <v>116</v>
      </c>
      <c r="O117">
        <f t="shared" si="12"/>
        <v>0</v>
      </c>
      <c r="P117" t="str">
        <f t="shared" si="13"/>
        <v>未達成（3）</v>
      </c>
    </row>
    <row r="118" spans="1:16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289</v>
      </c>
      <c r="I118" t="s">
        <v>290</v>
      </c>
      <c r="J118">
        <v>0</v>
      </c>
      <c r="K118">
        <f t="shared" si="8"/>
        <v>0</v>
      </c>
      <c r="L118">
        <f t="shared" si="9"/>
        <v>113</v>
      </c>
      <c r="M118">
        <f t="shared" si="10"/>
        <v>4</v>
      </c>
      <c r="N118">
        <f t="shared" si="11"/>
        <v>116</v>
      </c>
      <c r="O118">
        <f t="shared" si="12"/>
        <v>0</v>
      </c>
      <c r="P118" t="str">
        <f t="shared" si="13"/>
        <v>未達成（3）</v>
      </c>
    </row>
    <row r="119" spans="1:16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291</v>
      </c>
      <c r="I119" t="s">
        <v>292</v>
      </c>
      <c r="J119">
        <v>0</v>
      </c>
      <c r="K119">
        <f t="shared" si="8"/>
        <v>1</v>
      </c>
      <c r="L119">
        <f t="shared" si="9"/>
        <v>114</v>
      </c>
      <c r="M119">
        <f t="shared" si="10"/>
        <v>4</v>
      </c>
      <c r="N119">
        <f t="shared" si="11"/>
        <v>116</v>
      </c>
      <c r="O119">
        <f t="shared" si="12"/>
        <v>0</v>
      </c>
      <c r="P119" t="str">
        <f t="shared" si="13"/>
        <v>未達成（2）</v>
      </c>
    </row>
    <row r="120" spans="1:16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293</v>
      </c>
      <c r="I120" t="s">
        <v>294</v>
      </c>
      <c r="J120">
        <v>0</v>
      </c>
      <c r="K120">
        <f t="shared" si="8"/>
        <v>2</v>
      </c>
      <c r="L120">
        <f t="shared" si="9"/>
        <v>116</v>
      </c>
      <c r="M120">
        <f t="shared" si="10"/>
        <v>4</v>
      </c>
      <c r="N120">
        <f t="shared" si="11"/>
        <v>116</v>
      </c>
      <c r="O120">
        <f t="shared" si="12"/>
        <v>0</v>
      </c>
      <c r="P120" t="str">
        <f t="shared" si="13"/>
        <v>達成</v>
      </c>
    </row>
    <row r="121" spans="1:16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295</v>
      </c>
      <c r="I121" t="s">
        <v>296</v>
      </c>
      <c r="J121">
        <v>0</v>
      </c>
      <c r="K121">
        <f t="shared" si="8"/>
        <v>1</v>
      </c>
      <c r="L121">
        <f t="shared" si="9"/>
        <v>117</v>
      </c>
      <c r="M121">
        <f t="shared" si="10"/>
        <v>4</v>
      </c>
      <c r="N121">
        <f t="shared" si="11"/>
        <v>120</v>
      </c>
      <c r="O121">
        <f t="shared" si="12"/>
        <v>0</v>
      </c>
      <c r="P121" t="str">
        <f t="shared" si="13"/>
        <v>未達成（3）</v>
      </c>
    </row>
    <row r="122" spans="1:16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297</v>
      </c>
      <c r="I122" t="s">
        <v>298</v>
      </c>
      <c r="J122">
        <v>0</v>
      </c>
      <c r="K122">
        <f t="shared" si="8"/>
        <v>1</v>
      </c>
      <c r="L122">
        <f t="shared" si="9"/>
        <v>118</v>
      </c>
      <c r="M122">
        <f t="shared" si="10"/>
        <v>4</v>
      </c>
      <c r="N122">
        <f t="shared" si="11"/>
        <v>120</v>
      </c>
      <c r="O122">
        <f t="shared" si="12"/>
        <v>0</v>
      </c>
      <c r="P122" t="str">
        <f t="shared" si="13"/>
        <v>未達成（2）</v>
      </c>
    </row>
    <row r="123" spans="1:16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299</v>
      </c>
      <c r="I123" t="s">
        <v>300</v>
      </c>
      <c r="J123">
        <v>0</v>
      </c>
      <c r="K123">
        <f t="shared" si="8"/>
        <v>0</v>
      </c>
      <c r="L123">
        <f t="shared" si="9"/>
        <v>118</v>
      </c>
      <c r="M123">
        <f t="shared" si="10"/>
        <v>4</v>
      </c>
      <c r="N123">
        <f t="shared" si="11"/>
        <v>120</v>
      </c>
      <c r="O123">
        <f t="shared" si="12"/>
        <v>0</v>
      </c>
      <c r="P123" t="str">
        <f t="shared" si="13"/>
        <v>未達成（2）</v>
      </c>
    </row>
    <row r="124" spans="1:16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301</v>
      </c>
      <c r="I124" t="s">
        <v>302</v>
      </c>
      <c r="J124">
        <v>0</v>
      </c>
      <c r="K124">
        <f t="shared" si="8"/>
        <v>2</v>
      </c>
      <c r="L124">
        <f t="shared" si="9"/>
        <v>120</v>
      </c>
      <c r="M124">
        <f t="shared" si="10"/>
        <v>4</v>
      </c>
      <c r="N124">
        <f t="shared" si="11"/>
        <v>120</v>
      </c>
      <c r="O124">
        <f t="shared" si="12"/>
        <v>0</v>
      </c>
      <c r="P124" t="str">
        <f t="shared" si="13"/>
        <v>達成</v>
      </c>
    </row>
    <row r="125" spans="1:16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303</v>
      </c>
      <c r="I125" t="s">
        <v>304</v>
      </c>
      <c r="J125">
        <v>0</v>
      </c>
      <c r="K125">
        <f t="shared" si="8"/>
        <v>1</v>
      </c>
      <c r="L125">
        <f t="shared" si="9"/>
        <v>121</v>
      </c>
      <c r="M125">
        <f t="shared" si="10"/>
        <v>4</v>
      </c>
      <c r="N125">
        <f t="shared" si="11"/>
        <v>124</v>
      </c>
      <c r="O125">
        <f t="shared" si="12"/>
        <v>0</v>
      </c>
      <c r="P125" t="str">
        <f t="shared" si="13"/>
        <v>未達成（3）</v>
      </c>
    </row>
    <row r="126" spans="1:16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305</v>
      </c>
      <c r="I126" t="s">
        <v>306</v>
      </c>
      <c r="J126">
        <v>0</v>
      </c>
      <c r="K126">
        <f t="shared" si="8"/>
        <v>2</v>
      </c>
      <c r="L126">
        <f t="shared" si="9"/>
        <v>123</v>
      </c>
      <c r="M126">
        <f t="shared" si="10"/>
        <v>4</v>
      </c>
      <c r="N126">
        <f t="shared" si="11"/>
        <v>124</v>
      </c>
      <c r="O126">
        <f t="shared" si="12"/>
        <v>0</v>
      </c>
      <c r="P126" t="str">
        <f t="shared" si="13"/>
        <v>未達成（1）</v>
      </c>
    </row>
    <row r="127" spans="1:16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307</v>
      </c>
      <c r="I127" t="s">
        <v>308</v>
      </c>
      <c r="J127">
        <v>0</v>
      </c>
      <c r="K127">
        <f t="shared" si="8"/>
        <v>1</v>
      </c>
      <c r="L127">
        <f t="shared" si="9"/>
        <v>124</v>
      </c>
      <c r="M127">
        <f t="shared" si="10"/>
        <v>4</v>
      </c>
      <c r="N127">
        <f t="shared" si="11"/>
        <v>124</v>
      </c>
      <c r="O127">
        <f t="shared" si="12"/>
        <v>0</v>
      </c>
      <c r="P127" t="str">
        <f t="shared" si="13"/>
        <v>達成</v>
      </c>
    </row>
    <row r="128" spans="1:16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309</v>
      </c>
      <c r="I128" t="s">
        <v>310</v>
      </c>
      <c r="J128">
        <v>0</v>
      </c>
      <c r="K128">
        <f t="shared" si="8"/>
        <v>1</v>
      </c>
      <c r="L128">
        <f t="shared" si="9"/>
        <v>125</v>
      </c>
      <c r="M128">
        <f t="shared" si="10"/>
        <v>4</v>
      </c>
      <c r="N128">
        <f t="shared" si="11"/>
        <v>128</v>
      </c>
      <c r="O128">
        <f t="shared" si="12"/>
        <v>0</v>
      </c>
      <c r="P128" t="str">
        <f t="shared" si="13"/>
        <v>未達成（3）</v>
      </c>
    </row>
    <row r="129" spans="1:16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311</v>
      </c>
      <c r="I129" t="s">
        <v>312</v>
      </c>
      <c r="J129">
        <v>0</v>
      </c>
      <c r="K129">
        <f t="shared" si="8"/>
        <v>2</v>
      </c>
      <c r="L129">
        <f t="shared" si="9"/>
        <v>127</v>
      </c>
      <c r="M129">
        <f t="shared" si="10"/>
        <v>4</v>
      </c>
      <c r="N129">
        <f t="shared" si="11"/>
        <v>128</v>
      </c>
      <c r="O129">
        <f t="shared" si="12"/>
        <v>0</v>
      </c>
      <c r="P129" t="str">
        <f t="shared" si="13"/>
        <v>未達成（1）</v>
      </c>
    </row>
    <row r="130" spans="1:16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313</v>
      </c>
      <c r="I130" t="s">
        <v>314</v>
      </c>
      <c r="J130">
        <v>0</v>
      </c>
      <c r="K130">
        <f t="shared" si="8"/>
        <v>1</v>
      </c>
      <c r="L130">
        <f t="shared" si="9"/>
        <v>128</v>
      </c>
      <c r="M130">
        <f t="shared" si="10"/>
        <v>4</v>
      </c>
      <c r="N130">
        <f t="shared" si="11"/>
        <v>128</v>
      </c>
      <c r="O130">
        <f t="shared" si="12"/>
        <v>0</v>
      </c>
      <c r="P130" t="str">
        <f t="shared" si="13"/>
        <v>達成</v>
      </c>
    </row>
    <row r="131" spans="1:16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315</v>
      </c>
      <c r="I131" t="s">
        <v>316</v>
      </c>
      <c r="J131">
        <v>0</v>
      </c>
      <c r="K131">
        <f t="shared" si="8"/>
        <v>2</v>
      </c>
      <c r="L131">
        <f t="shared" si="9"/>
        <v>130</v>
      </c>
      <c r="M131">
        <f t="shared" si="10"/>
        <v>4</v>
      </c>
      <c r="N131">
        <f t="shared" si="11"/>
        <v>132</v>
      </c>
      <c r="O131">
        <f t="shared" si="12"/>
        <v>0</v>
      </c>
      <c r="P131" t="str">
        <f t="shared" si="13"/>
        <v>未達成（2）</v>
      </c>
    </row>
    <row r="132" spans="1:16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317</v>
      </c>
      <c r="I132" t="s">
        <v>318</v>
      </c>
      <c r="J132">
        <v>0</v>
      </c>
      <c r="K132">
        <f t="shared" si="8"/>
        <v>2</v>
      </c>
      <c r="L132">
        <f t="shared" si="9"/>
        <v>132</v>
      </c>
      <c r="M132">
        <f t="shared" si="10"/>
        <v>4</v>
      </c>
      <c r="N132">
        <f t="shared" si="11"/>
        <v>132</v>
      </c>
      <c r="O132">
        <f t="shared" si="12"/>
        <v>0</v>
      </c>
      <c r="P132" t="str">
        <f t="shared" si="13"/>
        <v>達成</v>
      </c>
    </row>
    <row r="133" spans="1:16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319</v>
      </c>
      <c r="I133" t="s">
        <v>320</v>
      </c>
      <c r="J133">
        <v>0</v>
      </c>
      <c r="K133">
        <f t="shared" si="8"/>
        <v>1</v>
      </c>
      <c r="L133">
        <f t="shared" si="9"/>
        <v>133</v>
      </c>
      <c r="M133">
        <f t="shared" si="10"/>
        <v>4</v>
      </c>
      <c r="N133">
        <f t="shared" si="11"/>
        <v>136</v>
      </c>
      <c r="O133">
        <f t="shared" si="12"/>
        <v>0</v>
      </c>
      <c r="P133" t="str">
        <f t="shared" si="13"/>
        <v>未達成（3）</v>
      </c>
    </row>
    <row r="134" spans="1:16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321</v>
      </c>
      <c r="I134" t="s">
        <v>322</v>
      </c>
      <c r="J134">
        <v>0</v>
      </c>
      <c r="K134">
        <f t="shared" si="8"/>
        <v>0</v>
      </c>
      <c r="L134">
        <f t="shared" si="9"/>
        <v>133</v>
      </c>
      <c r="M134">
        <f t="shared" si="10"/>
        <v>4</v>
      </c>
      <c r="N134">
        <f t="shared" si="11"/>
        <v>136</v>
      </c>
      <c r="O134">
        <f t="shared" si="12"/>
        <v>0</v>
      </c>
      <c r="P134" t="str">
        <f t="shared" si="13"/>
        <v>未達成（3）</v>
      </c>
    </row>
    <row r="135" spans="1:16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323</v>
      </c>
      <c r="I135" t="s">
        <v>324</v>
      </c>
      <c r="J135">
        <v>0</v>
      </c>
      <c r="K135">
        <f t="shared" si="8"/>
        <v>1</v>
      </c>
      <c r="L135">
        <f t="shared" si="9"/>
        <v>134</v>
      </c>
      <c r="M135">
        <f t="shared" si="10"/>
        <v>4</v>
      </c>
      <c r="N135">
        <f t="shared" si="11"/>
        <v>136</v>
      </c>
      <c r="O135">
        <f t="shared" si="12"/>
        <v>0</v>
      </c>
      <c r="P135" t="str">
        <f t="shared" si="13"/>
        <v>未達成（2）</v>
      </c>
    </row>
    <row r="136" spans="1:16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325</v>
      </c>
      <c r="I136" t="s">
        <v>326</v>
      </c>
      <c r="J136">
        <v>0</v>
      </c>
      <c r="K136">
        <f t="shared" si="8"/>
        <v>2</v>
      </c>
      <c r="L136">
        <f t="shared" si="9"/>
        <v>136</v>
      </c>
      <c r="M136">
        <f t="shared" si="10"/>
        <v>4</v>
      </c>
      <c r="N136">
        <f t="shared" si="11"/>
        <v>136</v>
      </c>
      <c r="O136">
        <f t="shared" si="12"/>
        <v>0</v>
      </c>
      <c r="P136" t="str">
        <f t="shared" si="13"/>
        <v>達成</v>
      </c>
    </row>
    <row r="137" spans="1:16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327</v>
      </c>
      <c r="I137" t="s">
        <v>328</v>
      </c>
      <c r="J137">
        <v>0</v>
      </c>
      <c r="K137">
        <f t="shared" si="8"/>
        <v>2</v>
      </c>
      <c r="L137">
        <f t="shared" si="9"/>
        <v>138</v>
      </c>
      <c r="M137">
        <f t="shared" si="10"/>
        <v>4</v>
      </c>
      <c r="N137">
        <f t="shared" si="11"/>
        <v>140</v>
      </c>
      <c r="O137">
        <f t="shared" si="12"/>
        <v>0</v>
      </c>
      <c r="P137" t="str">
        <f t="shared" si="13"/>
        <v>未達成（2）</v>
      </c>
    </row>
    <row r="138" spans="1:16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329</v>
      </c>
      <c r="I138" t="s">
        <v>330</v>
      </c>
      <c r="J138">
        <v>0</v>
      </c>
      <c r="K138">
        <f t="shared" si="8"/>
        <v>0</v>
      </c>
      <c r="L138">
        <f t="shared" si="9"/>
        <v>138</v>
      </c>
      <c r="M138">
        <f t="shared" si="10"/>
        <v>4</v>
      </c>
      <c r="N138">
        <f t="shared" si="11"/>
        <v>140</v>
      </c>
      <c r="O138">
        <f t="shared" si="12"/>
        <v>0</v>
      </c>
      <c r="P138" t="str">
        <f t="shared" si="13"/>
        <v>未達成（2）</v>
      </c>
    </row>
    <row r="139" spans="1:16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331</v>
      </c>
      <c r="I139" t="s">
        <v>332</v>
      </c>
      <c r="J139">
        <v>0</v>
      </c>
      <c r="K139">
        <f t="shared" si="8"/>
        <v>2</v>
      </c>
      <c r="L139">
        <f t="shared" si="9"/>
        <v>140</v>
      </c>
      <c r="M139">
        <f t="shared" si="10"/>
        <v>4</v>
      </c>
      <c r="N139">
        <f t="shared" si="11"/>
        <v>140</v>
      </c>
      <c r="O139">
        <f t="shared" si="12"/>
        <v>0</v>
      </c>
      <c r="P139" t="str">
        <f t="shared" si="13"/>
        <v>達成</v>
      </c>
    </row>
    <row r="140" spans="1:16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333</v>
      </c>
      <c r="I140" t="s">
        <v>334</v>
      </c>
      <c r="J140">
        <v>0</v>
      </c>
      <c r="K140">
        <f t="shared" si="8"/>
        <v>1</v>
      </c>
      <c r="L140">
        <f t="shared" si="9"/>
        <v>141</v>
      </c>
      <c r="M140">
        <f t="shared" si="10"/>
        <v>4</v>
      </c>
      <c r="N140">
        <f t="shared" si="11"/>
        <v>144</v>
      </c>
      <c r="O140">
        <f t="shared" si="12"/>
        <v>0</v>
      </c>
      <c r="P140" t="str">
        <f t="shared" si="13"/>
        <v>未達成（3）</v>
      </c>
    </row>
    <row r="141" spans="1:16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335</v>
      </c>
      <c r="I141" t="s">
        <v>336</v>
      </c>
      <c r="J141">
        <v>0</v>
      </c>
      <c r="K141">
        <f t="shared" si="8"/>
        <v>2</v>
      </c>
      <c r="L141">
        <f t="shared" si="9"/>
        <v>143</v>
      </c>
      <c r="M141">
        <f t="shared" si="10"/>
        <v>4</v>
      </c>
      <c r="N141">
        <f t="shared" si="11"/>
        <v>144</v>
      </c>
      <c r="O141">
        <f t="shared" si="12"/>
        <v>0</v>
      </c>
      <c r="P141" t="str">
        <f t="shared" si="13"/>
        <v>未達成（1）</v>
      </c>
    </row>
    <row r="142" spans="1:16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337</v>
      </c>
      <c r="I142" t="s">
        <v>338</v>
      </c>
      <c r="J142">
        <v>0</v>
      </c>
      <c r="K142">
        <f t="shared" si="8"/>
        <v>1</v>
      </c>
      <c r="L142">
        <f t="shared" si="9"/>
        <v>144</v>
      </c>
      <c r="M142">
        <f t="shared" si="10"/>
        <v>4</v>
      </c>
      <c r="N142">
        <f t="shared" si="11"/>
        <v>144</v>
      </c>
      <c r="O142">
        <f t="shared" si="12"/>
        <v>0</v>
      </c>
      <c r="P142" t="str">
        <f t="shared" si="13"/>
        <v>達成</v>
      </c>
    </row>
    <row r="143" spans="1:16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340</v>
      </c>
      <c r="I143" t="s">
        <v>341</v>
      </c>
      <c r="J143">
        <v>0</v>
      </c>
      <c r="K143">
        <f t="shared" si="8"/>
        <v>1</v>
      </c>
      <c r="L143">
        <f t="shared" si="9"/>
        <v>145</v>
      </c>
      <c r="M143">
        <f t="shared" si="10"/>
        <v>4</v>
      </c>
      <c r="N143">
        <f t="shared" si="11"/>
        <v>148</v>
      </c>
      <c r="O143">
        <f t="shared" si="12"/>
        <v>0</v>
      </c>
      <c r="P143" t="str">
        <f t="shared" si="13"/>
        <v>未達成（3）</v>
      </c>
    </row>
    <row r="144" spans="1:16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342</v>
      </c>
      <c r="I144" t="s">
        <v>343</v>
      </c>
      <c r="J144">
        <v>0</v>
      </c>
      <c r="K144">
        <f t="shared" si="8"/>
        <v>1</v>
      </c>
      <c r="L144">
        <f t="shared" si="9"/>
        <v>146</v>
      </c>
      <c r="M144">
        <f t="shared" si="10"/>
        <v>4</v>
      </c>
      <c r="N144">
        <f t="shared" si="11"/>
        <v>148</v>
      </c>
      <c r="O144">
        <f t="shared" si="12"/>
        <v>0</v>
      </c>
      <c r="P144" t="str">
        <f t="shared" si="13"/>
        <v>未達成（2）</v>
      </c>
    </row>
    <row r="145" spans="1:16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344</v>
      </c>
      <c r="I145" t="s">
        <v>345</v>
      </c>
      <c r="J145">
        <v>0</v>
      </c>
      <c r="K145">
        <f t="shared" si="8"/>
        <v>2</v>
      </c>
      <c r="L145">
        <f t="shared" si="9"/>
        <v>148</v>
      </c>
      <c r="M145">
        <f t="shared" si="10"/>
        <v>4</v>
      </c>
      <c r="N145">
        <f t="shared" si="11"/>
        <v>148</v>
      </c>
      <c r="O145">
        <f t="shared" si="12"/>
        <v>0</v>
      </c>
      <c r="P145" t="str">
        <f t="shared" si="13"/>
        <v>達成</v>
      </c>
    </row>
    <row r="146" spans="1:16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346</v>
      </c>
      <c r="I146" t="s">
        <v>347</v>
      </c>
      <c r="J146">
        <v>0</v>
      </c>
      <c r="K146">
        <f t="shared" si="8"/>
        <v>1</v>
      </c>
      <c r="L146">
        <f t="shared" si="9"/>
        <v>149</v>
      </c>
      <c r="M146">
        <f t="shared" si="10"/>
        <v>4</v>
      </c>
      <c r="N146">
        <f t="shared" si="11"/>
        <v>152</v>
      </c>
      <c r="O146">
        <f t="shared" si="12"/>
        <v>0</v>
      </c>
      <c r="P146" t="str">
        <f t="shared" si="13"/>
        <v>未達成（3）</v>
      </c>
    </row>
    <row r="147" spans="1:16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348</v>
      </c>
      <c r="I147" t="s">
        <v>349</v>
      </c>
      <c r="J147">
        <v>0</v>
      </c>
      <c r="K147">
        <f t="shared" ref="K147:K174" si="14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74" si="15">L146+K147</f>
        <v>150</v>
      </c>
      <c r="M147">
        <f t="shared" ref="M147:M174" si="16">2+IF(A147&gt;=DATEVALUE("2025/11/30")+TIMEVALUE("6:00"),1,0)+IF(A147&gt;=DATEVALUE("2025/12/11")+TIMEVALUE("6:00"),1,0)</f>
        <v>4</v>
      </c>
      <c r="N147">
        <f t="shared" ref="N147:N174" si="17">N146+M147*(INT(A147-6/24)-INT(A146-6/24))+O147</f>
        <v>152</v>
      </c>
      <c r="O147">
        <f t="shared" ref="O147:O174" si="18">IF(A147&gt;=DATEVALUE("2025/11/8")+TIMEVALUE("6:00"),1,0)-IF(A146&gt;=DATEVALUE("2025/11/8")+TIMEVALUE("6:00"),1,0)</f>
        <v>0</v>
      </c>
      <c r="P147" t="str">
        <f t="shared" ref="P147:P174" si="19">IF(L147&lt;N147,"未達成（"&amp;N147-L147&amp;"）",IF(L147=N147,"達成","前倒し（"&amp;L147-N147&amp;"）"))</f>
        <v>未達成（2）</v>
      </c>
    </row>
    <row r="148" spans="1:16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350</v>
      </c>
      <c r="I148" t="s">
        <v>351</v>
      </c>
      <c r="J148">
        <v>0</v>
      </c>
      <c r="K148">
        <f t="shared" si="14"/>
        <v>2</v>
      </c>
      <c r="L148">
        <f t="shared" si="15"/>
        <v>152</v>
      </c>
      <c r="M148">
        <f t="shared" si="16"/>
        <v>4</v>
      </c>
      <c r="N148">
        <f t="shared" si="17"/>
        <v>152</v>
      </c>
      <c r="O148">
        <f t="shared" si="18"/>
        <v>0</v>
      </c>
      <c r="P148" t="str">
        <f t="shared" si="19"/>
        <v>達成</v>
      </c>
    </row>
    <row r="149" spans="1:16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352</v>
      </c>
      <c r="I149" t="s">
        <v>353</v>
      </c>
      <c r="J149">
        <v>0</v>
      </c>
      <c r="K149">
        <f t="shared" si="14"/>
        <v>1</v>
      </c>
      <c r="L149">
        <f t="shared" si="15"/>
        <v>153</v>
      </c>
      <c r="M149">
        <f t="shared" si="16"/>
        <v>4</v>
      </c>
      <c r="N149">
        <f t="shared" si="17"/>
        <v>156</v>
      </c>
      <c r="O149">
        <f t="shared" si="18"/>
        <v>0</v>
      </c>
      <c r="P149" t="str">
        <f t="shared" si="19"/>
        <v>未達成（3）</v>
      </c>
    </row>
    <row r="150" spans="1:16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354</v>
      </c>
      <c r="I150" t="s">
        <v>355</v>
      </c>
      <c r="J150">
        <v>0</v>
      </c>
      <c r="K150">
        <f t="shared" si="14"/>
        <v>2</v>
      </c>
      <c r="L150">
        <f t="shared" si="15"/>
        <v>155</v>
      </c>
      <c r="M150">
        <f t="shared" si="16"/>
        <v>4</v>
      </c>
      <c r="N150">
        <f t="shared" si="17"/>
        <v>156</v>
      </c>
      <c r="O150">
        <f t="shared" si="18"/>
        <v>0</v>
      </c>
      <c r="P150" t="str">
        <f t="shared" si="19"/>
        <v>未達成（1）</v>
      </c>
    </row>
    <row r="151" spans="1:16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356</v>
      </c>
      <c r="I151" t="s">
        <v>357</v>
      </c>
      <c r="J151">
        <v>0</v>
      </c>
      <c r="K151">
        <f t="shared" si="14"/>
        <v>1</v>
      </c>
      <c r="L151">
        <f t="shared" si="15"/>
        <v>156</v>
      </c>
      <c r="M151">
        <f t="shared" si="16"/>
        <v>4</v>
      </c>
      <c r="N151">
        <f t="shared" si="17"/>
        <v>156</v>
      </c>
      <c r="O151">
        <f t="shared" si="18"/>
        <v>0</v>
      </c>
      <c r="P151" t="str">
        <f t="shared" si="19"/>
        <v>達成</v>
      </c>
    </row>
    <row r="152" spans="1:16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358</v>
      </c>
      <c r="I152" t="s">
        <v>359</v>
      </c>
      <c r="J152">
        <v>0</v>
      </c>
      <c r="K152">
        <f t="shared" si="14"/>
        <v>2</v>
      </c>
      <c r="L152">
        <f t="shared" si="15"/>
        <v>158</v>
      </c>
      <c r="M152">
        <f t="shared" si="16"/>
        <v>4</v>
      </c>
      <c r="N152">
        <f t="shared" si="17"/>
        <v>160</v>
      </c>
      <c r="O152">
        <f t="shared" si="18"/>
        <v>0</v>
      </c>
      <c r="P152" t="str">
        <f t="shared" si="19"/>
        <v>未達成（2）</v>
      </c>
    </row>
    <row r="153" spans="1:16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360</v>
      </c>
      <c r="I153" t="s">
        <v>361</v>
      </c>
      <c r="J153">
        <v>0</v>
      </c>
      <c r="K153">
        <f t="shared" si="14"/>
        <v>2</v>
      </c>
      <c r="L153">
        <f t="shared" si="15"/>
        <v>160</v>
      </c>
      <c r="M153">
        <f t="shared" si="16"/>
        <v>4</v>
      </c>
      <c r="N153">
        <f t="shared" si="17"/>
        <v>160</v>
      </c>
      <c r="O153">
        <f t="shared" si="18"/>
        <v>0</v>
      </c>
      <c r="P153" t="str">
        <f t="shared" si="19"/>
        <v>達成</v>
      </c>
    </row>
    <row r="154" spans="1:16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362</v>
      </c>
      <c r="I154" t="s">
        <v>363</v>
      </c>
      <c r="J154">
        <v>0</v>
      </c>
      <c r="K154">
        <f t="shared" si="14"/>
        <v>1</v>
      </c>
      <c r="L154">
        <f t="shared" si="15"/>
        <v>161</v>
      </c>
      <c r="M154">
        <f t="shared" si="16"/>
        <v>4</v>
      </c>
      <c r="N154">
        <f t="shared" si="17"/>
        <v>164</v>
      </c>
      <c r="O154">
        <f t="shared" si="18"/>
        <v>0</v>
      </c>
      <c r="P154" t="str">
        <f t="shared" si="19"/>
        <v>未達成（3）</v>
      </c>
    </row>
    <row r="155" spans="1:16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364</v>
      </c>
      <c r="I155" t="s">
        <v>365</v>
      </c>
      <c r="J155">
        <v>0</v>
      </c>
      <c r="K155">
        <f t="shared" si="14"/>
        <v>2</v>
      </c>
      <c r="L155">
        <f t="shared" si="15"/>
        <v>163</v>
      </c>
      <c r="M155">
        <f t="shared" si="16"/>
        <v>4</v>
      </c>
      <c r="N155">
        <f t="shared" si="17"/>
        <v>164</v>
      </c>
      <c r="O155">
        <f t="shared" si="18"/>
        <v>0</v>
      </c>
      <c r="P155" t="str">
        <f t="shared" si="19"/>
        <v>未達成（1）</v>
      </c>
    </row>
    <row r="156" spans="1:16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366</v>
      </c>
      <c r="I156" t="s">
        <v>367</v>
      </c>
      <c r="J156">
        <v>0</v>
      </c>
      <c r="K156">
        <f t="shared" si="14"/>
        <v>2</v>
      </c>
      <c r="L156">
        <f t="shared" si="15"/>
        <v>165</v>
      </c>
      <c r="M156">
        <f t="shared" si="16"/>
        <v>4</v>
      </c>
      <c r="N156">
        <f t="shared" si="17"/>
        <v>164</v>
      </c>
      <c r="O156">
        <f t="shared" si="18"/>
        <v>0</v>
      </c>
      <c r="P156" t="str">
        <f t="shared" si="19"/>
        <v>前倒し（1）</v>
      </c>
    </row>
    <row r="157" spans="1:16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368</v>
      </c>
      <c r="I157" t="s">
        <v>369</v>
      </c>
      <c r="J157">
        <v>0</v>
      </c>
      <c r="K157">
        <f t="shared" si="14"/>
        <v>2</v>
      </c>
      <c r="L157">
        <f t="shared" si="15"/>
        <v>167</v>
      </c>
      <c r="M157">
        <f t="shared" si="16"/>
        <v>4</v>
      </c>
      <c r="N157">
        <f t="shared" si="17"/>
        <v>168</v>
      </c>
      <c r="O157">
        <f t="shared" si="18"/>
        <v>0</v>
      </c>
      <c r="P157" t="str">
        <f t="shared" si="19"/>
        <v>未達成（1）</v>
      </c>
    </row>
    <row r="158" spans="1:16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370</v>
      </c>
      <c r="I158" t="s">
        <v>371</v>
      </c>
      <c r="J158">
        <v>0</v>
      </c>
      <c r="K158">
        <f t="shared" si="14"/>
        <v>1</v>
      </c>
      <c r="L158">
        <f t="shared" si="15"/>
        <v>168</v>
      </c>
      <c r="M158">
        <f t="shared" si="16"/>
        <v>4</v>
      </c>
      <c r="N158">
        <f t="shared" si="17"/>
        <v>168</v>
      </c>
      <c r="O158">
        <f t="shared" si="18"/>
        <v>0</v>
      </c>
      <c r="P158" t="str">
        <f t="shared" si="19"/>
        <v>達成</v>
      </c>
    </row>
    <row r="159" spans="1:16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372</v>
      </c>
      <c r="I159" t="s">
        <v>373</v>
      </c>
      <c r="J159">
        <v>0</v>
      </c>
      <c r="K159">
        <f t="shared" si="14"/>
        <v>1</v>
      </c>
      <c r="L159">
        <f t="shared" si="15"/>
        <v>169</v>
      </c>
      <c r="M159">
        <f t="shared" si="16"/>
        <v>4</v>
      </c>
      <c r="N159">
        <f t="shared" si="17"/>
        <v>172</v>
      </c>
      <c r="O159">
        <f t="shared" si="18"/>
        <v>0</v>
      </c>
      <c r="P159" t="str">
        <f t="shared" si="19"/>
        <v>未達成（3）</v>
      </c>
    </row>
    <row r="160" spans="1:16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374</v>
      </c>
      <c r="I160" t="s">
        <v>375</v>
      </c>
      <c r="J160">
        <v>0</v>
      </c>
      <c r="K160">
        <f t="shared" si="14"/>
        <v>2</v>
      </c>
      <c r="L160">
        <f t="shared" si="15"/>
        <v>171</v>
      </c>
      <c r="M160">
        <f t="shared" si="16"/>
        <v>4</v>
      </c>
      <c r="N160">
        <f t="shared" si="17"/>
        <v>172</v>
      </c>
      <c r="O160">
        <f t="shared" si="18"/>
        <v>0</v>
      </c>
      <c r="P160" t="str">
        <f t="shared" si="19"/>
        <v>未達成（1）</v>
      </c>
    </row>
    <row r="161" spans="1:16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376</v>
      </c>
      <c r="I161" t="s">
        <v>377</v>
      </c>
      <c r="J161">
        <v>0</v>
      </c>
      <c r="K161">
        <f t="shared" si="14"/>
        <v>1</v>
      </c>
      <c r="L161">
        <f t="shared" si="15"/>
        <v>172</v>
      </c>
      <c r="M161">
        <f t="shared" si="16"/>
        <v>4</v>
      </c>
      <c r="N161">
        <f t="shared" si="17"/>
        <v>172</v>
      </c>
      <c r="O161">
        <f t="shared" si="18"/>
        <v>0</v>
      </c>
      <c r="P161" t="str">
        <f t="shared" si="19"/>
        <v>達成</v>
      </c>
    </row>
    <row r="162" spans="1:16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378</v>
      </c>
      <c r="I162" t="s">
        <v>379</v>
      </c>
      <c r="J162">
        <v>0</v>
      </c>
      <c r="K162">
        <f t="shared" si="14"/>
        <v>2</v>
      </c>
      <c r="L162">
        <f t="shared" si="15"/>
        <v>174</v>
      </c>
      <c r="M162">
        <f t="shared" si="16"/>
        <v>4</v>
      </c>
      <c r="N162">
        <f t="shared" si="17"/>
        <v>176</v>
      </c>
      <c r="O162">
        <f t="shared" si="18"/>
        <v>0</v>
      </c>
      <c r="P162" t="str">
        <f t="shared" si="19"/>
        <v>未達成（2）</v>
      </c>
    </row>
    <row r="163" spans="1:16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380</v>
      </c>
      <c r="I163" t="s">
        <v>381</v>
      </c>
      <c r="J163">
        <v>0</v>
      </c>
      <c r="K163">
        <f t="shared" si="14"/>
        <v>1</v>
      </c>
      <c r="L163">
        <f t="shared" si="15"/>
        <v>175</v>
      </c>
      <c r="M163">
        <f t="shared" si="16"/>
        <v>4</v>
      </c>
      <c r="N163">
        <f t="shared" si="17"/>
        <v>176</v>
      </c>
      <c r="O163">
        <f t="shared" si="18"/>
        <v>0</v>
      </c>
      <c r="P163" t="str">
        <f t="shared" si="19"/>
        <v>未達成（1）</v>
      </c>
    </row>
    <row r="164" spans="1:16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382</v>
      </c>
      <c r="I164" t="s">
        <v>383</v>
      </c>
      <c r="J164">
        <v>0</v>
      </c>
      <c r="K164">
        <f t="shared" si="14"/>
        <v>2</v>
      </c>
      <c r="L164">
        <f t="shared" si="15"/>
        <v>177</v>
      </c>
      <c r="M164">
        <f t="shared" si="16"/>
        <v>4</v>
      </c>
      <c r="N164">
        <f t="shared" si="17"/>
        <v>176</v>
      </c>
      <c r="O164">
        <f t="shared" si="18"/>
        <v>0</v>
      </c>
      <c r="P164" t="str">
        <f t="shared" si="19"/>
        <v>前倒し（1）</v>
      </c>
    </row>
    <row r="165" spans="1:16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384</v>
      </c>
      <c r="I165" t="s">
        <v>385</v>
      </c>
      <c r="J165">
        <v>0</v>
      </c>
      <c r="K165">
        <f t="shared" si="14"/>
        <v>1</v>
      </c>
      <c r="L165">
        <f t="shared" si="15"/>
        <v>178</v>
      </c>
      <c r="M165">
        <f t="shared" si="16"/>
        <v>4</v>
      </c>
      <c r="N165">
        <f t="shared" si="17"/>
        <v>180</v>
      </c>
      <c r="O165">
        <f t="shared" si="18"/>
        <v>0</v>
      </c>
      <c r="P165" t="str">
        <f t="shared" si="19"/>
        <v>未達成（2）</v>
      </c>
    </row>
    <row r="166" spans="1:16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386</v>
      </c>
      <c r="I166" t="s">
        <v>387</v>
      </c>
      <c r="J166">
        <v>0</v>
      </c>
      <c r="K166">
        <f t="shared" si="14"/>
        <v>1</v>
      </c>
      <c r="L166">
        <f t="shared" si="15"/>
        <v>179</v>
      </c>
      <c r="M166">
        <f t="shared" si="16"/>
        <v>4</v>
      </c>
      <c r="N166">
        <f t="shared" si="17"/>
        <v>180</v>
      </c>
      <c r="O166">
        <f t="shared" si="18"/>
        <v>0</v>
      </c>
      <c r="P166" t="str">
        <f t="shared" si="19"/>
        <v>未達成（1）</v>
      </c>
    </row>
    <row r="167" spans="1:16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388</v>
      </c>
      <c r="I167" t="s">
        <v>389</v>
      </c>
      <c r="J167">
        <v>0</v>
      </c>
      <c r="K167">
        <f t="shared" si="14"/>
        <v>2</v>
      </c>
      <c r="L167">
        <f t="shared" si="15"/>
        <v>181</v>
      </c>
      <c r="M167">
        <f t="shared" si="16"/>
        <v>4</v>
      </c>
      <c r="N167">
        <f t="shared" si="17"/>
        <v>180</v>
      </c>
      <c r="O167">
        <f t="shared" si="18"/>
        <v>0</v>
      </c>
      <c r="P167" t="str">
        <f t="shared" si="19"/>
        <v>前倒し（1）</v>
      </c>
    </row>
    <row r="168" spans="1:16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391</v>
      </c>
      <c r="I168" t="s">
        <v>390</v>
      </c>
      <c r="J168">
        <v>0</v>
      </c>
      <c r="K168">
        <f t="shared" si="14"/>
        <v>1</v>
      </c>
      <c r="L168">
        <f t="shared" si="15"/>
        <v>182</v>
      </c>
      <c r="M168">
        <f t="shared" si="16"/>
        <v>4</v>
      </c>
      <c r="N168">
        <f t="shared" si="17"/>
        <v>184</v>
      </c>
      <c r="O168">
        <f t="shared" si="18"/>
        <v>0</v>
      </c>
      <c r="P168" t="str">
        <f t="shared" si="19"/>
        <v>未達成（2）</v>
      </c>
    </row>
    <row r="169" spans="1:16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392</v>
      </c>
      <c r="I169" t="s">
        <v>393</v>
      </c>
      <c r="J169">
        <v>0</v>
      </c>
      <c r="K169">
        <f t="shared" si="14"/>
        <v>2</v>
      </c>
      <c r="L169">
        <f t="shared" si="15"/>
        <v>184</v>
      </c>
      <c r="M169">
        <f t="shared" si="16"/>
        <v>4</v>
      </c>
      <c r="N169">
        <f t="shared" si="17"/>
        <v>184</v>
      </c>
      <c r="O169">
        <f t="shared" si="18"/>
        <v>0</v>
      </c>
      <c r="P169" t="str">
        <f t="shared" si="19"/>
        <v>達成</v>
      </c>
    </row>
    <row r="170" spans="1:16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394</v>
      </c>
      <c r="I170" t="s">
        <v>395</v>
      </c>
      <c r="J170">
        <v>0</v>
      </c>
      <c r="K170">
        <f t="shared" si="14"/>
        <v>2</v>
      </c>
      <c r="L170">
        <f t="shared" si="15"/>
        <v>186</v>
      </c>
      <c r="M170">
        <f t="shared" si="16"/>
        <v>4</v>
      </c>
      <c r="N170">
        <f t="shared" si="17"/>
        <v>188</v>
      </c>
      <c r="O170">
        <f t="shared" si="18"/>
        <v>0</v>
      </c>
      <c r="P170" t="str">
        <f t="shared" si="19"/>
        <v>未達成（2）</v>
      </c>
    </row>
    <row r="171" spans="1:16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396</v>
      </c>
      <c r="I171" t="s">
        <v>397</v>
      </c>
      <c r="J171">
        <v>0</v>
      </c>
      <c r="K171">
        <f t="shared" si="14"/>
        <v>2</v>
      </c>
      <c r="L171">
        <f t="shared" si="15"/>
        <v>188</v>
      </c>
      <c r="M171">
        <f t="shared" si="16"/>
        <v>4</v>
      </c>
      <c r="N171">
        <f t="shared" si="17"/>
        <v>188</v>
      </c>
      <c r="O171">
        <f t="shared" si="18"/>
        <v>0</v>
      </c>
      <c r="P171" t="str">
        <f t="shared" si="19"/>
        <v>達成</v>
      </c>
    </row>
    <row r="172" spans="1:16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398</v>
      </c>
      <c r="I172" t="s">
        <v>399</v>
      </c>
      <c r="J172">
        <v>0</v>
      </c>
      <c r="K172">
        <f t="shared" si="14"/>
        <v>1</v>
      </c>
      <c r="L172">
        <f t="shared" si="15"/>
        <v>189</v>
      </c>
      <c r="M172">
        <f t="shared" si="16"/>
        <v>4</v>
      </c>
      <c r="N172">
        <f t="shared" si="17"/>
        <v>192</v>
      </c>
      <c r="O172">
        <f t="shared" si="18"/>
        <v>0</v>
      </c>
      <c r="P172" t="str">
        <f t="shared" si="19"/>
        <v>未達成（3）</v>
      </c>
    </row>
    <row r="173" spans="1:16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400</v>
      </c>
      <c r="I173" t="s">
        <v>401</v>
      </c>
      <c r="J173">
        <v>0</v>
      </c>
      <c r="K173">
        <f t="shared" si="14"/>
        <v>1</v>
      </c>
      <c r="L173">
        <f t="shared" si="15"/>
        <v>190</v>
      </c>
      <c r="M173">
        <f t="shared" si="16"/>
        <v>4</v>
      </c>
      <c r="N173">
        <f t="shared" si="17"/>
        <v>192</v>
      </c>
      <c r="O173">
        <f t="shared" si="18"/>
        <v>0</v>
      </c>
      <c r="P173" t="str">
        <f t="shared" si="19"/>
        <v>未達成（2）</v>
      </c>
    </row>
    <row r="174" spans="1:16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402</v>
      </c>
      <c r="I174" t="s">
        <v>403</v>
      </c>
      <c r="J174">
        <v>0</v>
      </c>
      <c r="K174">
        <f t="shared" si="14"/>
        <v>2</v>
      </c>
      <c r="L174">
        <f t="shared" si="15"/>
        <v>192</v>
      </c>
      <c r="M174">
        <f t="shared" si="16"/>
        <v>4</v>
      </c>
      <c r="N174">
        <f t="shared" si="17"/>
        <v>192</v>
      </c>
      <c r="O174">
        <f t="shared" si="18"/>
        <v>0</v>
      </c>
      <c r="P174" t="str">
        <f t="shared" si="19"/>
        <v>達成</v>
      </c>
    </row>
    <row r="175" spans="1:16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405</v>
      </c>
      <c r="I175" t="s">
        <v>406</v>
      </c>
      <c r="J175">
        <v>0</v>
      </c>
      <c r="K175">
        <f t="shared" ref="K175" si="20">IF(A175&lt;DATEVALUE("2025/11/20")+TIMEVALUE("6:00"),1,IF(OR(B175&lt;&gt;60,SUM(D175:F175)&lt;&gt;0,G175&gt;=IF(A175&lt;DATEVALUE("2025/12/28")+TIMEVALUE("6:00"),20,18)/24/60),0,2-INT(G175*24*60/10)))</f>
        <v>2</v>
      </c>
      <c r="L175">
        <f t="shared" ref="L175" si="21">L174+K175</f>
        <v>194</v>
      </c>
      <c r="M175">
        <f t="shared" ref="M175" si="22">2+IF(A175&gt;=DATEVALUE("2025/11/30")+TIMEVALUE("6:00"),1,0)+IF(A175&gt;=DATEVALUE("2025/12/11")+TIMEVALUE("6:00"),1,0)</f>
        <v>4</v>
      </c>
      <c r="N175">
        <f t="shared" ref="N175" si="23">N174+M175*(INT(A175-6/24)-INT(A174-6/24))+O175</f>
        <v>196</v>
      </c>
      <c r="O175">
        <f t="shared" ref="O175" si="24">IF(A175&gt;=DATEVALUE("2025/11/8")+TIMEVALUE("6:00"),1,0)-IF(A174&gt;=DATEVALUE("2025/11/8")+TIMEVALUE("6:00"),1,0)</f>
        <v>0</v>
      </c>
      <c r="P175" t="str">
        <f t="shared" ref="P175" si="25">IF(L175&lt;N175,"未達成（"&amp;N175-L175&amp;"）",IF(L175=N175,"達成","前倒し（"&amp;L175-N175&amp;"）"))</f>
        <v>未達成（2）</v>
      </c>
    </row>
    <row r="176" spans="1:16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408</v>
      </c>
      <c r="I176" t="s">
        <v>407</v>
      </c>
      <c r="J176">
        <v>0</v>
      </c>
      <c r="K176">
        <f t="shared" ref="K176:K177" si="26">IF(A176&lt;DATEVALUE("2025/11/20")+TIMEVALUE("6:00"),1,IF(OR(B176&lt;&gt;60,SUM(D176:F176)&lt;&gt;0,G176&gt;=IF(A176&lt;DATEVALUE("2025/12/28")+TIMEVALUE("6:00"),20,18)/24/60),0,2-INT(G176*24*60/10)))</f>
        <v>1</v>
      </c>
      <c r="L176">
        <f t="shared" ref="L176:L177" si="27">L175+K176</f>
        <v>195</v>
      </c>
      <c r="M176">
        <f t="shared" ref="M176:M177" si="28">2+IF(A176&gt;=DATEVALUE("2025/11/30")+TIMEVALUE("6:00"),1,0)+IF(A176&gt;=DATEVALUE("2025/12/11")+TIMEVALUE("6:00"),1,0)</f>
        <v>4</v>
      </c>
      <c r="N176">
        <f t="shared" ref="N176:N177" si="29">N175+M176*(INT(A176-6/24)-INT(A175-6/24))+O176</f>
        <v>196</v>
      </c>
      <c r="O176">
        <f t="shared" ref="O176:O177" si="30">IF(A176&gt;=DATEVALUE("2025/11/8")+TIMEVALUE("6:00"),1,0)-IF(A175&gt;=DATEVALUE("2025/11/8")+TIMEVALUE("6:00"),1,0)</f>
        <v>0</v>
      </c>
      <c r="P176" t="str">
        <f t="shared" ref="P176:P177" si="31">IF(L176&lt;N176,"未達成（"&amp;N176-L176&amp;"）",IF(L176=N176,"達成","前倒し（"&amp;L176-N176&amp;"）"))</f>
        <v>未達成（1）</v>
      </c>
    </row>
    <row r="177" spans="1:16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409</v>
      </c>
      <c r="I177" t="s">
        <v>410</v>
      </c>
      <c r="J177">
        <v>0</v>
      </c>
      <c r="K177">
        <f t="shared" si="26"/>
        <v>2</v>
      </c>
      <c r="L177">
        <f t="shared" si="27"/>
        <v>197</v>
      </c>
      <c r="M177">
        <f t="shared" si="28"/>
        <v>4</v>
      </c>
      <c r="N177">
        <f t="shared" si="29"/>
        <v>196</v>
      </c>
      <c r="O177">
        <f t="shared" si="30"/>
        <v>0</v>
      </c>
      <c r="P177" t="str">
        <f t="shared" si="31"/>
        <v>前倒し（1）</v>
      </c>
    </row>
    <row r="178" spans="1:16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411</v>
      </c>
      <c r="I178" t="s">
        <v>412</v>
      </c>
      <c r="J178">
        <v>0</v>
      </c>
      <c r="K178">
        <f t="shared" ref="K178" si="32">IF(A178&lt;DATEVALUE("2025/11/20")+TIMEVALUE("6:00"),1,IF(OR(B178&lt;&gt;60,SUM(D178:F178)&lt;&gt;0,G178&gt;=IF(A178&lt;DATEVALUE("2025/12/28")+TIMEVALUE("6:00"),20,18)/24/60),0,2-INT(G178*24*60/10)))</f>
        <v>2</v>
      </c>
      <c r="L178">
        <f t="shared" ref="L178" si="33">L177+K178</f>
        <v>199</v>
      </c>
      <c r="M178">
        <f t="shared" ref="M178" si="34">2+IF(A178&gt;=DATEVALUE("2025/11/30")+TIMEVALUE("6:00"),1,0)+IF(A178&gt;=DATEVALUE("2025/12/11")+TIMEVALUE("6:00"),1,0)</f>
        <v>4</v>
      </c>
      <c r="N178">
        <f t="shared" ref="N178" si="35">N177+M178*(INT(A178-6/24)-INT(A177-6/24))+O178</f>
        <v>200</v>
      </c>
      <c r="O178">
        <f t="shared" ref="O178" si="36">IF(A178&gt;=DATEVALUE("2025/11/8")+TIMEVALUE("6:00"),1,0)-IF(A177&gt;=DATEVALUE("2025/11/8")+TIMEVALUE("6:00"),1,0)</f>
        <v>0</v>
      </c>
      <c r="P178" t="str">
        <f t="shared" ref="P178" si="37">IF(L178&lt;N178,"未達成（"&amp;N178-L178&amp;"）",IF(L178=N178,"達成","前倒し（"&amp;L178-N178&amp;"）"))</f>
        <v>未達成（1）</v>
      </c>
    </row>
    <row r="179" spans="1:16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413</v>
      </c>
      <c r="I179" t="s">
        <v>414</v>
      </c>
      <c r="J179">
        <v>0</v>
      </c>
      <c r="K179">
        <f t="shared" ref="K179" si="38">IF(A179&lt;DATEVALUE("2025/11/20")+TIMEVALUE("6:00"),1,IF(OR(B179&lt;&gt;60,SUM(D179:F179)&lt;&gt;0,G179&gt;=IF(A179&lt;DATEVALUE("2025/12/28")+TIMEVALUE("6:00"),20,18)/24/60),0,2-INT(G179*24*60/10)))</f>
        <v>2</v>
      </c>
      <c r="L179">
        <f t="shared" ref="L179" si="39">L178+K179</f>
        <v>201</v>
      </c>
      <c r="M179">
        <f t="shared" ref="M179" si="40">2+IF(A179&gt;=DATEVALUE("2025/11/30")+TIMEVALUE("6:00"),1,0)+IF(A179&gt;=DATEVALUE("2025/12/11")+TIMEVALUE("6:00"),1,0)</f>
        <v>4</v>
      </c>
      <c r="N179">
        <f t="shared" ref="N179" si="41">N178+M179*(INT(A179-6/24)-INT(A178-6/24))+O179</f>
        <v>200</v>
      </c>
      <c r="O179">
        <f t="shared" ref="O179" si="42">IF(A179&gt;=DATEVALUE("2025/11/8")+TIMEVALUE("6:00"),1,0)-IF(A178&gt;=DATEVALUE("2025/11/8")+TIMEVALUE("6:00"),1,0)</f>
        <v>0</v>
      </c>
      <c r="P179" t="str">
        <f t="shared" ref="P179" si="43">IF(L179&lt;N179,"未達成（"&amp;N179-L179&amp;"）",IF(L179=N179,"達成","前倒し（"&amp;L179-N179&amp;"）"))</f>
        <v>前倒し（1）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>
      <selection activeCell="A3" sqref="A3"/>
    </sheetView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/>
      <c r="D3" s="25"/>
    </row>
    <row r="4" spans="1:4">
      <c r="A4" t="s">
        <v>339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2026-01-07T08:38:53Z</dcterms:modified>
</cp:coreProperties>
</file>
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9085355-D50E-42E8-ABA2-0B12DA77A1D5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2" i="4" l="1"/>
  <c r="N72" i="4" s="1"/>
  <c r="K72" i="4"/>
  <c r="L72" i="4" s="1"/>
  <c r="O71" i="4"/>
  <c r="N71" i="4" s="1"/>
  <c r="K71" i="4"/>
  <c r="L71" i="4" s="1"/>
  <c r="O70" i="4"/>
  <c r="N70" i="4" s="1"/>
  <c r="K70" i="4"/>
  <c r="L70" i="4" s="1"/>
  <c r="O69" i="4"/>
  <c r="N69" i="4"/>
  <c r="K69" i="4"/>
  <c r="L69" i="4" s="1"/>
  <c r="P69" i="4" s="1"/>
  <c r="O68" i="4"/>
  <c r="N68" i="4" s="1"/>
  <c r="K68" i="4"/>
  <c r="L68" i="4" s="1"/>
  <c r="O67" i="4"/>
  <c r="N67" i="4" s="1"/>
  <c r="K67" i="4"/>
  <c r="L67" i="4" s="1"/>
  <c r="O66" i="4"/>
  <c r="N66" i="4" s="1"/>
  <c r="K66" i="4"/>
  <c r="L66" i="4" s="1"/>
  <c r="O65" i="4"/>
  <c r="N65" i="4"/>
  <c r="L65" i="4"/>
  <c r="P65" i="4" s="1"/>
  <c r="K65" i="4"/>
  <c r="O64" i="4"/>
  <c r="N64" i="4" s="1"/>
  <c r="K64" i="4"/>
  <c r="L64" i="4" s="1"/>
  <c r="O63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7" i="4" s="1"/>
  <c r="P72" i="4" l="1"/>
  <c r="P71" i="4"/>
  <c r="P70" i="4"/>
  <c r="P68" i="4"/>
  <c r="P67" i="4"/>
  <c r="P66" i="4"/>
  <c r="P64" i="4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3" i="4" s="1"/>
  <c r="P61" i="4"/>
</calcChain>
</file>

<file path=xl/sharedStrings.xml><?xml version="1.0" encoding="utf-8"?>
<sst xmlns="http://schemas.openxmlformats.org/spreadsheetml/2006/main" count="221" uniqueCount="202">
  <si>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</si>
  <si>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</si>
  <si>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</si>
  <si>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</si>
  <si>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</si>
  <si>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</si>
  <si>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</si>
  <si>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</si>
  <si>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</si>
  <si>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</si>
  <si>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</si>
  <si>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</si>
  <si>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</si>
  <si>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</si>
  <si>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</si>
  <si>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</si>
  <si>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</si>
  <si>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</si>
  <si>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</si>
  <si>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</si>
  <si>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</si>
  <si>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</si>
  <si>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</si>
  <si>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</si>
  <si>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</si>
  <si>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</si>
  <si>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</si>
  <si>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</si>
  <si>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</si>
  <si>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</si>
  <si>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</si>
  <si>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</si>
  <si>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</si>
  <si>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</si>
  <si>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</si>
  <si>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</si>
  <si>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</si>
  <si>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</si>
  <si>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</si>
  <si>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</si>
  <si>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</si>
  <si>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</si>
  <si>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</si>
  <si>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</si>
  <si>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</si>
  <si>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</si>
  <si>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</si>
  <si>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</si>
  <si>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</si>
  <si>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</si>
  <si>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</si>
  <si>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</si>
  <si>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</si>
  <si>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</si>
  <si>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</si>
  <si>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</si>
  <si>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</si>
  <si>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</si>
  <si>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</si>
  <si>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</si>
  <si>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</si>
  <si>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</si>
  <si>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</si>
  <si>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</si>
  <si>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</si>
  <si>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</si>
  <si>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</si>
  <si>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</si>
  <si>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</si>
  <si>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</si>
  <si>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</si>
  <si>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</si>
  <si>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</si>
  <si>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</si>
  <si>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</si>
  <si>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</si>
  <si>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</si>
  <si>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</si>
  <si>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</si>
  <si>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</si>
  <si>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</si>
  <si>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</si>
  <si>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</si>
  <si>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</si>
  <si>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</si>
  <si>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</si>
  <si>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</si>
  <si>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</si>
  <si>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</si>
  <si>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</si>
  <si>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</si>
  <si>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</si>
  <si>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</si>
  <si>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</si>
  <si>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</si>
  <si>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</si>
  <si>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</si>
  <si>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</si>
  <si>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</si>
  <si>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</si>
  <si>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</si>
  <si>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</si>
  <si>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</si>
  <si>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</si>
  <si>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</si>
  <si>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</si>
  <si>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</si>
  <si>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</si>
  <si>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</si>
  <si>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</si>
  <si>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</si>
  <si>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</si>
  <si>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</si>
  <si>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</si>
  <si>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</si>
  <si>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</si>
  <si>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</si>
  <si>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</si>
  <si>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</si>
  <si>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</si>
  <si>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</si>
  <si>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</si>
  <si>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</si>
  <si>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</si>
  <si>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</si>
  <si>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</si>
  <si>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</si>
  <si>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</si>
  <si>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</si>
  <si>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</si>
  <si>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</si>
  <si>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</si>
  <si>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</si>
  <si>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</si>
  <si>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</si>
  <si>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</si>
  <si>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</si>
  <si>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</si>
  <si>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</si>
  <si>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</si>
  <si>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</si>
  <si>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</si>
  <si>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</si>
  <si>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</si>
  <si>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</si>
  <si>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</si>
  <si>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</si>
  <si>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</si>
  <si>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</si>
  <si>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</si>
  <si>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</si>
  <si>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</si>
  <si>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</si>
  <si>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</si>
  <si>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</si>
  <si>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</si>
  <si>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</si>
  <si>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</si>
  <si>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</si>
  <si>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</si>
  <si>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</si>
  <si>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</si>
  <si>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</si>
  <si>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</si>
  <si>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</si>
  <si>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</si>
  <si>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</si>
  <si>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</si>
  <si>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</si>
  <si>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</si>
  <si>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</si>
  <si>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</si>
  <si>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</si>
  <si>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</si>
  <si>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</si>
  <si>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</si>
  <si>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</si>
  <si>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</si>
  <si>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１日目標ポイント</t>
    <rPh sb="1" eb="2">
      <t>ニチ</t>
    </rPh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</si>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</sst>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データ!$P$1:$P$71</c:f>
              <c:strCache>
                <c:ptCount val="71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データ!$A$2:$A$72</c:f>
              <c:numCache>
                <c:formatCode>m/d/yyyy\ h:mm</c:formatCode>
                <c:ptCount val="7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</c:numCache>
            </c:numRef>
          </c:xVal>
          <c:yVal>
            <c:numRef>
              <c:f>データ!$B$2:$B$72</c:f>
              <c:numCache>
                <c:formatCode>General</c:formatCode>
                <c:ptCount val="7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08-49D5-B45C-A7D162BB562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A08-49D5-B45C-A7D162BB5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550735"/>
        <c:axId val="122957089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データ!$A$2:$A$72</c:f>
              <c:numCache>
                <c:formatCode>m/d/yyyy\ h:mm</c:formatCode>
                <c:ptCount val="7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</c:numCache>
            </c:numRef>
          </c:xVal>
          <c:yVal>
            <c:numRef>
              <c:f>データ!$G$2:$G$72</c:f>
              <c:numCache>
                <c:formatCode>[h]:mm</c:formatCode>
                <c:ptCount val="7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08-49D5-B45C-A7D162BB5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562735"/>
        <c:axId val="1229553615"/>
      </c:scatterChart>
      <c:valAx>
        <c:axId val="122955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70895"/>
        <c:crosses val="autoZero"/>
        <c:crossBetween val="midCat"/>
      </c:valAx>
      <c:valAx>
        <c:axId val="122957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50735"/>
        <c:crosses val="autoZero"/>
        <c:crossBetween val="midCat"/>
      </c:valAx>
      <c:valAx>
        <c:axId val="122955361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62735"/>
        <c:crosses val="max"/>
        <c:crossBetween val="midCat"/>
      </c:valAx>
      <c:valAx>
        <c:axId val="122956273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2955361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D8BE4A19-6B61-3947-0D07-61034B9C1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N3" sqref="N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5</v>
      </c>
      <c r="B1" s="26">
        <v>5</v>
      </c>
      <c r="C1" s="26">
        <v>5</v>
      </c>
      <c r="D1" s="26">
        <v>1</v>
      </c>
      <c r="E1" s="26">
        <v>4</v>
      </c>
      <c r="F1" s="26">
        <v>5</v>
      </c>
      <c r="G1" s="26">
        <v>5</v>
      </c>
      <c r="H1" s="26">
        <v>5</v>
      </c>
      <c r="I1" s="26">
        <v>5</v>
      </c>
      <c r="J1" s="23">
        <v>2</v>
      </c>
      <c r="K1" s="23">
        <v>1</v>
      </c>
      <c r="L1" s="23">
        <v>4</v>
      </c>
      <c r="N1" s="2">
        <v>7864</v>
      </c>
      <c r="O1" s="1">
        <v>1</v>
      </c>
    </row>
    <row r="2" spans="1:15" ht="28.25" customHeight="1">
      <c r="A2" s="22">
        <v>1</v>
      </c>
      <c r="B2" s="23">
        <v>1</v>
      </c>
      <c r="C2" s="23">
        <v>7</v>
      </c>
      <c r="D2" s="23">
        <v>3</v>
      </c>
      <c r="E2" s="23">
        <v>7</v>
      </c>
      <c r="F2" s="23">
        <v>2</v>
      </c>
      <c r="G2" s="23">
        <v>5</v>
      </c>
      <c r="H2" s="23">
        <v>5</v>
      </c>
      <c r="I2" s="22">
        <v>1</v>
      </c>
      <c r="J2" s="26">
        <v>3</v>
      </c>
      <c r="K2" s="22">
        <v>5</v>
      </c>
      <c r="L2" s="22">
        <v>2</v>
      </c>
      <c r="N2" s="2">
        <v>96</v>
      </c>
      <c r="O2" s="1">
        <v>16</v>
      </c>
    </row>
    <row r="3" spans="1:15" ht="28.25" customHeight="1">
      <c r="A3" s="22">
        <v>8</v>
      </c>
      <c r="B3" s="26">
        <v>9</v>
      </c>
      <c r="C3" s="22">
        <v>7</v>
      </c>
      <c r="D3" s="26">
        <v>2</v>
      </c>
      <c r="E3" s="23">
        <v>9</v>
      </c>
      <c r="F3" s="23">
        <v>3</v>
      </c>
      <c r="G3" s="23">
        <v>7</v>
      </c>
      <c r="H3" s="23">
        <v>4</v>
      </c>
      <c r="I3" s="23">
        <v>1</v>
      </c>
      <c r="J3" s="26">
        <v>4</v>
      </c>
      <c r="K3" s="22">
        <v>8</v>
      </c>
      <c r="L3" s="26">
        <v>2</v>
      </c>
      <c r="N3" s="2">
        <v>18</v>
      </c>
      <c r="O3" s="1">
        <v>27</v>
      </c>
    </row>
    <row r="4" spans="1:15" ht="28.25" customHeight="1">
      <c r="A4" s="22">
        <v>2</v>
      </c>
      <c r="B4" s="22">
        <v>8</v>
      </c>
      <c r="C4" s="23">
        <v>9</v>
      </c>
      <c r="D4" s="23">
        <v>6</v>
      </c>
      <c r="E4" s="22">
        <v>9</v>
      </c>
      <c r="F4" s="22">
        <v>6</v>
      </c>
      <c r="G4" s="22">
        <v>9</v>
      </c>
      <c r="H4" s="22">
        <v>1</v>
      </c>
      <c r="I4" s="26">
        <v>3</v>
      </c>
      <c r="J4" s="22">
        <v>7</v>
      </c>
      <c r="K4" s="22">
        <v>2</v>
      </c>
      <c r="L4" s="26">
        <v>9</v>
      </c>
      <c r="N4" s="2">
        <v>21</v>
      </c>
      <c r="O4" s="1">
        <v>17</v>
      </c>
    </row>
    <row r="5" spans="1:15" ht="28.25" customHeight="1">
      <c r="A5" s="22">
        <v>1</v>
      </c>
      <c r="B5" s="22">
        <v>6</v>
      </c>
      <c r="C5" s="26">
        <v>3</v>
      </c>
      <c r="D5" s="22">
        <v>9</v>
      </c>
      <c r="E5" s="26">
        <v>5</v>
      </c>
      <c r="F5" s="22">
        <v>8</v>
      </c>
      <c r="G5" s="22">
        <v>9</v>
      </c>
      <c r="H5" s="26">
        <v>3</v>
      </c>
      <c r="I5" s="22">
        <v>8</v>
      </c>
      <c r="J5" s="22">
        <v>6</v>
      </c>
      <c r="K5" s="26">
        <v>5</v>
      </c>
      <c r="L5" s="22">
        <v>1</v>
      </c>
      <c r="N5" s="2">
        <v>59212</v>
      </c>
      <c r="O5" s="1">
        <v>1</v>
      </c>
    </row>
    <row r="6" spans="1:15" ht="28.25" customHeight="1">
      <c r="A6" s="23">
        <v>4</v>
      </c>
      <c r="B6" s="26">
        <v>3</v>
      </c>
      <c r="C6" s="22">
        <v>9</v>
      </c>
      <c r="D6" s="22">
        <v>6</v>
      </c>
      <c r="E6" s="23">
        <v>1</v>
      </c>
      <c r="F6" s="23">
        <v>7</v>
      </c>
      <c r="G6" s="23">
        <v>5</v>
      </c>
      <c r="H6" s="23">
        <v>9</v>
      </c>
      <c r="I6" s="23">
        <v>8</v>
      </c>
      <c r="J6" s="23">
        <v>1</v>
      </c>
      <c r="K6" s="23">
        <v>4</v>
      </c>
      <c r="L6" s="22">
        <v>8</v>
      </c>
      <c r="N6" s="2">
        <v>175981</v>
      </c>
      <c r="O6" s="1">
        <v>1</v>
      </c>
    </row>
    <row r="7" spans="1:15" ht="28.25" customHeight="1">
      <c r="A7" s="23">
        <v>4</v>
      </c>
      <c r="B7" s="23">
        <v>9</v>
      </c>
      <c r="C7" s="23">
        <v>7</v>
      </c>
      <c r="D7" s="23">
        <v>5</v>
      </c>
      <c r="E7" s="23">
        <v>7</v>
      </c>
      <c r="F7" s="22">
        <v>6</v>
      </c>
      <c r="G7" s="26">
        <v>4</v>
      </c>
      <c r="H7" s="26">
        <v>8</v>
      </c>
      <c r="I7" s="22">
        <v>5</v>
      </c>
      <c r="J7" s="23">
        <v>6</v>
      </c>
      <c r="K7" s="22">
        <v>8</v>
      </c>
      <c r="L7" s="22">
        <v>1</v>
      </c>
      <c r="N7" s="2">
        <v>14739</v>
      </c>
      <c r="O7" s="1">
        <v>1</v>
      </c>
    </row>
    <row r="8" spans="1:15" ht="28.25" customHeight="1">
      <c r="A8" s="23">
        <v>1</v>
      </c>
      <c r="B8" s="23">
        <v>2</v>
      </c>
      <c r="C8" s="23">
        <v>1</v>
      </c>
      <c r="D8" s="23">
        <v>2</v>
      </c>
      <c r="E8" s="23">
        <v>9</v>
      </c>
      <c r="F8" s="23">
        <v>5</v>
      </c>
      <c r="G8" s="22">
        <v>9</v>
      </c>
      <c r="H8" s="22">
        <v>7</v>
      </c>
      <c r="I8" s="23">
        <v>8</v>
      </c>
      <c r="J8" s="26">
        <v>5</v>
      </c>
      <c r="K8" s="23">
        <v>1</v>
      </c>
      <c r="L8" s="22">
        <v>8</v>
      </c>
      <c r="N8" s="2">
        <v>76</v>
      </c>
      <c r="O8" s="1">
        <v>10</v>
      </c>
    </row>
    <row r="9" spans="1:15" ht="28.25" customHeight="1">
      <c r="A9" s="23">
        <v>3</v>
      </c>
      <c r="B9" s="22">
        <v>9</v>
      </c>
      <c r="C9" s="22">
        <v>2</v>
      </c>
      <c r="D9" s="26">
        <v>3</v>
      </c>
      <c r="E9" s="23">
        <v>8</v>
      </c>
      <c r="F9" s="22">
        <v>1</v>
      </c>
      <c r="G9" s="22">
        <v>6</v>
      </c>
      <c r="H9" s="23">
        <v>7</v>
      </c>
      <c r="I9" s="22">
        <v>2</v>
      </c>
      <c r="J9" s="22">
        <v>1</v>
      </c>
      <c r="K9" s="22">
        <v>8</v>
      </c>
      <c r="L9" s="23">
        <v>2</v>
      </c>
      <c r="N9" s="2">
        <v>45714</v>
      </c>
      <c r="O9" s="1">
        <v>1</v>
      </c>
    </row>
    <row r="10" spans="1:15" ht="28.25" customHeight="1">
      <c r="A10" s="23">
        <v>9</v>
      </c>
      <c r="B10" s="26">
        <v>8</v>
      </c>
      <c r="C10" s="23">
        <v>6</v>
      </c>
      <c r="D10" s="23">
        <v>1</v>
      </c>
      <c r="E10" s="23">
        <v>2</v>
      </c>
      <c r="F10" s="23">
        <v>5</v>
      </c>
      <c r="G10" s="22">
        <v>8</v>
      </c>
      <c r="H10" s="22">
        <v>1</v>
      </c>
      <c r="I10" s="26">
        <v>7</v>
      </c>
      <c r="J10" s="22">
        <v>1</v>
      </c>
      <c r="K10" s="26">
        <v>4</v>
      </c>
      <c r="L10" s="26">
        <v>9</v>
      </c>
      <c r="N10" s="2">
        <v>7993144</v>
      </c>
      <c r="O10" s="1">
        <v>1</v>
      </c>
    </row>
    <row r="11" spans="1:15" ht="28.25" customHeight="1">
      <c r="A11" s="23">
        <v>9</v>
      </c>
      <c r="B11" s="26">
        <v>4</v>
      </c>
      <c r="C11" s="22">
        <v>2</v>
      </c>
      <c r="D11" s="26">
        <v>4</v>
      </c>
      <c r="E11" s="22">
        <v>4</v>
      </c>
      <c r="F11" s="22">
        <v>8</v>
      </c>
      <c r="G11" s="22">
        <v>1</v>
      </c>
      <c r="H11" s="23">
        <v>4</v>
      </c>
      <c r="I11" s="23">
        <v>5</v>
      </c>
      <c r="J11" s="23">
        <v>7</v>
      </c>
      <c r="K11" s="23">
        <v>1</v>
      </c>
      <c r="L11" s="23">
        <v>4</v>
      </c>
      <c r="N11" s="2">
        <v>285</v>
      </c>
      <c r="O11" s="1">
        <v>3</v>
      </c>
    </row>
    <row r="12" spans="1:15" ht="28.25" customHeight="1">
      <c r="A12" s="23">
        <v>7</v>
      </c>
      <c r="B12" s="26">
        <v>8</v>
      </c>
      <c r="C12" s="26">
        <v>5</v>
      </c>
      <c r="D12" s="26">
        <v>6</v>
      </c>
      <c r="E12" s="23">
        <v>6</v>
      </c>
      <c r="F12" s="23">
        <v>7</v>
      </c>
      <c r="G12" s="22">
        <v>8</v>
      </c>
      <c r="H12" s="23">
        <v>1</v>
      </c>
      <c r="I12" s="23">
        <v>8</v>
      </c>
      <c r="J12" s="26">
        <v>5</v>
      </c>
      <c r="K12" s="26">
        <v>1</v>
      </c>
      <c r="L12" s="26">
        <v>4</v>
      </c>
      <c r="N12" s="2">
        <v>214</v>
      </c>
      <c r="O12" s="1">
        <v>4</v>
      </c>
    </row>
    <row r="13" spans="1:15" ht="28.25" customHeight="1">
      <c r="N13" s="2">
        <v>612</v>
      </c>
      <c r="O13" s="1">
        <v>2</v>
      </c>
    </row>
    <row r="14" spans="1:15" ht="28.25" customHeight="1">
      <c r="N14" s="2">
        <v>9757</v>
      </c>
      <c r="O14" s="1">
        <v>1</v>
      </c>
    </row>
    <row r="15" spans="1:15" ht="28.25" customHeight="1">
      <c r="N15" s="2">
        <v>5527371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72"/>
  <sheetViews>
    <sheetView tabSelected="1" zoomScaleNormal="100" workbookViewId="0">
      <pane ySplit="1" topLeftCell="A64" activePane="bottomLeft" state="frozen"/>
      <selection pane="bottomLeft" activeCell="A72" sqref="A7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180</v>
      </c>
      <c r="L1" s="4" t="s">
        <v>163</v>
      </c>
      <c r="M1" s="4" t="s">
        <v>178</v>
      </c>
      <c r="N1" s="4" t="s">
        <v>179</v>
      </c>
      <c r="O1" s="4" t="s">
        <v>181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v>2</v>
      </c>
      <c r="N17">
        <f t="shared" ref="N17:N63" si="0">N16+M17*(INT(A17-6/24)-INT(A16-6/24))+O17</f>
        <v>2</v>
      </c>
      <c r="O17">
        <f>IF(A17&gt;DATEVALUE("2025/11/8"),1,0)-IF(A16&gt;DATEVALUE("2025/11/8"),1,0)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v>2</v>
      </c>
      <c r="N18">
        <f t="shared" si="0"/>
        <v>2</v>
      </c>
      <c r="O18">
        <f t="shared" ref="O18:O62" si="3">IF(A18&gt;DATEVALUE("2025/11/8"),1,0)-IF(A17&gt;DATEVALUE("2025/11/8"),1,0)</f>
        <v>0</v>
      </c>
      <c r="P18" t="str">
        <f t="shared" ref="P18:P58" si="4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v>2</v>
      </c>
      <c r="N19">
        <f t="shared" si="0"/>
        <v>4</v>
      </c>
      <c r="O19">
        <f t="shared" si="3"/>
        <v>0</v>
      </c>
      <c r="P19" t="str">
        <f t="shared" si="4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v>2</v>
      </c>
      <c r="N20">
        <f t="shared" si="0"/>
        <v>4</v>
      </c>
      <c r="O20">
        <f t="shared" si="3"/>
        <v>0</v>
      </c>
      <c r="P20" t="str">
        <f t="shared" si="4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v>2</v>
      </c>
      <c r="N21">
        <f t="shared" si="0"/>
        <v>6</v>
      </c>
      <c r="O21">
        <f t="shared" si="3"/>
        <v>0</v>
      </c>
      <c r="P21" t="str">
        <f t="shared" si="4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v>2</v>
      </c>
      <c r="N22">
        <f t="shared" si="0"/>
        <v>6</v>
      </c>
      <c r="O22">
        <f t="shared" si="3"/>
        <v>0</v>
      </c>
      <c r="P22" t="str">
        <f t="shared" si="4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v>2</v>
      </c>
      <c r="N23">
        <f t="shared" si="0"/>
        <v>8</v>
      </c>
      <c r="O23">
        <f t="shared" si="3"/>
        <v>0</v>
      </c>
      <c r="P23" t="str">
        <f t="shared" si="4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v>2</v>
      </c>
      <c r="N24">
        <f t="shared" si="0"/>
        <v>8</v>
      </c>
      <c r="O24">
        <f t="shared" si="3"/>
        <v>0</v>
      </c>
      <c r="P24" t="str">
        <f t="shared" si="4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v>2</v>
      </c>
      <c r="N25">
        <f t="shared" si="0"/>
        <v>10</v>
      </c>
      <c r="O25">
        <f t="shared" si="3"/>
        <v>0</v>
      </c>
      <c r="P25" t="str">
        <f t="shared" si="4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v>2</v>
      </c>
      <c r="N26">
        <f t="shared" si="0"/>
        <v>10</v>
      </c>
      <c r="O26">
        <f t="shared" si="3"/>
        <v>0</v>
      </c>
      <c r="P26" t="str">
        <f t="shared" si="4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v>2</v>
      </c>
      <c r="N27">
        <f t="shared" si="0"/>
        <v>13</v>
      </c>
      <c r="O27">
        <f t="shared" si="3"/>
        <v>1</v>
      </c>
      <c r="P27" t="str">
        <f t="shared" si="4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v>2</v>
      </c>
      <c r="N28">
        <f t="shared" si="0"/>
        <v>13</v>
      </c>
      <c r="O28">
        <f t="shared" si="3"/>
        <v>0</v>
      </c>
      <c r="P28" t="str">
        <f t="shared" si="4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v>2</v>
      </c>
      <c r="N29">
        <f t="shared" si="0"/>
        <v>13</v>
      </c>
      <c r="O29">
        <f t="shared" si="3"/>
        <v>0</v>
      </c>
      <c r="P29" t="str">
        <f t="shared" si="4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v>2</v>
      </c>
      <c r="N30">
        <f t="shared" si="0"/>
        <v>15</v>
      </c>
      <c r="O30">
        <f t="shared" si="3"/>
        <v>0</v>
      </c>
      <c r="P30" t="str">
        <f t="shared" si="4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v>2</v>
      </c>
      <c r="N31">
        <f t="shared" si="0"/>
        <v>15</v>
      </c>
      <c r="O31">
        <f t="shared" si="3"/>
        <v>0</v>
      </c>
      <c r="P31" t="str">
        <f t="shared" si="4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v>2</v>
      </c>
      <c r="N32">
        <f t="shared" si="0"/>
        <v>17</v>
      </c>
      <c r="O32">
        <f t="shared" si="3"/>
        <v>0</v>
      </c>
      <c r="P32" t="str">
        <f t="shared" si="4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v>2</v>
      </c>
      <c r="N33">
        <f t="shared" si="0"/>
        <v>17</v>
      </c>
      <c r="O33">
        <f t="shared" si="3"/>
        <v>0</v>
      </c>
      <c r="P33" t="str">
        <f t="shared" si="4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v>2</v>
      </c>
      <c r="N34">
        <f t="shared" si="0"/>
        <v>19</v>
      </c>
      <c r="O34">
        <f t="shared" si="3"/>
        <v>0</v>
      </c>
      <c r="P34" t="str">
        <f t="shared" si="4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v>2</v>
      </c>
      <c r="N35">
        <f t="shared" si="0"/>
        <v>19</v>
      </c>
      <c r="O35">
        <f t="shared" si="3"/>
        <v>0</v>
      </c>
      <c r="P35" t="str">
        <f t="shared" si="4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v>2</v>
      </c>
      <c r="N36">
        <f t="shared" si="0"/>
        <v>21</v>
      </c>
      <c r="O36">
        <f t="shared" si="3"/>
        <v>0</v>
      </c>
      <c r="P36" t="str">
        <f t="shared" si="4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v>2</v>
      </c>
      <c r="N37">
        <f t="shared" si="0"/>
        <v>21</v>
      </c>
      <c r="O37">
        <f t="shared" si="3"/>
        <v>0</v>
      </c>
      <c r="P37" t="str">
        <f t="shared" si="4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v>2</v>
      </c>
      <c r="N38">
        <f t="shared" si="0"/>
        <v>25</v>
      </c>
      <c r="O38">
        <f t="shared" si="3"/>
        <v>0</v>
      </c>
      <c r="P38" t="str">
        <f t="shared" si="4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v>2</v>
      </c>
      <c r="N39">
        <f t="shared" si="0"/>
        <v>25</v>
      </c>
      <c r="O39">
        <f t="shared" si="3"/>
        <v>0</v>
      </c>
      <c r="P39" t="str">
        <f t="shared" si="4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v>2</v>
      </c>
      <c r="N40">
        <f t="shared" si="0"/>
        <v>27</v>
      </c>
      <c r="O40">
        <f t="shared" si="3"/>
        <v>0</v>
      </c>
      <c r="P40" t="str">
        <f t="shared" si="4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v>2</v>
      </c>
      <c r="N41">
        <f t="shared" si="0"/>
        <v>27</v>
      </c>
      <c r="O41">
        <f t="shared" si="3"/>
        <v>0</v>
      </c>
      <c r="P41" t="str">
        <f t="shared" si="4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v>2</v>
      </c>
      <c r="N42">
        <f t="shared" si="0"/>
        <v>29</v>
      </c>
      <c r="O42">
        <f t="shared" si="3"/>
        <v>0</v>
      </c>
      <c r="P42" t="str">
        <f t="shared" si="4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v>2</v>
      </c>
      <c r="N43">
        <f t="shared" si="0"/>
        <v>29</v>
      </c>
      <c r="O43">
        <f t="shared" si="3"/>
        <v>0</v>
      </c>
      <c r="P43" t="str">
        <f t="shared" si="4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v>2</v>
      </c>
      <c r="N44">
        <f t="shared" si="0"/>
        <v>29</v>
      </c>
      <c r="O44">
        <f t="shared" si="3"/>
        <v>0</v>
      </c>
      <c r="P44" t="str">
        <f t="shared" si="4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v>2</v>
      </c>
      <c r="N45">
        <f t="shared" si="0"/>
        <v>29</v>
      </c>
      <c r="O45">
        <f t="shared" si="3"/>
        <v>0</v>
      </c>
      <c r="P45" t="str">
        <f t="shared" si="4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v>2</v>
      </c>
      <c r="N46">
        <f t="shared" si="0"/>
        <v>29</v>
      </c>
      <c r="O46">
        <f t="shared" si="3"/>
        <v>0</v>
      </c>
      <c r="P46" t="str">
        <f t="shared" si="4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v>2</v>
      </c>
      <c r="N47">
        <f t="shared" si="0"/>
        <v>29</v>
      </c>
      <c r="O47">
        <f t="shared" si="3"/>
        <v>0</v>
      </c>
      <c r="P47" t="str">
        <f t="shared" si="4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v>2</v>
      </c>
      <c r="N48">
        <f t="shared" si="0"/>
        <v>31</v>
      </c>
      <c r="O48">
        <f t="shared" si="3"/>
        <v>0</v>
      </c>
      <c r="P48" t="str">
        <f t="shared" si="4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v>2</v>
      </c>
      <c r="N49">
        <f t="shared" si="0"/>
        <v>31</v>
      </c>
      <c r="O49">
        <f t="shared" si="3"/>
        <v>0</v>
      </c>
      <c r="P49" t="str">
        <f t="shared" si="4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v>2</v>
      </c>
      <c r="N50">
        <f t="shared" si="0"/>
        <v>31</v>
      </c>
      <c r="O50">
        <f t="shared" si="3"/>
        <v>0</v>
      </c>
      <c r="P50" t="str">
        <f t="shared" si="4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v>2</v>
      </c>
      <c r="N51">
        <f t="shared" si="0"/>
        <v>31</v>
      </c>
      <c r="O51">
        <f t="shared" si="3"/>
        <v>0</v>
      </c>
      <c r="P51" t="str">
        <f t="shared" si="4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v>2</v>
      </c>
      <c r="N52">
        <f t="shared" si="0"/>
        <v>35</v>
      </c>
      <c r="O52">
        <f t="shared" si="3"/>
        <v>0</v>
      </c>
      <c r="P52" t="str">
        <f t="shared" si="4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v>2</v>
      </c>
      <c r="N53">
        <f t="shared" si="0"/>
        <v>35</v>
      </c>
      <c r="O53">
        <f t="shared" si="3"/>
        <v>0</v>
      </c>
      <c r="P53" t="str">
        <f t="shared" si="4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v>2</v>
      </c>
      <c r="N54">
        <f t="shared" si="0"/>
        <v>37</v>
      </c>
      <c r="O54">
        <f t="shared" si="3"/>
        <v>0</v>
      </c>
      <c r="P54" t="str">
        <f t="shared" si="4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v>2</v>
      </c>
      <c r="N55">
        <f t="shared" si="0"/>
        <v>37</v>
      </c>
      <c r="O55">
        <f t="shared" si="3"/>
        <v>0</v>
      </c>
      <c r="P55" t="str">
        <f t="shared" si="4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v>2</v>
      </c>
      <c r="N56">
        <f t="shared" si="0"/>
        <v>39</v>
      </c>
      <c r="O56">
        <f t="shared" si="3"/>
        <v>0</v>
      </c>
      <c r="P56" t="str">
        <f t="shared" si="4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v>2</v>
      </c>
      <c r="N57">
        <f t="shared" si="0"/>
        <v>41</v>
      </c>
      <c r="O57">
        <f t="shared" si="3"/>
        <v>0</v>
      </c>
      <c r="P57" t="str">
        <f t="shared" si="4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v>2</v>
      </c>
      <c r="N58">
        <f t="shared" si="0"/>
        <v>41</v>
      </c>
      <c r="O58">
        <f t="shared" si="3"/>
        <v>0</v>
      </c>
      <c r="P58" t="str">
        <f t="shared" si="4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5">L58+K59</f>
        <v>42</v>
      </c>
      <c r="M59">
        <v>2</v>
      </c>
      <c r="N59">
        <f t="shared" si="0"/>
        <v>45</v>
      </c>
      <c r="O59">
        <f t="shared" si="3"/>
        <v>0</v>
      </c>
      <c r="P59" t="str">
        <f t="shared" ref="P59" si="6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7">L59+K60</f>
        <v>42</v>
      </c>
      <c r="M60">
        <v>2</v>
      </c>
      <c r="N60">
        <f t="shared" si="0"/>
        <v>45</v>
      </c>
      <c r="O60">
        <f t="shared" si="3"/>
        <v>0</v>
      </c>
      <c r="P60" t="str">
        <f t="shared" ref="P60" si="8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9">L60+K61</f>
        <v>42</v>
      </c>
      <c r="M61">
        <v>2</v>
      </c>
      <c r="N61">
        <f t="shared" si="0"/>
        <v>45</v>
      </c>
      <c r="O61">
        <f t="shared" si="3"/>
        <v>0</v>
      </c>
      <c r="P61" t="str">
        <f t="shared" ref="P61" si="10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1">L61+K62</f>
        <v>43</v>
      </c>
      <c r="M62">
        <v>2</v>
      </c>
      <c r="N62">
        <f t="shared" si="0"/>
        <v>45</v>
      </c>
      <c r="O62">
        <f t="shared" si="3"/>
        <v>0</v>
      </c>
      <c r="P62" t="str">
        <f t="shared" ref="P62" si="12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182</v>
      </c>
      <c r="I63" t="s">
        <v>183</v>
      </c>
      <c r="J63">
        <v>0</v>
      </c>
      <c r="K63">
        <f t="shared" ref="K63" si="13">IF(A63&lt;DATEVALUE("2025/11/20"),1,IF(B63-SUM(D63:F63)&lt;&gt;60,0,MAX(2-INT(G63*24*60/10),0)))</f>
        <v>2</v>
      </c>
      <c r="L63">
        <f t="shared" ref="L63" si="14">L62+K63</f>
        <v>45</v>
      </c>
      <c r="M63">
        <v>2</v>
      </c>
      <c r="N63">
        <f t="shared" si="0"/>
        <v>45</v>
      </c>
      <c r="O63">
        <f t="shared" ref="O63" si="15">IF(A63&gt;DATEVALUE("2025/11/8"),1,0)-IF(A62&gt;DATEVALUE("2025/11/8"),1,0)</f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184</v>
      </c>
      <c r="I64" t="s">
        <v>185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v>2</v>
      </c>
      <c r="N64">
        <f t="shared" ref="N64" si="19">N63+M64*(INT(A64-6/24)-INT(A63-6/24))+O64</f>
        <v>47</v>
      </c>
      <c r="O64">
        <f t="shared" ref="O64" si="20">IF(A64&gt;DATEVALUE("2025/11/8"),1,0)-IF(A63&gt;DATEVALUE("2025/11/8"),1,0)</f>
        <v>0</v>
      </c>
      <c r="P64" t="str">
        <f t="shared" ref="P64" si="21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186</v>
      </c>
      <c r="I65" t="s">
        <v>187</v>
      </c>
      <c r="J65">
        <v>0</v>
      </c>
      <c r="K65">
        <f t="shared" ref="K65" si="22">IF(A65&lt;DATEVALUE("2025/11/20"),1,IF(B65-SUM(D65:F65)&lt;&gt;60,0,MAX(2-INT(G65*24*60/10),0)))</f>
        <v>0</v>
      </c>
      <c r="L65">
        <f t="shared" ref="L65" si="23">L64+K65</f>
        <v>47</v>
      </c>
      <c r="M65">
        <v>2</v>
      </c>
      <c r="N65">
        <f t="shared" ref="N65" si="24">N64+M65*(INT(A65-6/24)-INT(A64-6/24))+O65</f>
        <v>49</v>
      </c>
      <c r="O65">
        <f t="shared" ref="O65" si="25">IF(A65&gt;DATEVALUE("2025/11/8"),1,0)-IF(A64&gt;DATEVALUE("2025/11/8"),1,0)</f>
        <v>0</v>
      </c>
      <c r="P65" t="str">
        <f t="shared" ref="P65" si="26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188</v>
      </c>
      <c r="I66" t="s">
        <v>189</v>
      </c>
      <c r="J66">
        <v>0</v>
      </c>
      <c r="K66">
        <f t="shared" ref="K66" si="27">IF(A66&lt;DATEVALUE("2025/11/20"),1,IF(B66-SUM(D66:F66)&lt;&gt;60,0,MAX(2-INT(G66*24*60/10),0)))</f>
        <v>2</v>
      </c>
      <c r="L66">
        <f t="shared" ref="L66" si="28">L65+K66</f>
        <v>49</v>
      </c>
      <c r="M66">
        <v>2</v>
      </c>
      <c r="N66">
        <f t="shared" ref="N66" si="29">N65+M66*(INT(A66-6/24)-INT(A65-6/24))+O66</f>
        <v>49</v>
      </c>
      <c r="O66">
        <f t="shared" ref="O66" si="30">IF(A66&gt;DATEVALUE("2025/11/8"),1,0)-IF(A65&gt;DATEVALUE("2025/11/8"),1,0)</f>
        <v>0</v>
      </c>
      <c r="P66" t="str">
        <f t="shared" ref="P66" si="31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190</v>
      </c>
      <c r="I67" t="s">
        <v>191</v>
      </c>
      <c r="J67">
        <v>0</v>
      </c>
      <c r="K67">
        <f t="shared" ref="K67" si="32">IF(A67&lt;DATEVALUE("2025/11/20"),1,IF(B67-SUM(D67:F67)&lt;&gt;60,0,MAX(2-INT(G67*24*60/10),0)))</f>
        <v>1</v>
      </c>
      <c r="L67">
        <f t="shared" ref="L67" si="33">L66+K67</f>
        <v>50</v>
      </c>
      <c r="M67">
        <v>2</v>
      </c>
      <c r="N67">
        <f t="shared" ref="N67" si="34">N66+M67*(INT(A67-6/24)-INT(A66-6/24))+O67</f>
        <v>51</v>
      </c>
      <c r="O67">
        <f t="shared" ref="O67" si="35">IF(A67&gt;DATEVALUE("2025/11/8"),1,0)-IF(A66&gt;DATEVALUE("2025/11/8"),1,0)</f>
        <v>0</v>
      </c>
      <c r="P67" t="str">
        <f t="shared" ref="P67" si="36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192</v>
      </c>
      <c r="I68" t="s">
        <v>193</v>
      </c>
      <c r="J68">
        <v>0</v>
      </c>
      <c r="K68">
        <f t="shared" ref="K68" si="37">IF(A68&lt;DATEVALUE("2025/11/20"),1,IF(B68-SUM(D68:F68)&lt;&gt;60,0,MAX(2-INT(G68*24*60/10),0)))</f>
        <v>0</v>
      </c>
      <c r="L68">
        <f t="shared" ref="L68" si="38">L67+K68</f>
        <v>50</v>
      </c>
      <c r="M68">
        <v>2</v>
      </c>
      <c r="N68">
        <f t="shared" ref="N68" si="39">N67+M68*(INT(A68-6/24)-INT(A67-6/24))+O68</f>
        <v>51</v>
      </c>
      <c r="O68">
        <f t="shared" ref="O68" si="40">IF(A68&gt;DATEVALUE("2025/11/8"),1,0)-IF(A67&gt;DATEVALUE("2025/11/8"),1,0)</f>
        <v>0</v>
      </c>
      <c r="P68" t="str">
        <f t="shared" ref="P68" si="41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194</v>
      </c>
      <c r="I69" t="s">
        <v>195</v>
      </c>
      <c r="J69">
        <v>0</v>
      </c>
      <c r="K69">
        <f t="shared" ref="K69" si="42">IF(A69&lt;DATEVALUE("2025/11/20"),1,IF(B69-SUM(D69:F69)&lt;&gt;60,0,MAX(2-INT(G69*24*60/10),0)))</f>
        <v>1</v>
      </c>
      <c r="L69">
        <f t="shared" ref="L69" si="43">L68+K69</f>
        <v>51</v>
      </c>
      <c r="M69">
        <v>2</v>
      </c>
      <c r="N69">
        <f t="shared" ref="N69" si="44">N68+M69*(INT(A69-6/24)-INT(A68-6/24))+O69</f>
        <v>51</v>
      </c>
      <c r="O69">
        <f t="shared" ref="O69" si="45">IF(A69&gt;DATEVALUE("2025/11/8"),1,0)-IF(A68&gt;DATEVALUE("2025/11/8"),1,0)</f>
        <v>0</v>
      </c>
      <c r="P69" t="str">
        <f t="shared" ref="P69" si="46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196</v>
      </c>
      <c r="I70" t="s">
        <v>197</v>
      </c>
      <c r="J70">
        <v>0</v>
      </c>
      <c r="K70">
        <f t="shared" ref="K70" si="47">IF(A70&lt;DATEVALUE("2025/11/20"),1,IF(B70-SUM(D70:F70)&lt;&gt;60,0,MAX(2-INT(G70*24*60/10),0)))</f>
        <v>0</v>
      </c>
      <c r="L70">
        <f t="shared" ref="L70" si="48">L69+K70</f>
        <v>51</v>
      </c>
      <c r="M70">
        <v>2</v>
      </c>
      <c r="N70">
        <f t="shared" ref="N70" si="49">N69+M70*(INT(A70-6/24)-INT(A69-6/24))+O70</f>
        <v>53</v>
      </c>
      <c r="O70">
        <f t="shared" ref="O70" si="50">IF(A70&gt;DATEVALUE("2025/11/8"),1,0)-IF(A69&gt;DATEVALUE("2025/11/8"),1,0)</f>
        <v>0</v>
      </c>
      <c r="P70" t="str">
        <f t="shared" ref="P70" si="51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198</v>
      </c>
      <c r="I71" t="s">
        <v>199</v>
      </c>
      <c r="J71">
        <v>0</v>
      </c>
      <c r="K71">
        <f t="shared" ref="K71" si="52">IF(A71&lt;DATEVALUE("2025/11/20"),1,IF(B71-SUM(D71:F71)&lt;&gt;60,0,MAX(2-INT(G71*24*60/10),0)))</f>
        <v>1</v>
      </c>
      <c r="L71">
        <f t="shared" ref="L71" si="53">L70+K71</f>
        <v>52</v>
      </c>
      <c r="M71">
        <v>2</v>
      </c>
      <c r="N71">
        <f t="shared" ref="N71" si="54">N70+M71*(INT(A71-6/24)-INT(A70-6/24))+O71</f>
        <v>53</v>
      </c>
      <c r="O71">
        <f t="shared" ref="O71" si="55">IF(A71&gt;DATEVALUE("2025/11/8"),1,0)-IF(A70&gt;DATEVALUE("2025/11/8"),1,0)</f>
        <v>0</v>
      </c>
      <c r="P71" t="str">
        <f t="shared" ref="P71" si="56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200</v>
      </c>
      <c r="I72" t="s">
        <v>201</v>
      </c>
      <c r="J72">
        <v>0</v>
      </c>
      <c r="K72">
        <f t="shared" ref="K72" si="57">IF(A72&lt;DATEVALUE("2025/11/20"),1,IF(B72-SUM(D72:F72)&lt;&gt;60,0,MAX(2-INT(G72*24*60/10),0)))</f>
        <v>1</v>
      </c>
      <c r="L72">
        <f t="shared" ref="L72" si="58">L71+K72</f>
        <v>53</v>
      </c>
      <c r="M72">
        <v>2</v>
      </c>
      <c r="N72">
        <f t="shared" ref="N72" si="59">N71+M72*(INT(A72-6/24)-INT(A71-6/24))+O72</f>
        <v>53</v>
      </c>
      <c r="O72">
        <f t="shared" ref="O72" si="60">IF(A72&gt;DATEVALUE("2025/11/8"),1,0)-IF(A71&gt;DATEVALUE("2025/11/8"),1,0)</f>
        <v>0</v>
      </c>
      <c r="P72" t="str">
        <f t="shared" ref="P72" si="61">IF(L72&lt;N72,"未達成（"&amp;N72-L72&amp;"）",IF(L72=N72,"達成","前倒し（"&amp;L72-N72&amp;"）"))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45989.300532407404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2025-11-27T22:26:09Z</dcterms:modified>
</cp:coreProperties>
</file>
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C8E40802-9F71-4214-B73C-2B879C596E1F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6" i="4" l="1"/>
  <c r="M96" i="4"/>
  <c r="N96" i="4" s="1"/>
  <c r="K96" i="4"/>
  <c r="L96" i="4" s="1"/>
  <c r="P96" i="4" s="1"/>
  <c r="O95" i="4"/>
  <c r="M95" i="4"/>
  <c r="N95" i="4" s="1"/>
  <c r="K95" i="4"/>
  <c r="L95" i="4" s="1"/>
  <c r="P95" i="4" s="1"/>
  <c r="P94" i="4"/>
  <c r="O94" i="4"/>
  <c r="N94" i="4"/>
  <c r="M94" i="4"/>
  <c r="L94" i="4"/>
  <c r="K94" i="4"/>
  <c r="O93" i="4"/>
  <c r="M93" i="4"/>
  <c r="N93" i="4" s="1"/>
  <c r="K93" i="4"/>
  <c r="L93" i="4" s="1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0" i="4"/>
  <c r="M80" i="4"/>
  <c r="K80" i="4"/>
  <c r="O81" i="4"/>
  <c r="M81" i="4"/>
  <c r="K81" i="4"/>
  <c r="O79" i="4"/>
  <c r="M79" i="4"/>
  <c r="K79" i="4"/>
  <c r="O78" i="4"/>
  <c r="M78" i="4"/>
  <c r="K78" i="4"/>
  <c r="O77" i="4"/>
  <c r="M77" i="4"/>
  <c r="K77" i="4"/>
  <c r="O76" i="4"/>
  <c r="M76" i="4"/>
  <c r="K76" i="4"/>
  <c r="M75" i="4"/>
  <c r="M74" i="4"/>
  <c r="M73" i="4"/>
  <c r="M72" i="4"/>
  <c r="M71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K75" i="4"/>
  <c r="K74" i="4"/>
  <c r="K73" i="4"/>
  <c r="P93" i="4" l="1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L17" i="4" s="1"/>
  <c r="N17" i="4"/>
  <c r="L18" i="4" l="1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l="1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56" i="4" l="1"/>
  <c r="T2" i="5"/>
  <c r="T3" i="5"/>
  <c r="T4" i="3"/>
  <c r="S5" i="3"/>
  <c r="L57" i="4" l="1"/>
  <c r="T4" i="5"/>
  <c r="S6" i="3"/>
  <c r="T6" i="3" s="1"/>
  <c r="T5" i="3"/>
  <c r="L58" i="4" l="1"/>
  <c r="T6" i="5"/>
  <c r="T5" i="5"/>
  <c r="L59" i="4" l="1"/>
  <c r="L60" i="4" l="1"/>
  <c r="L61" i="4" l="1"/>
  <c r="L62" i="4" s="1"/>
  <c r="L63" i="4" s="1"/>
  <c r="L64" i="4" s="1"/>
  <c r="L65" i="4" s="1"/>
  <c r="L66" i="4" s="1"/>
  <c r="L67" i="4" s="1"/>
  <c r="L68" i="4" s="1"/>
  <c r="L69" i="4" s="1"/>
  <c r="L70" i="4" s="1"/>
  <c r="L71" i="4" s="1"/>
  <c r="L72" i="4" s="1"/>
  <c r="L73" i="4" s="1"/>
  <c r="L74" i="4" s="1"/>
  <c r="L75" i="4" s="1"/>
  <c r="L76" i="4" s="1"/>
  <c r="L77" i="4" l="1"/>
  <c r="P17" i="4"/>
  <c r="N18" i="4"/>
  <c r="L78" i="4" l="1"/>
  <c r="N19" i="4"/>
  <c r="P18" i="4"/>
  <c r="L79" i="4" l="1"/>
  <c r="N20" i="4"/>
  <c r="P19" i="4"/>
  <c r="L80" i="4" l="1"/>
  <c r="N21" i="4"/>
  <c r="P20" i="4"/>
  <c r="L81" i="4" l="1"/>
  <c r="N22" i="4"/>
  <c r="P21" i="4"/>
  <c r="L82" i="4" l="1"/>
  <c r="N23" i="4"/>
  <c r="P22" i="4"/>
  <c r="L83" i="4" l="1"/>
  <c r="N24" i="4"/>
  <c r="P23" i="4"/>
  <c r="L84" i="4" l="1"/>
  <c r="N25" i="4"/>
  <c r="P24" i="4"/>
  <c r="L85" i="4" l="1"/>
  <c r="N26" i="4"/>
  <c r="P25" i="4"/>
  <c r="L86" i="4" l="1"/>
  <c r="N27" i="4"/>
  <c r="P26" i="4"/>
  <c r="L87" i="4" l="1"/>
  <c r="N28" i="4"/>
  <c r="P27" i="4"/>
  <c r="L88" i="4" l="1"/>
  <c r="N29" i="4"/>
  <c r="P28" i="4"/>
  <c r="L89" i="4" l="1"/>
  <c r="N30" i="4"/>
  <c r="P29" i="4"/>
  <c r="L90" i="4" l="1"/>
  <c r="N31" i="4"/>
  <c r="P30" i="4"/>
  <c r="L91" i="4" l="1"/>
  <c r="N32" i="4"/>
  <c r="P31" i="4"/>
  <c r="L92" i="4" l="1"/>
  <c r="N33" i="4"/>
  <c r="P32" i="4"/>
  <c r="N34" i="4" l="1"/>
  <c r="P33" i="4"/>
  <c r="N35" i="4" l="1"/>
  <c r="P34" i="4"/>
  <c r="N36" i="4" l="1"/>
  <c r="P35" i="4"/>
  <c r="N37" i="4" l="1"/>
  <c r="P36" i="4"/>
  <c r="N38" i="4" l="1"/>
  <c r="P37" i="4"/>
  <c r="N39" i="4" l="1"/>
  <c r="P38" i="4"/>
  <c r="N40" i="4" l="1"/>
  <c r="P39" i="4"/>
  <c r="N41" i="4" l="1"/>
  <c r="P40" i="4"/>
  <c r="N42" i="4" l="1"/>
  <c r="P41" i="4"/>
  <c r="N43" i="4" l="1"/>
  <c r="P42" i="4"/>
  <c r="N44" i="4" l="1"/>
  <c r="P43" i="4"/>
  <c r="N45" i="4" l="1"/>
  <c r="P44" i="4"/>
  <c r="N46" i="4" l="1"/>
  <c r="P45" i="4"/>
  <c r="N47" i="4" l="1"/>
  <c r="P46" i="4"/>
  <c r="N48" i="4" l="1"/>
  <c r="P47" i="4"/>
  <c r="N49" i="4" l="1"/>
  <c r="P48" i="4"/>
  <c r="N50" i="4" l="1"/>
  <c r="P49" i="4"/>
  <c r="N51" i="4" l="1"/>
  <c r="P50" i="4"/>
  <c r="N52" i="4" l="1"/>
  <c r="P51" i="4"/>
  <c r="N53" i="4" l="1"/>
  <c r="P52" i="4"/>
  <c r="N54" i="4" l="1"/>
  <c r="P53" i="4"/>
  <c r="N55" i="4" l="1"/>
  <c r="P54" i="4"/>
  <c r="N56" i="4" l="1"/>
  <c r="P55" i="4"/>
  <c r="N57" i="4" l="1"/>
  <c r="P56" i="4"/>
  <c r="N58" i="4" l="1"/>
  <c r="P57" i="4"/>
  <c r="N59" i="4" l="1"/>
  <c r="P58" i="4"/>
  <c r="N60" i="4" l="1"/>
  <c r="P59" i="4"/>
  <c r="N61" i="4" l="1"/>
  <c r="N62" i="4" s="1"/>
  <c r="P60" i="4"/>
  <c r="P62" i="4" l="1"/>
  <c r="N63" i="4"/>
  <c r="P61" i="4"/>
  <c r="P63" i="4" l="1"/>
  <c r="N64" i="4"/>
  <c r="N65" i="4" l="1"/>
  <c r="P64" i="4"/>
  <c r="N66" i="4" l="1"/>
  <c r="P65" i="4"/>
  <c r="P66" i="4" l="1"/>
  <c r="N67" i="4"/>
  <c r="P67" i="4" l="1"/>
  <c r="N68" i="4"/>
  <c r="N69" i="4" l="1"/>
  <c r="P68" i="4"/>
  <c r="P69" i="4" l="1"/>
  <c r="N70" i="4"/>
  <c r="P70" i="4" l="1"/>
  <c r="N71" i="4"/>
  <c r="N72" i="4" l="1"/>
  <c r="P71" i="4"/>
  <c r="N73" i="4" l="1"/>
  <c r="P72" i="4"/>
  <c r="N74" i="4" l="1"/>
  <c r="P73" i="4"/>
  <c r="P74" i="4" l="1"/>
  <c r="N75" i="4"/>
  <c r="P75" i="4" l="1"/>
  <c r="N76" i="4"/>
  <c r="N77" i="4" l="1"/>
  <c r="P76" i="4"/>
  <c r="N78" i="4" l="1"/>
  <c r="P77" i="4"/>
  <c r="N79" i="4" l="1"/>
  <c r="P78" i="4"/>
  <c r="N80" i="4" l="1"/>
  <c r="P79" i="4"/>
  <c r="N81" i="4" l="1"/>
  <c r="P80" i="4"/>
  <c r="N82" i="4" l="1"/>
  <c r="P81" i="4"/>
  <c r="N83" i="4" l="1"/>
  <c r="P82" i="4"/>
  <c r="N84" i="4" l="1"/>
  <c r="P83" i="4"/>
  <c r="N85" i="4" l="1"/>
  <c r="P84" i="4"/>
  <c r="N86" i="4" l="1"/>
  <c r="P85" i="4"/>
  <c r="N87" i="4" l="1"/>
  <c r="P86" i="4"/>
  <c r="N88" i="4" l="1"/>
  <c r="P87" i="4"/>
  <c r="N89" i="4" l="1"/>
  <c r="P88" i="4"/>
  <c r="N90" i="4" l="1"/>
  <c r="P89" i="4"/>
  <c r="N91" i="4" l="1"/>
  <c r="P90" i="4"/>
  <c r="N92" i="4" l="1"/>
  <c r="P91" i="4"/>
  <c r="P92" i="4" l="1"/>
</calcChain>
</file>

<file path=xl/sharedStrings.xml><?xml version="1.0" encoding="utf-8"?>
<sst xmlns="http://schemas.openxmlformats.org/spreadsheetml/2006/main" count="269" uniqueCount="250">
  <si>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</si>
  <si>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</si>
  <si>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</si>
  <si>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</si>
  <si>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</si>
  <si>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</si>
  <si>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</si>
  <si>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</si>
  <si>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</si>
  <si>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</si>
  <si>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</si>
  <si>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</si>
  <si>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</si>
  <si>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</si>
  <si>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</si>
  <si>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</si>
  <si>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</si>
  <si>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</si>
  <si>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</si>
  <si>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</si>
  <si>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</si>
  <si>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</si>
  <si>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</si>
  <si>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</si>
  <si>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</si>
  <si>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</si>
  <si>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</si>
  <si>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</si>
  <si>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</si>
  <si>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</si>
  <si>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</si>
  <si>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</si>
  <si>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</si>
  <si>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</si>
  <si>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</si>
  <si>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</si>
  <si>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</si>
  <si>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</si>
  <si>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</si>
  <si>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</si>
  <si>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</si>
  <si>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</si>
  <si>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</si>
  <si>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</si>
  <si>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</si>
  <si>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</si>
  <si>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</si>
  <si>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</si>
  <si>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</si>
  <si>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</si>
  <si>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</si>
  <si>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</si>
  <si>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</si>
  <si>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</si>
  <si>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</si>
  <si>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</si>
  <si>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</si>
  <si>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</si>
  <si>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</si>
  <si>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</si>
  <si>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</si>
  <si>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</si>
  <si>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</si>
  <si>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</si>
  <si>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</si>
  <si>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</si>
  <si>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</si>
  <si>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</si>
  <si>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</si>
  <si>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</si>
  <si>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</si>
  <si>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</si>
  <si>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</si>
  <si>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</si>
  <si>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</si>
  <si>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</si>
  <si>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</si>
  <si>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</si>
  <si>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</si>
  <si>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</si>
  <si>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</si>
  <si>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</si>
  <si>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</si>
  <si>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</si>
  <si>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</si>
  <si>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</si>
  <si>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</si>
  <si>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</si>
  <si>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</si>
  <si>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</si>
  <si>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</si>
  <si>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</si>
  <si>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</si>
  <si>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</si>
  <si>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</si>
  <si>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</si>
  <si>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</si>
  <si>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</si>
  <si>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</si>
  <si>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</si>
  <si>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</si>
  <si>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</si>
  <si>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</si>
  <si>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</si>
  <si>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</si>
  <si>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</si>
  <si>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</si>
  <si>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</si>
  <si>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</si>
  <si>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</si>
  <si>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</si>
  <si>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</si>
  <si>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</si>
  <si>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</si>
  <si>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</si>
  <si>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</si>
  <si>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</si>
  <si>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</si>
  <si>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</si>
  <si>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</si>
  <si>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</si>
  <si>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</si>
  <si>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</si>
  <si>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</si>
  <si>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</si>
  <si>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</si>
  <si>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</si>
  <si>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</si>
  <si>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</si>
  <si>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</si>
  <si>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</si>
  <si>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</si>
  <si>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</si>
  <si>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</si>
  <si>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</si>
  <si>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</si>
  <si>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</si>
  <si>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</si>
  <si>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</si>
  <si>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</si>
  <si>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</si>
  <si>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</si>
  <si>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</si>
  <si>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</si>
  <si>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</si>
  <si>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</si>
  <si>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</si>
  <si>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</si>
  <si>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</si>
  <si>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</si>
  <si>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</si>
  <si>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</si>
  <si>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</si>
  <si>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</si>
  <si>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</si>
  <si>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</si>
  <si>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</si>
  <si>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</si>
  <si>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</si>
  <si>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</si>
  <si>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</si>
  <si>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</si>
  <si>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</si>
  <si>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</si>
  <si>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</si>
  <si>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</si>
  <si>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</si>
  <si>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</si>
  <si>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</si>
  <si>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</si>
  <si>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</si>
  <si>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</si>
  <si>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</si>
  <si>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</si>
  <si>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</si>
  <si>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</si>
  <si>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</si>
  <si>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</si>
  <si>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</si>
  <si>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</si>
  <si>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</si>
  <si>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</si>
  <si>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</si>
  <si>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</si>
  <si>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</si>
  <si>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</si>
  <si>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</si>
  <si>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</si>
  <si>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</si>
  <si>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</si>
  <si>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</si>
  <si>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</si>
  <si>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</si>
  <si>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</si>
  <si>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</si>
  <si>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</si>
  <si>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</si>
  <si>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</si>
  <si>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</si>
  <si>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</si>
  <si>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</si>
  <si>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</si>
  <si>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</si>
  <si>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</si>
  <si>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</si>
  <si>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</si>
  <si>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</si>
  <si>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１日目標ポイント（２と2025/11/30以降は１）</t>
    <rPh sb="1" eb="2">
      <t>ニチ</t>
    </rPh>
    <rPh sb="21" eb="23">
      <t>イコウ</t>
    </rPh>
    <phoneticPr fontId="1"/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</si>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</sst>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データ!$P$1:$P$95</c:f>
              <c:strCache>
                <c:ptCount val="95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  <c:pt idx="90">
                  <c:v>達成</c:v>
                </c:pt>
                <c:pt idx="91">
                  <c:v>未達成（2）</c:v>
                </c:pt>
                <c:pt idx="92">
                  <c:v>未達成（1）</c:v>
                </c:pt>
                <c:pt idx="93">
                  <c:v>前倒し（1）</c:v>
                </c:pt>
                <c:pt idx="94">
                  <c:v>未達成（1）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データ!$A$2:$A$96</c:f>
              <c:numCache>
                <c:formatCode>m/d/yyyy\ h:mm</c:formatCode>
                <c:ptCount val="95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</c:numCache>
            </c:numRef>
          </c:xVal>
          <c:yVal>
            <c:numRef>
              <c:f>データ!$B$2:$B$96</c:f>
              <c:numCache>
                <c:formatCode>General</c:formatCode>
                <c:ptCount val="95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AD-4514-96E3-545709C1DCE4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3AD-4514-96E3-545709C1D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08480"/>
        <c:axId val="126503680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データ!$A$2:$A$96</c:f>
              <c:numCache>
                <c:formatCode>m/d/yyyy\ h:mm</c:formatCode>
                <c:ptCount val="95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</c:numCache>
            </c:numRef>
          </c:xVal>
          <c:yVal>
            <c:numRef>
              <c:f>データ!$G$2:$G$96</c:f>
              <c:numCache>
                <c:formatCode>[h]:mm</c:formatCode>
                <c:ptCount val="95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AD-4514-96E3-545709C1D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09920"/>
        <c:axId val="126505600"/>
      </c:scatterChart>
      <c:valAx>
        <c:axId val="126508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6503680"/>
        <c:crosses val="autoZero"/>
        <c:crossBetween val="midCat"/>
      </c:valAx>
      <c:valAx>
        <c:axId val="12650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6508480"/>
        <c:crosses val="autoZero"/>
        <c:crossBetween val="midCat"/>
      </c:valAx>
      <c:valAx>
        <c:axId val="126505600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6509920"/>
        <c:crosses val="max"/>
        <c:crossBetween val="midCat"/>
      </c:valAx>
      <c:valAx>
        <c:axId val="12650992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650560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211931</xdr:colOff>
      <xdr:row>2</xdr:row>
      <xdr:rowOff>178594</xdr:rowOff>
    </xdr:from>
    <xdr:to>
      <xdr:col>11</xdr:col>
      <xdr:colOff>211931</xdr:colOff>
      <xdr:row>2</xdr:row>
      <xdr:rowOff>178594</xdr:rowOff>
    </xdr:to>
    <xdr:cxnSp macro="">
      <xdr:nvCxnSpPr>
        <xdr:cNvPr id="1121" name="Match0">
          <a:extLst>
            <a:ext uri="{FF2B5EF4-FFF2-40B4-BE49-F238E27FC236}">
              <a16:creationId xmlns:a16="http://schemas.microsoft.com/office/drawing/2014/main" id="{EB34758F-EA55-8230-2EC5-F20FC787C813}"/>
            </a:ext>
          </a:extLst>
        </xdr:cNvPr>
        <xdr:cNvCxnSpPr/>
      </xdr:nvCxnSpPr>
      <xdr:spPr>
        <a:xfrm>
          <a:off x="4450556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2</xdr:col>
      <xdr:colOff>211931</xdr:colOff>
      <xdr:row>7</xdr:row>
      <xdr:rowOff>178593</xdr:rowOff>
    </xdr:to>
    <xdr:cxnSp macro="">
      <xdr:nvCxnSpPr>
        <xdr:cNvPr id="1122" name="Match1">
          <a:extLst>
            <a:ext uri="{FF2B5EF4-FFF2-40B4-BE49-F238E27FC236}">
              <a16:creationId xmlns:a16="http://schemas.microsoft.com/office/drawing/2014/main" id="{D25995D3-59B6-4C10-9E2E-ED2A2E335F98}"/>
            </a:ext>
          </a:extLst>
        </xdr:cNvPr>
        <xdr:cNvCxnSpPr/>
      </xdr:nvCxnSpPr>
      <xdr:spPr>
        <a:xfrm>
          <a:off x="63579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1</xdr:col>
      <xdr:colOff>211931</xdr:colOff>
      <xdr:row>8</xdr:row>
      <xdr:rowOff>178594</xdr:rowOff>
    </xdr:to>
    <xdr:cxnSp macro="">
      <xdr:nvCxnSpPr>
        <xdr:cNvPr id="1123" name="Match2">
          <a:extLst>
            <a:ext uri="{FF2B5EF4-FFF2-40B4-BE49-F238E27FC236}">
              <a16:creationId xmlns:a16="http://schemas.microsoft.com/office/drawing/2014/main" id="{0D2F1213-D358-FA97-EB57-5E02803D05C6}"/>
            </a:ext>
          </a:extLst>
        </xdr:cNvPr>
        <xdr:cNvCxnSpPr/>
      </xdr:nvCxnSpPr>
      <xdr:spPr>
        <a:xfrm>
          <a:off x="21193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9</xdr:row>
      <xdr:rowOff>178593</xdr:rowOff>
    </xdr:from>
    <xdr:to>
      <xdr:col>8</xdr:col>
      <xdr:colOff>211931</xdr:colOff>
      <xdr:row>10</xdr:row>
      <xdr:rowOff>178594</xdr:rowOff>
    </xdr:to>
    <xdr:cxnSp macro="">
      <xdr:nvCxnSpPr>
        <xdr:cNvPr id="1124" name="Match3">
          <a:extLst>
            <a:ext uri="{FF2B5EF4-FFF2-40B4-BE49-F238E27FC236}">
              <a16:creationId xmlns:a16="http://schemas.microsoft.com/office/drawing/2014/main" id="{7E5FE3E4-2E3F-EE5E-628C-E0685FBA2013}"/>
            </a:ext>
          </a:extLst>
        </xdr:cNvPr>
        <xdr:cNvCxnSpPr/>
      </xdr:nvCxnSpPr>
      <xdr:spPr>
        <a:xfrm>
          <a:off x="3178969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10</xdr:col>
      <xdr:colOff>211931</xdr:colOff>
      <xdr:row>10</xdr:row>
      <xdr:rowOff>178594</xdr:rowOff>
    </xdr:to>
    <xdr:cxnSp macro="">
      <xdr:nvCxnSpPr>
        <xdr:cNvPr id="1125" name="Match4">
          <a:extLst>
            <a:ext uri="{FF2B5EF4-FFF2-40B4-BE49-F238E27FC236}">
              <a16:creationId xmlns:a16="http://schemas.microsoft.com/office/drawing/2014/main" id="{DB28812C-2BF6-6F82-E935-972D234B09DF}"/>
            </a:ext>
          </a:extLst>
        </xdr:cNvPr>
        <xdr:cNvCxnSpPr/>
      </xdr:nvCxnSpPr>
      <xdr:spPr>
        <a:xfrm>
          <a:off x="402669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9</xdr:row>
      <xdr:rowOff>203993</xdr:rowOff>
    </xdr:from>
    <xdr:to>
      <xdr:col>9</xdr:col>
      <xdr:colOff>237331</xdr:colOff>
      <xdr:row>10</xdr:row>
      <xdr:rowOff>203994</xdr:rowOff>
    </xdr:to>
    <xdr:cxnSp macro="">
      <xdr:nvCxnSpPr>
        <xdr:cNvPr id="1126" name="Match5">
          <a:extLst>
            <a:ext uri="{FF2B5EF4-FFF2-40B4-BE49-F238E27FC236}">
              <a16:creationId xmlns:a16="http://schemas.microsoft.com/office/drawing/2014/main" id="{CC328E50-7F6B-3FEB-5F76-39A5BDCECB82}"/>
            </a:ext>
          </a:extLst>
        </xdr:cNvPr>
        <xdr:cNvCxnSpPr/>
      </xdr:nvCxnSpPr>
      <xdr:spPr>
        <a:xfrm flipH="1">
          <a:off x="3628231" y="34186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5</xdr:row>
      <xdr:rowOff>178593</xdr:rowOff>
    </xdr:from>
    <xdr:to>
      <xdr:col>7</xdr:col>
      <xdr:colOff>211931</xdr:colOff>
      <xdr:row>7</xdr:row>
      <xdr:rowOff>178593</xdr:rowOff>
    </xdr:to>
    <xdr:cxnSp macro="">
      <xdr:nvCxnSpPr>
        <xdr:cNvPr id="1127" name="Match6">
          <a:extLst>
            <a:ext uri="{FF2B5EF4-FFF2-40B4-BE49-F238E27FC236}">
              <a16:creationId xmlns:a16="http://schemas.microsoft.com/office/drawing/2014/main" id="{5B4F5B75-7CEA-D031-8713-E95B34687801}"/>
            </a:ext>
          </a:extLst>
        </xdr:cNvPr>
        <xdr:cNvCxnSpPr/>
      </xdr:nvCxnSpPr>
      <xdr:spPr>
        <a:xfrm>
          <a:off x="3178969" y="196453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3</xdr:row>
      <xdr:rowOff>178593</xdr:rowOff>
    </xdr:from>
    <xdr:to>
      <xdr:col>8</xdr:col>
      <xdr:colOff>211931</xdr:colOff>
      <xdr:row>5</xdr:row>
      <xdr:rowOff>178593</xdr:rowOff>
    </xdr:to>
    <xdr:cxnSp macro="">
      <xdr:nvCxnSpPr>
        <xdr:cNvPr id="1128" name="Match7">
          <a:extLst>
            <a:ext uri="{FF2B5EF4-FFF2-40B4-BE49-F238E27FC236}">
              <a16:creationId xmlns:a16="http://schemas.microsoft.com/office/drawing/2014/main" id="{E52F2E10-AC87-0C8B-110B-FEB8849F4AF7}"/>
            </a:ext>
          </a:extLst>
        </xdr:cNvPr>
        <xdr:cNvCxnSpPr/>
      </xdr:nvCxnSpPr>
      <xdr:spPr>
        <a:xfrm flipH="1" flipV="1">
          <a:off x="2755106" y="125015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4</xdr:col>
      <xdr:colOff>211931</xdr:colOff>
      <xdr:row>8</xdr:row>
      <xdr:rowOff>178594</xdr:rowOff>
    </xdr:to>
    <xdr:cxnSp macro="">
      <xdr:nvCxnSpPr>
        <xdr:cNvPr id="1129" name="Match8">
          <a:extLst>
            <a:ext uri="{FF2B5EF4-FFF2-40B4-BE49-F238E27FC236}">
              <a16:creationId xmlns:a16="http://schemas.microsoft.com/office/drawing/2014/main" id="{62BF1947-1579-FDA6-443C-1A83FEB7A3A0}"/>
            </a:ext>
          </a:extLst>
        </xdr:cNvPr>
        <xdr:cNvCxnSpPr/>
      </xdr:nvCxnSpPr>
      <xdr:spPr>
        <a:xfrm>
          <a:off x="1907381" y="2321719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6</xdr:col>
      <xdr:colOff>211931</xdr:colOff>
      <xdr:row>8</xdr:row>
      <xdr:rowOff>178594</xdr:rowOff>
    </xdr:to>
    <xdr:cxnSp macro="">
      <xdr:nvCxnSpPr>
        <xdr:cNvPr id="1130" name="Match9">
          <a:extLst>
            <a:ext uri="{FF2B5EF4-FFF2-40B4-BE49-F238E27FC236}">
              <a16:creationId xmlns:a16="http://schemas.microsoft.com/office/drawing/2014/main" id="{8F5D83C7-94AA-A9E0-AA2A-3BE757A309BD}"/>
            </a:ext>
          </a:extLst>
        </xdr:cNvPr>
        <xdr:cNvCxnSpPr/>
      </xdr:nvCxnSpPr>
      <xdr:spPr>
        <a:xfrm flipH="1">
          <a:off x="1907381" y="303609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1</xdr:col>
      <xdr:colOff>211931</xdr:colOff>
      <xdr:row>0</xdr:row>
      <xdr:rowOff>178594</xdr:rowOff>
    </xdr:to>
    <xdr:cxnSp macro="">
      <xdr:nvCxnSpPr>
        <xdr:cNvPr id="1131" name="Match10">
          <a:extLst>
            <a:ext uri="{FF2B5EF4-FFF2-40B4-BE49-F238E27FC236}">
              <a16:creationId xmlns:a16="http://schemas.microsoft.com/office/drawing/2014/main" id="{7C564603-890E-0EC1-B05F-A1D67C9DA8F3}"/>
            </a:ext>
          </a:extLst>
        </xdr:cNvPr>
        <xdr:cNvCxnSpPr/>
      </xdr:nvCxnSpPr>
      <xdr:spPr>
        <a:xfrm>
          <a:off x="211931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2</xdr:col>
      <xdr:colOff>211931</xdr:colOff>
      <xdr:row>3</xdr:row>
      <xdr:rowOff>178593</xdr:rowOff>
    </xdr:to>
    <xdr:cxnSp macro="">
      <xdr:nvCxnSpPr>
        <xdr:cNvPr id="1132" name="Match11">
          <a:extLst>
            <a:ext uri="{FF2B5EF4-FFF2-40B4-BE49-F238E27FC236}">
              <a16:creationId xmlns:a16="http://schemas.microsoft.com/office/drawing/2014/main" id="{ADEEB162-046F-4EBA-23A6-CAB4384E87DA}"/>
            </a:ext>
          </a:extLst>
        </xdr:cNvPr>
        <xdr:cNvCxnSpPr/>
      </xdr:nvCxnSpPr>
      <xdr:spPr>
        <a:xfrm>
          <a:off x="63579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2</xdr:row>
      <xdr:rowOff>178594</xdr:rowOff>
    </xdr:from>
    <xdr:to>
      <xdr:col>3</xdr:col>
      <xdr:colOff>211931</xdr:colOff>
      <xdr:row>3</xdr:row>
      <xdr:rowOff>178593</xdr:rowOff>
    </xdr:to>
    <xdr:cxnSp macro="">
      <xdr:nvCxnSpPr>
        <xdr:cNvPr id="1133" name="Match12">
          <a:extLst>
            <a:ext uri="{FF2B5EF4-FFF2-40B4-BE49-F238E27FC236}">
              <a16:creationId xmlns:a16="http://schemas.microsoft.com/office/drawing/2014/main" id="{EFFEFDD2-361D-8336-9220-D6C4809BCB4D}"/>
            </a:ext>
          </a:extLst>
        </xdr:cNvPr>
        <xdr:cNvCxnSpPr/>
      </xdr:nvCxnSpPr>
      <xdr:spPr>
        <a:xfrm flipH="1">
          <a:off x="105965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2</xdr:row>
      <xdr:rowOff>178594</xdr:rowOff>
    </xdr:from>
    <xdr:to>
      <xdr:col>10</xdr:col>
      <xdr:colOff>211931</xdr:colOff>
      <xdr:row>3</xdr:row>
      <xdr:rowOff>178593</xdr:rowOff>
    </xdr:to>
    <xdr:cxnSp macro="">
      <xdr:nvCxnSpPr>
        <xdr:cNvPr id="1134" name="Match13">
          <a:extLst>
            <a:ext uri="{FF2B5EF4-FFF2-40B4-BE49-F238E27FC236}">
              <a16:creationId xmlns:a16="http://schemas.microsoft.com/office/drawing/2014/main" id="{B12DEDC4-038C-475E-C7EA-DFF548AFFE56}"/>
            </a:ext>
          </a:extLst>
        </xdr:cNvPr>
        <xdr:cNvCxnSpPr/>
      </xdr:nvCxnSpPr>
      <xdr:spPr>
        <a:xfrm flipV="1">
          <a:off x="402669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2</xdr:col>
      <xdr:colOff>211931</xdr:colOff>
      <xdr:row>4</xdr:row>
      <xdr:rowOff>178594</xdr:rowOff>
    </xdr:to>
    <xdr:cxnSp macro="">
      <xdr:nvCxnSpPr>
        <xdr:cNvPr id="1135" name="Match14">
          <a:extLst>
            <a:ext uri="{FF2B5EF4-FFF2-40B4-BE49-F238E27FC236}">
              <a16:creationId xmlns:a16="http://schemas.microsoft.com/office/drawing/2014/main" id="{2586B914-3BED-42FE-63DF-647C210CEA3C}"/>
            </a:ext>
          </a:extLst>
        </xdr:cNvPr>
        <xdr:cNvCxnSpPr/>
      </xdr:nvCxnSpPr>
      <xdr:spPr>
        <a:xfrm flipV="1">
          <a:off x="1059656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6</xdr:row>
      <xdr:rowOff>178594</xdr:rowOff>
    </xdr:from>
    <xdr:to>
      <xdr:col>10</xdr:col>
      <xdr:colOff>211931</xdr:colOff>
      <xdr:row>7</xdr:row>
      <xdr:rowOff>178593</xdr:rowOff>
    </xdr:to>
    <xdr:cxnSp macro="">
      <xdr:nvCxnSpPr>
        <xdr:cNvPr id="1136" name="Match15">
          <a:extLst>
            <a:ext uri="{FF2B5EF4-FFF2-40B4-BE49-F238E27FC236}">
              <a16:creationId xmlns:a16="http://schemas.microsoft.com/office/drawing/2014/main" id="{41606FF8-473C-4358-8B7D-CD64839F9B2E}"/>
            </a:ext>
          </a:extLst>
        </xdr:cNvPr>
        <xdr:cNvCxnSpPr/>
      </xdr:nvCxnSpPr>
      <xdr:spPr>
        <a:xfrm flipH="1">
          <a:off x="402669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7</xdr:row>
      <xdr:rowOff>178593</xdr:rowOff>
    </xdr:from>
    <xdr:to>
      <xdr:col>11</xdr:col>
      <xdr:colOff>211931</xdr:colOff>
      <xdr:row>8</xdr:row>
      <xdr:rowOff>178594</xdr:rowOff>
    </xdr:to>
    <xdr:cxnSp macro="">
      <xdr:nvCxnSpPr>
        <xdr:cNvPr id="1137" name="Match16">
          <a:extLst>
            <a:ext uri="{FF2B5EF4-FFF2-40B4-BE49-F238E27FC236}">
              <a16:creationId xmlns:a16="http://schemas.microsoft.com/office/drawing/2014/main" id="{5D5B5195-5081-6077-2641-D76F304348F2}"/>
            </a:ext>
          </a:extLst>
        </xdr:cNvPr>
        <xdr:cNvCxnSpPr/>
      </xdr:nvCxnSpPr>
      <xdr:spPr>
        <a:xfrm>
          <a:off x="4874419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8</xdr:row>
      <xdr:rowOff>203994</xdr:rowOff>
    </xdr:from>
    <xdr:to>
      <xdr:col>7</xdr:col>
      <xdr:colOff>237331</xdr:colOff>
      <xdr:row>9</xdr:row>
      <xdr:rowOff>203993</xdr:rowOff>
    </xdr:to>
    <xdr:cxnSp macro="">
      <xdr:nvCxnSpPr>
        <xdr:cNvPr id="1138" name="Match17">
          <a:extLst>
            <a:ext uri="{FF2B5EF4-FFF2-40B4-BE49-F238E27FC236}">
              <a16:creationId xmlns:a16="http://schemas.microsoft.com/office/drawing/2014/main" id="{3DABA501-156C-169C-34C7-2A83908C026E}"/>
            </a:ext>
          </a:extLst>
        </xdr:cNvPr>
        <xdr:cNvCxnSpPr/>
      </xdr:nvCxnSpPr>
      <xdr:spPr>
        <a:xfrm>
          <a:off x="2780506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8</xdr:row>
      <xdr:rowOff>178594</xdr:rowOff>
    </xdr:from>
    <xdr:to>
      <xdr:col>7</xdr:col>
      <xdr:colOff>211931</xdr:colOff>
      <xdr:row>9</xdr:row>
      <xdr:rowOff>178593</xdr:rowOff>
    </xdr:to>
    <xdr:cxnSp macro="">
      <xdr:nvCxnSpPr>
        <xdr:cNvPr id="1139" name="Match18">
          <a:extLst>
            <a:ext uri="{FF2B5EF4-FFF2-40B4-BE49-F238E27FC236}">
              <a16:creationId xmlns:a16="http://schemas.microsoft.com/office/drawing/2014/main" id="{18DEA024-0C2C-7269-D945-BF77AF05A2D7}"/>
            </a:ext>
          </a:extLst>
        </xdr:cNvPr>
        <xdr:cNvCxnSpPr/>
      </xdr:nvCxnSpPr>
      <xdr:spPr>
        <a:xfrm>
          <a:off x="3178969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11</xdr:row>
      <xdr:rowOff>178593</xdr:rowOff>
    </xdr:from>
    <xdr:to>
      <xdr:col>3</xdr:col>
      <xdr:colOff>211931</xdr:colOff>
      <xdr:row>11</xdr:row>
      <xdr:rowOff>178593</xdr:rowOff>
    </xdr:to>
    <xdr:cxnSp macro="">
      <xdr:nvCxnSpPr>
        <xdr:cNvPr id="1140" name="Match19">
          <a:extLst>
            <a:ext uri="{FF2B5EF4-FFF2-40B4-BE49-F238E27FC236}">
              <a16:creationId xmlns:a16="http://schemas.microsoft.com/office/drawing/2014/main" id="{D5C49E47-F044-48A2-908A-A282CE5A7286}"/>
            </a:ext>
          </a:extLst>
        </xdr:cNvPr>
        <xdr:cNvCxnSpPr/>
      </xdr:nvCxnSpPr>
      <xdr:spPr>
        <a:xfrm>
          <a:off x="635794" y="410765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3</xdr:row>
      <xdr:rowOff>178593</xdr:rowOff>
    </xdr:from>
    <xdr:to>
      <xdr:col>5</xdr:col>
      <xdr:colOff>211931</xdr:colOff>
      <xdr:row>6</xdr:row>
      <xdr:rowOff>178594</xdr:rowOff>
    </xdr:to>
    <xdr:cxnSp macro="">
      <xdr:nvCxnSpPr>
        <xdr:cNvPr id="1141" name="Match20">
          <a:extLst>
            <a:ext uri="{FF2B5EF4-FFF2-40B4-BE49-F238E27FC236}">
              <a16:creationId xmlns:a16="http://schemas.microsoft.com/office/drawing/2014/main" id="{E40505F4-F1CB-8D72-5637-4FD940CB8E86}"/>
            </a:ext>
          </a:extLst>
        </xdr:cNvPr>
        <xdr:cNvCxnSpPr/>
      </xdr:nvCxnSpPr>
      <xdr:spPr>
        <a:xfrm flipV="1">
          <a:off x="2331244" y="1250156"/>
          <a:ext cx="0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9</xdr:col>
      <xdr:colOff>211931</xdr:colOff>
      <xdr:row>0</xdr:row>
      <xdr:rowOff>178594</xdr:rowOff>
    </xdr:to>
    <xdr:cxnSp macro="">
      <xdr:nvCxnSpPr>
        <xdr:cNvPr id="1142" name="Match21">
          <a:extLst>
            <a:ext uri="{FF2B5EF4-FFF2-40B4-BE49-F238E27FC236}">
              <a16:creationId xmlns:a16="http://schemas.microsoft.com/office/drawing/2014/main" id="{9532595A-4E6C-9725-9239-0171A38C913D}"/>
            </a:ext>
          </a:extLst>
        </xdr:cNvPr>
        <xdr:cNvCxnSpPr/>
      </xdr:nvCxnSpPr>
      <xdr:spPr>
        <a:xfrm>
          <a:off x="2331244" y="178594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2</xdr:row>
      <xdr:rowOff>203994</xdr:rowOff>
    </xdr:from>
    <xdr:to>
      <xdr:col>10</xdr:col>
      <xdr:colOff>237331</xdr:colOff>
      <xdr:row>2</xdr:row>
      <xdr:rowOff>203994</xdr:rowOff>
    </xdr:to>
    <xdr:cxnSp macro="">
      <xdr:nvCxnSpPr>
        <xdr:cNvPr id="1143" name="Match22">
          <a:extLst>
            <a:ext uri="{FF2B5EF4-FFF2-40B4-BE49-F238E27FC236}">
              <a16:creationId xmlns:a16="http://schemas.microsoft.com/office/drawing/2014/main" id="{9F23A8D4-1EBC-29D5-BB63-47CAD777A7F9}"/>
            </a:ext>
          </a:extLst>
        </xdr:cNvPr>
        <xdr:cNvCxnSpPr/>
      </xdr:nvCxnSpPr>
      <xdr:spPr>
        <a:xfrm flipH="1">
          <a:off x="2356644" y="918369"/>
          <a:ext cx="211931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10</xdr:row>
      <xdr:rowOff>178594</xdr:rowOff>
    </xdr:from>
    <xdr:to>
      <xdr:col>10</xdr:col>
      <xdr:colOff>211931</xdr:colOff>
      <xdr:row>10</xdr:row>
      <xdr:rowOff>178594</xdr:rowOff>
    </xdr:to>
    <xdr:cxnSp macro="">
      <xdr:nvCxnSpPr>
        <xdr:cNvPr id="1144" name="Match23">
          <a:extLst>
            <a:ext uri="{FF2B5EF4-FFF2-40B4-BE49-F238E27FC236}">
              <a16:creationId xmlns:a16="http://schemas.microsoft.com/office/drawing/2014/main" id="{3199566F-10CE-24AF-E978-476586111158}"/>
            </a:ext>
          </a:extLst>
        </xdr:cNvPr>
        <xdr:cNvCxnSpPr/>
      </xdr:nvCxnSpPr>
      <xdr:spPr>
        <a:xfrm>
          <a:off x="2755106" y="3750469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5</xdr:row>
      <xdr:rowOff>203993</xdr:rowOff>
    </xdr:from>
    <xdr:to>
      <xdr:col>11</xdr:col>
      <xdr:colOff>237331</xdr:colOff>
      <xdr:row>9</xdr:row>
      <xdr:rowOff>203993</xdr:rowOff>
    </xdr:to>
    <xdr:cxnSp macro="">
      <xdr:nvCxnSpPr>
        <xdr:cNvPr id="1145" name="Match24">
          <a:extLst>
            <a:ext uri="{FF2B5EF4-FFF2-40B4-BE49-F238E27FC236}">
              <a16:creationId xmlns:a16="http://schemas.microsoft.com/office/drawing/2014/main" id="{70E95920-6173-39EE-DFA0-6DF9299E897A}"/>
            </a:ext>
          </a:extLst>
        </xdr:cNvPr>
        <xdr:cNvCxnSpPr/>
      </xdr:nvCxnSpPr>
      <xdr:spPr>
        <a:xfrm>
          <a:off x="3204369" y="1989931"/>
          <a:ext cx="1695450" cy="142875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0</xdr:row>
      <xdr:rowOff>203994</xdr:rowOff>
    </xdr:from>
    <xdr:to>
      <xdr:col>4</xdr:col>
      <xdr:colOff>237331</xdr:colOff>
      <xdr:row>6</xdr:row>
      <xdr:rowOff>203994</xdr:rowOff>
    </xdr:to>
    <xdr:cxnSp macro="">
      <xdr:nvCxnSpPr>
        <xdr:cNvPr id="1146" name="Match25">
          <a:extLst>
            <a:ext uri="{FF2B5EF4-FFF2-40B4-BE49-F238E27FC236}">
              <a16:creationId xmlns:a16="http://schemas.microsoft.com/office/drawing/2014/main" id="{68EA0794-09F3-3D63-95DE-189F8CA03D28}"/>
            </a:ext>
          </a:extLst>
        </xdr:cNvPr>
        <xdr:cNvCxnSpPr/>
      </xdr:nvCxnSpPr>
      <xdr:spPr>
        <a:xfrm flipV="1">
          <a:off x="1932781" y="203994"/>
          <a:ext cx="0" cy="214312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2</xdr:row>
      <xdr:rowOff>178594</xdr:rowOff>
    </xdr:from>
    <xdr:to>
      <xdr:col>9</xdr:col>
      <xdr:colOff>211931</xdr:colOff>
      <xdr:row>3</xdr:row>
      <xdr:rowOff>178593</xdr:rowOff>
    </xdr:to>
    <xdr:cxnSp macro="">
      <xdr:nvCxnSpPr>
        <xdr:cNvPr id="1147" name="Match26">
          <a:extLst>
            <a:ext uri="{FF2B5EF4-FFF2-40B4-BE49-F238E27FC236}">
              <a16:creationId xmlns:a16="http://schemas.microsoft.com/office/drawing/2014/main" id="{E0DF769B-70A5-7C89-A103-B46A4A44AAC3}"/>
            </a:ext>
          </a:extLst>
        </xdr:cNvPr>
        <xdr:cNvCxnSpPr/>
      </xdr:nvCxnSpPr>
      <xdr:spPr>
        <a:xfrm>
          <a:off x="4026694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2</xdr:col>
      <xdr:colOff>211931</xdr:colOff>
      <xdr:row>4</xdr:row>
      <xdr:rowOff>178594</xdr:rowOff>
    </xdr:to>
    <xdr:cxnSp macro="">
      <xdr:nvCxnSpPr>
        <xdr:cNvPr id="1148" name="Match27">
          <a:extLst>
            <a:ext uri="{FF2B5EF4-FFF2-40B4-BE49-F238E27FC236}">
              <a16:creationId xmlns:a16="http://schemas.microsoft.com/office/drawing/2014/main" id="{0D2D8072-F1A2-254C-687B-10066F3DBF90}"/>
            </a:ext>
          </a:extLst>
        </xdr:cNvPr>
        <xdr:cNvCxnSpPr/>
      </xdr:nvCxnSpPr>
      <xdr:spPr>
        <a:xfrm>
          <a:off x="635794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9</xdr:col>
      <xdr:colOff>211931</xdr:colOff>
      <xdr:row>5</xdr:row>
      <xdr:rowOff>178593</xdr:rowOff>
    </xdr:to>
    <xdr:cxnSp macro="">
      <xdr:nvCxnSpPr>
        <xdr:cNvPr id="1149" name="Match28">
          <a:extLst>
            <a:ext uri="{FF2B5EF4-FFF2-40B4-BE49-F238E27FC236}">
              <a16:creationId xmlns:a16="http://schemas.microsoft.com/office/drawing/2014/main" id="{B3EA0E85-3D5C-9561-87F1-AE90F4A5801B}"/>
            </a:ext>
          </a:extLst>
        </xdr:cNvPr>
        <xdr:cNvCxnSpPr/>
      </xdr:nvCxnSpPr>
      <xdr:spPr>
        <a:xfrm flipH="1">
          <a:off x="360283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3</xdr:row>
      <xdr:rowOff>203993</xdr:rowOff>
    </xdr:from>
    <xdr:to>
      <xdr:col>9</xdr:col>
      <xdr:colOff>237331</xdr:colOff>
      <xdr:row>4</xdr:row>
      <xdr:rowOff>203994</xdr:rowOff>
    </xdr:to>
    <xdr:cxnSp macro="">
      <xdr:nvCxnSpPr>
        <xdr:cNvPr id="1150" name="Match29">
          <a:extLst>
            <a:ext uri="{FF2B5EF4-FFF2-40B4-BE49-F238E27FC236}">
              <a16:creationId xmlns:a16="http://schemas.microsoft.com/office/drawing/2014/main" id="{15A47756-0852-B03F-3D42-630453334840}"/>
            </a:ext>
          </a:extLst>
        </xdr:cNvPr>
        <xdr:cNvCxnSpPr/>
      </xdr:nvCxnSpPr>
      <xdr:spPr>
        <a:xfrm flipV="1">
          <a:off x="4052094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2</xdr:col>
      <xdr:colOff>211931</xdr:colOff>
      <xdr:row>5</xdr:row>
      <xdr:rowOff>178593</xdr:rowOff>
    </xdr:to>
    <xdr:cxnSp macro="">
      <xdr:nvCxnSpPr>
        <xdr:cNvPr id="1151" name="Match30">
          <a:extLst>
            <a:ext uri="{FF2B5EF4-FFF2-40B4-BE49-F238E27FC236}">
              <a16:creationId xmlns:a16="http://schemas.microsoft.com/office/drawing/2014/main" id="{A27C1607-83D6-D06C-7C33-1A34ACE75985}"/>
            </a:ext>
          </a:extLst>
        </xdr:cNvPr>
        <xdr:cNvCxnSpPr/>
      </xdr:nvCxnSpPr>
      <xdr:spPr>
        <a:xfrm flipV="1">
          <a:off x="635794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2</xdr:col>
      <xdr:colOff>211931</xdr:colOff>
      <xdr:row>5</xdr:row>
      <xdr:rowOff>178593</xdr:rowOff>
    </xdr:to>
    <xdr:cxnSp macro="">
      <xdr:nvCxnSpPr>
        <xdr:cNvPr id="1152" name="Match31">
          <a:extLst>
            <a:ext uri="{FF2B5EF4-FFF2-40B4-BE49-F238E27FC236}">
              <a16:creationId xmlns:a16="http://schemas.microsoft.com/office/drawing/2014/main" id="{C8BCA60C-AEB8-01B9-1743-28F4071C0E97}"/>
            </a:ext>
          </a:extLst>
        </xdr:cNvPr>
        <xdr:cNvCxnSpPr/>
      </xdr:nvCxnSpPr>
      <xdr:spPr>
        <a:xfrm flipV="1">
          <a:off x="1059656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5</xdr:row>
      <xdr:rowOff>178593</xdr:rowOff>
    </xdr:from>
    <xdr:to>
      <xdr:col>7</xdr:col>
      <xdr:colOff>211931</xdr:colOff>
      <xdr:row>5</xdr:row>
      <xdr:rowOff>178593</xdr:rowOff>
    </xdr:to>
    <xdr:cxnSp macro="">
      <xdr:nvCxnSpPr>
        <xdr:cNvPr id="1153" name="Match32">
          <a:extLst>
            <a:ext uri="{FF2B5EF4-FFF2-40B4-BE49-F238E27FC236}">
              <a16:creationId xmlns:a16="http://schemas.microsoft.com/office/drawing/2014/main" id="{AF791239-59D4-9321-F2FF-D699413CEDAA}"/>
            </a:ext>
          </a:extLst>
        </xdr:cNvPr>
        <xdr:cNvCxnSpPr/>
      </xdr:nvCxnSpPr>
      <xdr:spPr>
        <a:xfrm>
          <a:off x="2755106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4</xdr:col>
      <xdr:colOff>211931</xdr:colOff>
      <xdr:row>7</xdr:row>
      <xdr:rowOff>178593</xdr:rowOff>
    </xdr:to>
    <xdr:cxnSp macro="">
      <xdr:nvCxnSpPr>
        <xdr:cNvPr id="1154" name="Match33">
          <a:extLst>
            <a:ext uri="{FF2B5EF4-FFF2-40B4-BE49-F238E27FC236}">
              <a16:creationId xmlns:a16="http://schemas.microsoft.com/office/drawing/2014/main" id="{4DC64145-ED93-BBB5-4166-D765DFEA7E76}"/>
            </a:ext>
          </a:extLst>
        </xdr:cNvPr>
        <xdr:cNvCxnSpPr/>
      </xdr:nvCxnSpPr>
      <xdr:spPr>
        <a:xfrm flipV="1">
          <a:off x="1483519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8</xdr:row>
      <xdr:rowOff>178594</xdr:rowOff>
    </xdr:from>
    <xdr:to>
      <xdr:col>0</xdr:col>
      <xdr:colOff>211931</xdr:colOff>
      <xdr:row>9</xdr:row>
      <xdr:rowOff>178593</xdr:rowOff>
    </xdr:to>
    <xdr:cxnSp macro="">
      <xdr:nvCxnSpPr>
        <xdr:cNvPr id="1155" name="Match34">
          <a:extLst>
            <a:ext uri="{FF2B5EF4-FFF2-40B4-BE49-F238E27FC236}">
              <a16:creationId xmlns:a16="http://schemas.microsoft.com/office/drawing/2014/main" id="{1208ADCD-4EBB-6DC9-7E84-2B8F79F6F3C1}"/>
            </a:ext>
          </a:extLst>
        </xdr:cNvPr>
        <xdr:cNvCxnSpPr/>
      </xdr:nvCxnSpPr>
      <xdr:spPr>
        <a:xfrm>
          <a:off x="211931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9</xdr:row>
      <xdr:rowOff>178593</xdr:rowOff>
    </xdr:from>
    <xdr:to>
      <xdr:col>1</xdr:col>
      <xdr:colOff>211931</xdr:colOff>
      <xdr:row>10</xdr:row>
      <xdr:rowOff>178594</xdr:rowOff>
    </xdr:to>
    <xdr:cxnSp macro="">
      <xdr:nvCxnSpPr>
        <xdr:cNvPr id="1156" name="Match35">
          <a:extLst>
            <a:ext uri="{FF2B5EF4-FFF2-40B4-BE49-F238E27FC236}">
              <a16:creationId xmlns:a16="http://schemas.microsoft.com/office/drawing/2014/main" id="{9448B874-9A1D-D680-7A90-6FB0F6BBE7DC}"/>
            </a:ext>
          </a:extLst>
        </xdr:cNvPr>
        <xdr:cNvCxnSpPr/>
      </xdr:nvCxnSpPr>
      <xdr:spPr>
        <a:xfrm>
          <a:off x="635794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9</xdr:row>
      <xdr:rowOff>203993</xdr:rowOff>
    </xdr:from>
    <xdr:to>
      <xdr:col>1</xdr:col>
      <xdr:colOff>237331</xdr:colOff>
      <xdr:row>9</xdr:row>
      <xdr:rowOff>203993</xdr:rowOff>
    </xdr:to>
    <xdr:cxnSp macro="">
      <xdr:nvCxnSpPr>
        <xdr:cNvPr id="1157" name="Match36">
          <a:extLst>
            <a:ext uri="{FF2B5EF4-FFF2-40B4-BE49-F238E27FC236}">
              <a16:creationId xmlns:a16="http://schemas.microsoft.com/office/drawing/2014/main" id="{C39FF855-4FD7-7B8D-0D43-9EA3BC91FAB6}"/>
            </a:ext>
          </a:extLst>
        </xdr:cNvPr>
        <xdr:cNvCxnSpPr/>
      </xdr:nvCxnSpPr>
      <xdr:spPr>
        <a:xfrm flipH="1">
          <a:off x="237331" y="3418681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8</xdr:row>
      <xdr:rowOff>178594</xdr:rowOff>
    </xdr:from>
    <xdr:to>
      <xdr:col>6</xdr:col>
      <xdr:colOff>211931</xdr:colOff>
      <xdr:row>9</xdr:row>
      <xdr:rowOff>178593</xdr:rowOff>
    </xdr:to>
    <xdr:cxnSp macro="">
      <xdr:nvCxnSpPr>
        <xdr:cNvPr id="1158" name="Match37">
          <a:extLst>
            <a:ext uri="{FF2B5EF4-FFF2-40B4-BE49-F238E27FC236}">
              <a16:creationId xmlns:a16="http://schemas.microsoft.com/office/drawing/2014/main" id="{FB174A62-0F46-1C57-BAA4-CE6F92590EBC}"/>
            </a:ext>
          </a:extLst>
        </xdr:cNvPr>
        <xdr:cNvCxnSpPr/>
      </xdr:nvCxnSpPr>
      <xdr:spPr>
        <a:xfrm flipV="1">
          <a:off x="233124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6</xdr:col>
      <xdr:colOff>211931</xdr:colOff>
      <xdr:row>1</xdr:row>
      <xdr:rowOff>178593</xdr:rowOff>
    </xdr:to>
    <xdr:cxnSp macro="">
      <xdr:nvCxnSpPr>
        <xdr:cNvPr id="1159" name="Match38">
          <a:extLst>
            <a:ext uri="{FF2B5EF4-FFF2-40B4-BE49-F238E27FC236}">
              <a16:creationId xmlns:a16="http://schemas.microsoft.com/office/drawing/2014/main" id="{31DA99DA-C09C-150D-CC4C-22F4FEBCB7DA}"/>
            </a:ext>
          </a:extLst>
        </xdr:cNvPr>
        <xdr:cNvCxnSpPr/>
      </xdr:nvCxnSpPr>
      <xdr:spPr>
        <a:xfrm flipH="1">
          <a:off x="2331244" y="53578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0</xdr:row>
      <xdr:rowOff>203994</xdr:rowOff>
    </xdr:from>
    <xdr:to>
      <xdr:col>6</xdr:col>
      <xdr:colOff>237331</xdr:colOff>
      <xdr:row>1</xdr:row>
      <xdr:rowOff>203993</xdr:rowOff>
    </xdr:to>
    <xdr:cxnSp macro="">
      <xdr:nvCxnSpPr>
        <xdr:cNvPr id="1160" name="Match39">
          <a:extLst>
            <a:ext uri="{FF2B5EF4-FFF2-40B4-BE49-F238E27FC236}">
              <a16:creationId xmlns:a16="http://schemas.microsoft.com/office/drawing/2014/main" id="{5CE11338-405B-17CE-A55B-50F1FC1254BC}"/>
            </a:ext>
          </a:extLst>
        </xdr:cNvPr>
        <xdr:cNvCxnSpPr/>
      </xdr:nvCxnSpPr>
      <xdr:spPr>
        <a:xfrm flipV="1">
          <a:off x="2780506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1</xdr:row>
      <xdr:rowOff>203993</xdr:rowOff>
    </xdr:from>
    <xdr:to>
      <xdr:col>4</xdr:col>
      <xdr:colOff>237331</xdr:colOff>
      <xdr:row>2</xdr:row>
      <xdr:rowOff>203994</xdr:rowOff>
    </xdr:to>
    <xdr:cxnSp macro="">
      <xdr:nvCxnSpPr>
        <xdr:cNvPr id="1161" name="Match40">
          <a:extLst>
            <a:ext uri="{FF2B5EF4-FFF2-40B4-BE49-F238E27FC236}">
              <a16:creationId xmlns:a16="http://schemas.microsoft.com/office/drawing/2014/main" id="{60B819C6-EAF8-A7B3-97D6-0DD2E9FE7D4D}"/>
            </a:ext>
          </a:extLst>
        </xdr:cNvPr>
        <xdr:cNvCxnSpPr/>
      </xdr:nvCxnSpPr>
      <xdr:spPr>
        <a:xfrm flipV="1">
          <a:off x="1508919" y="5611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2</xdr:row>
      <xdr:rowOff>203994</xdr:rowOff>
    </xdr:from>
    <xdr:to>
      <xdr:col>9</xdr:col>
      <xdr:colOff>237331</xdr:colOff>
      <xdr:row>3</xdr:row>
      <xdr:rowOff>203993</xdr:rowOff>
    </xdr:to>
    <xdr:cxnSp macro="">
      <xdr:nvCxnSpPr>
        <xdr:cNvPr id="1162" name="Match41">
          <a:extLst>
            <a:ext uri="{FF2B5EF4-FFF2-40B4-BE49-F238E27FC236}">
              <a16:creationId xmlns:a16="http://schemas.microsoft.com/office/drawing/2014/main" id="{218254FA-3BAD-5A11-5417-83C4002D2738}"/>
            </a:ext>
          </a:extLst>
        </xdr:cNvPr>
        <xdr:cNvCxnSpPr/>
      </xdr:nvCxnSpPr>
      <xdr:spPr>
        <a:xfrm flipH="1" flipV="1">
          <a:off x="3628231" y="9183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7</xdr:row>
      <xdr:rowOff>229393</xdr:rowOff>
    </xdr:from>
    <xdr:to>
      <xdr:col>6</xdr:col>
      <xdr:colOff>262731</xdr:colOff>
      <xdr:row>8</xdr:row>
      <xdr:rowOff>229394</xdr:rowOff>
    </xdr:to>
    <xdr:cxnSp macro="">
      <xdr:nvCxnSpPr>
        <xdr:cNvPr id="1163" name="Match42">
          <a:extLst>
            <a:ext uri="{FF2B5EF4-FFF2-40B4-BE49-F238E27FC236}">
              <a16:creationId xmlns:a16="http://schemas.microsoft.com/office/drawing/2014/main" id="{0C959B41-DF6B-0C32-9D46-614A2AA7639B}"/>
            </a:ext>
          </a:extLst>
        </xdr:cNvPr>
        <xdr:cNvCxnSpPr/>
      </xdr:nvCxnSpPr>
      <xdr:spPr>
        <a:xfrm flipV="1">
          <a:off x="2805906" y="2729706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7</xdr:row>
      <xdr:rowOff>203993</xdr:rowOff>
    </xdr:from>
    <xdr:to>
      <xdr:col>7</xdr:col>
      <xdr:colOff>237331</xdr:colOff>
      <xdr:row>8</xdr:row>
      <xdr:rowOff>203994</xdr:rowOff>
    </xdr:to>
    <xdr:cxnSp macro="">
      <xdr:nvCxnSpPr>
        <xdr:cNvPr id="1164" name="Match43">
          <a:extLst>
            <a:ext uri="{FF2B5EF4-FFF2-40B4-BE49-F238E27FC236}">
              <a16:creationId xmlns:a16="http://schemas.microsoft.com/office/drawing/2014/main" id="{F07E8571-06F0-71A6-95F9-A078130CDF04}"/>
            </a:ext>
          </a:extLst>
        </xdr:cNvPr>
        <xdr:cNvCxnSpPr/>
      </xdr:nvCxnSpPr>
      <xdr:spPr>
        <a:xfrm flipH="1" flipV="1">
          <a:off x="2780506" y="270430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10</xdr:row>
      <xdr:rowOff>178594</xdr:rowOff>
    </xdr:from>
    <xdr:to>
      <xdr:col>2</xdr:col>
      <xdr:colOff>211931</xdr:colOff>
      <xdr:row>11</xdr:row>
      <xdr:rowOff>178593</xdr:rowOff>
    </xdr:to>
    <xdr:cxnSp macro="">
      <xdr:nvCxnSpPr>
        <xdr:cNvPr id="1165" name="Match44">
          <a:extLst>
            <a:ext uri="{FF2B5EF4-FFF2-40B4-BE49-F238E27FC236}">
              <a16:creationId xmlns:a16="http://schemas.microsoft.com/office/drawing/2014/main" id="{E2A8D50D-3C01-8163-7DEE-D8DEAED8CD58}"/>
            </a:ext>
          </a:extLst>
        </xdr:cNvPr>
        <xdr:cNvCxnSpPr/>
      </xdr:nvCxnSpPr>
      <xdr:spPr>
        <a:xfrm>
          <a:off x="63579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10</xdr:row>
      <xdr:rowOff>203994</xdr:rowOff>
    </xdr:from>
    <xdr:to>
      <xdr:col>1</xdr:col>
      <xdr:colOff>237331</xdr:colOff>
      <xdr:row>11</xdr:row>
      <xdr:rowOff>203993</xdr:rowOff>
    </xdr:to>
    <xdr:cxnSp macro="">
      <xdr:nvCxnSpPr>
        <xdr:cNvPr id="1166" name="Match45">
          <a:extLst>
            <a:ext uri="{FF2B5EF4-FFF2-40B4-BE49-F238E27FC236}">
              <a16:creationId xmlns:a16="http://schemas.microsoft.com/office/drawing/2014/main" id="{3CADB88B-C851-4D8A-018C-03E0102BFFC2}"/>
            </a:ext>
          </a:extLst>
        </xdr:cNvPr>
        <xdr:cNvCxnSpPr/>
      </xdr:nvCxnSpPr>
      <xdr:spPr>
        <a:xfrm>
          <a:off x="661194" y="37758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9</xdr:row>
      <xdr:rowOff>229393</xdr:rowOff>
    </xdr:from>
    <xdr:to>
      <xdr:col>2</xdr:col>
      <xdr:colOff>262731</xdr:colOff>
      <xdr:row>10</xdr:row>
      <xdr:rowOff>229394</xdr:rowOff>
    </xdr:to>
    <xdr:cxnSp macro="">
      <xdr:nvCxnSpPr>
        <xdr:cNvPr id="1167" name="Match46">
          <a:extLst>
            <a:ext uri="{FF2B5EF4-FFF2-40B4-BE49-F238E27FC236}">
              <a16:creationId xmlns:a16="http://schemas.microsoft.com/office/drawing/2014/main" id="{4BAD96EA-F1BD-EFF3-4718-1FCE308168B8}"/>
            </a:ext>
          </a:extLst>
        </xdr:cNvPr>
        <xdr:cNvCxnSpPr/>
      </xdr:nvCxnSpPr>
      <xdr:spPr>
        <a:xfrm flipV="1">
          <a:off x="686594" y="3444081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3</xdr:col>
      <xdr:colOff>211931</xdr:colOff>
      <xdr:row>10</xdr:row>
      <xdr:rowOff>178594</xdr:rowOff>
    </xdr:to>
    <xdr:cxnSp macro="">
      <xdr:nvCxnSpPr>
        <xdr:cNvPr id="1168" name="Match47">
          <a:extLst>
            <a:ext uri="{FF2B5EF4-FFF2-40B4-BE49-F238E27FC236}">
              <a16:creationId xmlns:a16="http://schemas.microsoft.com/office/drawing/2014/main" id="{EFA4C932-20AB-E61D-1E45-9976716302C2}"/>
            </a:ext>
          </a:extLst>
        </xdr:cNvPr>
        <xdr:cNvCxnSpPr/>
      </xdr:nvCxnSpPr>
      <xdr:spPr>
        <a:xfrm flipV="1">
          <a:off x="1483519" y="1607344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3</xdr:row>
      <xdr:rowOff>229393</xdr:rowOff>
    </xdr:from>
    <xdr:to>
      <xdr:col>9</xdr:col>
      <xdr:colOff>262731</xdr:colOff>
      <xdr:row>3</xdr:row>
      <xdr:rowOff>229393</xdr:rowOff>
    </xdr:to>
    <xdr:cxnSp macro="">
      <xdr:nvCxnSpPr>
        <xdr:cNvPr id="1169" name="Match48">
          <a:extLst>
            <a:ext uri="{FF2B5EF4-FFF2-40B4-BE49-F238E27FC236}">
              <a16:creationId xmlns:a16="http://schemas.microsoft.com/office/drawing/2014/main" id="{51B1C86B-ADDE-17E5-7337-EEF18E79B696}"/>
            </a:ext>
          </a:extLst>
        </xdr:cNvPr>
        <xdr:cNvCxnSpPr/>
      </xdr:nvCxnSpPr>
      <xdr:spPr>
        <a:xfrm flipH="1">
          <a:off x="3229769" y="1300956"/>
          <a:ext cx="847725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3</xdr:row>
      <xdr:rowOff>229393</xdr:rowOff>
    </xdr:from>
    <xdr:to>
      <xdr:col>7</xdr:col>
      <xdr:colOff>262731</xdr:colOff>
      <xdr:row>5</xdr:row>
      <xdr:rowOff>229393</xdr:rowOff>
    </xdr:to>
    <xdr:cxnSp macro="">
      <xdr:nvCxnSpPr>
        <xdr:cNvPr id="1170" name="Match49">
          <a:extLst>
            <a:ext uri="{FF2B5EF4-FFF2-40B4-BE49-F238E27FC236}">
              <a16:creationId xmlns:a16="http://schemas.microsoft.com/office/drawing/2014/main" id="{42C47E9E-DACB-FAEC-BA60-D933983BDD84}"/>
            </a:ext>
          </a:extLst>
        </xdr:cNvPr>
        <xdr:cNvCxnSpPr/>
      </xdr:nvCxnSpPr>
      <xdr:spPr>
        <a:xfrm flipV="1">
          <a:off x="3229769" y="1300956"/>
          <a:ext cx="0" cy="714375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5</xdr:row>
      <xdr:rowOff>203993</xdr:rowOff>
    </xdr:from>
    <xdr:to>
      <xdr:col>8</xdr:col>
      <xdr:colOff>237331</xdr:colOff>
      <xdr:row>7</xdr:row>
      <xdr:rowOff>203993</xdr:rowOff>
    </xdr:to>
    <xdr:cxnSp macro="">
      <xdr:nvCxnSpPr>
        <xdr:cNvPr id="1171" name="Match50">
          <a:extLst>
            <a:ext uri="{FF2B5EF4-FFF2-40B4-BE49-F238E27FC236}">
              <a16:creationId xmlns:a16="http://schemas.microsoft.com/office/drawing/2014/main" id="{6D81A99E-3AF1-3D06-B07F-1CC48DF388CE}"/>
            </a:ext>
          </a:extLst>
        </xdr:cNvPr>
        <xdr:cNvCxnSpPr/>
      </xdr:nvCxnSpPr>
      <xdr:spPr>
        <a:xfrm flipH="1">
          <a:off x="2780506" y="1989931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8</xdr:row>
      <xdr:rowOff>229394</xdr:rowOff>
    </xdr:from>
    <xdr:to>
      <xdr:col>7</xdr:col>
      <xdr:colOff>262731</xdr:colOff>
      <xdr:row>10</xdr:row>
      <xdr:rowOff>229394</xdr:rowOff>
    </xdr:to>
    <xdr:cxnSp macro="">
      <xdr:nvCxnSpPr>
        <xdr:cNvPr id="1172" name="Match51">
          <a:extLst>
            <a:ext uri="{FF2B5EF4-FFF2-40B4-BE49-F238E27FC236}">
              <a16:creationId xmlns:a16="http://schemas.microsoft.com/office/drawing/2014/main" id="{6FA50C64-BD51-7C14-C991-CDB9E487C369}"/>
            </a:ext>
          </a:extLst>
        </xdr:cNvPr>
        <xdr:cNvCxnSpPr/>
      </xdr:nvCxnSpPr>
      <xdr:spPr>
        <a:xfrm flipH="1">
          <a:off x="2382044" y="3086894"/>
          <a:ext cx="847725" cy="714375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3</xdr:col>
      <xdr:colOff>211931</xdr:colOff>
      <xdr:row>3</xdr:row>
      <xdr:rowOff>178593</xdr:rowOff>
    </xdr:to>
    <xdr:cxnSp macro="">
      <xdr:nvCxnSpPr>
        <xdr:cNvPr id="1173" name="Match52">
          <a:extLst>
            <a:ext uri="{FF2B5EF4-FFF2-40B4-BE49-F238E27FC236}">
              <a16:creationId xmlns:a16="http://schemas.microsoft.com/office/drawing/2014/main" id="{4338C1AF-7F91-1917-C1C0-0500E6CB78B9}"/>
            </a:ext>
          </a:extLst>
        </xdr:cNvPr>
        <xdr:cNvCxnSpPr/>
      </xdr:nvCxnSpPr>
      <xdr:spPr>
        <a:xfrm flipH="1" flipV="1">
          <a:off x="211931" y="178594"/>
          <a:ext cx="1271588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25</xdr:col>
      <xdr:colOff>457200</xdr:colOff>
      <xdr:row>0</xdr:row>
      <xdr:rowOff>2743200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38C84A-632B-7A88-D4F6-9F464A0FEC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/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2">
        <v>5</v>
      </c>
      <c r="B1" s="23">
        <v>9</v>
      </c>
      <c r="C1" s="26">
        <v>8</v>
      </c>
      <c r="D1" s="26">
        <v>1</v>
      </c>
      <c r="E1" s="22">
        <v>4</v>
      </c>
      <c r="F1" s="22">
        <v>1</v>
      </c>
      <c r="G1" s="22">
        <v>2</v>
      </c>
      <c r="H1" s="22">
        <v>6</v>
      </c>
      <c r="I1" s="22">
        <v>8</v>
      </c>
      <c r="J1" s="22">
        <v>2</v>
      </c>
      <c r="K1" s="26">
        <v>3</v>
      </c>
      <c r="L1" s="26">
        <v>4</v>
      </c>
      <c r="N1" s="2">
        <v>97</v>
      </c>
      <c r="O1" s="1">
        <v>6</v>
      </c>
    </row>
    <row r="2" spans="1:15" ht="28.25" customHeight="1">
      <c r="A2" s="26">
        <v>1</v>
      </c>
      <c r="B2" s="22">
        <v>6</v>
      </c>
      <c r="C2" s="26">
        <v>6</v>
      </c>
      <c r="D2" s="26">
        <v>8</v>
      </c>
      <c r="E2" s="22">
        <v>2</v>
      </c>
      <c r="F2" s="23">
        <v>2</v>
      </c>
      <c r="G2" s="23">
        <v>5</v>
      </c>
      <c r="H2" s="26">
        <v>7</v>
      </c>
      <c r="I2" s="26">
        <v>3</v>
      </c>
      <c r="J2" s="26">
        <v>8</v>
      </c>
      <c r="K2" s="26">
        <v>6</v>
      </c>
      <c r="L2" s="26">
        <v>2</v>
      </c>
      <c r="N2" s="2">
        <v>517</v>
      </c>
      <c r="O2" s="1">
        <v>4</v>
      </c>
    </row>
    <row r="3" spans="1:15" ht="28.25" customHeight="1">
      <c r="A3" s="26">
        <v>5</v>
      </c>
      <c r="B3" s="23">
        <v>5</v>
      </c>
      <c r="C3" s="22">
        <v>6</v>
      </c>
      <c r="D3" s="23">
        <v>5</v>
      </c>
      <c r="E3" s="22">
        <v>6</v>
      </c>
      <c r="F3" s="22">
        <v>7</v>
      </c>
      <c r="G3" s="22">
        <v>8</v>
      </c>
      <c r="H3" s="22">
        <v>8</v>
      </c>
      <c r="I3" s="22">
        <v>2</v>
      </c>
      <c r="J3" s="22">
        <v>3</v>
      </c>
      <c r="K3" s="22">
        <v>9</v>
      </c>
      <c r="L3" s="23">
        <v>7</v>
      </c>
      <c r="N3" s="2">
        <v>59</v>
      </c>
      <c r="O3" s="1">
        <v>9</v>
      </c>
    </row>
    <row r="4" spans="1:15" ht="28.25" customHeight="1">
      <c r="A4" s="26">
        <v>4</v>
      </c>
      <c r="B4" s="26">
        <v>8</v>
      </c>
      <c r="C4" s="23">
        <v>9</v>
      </c>
      <c r="D4" s="22">
        <v>1</v>
      </c>
      <c r="E4" s="22">
        <v>7</v>
      </c>
      <c r="F4" s="22">
        <v>4</v>
      </c>
      <c r="G4" s="22">
        <v>7</v>
      </c>
      <c r="H4" s="22">
        <v>2</v>
      </c>
      <c r="I4" s="22">
        <v>1</v>
      </c>
      <c r="J4" s="22">
        <v>5</v>
      </c>
      <c r="K4" s="26">
        <v>4</v>
      </c>
      <c r="L4" s="26">
        <v>4</v>
      </c>
      <c r="N4" s="2">
        <v>227</v>
      </c>
      <c r="O4" s="1">
        <v>1</v>
      </c>
    </row>
    <row r="5" spans="1:15" ht="28.25" customHeight="1">
      <c r="A5" s="26">
        <v>9</v>
      </c>
      <c r="B5" s="23">
        <v>3</v>
      </c>
      <c r="C5" s="23">
        <v>5</v>
      </c>
      <c r="D5" s="22">
        <v>6</v>
      </c>
      <c r="E5" s="22">
        <v>4</v>
      </c>
      <c r="F5" s="22">
        <v>4</v>
      </c>
      <c r="G5" s="26">
        <v>4</v>
      </c>
      <c r="H5" s="22">
        <v>1</v>
      </c>
      <c r="I5" s="26">
        <v>1</v>
      </c>
      <c r="J5" s="23">
        <v>3</v>
      </c>
      <c r="K5" s="26">
        <v>6</v>
      </c>
      <c r="L5" s="26">
        <v>4</v>
      </c>
      <c r="N5" s="2">
        <v>7644</v>
      </c>
      <c r="O5" s="1">
        <v>1</v>
      </c>
    </row>
    <row r="6" spans="1:15" ht="28.25" customHeight="1">
      <c r="A6" s="26">
        <v>3</v>
      </c>
      <c r="B6" s="23">
        <v>3</v>
      </c>
      <c r="C6" s="23">
        <v>3</v>
      </c>
      <c r="D6" s="22">
        <v>1</v>
      </c>
      <c r="E6" s="22">
        <v>4</v>
      </c>
      <c r="F6" s="22">
        <v>6</v>
      </c>
      <c r="G6" s="23">
        <v>3</v>
      </c>
      <c r="H6" s="22">
        <v>5</v>
      </c>
      <c r="I6" s="22">
        <v>5</v>
      </c>
      <c r="J6" s="26">
        <v>4</v>
      </c>
      <c r="K6" s="26">
        <v>7</v>
      </c>
      <c r="L6" s="26">
        <v>8</v>
      </c>
      <c r="N6" s="2">
        <v>12682</v>
      </c>
      <c r="O6" s="1">
        <v>1</v>
      </c>
    </row>
    <row r="7" spans="1:15" ht="28.25" customHeight="1">
      <c r="A7" s="26">
        <v>9</v>
      </c>
      <c r="B7" s="23">
        <v>9</v>
      </c>
      <c r="C7" s="26">
        <v>2</v>
      </c>
      <c r="D7" s="22">
        <v>4</v>
      </c>
      <c r="E7" s="22">
        <v>5</v>
      </c>
      <c r="F7" s="22">
        <v>7</v>
      </c>
      <c r="G7" s="26">
        <v>4</v>
      </c>
      <c r="H7" s="23">
        <v>1</v>
      </c>
      <c r="I7" s="22">
        <v>6</v>
      </c>
      <c r="J7" s="26">
        <v>4</v>
      </c>
      <c r="K7" s="23">
        <v>5</v>
      </c>
      <c r="L7" s="26">
        <v>7</v>
      </c>
      <c r="N7" s="2">
        <v>932887</v>
      </c>
      <c r="O7" s="1">
        <v>1</v>
      </c>
    </row>
    <row r="8" spans="1:15" ht="28.25" customHeight="1">
      <c r="A8" s="23">
        <v>9</v>
      </c>
      <c r="B8" s="26">
        <v>4</v>
      </c>
      <c r="C8" s="23">
        <v>7</v>
      </c>
      <c r="D8" s="22">
        <v>3</v>
      </c>
      <c r="E8" s="23">
        <v>1</v>
      </c>
      <c r="F8" s="26">
        <v>7</v>
      </c>
      <c r="G8" s="22">
        <v>2</v>
      </c>
      <c r="H8" s="23">
        <v>7</v>
      </c>
      <c r="I8" s="26">
        <v>4</v>
      </c>
      <c r="J8" s="22">
        <v>9</v>
      </c>
      <c r="K8" s="26">
        <v>6</v>
      </c>
      <c r="L8" s="23">
        <v>5</v>
      </c>
      <c r="N8" s="2">
        <v>41747</v>
      </c>
      <c r="O8" s="1">
        <v>1</v>
      </c>
    </row>
    <row r="9" spans="1:15" ht="28.25" customHeight="1">
      <c r="A9" s="23">
        <v>3</v>
      </c>
      <c r="B9" s="23">
        <v>7</v>
      </c>
      <c r="C9" s="26">
        <v>3</v>
      </c>
      <c r="D9" s="22">
        <v>7</v>
      </c>
      <c r="E9" s="23">
        <v>7</v>
      </c>
      <c r="F9" s="23">
        <v>1</v>
      </c>
      <c r="G9" s="23">
        <v>5</v>
      </c>
      <c r="H9" s="22">
        <v>5</v>
      </c>
      <c r="I9" s="26">
        <v>8</v>
      </c>
      <c r="J9" s="26">
        <v>3</v>
      </c>
      <c r="K9" s="22">
        <v>6</v>
      </c>
      <c r="L9" s="23">
        <v>9</v>
      </c>
      <c r="N9" s="2">
        <v>56968</v>
      </c>
      <c r="O9" s="1">
        <v>1</v>
      </c>
    </row>
    <row r="10" spans="1:15" ht="28.25" customHeight="1">
      <c r="A10" s="23">
        <v>5</v>
      </c>
      <c r="B10" s="23">
        <v>3</v>
      </c>
      <c r="C10" s="23">
        <v>2</v>
      </c>
      <c r="D10" s="22">
        <v>3</v>
      </c>
      <c r="E10" s="26">
        <v>3</v>
      </c>
      <c r="F10" s="23">
        <v>3</v>
      </c>
      <c r="G10" s="23">
        <v>1</v>
      </c>
      <c r="H10" s="22">
        <v>9</v>
      </c>
      <c r="I10" s="26">
        <v>6</v>
      </c>
      <c r="J10" s="23">
        <v>9</v>
      </c>
      <c r="K10" s="26">
        <v>6</v>
      </c>
      <c r="L10" s="22">
        <v>8</v>
      </c>
      <c r="N10" s="2">
        <v>5447624</v>
      </c>
      <c r="O10" s="1">
        <v>1</v>
      </c>
    </row>
    <row r="11" spans="1:15" ht="28.25" customHeight="1">
      <c r="A11" s="26">
        <v>6</v>
      </c>
      <c r="B11" s="23">
        <v>5</v>
      </c>
      <c r="C11" s="26">
        <v>1</v>
      </c>
      <c r="D11" s="22">
        <v>4</v>
      </c>
      <c r="E11" s="26">
        <v>7</v>
      </c>
      <c r="F11" s="23">
        <v>2</v>
      </c>
      <c r="G11" s="22">
        <v>4</v>
      </c>
      <c r="H11" s="22">
        <v>1</v>
      </c>
      <c r="I11" s="22">
        <v>7</v>
      </c>
      <c r="J11" s="22">
        <v>4</v>
      </c>
      <c r="K11" s="22">
        <v>7</v>
      </c>
      <c r="L11" s="26">
        <v>4</v>
      </c>
      <c r="N11" s="2">
        <v>35</v>
      </c>
      <c r="O11" s="1">
        <v>12</v>
      </c>
    </row>
    <row r="12" spans="1:15" ht="28.25" customHeight="1">
      <c r="A12" s="26">
        <v>1</v>
      </c>
      <c r="B12" s="22">
        <v>2</v>
      </c>
      <c r="C12" s="22">
        <v>2</v>
      </c>
      <c r="D12" s="22">
        <v>7</v>
      </c>
      <c r="E12" s="26">
        <v>1</v>
      </c>
      <c r="F12" s="26">
        <v>6</v>
      </c>
      <c r="G12" s="26">
        <v>9</v>
      </c>
      <c r="H12" s="26">
        <v>8</v>
      </c>
      <c r="I12" s="26">
        <v>7</v>
      </c>
      <c r="J12" s="26">
        <v>3</v>
      </c>
      <c r="K12" s="26">
        <v>6</v>
      </c>
      <c r="L12" s="26">
        <v>2</v>
      </c>
      <c r="N12" s="2">
        <v>52</v>
      </c>
      <c r="O12" s="1">
        <v>9</v>
      </c>
    </row>
    <row r="13" spans="1:15" ht="28.25" customHeight="1">
      <c r="N13" s="2">
        <v>4373416</v>
      </c>
      <c r="O13" s="1">
        <v>1</v>
      </c>
    </row>
    <row r="14" spans="1:15" ht="28.25" customHeight="1">
      <c r="N14" s="2">
        <v>512</v>
      </c>
      <c r="O14" s="1">
        <v>4</v>
      </c>
    </row>
    <row r="15" spans="1:15" ht="28.25" customHeight="1">
      <c r="N15" s="2">
        <v>1665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96"/>
  <sheetViews>
    <sheetView tabSelected="1" zoomScaleNormal="100" workbookViewId="0">
      <pane ySplit="1" topLeftCell="A91" activePane="bottomLeft" state="frozen"/>
      <selection pane="bottomLeft" activeCell="A96" sqref="A96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 ht="246.75">
      <c r="A1" t="s">
        <v>0</v>
      </c>
      <c r="B1" s="4" t="s">
        <v>171</v>
      </c>
      <c r="C1" s="4" t="s">
        <v>172</v>
      </c>
      <c r="D1" s="4" t="s">
        <v>173</v>
      </c>
      <c r="E1" s="4" t="s">
        <v>174</v>
      </c>
      <c r="F1" s="4" t="s">
        <v>175</v>
      </c>
      <c r="G1" s="4" t="s">
        <v>10</v>
      </c>
      <c r="H1" s="4" t="s">
        <v>16</v>
      </c>
      <c r="I1" s="4" t="s">
        <v>15</v>
      </c>
      <c r="J1" s="4" t="s">
        <v>11</v>
      </c>
      <c r="K1" s="4" t="s">
        <v>179</v>
      </c>
      <c r="L1" s="4" t="s">
        <v>163</v>
      </c>
      <c r="M1" s="4" t="s">
        <v>207</v>
      </c>
      <c r="N1" s="4" t="s">
        <v>178</v>
      </c>
      <c r="O1" s="4" t="s">
        <v>180</v>
      </c>
      <c r="P1" s="4" t="s">
        <v>170</v>
      </c>
      <c r="AA1" t="s">
        <v>0</v>
      </c>
      <c r="AB1" s="4" t="s">
        <v>49</v>
      </c>
      <c r="AC1" s="4" t="s">
        <v>1</v>
      </c>
      <c r="AD1" s="4" t="s">
        <v>2</v>
      </c>
      <c r="AE1" s="4" t="s">
        <v>3</v>
      </c>
      <c r="AF1" s="4" t="s">
        <v>10</v>
      </c>
      <c r="AG1" s="4" t="s">
        <v>16</v>
      </c>
      <c r="AH1" s="4" t="s">
        <v>15</v>
      </c>
      <c r="AI1" s="4" t="s">
        <v>11</v>
      </c>
    </row>
    <row r="2" spans="1:35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66</v>
      </c>
      <c r="I2" t="s">
        <v>48</v>
      </c>
      <c r="J2">
        <v>0</v>
      </c>
      <c r="AA2" s="3">
        <v>45951.701574074075</v>
      </c>
      <c r="AB2">
        <v>20</v>
      </c>
      <c r="AC2">
        <v>0</v>
      </c>
      <c r="AD2">
        <v>3</v>
      </c>
      <c r="AE2">
        <v>0</v>
      </c>
      <c r="AF2" s="5">
        <v>1.4050925929041114E-2</v>
      </c>
      <c r="AG2" t="s">
        <v>17</v>
      </c>
      <c r="AH2" t="s">
        <v>48</v>
      </c>
      <c r="AI2">
        <v>0</v>
      </c>
    </row>
    <row r="3" spans="1:35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64</v>
      </c>
      <c r="I3" t="s">
        <v>65</v>
      </c>
      <c r="J3">
        <v>0</v>
      </c>
      <c r="AA3" s="3">
        <v>45951.867650462962</v>
      </c>
      <c r="AB3">
        <v>19</v>
      </c>
      <c r="AC3">
        <v>0</v>
      </c>
      <c r="AD3">
        <v>0</v>
      </c>
      <c r="AE3">
        <v>0</v>
      </c>
      <c r="AF3" s="5">
        <v>1.0868055556784384E-2</v>
      </c>
      <c r="AG3" t="s">
        <v>18</v>
      </c>
      <c r="AH3" t="s">
        <v>19</v>
      </c>
      <c r="AI3">
        <v>0</v>
      </c>
    </row>
    <row r="4" spans="1:35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62</v>
      </c>
      <c r="I4" t="s">
        <v>63</v>
      </c>
      <c r="J4">
        <v>0</v>
      </c>
      <c r="AA4" s="3">
        <v>45952.483495370368</v>
      </c>
      <c r="AB4">
        <v>15</v>
      </c>
      <c r="AC4">
        <v>0</v>
      </c>
      <c r="AD4">
        <v>5</v>
      </c>
      <c r="AE4">
        <v>0</v>
      </c>
      <c r="AF4" s="5">
        <v>1.7534722217533272E-2</v>
      </c>
      <c r="AG4" t="s">
        <v>20</v>
      </c>
      <c r="AH4" t="s">
        <v>21</v>
      </c>
      <c r="AI4">
        <v>0</v>
      </c>
    </row>
    <row r="5" spans="1:35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60</v>
      </c>
      <c r="I5" t="s">
        <v>61</v>
      </c>
      <c r="J5">
        <v>0</v>
      </c>
      <c r="AA5" s="3">
        <v>45952.864699074074</v>
      </c>
      <c r="AB5">
        <v>29</v>
      </c>
      <c r="AC5">
        <v>0</v>
      </c>
      <c r="AD5">
        <v>1</v>
      </c>
      <c r="AE5">
        <v>0</v>
      </c>
      <c r="AF5" s="5">
        <v>1.9606481480877846E-2</v>
      </c>
      <c r="AG5" t="s">
        <v>22</v>
      </c>
      <c r="AH5" t="s">
        <v>23</v>
      </c>
      <c r="AI5">
        <v>0</v>
      </c>
    </row>
    <row r="6" spans="1:35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58</v>
      </c>
      <c r="I6" t="s">
        <v>59</v>
      </c>
      <c r="J6">
        <v>0</v>
      </c>
      <c r="AA6" s="3">
        <v>45953.849791666667</v>
      </c>
      <c r="AB6">
        <v>65</v>
      </c>
      <c r="AC6">
        <v>0</v>
      </c>
      <c r="AD6">
        <v>1</v>
      </c>
      <c r="AE6">
        <v>0</v>
      </c>
      <c r="AF6" s="5">
        <v>1.4953703706851229E-2</v>
      </c>
      <c r="AG6" t="s">
        <v>32</v>
      </c>
      <c r="AH6" t="s">
        <v>33</v>
      </c>
      <c r="AI6">
        <v>0</v>
      </c>
    </row>
    <row r="7" spans="1:35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56</v>
      </c>
      <c r="I7" t="s">
        <v>57</v>
      </c>
      <c r="J7">
        <v>0</v>
      </c>
      <c r="AA7" s="3">
        <v>45953.869490740741</v>
      </c>
      <c r="AB7">
        <v>54</v>
      </c>
      <c r="AC7">
        <v>0</v>
      </c>
      <c r="AD7">
        <v>1</v>
      </c>
      <c r="AE7">
        <v>0</v>
      </c>
      <c r="AF7" s="5">
        <v>1.8831018518540077E-2</v>
      </c>
      <c r="AG7" t="s">
        <v>34</v>
      </c>
      <c r="AH7" t="s">
        <v>35</v>
      </c>
      <c r="AI7">
        <v>0</v>
      </c>
    </row>
    <row r="8" spans="1:35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54</v>
      </c>
      <c r="I8" t="s">
        <v>55</v>
      </c>
      <c r="J8">
        <v>0</v>
      </c>
      <c r="AA8" s="3">
        <v>45954.406076388892</v>
      </c>
      <c r="AB8">
        <v>45</v>
      </c>
      <c r="AC8">
        <v>0</v>
      </c>
      <c r="AD8">
        <v>3</v>
      </c>
      <c r="AE8">
        <v>0</v>
      </c>
      <c r="AF8" s="5">
        <v>1.0740740741312038E-2</v>
      </c>
      <c r="AG8" t="s">
        <v>36</v>
      </c>
      <c r="AH8" t="s">
        <v>37</v>
      </c>
      <c r="AI8">
        <v>0</v>
      </c>
    </row>
    <row r="9" spans="1:35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52</v>
      </c>
      <c r="I9" t="s">
        <v>53</v>
      </c>
      <c r="J9">
        <v>0</v>
      </c>
      <c r="AA9" s="3">
        <v>45954.875092592592</v>
      </c>
      <c r="AB9">
        <v>43</v>
      </c>
      <c r="AC9">
        <v>0</v>
      </c>
      <c r="AD9">
        <v>2</v>
      </c>
      <c r="AE9">
        <v>0</v>
      </c>
      <c r="AF9" s="5">
        <v>2.0335648150648922E-2</v>
      </c>
      <c r="AG9" t="s">
        <v>38</v>
      </c>
      <c r="AH9" t="s">
        <v>39</v>
      </c>
      <c r="AI9">
        <v>0</v>
      </c>
    </row>
    <row r="10" spans="1:35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50</v>
      </c>
      <c r="I10" t="s">
        <v>51</v>
      </c>
      <c r="J10">
        <v>0</v>
      </c>
    </row>
    <row r="11" spans="1:35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67</v>
      </c>
      <c r="I11" t="s">
        <v>68</v>
      </c>
      <c r="J11">
        <v>0</v>
      </c>
    </row>
    <row r="12" spans="1:35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69</v>
      </c>
      <c r="I12" t="s">
        <v>70</v>
      </c>
      <c r="J12">
        <v>0</v>
      </c>
    </row>
    <row r="13" spans="1:35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71</v>
      </c>
      <c r="I13" t="s">
        <v>72</v>
      </c>
      <c r="J13">
        <v>0</v>
      </c>
    </row>
    <row r="14" spans="1:35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73</v>
      </c>
      <c r="I14" t="s">
        <v>74</v>
      </c>
      <c r="J14">
        <v>0</v>
      </c>
    </row>
    <row r="15" spans="1:35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75</v>
      </c>
      <c r="I15" t="s">
        <v>76</v>
      </c>
      <c r="J15">
        <v>0</v>
      </c>
    </row>
    <row r="16" spans="1:35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77</v>
      </c>
      <c r="I16" t="s">
        <v>78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79</v>
      </c>
      <c r="I17" t="s">
        <v>80</v>
      </c>
      <c r="J17">
        <v>0</v>
      </c>
      <c r="K17">
        <f>IF(A17&lt;DATEVALUE("2025/11/20"),1,IF(B17-SUM(D17:F17)&lt;&gt;60,0,MAX(2-INT(G17*24*60/10),0)))</f>
        <v>1</v>
      </c>
      <c r="L17">
        <f>L16+K17</f>
        <v>1</v>
      </c>
      <c r="M17">
        <f>2+IF(A17&gt;=DATEVALUE("2025/11/30"),1,0)</f>
        <v>2</v>
      </c>
      <c r="N17">
        <f t="shared" ref="N17:N63" si="0">N16+M17*(INT(A17-6/24)-INT(A16-6/24))+O17</f>
        <v>2</v>
      </c>
      <c r="O17">
        <f>IF(A17&gt;=DATEVALUE("2025/11/8"),1,0)-IF(A16&gt;=DATEVALUE("2025/11/8"),1,0)</f>
        <v>0</v>
      </c>
      <c r="P17" t="str">
        <f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81</v>
      </c>
      <c r="I18" t="s">
        <v>82</v>
      </c>
      <c r="J18">
        <v>0</v>
      </c>
      <c r="K18">
        <f t="shared" ref="K18:K62" si="1">IF(A18&lt;DATEVALUE("2025/11/20"),1,IF(B18-SUM(D18:F18)&lt;&gt;60,0,MAX(2-INT(G18*24*60/10),0)))</f>
        <v>1</v>
      </c>
      <c r="L18">
        <f t="shared" ref="L18:L58" si="2">L17+K18</f>
        <v>2</v>
      </c>
      <c r="M18">
        <f t="shared" ref="M18:M75" si="3">2+IF(A18&gt;=DATEVALUE("2025/11/30"),1,0)</f>
        <v>2</v>
      </c>
      <c r="N18">
        <f t="shared" si="0"/>
        <v>2</v>
      </c>
      <c r="O18">
        <f t="shared" ref="O18:O75" si="4">IF(A18&gt;=DATEVALUE("2025/11/8"),1,0)-IF(A17&gt;=DATEVALUE("2025/11/8"),1,0)</f>
        <v>0</v>
      </c>
      <c r="P18" t="str">
        <f t="shared" ref="P18:P58" si="5">IF(L18&lt;N18,"未達成（"&amp;N18-L18&amp;"）",IF(L18=N18,"達成","前倒し（"&amp;L18-N18&amp;"）"))</f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83</v>
      </c>
      <c r="I19" t="s">
        <v>84</v>
      </c>
      <c r="J19">
        <v>0</v>
      </c>
      <c r="K19">
        <f t="shared" si="1"/>
        <v>1</v>
      </c>
      <c r="L19">
        <f t="shared" si="2"/>
        <v>3</v>
      </c>
      <c r="M19">
        <f t="shared" si="3"/>
        <v>2</v>
      </c>
      <c r="N19">
        <f t="shared" si="0"/>
        <v>4</v>
      </c>
      <c r="O19">
        <f t="shared" si="4"/>
        <v>0</v>
      </c>
      <c r="P19" t="str">
        <f t="shared" si="5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85</v>
      </c>
      <c r="I20" t="s">
        <v>86</v>
      </c>
      <c r="J20">
        <v>0</v>
      </c>
      <c r="K20">
        <f t="shared" si="1"/>
        <v>1</v>
      </c>
      <c r="L20">
        <f t="shared" si="2"/>
        <v>4</v>
      </c>
      <c r="M20">
        <f t="shared" si="3"/>
        <v>2</v>
      </c>
      <c r="N20">
        <f t="shared" si="0"/>
        <v>4</v>
      </c>
      <c r="O20">
        <f t="shared" si="4"/>
        <v>0</v>
      </c>
      <c r="P20" t="str">
        <f t="shared" si="5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87</v>
      </c>
      <c r="I21" t="s">
        <v>88</v>
      </c>
      <c r="J21">
        <v>0</v>
      </c>
      <c r="K21">
        <f t="shared" si="1"/>
        <v>1</v>
      </c>
      <c r="L21">
        <f t="shared" si="2"/>
        <v>5</v>
      </c>
      <c r="M21">
        <f t="shared" si="3"/>
        <v>2</v>
      </c>
      <c r="N21">
        <f t="shared" si="0"/>
        <v>6</v>
      </c>
      <c r="O21">
        <f t="shared" si="4"/>
        <v>0</v>
      </c>
      <c r="P21" t="str">
        <f t="shared" si="5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89</v>
      </c>
      <c r="I22" t="s">
        <v>90</v>
      </c>
      <c r="J22">
        <v>0</v>
      </c>
      <c r="K22">
        <f t="shared" si="1"/>
        <v>1</v>
      </c>
      <c r="L22">
        <f t="shared" si="2"/>
        <v>6</v>
      </c>
      <c r="M22">
        <f t="shared" si="3"/>
        <v>2</v>
      </c>
      <c r="N22">
        <f t="shared" si="0"/>
        <v>6</v>
      </c>
      <c r="O22">
        <f t="shared" si="4"/>
        <v>0</v>
      </c>
      <c r="P22" t="str">
        <f t="shared" si="5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91</v>
      </c>
      <c r="I23" t="s">
        <v>92</v>
      </c>
      <c r="J23">
        <v>0</v>
      </c>
      <c r="K23">
        <f t="shared" si="1"/>
        <v>1</v>
      </c>
      <c r="L23">
        <f t="shared" si="2"/>
        <v>7</v>
      </c>
      <c r="M23">
        <f t="shared" si="3"/>
        <v>2</v>
      </c>
      <c r="N23">
        <f t="shared" si="0"/>
        <v>8</v>
      </c>
      <c r="O23">
        <f t="shared" si="4"/>
        <v>0</v>
      </c>
      <c r="P23" t="str">
        <f t="shared" si="5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93</v>
      </c>
      <c r="I24" t="s">
        <v>94</v>
      </c>
      <c r="J24">
        <v>0</v>
      </c>
      <c r="K24">
        <f t="shared" si="1"/>
        <v>1</v>
      </c>
      <c r="L24">
        <f t="shared" si="2"/>
        <v>8</v>
      </c>
      <c r="M24">
        <f t="shared" si="3"/>
        <v>2</v>
      </c>
      <c r="N24">
        <f t="shared" si="0"/>
        <v>8</v>
      </c>
      <c r="O24">
        <f t="shared" si="4"/>
        <v>0</v>
      </c>
      <c r="P24" t="str">
        <f t="shared" si="5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95</v>
      </c>
      <c r="I25" t="s">
        <v>96</v>
      </c>
      <c r="J25">
        <v>0</v>
      </c>
      <c r="K25">
        <f t="shared" si="1"/>
        <v>1</v>
      </c>
      <c r="L25">
        <f t="shared" si="2"/>
        <v>9</v>
      </c>
      <c r="M25">
        <f t="shared" si="3"/>
        <v>2</v>
      </c>
      <c r="N25">
        <f t="shared" si="0"/>
        <v>10</v>
      </c>
      <c r="O25">
        <f t="shared" si="4"/>
        <v>0</v>
      </c>
      <c r="P25" t="str">
        <f t="shared" si="5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97</v>
      </c>
      <c r="I26" t="s">
        <v>98</v>
      </c>
      <c r="J26">
        <v>0</v>
      </c>
      <c r="K26">
        <f t="shared" si="1"/>
        <v>1</v>
      </c>
      <c r="L26">
        <f t="shared" si="2"/>
        <v>10</v>
      </c>
      <c r="M26">
        <f t="shared" si="3"/>
        <v>2</v>
      </c>
      <c r="N26">
        <f t="shared" si="0"/>
        <v>10</v>
      </c>
      <c r="O26">
        <f t="shared" si="4"/>
        <v>0</v>
      </c>
      <c r="P26" t="str">
        <f t="shared" si="5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99</v>
      </c>
      <c r="I27" t="s">
        <v>100</v>
      </c>
      <c r="J27">
        <v>0</v>
      </c>
      <c r="K27">
        <f t="shared" si="1"/>
        <v>1</v>
      </c>
      <c r="L27">
        <f t="shared" si="2"/>
        <v>11</v>
      </c>
      <c r="M27">
        <f t="shared" si="3"/>
        <v>2</v>
      </c>
      <c r="N27">
        <f t="shared" si="0"/>
        <v>13</v>
      </c>
      <c r="O27">
        <f t="shared" si="4"/>
        <v>1</v>
      </c>
      <c r="P27" t="str">
        <f t="shared" si="5"/>
        <v>未達成（2）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101</v>
      </c>
      <c r="I28" t="s">
        <v>102</v>
      </c>
      <c r="J28">
        <v>0</v>
      </c>
      <c r="K28">
        <f t="shared" si="1"/>
        <v>1</v>
      </c>
      <c r="L28">
        <f t="shared" si="2"/>
        <v>12</v>
      </c>
      <c r="M28">
        <f t="shared" si="3"/>
        <v>2</v>
      </c>
      <c r="N28">
        <f t="shared" si="0"/>
        <v>13</v>
      </c>
      <c r="O28">
        <f t="shared" si="4"/>
        <v>0</v>
      </c>
      <c r="P28" t="str">
        <f t="shared" si="5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103</v>
      </c>
      <c r="I29" t="s">
        <v>104</v>
      </c>
      <c r="J29">
        <v>0</v>
      </c>
      <c r="K29">
        <f t="shared" si="1"/>
        <v>1</v>
      </c>
      <c r="L29">
        <f t="shared" si="2"/>
        <v>13</v>
      </c>
      <c r="M29">
        <f t="shared" si="3"/>
        <v>2</v>
      </c>
      <c r="N29">
        <f t="shared" si="0"/>
        <v>13</v>
      </c>
      <c r="O29">
        <f t="shared" si="4"/>
        <v>0</v>
      </c>
      <c r="P29" t="str">
        <f t="shared" si="5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105</v>
      </c>
      <c r="I30" t="s">
        <v>106</v>
      </c>
      <c r="J30">
        <v>0</v>
      </c>
      <c r="K30">
        <f t="shared" si="1"/>
        <v>1</v>
      </c>
      <c r="L30">
        <f t="shared" si="2"/>
        <v>14</v>
      </c>
      <c r="M30">
        <f t="shared" si="3"/>
        <v>2</v>
      </c>
      <c r="N30">
        <f t="shared" si="0"/>
        <v>15</v>
      </c>
      <c r="O30">
        <f t="shared" si="4"/>
        <v>0</v>
      </c>
      <c r="P30" t="str">
        <f t="shared" si="5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107</v>
      </c>
      <c r="I31" t="s">
        <v>108</v>
      </c>
      <c r="J31">
        <v>0</v>
      </c>
      <c r="K31">
        <f t="shared" si="1"/>
        <v>1</v>
      </c>
      <c r="L31">
        <f t="shared" si="2"/>
        <v>15</v>
      </c>
      <c r="M31">
        <f t="shared" si="3"/>
        <v>2</v>
      </c>
      <c r="N31">
        <f t="shared" si="0"/>
        <v>15</v>
      </c>
      <c r="O31">
        <f t="shared" si="4"/>
        <v>0</v>
      </c>
      <c r="P31" t="str">
        <f t="shared" si="5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109</v>
      </c>
      <c r="I32" t="s">
        <v>110</v>
      </c>
      <c r="J32">
        <v>0</v>
      </c>
      <c r="K32">
        <f t="shared" si="1"/>
        <v>1</v>
      </c>
      <c r="L32">
        <f t="shared" si="2"/>
        <v>16</v>
      </c>
      <c r="M32">
        <f t="shared" si="3"/>
        <v>2</v>
      </c>
      <c r="N32">
        <f t="shared" si="0"/>
        <v>17</v>
      </c>
      <c r="O32">
        <f t="shared" si="4"/>
        <v>0</v>
      </c>
      <c r="P32" t="str">
        <f t="shared" si="5"/>
        <v>未達成（1）</v>
      </c>
    </row>
    <row r="33" spans="1:16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111</v>
      </c>
      <c r="I33" t="s">
        <v>112</v>
      </c>
      <c r="J33">
        <v>0</v>
      </c>
      <c r="K33">
        <f t="shared" si="1"/>
        <v>1</v>
      </c>
      <c r="L33">
        <f t="shared" si="2"/>
        <v>17</v>
      </c>
      <c r="M33">
        <f t="shared" si="3"/>
        <v>2</v>
      </c>
      <c r="N33">
        <f t="shared" si="0"/>
        <v>17</v>
      </c>
      <c r="O33">
        <f t="shared" si="4"/>
        <v>0</v>
      </c>
      <c r="P33" t="str">
        <f t="shared" si="5"/>
        <v>達成</v>
      </c>
    </row>
    <row r="34" spans="1:16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113</v>
      </c>
      <c r="I34" t="s">
        <v>114</v>
      </c>
      <c r="J34">
        <v>0</v>
      </c>
      <c r="K34">
        <f t="shared" si="1"/>
        <v>1</v>
      </c>
      <c r="L34">
        <f t="shared" si="2"/>
        <v>18</v>
      </c>
      <c r="M34">
        <f t="shared" si="3"/>
        <v>2</v>
      </c>
      <c r="N34">
        <f t="shared" si="0"/>
        <v>19</v>
      </c>
      <c r="O34">
        <f t="shared" si="4"/>
        <v>0</v>
      </c>
      <c r="P34" t="str">
        <f t="shared" si="5"/>
        <v>未達成（1）</v>
      </c>
    </row>
    <row r="35" spans="1:16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115</v>
      </c>
      <c r="I35" t="s">
        <v>116</v>
      </c>
      <c r="J35">
        <v>0</v>
      </c>
      <c r="K35">
        <f t="shared" si="1"/>
        <v>1</v>
      </c>
      <c r="L35">
        <f t="shared" si="2"/>
        <v>19</v>
      </c>
      <c r="M35">
        <f t="shared" si="3"/>
        <v>2</v>
      </c>
      <c r="N35">
        <f t="shared" si="0"/>
        <v>19</v>
      </c>
      <c r="O35">
        <f t="shared" si="4"/>
        <v>0</v>
      </c>
      <c r="P35" t="str">
        <f t="shared" si="5"/>
        <v>達成</v>
      </c>
    </row>
    <row r="36" spans="1:16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119</v>
      </c>
      <c r="I36" t="s">
        <v>120</v>
      </c>
      <c r="J36">
        <v>0</v>
      </c>
      <c r="K36">
        <f t="shared" si="1"/>
        <v>1</v>
      </c>
      <c r="L36">
        <f t="shared" si="2"/>
        <v>20</v>
      </c>
      <c r="M36">
        <f t="shared" si="3"/>
        <v>2</v>
      </c>
      <c r="N36">
        <f t="shared" si="0"/>
        <v>21</v>
      </c>
      <c r="O36">
        <f t="shared" si="4"/>
        <v>0</v>
      </c>
      <c r="P36" t="str">
        <f t="shared" si="5"/>
        <v>未達成（1）</v>
      </c>
    </row>
    <row r="37" spans="1:16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117</v>
      </c>
      <c r="I37" t="s">
        <v>118</v>
      </c>
      <c r="J37">
        <v>0</v>
      </c>
      <c r="K37">
        <f t="shared" si="1"/>
        <v>1</v>
      </c>
      <c r="L37">
        <f t="shared" si="2"/>
        <v>21</v>
      </c>
      <c r="M37">
        <f t="shared" si="3"/>
        <v>2</v>
      </c>
      <c r="N37">
        <f t="shared" si="0"/>
        <v>21</v>
      </c>
      <c r="O37">
        <f t="shared" si="4"/>
        <v>0</v>
      </c>
      <c r="P37" t="str">
        <f t="shared" si="5"/>
        <v>達成</v>
      </c>
    </row>
    <row r="38" spans="1:16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121</v>
      </c>
      <c r="I38" t="s">
        <v>122</v>
      </c>
      <c r="J38">
        <v>0</v>
      </c>
      <c r="K38">
        <f t="shared" si="1"/>
        <v>1</v>
      </c>
      <c r="L38">
        <f t="shared" si="2"/>
        <v>22</v>
      </c>
      <c r="M38">
        <f t="shared" si="3"/>
        <v>2</v>
      </c>
      <c r="N38">
        <f t="shared" si="0"/>
        <v>25</v>
      </c>
      <c r="O38">
        <f t="shared" si="4"/>
        <v>0</v>
      </c>
      <c r="P38" t="str">
        <f t="shared" si="5"/>
        <v>未達成（3）</v>
      </c>
    </row>
    <row r="39" spans="1:16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123</v>
      </c>
      <c r="I39" t="s">
        <v>124</v>
      </c>
      <c r="J39">
        <v>0</v>
      </c>
      <c r="K39">
        <f t="shared" si="1"/>
        <v>1</v>
      </c>
      <c r="L39">
        <f t="shared" si="2"/>
        <v>23</v>
      </c>
      <c r="M39">
        <f t="shared" si="3"/>
        <v>2</v>
      </c>
      <c r="N39">
        <f t="shared" si="0"/>
        <v>25</v>
      </c>
      <c r="O39">
        <f t="shared" si="4"/>
        <v>0</v>
      </c>
      <c r="P39" t="str">
        <f t="shared" si="5"/>
        <v>未達成（2）</v>
      </c>
    </row>
    <row r="40" spans="1:16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125</v>
      </c>
      <c r="I40" t="s">
        <v>126</v>
      </c>
      <c r="J40">
        <v>0</v>
      </c>
      <c r="K40">
        <f t="shared" si="1"/>
        <v>1</v>
      </c>
      <c r="L40">
        <f t="shared" si="2"/>
        <v>24</v>
      </c>
      <c r="M40">
        <f t="shared" si="3"/>
        <v>2</v>
      </c>
      <c r="N40">
        <f t="shared" si="0"/>
        <v>27</v>
      </c>
      <c r="O40">
        <f t="shared" si="4"/>
        <v>0</v>
      </c>
      <c r="P40" t="str">
        <f t="shared" si="5"/>
        <v>未達成（3）</v>
      </c>
    </row>
    <row r="41" spans="1:16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127</v>
      </c>
      <c r="I41" t="s">
        <v>128</v>
      </c>
      <c r="J41">
        <v>0</v>
      </c>
      <c r="K41">
        <f t="shared" si="1"/>
        <v>1</v>
      </c>
      <c r="L41">
        <f t="shared" si="2"/>
        <v>25</v>
      </c>
      <c r="M41">
        <f t="shared" si="3"/>
        <v>2</v>
      </c>
      <c r="N41">
        <f t="shared" si="0"/>
        <v>27</v>
      </c>
      <c r="O41">
        <f t="shared" si="4"/>
        <v>0</v>
      </c>
      <c r="P41" t="str">
        <f t="shared" si="5"/>
        <v>未達成（2）</v>
      </c>
    </row>
    <row r="42" spans="1:16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129</v>
      </c>
      <c r="I42" t="s">
        <v>130</v>
      </c>
      <c r="J42">
        <v>0</v>
      </c>
      <c r="K42">
        <f t="shared" si="1"/>
        <v>1</v>
      </c>
      <c r="L42">
        <f t="shared" si="2"/>
        <v>26</v>
      </c>
      <c r="M42">
        <f t="shared" si="3"/>
        <v>2</v>
      </c>
      <c r="N42">
        <f t="shared" si="0"/>
        <v>29</v>
      </c>
      <c r="O42">
        <f t="shared" si="4"/>
        <v>0</v>
      </c>
      <c r="P42" t="str">
        <f t="shared" si="5"/>
        <v>未達成（3）</v>
      </c>
    </row>
    <row r="43" spans="1:16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131</v>
      </c>
      <c r="I43" t="s">
        <v>132</v>
      </c>
      <c r="J43">
        <v>0</v>
      </c>
      <c r="K43">
        <f t="shared" si="1"/>
        <v>1</v>
      </c>
      <c r="L43">
        <f t="shared" si="2"/>
        <v>27</v>
      </c>
      <c r="M43">
        <f t="shared" si="3"/>
        <v>2</v>
      </c>
      <c r="N43">
        <f t="shared" si="0"/>
        <v>29</v>
      </c>
      <c r="O43">
        <f t="shared" si="4"/>
        <v>0</v>
      </c>
      <c r="P43" t="str">
        <f t="shared" si="5"/>
        <v>未達成（2）</v>
      </c>
    </row>
    <row r="44" spans="1:16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133</v>
      </c>
      <c r="I44" t="s">
        <v>134</v>
      </c>
      <c r="J44">
        <v>0</v>
      </c>
      <c r="K44">
        <f t="shared" si="1"/>
        <v>1</v>
      </c>
      <c r="L44">
        <f t="shared" si="2"/>
        <v>28</v>
      </c>
      <c r="M44">
        <f t="shared" si="3"/>
        <v>2</v>
      </c>
      <c r="N44">
        <f t="shared" si="0"/>
        <v>29</v>
      </c>
      <c r="O44">
        <f t="shared" si="4"/>
        <v>0</v>
      </c>
      <c r="P44" t="str">
        <f t="shared" si="5"/>
        <v>未達成（1）</v>
      </c>
    </row>
    <row r="45" spans="1:16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135</v>
      </c>
      <c r="I45" t="s">
        <v>136</v>
      </c>
      <c r="J45">
        <v>0</v>
      </c>
      <c r="K45">
        <f t="shared" si="1"/>
        <v>1</v>
      </c>
      <c r="L45">
        <f t="shared" si="2"/>
        <v>29</v>
      </c>
      <c r="M45">
        <f t="shared" si="3"/>
        <v>2</v>
      </c>
      <c r="N45">
        <f t="shared" si="0"/>
        <v>29</v>
      </c>
      <c r="O45">
        <f t="shared" si="4"/>
        <v>0</v>
      </c>
      <c r="P45" t="str">
        <f t="shared" si="5"/>
        <v>達成</v>
      </c>
    </row>
    <row r="46" spans="1:16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137</v>
      </c>
      <c r="I46" t="s">
        <v>138</v>
      </c>
      <c r="J46">
        <v>0</v>
      </c>
      <c r="K46">
        <f t="shared" si="1"/>
        <v>1</v>
      </c>
      <c r="L46">
        <f t="shared" si="2"/>
        <v>30</v>
      </c>
      <c r="M46">
        <f t="shared" si="3"/>
        <v>2</v>
      </c>
      <c r="N46">
        <f t="shared" si="0"/>
        <v>29</v>
      </c>
      <c r="O46">
        <f t="shared" si="4"/>
        <v>0</v>
      </c>
      <c r="P46" t="str">
        <f t="shared" si="5"/>
        <v>前倒し（1）</v>
      </c>
    </row>
    <row r="47" spans="1:16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139</v>
      </c>
      <c r="I47" t="s">
        <v>140</v>
      </c>
      <c r="J47">
        <v>0</v>
      </c>
      <c r="K47">
        <f t="shared" si="1"/>
        <v>1</v>
      </c>
      <c r="L47">
        <f t="shared" si="2"/>
        <v>31</v>
      </c>
      <c r="M47">
        <f t="shared" si="3"/>
        <v>2</v>
      </c>
      <c r="N47">
        <f t="shared" si="0"/>
        <v>29</v>
      </c>
      <c r="O47">
        <f t="shared" si="4"/>
        <v>0</v>
      </c>
      <c r="P47" t="str">
        <f t="shared" si="5"/>
        <v>前倒し（2）</v>
      </c>
    </row>
    <row r="48" spans="1:16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141</v>
      </c>
      <c r="I48" t="s">
        <v>142</v>
      </c>
      <c r="J48">
        <v>0</v>
      </c>
      <c r="K48">
        <f t="shared" si="1"/>
        <v>1</v>
      </c>
      <c r="L48">
        <f t="shared" si="2"/>
        <v>32</v>
      </c>
      <c r="M48">
        <f t="shared" si="3"/>
        <v>2</v>
      </c>
      <c r="N48">
        <f t="shared" si="0"/>
        <v>31</v>
      </c>
      <c r="O48">
        <f t="shared" si="4"/>
        <v>0</v>
      </c>
      <c r="P48" t="str">
        <f t="shared" si="5"/>
        <v>前倒し（1）</v>
      </c>
    </row>
    <row r="49" spans="1:16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143</v>
      </c>
      <c r="I49" t="s">
        <v>144</v>
      </c>
      <c r="J49">
        <v>0</v>
      </c>
      <c r="K49">
        <f t="shared" si="1"/>
        <v>1</v>
      </c>
      <c r="L49">
        <f t="shared" si="2"/>
        <v>33</v>
      </c>
      <c r="M49">
        <f t="shared" si="3"/>
        <v>2</v>
      </c>
      <c r="N49">
        <f t="shared" si="0"/>
        <v>31</v>
      </c>
      <c r="O49">
        <f t="shared" si="4"/>
        <v>0</v>
      </c>
      <c r="P49" t="str">
        <f t="shared" si="5"/>
        <v>前倒し（2）</v>
      </c>
    </row>
    <row r="50" spans="1:16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145</v>
      </c>
      <c r="I50" t="s">
        <v>146</v>
      </c>
      <c r="J50">
        <v>0</v>
      </c>
      <c r="K50">
        <f t="shared" si="1"/>
        <v>1</v>
      </c>
      <c r="L50">
        <f t="shared" si="2"/>
        <v>34</v>
      </c>
      <c r="M50">
        <f t="shared" si="3"/>
        <v>2</v>
      </c>
      <c r="N50">
        <f t="shared" si="0"/>
        <v>31</v>
      </c>
      <c r="O50">
        <f t="shared" si="4"/>
        <v>0</v>
      </c>
      <c r="P50" t="str">
        <f t="shared" si="5"/>
        <v>前倒し（3）</v>
      </c>
    </row>
    <row r="51" spans="1:16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147</v>
      </c>
      <c r="I51" t="s">
        <v>148</v>
      </c>
      <c r="J51">
        <v>0</v>
      </c>
      <c r="K51">
        <f t="shared" si="1"/>
        <v>1</v>
      </c>
      <c r="L51">
        <f t="shared" si="2"/>
        <v>35</v>
      </c>
      <c r="M51">
        <f t="shared" si="3"/>
        <v>2</v>
      </c>
      <c r="N51">
        <f t="shared" si="0"/>
        <v>31</v>
      </c>
      <c r="O51">
        <f t="shared" si="4"/>
        <v>0</v>
      </c>
      <c r="P51" t="str">
        <f t="shared" si="5"/>
        <v>前倒し（4）</v>
      </c>
    </row>
    <row r="52" spans="1:16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149</v>
      </c>
      <c r="I52" t="s">
        <v>150</v>
      </c>
      <c r="J52">
        <v>0</v>
      </c>
      <c r="K52">
        <f t="shared" si="1"/>
        <v>1</v>
      </c>
      <c r="L52">
        <f t="shared" si="2"/>
        <v>36</v>
      </c>
      <c r="M52">
        <f t="shared" si="3"/>
        <v>2</v>
      </c>
      <c r="N52">
        <f t="shared" si="0"/>
        <v>35</v>
      </c>
      <c r="O52">
        <f t="shared" si="4"/>
        <v>0</v>
      </c>
      <c r="P52" t="str">
        <f t="shared" si="5"/>
        <v>前倒し（1）</v>
      </c>
    </row>
    <row r="53" spans="1:16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151</v>
      </c>
      <c r="I53" t="s">
        <v>152</v>
      </c>
      <c r="J53">
        <v>0</v>
      </c>
      <c r="K53">
        <f t="shared" si="1"/>
        <v>1</v>
      </c>
      <c r="L53">
        <f t="shared" si="2"/>
        <v>37</v>
      </c>
      <c r="M53">
        <f t="shared" si="3"/>
        <v>2</v>
      </c>
      <c r="N53">
        <f t="shared" si="0"/>
        <v>35</v>
      </c>
      <c r="O53">
        <f t="shared" si="4"/>
        <v>0</v>
      </c>
      <c r="P53" t="str">
        <f t="shared" si="5"/>
        <v>前倒し（2）</v>
      </c>
    </row>
    <row r="54" spans="1:16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153</v>
      </c>
      <c r="I54" t="s">
        <v>154</v>
      </c>
      <c r="J54">
        <v>0</v>
      </c>
      <c r="K54">
        <f t="shared" si="1"/>
        <v>1</v>
      </c>
      <c r="L54">
        <f t="shared" si="2"/>
        <v>38</v>
      </c>
      <c r="M54">
        <f t="shared" si="3"/>
        <v>2</v>
      </c>
      <c r="N54">
        <f t="shared" si="0"/>
        <v>37</v>
      </c>
      <c r="O54">
        <f t="shared" si="4"/>
        <v>0</v>
      </c>
      <c r="P54" t="str">
        <f t="shared" si="5"/>
        <v>前倒し（1）</v>
      </c>
    </row>
    <row r="55" spans="1:16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155</v>
      </c>
      <c r="I55" t="s">
        <v>156</v>
      </c>
      <c r="J55">
        <v>0</v>
      </c>
      <c r="K55">
        <f t="shared" si="1"/>
        <v>0</v>
      </c>
      <c r="L55">
        <f t="shared" si="2"/>
        <v>38</v>
      </c>
      <c r="M55">
        <f t="shared" si="3"/>
        <v>2</v>
      </c>
      <c r="N55">
        <f t="shared" si="0"/>
        <v>37</v>
      </c>
      <c r="O55">
        <f t="shared" si="4"/>
        <v>0</v>
      </c>
      <c r="P55" t="str">
        <f t="shared" si="5"/>
        <v>前倒し（1）</v>
      </c>
    </row>
    <row r="56" spans="1:16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157</v>
      </c>
      <c r="I56" t="s">
        <v>158</v>
      </c>
      <c r="J56">
        <v>0</v>
      </c>
      <c r="K56">
        <f t="shared" si="1"/>
        <v>1</v>
      </c>
      <c r="L56">
        <f t="shared" si="2"/>
        <v>39</v>
      </c>
      <c r="M56">
        <f t="shared" si="3"/>
        <v>2</v>
      </c>
      <c r="N56">
        <f t="shared" si="0"/>
        <v>39</v>
      </c>
      <c r="O56">
        <f t="shared" si="4"/>
        <v>0</v>
      </c>
      <c r="P56" t="str">
        <f t="shared" si="5"/>
        <v>達成</v>
      </c>
    </row>
    <row r="57" spans="1:16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159</v>
      </c>
      <c r="I57" t="s">
        <v>160</v>
      </c>
      <c r="J57">
        <v>0</v>
      </c>
      <c r="K57">
        <f t="shared" si="1"/>
        <v>1</v>
      </c>
      <c r="L57">
        <f t="shared" si="2"/>
        <v>40</v>
      </c>
      <c r="M57">
        <f t="shared" si="3"/>
        <v>2</v>
      </c>
      <c r="N57">
        <f t="shared" si="0"/>
        <v>41</v>
      </c>
      <c r="O57">
        <f t="shared" si="4"/>
        <v>0</v>
      </c>
      <c r="P57" t="str">
        <f t="shared" si="5"/>
        <v>未達成（1）</v>
      </c>
    </row>
    <row r="58" spans="1:16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161</v>
      </c>
      <c r="I58" t="s">
        <v>162</v>
      </c>
      <c r="J58">
        <v>0</v>
      </c>
      <c r="K58">
        <f t="shared" si="1"/>
        <v>1</v>
      </c>
      <c r="L58">
        <f t="shared" si="2"/>
        <v>41</v>
      </c>
      <c r="M58">
        <f t="shared" si="3"/>
        <v>2</v>
      </c>
      <c r="N58">
        <f t="shared" si="0"/>
        <v>41</v>
      </c>
      <c r="O58">
        <f t="shared" si="4"/>
        <v>0</v>
      </c>
      <c r="P58" t="str">
        <f t="shared" si="5"/>
        <v>達成</v>
      </c>
    </row>
    <row r="59" spans="1:16">
      <c r="A59" s="3">
        <v>45985.354814814818</v>
      </c>
      <c r="B59">
        <v>60</v>
      </c>
      <c r="C59">
        <v>7</v>
      </c>
      <c r="D59">
        <v>0</v>
      </c>
      <c r="E59">
        <v>0</v>
      </c>
      <c r="F59">
        <v>0</v>
      </c>
      <c r="G59" s="5">
        <v>7.2453703760402277E-3</v>
      </c>
      <c r="H59" t="s">
        <v>164</v>
      </c>
      <c r="I59" t="s">
        <v>165</v>
      </c>
      <c r="J59">
        <v>0</v>
      </c>
      <c r="K59">
        <f t="shared" si="1"/>
        <v>1</v>
      </c>
      <c r="L59">
        <f t="shared" ref="L59" si="6">L58+K59</f>
        <v>42</v>
      </c>
      <c r="M59">
        <f t="shared" si="3"/>
        <v>2</v>
      </c>
      <c r="N59">
        <f t="shared" si="0"/>
        <v>45</v>
      </c>
      <c r="O59">
        <f t="shared" si="4"/>
        <v>0</v>
      </c>
      <c r="P59" t="str">
        <f t="shared" ref="P59" si="7">IF(L59&lt;N59,"未達成（"&amp;N59-L59&amp;"）",IF(L59=N59,"達成","前倒し（"&amp;L59-N59&amp;"）"))</f>
        <v>未達成（3）</v>
      </c>
    </row>
    <row r="60" spans="1:16">
      <c r="A60" s="3">
        <v>45985.363796296297</v>
      </c>
      <c r="B60">
        <v>54</v>
      </c>
      <c r="C60">
        <v>20</v>
      </c>
      <c r="D60">
        <v>0</v>
      </c>
      <c r="E60">
        <v>6</v>
      </c>
      <c r="F60">
        <v>0</v>
      </c>
      <c r="G60" s="5">
        <v>8.3101851851097308E-3</v>
      </c>
      <c r="H60" t="s">
        <v>166</v>
      </c>
      <c r="I60" t="s">
        <v>167</v>
      </c>
      <c r="J60">
        <v>0</v>
      </c>
      <c r="K60">
        <f t="shared" si="1"/>
        <v>0</v>
      </c>
      <c r="L60">
        <f t="shared" ref="L60" si="8">L59+K60</f>
        <v>42</v>
      </c>
      <c r="M60">
        <f t="shared" si="3"/>
        <v>2</v>
      </c>
      <c r="N60">
        <f t="shared" si="0"/>
        <v>45</v>
      </c>
      <c r="O60">
        <f t="shared" si="4"/>
        <v>0</v>
      </c>
      <c r="P60" t="str">
        <f t="shared" ref="P60" si="9">IF(L60&lt;N60,"未達成（"&amp;N60-L60&amp;"）",IF(L60=N60,"達成","前倒し（"&amp;L60-N60&amp;"）"))</f>
        <v>未達成（3）</v>
      </c>
    </row>
    <row r="61" spans="1:16">
      <c r="A61" s="3">
        <v>45985.538761574076</v>
      </c>
      <c r="B61">
        <v>60</v>
      </c>
      <c r="C61">
        <v>36</v>
      </c>
      <c r="D61">
        <v>1</v>
      </c>
      <c r="E61">
        <v>0</v>
      </c>
      <c r="F61">
        <v>0</v>
      </c>
      <c r="G61" s="5">
        <v>8.5069444467080757E-3</v>
      </c>
      <c r="H61" t="s">
        <v>168</v>
      </c>
      <c r="I61" t="s">
        <v>169</v>
      </c>
      <c r="J61">
        <v>0</v>
      </c>
      <c r="K61">
        <f t="shared" si="1"/>
        <v>0</v>
      </c>
      <c r="L61">
        <f t="shared" ref="L61" si="10">L60+K61</f>
        <v>42</v>
      </c>
      <c r="M61">
        <f t="shared" si="3"/>
        <v>2</v>
      </c>
      <c r="N61">
        <f t="shared" si="0"/>
        <v>45</v>
      </c>
      <c r="O61">
        <f t="shared" si="4"/>
        <v>0</v>
      </c>
      <c r="P61" t="str">
        <f t="shared" ref="P61" si="11">IF(L61&lt;N61,"未達成（"&amp;N61-L61&amp;"）",IF(L61=N61,"達成","前倒し（"&amp;L61-N61&amp;"）"))</f>
        <v>未達成（3）</v>
      </c>
    </row>
    <row r="62" spans="1:16">
      <c r="A62" s="3">
        <v>45985.598680555559</v>
      </c>
      <c r="B62">
        <v>60</v>
      </c>
      <c r="C62">
        <v>6</v>
      </c>
      <c r="D62">
        <v>0</v>
      </c>
      <c r="E62">
        <v>0</v>
      </c>
      <c r="F62">
        <v>0</v>
      </c>
      <c r="G62" s="5">
        <v>1.0196759263635613E-2</v>
      </c>
      <c r="H62" t="s">
        <v>176</v>
      </c>
      <c r="I62" t="s">
        <v>177</v>
      </c>
      <c r="J62">
        <v>0</v>
      </c>
      <c r="K62">
        <f t="shared" si="1"/>
        <v>1</v>
      </c>
      <c r="L62">
        <f t="shared" ref="L62" si="12">L61+K62</f>
        <v>43</v>
      </c>
      <c r="M62">
        <f t="shared" si="3"/>
        <v>2</v>
      </c>
      <c r="N62">
        <f t="shared" si="0"/>
        <v>45</v>
      </c>
      <c r="O62">
        <f t="shared" si="4"/>
        <v>0</v>
      </c>
      <c r="P62" t="str">
        <f t="shared" ref="P62" si="13">IF(L62&lt;N62,"未達成（"&amp;N62-L62&amp;"）",IF(L62=N62,"達成","前倒し（"&amp;L62-N62&amp;"）"))</f>
        <v>未達成（2）</v>
      </c>
    </row>
    <row r="63" spans="1:16">
      <c r="A63" s="3">
        <v>45985.709016203706</v>
      </c>
      <c r="B63">
        <v>60</v>
      </c>
      <c r="C63">
        <v>21</v>
      </c>
      <c r="D63">
        <v>0</v>
      </c>
      <c r="E63">
        <v>0</v>
      </c>
      <c r="F63">
        <v>0</v>
      </c>
      <c r="G63" s="5">
        <v>5.7175925976480357E-3</v>
      </c>
      <c r="H63" t="s">
        <v>181</v>
      </c>
      <c r="I63" t="s">
        <v>182</v>
      </c>
      <c r="J63">
        <v>0</v>
      </c>
      <c r="K63">
        <f t="shared" ref="K63" si="14">IF(A63&lt;DATEVALUE("2025/11/20"),1,IF(B63-SUM(D63:F63)&lt;&gt;60,0,MAX(2-INT(G63*24*60/10),0)))</f>
        <v>2</v>
      </c>
      <c r="L63">
        <f t="shared" ref="L63" si="15">L62+K63</f>
        <v>45</v>
      </c>
      <c r="M63">
        <f t="shared" si="3"/>
        <v>2</v>
      </c>
      <c r="N63">
        <f t="shared" si="0"/>
        <v>45</v>
      </c>
      <c r="O63">
        <f t="shared" si="4"/>
        <v>0</v>
      </c>
      <c r="P63" t="str">
        <f t="shared" ref="P63" si="16">IF(L63&lt;N63,"未達成（"&amp;N63-L63&amp;"）",IF(L63=N63,"達成","前倒し（"&amp;L63-N63&amp;"）"))</f>
        <v>達成</v>
      </c>
    </row>
    <row r="64" spans="1:16">
      <c r="A64" s="3">
        <v>45986.535011574073</v>
      </c>
      <c r="B64">
        <v>60</v>
      </c>
      <c r="C64">
        <v>41</v>
      </c>
      <c r="D64">
        <v>0</v>
      </c>
      <c r="E64">
        <v>0</v>
      </c>
      <c r="F64">
        <v>0</v>
      </c>
      <c r="G64" s="5">
        <v>6.701388891087845E-3</v>
      </c>
      <c r="H64" t="s">
        <v>183</v>
      </c>
      <c r="I64" t="s">
        <v>184</v>
      </c>
      <c r="J64">
        <v>0</v>
      </c>
      <c r="K64">
        <f t="shared" ref="K64" si="17">IF(A64&lt;DATEVALUE("2025/11/20"),1,IF(B64-SUM(D64:F64)&lt;&gt;60,0,MAX(2-INT(G64*24*60/10),0)))</f>
        <v>2</v>
      </c>
      <c r="L64">
        <f t="shared" ref="L64" si="18">L63+K64</f>
        <v>47</v>
      </c>
      <c r="M64">
        <f t="shared" si="3"/>
        <v>2</v>
      </c>
      <c r="N64">
        <f t="shared" ref="N64" si="19">N63+M64*(INT(A64-6/24)-INT(A63-6/24))+O64</f>
        <v>47</v>
      </c>
      <c r="O64">
        <f t="shared" si="4"/>
        <v>0</v>
      </c>
      <c r="P64" t="str">
        <f t="shared" ref="P64" si="20">IF(L64&lt;N64,"未達成（"&amp;N64-L64&amp;"）",IF(L64=N64,"達成","前倒し（"&amp;L64-N64&amp;"）"))</f>
        <v>達成</v>
      </c>
    </row>
    <row r="65" spans="1:16">
      <c r="A65" s="3">
        <v>45987.58321759259</v>
      </c>
      <c r="B65">
        <v>57</v>
      </c>
      <c r="C65">
        <v>20</v>
      </c>
      <c r="D65">
        <v>0</v>
      </c>
      <c r="E65">
        <v>3</v>
      </c>
      <c r="F65">
        <v>2</v>
      </c>
      <c r="G65" s="5">
        <v>7.696759254031349E-3</v>
      </c>
      <c r="H65" t="s">
        <v>185</v>
      </c>
      <c r="I65" t="s">
        <v>186</v>
      </c>
      <c r="J65">
        <v>0</v>
      </c>
      <c r="K65">
        <f t="shared" ref="K65" si="21">IF(A65&lt;DATEVALUE("2025/11/20"),1,IF(B65-SUM(D65:F65)&lt;&gt;60,0,MAX(2-INT(G65*24*60/10),0)))</f>
        <v>0</v>
      </c>
      <c r="L65">
        <f t="shared" ref="L65" si="22">L64+K65</f>
        <v>47</v>
      </c>
      <c r="M65">
        <f t="shared" si="3"/>
        <v>2</v>
      </c>
      <c r="N65">
        <f t="shared" ref="N65" si="23">N64+M65*(INT(A65-6/24)-INT(A64-6/24))+O65</f>
        <v>49</v>
      </c>
      <c r="O65">
        <f t="shared" si="4"/>
        <v>0</v>
      </c>
      <c r="P65" t="str">
        <f t="shared" ref="P65" si="24">IF(L65&lt;N65,"未達成（"&amp;N65-L65&amp;"）",IF(L65=N65,"達成","前倒し（"&amp;L65-N65&amp;"）"))</f>
        <v>未達成（2）</v>
      </c>
    </row>
    <row r="66" spans="1:16">
      <c r="A66" s="3">
        <v>45987.616712962961</v>
      </c>
      <c r="B66">
        <v>60</v>
      </c>
      <c r="C66">
        <v>28</v>
      </c>
      <c r="D66">
        <v>0</v>
      </c>
      <c r="E66">
        <v>0</v>
      </c>
      <c r="F66">
        <v>0</v>
      </c>
      <c r="G66" s="5">
        <v>6.6782407375285402E-3</v>
      </c>
      <c r="H66" t="s">
        <v>187</v>
      </c>
      <c r="I66" t="s">
        <v>188</v>
      </c>
      <c r="J66">
        <v>0</v>
      </c>
      <c r="K66">
        <f t="shared" ref="K66" si="25">IF(A66&lt;DATEVALUE("2025/11/20"),1,IF(B66-SUM(D66:F66)&lt;&gt;60,0,MAX(2-INT(G66*24*60/10),0)))</f>
        <v>2</v>
      </c>
      <c r="L66">
        <f t="shared" ref="L66" si="26">L65+K66</f>
        <v>49</v>
      </c>
      <c r="M66">
        <f t="shared" si="3"/>
        <v>2</v>
      </c>
      <c r="N66">
        <f t="shared" ref="N66" si="27">N65+M66*(INT(A66-6/24)-INT(A65-6/24))+O66</f>
        <v>49</v>
      </c>
      <c r="O66">
        <f t="shared" si="4"/>
        <v>0</v>
      </c>
      <c r="P66" t="str">
        <f t="shared" ref="P66" si="28">IF(L66&lt;N66,"未達成（"&amp;N66-L66&amp;"）",IF(L66=N66,"達成","前倒し（"&amp;L66-N66&amp;"）"))</f>
        <v>達成</v>
      </c>
    </row>
    <row r="67" spans="1:16">
      <c r="A67" s="3">
        <v>45988.290625000001</v>
      </c>
      <c r="B67">
        <v>60</v>
      </c>
      <c r="C67">
        <v>25</v>
      </c>
      <c r="D67">
        <v>0</v>
      </c>
      <c r="E67">
        <v>0</v>
      </c>
      <c r="F67">
        <v>0</v>
      </c>
      <c r="G67" s="5">
        <v>1.0150462963792961E-2</v>
      </c>
      <c r="H67" t="s">
        <v>189</v>
      </c>
      <c r="I67" t="s">
        <v>190</v>
      </c>
      <c r="J67">
        <v>0</v>
      </c>
      <c r="K67">
        <f t="shared" ref="K67" si="29">IF(A67&lt;DATEVALUE("2025/11/20"),1,IF(B67-SUM(D67:F67)&lt;&gt;60,0,MAX(2-INT(G67*24*60/10),0)))</f>
        <v>1</v>
      </c>
      <c r="L67">
        <f t="shared" ref="L67" si="30">L66+K67</f>
        <v>50</v>
      </c>
      <c r="M67">
        <f t="shared" si="3"/>
        <v>2</v>
      </c>
      <c r="N67">
        <f t="shared" ref="N67" si="31">N66+M67*(INT(A67-6/24)-INT(A66-6/24))+O67</f>
        <v>51</v>
      </c>
      <c r="O67">
        <f t="shared" si="4"/>
        <v>0</v>
      </c>
      <c r="P67" t="str">
        <f t="shared" ref="P67" si="32">IF(L67&lt;N67,"未達成（"&amp;N67-L67&amp;"）",IF(L67=N67,"達成","前倒し（"&amp;L67-N67&amp;"）"))</f>
        <v>未達成（1）</v>
      </c>
    </row>
    <row r="68" spans="1:16">
      <c r="A68" s="3">
        <v>45988.529618055552</v>
      </c>
      <c r="B68">
        <v>60</v>
      </c>
      <c r="C68">
        <v>21</v>
      </c>
      <c r="D68">
        <v>0</v>
      </c>
      <c r="E68">
        <v>0</v>
      </c>
      <c r="F68">
        <v>0</v>
      </c>
      <c r="G68" s="5">
        <v>1.7013888886140194E-2</v>
      </c>
      <c r="H68" t="s">
        <v>191</v>
      </c>
      <c r="I68" t="s">
        <v>192</v>
      </c>
      <c r="J68">
        <v>0</v>
      </c>
      <c r="K68">
        <f t="shared" ref="K68" si="33">IF(A68&lt;DATEVALUE("2025/11/20"),1,IF(B68-SUM(D68:F68)&lt;&gt;60,0,MAX(2-INT(G68*24*60/10),0)))</f>
        <v>0</v>
      </c>
      <c r="L68">
        <f t="shared" ref="L68" si="34">L67+K68</f>
        <v>50</v>
      </c>
      <c r="M68">
        <f t="shared" si="3"/>
        <v>2</v>
      </c>
      <c r="N68">
        <f t="shared" ref="N68" si="35">N67+M68*(INT(A68-6/24)-INT(A67-6/24))+O68</f>
        <v>51</v>
      </c>
      <c r="O68">
        <f t="shared" si="4"/>
        <v>0</v>
      </c>
      <c r="P68" t="str">
        <f t="shared" ref="P68" si="36">IF(L68&lt;N68,"未達成（"&amp;N68-L68&amp;"）",IF(L68=N68,"達成","前倒し（"&amp;L68-N68&amp;"）"))</f>
        <v>未達成（1）</v>
      </c>
    </row>
    <row r="69" spans="1:16">
      <c r="A69" s="3">
        <v>45988.852812500001</v>
      </c>
      <c r="B69">
        <v>60</v>
      </c>
      <c r="C69">
        <v>31</v>
      </c>
      <c r="D69">
        <v>0</v>
      </c>
      <c r="E69">
        <v>0</v>
      </c>
      <c r="F69">
        <v>0</v>
      </c>
      <c r="G69" s="5">
        <v>1.0983796295477077E-2</v>
      </c>
      <c r="H69" t="s">
        <v>193</v>
      </c>
      <c r="I69" t="s">
        <v>194</v>
      </c>
      <c r="J69">
        <v>0</v>
      </c>
      <c r="K69">
        <f t="shared" ref="K69" si="37">IF(A69&lt;DATEVALUE("2025/11/20"),1,IF(B69-SUM(D69:F69)&lt;&gt;60,0,MAX(2-INT(G69*24*60/10),0)))</f>
        <v>1</v>
      </c>
      <c r="L69">
        <f t="shared" ref="L69" si="38">L68+K69</f>
        <v>51</v>
      </c>
      <c r="M69">
        <f t="shared" si="3"/>
        <v>2</v>
      </c>
      <c r="N69">
        <f t="shared" ref="N69" si="39">N68+M69*(INT(A69-6/24)-INT(A68-6/24))+O69</f>
        <v>51</v>
      </c>
      <c r="O69">
        <f t="shared" si="4"/>
        <v>0</v>
      </c>
      <c r="P69" t="str">
        <f t="shared" ref="P69" si="40">IF(L69&lt;N69,"未達成（"&amp;N69-L69&amp;"）",IF(L69=N69,"達成","前倒し（"&amp;L69-N69&amp;"）"))</f>
        <v>達成</v>
      </c>
    </row>
    <row r="70" spans="1:16">
      <c r="A70" s="3">
        <v>45989.291273148148</v>
      </c>
      <c r="B70">
        <v>53</v>
      </c>
      <c r="C70">
        <v>13</v>
      </c>
      <c r="D70">
        <v>0</v>
      </c>
      <c r="E70">
        <v>7</v>
      </c>
      <c r="F70">
        <v>0</v>
      </c>
      <c r="G70" s="5">
        <v>7.9861111080390401E-3</v>
      </c>
      <c r="H70" t="s">
        <v>195</v>
      </c>
      <c r="I70" t="s">
        <v>196</v>
      </c>
      <c r="J70">
        <v>0</v>
      </c>
      <c r="K70">
        <f t="shared" ref="K70" si="41">IF(A70&lt;DATEVALUE("2025/11/20"),1,IF(B70-SUM(D70:F70)&lt;&gt;60,0,MAX(2-INT(G70*24*60/10),0)))</f>
        <v>0</v>
      </c>
      <c r="L70">
        <f t="shared" ref="L70" si="42">L69+K70</f>
        <v>51</v>
      </c>
      <c r="M70">
        <f t="shared" si="3"/>
        <v>2</v>
      </c>
      <c r="N70">
        <f t="shared" ref="N70" si="43">N69+M70*(INT(A70-6/24)-INT(A69-6/24))+O70</f>
        <v>53</v>
      </c>
      <c r="O70">
        <f t="shared" si="4"/>
        <v>0</v>
      </c>
      <c r="P70" t="str">
        <f t="shared" ref="P70" si="44">IF(L70&lt;N70,"未達成（"&amp;N70-L70&amp;"）",IF(L70=N70,"達成","前倒し（"&amp;L70-N70&amp;"）"))</f>
        <v>未達成（2）</v>
      </c>
    </row>
    <row r="71" spans="1:16">
      <c r="A71" s="3">
        <v>45989.299722222226</v>
      </c>
      <c r="B71">
        <v>60</v>
      </c>
      <c r="C71">
        <v>42</v>
      </c>
      <c r="D71">
        <v>0</v>
      </c>
      <c r="E71">
        <v>0</v>
      </c>
      <c r="F71">
        <v>0</v>
      </c>
      <c r="G71" s="5">
        <v>7.6967592613073066E-3</v>
      </c>
      <c r="H71" t="s">
        <v>197</v>
      </c>
      <c r="I71" t="s">
        <v>198</v>
      </c>
      <c r="J71">
        <v>0</v>
      </c>
      <c r="K71">
        <f t="shared" ref="K71" si="45">IF(A71&lt;DATEVALUE("2025/11/20"),1,IF(B71-SUM(D71:F71)&lt;&gt;60,0,MAX(2-INT(G71*24*60/10),0)))</f>
        <v>1</v>
      </c>
      <c r="L71">
        <f t="shared" ref="L71" si="46">L70+K71</f>
        <v>52</v>
      </c>
      <c r="M71">
        <f t="shared" si="3"/>
        <v>2</v>
      </c>
      <c r="N71">
        <f t="shared" ref="N71" si="47">N70+M71*(INT(A71-6/24)-INT(A70-6/24))+O71</f>
        <v>53</v>
      </c>
      <c r="O71">
        <f t="shared" si="4"/>
        <v>0</v>
      </c>
      <c r="P71" t="str">
        <f t="shared" ref="P71" si="48">IF(L71&lt;N71,"未達成（"&amp;N71-L71&amp;"）",IF(L71=N71,"達成","前倒し（"&amp;L71-N71&amp;"）"))</f>
        <v>未達成（1）</v>
      </c>
    </row>
    <row r="72" spans="1:16">
      <c r="A72" s="3">
        <v>45989.308298611111</v>
      </c>
      <c r="B72">
        <v>60</v>
      </c>
      <c r="C72">
        <v>19</v>
      </c>
      <c r="D72">
        <v>0</v>
      </c>
      <c r="E72">
        <v>0</v>
      </c>
      <c r="F72">
        <v>0</v>
      </c>
      <c r="G72" s="5">
        <v>7.7662037074333057E-3</v>
      </c>
      <c r="H72" t="s">
        <v>199</v>
      </c>
      <c r="I72" t="s">
        <v>200</v>
      </c>
      <c r="J72">
        <v>0</v>
      </c>
      <c r="K72">
        <f t="shared" ref="K72" si="49">IF(A72&lt;DATEVALUE("2025/11/20"),1,IF(B72-SUM(D72:F72)&lt;&gt;60,0,MAX(2-INT(G72*24*60/10),0)))</f>
        <v>1</v>
      </c>
      <c r="L72">
        <f t="shared" ref="L72" si="50">L71+K72</f>
        <v>53</v>
      </c>
      <c r="M72">
        <f t="shared" si="3"/>
        <v>2</v>
      </c>
      <c r="N72">
        <f t="shared" ref="N72" si="51">N71+M72*(INT(A72-6/24)-INT(A71-6/24))+O72</f>
        <v>53</v>
      </c>
      <c r="O72">
        <f t="shared" si="4"/>
        <v>0</v>
      </c>
      <c r="P72" t="str">
        <f t="shared" ref="P72" si="52">IF(L72&lt;N72,"未達成（"&amp;N72-L72&amp;"）",IF(L72=N72,"達成","前倒し（"&amp;L72-N72&amp;"）"))</f>
        <v>達成</v>
      </c>
    </row>
    <row r="73" spans="1:16">
      <c r="A73" s="3">
        <v>45990.459027777775</v>
      </c>
      <c r="B73">
        <v>60</v>
      </c>
      <c r="C73">
        <v>13</v>
      </c>
      <c r="D73">
        <v>0</v>
      </c>
      <c r="E73">
        <v>0</v>
      </c>
      <c r="F73">
        <v>0</v>
      </c>
      <c r="G73" s="5">
        <v>9.814814809942618E-3</v>
      </c>
      <c r="H73" t="s">
        <v>201</v>
      </c>
      <c r="I73" t="s">
        <v>202</v>
      </c>
      <c r="J73">
        <v>0</v>
      </c>
      <c r="K73">
        <f t="shared" ref="K73" si="53">IF(A73&lt;DATEVALUE("2025/11/20"),1,IF(B73-SUM(D73:F73)&lt;&gt;60,0,MAX(2-INT(G73*24*60/10),0)))</f>
        <v>1</v>
      </c>
      <c r="L73">
        <f t="shared" ref="L73" si="54">L72+K73</f>
        <v>54</v>
      </c>
      <c r="M73">
        <f t="shared" si="3"/>
        <v>2</v>
      </c>
      <c r="N73">
        <f t="shared" ref="N73" si="55">N72+M73*(INT(A73-6/24)-INT(A72-6/24))+O73</f>
        <v>55</v>
      </c>
      <c r="O73">
        <f t="shared" si="4"/>
        <v>0</v>
      </c>
      <c r="P73" t="str">
        <f t="shared" ref="P73" si="56">IF(L73&lt;N73,"未達成（"&amp;N73-L73&amp;"）",IF(L73=N73,"達成","前倒し（"&amp;L73-N73&amp;"）"))</f>
        <v>未達成（1）</v>
      </c>
    </row>
    <row r="74" spans="1:16">
      <c r="A74" s="3">
        <v>45990.539907407408</v>
      </c>
      <c r="B74">
        <v>60</v>
      </c>
      <c r="C74">
        <v>10</v>
      </c>
      <c r="D74">
        <v>0</v>
      </c>
      <c r="E74">
        <v>0</v>
      </c>
      <c r="F74">
        <v>0</v>
      </c>
      <c r="G74" s="5">
        <v>1.1226851849642117E-2</v>
      </c>
      <c r="H74" t="s">
        <v>203</v>
      </c>
      <c r="I74" t="s">
        <v>204</v>
      </c>
      <c r="J74">
        <v>0</v>
      </c>
      <c r="K74">
        <f t="shared" ref="K74" si="57">IF(A74&lt;DATEVALUE("2025/11/20"),1,IF(B74-SUM(D74:F74)&lt;&gt;60,0,MAX(2-INT(G74*24*60/10),0)))</f>
        <v>1</v>
      </c>
      <c r="L74">
        <f t="shared" ref="L74" si="58">L73+K74</f>
        <v>55</v>
      </c>
      <c r="M74">
        <f t="shared" si="3"/>
        <v>2</v>
      </c>
      <c r="N74">
        <f t="shared" ref="N74" si="59">N73+M74*(INT(A74-6/24)-INT(A73-6/24))+O74</f>
        <v>55</v>
      </c>
      <c r="O74">
        <f t="shared" si="4"/>
        <v>0</v>
      </c>
      <c r="P74" t="str">
        <f t="shared" ref="P74" si="60">IF(L74&lt;N74,"未達成（"&amp;N74-L74&amp;"）",IF(L74=N74,"達成","前倒し（"&amp;L74-N74&amp;"）"))</f>
        <v>達成</v>
      </c>
    </row>
    <row r="75" spans="1:16">
      <c r="A75" s="3">
        <v>45991.563125000001</v>
      </c>
      <c r="B75">
        <v>60</v>
      </c>
      <c r="C75">
        <v>14</v>
      </c>
      <c r="D75">
        <v>0</v>
      </c>
      <c r="E75">
        <v>0</v>
      </c>
      <c r="F75">
        <v>0</v>
      </c>
      <c r="G75" s="5">
        <v>5.694444444088731E-3</v>
      </c>
      <c r="H75" t="s">
        <v>205</v>
      </c>
      <c r="I75" t="s">
        <v>206</v>
      </c>
      <c r="J75">
        <v>0</v>
      </c>
      <c r="K75">
        <f t="shared" ref="K75" si="61">IF(A75&lt;DATEVALUE("2025/11/20"),1,IF(B75-SUM(D75:F75)&lt;&gt;60,0,MAX(2-INT(G75*24*60/10),0)))</f>
        <v>2</v>
      </c>
      <c r="L75">
        <f t="shared" ref="L75" si="62">L74+K75</f>
        <v>57</v>
      </c>
      <c r="M75">
        <f t="shared" si="3"/>
        <v>3</v>
      </c>
      <c r="N75">
        <f t="shared" ref="N75" si="63">N74+M75*(INT(A75-6/24)-INT(A74-6/24))+O75</f>
        <v>58</v>
      </c>
      <c r="O75">
        <f t="shared" si="4"/>
        <v>0</v>
      </c>
      <c r="P75" t="str">
        <f t="shared" ref="P75" si="64">IF(L75&lt;N75,"未達成（"&amp;N75-L75&amp;"）",IF(L75=N75,"達成","前倒し（"&amp;L75-N75&amp;"）"))</f>
        <v>未達成（1）</v>
      </c>
    </row>
    <row r="76" spans="1:16">
      <c r="A76" s="3">
        <v>45991.575856481482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5.5324074055533856E-3</v>
      </c>
      <c r="H76" t="s">
        <v>208</v>
      </c>
      <c r="I76" t="s">
        <v>209</v>
      </c>
      <c r="J76">
        <v>0</v>
      </c>
      <c r="K76">
        <f t="shared" ref="K76" si="65">IF(A76&lt;DATEVALUE("2025/11/20"),1,IF(B76-SUM(D76:F76)&lt;&gt;60,0,MAX(2-INT(G76*24*60/10),0)))</f>
        <v>2</v>
      </c>
      <c r="L76">
        <f t="shared" ref="L76" si="66">L75+K76</f>
        <v>59</v>
      </c>
      <c r="M76">
        <f t="shared" ref="M76" si="67">2+IF(A76&gt;=DATEVALUE("2025/11/30"),1,0)</f>
        <v>3</v>
      </c>
      <c r="N76">
        <f t="shared" ref="N76" si="68">N75+M76*(INT(A76-6/24)-INT(A75-6/24))+O76</f>
        <v>58</v>
      </c>
      <c r="O76">
        <f t="shared" ref="O76" si="69">IF(A76&gt;=DATEVALUE("2025/11/8"),1,0)-IF(A75&gt;=DATEVALUE("2025/11/8"),1,0)</f>
        <v>0</v>
      </c>
      <c r="P76" t="str">
        <f t="shared" ref="P76" si="70">IF(L76&lt;N76,"未達成（"&amp;N76-L76&amp;"）",IF(L76=N76,"達成","前倒し（"&amp;L76-N76&amp;"）"))</f>
        <v>前倒し（1）</v>
      </c>
    </row>
    <row r="77" spans="1:16">
      <c r="A77" s="3">
        <v>45992.289467592593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1.0162037040572613E-2</v>
      </c>
      <c r="H77" t="s">
        <v>210</v>
      </c>
      <c r="I77" t="s">
        <v>211</v>
      </c>
      <c r="J77">
        <v>0</v>
      </c>
      <c r="K77">
        <f t="shared" ref="K77" si="71">IF(A77&lt;DATEVALUE("2025/11/20"),1,IF(B77-SUM(D77:F77)&lt;&gt;60,0,MAX(2-INT(G77*24*60/10),0)))</f>
        <v>1</v>
      </c>
      <c r="L77">
        <f t="shared" ref="L77" si="72">L76+K77</f>
        <v>60</v>
      </c>
      <c r="M77">
        <f t="shared" ref="M77" si="73">2+IF(A77&gt;=DATEVALUE("2025/11/30"),1,0)</f>
        <v>3</v>
      </c>
      <c r="N77">
        <f t="shared" ref="N77" si="74">N76+M77*(INT(A77-6/24)-INT(A76-6/24))+O77</f>
        <v>61</v>
      </c>
      <c r="O77">
        <f t="shared" ref="O77" si="75">IF(A77&gt;=DATEVALUE("2025/11/8"),1,0)-IF(A76&gt;=DATEVALUE("2025/11/8"),1,0)</f>
        <v>0</v>
      </c>
      <c r="P77" t="str">
        <f t="shared" ref="P77" si="76">IF(L77&lt;N77,"未達成（"&amp;N77-L77&amp;"）",IF(L77=N77,"達成","前倒し（"&amp;L77-N77&amp;"）"))</f>
        <v>未達成（1）</v>
      </c>
    </row>
    <row r="78" spans="1:16">
      <c r="A78" s="3">
        <v>45992.298761574071</v>
      </c>
      <c r="B78">
        <v>60</v>
      </c>
      <c r="C78">
        <v>8</v>
      </c>
      <c r="D78">
        <v>0</v>
      </c>
      <c r="E78">
        <v>0</v>
      </c>
      <c r="F78">
        <v>0</v>
      </c>
      <c r="G78" s="5">
        <v>6.168981475639157E-3</v>
      </c>
      <c r="H78" t="s">
        <v>212</v>
      </c>
      <c r="I78" t="s">
        <v>213</v>
      </c>
      <c r="J78">
        <v>0</v>
      </c>
      <c r="K78">
        <f t="shared" ref="K78" si="77">IF(A78&lt;DATEVALUE("2025/11/20"),1,IF(B78-SUM(D78:F78)&lt;&gt;60,0,MAX(2-INT(G78*24*60/10),0)))</f>
        <v>2</v>
      </c>
      <c r="L78">
        <f t="shared" ref="L78" si="78">L77+K78</f>
        <v>62</v>
      </c>
      <c r="M78">
        <f t="shared" ref="M78" si="79">2+IF(A78&gt;=DATEVALUE("2025/11/30"),1,0)</f>
        <v>3</v>
      </c>
      <c r="N78">
        <f t="shared" ref="N78" si="80">N77+M78*(INT(A78-6/24)-INT(A77-6/24))+O78</f>
        <v>61</v>
      </c>
      <c r="O78">
        <f t="shared" ref="O78" si="81">IF(A78&gt;=DATEVALUE("2025/11/8"),1,0)-IF(A77&gt;=DATEVALUE("2025/11/8"),1,0)</f>
        <v>0</v>
      </c>
      <c r="P78" t="str">
        <f t="shared" ref="P78" si="82">IF(L78&lt;N78,"未達成（"&amp;N78-L78&amp;"）",IF(L78=N78,"達成","前倒し（"&amp;L78-N78&amp;"）"))</f>
        <v>前倒し（1）</v>
      </c>
    </row>
    <row r="79" spans="1:16">
      <c r="A79" s="3">
        <v>45993.285081018519</v>
      </c>
      <c r="B79">
        <v>48</v>
      </c>
      <c r="C79">
        <v>7</v>
      </c>
      <c r="D79">
        <v>0</v>
      </c>
      <c r="E79">
        <v>12</v>
      </c>
      <c r="F79">
        <v>0</v>
      </c>
      <c r="G79" s="5">
        <v>7.8703703693463467E-3</v>
      </c>
      <c r="H79" t="s">
        <v>214</v>
      </c>
      <c r="I79" t="s">
        <v>215</v>
      </c>
      <c r="J79">
        <v>0</v>
      </c>
      <c r="K79">
        <f t="shared" ref="K79" si="83">IF(A79&lt;DATEVALUE("2025/11/20"),1,IF(B79-SUM(D79:F79)&lt;&gt;60,0,MAX(2-INT(G79*24*60/10),0)))</f>
        <v>0</v>
      </c>
      <c r="L79">
        <f t="shared" ref="L79" si="84">L78+K79</f>
        <v>62</v>
      </c>
      <c r="M79">
        <f t="shared" ref="M79" si="85">2+IF(A79&gt;=DATEVALUE("2025/11/30"),1,0)</f>
        <v>3</v>
      </c>
      <c r="N79">
        <f t="shared" ref="N79" si="86">N78+M79*(INT(A79-6/24)-INT(A78-6/24))+O79</f>
        <v>64</v>
      </c>
      <c r="O79">
        <f t="shared" ref="O79" si="87">IF(A79&gt;=DATEVALUE("2025/11/8"),1,0)-IF(A78&gt;=DATEVALUE("2025/11/8"),1,0)</f>
        <v>0</v>
      </c>
      <c r="P79" t="str">
        <f t="shared" ref="P79" si="88">IF(L79&lt;N79,"未達成（"&amp;N79-L79&amp;"）",IF(L79=N79,"達成","前倒し（"&amp;L79-N79&amp;"）"))</f>
        <v>未達成（2）</v>
      </c>
    </row>
    <row r="80" spans="1:16">
      <c r="A80" s="3">
        <v>45993.29241898148</v>
      </c>
      <c r="B80">
        <v>60</v>
      </c>
      <c r="C80">
        <v>18</v>
      </c>
      <c r="D80">
        <v>0</v>
      </c>
      <c r="E80">
        <v>0</v>
      </c>
      <c r="F80">
        <v>0</v>
      </c>
      <c r="G80" s="5">
        <v>6.7476851836545393E-3</v>
      </c>
      <c r="H80" t="s">
        <v>218</v>
      </c>
      <c r="I80" t="s">
        <v>219</v>
      </c>
      <c r="J80">
        <v>0</v>
      </c>
      <c r="K80">
        <f t="shared" ref="K80" si="89">IF(A80&lt;DATEVALUE("2025/11/20"),1,IF(B80-SUM(D80:F80)&lt;&gt;60,0,MAX(2-INT(G80*24*60/10),0)))</f>
        <v>2</v>
      </c>
      <c r="L80">
        <f t="shared" ref="L80" si="90">L79+K80</f>
        <v>64</v>
      </c>
      <c r="M80">
        <f t="shared" ref="M80" si="91">2+IF(A80&gt;=DATEVALUE("2025/11/30"),1,0)</f>
        <v>3</v>
      </c>
      <c r="N80">
        <f t="shared" ref="N80" si="92">N79+M80*(INT(A80-6/24)-INT(A79-6/24))+O80</f>
        <v>64</v>
      </c>
      <c r="O80">
        <f t="shared" ref="O80" si="93">IF(A80&gt;=DATEVALUE("2025/11/8"),1,0)-IF(A79&gt;=DATEVALUE("2025/11/8"),1,0)</f>
        <v>0</v>
      </c>
      <c r="P80" t="str">
        <f t="shared" ref="P80" si="94">IF(L80&lt;N80,"未達成（"&amp;N80-L80&amp;"）",IF(L80=N80,"達成","前倒し（"&amp;L80-N80&amp;"）"))</f>
        <v>達成</v>
      </c>
    </row>
    <row r="81" spans="1:16">
      <c r="A81" s="3">
        <v>45994.309050925927</v>
      </c>
      <c r="B81">
        <v>60</v>
      </c>
      <c r="C81">
        <v>10</v>
      </c>
      <c r="D81">
        <v>0</v>
      </c>
      <c r="E81">
        <v>0</v>
      </c>
      <c r="F81">
        <v>0</v>
      </c>
      <c r="G81" s="5">
        <v>8.8773148163454607E-3</v>
      </c>
      <c r="H81" t="s">
        <v>216</v>
      </c>
      <c r="I81" t="s">
        <v>217</v>
      </c>
      <c r="J81">
        <v>0</v>
      </c>
      <c r="K81">
        <f t="shared" ref="K81" si="95">IF(A81&lt;DATEVALUE("2025/11/20"),1,IF(B81-SUM(D81:F81)&lt;&gt;60,0,MAX(2-INT(G81*24*60/10),0)))</f>
        <v>1</v>
      </c>
      <c r="L81">
        <f t="shared" ref="L81" si="96">L80+K81</f>
        <v>65</v>
      </c>
      <c r="M81">
        <f t="shared" ref="M81" si="97">2+IF(A81&gt;=DATEVALUE("2025/11/30"),1,0)</f>
        <v>3</v>
      </c>
      <c r="N81">
        <f t="shared" ref="N81" si="98">N80+M81*(INT(A81-6/24)-INT(A80-6/24))+O81</f>
        <v>67</v>
      </c>
      <c r="O81">
        <f t="shared" ref="O81" si="99">IF(A81&gt;=DATEVALUE("2025/11/8"),1,0)-IF(A80&gt;=DATEVALUE("2025/11/8"),1,0)</f>
        <v>0</v>
      </c>
      <c r="P81" t="str">
        <f t="shared" ref="P81" si="100">IF(L81&lt;N81,"未達成（"&amp;N81-L81&amp;"）",IF(L81=N81,"達成","前倒し（"&amp;L81-N81&amp;"）"))</f>
        <v>未達成（2）</v>
      </c>
    </row>
    <row r="82" spans="1:16">
      <c r="A82" s="3">
        <v>45994.372615740744</v>
      </c>
      <c r="B82">
        <v>60</v>
      </c>
      <c r="C82">
        <v>21</v>
      </c>
      <c r="D82">
        <v>0</v>
      </c>
      <c r="E82">
        <v>0</v>
      </c>
      <c r="F82">
        <v>0</v>
      </c>
      <c r="G82" s="5">
        <v>8.9930555550381541E-3</v>
      </c>
      <c r="H82" t="s">
        <v>220</v>
      </c>
      <c r="I82" t="s">
        <v>221</v>
      </c>
      <c r="J82">
        <v>0</v>
      </c>
      <c r="K82">
        <f t="shared" ref="K82" si="101">IF(A82&lt;DATEVALUE("2025/11/20"),1,IF(B82-SUM(D82:F82)&lt;&gt;60,0,MAX(2-INT(G82*24*60/10),0)))</f>
        <v>1</v>
      </c>
      <c r="L82">
        <f t="shared" ref="L82" si="102">L81+K82</f>
        <v>66</v>
      </c>
      <c r="M82">
        <f t="shared" ref="M82" si="103">2+IF(A82&gt;=DATEVALUE("2025/11/30"),1,0)</f>
        <v>3</v>
      </c>
      <c r="N82">
        <f t="shared" ref="N82" si="104">N81+M82*(INT(A82-6/24)-INT(A81-6/24))+O82</f>
        <v>67</v>
      </c>
      <c r="O82">
        <f t="shared" ref="O82" si="105">IF(A82&gt;=DATEVALUE("2025/11/8"),1,0)-IF(A81&gt;=DATEVALUE("2025/11/8"),1,0)</f>
        <v>0</v>
      </c>
      <c r="P82" t="str">
        <f t="shared" ref="P82" si="106">IF(L82&lt;N82,"未達成（"&amp;N82-L82&amp;"）",IF(L82=N82,"達成","前倒し（"&amp;L82-N82&amp;"）"))</f>
        <v>未達成（1）</v>
      </c>
    </row>
    <row r="83" spans="1:16">
      <c r="A83" s="3">
        <v>45994.573900462965</v>
      </c>
      <c r="B83">
        <v>60</v>
      </c>
      <c r="C83">
        <v>24</v>
      </c>
      <c r="D83">
        <v>0</v>
      </c>
      <c r="E83">
        <v>0</v>
      </c>
      <c r="F83">
        <v>0</v>
      </c>
      <c r="G83" s="5">
        <v>7.3263888916699216E-3</v>
      </c>
      <c r="H83" t="s">
        <v>222</v>
      </c>
      <c r="I83" t="s">
        <v>223</v>
      </c>
      <c r="J83">
        <v>0</v>
      </c>
      <c r="K83">
        <f t="shared" ref="K83" si="107">IF(A83&lt;DATEVALUE("2025/11/20"),1,IF(B83-SUM(D83:F83)&lt;&gt;60,0,MAX(2-INT(G83*24*60/10),0)))</f>
        <v>1</v>
      </c>
      <c r="L83">
        <f t="shared" ref="L83" si="108">L82+K83</f>
        <v>67</v>
      </c>
      <c r="M83">
        <f t="shared" ref="M83" si="109">2+IF(A83&gt;=DATEVALUE("2025/11/30"),1,0)</f>
        <v>3</v>
      </c>
      <c r="N83">
        <f t="shared" ref="N83" si="110">N82+M83*(INT(A83-6/24)-INT(A82-6/24))+O83</f>
        <v>67</v>
      </c>
      <c r="O83">
        <f t="shared" ref="O83" si="111">IF(A83&gt;=DATEVALUE("2025/11/8"),1,0)-IF(A82&gt;=DATEVALUE("2025/11/8"),1,0)</f>
        <v>0</v>
      </c>
      <c r="P83" t="str">
        <f t="shared" ref="P83" si="112">IF(L83&lt;N83,"未達成（"&amp;N83-L83&amp;"）",IF(L83=N83,"達成","前倒し（"&amp;L83-N83&amp;"）"))</f>
        <v>達成</v>
      </c>
    </row>
    <row r="84" spans="1:16">
      <c r="A84" s="3">
        <v>45995.297349537039</v>
      </c>
      <c r="B84">
        <v>60</v>
      </c>
      <c r="C84">
        <v>13</v>
      </c>
      <c r="D84">
        <v>0</v>
      </c>
      <c r="E84">
        <v>0</v>
      </c>
      <c r="F84">
        <v>0</v>
      </c>
      <c r="G84" s="5">
        <v>8.8888888931251131E-3</v>
      </c>
      <c r="H84" t="s">
        <v>224</v>
      </c>
      <c r="I84" t="s">
        <v>225</v>
      </c>
      <c r="J84">
        <v>0</v>
      </c>
      <c r="K84">
        <f t="shared" ref="K84" si="113">IF(A84&lt;DATEVALUE("2025/11/20"),1,IF(B84-SUM(D84:F84)&lt;&gt;60,0,MAX(2-INT(G84*24*60/10),0)))</f>
        <v>1</v>
      </c>
      <c r="L84">
        <f t="shared" ref="L84" si="114">L83+K84</f>
        <v>68</v>
      </c>
      <c r="M84">
        <f t="shared" ref="M84" si="115">2+IF(A84&gt;=DATEVALUE("2025/11/30"),1,0)</f>
        <v>3</v>
      </c>
      <c r="N84">
        <f t="shared" ref="N84" si="116">N83+M84*(INT(A84-6/24)-INT(A83-6/24))+O84</f>
        <v>70</v>
      </c>
      <c r="O84">
        <f t="shared" ref="O84" si="117">IF(A84&gt;=DATEVALUE("2025/11/8"),1,0)-IF(A83&gt;=DATEVALUE("2025/11/8"),1,0)</f>
        <v>0</v>
      </c>
      <c r="P84" t="str">
        <f t="shared" ref="P84" si="118">IF(L84&lt;N84,"未達成（"&amp;N84-L84&amp;"）",IF(L84=N84,"達成","前倒し（"&amp;L84-N84&amp;"）"))</f>
        <v>未達成（2）</v>
      </c>
    </row>
    <row r="85" spans="1:16">
      <c r="A85" s="3">
        <v>45995.308217592596</v>
      </c>
      <c r="B85">
        <v>60</v>
      </c>
      <c r="C85">
        <v>12</v>
      </c>
      <c r="D85">
        <v>0</v>
      </c>
      <c r="E85">
        <v>0</v>
      </c>
      <c r="F85">
        <v>0</v>
      </c>
      <c r="G85" s="5">
        <v>7.7777777842129581E-3</v>
      </c>
      <c r="H85" t="s">
        <v>226</v>
      </c>
      <c r="I85" t="s">
        <v>227</v>
      </c>
      <c r="J85">
        <v>0</v>
      </c>
      <c r="K85">
        <f t="shared" ref="K85" si="119">IF(A85&lt;DATEVALUE("2025/11/20"),1,IF(B85-SUM(D85:F85)&lt;&gt;60,0,MAX(2-INT(G85*24*60/10),0)))</f>
        <v>1</v>
      </c>
      <c r="L85">
        <f t="shared" ref="L85" si="120">L84+K85</f>
        <v>69</v>
      </c>
      <c r="M85">
        <f t="shared" ref="M85" si="121">2+IF(A85&gt;=DATEVALUE("2025/11/30"),1,0)</f>
        <v>3</v>
      </c>
      <c r="N85">
        <f t="shared" ref="N85" si="122">N84+M85*(INT(A85-6/24)-INT(A84-6/24))+O85</f>
        <v>70</v>
      </c>
      <c r="O85">
        <f t="shared" ref="O85" si="123">IF(A85&gt;=DATEVALUE("2025/11/8"),1,0)-IF(A84&gt;=DATEVALUE("2025/11/8"),1,0)</f>
        <v>0</v>
      </c>
      <c r="P85" t="str">
        <f t="shared" ref="P85" si="124">IF(L85&lt;N85,"未達成（"&amp;N85-L85&amp;"）",IF(L85=N85,"達成","前倒し（"&amp;L85-N85&amp;"）"))</f>
        <v>未達成（1）</v>
      </c>
    </row>
    <row r="86" spans="1:16">
      <c r="A86" s="3">
        <v>45995.571805555555</v>
      </c>
      <c r="B86">
        <v>60</v>
      </c>
      <c r="C86">
        <v>16</v>
      </c>
      <c r="D86">
        <v>0</v>
      </c>
      <c r="E86">
        <v>0</v>
      </c>
      <c r="F86">
        <v>0</v>
      </c>
      <c r="G86" s="5">
        <v>6.1226851830724627E-3</v>
      </c>
      <c r="H86" t="s">
        <v>228</v>
      </c>
      <c r="I86" t="s">
        <v>229</v>
      </c>
      <c r="J86">
        <v>0</v>
      </c>
      <c r="K86">
        <f t="shared" ref="K86" si="125">IF(A86&lt;DATEVALUE("2025/11/20"),1,IF(B86-SUM(D86:F86)&lt;&gt;60,0,MAX(2-INT(G86*24*60/10),0)))</f>
        <v>2</v>
      </c>
      <c r="L86">
        <f t="shared" ref="L86" si="126">L85+K86</f>
        <v>71</v>
      </c>
      <c r="M86">
        <f t="shared" ref="M86" si="127">2+IF(A86&gt;=DATEVALUE("2025/11/30"),1,0)</f>
        <v>3</v>
      </c>
      <c r="N86">
        <f t="shared" ref="N86" si="128">N85+M86*(INT(A86-6/24)-INT(A85-6/24))+O86</f>
        <v>70</v>
      </c>
      <c r="O86">
        <f t="shared" ref="O86" si="129">IF(A86&gt;=DATEVALUE("2025/11/8"),1,0)-IF(A85&gt;=DATEVALUE("2025/11/8"),1,0)</f>
        <v>0</v>
      </c>
      <c r="P86" t="str">
        <f t="shared" ref="P86" si="130">IF(L86&lt;N86,"未達成（"&amp;N86-L86&amp;"）",IF(L86=N86,"達成","前倒し（"&amp;L86-N86&amp;"）"))</f>
        <v>前倒し（1）</v>
      </c>
    </row>
    <row r="87" spans="1:16">
      <c r="A87" s="3">
        <v>45996.284409722219</v>
      </c>
      <c r="B87">
        <v>60</v>
      </c>
      <c r="C87">
        <v>6</v>
      </c>
      <c r="D87">
        <v>0</v>
      </c>
      <c r="E87">
        <v>0</v>
      </c>
      <c r="F87">
        <v>0</v>
      </c>
      <c r="G87" s="5">
        <v>7.3842592537403107E-3</v>
      </c>
      <c r="H87" t="s">
        <v>230</v>
      </c>
      <c r="I87" t="s">
        <v>231</v>
      </c>
      <c r="J87">
        <v>0</v>
      </c>
      <c r="K87">
        <f t="shared" ref="K87" si="131">IF(A87&lt;DATEVALUE("2025/11/20"),1,IF(B87-SUM(D87:F87)&lt;&gt;60,0,MAX(2-INT(G87*24*60/10),0)))</f>
        <v>1</v>
      </c>
      <c r="L87">
        <f t="shared" ref="L87" si="132">L86+K87</f>
        <v>72</v>
      </c>
      <c r="M87">
        <f t="shared" ref="M87" si="133">2+IF(A87&gt;=DATEVALUE("2025/11/30"),1,0)</f>
        <v>3</v>
      </c>
      <c r="N87">
        <f t="shared" ref="N87" si="134">N86+M87*(INT(A87-6/24)-INT(A86-6/24))+O87</f>
        <v>73</v>
      </c>
      <c r="O87">
        <f t="shared" ref="O87" si="135">IF(A87&gt;=DATEVALUE("2025/11/8"),1,0)-IF(A86&gt;=DATEVALUE("2025/11/8"),1,0)</f>
        <v>0</v>
      </c>
      <c r="P87" t="str">
        <f t="shared" ref="P87" si="136">IF(L87&lt;N87,"未達成（"&amp;N87-L87&amp;"）",IF(L87=N87,"達成","前倒し（"&amp;L87-N87&amp;"）"))</f>
        <v>未達成（1）</v>
      </c>
    </row>
    <row r="88" spans="1:16">
      <c r="A88" s="3">
        <v>45996.311747685184</v>
      </c>
      <c r="B88">
        <v>60</v>
      </c>
      <c r="C88">
        <v>16</v>
      </c>
      <c r="D88">
        <v>0</v>
      </c>
      <c r="E88">
        <v>0</v>
      </c>
      <c r="F88">
        <v>0</v>
      </c>
      <c r="G88" s="5">
        <v>1.17013888884685E-2</v>
      </c>
      <c r="H88" t="s">
        <v>232</v>
      </c>
      <c r="I88" t="s">
        <v>233</v>
      </c>
      <c r="J88">
        <v>0</v>
      </c>
      <c r="K88">
        <f t="shared" ref="K88" si="137">IF(A88&lt;DATEVALUE("2025/11/20"),1,IF(B88-SUM(D88:F88)&lt;&gt;60,0,MAX(2-INT(G88*24*60/10),0)))</f>
        <v>1</v>
      </c>
      <c r="L88">
        <f t="shared" ref="L88" si="138">L87+K88</f>
        <v>73</v>
      </c>
      <c r="M88">
        <f t="shared" ref="M88" si="139">2+IF(A88&gt;=DATEVALUE("2025/11/30"),1,0)</f>
        <v>3</v>
      </c>
      <c r="N88">
        <f t="shared" ref="N88" si="140">N87+M88*(INT(A88-6/24)-INT(A87-6/24))+O88</f>
        <v>73</v>
      </c>
      <c r="O88">
        <f t="shared" ref="O88" si="141">IF(A88&gt;=DATEVALUE("2025/11/8"),1,0)-IF(A87&gt;=DATEVALUE("2025/11/8"),1,0)</f>
        <v>0</v>
      </c>
      <c r="P88" t="str">
        <f t="shared" ref="P88" si="142">IF(L88&lt;N88,"未達成（"&amp;N88-L88&amp;"）",IF(L88=N88,"達成","前倒し（"&amp;L88-N88&amp;"）"))</f>
        <v>達成</v>
      </c>
    </row>
    <row r="89" spans="1:16">
      <c r="A89" s="3">
        <v>45997.303113425929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5.7291666671517305E-3</v>
      </c>
      <c r="H89" t="s">
        <v>234</v>
      </c>
      <c r="I89" t="s">
        <v>235</v>
      </c>
      <c r="J89">
        <v>0</v>
      </c>
      <c r="K89">
        <f t="shared" ref="K89" si="143">IF(A89&lt;DATEVALUE("2025/11/20"),1,IF(B89-SUM(D89:F89)&lt;&gt;60,0,MAX(2-INT(G89*24*60/10),0)))</f>
        <v>2</v>
      </c>
      <c r="L89">
        <f t="shared" ref="L89" si="144">L88+K89</f>
        <v>75</v>
      </c>
      <c r="M89">
        <f t="shared" ref="M89" si="145">2+IF(A89&gt;=DATEVALUE("2025/11/30"),1,0)</f>
        <v>3</v>
      </c>
      <c r="N89">
        <f t="shared" ref="N89" si="146">N88+M89*(INT(A89-6/24)-INT(A88-6/24))+O89</f>
        <v>76</v>
      </c>
      <c r="O89">
        <f t="shared" ref="O89" si="147">IF(A89&gt;=DATEVALUE("2025/11/8"),1,0)-IF(A88&gt;=DATEVALUE("2025/11/8"),1,0)</f>
        <v>0</v>
      </c>
      <c r="P89" t="str">
        <f t="shared" ref="P89" si="148">IF(L89&lt;N89,"未達成（"&amp;N89-L89&amp;"）",IF(L89=N89,"達成","前倒し（"&amp;L89-N89&amp;"）"))</f>
        <v>未達成（1）</v>
      </c>
    </row>
    <row r="90" spans="1:16">
      <c r="A90" s="3">
        <v>45997.312106481484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6.4699074064265005E-3</v>
      </c>
      <c r="H90" t="s">
        <v>236</v>
      </c>
      <c r="I90" t="s">
        <v>237</v>
      </c>
      <c r="J90">
        <v>0</v>
      </c>
      <c r="K90">
        <f t="shared" ref="K90" si="149">IF(A90&lt;DATEVALUE("2025/11/20"),1,IF(B90-SUM(D90:F90)&lt;&gt;60,0,MAX(2-INT(G90*24*60/10),0)))</f>
        <v>2</v>
      </c>
      <c r="L90">
        <f t="shared" ref="L90" si="150">L89+K90</f>
        <v>77</v>
      </c>
      <c r="M90">
        <f t="shared" ref="M90" si="151">2+IF(A90&gt;=DATEVALUE("2025/11/30"),1,0)</f>
        <v>3</v>
      </c>
      <c r="N90">
        <f t="shared" ref="N90" si="152">N89+M90*(INT(A90-6/24)-INT(A89-6/24))+O90</f>
        <v>76</v>
      </c>
      <c r="O90">
        <f t="shared" ref="O90" si="153">IF(A90&gt;=DATEVALUE("2025/11/8"),1,0)-IF(A89&gt;=DATEVALUE("2025/11/8"),1,0)</f>
        <v>0</v>
      </c>
      <c r="P90" t="str">
        <f t="shared" ref="P90" si="154">IF(L90&lt;N90,"未達成（"&amp;N90-L90&amp;"）",IF(L90=N90,"達成","前倒し（"&amp;L90-N90&amp;"）"))</f>
        <v>前倒し（1）</v>
      </c>
    </row>
    <row r="91" spans="1:16">
      <c r="A91" s="3">
        <v>45998.290590277778</v>
      </c>
      <c r="B91">
        <v>60</v>
      </c>
      <c r="C91">
        <v>4</v>
      </c>
      <c r="D91">
        <v>0</v>
      </c>
      <c r="E91">
        <v>0</v>
      </c>
      <c r="F91">
        <v>0</v>
      </c>
      <c r="G91" s="5">
        <v>6.805555553000886E-3</v>
      </c>
      <c r="H91" t="s">
        <v>238</v>
      </c>
      <c r="I91" t="s">
        <v>239</v>
      </c>
      <c r="J91">
        <v>0</v>
      </c>
      <c r="K91">
        <f t="shared" ref="K91" si="155">IF(A91&lt;DATEVALUE("2025/11/20"),1,IF(B91-SUM(D91:F91)&lt;&gt;60,0,MAX(2-INT(G91*24*60/10),0)))</f>
        <v>2</v>
      </c>
      <c r="L91">
        <f t="shared" ref="L91" si="156">L90+K91</f>
        <v>79</v>
      </c>
      <c r="M91">
        <f t="shared" ref="M91" si="157">2+IF(A91&gt;=DATEVALUE("2025/11/30"),1,0)</f>
        <v>3</v>
      </c>
      <c r="N91">
        <f t="shared" ref="N91" si="158">N90+M91*(INT(A91-6/24)-INT(A90-6/24))+O91</f>
        <v>79</v>
      </c>
      <c r="O91">
        <f t="shared" ref="O91" si="159">IF(A91&gt;=DATEVALUE("2025/11/8"),1,0)-IF(A90&gt;=DATEVALUE("2025/11/8"),1,0)</f>
        <v>0</v>
      </c>
      <c r="P91" t="str">
        <f t="shared" ref="P91" si="160">IF(L91&lt;N91,"未達成（"&amp;N91-L91&amp;"）",IF(L91=N91,"達成","前倒し（"&amp;L91-N91&amp;"）"))</f>
        <v>達成</v>
      </c>
    </row>
    <row r="92" spans="1:16">
      <c r="A92" s="3">
        <v>45999.308831018519</v>
      </c>
      <c r="B92">
        <v>60</v>
      </c>
      <c r="C92">
        <v>19</v>
      </c>
      <c r="D92">
        <v>0</v>
      </c>
      <c r="E92">
        <v>0</v>
      </c>
      <c r="F92">
        <v>0</v>
      </c>
      <c r="G92" s="5">
        <v>7.8935185229056515E-3</v>
      </c>
      <c r="H92" t="s">
        <v>240</v>
      </c>
      <c r="I92" t="s">
        <v>241</v>
      </c>
      <c r="J92">
        <v>0</v>
      </c>
      <c r="K92">
        <f t="shared" ref="K92" si="161">IF(A92&lt;DATEVALUE("2025/11/20"),1,IF(B92-SUM(D92:F92)&lt;&gt;60,0,MAX(2-INT(G92*24*60/10),0)))</f>
        <v>1</v>
      </c>
      <c r="L92">
        <f t="shared" ref="L92" si="162">L91+K92</f>
        <v>80</v>
      </c>
      <c r="M92">
        <f t="shared" ref="M92" si="163">2+IF(A92&gt;=DATEVALUE("2025/11/30"),1,0)</f>
        <v>3</v>
      </c>
      <c r="N92">
        <f t="shared" ref="N92" si="164">N91+M92*(INT(A92-6/24)-INT(A91-6/24))+O92</f>
        <v>82</v>
      </c>
      <c r="O92">
        <f t="shared" ref="O92" si="165">IF(A92&gt;=DATEVALUE("2025/11/8"),1,0)-IF(A91&gt;=DATEVALUE("2025/11/8"),1,0)</f>
        <v>0</v>
      </c>
      <c r="P92" t="str">
        <f t="shared" ref="P92" si="166">IF(L92&lt;N92,"未達成（"&amp;N92-L92&amp;"）",IF(L92=N92,"達成","前倒し（"&amp;L92-N92&amp;"）"))</f>
        <v>未達成（2）</v>
      </c>
    </row>
    <row r="93" spans="1:16">
      <c r="A93" s="3">
        <v>45999.538287037038</v>
      </c>
      <c r="B93">
        <v>60</v>
      </c>
      <c r="C93">
        <v>10</v>
      </c>
      <c r="D93">
        <v>0</v>
      </c>
      <c r="E93">
        <v>0</v>
      </c>
      <c r="F93">
        <v>0</v>
      </c>
      <c r="G93" s="5">
        <v>8.2407407389837317E-3</v>
      </c>
      <c r="H93" t="s">
        <v>242</v>
      </c>
      <c r="I93" t="s">
        <v>243</v>
      </c>
      <c r="J93">
        <v>0</v>
      </c>
      <c r="K93">
        <f t="shared" ref="K93" si="167">IF(A93&lt;DATEVALUE("2025/11/20"),1,IF(B93-SUM(D93:F93)&lt;&gt;60,0,MAX(2-INT(G93*24*60/10),0)))</f>
        <v>1</v>
      </c>
      <c r="L93">
        <f t="shared" ref="L93" si="168">L92+K93</f>
        <v>81</v>
      </c>
      <c r="M93">
        <f t="shared" ref="M93" si="169">2+IF(A93&gt;=DATEVALUE("2025/11/30"),1,0)</f>
        <v>3</v>
      </c>
      <c r="N93">
        <f t="shared" ref="N93" si="170">N92+M93*(INT(A93-6/24)-INT(A92-6/24))+O93</f>
        <v>82</v>
      </c>
      <c r="O93">
        <f t="shared" ref="O93" si="171">IF(A93&gt;=DATEVALUE("2025/11/8"),1,0)-IF(A92&gt;=DATEVALUE("2025/11/8"),1,0)</f>
        <v>0</v>
      </c>
      <c r="P93" t="str">
        <f t="shared" ref="P93" si="172">IF(L93&lt;N93,"未達成（"&amp;N93-L93&amp;"）",IF(L93=N93,"達成","前倒し（"&amp;L93-N93&amp;"）"))</f>
        <v>未達成（1）</v>
      </c>
    </row>
    <row r="94" spans="1:16">
      <c r="A94" s="3">
        <v>45999.866469907407</v>
      </c>
      <c r="B94">
        <v>60</v>
      </c>
      <c r="C94">
        <v>12</v>
      </c>
      <c r="D94">
        <v>0</v>
      </c>
      <c r="E94">
        <v>0</v>
      </c>
      <c r="F94">
        <v>0</v>
      </c>
      <c r="G94" s="5">
        <v>5.6134259284590371E-3</v>
      </c>
      <c r="H94" t="s">
        <v>244</v>
      </c>
      <c r="I94" t="s">
        <v>245</v>
      </c>
      <c r="J94">
        <v>0</v>
      </c>
      <c r="K94">
        <f t="shared" ref="K94" si="173">IF(A94&lt;DATEVALUE("2025/11/20"),1,IF(B94-SUM(D94:F94)&lt;&gt;60,0,MAX(2-INT(G94*24*60/10),0)))</f>
        <v>2</v>
      </c>
      <c r="L94">
        <f t="shared" ref="L94" si="174">L93+K94</f>
        <v>83</v>
      </c>
      <c r="M94">
        <f t="shared" ref="M94" si="175">2+IF(A94&gt;=DATEVALUE("2025/11/30"),1,0)</f>
        <v>3</v>
      </c>
      <c r="N94">
        <f t="shared" ref="N94" si="176">N93+M94*(INT(A94-6/24)-INT(A93-6/24))+O94</f>
        <v>82</v>
      </c>
      <c r="O94">
        <f t="shared" ref="O94" si="177">IF(A94&gt;=DATEVALUE("2025/11/8"),1,0)-IF(A93&gt;=DATEVALUE("2025/11/8"),1,0)</f>
        <v>0</v>
      </c>
      <c r="P94" t="str">
        <f t="shared" ref="P94" si="178">IF(L94&lt;N94,"未達成（"&amp;N94-L94&amp;"）",IF(L94=N94,"達成","前倒し（"&amp;L94-N94&amp;"）"))</f>
        <v>前倒し（1）</v>
      </c>
    </row>
    <row r="95" spans="1:16">
      <c r="A95" s="3">
        <v>46000.300081018519</v>
      </c>
      <c r="B95">
        <v>60</v>
      </c>
      <c r="C95">
        <v>13</v>
      </c>
      <c r="D95">
        <v>0</v>
      </c>
      <c r="E95">
        <v>0</v>
      </c>
      <c r="F95">
        <v>0</v>
      </c>
      <c r="G95" s="5">
        <v>1.1423611111240461E-2</v>
      </c>
      <c r="H95" t="s">
        <v>246</v>
      </c>
      <c r="I95" t="s">
        <v>247</v>
      </c>
      <c r="J95">
        <v>0</v>
      </c>
      <c r="K95">
        <f t="shared" ref="K95" si="179">IF(A95&lt;DATEVALUE("2025/11/20"),1,IF(B95-SUM(D95:F95)&lt;&gt;60,0,MAX(2-INT(G95*24*60/10),0)))</f>
        <v>1</v>
      </c>
      <c r="L95">
        <f t="shared" ref="L95" si="180">L94+K95</f>
        <v>84</v>
      </c>
      <c r="M95">
        <f t="shared" ref="M95" si="181">2+IF(A95&gt;=DATEVALUE("2025/11/30"),1,0)</f>
        <v>3</v>
      </c>
      <c r="N95">
        <f t="shared" ref="N95" si="182">N94+M95*(INT(A95-6/24)-INT(A94-6/24))+O95</f>
        <v>85</v>
      </c>
      <c r="O95">
        <f t="shared" ref="O95" si="183">IF(A95&gt;=DATEVALUE("2025/11/8"),1,0)-IF(A94&gt;=DATEVALUE("2025/11/8"),1,0)</f>
        <v>0</v>
      </c>
      <c r="P95" t="str">
        <f t="shared" ref="P95" si="184">IF(L95&lt;N95,"未達成（"&amp;N95-L95&amp;"）",IF(L95=N95,"達成","前倒し（"&amp;L95-N95&amp;"）"))</f>
        <v>未達成（1）</v>
      </c>
    </row>
    <row r="96" spans="1:16">
      <c r="A96" s="3">
        <v>46000.312152777777</v>
      </c>
      <c r="B96">
        <v>60</v>
      </c>
      <c r="C96">
        <v>9</v>
      </c>
      <c r="D96">
        <v>0</v>
      </c>
      <c r="E96">
        <v>0</v>
      </c>
      <c r="F96">
        <v>0</v>
      </c>
      <c r="G96" s="5">
        <v>5.8101851827814244E-3</v>
      </c>
      <c r="H96" t="s">
        <v>248</v>
      </c>
      <c r="I96" t="s">
        <v>249</v>
      </c>
      <c r="J96">
        <v>0</v>
      </c>
      <c r="K96">
        <f t="shared" ref="K96" si="185">IF(A96&lt;DATEVALUE("2025/11/20"),1,IF(B96-SUM(D96:F96)&lt;&gt;60,0,MAX(2-INT(G96*24*60/10),0)))</f>
        <v>2</v>
      </c>
      <c r="L96">
        <f t="shared" ref="L96" si="186">L95+K96</f>
        <v>86</v>
      </c>
      <c r="M96">
        <f t="shared" ref="M96" si="187">2+IF(A96&gt;=DATEVALUE("2025/11/30"),1,0)</f>
        <v>3</v>
      </c>
      <c r="N96">
        <f t="shared" ref="N96" si="188">N95+M96*(INT(A96-6/24)-INT(A95-6/24))+O96</f>
        <v>85</v>
      </c>
      <c r="O96">
        <f t="shared" ref="O96" si="189">IF(A96&gt;=DATEVALUE("2025/11/8"),1,0)-IF(A95&gt;=DATEVALUE("2025/11/8"),1,0)</f>
        <v>0</v>
      </c>
      <c r="P96" t="str">
        <f t="shared" ref="P96" si="190">IF(L96&lt;N96,"未達成（"&amp;N96-L96&amp;"）",IF(L96=N96,"達成","前倒し（"&amp;L96-N96&amp;"）"))</f>
        <v>前倒し（1）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46000.306342592594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43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2025-12-08T22:29:56Z</dcterms:modified>
</cp:coreProperties>
</file>
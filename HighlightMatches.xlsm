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4348B7A5-6924-46B8-9BDC-90B723E4F8E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6" i="4" l="1"/>
  <c r="M126" i="4"/>
  <c r="N126" i="4" s="1"/>
  <c r="K126" i="4"/>
  <c r="L126" i="4" s="1"/>
  <c r="O125" i="4"/>
  <c r="M125" i="4"/>
  <c r="N125" i="4" s="1"/>
  <c r="K125" i="4"/>
  <c r="L125" i="4" s="1"/>
  <c r="O124" i="4"/>
  <c r="M124" i="4"/>
  <c r="N124" i="4" s="1"/>
  <c r="K124" i="4"/>
  <c r="L124" i="4" s="1"/>
  <c r="P124" i="4" s="1"/>
  <c r="O123" i="4"/>
  <c r="M123" i="4"/>
  <c r="K123" i="4"/>
  <c r="L123" i="4" s="1"/>
  <c r="O122" i="4"/>
  <c r="M122" i="4"/>
  <c r="N122" i="4" s="1"/>
  <c r="K122" i="4"/>
  <c r="L122" i="4" s="1"/>
  <c r="P122" i="4" s="1"/>
  <c r="O121" i="4"/>
  <c r="M121" i="4"/>
  <c r="N121" i="4" s="1"/>
  <c r="K121" i="4"/>
  <c r="L121" i="4" s="1"/>
  <c r="O120" i="4"/>
  <c r="M120" i="4"/>
  <c r="N120" i="4" s="1"/>
  <c r="K120" i="4"/>
  <c r="L120" i="4" s="1"/>
  <c r="O119" i="4"/>
  <c r="M119" i="4"/>
  <c r="N119" i="4" s="1"/>
  <c r="K119" i="4"/>
  <c r="L119" i="4" s="1"/>
  <c r="O118" i="4"/>
  <c r="M118" i="4"/>
  <c r="N118" i="4" s="1"/>
  <c r="K118" i="4"/>
  <c r="L118" i="4" s="1"/>
  <c r="O117" i="4"/>
  <c r="M117" i="4"/>
  <c r="N117" i="4" s="1"/>
  <c r="K117" i="4"/>
  <c r="L117" i="4" s="1"/>
  <c r="O116" i="4"/>
  <c r="M116" i="4"/>
  <c r="N116" i="4" s="1"/>
  <c r="K116" i="4"/>
  <c r="L116" i="4" s="1"/>
  <c r="P116" i="4" s="1"/>
  <c r="O115" i="4"/>
  <c r="M115" i="4"/>
  <c r="N115" i="4" s="1"/>
  <c r="K115" i="4"/>
  <c r="L115" i="4" s="1"/>
  <c r="O114" i="4"/>
  <c r="M114" i="4"/>
  <c r="N114" i="4" s="1"/>
  <c r="K114" i="4"/>
  <c r="L114" i="4" s="1"/>
  <c r="O113" i="4"/>
  <c r="M113" i="4"/>
  <c r="N113" i="4" s="1"/>
  <c r="K113" i="4"/>
  <c r="L113" i="4" s="1"/>
  <c r="P113" i="4" s="1"/>
  <c r="O112" i="4"/>
  <c r="M112" i="4"/>
  <c r="N112" i="4" s="1"/>
  <c r="K112" i="4"/>
  <c r="L112" i="4" s="1"/>
  <c r="P112" i="4" s="1"/>
  <c r="O111" i="4"/>
  <c r="M111" i="4"/>
  <c r="N111" i="4" s="1"/>
  <c r="K111" i="4"/>
  <c r="L111" i="4" s="1"/>
  <c r="P111" i="4" s="1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26" i="4" l="1"/>
  <c r="P125" i="4"/>
  <c r="N123" i="4"/>
  <c r="P123" i="4" s="1"/>
  <c r="P121" i="4"/>
  <c r="P120" i="4"/>
  <c r="P119" i="4"/>
  <c r="P118" i="4"/>
  <c r="P117" i="4"/>
  <c r="P115" i="4"/>
  <c r="P114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s="1"/>
</calcChain>
</file>

<file path=xl/sharedStrings.xml><?xml version="1.0" encoding="utf-8"?>
<sst xmlns="http://schemas.openxmlformats.org/spreadsheetml/2006/main" count="329" uniqueCount="310">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</sst>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データ!$P$1:$P$125</c:f>
              <c:strCache>
                <c:ptCount val="125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データ!$A$2:$A$126</c:f>
              <c:numCache>
                <c:formatCode>m/d/yyyy\ h:mm</c:formatCode>
                <c:ptCount val="12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</c:numCache>
            </c:numRef>
          </c:xVal>
          <c:yVal>
            <c:numRef>
              <c:f>データ!$B$2:$B$126</c:f>
              <c:numCache>
                <c:formatCode>General</c:formatCode>
                <c:ptCount val="12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93-4022-9712-A9167301C0A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893-4022-9712-A9167301C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9111760"/>
        <c:axId val="99911128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データ!$A$2:$A$126</c:f>
              <c:numCache>
                <c:formatCode>m/d/yyyy\ h:mm</c:formatCode>
                <c:ptCount val="12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</c:numCache>
            </c:numRef>
          </c:xVal>
          <c:yVal>
            <c:numRef>
              <c:f>データ!$G$2:$G$126</c:f>
              <c:numCache>
                <c:formatCode>[h]:mm</c:formatCode>
                <c:ptCount val="12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3-4022-9712-A9167301C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9114160"/>
        <c:axId val="999107920"/>
      </c:scatterChart>
      <c:valAx>
        <c:axId val="99911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9111280"/>
        <c:crosses val="autoZero"/>
        <c:crossBetween val="midCat"/>
      </c:valAx>
      <c:valAx>
        <c:axId val="99911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9111760"/>
        <c:crosses val="autoZero"/>
        <c:crossBetween val="midCat"/>
      </c:valAx>
      <c:valAx>
        <c:axId val="99910792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9114160"/>
        <c:crosses val="max"/>
        <c:crossBetween val="midCat"/>
      </c:valAx>
      <c:valAx>
        <c:axId val="99911416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910792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211931</xdr:colOff>
      <xdr:row>7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310" name="Match0">
          <a:extLst>
            <a:ext uri="{FF2B5EF4-FFF2-40B4-BE49-F238E27FC236}">
              <a16:creationId xmlns:a16="http://schemas.microsoft.com/office/drawing/2014/main" id="{618D1EA8-B09A-FCB9-3ED7-560882F52B6B}"/>
            </a:ext>
          </a:extLst>
        </xdr:cNvPr>
        <xdr:cNvCxnSpPr/>
      </xdr:nvCxnSpPr>
      <xdr:spPr>
        <a:xfrm flipH="1">
          <a:off x="2331244" y="267890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311" name="Match1">
          <a:extLst>
            <a:ext uri="{FF2B5EF4-FFF2-40B4-BE49-F238E27FC236}">
              <a16:creationId xmlns:a16="http://schemas.microsoft.com/office/drawing/2014/main" id="{E5EF6E61-D54D-3904-0D1A-34D1AF51547D}"/>
            </a:ext>
          </a:extLst>
        </xdr:cNvPr>
        <xdr:cNvCxnSpPr/>
      </xdr:nvCxnSpPr>
      <xdr:spPr>
        <a:xfrm>
          <a:off x="1483519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312" name="Match2">
          <a:extLst>
            <a:ext uri="{FF2B5EF4-FFF2-40B4-BE49-F238E27FC236}">
              <a16:creationId xmlns:a16="http://schemas.microsoft.com/office/drawing/2014/main" id="{28CD1D9B-83E0-1EE5-024E-A3D335F7A385}"/>
            </a:ext>
          </a:extLst>
        </xdr:cNvPr>
        <xdr:cNvCxnSpPr/>
      </xdr:nvCxnSpPr>
      <xdr:spPr>
        <a:xfrm flipH="1">
          <a:off x="2331244" y="232171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1313" name="Match3">
          <a:extLst>
            <a:ext uri="{FF2B5EF4-FFF2-40B4-BE49-F238E27FC236}">
              <a16:creationId xmlns:a16="http://schemas.microsoft.com/office/drawing/2014/main" id="{4479F957-912F-9824-02EF-AEDC222CB9F6}"/>
            </a:ext>
          </a:extLst>
        </xdr:cNvPr>
        <xdr:cNvCxnSpPr/>
      </xdr:nvCxnSpPr>
      <xdr:spPr>
        <a:xfrm flipH="1">
          <a:off x="1059656" y="12501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1</xdr:row>
      <xdr:rowOff>178593</xdr:rowOff>
    </xdr:to>
    <xdr:cxnSp macro="">
      <xdr:nvCxnSpPr>
        <xdr:cNvPr id="1314" name="Match4">
          <a:extLst>
            <a:ext uri="{FF2B5EF4-FFF2-40B4-BE49-F238E27FC236}">
              <a16:creationId xmlns:a16="http://schemas.microsoft.com/office/drawing/2014/main" id="{89E8CEAA-C784-87F7-E091-4DE5BBC203AA}"/>
            </a:ext>
          </a:extLst>
        </xdr:cNvPr>
        <xdr:cNvCxnSpPr/>
      </xdr:nvCxnSpPr>
      <xdr:spPr>
        <a:xfrm>
          <a:off x="6357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315" name="Match5">
          <a:extLst>
            <a:ext uri="{FF2B5EF4-FFF2-40B4-BE49-F238E27FC236}">
              <a16:creationId xmlns:a16="http://schemas.microsoft.com/office/drawing/2014/main" id="{C2B798BE-4A94-B7DB-F9DD-B836635C0371}"/>
            </a:ext>
          </a:extLst>
        </xdr:cNvPr>
        <xdr:cNvCxnSpPr/>
      </xdr:nvCxnSpPr>
      <xdr:spPr>
        <a:xfrm flipV="1">
          <a:off x="6611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1316" name="Match6">
          <a:extLst>
            <a:ext uri="{FF2B5EF4-FFF2-40B4-BE49-F238E27FC236}">
              <a16:creationId xmlns:a16="http://schemas.microsoft.com/office/drawing/2014/main" id="{BACA3D98-48E4-89A5-8E76-1E4BEA1531DF}"/>
            </a:ext>
          </a:extLst>
        </xdr:cNvPr>
        <xdr:cNvCxnSpPr/>
      </xdr:nvCxnSpPr>
      <xdr:spPr>
        <a:xfrm>
          <a:off x="190738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1317" name="Match7">
          <a:extLst>
            <a:ext uri="{FF2B5EF4-FFF2-40B4-BE49-F238E27FC236}">
              <a16:creationId xmlns:a16="http://schemas.microsoft.com/office/drawing/2014/main" id="{5047C49D-622E-E9B4-6EBE-AFFB5C769495}"/>
            </a:ext>
          </a:extLst>
        </xdr:cNvPr>
        <xdr:cNvCxnSpPr/>
      </xdr:nvCxnSpPr>
      <xdr:spPr>
        <a:xfrm>
          <a:off x="193278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318" name="Match8">
          <a:extLst>
            <a:ext uri="{FF2B5EF4-FFF2-40B4-BE49-F238E27FC236}">
              <a16:creationId xmlns:a16="http://schemas.microsoft.com/office/drawing/2014/main" id="{3A0A617E-7C70-B042-AFF2-DE9FB4A52C0D}"/>
            </a:ext>
          </a:extLst>
        </xdr:cNvPr>
        <xdr:cNvCxnSpPr/>
      </xdr:nvCxnSpPr>
      <xdr:spPr>
        <a:xfrm flipH="1">
          <a:off x="190738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</xdr:row>
      <xdr:rowOff>203993</xdr:rowOff>
    </xdr:from>
    <xdr:to>
      <xdr:col>5</xdr:col>
      <xdr:colOff>237331</xdr:colOff>
      <xdr:row>2</xdr:row>
      <xdr:rowOff>203994</xdr:rowOff>
    </xdr:to>
    <xdr:cxnSp macro="">
      <xdr:nvCxnSpPr>
        <xdr:cNvPr id="1319" name="Match9">
          <a:extLst>
            <a:ext uri="{FF2B5EF4-FFF2-40B4-BE49-F238E27FC236}">
              <a16:creationId xmlns:a16="http://schemas.microsoft.com/office/drawing/2014/main" id="{E9D94EDF-7E63-96E8-1664-21064C7FA0A7}"/>
            </a:ext>
          </a:extLst>
        </xdr:cNvPr>
        <xdr:cNvCxnSpPr/>
      </xdr:nvCxnSpPr>
      <xdr:spPr>
        <a:xfrm flipV="1">
          <a:off x="2356644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3</xdr:row>
      <xdr:rowOff>178593</xdr:rowOff>
    </xdr:to>
    <xdr:cxnSp macro="">
      <xdr:nvCxnSpPr>
        <xdr:cNvPr id="1320" name="Match10">
          <a:extLst>
            <a:ext uri="{FF2B5EF4-FFF2-40B4-BE49-F238E27FC236}">
              <a16:creationId xmlns:a16="http://schemas.microsoft.com/office/drawing/2014/main" id="{5DD1C3EA-BC6C-E1E2-CE5B-7F1F0D165BF3}"/>
            </a:ext>
          </a:extLst>
        </xdr:cNvPr>
        <xdr:cNvCxnSpPr/>
      </xdr:nvCxnSpPr>
      <xdr:spPr>
        <a:xfrm flipH="1" flipV="1">
          <a:off x="190738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321" name="Match11">
          <a:extLst>
            <a:ext uri="{FF2B5EF4-FFF2-40B4-BE49-F238E27FC236}">
              <a16:creationId xmlns:a16="http://schemas.microsoft.com/office/drawing/2014/main" id="{29EBE7D4-7459-CA67-BF69-EC9BF327B47A}"/>
            </a:ext>
          </a:extLst>
        </xdr:cNvPr>
        <xdr:cNvCxnSpPr/>
      </xdr:nvCxnSpPr>
      <xdr:spPr>
        <a:xfrm flipH="1" flipV="1"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322" name="Match12">
          <a:extLst>
            <a:ext uri="{FF2B5EF4-FFF2-40B4-BE49-F238E27FC236}">
              <a16:creationId xmlns:a16="http://schemas.microsoft.com/office/drawing/2014/main" id="{5657AA60-8E29-6185-8E91-CC06123DD5D8}"/>
            </a:ext>
          </a:extLst>
        </xdr:cNvPr>
        <xdr:cNvCxnSpPr/>
      </xdr:nvCxnSpPr>
      <xdr:spPr>
        <a:xfrm>
          <a:off x="317896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323" name="Match13">
          <a:extLst>
            <a:ext uri="{FF2B5EF4-FFF2-40B4-BE49-F238E27FC236}">
              <a16:creationId xmlns:a16="http://schemas.microsoft.com/office/drawing/2014/main" id="{E8F2B4D5-28BA-BCE5-BA31-FE50A6762CE8}"/>
            </a:ext>
          </a:extLst>
        </xdr:cNvPr>
        <xdr:cNvCxnSpPr/>
      </xdr:nvCxnSpPr>
      <xdr:spPr>
        <a:xfrm>
          <a:off x="275510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324" name="Match14">
          <a:extLst>
            <a:ext uri="{FF2B5EF4-FFF2-40B4-BE49-F238E27FC236}">
              <a16:creationId xmlns:a16="http://schemas.microsoft.com/office/drawing/2014/main" id="{F97FDBAB-B195-DE9E-47E5-96D0972BE877}"/>
            </a:ext>
          </a:extLst>
        </xdr:cNvPr>
        <xdr:cNvCxnSpPr/>
      </xdr:nvCxnSpPr>
      <xdr:spPr>
        <a:xfrm flipV="1">
          <a:off x="278050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325" name="Match15">
          <a:extLst>
            <a:ext uri="{FF2B5EF4-FFF2-40B4-BE49-F238E27FC236}">
              <a16:creationId xmlns:a16="http://schemas.microsoft.com/office/drawing/2014/main" id="{A1F07E75-31D1-EAC5-EF88-128AD79B90B0}"/>
            </a:ext>
          </a:extLst>
        </xdr:cNvPr>
        <xdr:cNvCxnSpPr/>
      </xdr:nvCxnSpPr>
      <xdr:spPr>
        <a:xfrm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8</xdr:col>
      <xdr:colOff>237331</xdr:colOff>
      <xdr:row>6</xdr:row>
      <xdr:rowOff>203994</xdr:rowOff>
    </xdr:to>
    <xdr:cxnSp macro="">
      <xdr:nvCxnSpPr>
        <xdr:cNvPr id="1326" name="Match16">
          <a:extLst>
            <a:ext uri="{FF2B5EF4-FFF2-40B4-BE49-F238E27FC236}">
              <a16:creationId xmlns:a16="http://schemas.microsoft.com/office/drawing/2014/main" id="{44ACA936-FD9E-E95B-1543-FC5634E3FCB9}"/>
            </a:ext>
          </a:extLst>
        </xdr:cNvPr>
        <xdr:cNvCxnSpPr/>
      </xdr:nvCxnSpPr>
      <xdr:spPr>
        <a:xfrm flipH="1" flipV="1">
          <a:off x="320436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327" name="Match17">
          <a:extLst>
            <a:ext uri="{FF2B5EF4-FFF2-40B4-BE49-F238E27FC236}">
              <a16:creationId xmlns:a16="http://schemas.microsoft.com/office/drawing/2014/main" id="{8409724E-8356-20D9-93AA-7A4A461BF7B3}"/>
            </a:ext>
          </a:extLst>
        </xdr:cNvPr>
        <xdr:cNvCxnSpPr/>
      </xdr:nvCxnSpPr>
      <xdr:spPr>
        <a:xfrm>
          <a:off x="489981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262731</xdr:colOff>
      <xdr:row>5</xdr:row>
      <xdr:rowOff>229393</xdr:rowOff>
    </xdr:from>
    <xdr:to>
      <xdr:col>11</xdr:col>
      <xdr:colOff>262731</xdr:colOff>
      <xdr:row>6</xdr:row>
      <xdr:rowOff>229394</xdr:rowOff>
    </xdr:to>
    <xdr:cxnSp macro="">
      <xdr:nvCxnSpPr>
        <xdr:cNvPr id="1328" name="Match18">
          <a:extLst>
            <a:ext uri="{FF2B5EF4-FFF2-40B4-BE49-F238E27FC236}">
              <a16:creationId xmlns:a16="http://schemas.microsoft.com/office/drawing/2014/main" id="{777C3F88-8FAF-6808-FEAE-FDB1B40CD53A}"/>
            </a:ext>
          </a:extLst>
        </xdr:cNvPr>
        <xdr:cNvCxnSpPr/>
      </xdr:nvCxnSpPr>
      <xdr:spPr>
        <a:xfrm flipV="1">
          <a:off x="4925219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329" name="Match19">
          <a:extLst>
            <a:ext uri="{FF2B5EF4-FFF2-40B4-BE49-F238E27FC236}">
              <a16:creationId xmlns:a16="http://schemas.microsoft.com/office/drawing/2014/main" id="{877C3D6D-4F9B-07B0-0E84-AB8C17ABC12B}"/>
            </a:ext>
          </a:extLst>
        </xdr:cNvPr>
        <xdr:cNvCxnSpPr/>
      </xdr:nvCxnSpPr>
      <xdr:spPr>
        <a:xfrm flipH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330" name="Match20">
          <a:extLst>
            <a:ext uri="{FF2B5EF4-FFF2-40B4-BE49-F238E27FC236}">
              <a16:creationId xmlns:a16="http://schemas.microsoft.com/office/drawing/2014/main" id="{567CDA60-3BBF-670E-97F2-99437E1BE434}"/>
            </a:ext>
          </a:extLst>
        </xdr:cNvPr>
        <xdr:cNvCxnSpPr/>
      </xdr:nvCxnSpPr>
      <xdr:spPr>
        <a:xfrm flipH="1">
          <a:off x="275510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331" name="Match21">
          <a:extLst>
            <a:ext uri="{FF2B5EF4-FFF2-40B4-BE49-F238E27FC236}">
              <a16:creationId xmlns:a16="http://schemas.microsoft.com/office/drawing/2014/main" id="{14C9A399-4C36-EE65-364E-83812BB3531D}"/>
            </a:ext>
          </a:extLst>
        </xdr:cNvPr>
        <xdr:cNvCxnSpPr/>
      </xdr:nvCxnSpPr>
      <xdr:spPr>
        <a:xfrm>
          <a:off x="14835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3</xdr:col>
      <xdr:colOff>237331</xdr:colOff>
      <xdr:row>2</xdr:row>
      <xdr:rowOff>203994</xdr:rowOff>
    </xdr:to>
    <xdr:cxnSp macro="">
      <xdr:nvCxnSpPr>
        <xdr:cNvPr id="1332" name="Match22">
          <a:extLst>
            <a:ext uri="{FF2B5EF4-FFF2-40B4-BE49-F238E27FC236}">
              <a16:creationId xmlns:a16="http://schemas.microsoft.com/office/drawing/2014/main" id="{C73E5202-E30D-0051-4C5A-20A4A5C99806}"/>
            </a:ext>
          </a:extLst>
        </xdr:cNvPr>
        <xdr:cNvCxnSpPr/>
      </xdr:nvCxnSpPr>
      <xdr:spPr>
        <a:xfrm flipH="1">
          <a:off x="10850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333" name="Match23">
          <a:extLst>
            <a:ext uri="{FF2B5EF4-FFF2-40B4-BE49-F238E27FC236}">
              <a16:creationId xmlns:a16="http://schemas.microsoft.com/office/drawing/2014/main" id="{FC356D7A-E372-A88C-A9B9-AAA1FB640273}"/>
            </a:ext>
          </a:extLst>
        </xdr:cNvPr>
        <xdr:cNvCxnSpPr/>
      </xdr:nvCxnSpPr>
      <xdr:spPr>
        <a:xfrm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334" name="Match24">
          <a:extLst>
            <a:ext uri="{FF2B5EF4-FFF2-40B4-BE49-F238E27FC236}">
              <a16:creationId xmlns:a16="http://schemas.microsoft.com/office/drawing/2014/main" id="{03F2A8EE-62F5-A0B5-82D8-18537F0A1E33}"/>
            </a:ext>
          </a:extLst>
        </xdr:cNvPr>
        <xdr:cNvCxnSpPr/>
      </xdr:nvCxnSpPr>
      <xdr:spPr>
        <a:xfrm>
          <a:off x="10596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335" name="Match25">
          <a:extLst>
            <a:ext uri="{FF2B5EF4-FFF2-40B4-BE49-F238E27FC236}">
              <a16:creationId xmlns:a16="http://schemas.microsoft.com/office/drawing/2014/main" id="{2742B3A9-CF9D-EE6F-81F4-B3550AAD6CF6}"/>
            </a:ext>
          </a:extLst>
        </xdr:cNvPr>
        <xdr:cNvCxnSpPr/>
      </xdr:nvCxnSpPr>
      <xdr:spPr>
        <a:xfrm flipV="1">
          <a:off x="190738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336" name="Match26">
          <a:extLst>
            <a:ext uri="{FF2B5EF4-FFF2-40B4-BE49-F238E27FC236}">
              <a16:creationId xmlns:a16="http://schemas.microsoft.com/office/drawing/2014/main" id="{7C40C46E-F87A-814A-A55C-14D147634FE2}"/>
            </a:ext>
          </a:extLst>
        </xdr:cNvPr>
        <xdr:cNvCxnSpPr/>
      </xdr:nvCxnSpPr>
      <xdr:spPr>
        <a:xfrm flipH="1" flipV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337" name="Match27">
          <a:extLst>
            <a:ext uri="{FF2B5EF4-FFF2-40B4-BE49-F238E27FC236}">
              <a16:creationId xmlns:a16="http://schemas.microsoft.com/office/drawing/2014/main" id="{37FCAD4F-11A3-E37E-62F3-F8C3B7961367}"/>
            </a:ext>
          </a:extLst>
        </xdr:cNvPr>
        <xdr:cNvCxnSpPr/>
      </xdr:nvCxnSpPr>
      <xdr:spPr>
        <a:xfrm flipH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9</xdr:row>
      <xdr:rowOff>203993</xdr:rowOff>
    </xdr:to>
    <xdr:cxnSp macro="">
      <xdr:nvCxnSpPr>
        <xdr:cNvPr id="1338" name="Match28">
          <a:extLst>
            <a:ext uri="{FF2B5EF4-FFF2-40B4-BE49-F238E27FC236}">
              <a16:creationId xmlns:a16="http://schemas.microsoft.com/office/drawing/2014/main" id="{98B8D8CF-BEE4-9BD1-613A-884E4E5BAF9B}"/>
            </a:ext>
          </a:extLst>
        </xdr:cNvPr>
        <xdr:cNvCxnSpPr/>
      </xdr:nvCxnSpPr>
      <xdr:spPr>
        <a:xfrm flipH="1">
          <a:off x="1932781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339" name="Match29">
          <a:extLst>
            <a:ext uri="{FF2B5EF4-FFF2-40B4-BE49-F238E27FC236}">
              <a16:creationId xmlns:a16="http://schemas.microsoft.com/office/drawing/2014/main" id="{F08674B9-250A-603D-76FA-A1DACE89AFBE}"/>
            </a:ext>
          </a:extLst>
        </xdr:cNvPr>
        <xdr:cNvCxnSpPr/>
      </xdr:nvCxnSpPr>
      <xdr:spPr>
        <a:xfrm flipH="1">
          <a:off x="1059656" y="30360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340" name="Match30">
          <a:extLst>
            <a:ext uri="{FF2B5EF4-FFF2-40B4-BE49-F238E27FC236}">
              <a16:creationId xmlns:a16="http://schemas.microsoft.com/office/drawing/2014/main" id="{0EC4F264-E2A2-C2C9-99CE-4A16CEF60F22}"/>
            </a:ext>
          </a:extLst>
        </xdr:cNvPr>
        <xdr:cNvCxnSpPr/>
      </xdr:nvCxnSpPr>
      <xdr:spPr>
        <a:xfrm flipH="1">
          <a:off x="3602831" y="30360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341" name="Match31">
          <a:extLst>
            <a:ext uri="{FF2B5EF4-FFF2-40B4-BE49-F238E27FC236}">
              <a16:creationId xmlns:a16="http://schemas.microsoft.com/office/drawing/2014/main" id="{DB532E5B-2CC7-7682-07D5-CB0C4112C4C1}"/>
            </a:ext>
          </a:extLst>
        </xdr:cNvPr>
        <xdr:cNvCxnSpPr/>
      </xdr:nvCxnSpPr>
      <xdr:spPr>
        <a:xfrm flipH="1">
          <a:off x="2331244" y="178594"/>
          <a:ext cx="2119312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0</xdr:row>
      <xdr:rowOff>178594</xdr:rowOff>
    </xdr:to>
    <xdr:cxnSp macro="">
      <xdr:nvCxnSpPr>
        <xdr:cNvPr id="1342" name="Match32">
          <a:extLst>
            <a:ext uri="{FF2B5EF4-FFF2-40B4-BE49-F238E27FC236}">
              <a16:creationId xmlns:a16="http://schemas.microsoft.com/office/drawing/2014/main" id="{2579A4FB-388D-D72A-0667-2D64C7F8C057}"/>
            </a:ext>
          </a:extLst>
        </xdr:cNvPr>
        <xdr:cNvCxnSpPr/>
      </xdr:nvCxnSpPr>
      <xdr:spPr>
        <a:xfrm>
          <a:off x="6357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343" name="Match33">
          <a:extLst>
            <a:ext uri="{FF2B5EF4-FFF2-40B4-BE49-F238E27FC236}">
              <a16:creationId xmlns:a16="http://schemas.microsoft.com/office/drawing/2014/main" id="{F88A9052-5B37-B657-3BF8-08F0C04C4CCA}"/>
            </a:ext>
          </a:extLst>
        </xdr:cNvPr>
        <xdr:cNvCxnSpPr/>
      </xdr:nvCxnSpPr>
      <xdr:spPr>
        <a:xfrm>
          <a:off x="6611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1</xdr:row>
      <xdr:rowOff>229393</xdr:rowOff>
    </xdr:from>
    <xdr:to>
      <xdr:col>4</xdr:col>
      <xdr:colOff>262731</xdr:colOff>
      <xdr:row>2</xdr:row>
      <xdr:rowOff>229394</xdr:rowOff>
    </xdr:to>
    <xdr:cxnSp macro="">
      <xdr:nvCxnSpPr>
        <xdr:cNvPr id="1344" name="Match34">
          <a:extLst>
            <a:ext uri="{FF2B5EF4-FFF2-40B4-BE49-F238E27FC236}">
              <a16:creationId xmlns:a16="http://schemas.microsoft.com/office/drawing/2014/main" id="{91E093F4-A8C7-E56A-AD61-FB3E21464A21}"/>
            </a:ext>
          </a:extLst>
        </xdr:cNvPr>
        <xdr:cNvCxnSpPr/>
      </xdr:nvCxnSpPr>
      <xdr:spPr>
        <a:xfrm>
          <a:off x="1534319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1</xdr:row>
      <xdr:rowOff>254793</xdr:rowOff>
    </xdr:from>
    <xdr:to>
      <xdr:col>3</xdr:col>
      <xdr:colOff>288131</xdr:colOff>
      <xdr:row>1</xdr:row>
      <xdr:rowOff>254793</xdr:rowOff>
    </xdr:to>
    <xdr:cxnSp macro="">
      <xdr:nvCxnSpPr>
        <xdr:cNvPr id="1345" name="Match35">
          <a:extLst>
            <a:ext uri="{FF2B5EF4-FFF2-40B4-BE49-F238E27FC236}">
              <a16:creationId xmlns:a16="http://schemas.microsoft.com/office/drawing/2014/main" id="{9477061D-DF7F-CE63-F7AC-F61132D52D71}"/>
            </a:ext>
          </a:extLst>
        </xdr:cNvPr>
        <xdr:cNvCxnSpPr/>
      </xdr:nvCxnSpPr>
      <xdr:spPr>
        <a:xfrm flipH="1">
          <a:off x="1135856" y="611981"/>
          <a:ext cx="423863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313531</xdr:colOff>
      <xdr:row>0</xdr:row>
      <xdr:rowOff>280194</xdr:rowOff>
    </xdr:from>
    <xdr:to>
      <xdr:col>3</xdr:col>
      <xdr:colOff>313531</xdr:colOff>
      <xdr:row>1</xdr:row>
      <xdr:rowOff>280193</xdr:rowOff>
    </xdr:to>
    <xdr:cxnSp macro="">
      <xdr:nvCxnSpPr>
        <xdr:cNvPr id="1346" name="Match36">
          <a:extLst>
            <a:ext uri="{FF2B5EF4-FFF2-40B4-BE49-F238E27FC236}">
              <a16:creationId xmlns:a16="http://schemas.microsoft.com/office/drawing/2014/main" id="{4199E0E0-964E-9390-376B-50858435EC23}"/>
            </a:ext>
          </a:extLst>
        </xdr:cNvPr>
        <xdr:cNvCxnSpPr/>
      </xdr:nvCxnSpPr>
      <xdr:spPr>
        <a:xfrm flipH="1" flipV="1">
          <a:off x="1161256" y="280194"/>
          <a:ext cx="423863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347" name="Match37">
          <a:extLst>
            <a:ext uri="{FF2B5EF4-FFF2-40B4-BE49-F238E27FC236}">
              <a16:creationId xmlns:a16="http://schemas.microsoft.com/office/drawing/2014/main" id="{12468ECC-2F1B-0C56-6F72-68645C53099B}"/>
            </a:ext>
          </a:extLst>
        </xdr:cNvPr>
        <xdr:cNvCxnSpPr/>
      </xdr:nvCxnSpPr>
      <xdr:spPr>
        <a:xfrm flipH="1">
          <a:off x="2373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1</xdr:row>
      <xdr:rowOff>229393</xdr:rowOff>
    </xdr:from>
    <xdr:to>
      <xdr:col>2</xdr:col>
      <xdr:colOff>262731</xdr:colOff>
      <xdr:row>2</xdr:row>
      <xdr:rowOff>229394</xdr:rowOff>
    </xdr:to>
    <xdr:cxnSp macro="">
      <xdr:nvCxnSpPr>
        <xdr:cNvPr id="1348" name="Match38">
          <a:extLst>
            <a:ext uri="{FF2B5EF4-FFF2-40B4-BE49-F238E27FC236}">
              <a16:creationId xmlns:a16="http://schemas.microsoft.com/office/drawing/2014/main" id="{E23F7C2F-8CAA-1261-C58E-8DBBF6F50A31}"/>
            </a:ext>
          </a:extLst>
        </xdr:cNvPr>
        <xdr:cNvCxnSpPr/>
      </xdr:nvCxnSpPr>
      <xdr:spPr>
        <a:xfrm flipV="1">
          <a:off x="686594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349" name="Match39">
          <a:extLst>
            <a:ext uri="{FF2B5EF4-FFF2-40B4-BE49-F238E27FC236}">
              <a16:creationId xmlns:a16="http://schemas.microsoft.com/office/drawing/2014/main" id="{861F5BB2-12E7-5B15-CDCC-4FF7DA2A578F}"/>
            </a:ext>
          </a:extLst>
        </xdr:cNvPr>
        <xdr:cNvCxnSpPr/>
      </xdr:nvCxnSpPr>
      <xdr:spPr>
        <a:xfrm flipV="1">
          <a:off x="44505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350" name="Match40">
          <a:extLst>
            <a:ext uri="{FF2B5EF4-FFF2-40B4-BE49-F238E27FC236}">
              <a16:creationId xmlns:a16="http://schemas.microsoft.com/office/drawing/2014/main" id="{3C69BCEB-54D4-A336-220F-06DA9A594B40}"/>
            </a:ext>
          </a:extLst>
        </xdr:cNvPr>
        <xdr:cNvCxnSpPr/>
      </xdr:nvCxnSpPr>
      <xdr:spPr>
        <a:xfrm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0</xdr:col>
      <xdr:colOff>237331</xdr:colOff>
      <xdr:row>7</xdr:row>
      <xdr:rowOff>203993</xdr:rowOff>
    </xdr:to>
    <xdr:cxnSp macro="">
      <xdr:nvCxnSpPr>
        <xdr:cNvPr id="1351" name="Match41">
          <a:extLst>
            <a:ext uri="{FF2B5EF4-FFF2-40B4-BE49-F238E27FC236}">
              <a16:creationId xmlns:a16="http://schemas.microsoft.com/office/drawing/2014/main" id="{EEED058C-892F-38F4-421A-2BEF4ABA9113}"/>
            </a:ext>
          </a:extLst>
        </xdr:cNvPr>
        <xdr:cNvCxnSpPr/>
      </xdr:nvCxnSpPr>
      <xdr:spPr>
        <a:xfrm flipV="1">
          <a:off x="23733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11</xdr:col>
      <xdr:colOff>237331</xdr:colOff>
      <xdr:row>7</xdr:row>
      <xdr:rowOff>203993</xdr:rowOff>
    </xdr:to>
    <xdr:cxnSp macro="">
      <xdr:nvCxnSpPr>
        <xdr:cNvPr id="1352" name="Match42">
          <a:extLst>
            <a:ext uri="{FF2B5EF4-FFF2-40B4-BE49-F238E27FC236}">
              <a16:creationId xmlns:a16="http://schemas.microsoft.com/office/drawing/2014/main" id="{8AB051AC-77CD-4ED0-8104-794F02E148D0}"/>
            </a:ext>
          </a:extLst>
        </xdr:cNvPr>
        <xdr:cNvCxnSpPr/>
      </xdr:nvCxnSpPr>
      <xdr:spPr>
        <a:xfrm>
          <a:off x="4475956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7</xdr:row>
      <xdr:rowOff>229393</xdr:rowOff>
    </xdr:from>
    <xdr:to>
      <xdr:col>10</xdr:col>
      <xdr:colOff>262731</xdr:colOff>
      <xdr:row>7</xdr:row>
      <xdr:rowOff>229393</xdr:rowOff>
    </xdr:to>
    <xdr:cxnSp macro="">
      <xdr:nvCxnSpPr>
        <xdr:cNvPr id="1353" name="Match43">
          <a:extLst>
            <a:ext uri="{FF2B5EF4-FFF2-40B4-BE49-F238E27FC236}">
              <a16:creationId xmlns:a16="http://schemas.microsoft.com/office/drawing/2014/main" id="{EFE821C1-4D22-96CF-D64D-DEF3B9ECE5A4}"/>
            </a:ext>
          </a:extLst>
        </xdr:cNvPr>
        <xdr:cNvCxnSpPr/>
      </xdr:nvCxnSpPr>
      <xdr:spPr>
        <a:xfrm flipH="1">
          <a:off x="4077494" y="272970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354" name="Match44">
          <a:extLst>
            <a:ext uri="{FF2B5EF4-FFF2-40B4-BE49-F238E27FC236}">
              <a16:creationId xmlns:a16="http://schemas.microsoft.com/office/drawing/2014/main" id="{65774887-4EF3-F616-762D-06ECF4A7DBE1}"/>
            </a:ext>
          </a:extLst>
        </xdr:cNvPr>
        <xdr:cNvCxnSpPr/>
      </xdr:nvCxnSpPr>
      <xdr:spPr>
        <a:xfrm flipV="1">
          <a:off x="2119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0</xdr:col>
      <xdr:colOff>211931</xdr:colOff>
      <xdr:row>11</xdr:row>
      <xdr:rowOff>178593</xdr:rowOff>
    </xdr:to>
    <xdr:cxnSp macro="">
      <xdr:nvCxnSpPr>
        <xdr:cNvPr id="1355" name="Match45">
          <a:extLst>
            <a:ext uri="{FF2B5EF4-FFF2-40B4-BE49-F238E27FC236}">
              <a16:creationId xmlns:a16="http://schemas.microsoft.com/office/drawing/2014/main" id="{10AAC2FE-120D-7F4E-44B8-906EA7D3410D}"/>
            </a:ext>
          </a:extLst>
        </xdr:cNvPr>
        <xdr:cNvCxnSpPr/>
      </xdr:nvCxnSpPr>
      <xdr:spPr>
        <a:xfrm>
          <a:off x="2119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356" name="Match46">
          <a:extLst>
            <a:ext uri="{FF2B5EF4-FFF2-40B4-BE49-F238E27FC236}">
              <a16:creationId xmlns:a16="http://schemas.microsoft.com/office/drawing/2014/main" id="{EFB5B610-46F6-5238-8D06-0F20FE071CE3}"/>
            </a:ext>
          </a:extLst>
        </xdr:cNvPr>
        <xdr:cNvCxnSpPr/>
      </xdr:nvCxnSpPr>
      <xdr:spPr>
        <a:xfrm flipH="1"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357" name="Match47">
          <a:extLst>
            <a:ext uri="{FF2B5EF4-FFF2-40B4-BE49-F238E27FC236}">
              <a16:creationId xmlns:a16="http://schemas.microsoft.com/office/drawing/2014/main" id="{68692998-9763-2320-6D21-283CB51F82B8}"/>
            </a:ext>
          </a:extLst>
        </xdr:cNvPr>
        <xdr:cNvCxnSpPr/>
      </xdr:nvCxnSpPr>
      <xdr:spPr>
        <a:xfrm flipV="1">
          <a:off x="445055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1358" name="Match48">
          <a:extLst>
            <a:ext uri="{FF2B5EF4-FFF2-40B4-BE49-F238E27FC236}">
              <a16:creationId xmlns:a16="http://schemas.microsoft.com/office/drawing/2014/main" id="{98665598-E25A-C577-E7E3-3365CF101AF4}"/>
            </a:ext>
          </a:extLst>
        </xdr:cNvPr>
        <xdr:cNvCxnSpPr/>
      </xdr:nvCxnSpPr>
      <xdr:spPr>
        <a:xfrm flipV="1">
          <a:off x="1059656" y="196453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359" name="Match49">
          <a:extLst>
            <a:ext uri="{FF2B5EF4-FFF2-40B4-BE49-F238E27FC236}">
              <a16:creationId xmlns:a16="http://schemas.microsoft.com/office/drawing/2014/main" id="{5C9561C4-E8BB-8B43-B681-453888F58F36}"/>
            </a:ext>
          </a:extLst>
        </xdr:cNvPr>
        <xdr:cNvCxnSpPr/>
      </xdr:nvCxnSpPr>
      <xdr:spPr>
        <a:xfrm flipH="1">
          <a:off x="1483519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360" name="Match50">
          <a:extLst>
            <a:ext uri="{FF2B5EF4-FFF2-40B4-BE49-F238E27FC236}">
              <a16:creationId xmlns:a16="http://schemas.microsoft.com/office/drawing/2014/main" id="{80D11217-03A6-C485-CF68-5DAA4C62C17F}"/>
            </a:ext>
          </a:extLst>
        </xdr:cNvPr>
        <xdr:cNvCxnSpPr/>
      </xdr:nvCxnSpPr>
      <xdr:spPr>
        <a:xfrm flipV="1">
          <a:off x="635794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1</xdr:col>
      <xdr:colOff>237331</xdr:colOff>
      <xdr:row>9</xdr:row>
      <xdr:rowOff>203993</xdr:rowOff>
    </xdr:to>
    <xdr:cxnSp macro="">
      <xdr:nvCxnSpPr>
        <xdr:cNvPr id="1361" name="Match51">
          <a:extLst>
            <a:ext uri="{FF2B5EF4-FFF2-40B4-BE49-F238E27FC236}">
              <a16:creationId xmlns:a16="http://schemas.microsoft.com/office/drawing/2014/main" id="{5602B6E7-F081-B63B-46BD-371D49882086}"/>
            </a:ext>
          </a:extLst>
        </xdr:cNvPr>
        <xdr:cNvCxnSpPr/>
      </xdr:nvCxnSpPr>
      <xdr:spPr>
        <a:xfrm>
          <a:off x="661194" y="1989931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362" name="Match52">
          <a:extLst>
            <a:ext uri="{FF2B5EF4-FFF2-40B4-BE49-F238E27FC236}">
              <a16:creationId xmlns:a16="http://schemas.microsoft.com/office/drawing/2014/main" id="{47743A73-BCAF-88C3-1C85-D2BF2F745CB6}"/>
            </a:ext>
          </a:extLst>
        </xdr:cNvPr>
        <xdr:cNvCxnSpPr/>
      </xdr:nvCxnSpPr>
      <xdr:spPr>
        <a:xfrm>
          <a:off x="4026694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363" name="Match53">
          <a:extLst>
            <a:ext uri="{FF2B5EF4-FFF2-40B4-BE49-F238E27FC236}">
              <a16:creationId xmlns:a16="http://schemas.microsoft.com/office/drawing/2014/main" id="{4DEC26F1-F16F-B8DE-EE73-71D3BA7BC603}"/>
            </a:ext>
          </a:extLst>
        </xdr:cNvPr>
        <xdr:cNvCxnSpPr/>
      </xdr:nvCxnSpPr>
      <xdr:spPr>
        <a:xfrm flipH="1">
          <a:off x="4026694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1364" name="Match54">
          <a:extLst>
            <a:ext uri="{FF2B5EF4-FFF2-40B4-BE49-F238E27FC236}">
              <a16:creationId xmlns:a16="http://schemas.microsoft.com/office/drawing/2014/main" id="{B149D8B0-F129-54B7-5926-9BA7F4D3490C}"/>
            </a:ext>
          </a:extLst>
        </xdr:cNvPr>
        <xdr:cNvCxnSpPr/>
      </xdr:nvCxnSpPr>
      <xdr:spPr>
        <a:xfrm flipH="1">
          <a:off x="2331244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365" name="Match55">
          <a:extLst>
            <a:ext uri="{FF2B5EF4-FFF2-40B4-BE49-F238E27FC236}">
              <a16:creationId xmlns:a16="http://schemas.microsoft.com/office/drawing/2014/main" id="{1F67B052-B3A1-0508-7045-FE56EE0E5FC8}"/>
            </a:ext>
          </a:extLst>
        </xdr:cNvPr>
        <xdr:cNvCxnSpPr/>
      </xdr:nvCxnSpPr>
      <xdr:spPr>
        <a:xfrm>
          <a:off x="4874419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0</xdr:row>
      <xdr:rowOff>203994</xdr:rowOff>
    </xdr:from>
    <xdr:to>
      <xdr:col>11</xdr:col>
      <xdr:colOff>237331</xdr:colOff>
      <xdr:row>2</xdr:row>
      <xdr:rowOff>203994</xdr:rowOff>
    </xdr:to>
    <xdr:cxnSp macro="">
      <xdr:nvCxnSpPr>
        <xdr:cNvPr id="1366" name="Match56">
          <a:extLst>
            <a:ext uri="{FF2B5EF4-FFF2-40B4-BE49-F238E27FC236}">
              <a16:creationId xmlns:a16="http://schemas.microsoft.com/office/drawing/2014/main" id="{88866469-A341-0C04-9FD3-1662D3348594}"/>
            </a:ext>
          </a:extLst>
        </xdr:cNvPr>
        <xdr:cNvCxnSpPr/>
      </xdr:nvCxnSpPr>
      <xdr:spPr>
        <a:xfrm flipV="1">
          <a:off x="4899819" y="203994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1367" name="Match57">
          <a:extLst>
            <a:ext uri="{FF2B5EF4-FFF2-40B4-BE49-F238E27FC236}">
              <a16:creationId xmlns:a16="http://schemas.microsoft.com/office/drawing/2014/main" id="{E5F22CA9-0F59-4D09-BC50-947BE916E939}"/>
            </a:ext>
          </a:extLst>
        </xdr:cNvPr>
        <xdr:cNvCxnSpPr/>
      </xdr:nvCxnSpPr>
      <xdr:spPr>
        <a:xfrm flipH="1">
          <a:off x="211931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2</xdr:row>
      <xdr:rowOff>178594</xdr:rowOff>
    </xdr:to>
    <xdr:cxnSp macro="">
      <xdr:nvCxnSpPr>
        <xdr:cNvPr id="1368" name="Match58">
          <a:extLst>
            <a:ext uri="{FF2B5EF4-FFF2-40B4-BE49-F238E27FC236}">
              <a16:creationId xmlns:a16="http://schemas.microsoft.com/office/drawing/2014/main" id="{C39E51E6-EDC1-4511-AD03-2BB0FA89024E}"/>
            </a:ext>
          </a:extLst>
        </xdr:cNvPr>
        <xdr:cNvCxnSpPr/>
      </xdr:nvCxnSpPr>
      <xdr:spPr>
        <a:xfrm>
          <a:off x="2119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1</xdr:row>
      <xdr:rowOff>229393</xdr:rowOff>
    </xdr:from>
    <xdr:to>
      <xdr:col>1</xdr:col>
      <xdr:colOff>262731</xdr:colOff>
      <xdr:row>2</xdr:row>
      <xdr:rowOff>229394</xdr:rowOff>
    </xdr:to>
    <xdr:cxnSp macro="">
      <xdr:nvCxnSpPr>
        <xdr:cNvPr id="1369" name="Match59">
          <a:extLst>
            <a:ext uri="{FF2B5EF4-FFF2-40B4-BE49-F238E27FC236}">
              <a16:creationId xmlns:a16="http://schemas.microsoft.com/office/drawing/2014/main" id="{70753062-1BCB-E47E-F679-65F0C440537A}"/>
            </a:ext>
          </a:extLst>
        </xdr:cNvPr>
        <xdr:cNvCxnSpPr/>
      </xdr:nvCxnSpPr>
      <xdr:spPr>
        <a:xfrm flipH="1">
          <a:off x="262731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0</xdr:row>
      <xdr:rowOff>229394</xdr:rowOff>
    </xdr:from>
    <xdr:to>
      <xdr:col>5</xdr:col>
      <xdr:colOff>262731</xdr:colOff>
      <xdr:row>1</xdr:row>
      <xdr:rowOff>229393</xdr:rowOff>
    </xdr:to>
    <xdr:cxnSp macro="">
      <xdr:nvCxnSpPr>
        <xdr:cNvPr id="1370" name="Match60">
          <a:extLst>
            <a:ext uri="{FF2B5EF4-FFF2-40B4-BE49-F238E27FC236}">
              <a16:creationId xmlns:a16="http://schemas.microsoft.com/office/drawing/2014/main" id="{02FD48A4-376C-BCA0-8EE9-64570F49DDD6}"/>
            </a:ext>
          </a:extLst>
        </xdr:cNvPr>
        <xdr:cNvCxnSpPr/>
      </xdr:nvCxnSpPr>
      <xdr:spPr>
        <a:xfrm flipV="1">
          <a:off x="1958181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2</xdr:row>
      <xdr:rowOff>229394</xdr:rowOff>
    </xdr:from>
    <xdr:to>
      <xdr:col>6</xdr:col>
      <xdr:colOff>262731</xdr:colOff>
      <xdr:row>2</xdr:row>
      <xdr:rowOff>229394</xdr:rowOff>
    </xdr:to>
    <xdr:cxnSp macro="">
      <xdr:nvCxnSpPr>
        <xdr:cNvPr id="1371" name="Match61">
          <a:extLst>
            <a:ext uri="{FF2B5EF4-FFF2-40B4-BE49-F238E27FC236}">
              <a16:creationId xmlns:a16="http://schemas.microsoft.com/office/drawing/2014/main" id="{5ADECD90-EA9B-9F9E-C25B-E58180C6364E}"/>
            </a:ext>
          </a:extLst>
        </xdr:cNvPr>
        <xdr:cNvCxnSpPr/>
      </xdr:nvCxnSpPr>
      <xdr:spPr>
        <a:xfrm>
          <a:off x="2382044" y="943769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372" name="Match62">
          <a:extLst>
            <a:ext uri="{FF2B5EF4-FFF2-40B4-BE49-F238E27FC236}">
              <a16:creationId xmlns:a16="http://schemas.microsoft.com/office/drawing/2014/main" id="{C56FA19F-B780-7BFD-0673-2E7049292A30}"/>
            </a:ext>
          </a:extLst>
        </xdr:cNvPr>
        <xdr:cNvCxnSpPr/>
      </xdr:nvCxnSpPr>
      <xdr:spPr>
        <a:xfrm flipV="1">
          <a:off x="235664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373" name="Match63">
          <a:extLst>
            <a:ext uri="{FF2B5EF4-FFF2-40B4-BE49-F238E27FC236}">
              <a16:creationId xmlns:a16="http://schemas.microsoft.com/office/drawing/2014/main" id="{BEC12451-7CB7-0382-1177-A449A0137732}"/>
            </a:ext>
          </a:extLst>
        </xdr:cNvPr>
        <xdr:cNvCxnSpPr/>
      </xdr:nvCxnSpPr>
      <xdr:spPr>
        <a:xfrm flipV="1">
          <a:off x="2780506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6</xdr:row>
      <xdr:rowOff>229394</xdr:rowOff>
    </xdr:from>
    <xdr:to>
      <xdr:col>6</xdr:col>
      <xdr:colOff>262731</xdr:colOff>
      <xdr:row>7</xdr:row>
      <xdr:rowOff>229393</xdr:rowOff>
    </xdr:to>
    <xdr:cxnSp macro="">
      <xdr:nvCxnSpPr>
        <xdr:cNvPr id="1374" name="Match64">
          <a:extLst>
            <a:ext uri="{FF2B5EF4-FFF2-40B4-BE49-F238E27FC236}">
              <a16:creationId xmlns:a16="http://schemas.microsoft.com/office/drawing/2014/main" id="{C71A1B95-16B1-7CD7-C90B-97D70C45A9DF}"/>
            </a:ext>
          </a:extLst>
        </xdr:cNvPr>
        <xdr:cNvCxnSpPr/>
      </xdr:nvCxnSpPr>
      <xdr:spPr>
        <a:xfrm flipH="1">
          <a:off x="2382044" y="237251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8</xdr:col>
      <xdr:colOff>237331</xdr:colOff>
      <xdr:row>8</xdr:row>
      <xdr:rowOff>203994</xdr:rowOff>
    </xdr:to>
    <xdr:cxnSp macro="">
      <xdr:nvCxnSpPr>
        <xdr:cNvPr id="1375" name="Match65">
          <a:extLst>
            <a:ext uri="{FF2B5EF4-FFF2-40B4-BE49-F238E27FC236}">
              <a16:creationId xmlns:a16="http://schemas.microsoft.com/office/drawing/2014/main" id="{74739B47-0A99-7C07-BC6A-D90BF9906CD6}"/>
            </a:ext>
          </a:extLst>
        </xdr:cNvPr>
        <xdr:cNvCxnSpPr/>
      </xdr:nvCxnSpPr>
      <xdr:spPr>
        <a:xfrm>
          <a:off x="3204369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376" name="Match66">
          <a:extLst>
            <a:ext uri="{FF2B5EF4-FFF2-40B4-BE49-F238E27FC236}">
              <a16:creationId xmlns:a16="http://schemas.microsoft.com/office/drawing/2014/main" id="{DD790DA7-0690-79A7-7D1E-6FF63E8A3411}"/>
            </a:ext>
          </a:extLst>
        </xdr:cNvPr>
        <xdr:cNvCxnSpPr/>
      </xdr:nvCxnSpPr>
      <xdr:spPr>
        <a:xfrm flipH="1">
          <a:off x="233124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377" name="Match67">
          <a:extLst>
            <a:ext uri="{FF2B5EF4-FFF2-40B4-BE49-F238E27FC236}">
              <a16:creationId xmlns:a16="http://schemas.microsoft.com/office/drawing/2014/main" id="{9A2BDB57-49EF-D73A-93F4-C048054C379A}"/>
            </a:ext>
          </a:extLst>
        </xdr:cNvPr>
        <xdr:cNvCxnSpPr/>
      </xdr:nvCxnSpPr>
      <xdr:spPr>
        <a:xfrm flipH="1" flipV="1"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FAC51A1D-FD44-52F9-2338-474237D8F2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10" sqref="B10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6</v>
      </c>
      <c r="B1" s="23">
        <v>1</v>
      </c>
      <c r="C1" s="23">
        <v>9</v>
      </c>
      <c r="D1" s="26">
        <v>8</v>
      </c>
      <c r="E1" s="26">
        <v>5</v>
      </c>
      <c r="F1" s="23">
        <v>3</v>
      </c>
      <c r="G1" s="26">
        <v>4</v>
      </c>
      <c r="H1" s="26">
        <v>2</v>
      </c>
      <c r="I1" s="26">
        <v>8</v>
      </c>
      <c r="J1" s="26">
        <v>5</v>
      </c>
      <c r="K1" s="22">
        <v>8</v>
      </c>
      <c r="L1" s="23">
        <v>9</v>
      </c>
      <c r="N1" s="2">
        <v>6863</v>
      </c>
      <c r="O1" s="1">
        <v>1</v>
      </c>
    </row>
    <row r="2" spans="1:15" ht="28.25" customHeight="1">
      <c r="A2" s="22">
        <v>7</v>
      </c>
      <c r="B2" s="23">
        <v>7</v>
      </c>
      <c r="C2" s="23">
        <v>9</v>
      </c>
      <c r="D2" s="23">
        <v>1</v>
      </c>
      <c r="E2" s="23">
        <v>7</v>
      </c>
      <c r="F2" s="22">
        <v>9</v>
      </c>
      <c r="G2" s="22">
        <v>4</v>
      </c>
      <c r="H2" s="22">
        <v>3</v>
      </c>
      <c r="I2" s="26">
        <v>2</v>
      </c>
      <c r="J2" s="22">
        <v>4</v>
      </c>
      <c r="K2" s="23">
        <v>9</v>
      </c>
      <c r="L2" s="23">
        <v>4</v>
      </c>
      <c r="N2" s="2">
        <v>65694</v>
      </c>
      <c r="O2" s="1">
        <v>1</v>
      </c>
    </row>
    <row r="3" spans="1:15" ht="28.25" customHeight="1">
      <c r="A3" s="22">
        <v>3</v>
      </c>
      <c r="B3" s="23">
        <v>1</v>
      </c>
      <c r="C3" s="23">
        <v>2</v>
      </c>
      <c r="D3" s="23">
        <v>2</v>
      </c>
      <c r="E3" s="23">
        <v>9</v>
      </c>
      <c r="F3" s="23">
        <v>7</v>
      </c>
      <c r="G3" s="23">
        <v>3</v>
      </c>
      <c r="H3" s="26">
        <v>6</v>
      </c>
      <c r="I3" s="22">
        <v>8</v>
      </c>
      <c r="J3" s="26">
        <v>8</v>
      </c>
      <c r="K3" s="23">
        <v>1</v>
      </c>
      <c r="L3" s="23">
        <v>3</v>
      </c>
      <c r="N3" s="2">
        <v>7427275</v>
      </c>
      <c r="O3" s="1">
        <v>1</v>
      </c>
    </row>
    <row r="4" spans="1:15" ht="28.25" customHeight="1">
      <c r="A4" s="23">
        <v>9</v>
      </c>
      <c r="B4" s="26">
        <v>8</v>
      </c>
      <c r="C4" s="22">
        <v>6</v>
      </c>
      <c r="D4" s="22">
        <v>4</v>
      </c>
      <c r="E4" s="22">
        <v>2</v>
      </c>
      <c r="F4" s="22">
        <v>7</v>
      </c>
      <c r="G4" s="22">
        <v>7</v>
      </c>
      <c r="H4" s="22">
        <v>6</v>
      </c>
      <c r="I4" s="26">
        <v>7</v>
      </c>
      <c r="J4" s="26">
        <v>8</v>
      </c>
      <c r="K4" s="26">
        <v>4</v>
      </c>
      <c r="L4" s="23">
        <v>4</v>
      </c>
      <c r="N4" s="2">
        <v>77246</v>
      </c>
      <c r="O4" s="1">
        <v>1</v>
      </c>
    </row>
    <row r="5" spans="1:15" ht="28.25" customHeight="1">
      <c r="A5" s="26">
        <v>2</v>
      </c>
      <c r="B5" s="23">
        <v>7</v>
      </c>
      <c r="C5" s="23">
        <v>1</v>
      </c>
      <c r="D5" s="22">
        <v>4</v>
      </c>
      <c r="E5" s="22">
        <v>1</v>
      </c>
      <c r="F5" s="22">
        <v>6</v>
      </c>
      <c r="G5" s="22">
        <v>8</v>
      </c>
      <c r="H5" s="23">
        <v>7</v>
      </c>
      <c r="I5" s="26">
        <v>6</v>
      </c>
      <c r="J5" s="26">
        <v>6</v>
      </c>
      <c r="K5" s="26">
        <v>6</v>
      </c>
      <c r="L5" s="23">
        <v>9</v>
      </c>
      <c r="N5" s="2">
        <v>79</v>
      </c>
      <c r="O5" s="1">
        <v>17</v>
      </c>
    </row>
    <row r="6" spans="1:15" ht="28.25" customHeight="1">
      <c r="A6" s="26">
        <v>6</v>
      </c>
      <c r="B6" s="22">
        <v>6</v>
      </c>
      <c r="C6" s="22">
        <v>2</v>
      </c>
      <c r="D6" s="26">
        <v>8</v>
      </c>
      <c r="E6" s="26">
        <v>7</v>
      </c>
      <c r="F6" s="22">
        <v>1</v>
      </c>
      <c r="G6" s="26">
        <v>4</v>
      </c>
      <c r="H6" s="23">
        <v>9</v>
      </c>
      <c r="I6" s="26">
        <v>8</v>
      </c>
      <c r="J6" s="26">
        <v>2</v>
      </c>
      <c r="K6" s="26">
        <v>4</v>
      </c>
      <c r="L6" s="22">
        <v>9</v>
      </c>
      <c r="N6" s="2">
        <v>12</v>
      </c>
      <c r="O6" s="1">
        <v>8</v>
      </c>
    </row>
    <row r="7" spans="1:15" ht="28.25" customHeight="1">
      <c r="A7" s="23">
        <v>9</v>
      </c>
      <c r="B7" s="22">
        <v>6</v>
      </c>
      <c r="C7" s="22">
        <v>2</v>
      </c>
      <c r="D7" s="22">
        <v>6</v>
      </c>
      <c r="E7" s="26">
        <v>8</v>
      </c>
      <c r="F7" s="22">
        <v>5</v>
      </c>
      <c r="G7" s="22">
        <v>7</v>
      </c>
      <c r="H7" s="22">
        <v>2</v>
      </c>
      <c r="I7" s="22">
        <v>7</v>
      </c>
      <c r="J7" s="22">
        <v>2</v>
      </c>
      <c r="K7" s="22">
        <v>4</v>
      </c>
      <c r="L7" s="22">
        <v>7</v>
      </c>
      <c r="N7" s="2">
        <v>3248</v>
      </c>
      <c r="O7" s="1">
        <v>2</v>
      </c>
    </row>
    <row r="8" spans="1:15" ht="28.25" customHeight="1">
      <c r="A8" s="23">
        <v>1</v>
      </c>
      <c r="B8" s="22">
        <v>5</v>
      </c>
      <c r="C8" s="22">
        <v>7</v>
      </c>
      <c r="D8" s="22">
        <v>5</v>
      </c>
      <c r="E8" s="26">
        <v>1</v>
      </c>
      <c r="F8" s="23">
        <v>3</v>
      </c>
      <c r="G8" s="23">
        <v>9</v>
      </c>
      <c r="H8" s="23">
        <v>7</v>
      </c>
      <c r="I8" s="22">
        <v>6</v>
      </c>
      <c r="J8" s="23">
        <v>9</v>
      </c>
      <c r="K8" s="22">
        <v>1</v>
      </c>
      <c r="L8" s="22">
        <v>9</v>
      </c>
      <c r="N8" s="2">
        <v>848681</v>
      </c>
      <c r="O8" s="1">
        <v>1</v>
      </c>
    </row>
    <row r="9" spans="1:15" ht="28.25" customHeight="1">
      <c r="A9" s="26">
        <v>3</v>
      </c>
      <c r="B9" s="22">
        <v>9</v>
      </c>
      <c r="C9" s="22">
        <v>5</v>
      </c>
      <c r="D9" s="22">
        <v>6</v>
      </c>
      <c r="E9" s="26">
        <v>5</v>
      </c>
      <c r="F9" s="22">
        <v>3</v>
      </c>
      <c r="G9" s="26">
        <v>4</v>
      </c>
      <c r="H9" s="22">
        <v>8</v>
      </c>
      <c r="I9" s="23">
        <v>3</v>
      </c>
      <c r="J9" s="22">
        <v>5</v>
      </c>
      <c r="K9" s="26">
        <v>5</v>
      </c>
      <c r="L9" s="23">
        <v>3</v>
      </c>
      <c r="N9" s="2">
        <v>19</v>
      </c>
      <c r="O9" s="1">
        <v>16</v>
      </c>
    </row>
    <row r="10" spans="1:15" ht="28.25" customHeight="1">
      <c r="A10" s="23">
        <v>1</v>
      </c>
      <c r="B10" s="22">
        <v>5</v>
      </c>
      <c r="C10" s="22">
        <v>3</v>
      </c>
      <c r="D10" s="22">
        <v>9</v>
      </c>
      <c r="E10" s="22">
        <v>2</v>
      </c>
      <c r="F10" s="23">
        <v>1</v>
      </c>
      <c r="G10" s="22">
        <v>6</v>
      </c>
      <c r="H10" s="26">
        <v>8</v>
      </c>
      <c r="I10" s="26">
        <v>9</v>
      </c>
      <c r="J10" s="22">
        <v>9</v>
      </c>
      <c r="K10" s="23">
        <v>2</v>
      </c>
      <c r="L10" s="23">
        <v>5</v>
      </c>
      <c r="N10" s="2">
        <v>8535722</v>
      </c>
      <c r="O10" s="1">
        <v>1</v>
      </c>
    </row>
    <row r="11" spans="1:15" ht="28.25" customHeight="1">
      <c r="A11" s="23">
        <v>1</v>
      </c>
      <c r="B11" s="23">
        <v>4</v>
      </c>
      <c r="C11" s="22">
        <v>5</v>
      </c>
      <c r="D11" s="22">
        <v>4</v>
      </c>
      <c r="E11" s="23">
        <v>2</v>
      </c>
      <c r="F11" s="22">
        <v>3</v>
      </c>
      <c r="G11" s="23">
        <v>7</v>
      </c>
      <c r="H11" s="26">
        <v>5</v>
      </c>
      <c r="I11" s="26">
        <v>6</v>
      </c>
      <c r="J11" s="22">
        <v>4</v>
      </c>
      <c r="K11" s="23">
        <v>9</v>
      </c>
      <c r="L11" s="26">
        <v>6</v>
      </c>
      <c r="N11" s="2">
        <v>614</v>
      </c>
      <c r="O11" s="1">
        <v>2</v>
      </c>
    </row>
    <row r="12" spans="1:15" ht="28.25" customHeight="1">
      <c r="A12" s="23">
        <v>9</v>
      </c>
      <c r="B12" s="23">
        <v>1</v>
      </c>
      <c r="C12" s="22">
        <v>8</v>
      </c>
      <c r="D12" s="26">
        <v>4</v>
      </c>
      <c r="E12" s="26">
        <v>3</v>
      </c>
      <c r="F12" s="26">
        <v>2</v>
      </c>
      <c r="G12" s="23">
        <v>7</v>
      </c>
      <c r="H12" s="26">
        <v>7</v>
      </c>
      <c r="I12" s="23">
        <v>8</v>
      </c>
      <c r="J12" s="23">
        <v>4</v>
      </c>
      <c r="K12" s="23">
        <v>1</v>
      </c>
      <c r="L12" s="26">
        <v>5</v>
      </c>
      <c r="N12" s="2">
        <v>66595</v>
      </c>
      <c r="O12" s="1">
        <v>1</v>
      </c>
    </row>
    <row r="13" spans="1:15" ht="28.25" customHeight="1">
      <c r="N13" s="2">
        <v>594</v>
      </c>
      <c r="O13" s="1">
        <v>2</v>
      </c>
    </row>
    <row r="14" spans="1:15" ht="28.25" customHeight="1">
      <c r="N14" s="2">
        <v>349</v>
      </c>
      <c r="O14" s="1">
        <v>4</v>
      </c>
    </row>
    <row r="15" spans="1:15" ht="28.25" customHeight="1">
      <c r="N15" s="2">
        <v>73</v>
      </c>
      <c r="O15" s="1">
        <v>10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26"/>
  <sheetViews>
    <sheetView tabSelected="1" zoomScaleNormal="100" workbookViewId="0">
      <pane ySplit="1" topLeftCell="A117" activePane="bottomLeft" state="frozen"/>
      <selection pane="bottomLeft" activeCell="A126" sqref="A12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  <row r="113" spans="1:16">
      <c r="A113" s="3">
        <v>46007.284803240742</v>
      </c>
      <c r="B113">
        <v>60</v>
      </c>
      <c r="C113">
        <v>4</v>
      </c>
      <c r="D113">
        <v>0</v>
      </c>
      <c r="E113">
        <v>0</v>
      </c>
      <c r="F113">
        <v>0</v>
      </c>
      <c r="G113" s="5">
        <v>6.3425925909541547E-3</v>
      </c>
      <c r="H113" t="s">
        <v>282</v>
      </c>
      <c r="I113" t="s">
        <v>283</v>
      </c>
      <c r="J113">
        <v>0</v>
      </c>
      <c r="K113">
        <f t="shared" ref="K113" si="104">IF(A113&lt;DATEVALUE("2025/11/20")+TIMEVALUE("6:00"),1,IF(B113-SUM(D113:F113)&lt;&gt;60,0,MAX(2-INT(G113*24*60/10),0)))</f>
        <v>2</v>
      </c>
      <c r="L113">
        <f t="shared" ref="L113" si="105">L112+K113</f>
        <v>110</v>
      </c>
      <c r="M113">
        <f t="shared" ref="M113" si="106">2+IF(A113&gt;=DATEVALUE("2025/11/30")+TIMEVALUE("6:00"),1,0)+IF(A113&gt;=DATEVALUE("2025/12/11")+TIMEVALUE("6:00"),1,0)</f>
        <v>4</v>
      </c>
      <c r="N113">
        <f t="shared" ref="N113" si="107">N112+M113*(INT(A113-6/24)-INT(A112-6/24))+O113</f>
        <v>112</v>
      </c>
      <c r="O113">
        <f t="shared" ref="O113" si="108">IF(A113&gt;=DATEVALUE("2025/11/8")+TIMEVALUE("6:00"),1,0)-IF(A112&gt;=DATEVALUE("2025/11/8")+TIMEVALUE("6:00"),1,0)</f>
        <v>0</v>
      </c>
      <c r="P113" t="str">
        <f t="shared" ref="P113" si="109">IF(L113&lt;N113,"未達成（"&amp;N113-L113&amp;"）",IF(L113=N113,"達成","前倒し（"&amp;L113-N113&amp;"）"))</f>
        <v>未達成（2）</v>
      </c>
    </row>
    <row r="114" spans="1:16">
      <c r="A114" s="3">
        <v>46007.309988425928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8.819444446999114E-3</v>
      </c>
      <c r="H114" t="s">
        <v>284</v>
      </c>
      <c r="I114" t="s">
        <v>285</v>
      </c>
      <c r="J114">
        <v>0</v>
      </c>
      <c r="K114">
        <f t="shared" ref="K114" si="110">IF(A114&lt;DATEVALUE("2025/11/20")+TIMEVALUE("6:00"),1,IF(B114-SUM(D114:F114)&lt;&gt;60,0,MAX(2-INT(G114*24*60/10),0)))</f>
        <v>1</v>
      </c>
      <c r="L114">
        <f t="shared" ref="L114" si="111">L113+K114</f>
        <v>111</v>
      </c>
      <c r="M114">
        <f t="shared" ref="M114" si="112">2+IF(A114&gt;=DATEVALUE("2025/11/30")+TIMEVALUE("6:00"),1,0)+IF(A114&gt;=DATEVALUE("2025/12/11")+TIMEVALUE("6:00"),1,0)</f>
        <v>4</v>
      </c>
      <c r="N114">
        <f t="shared" ref="N114" si="113">N113+M114*(INT(A114-6/24)-INT(A113-6/24))+O114</f>
        <v>112</v>
      </c>
      <c r="O114">
        <f t="shared" ref="O114" si="114">IF(A114&gt;=DATEVALUE("2025/11/8")+TIMEVALUE("6:00"),1,0)-IF(A113&gt;=DATEVALUE("2025/11/8")+TIMEVALUE("6:00"),1,0)</f>
        <v>0</v>
      </c>
      <c r="P114" t="str">
        <f t="shared" ref="P114" si="115">IF(L114&lt;N114,"未達成（"&amp;N114-L114&amp;"）",IF(L114=N114,"達成","前倒し（"&amp;L114-N114&amp;"）"))</f>
        <v>未達成（1）</v>
      </c>
    </row>
    <row r="115" spans="1:16">
      <c r="A115" s="3">
        <v>46007.322476851848</v>
      </c>
      <c r="B115">
        <v>60</v>
      </c>
      <c r="C115">
        <v>8</v>
      </c>
      <c r="D115">
        <v>0</v>
      </c>
      <c r="E115">
        <v>0</v>
      </c>
      <c r="F115">
        <v>0</v>
      </c>
      <c r="G115" s="5">
        <v>7.6504629614646547E-3</v>
      </c>
      <c r="H115" t="s">
        <v>286</v>
      </c>
      <c r="I115" t="s">
        <v>287</v>
      </c>
      <c r="J115">
        <v>0</v>
      </c>
      <c r="K115">
        <f t="shared" ref="K115" si="116">IF(A115&lt;DATEVALUE("2025/11/20")+TIMEVALUE("6:00"),1,IF(B115-SUM(D115:F115)&lt;&gt;60,0,MAX(2-INT(G115*24*60/10),0)))</f>
        <v>1</v>
      </c>
      <c r="L115">
        <f t="shared" ref="L115" si="117">L114+K115</f>
        <v>112</v>
      </c>
      <c r="M115">
        <f t="shared" ref="M115" si="118">2+IF(A115&gt;=DATEVALUE("2025/11/30")+TIMEVALUE("6:00"),1,0)+IF(A115&gt;=DATEVALUE("2025/12/11")+TIMEVALUE("6:00"),1,0)</f>
        <v>4</v>
      </c>
      <c r="N115">
        <f t="shared" ref="N115" si="119">N114+M115*(INT(A115-6/24)-INT(A114-6/24))+O115</f>
        <v>112</v>
      </c>
      <c r="O115">
        <f t="shared" ref="O115" si="120">IF(A115&gt;=DATEVALUE("2025/11/8")+TIMEVALUE("6:00"),1,0)-IF(A114&gt;=DATEVALUE("2025/11/8")+TIMEVALUE("6:00"),1,0)</f>
        <v>0</v>
      </c>
      <c r="P115" t="str">
        <f t="shared" ref="P115" si="121">IF(L115&lt;N115,"未達成（"&amp;N115-L115&amp;"）",IF(L115=N115,"達成","前倒し（"&amp;L115-N115&amp;"）"))</f>
        <v>達成</v>
      </c>
    </row>
    <row r="116" spans="1:16">
      <c r="A116" s="3">
        <v>46008.31181712963</v>
      </c>
      <c r="B116">
        <v>60</v>
      </c>
      <c r="C116">
        <v>13</v>
      </c>
      <c r="D116">
        <v>0</v>
      </c>
      <c r="E116">
        <v>0</v>
      </c>
      <c r="F116">
        <v>0</v>
      </c>
      <c r="G116" s="5">
        <v>7.8472222230629995E-3</v>
      </c>
      <c r="H116" t="s">
        <v>288</v>
      </c>
      <c r="I116" t="s">
        <v>289</v>
      </c>
      <c r="J116">
        <v>0</v>
      </c>
      <c r="K116">
        <f t="shared" ref="K116" si="122">IF(A116&lt;DATEVALUE("2025/11/20")+TIMEVALUE("6:00"),1,IF(B116-SUM(D116:F116)&lt;&gt;60,0,MAX(2-INT(G116*24*60/10),0)))</f>
        <v>1</v>
      </c>
      <c r="L116">
        <f t="shared" ref="L116" si="123">L115+K116</f>
        <v>113</v>
      </c>
      <c r="M116">
        <f t="shared" ref="M116" si="124">2+IF(A116&gt;=DATEVALUE("2025/11/30")+TIMEVALUE("6:00"),1,0)+IF(A116&gt;=DATEVALUE("2025/12/11")+TIMEVALUE("6:00"),1,0)</f>
        <v>4</v>
      </c>
      <c r="N116">
        <f t="shared" ref="N116" si="125">N115+M116*(INT(A116-6/24)-INT(A115-6/24))+O116</f>
        <v>116</v>
      </c>
      <c r="O116">
        <f t="shared" ref="O116" si="126">IF(A116&gt;=DATEVALUE("2025/11/8")+TIMEVALUE("6:00"),1,0)-IF(A115&gt;=DATEVALUE("2025/11/8")+TIMEVALUE("6:00"),1,0)</f>
        <v>0</v>
      </c>
      <c r="P116" t="str">
        <f t="shared" ref="P116" si="127">IF(L116&lt;N116,"未達成（"&amp;N116-L116&amp;"）",IF(L116=N116,"達成","前倒し（"&amp;L116-N116&amp;"）"))</f>
        <v>未達成（3）</v>
      </c>
    </row>
    <row r="117" spans="1:16">
      <c r="A117" s="3">
        <v>46008.480613425927</v>
      </c>
      <c r="B117">
        <v>60</v>
      </c>
      <c r="C117">
        <v>8</v>
      </c>
      <c r="D117">
        <v>0</v>
      </c>
      <c r="E117">
        <v>0</v>
      </c>
      <c r="F117">
        <v>0</v>
      </c>
      <c r="G117" s="5">
        <v>1.3935185183072463E-2</v>
      </c>
      <c r="H117" t="s">
        <v>290</v>
      </c>
      <c r="I117" t="s">
        <v>291</v>
      </c>
      <c r="J117">
        <v>0</v>
      </c>
      <c r="K117">
        <f t="shared" ref="K117" si="128">IF(A117&lt;DATEVALUE("2025/11/20")+TIMEVALUE("6:00"),1,IF(B117-SUM(D117:F117)&lt;&gt;60,0,MAX(2-INT(G117*24*60/10),0)))</f>
        <v>0</v>
      </c>
      <c r="L117">
        <f t="shared" ref="L117" si="129">L116+K117</f>
        <v>113</v>
      </c>
      <c r="M117">
        <f t="shared" ref="M117" si="130">2+IF(A117&gt;=DATEVALUE("2025/11/30")+TIMEVALUE("6:00"),1,0)+IF(A117&gt;=DATEVALUE("2025/12/11")+TIMEVALUE("6:00"),1,0)</f>
        <v>4</v>
      </c>
      <c r="N117">
        <f t="shared" ref="N117" si="131">N116+M117*(INT(A117-6/24)-INT(A116-6/24))+O117</f>
        <v>116</v>
      </c>
      <c r="O117">
        <f t="shared" ref="O117" si="132">IF(A117&gt;=DATEVALUE("2025/11/8")+TIMEVALUE("6:00"),1,0)-IF(A116&gt;=DATEVALUE("2025/11/8")+TIMEVALUE("6:00"),1,0)</f>
        <v>0</v>
      </c>
      <c r="P117" t="str">
        <f t="shared" ref="P117" si="133">IF(L117&lt;N117,"未達成（"&amp;N117-L117&amp;"）",IF(L117=N117,"達成","前倒し（"&amp;L117-N117&amp;"）"))</f>
        <v>未達成（3）</v>
      </c>
    </row>
    <row r="118" spans="1:16">
      <c r="A118" s="3">
        <v>46008.556168981479</v>
      </c>
      <c r="B118">
        <v>60</v>
      </c>
      <c r="C118">
        <v>20</v>
      </c>
      <c r="D118">
        <v>0</v>
      </c>
      <c r="E118">
        <v>0</v>
      </c>
      <c r="F118">
        <v>0</v>
      </c>
      <c r="G118" s="5">
        <v>8.8425925932824612E-3</v>
      </c>
      <c r="H118" t="s">
        <v>292</v>
      </c>
      <c r="I118" t="s">
        <v>293</v>
      </c>
      <c r="J118">
        <v>0</v>
      </c>
      <c r="K118">
        <f t="shared" ref="K118" si="134">IF(A118&lt;DATEVALUE("2025/11/20")+TIMEVALUE("6:00"),1,IF(B118-SUM(D118:F118)&lt;&gt;60,0,MAX(2-INT(G118*24*60/10),0)))</f>
        <v>1</v>
      </c>
      <c r="L118">
        <f t="shared" ref="L118" si="135">L117+K118</f>
        <v>114</v>
      </c>
      <c r="M118">
        <f t="shared" ref="M118" si="136">2+IF(A118&gt;=DATEVALUE("2025/11/30")+TIMEVALUE("6:00"),1,0)+IF(A118&gt;=DATEVALUE("2025/12/11")+TIMEVALUE("6:00"),1,0)</f>
        <v>4</v>
      </c>
      <c r="N118">
        <f t="shared" ref="N118" si="137">N117+M118*(INT(A118-6/24)-INT(A117-6/24))+O118</f>
        <v>116</v>
      </c>
      <c r="O118">
        <f t="shared" ref="O118" si="138">IF(A118&gt;=DATEVALUE("2025/11/8")+TIMEVALUE("6:00"),1,0)-IF(A117&gt;=DATEVALUE("2025/11/8")+TIMEVALUE("6:00"),1,0)</f>
        <v>0</v>
      </c>
      <c r="P118" t="str">
        <f t="shared" ref="P118" si="139">IF(L118&lt;N118,"未達成（"&amp;N118-L118&amp;"）",IF(L118=N118,"達成","前倒し（"&amp;L118-N118&amp;"）"))</f>
        <v>未達成（2）</v>
      </c>
    </row>
    <row r="119" spans="1:16">
      <c r="A119" s="3">
        <v>46008.573888888888</v>
      </c>
      <c r="B119">
        <v>60</v>
      </c>
      <c r="C119">
        <v>8</v>
      </c>
      <c r="D119">
        <v>0</v>
      </c>
      <c r="E119">
        <v>0</v>
      </c>
      <c r="F119">
        <v>0</v>
      </c>
      <c r="G119" s="5">
        <v>6.435185183363501E-3</v>
      </c>
      <c r="H119" t="s">
        <v>294</v>
      </c>
      <c r="I119" t="s">
        <v>295</v>
      </c>
      <c r="J119">
        <v>0</v>
      </c>
      <c r="K119">
        <f t="shared" ref="K119" si="140">IF(A119&lt;DATEVALUE("2025/11/20")+TIMEVALUE("6:00"),1,IF(B119-SUM(D119:F119)&lt;&gt;60,0,MAX(2-INT(G119*24*60/10),0)))</f>
        <v>2</v>
      </c>
      <c r="L119">
        <f t="shared" ref="L119" si="141">L118+K119</f>
        <v>116</v>
      </c>
      <c r="M119">
        <f t="shared" ref="M119" si="142">2+IF(A119&gt;=DATEVALUE("2025/11/30")+TIMEVALUE("6:00"),1,0)+IF(A119&gt;=DATEVALUE("2025/12/11")+TIMEVALUE("6:00"),1,0)</f>
        <v>4</v>
      </c>
      <c r="N119">
        <f t="shared" ref="N119" si="143">N118+M119*(INT(A119-6/24)-INT(A118-6/24))+O119</f>
        <v>116</v>
      </c>
      <c r="O119">
        <f t="shared" ref="O119" si="144">IF(A119&gt;=DATEVALUE("2025/11/8")+TIMEVALUE("6:00"),1,0)-IF(A118&gt;=DATEVALUE("2025/11/8")+TIMEVALUE("6:00"),1,0)</f>
        <v>0</v>
      </c>
      <c r="P119" t="str">
        <f t="shared" ref="P119" si="145">IF(L119&lt;N119,"未達成（"&amp;N119-L119&amp;"）",IF(L119=N119,"達成","前倒し（"&amp;L119-N119&amp;"）"))</f>
        <v>達成</v>
      </c>
    </row>
    <row r="120" spans="1:16">
      <c r="A120" s="3">
        <v>46009.282060185185</v>
      </c>
      <c r="B120">
        <v>60</v>
      </c>
      <c r="C120">
        <v>11</v>
      </c>
      <c r="D120">
        <v>0</v>
      </c>
      <c r="E120">
        <v>0</v>
      </c>
      <c r="F120">
        <v>0</v>
      </c>
      <c r="G120" s="5">
        <v>7.8009259232203476E-3</v>
      </c>
      <c r="H120" t="s">
        <v>296</v>
      </c>
      <c r="I120" t="s">
        <v>297</v>
      </c>
      <c r="J120">
        <v>0</v>
      </c>
      <c r="K120">
        <f t="shared" ref="K120" si="146">IF(A120&lt;DATEVALUE("2025/11/20")+TIMEVALUE("6:00"),1,IF(B120-SUM(D120:F120)&lt;&gt;60,0,MAX(2-INT(G120*24*60/10),0)))</f>
        <v>1</v>
      </c>
      <c r="L120">
        <f t="shared" ref="L120" si="147">L119+K120</f>
        <v>117</v>
      </c>
      <c r="M120">
        <f t="shared" ref="M120" si="148">2+IF(A120&gt;=DATEVALUE("2025/11/30")+TIMEVALUE("6:00"),1,0)+IF(A120&gt;=DATEVALUE("2025/12/11")+TIMEVALUE("6:00"),1,0)</f>
        <v>4</v>
      </c>
      <c r="N120">
        <f t="shared" ref="N120" si="149">N119+M120*(INT(A120-6/24)-INT(A119-6/24))+O120</f>
        <v>120</v>
      </c>
      <c r="O120">
        <f t="shared" ref="O120" si="150">IF(A120&gt;=DATEVALUE("2025/11/8")+TIMEVALUE("6:00"),1,0)-IF(A119&gt;=DATEVALUE("2025/11/8")+TIMEVALUE("6:00"),1,0)</f>
        <v>0</v>
      </c>
      <c r="P120" t="str">
        <f t="shared" ref="P120" si="151">IF(L120&lt;N120,"未達成（"&amp;N120-L120&amp;"）",IF(L120=N120,"達成","前倒し（"&amp;L120-N120&amp;"）"))</f>
        <v>未達成（3）</v>
      </c>
    </row>
    <row r="121" spans="1:16">
      <c r="A121" s="3">
        <v>46009.293854166666</v>
      </c>
      <c r="B121">
        <v>60</v>
      </c>
      <c r="C121">
        <v>8</v>
      </c>
      <c r="D121">
        <v>0</v>
      </c>
      <c r="E121">
        <v>0</v>
      </c>
      <c r="F121">
        <v>0</v>
      </c>
      <c r="G121" s="5">
        <v>8.3796296312357299E-3</v>
      </c>
      <c r="H121" t="s">
        <v>298</v>
      </c>
      <c r="I121" t="s">
        <v>299</v>
      </c>
      <c r="J121">
        <v>0</v>
      </c>
      <c r="K121">
        <f t="shared" ref="K121" si="152">IF(A121&lt;DATEVALUE("2025/11/20")+TIMEVALUE("6:00"),1,IF(B121-SUM(D121:F121)&lt;&gt;60,0,MAX(2-INT(G121*24*60/10),0)))</f>
        <v>1</v>
      </c>
      <c r="L121">
        <f t="shared" ref="L121" si="153">L120+K121</f>
        <v>118</v>
      </c>
      <c r="M121">
        <f t="shared" ref="M121" si="154">2+IF(A121&gt;=DATEVALUE("2025/11/30")+TIMEVALUE("6:00"),1,0)+IF(A121&gt;=DATEVALUE("2025/12/11")+TIMEVALUE("6:00"),1,0)</f>
        <v>4</v>
      </c>
      <c r="N121">
        <f t="shared" ref="N121" si="155">N120+M121*(INT(A121-6/24)-INT(A120-6/24))+O121</f>
        <v>120</v>
      </c>
      <c r="O121">
        <f t="shared" ref="O121" si="156">IF(A121&gt;=DATEVALUE("2025/11/8")+TIMEVALUE("6:00"),1,0)-IF(A120&gt;=DATEVALUE("2025/11/8")+TIMEVALUE("6:00"),1,0)</f>
        <v>0</v>
      </c>
      <c r="P121" t="str">
        <f t="shared" ref="P121" si="157">IF(L121&lt;N121,"未達成（"&amp;N121-L121&amp;"）",IF(L121=N121,"達成","前倒し（"&amp;L121-N121&amp;"）"))</f>
        <v>未達成（2）</v>
      </c>
    </row>
    <row r="122" spans="1:16">
      <c r="A122" s="3">
        <v>46009.372372685182</v>
      </c>
      <c r="B122">
        <v>53</v>
      </c>
      <c r="C122">
        <v>4</v>
      </c>
      <c r="D122">
        <v>0</v>
      </c>
      <c r="E122">
        <v>7</v>
      </c>
      <c r="F122">
        <v>5</v>
      </c>
      <c r="G122" s="5">
        <v>9.5717592557775788E-3</v>
      </c>
      <c r="H122" t="s">
        <v>300</v>
      </c>
      <c r="I122" t="s">
        <v>301</v>
      </c>
      <c r="J122">
        <v>0</v>
      </c>
      <c r="K122">
        <f t="shared" ref="K122" si="158">IF(A122&lt;DATEVALUE("2025/11/20")+TIMEVALUE("6:00"),1,IF(B122-SUM(D122:F122)&lt;&gt;60,0,MAX(2-INT(G122*24*60/10),0)))</f>
        <v>0</v>
      </c>
      <c r="L122">
        <f t="shared" ref="L122" si="159">L121+K122</f>
        <v>118</v>
      </c>
      <c r="M122">
        <f t="shared" ref="M122" si="160">2+IF(A122&gt;=DATEVALUE("2025/11/30")+TIMEVALUE("6:00"),1,0)+IF(A122&gt;=DATEVALUE("2025/12/11")+TIMEVALUE("6:00"),1,0)</f>
        <v>4</v>
      </c>
      <c r="N122">
        <f t="shared" ref="N122" si="161">N121+M122*(INT(A122-6/24)-INT(A121-6/24))+O122</f>
        <v>120</v>
      </c>
      <c r="O122">
        <f t="shared" ref="O122" si="162">IF(A122&gt;=DATEVALUE("2025/11/8")+TIMEVALUE("6:00"),1,0)-IF(A121&gt;=DATEVALUE("2025/11/8")+TIMEVALUE("6:00"),1,0)</f>
        <v>0</v>
      </c>
      <c r="P122" t="str">
        <f t="shared" ref="P122" si="163">IF(L122&lt;N122,"未達成（"&amp;N122-L122&amp;"）",IF(L122=N122,"達成","前倒し（"&amp;L122-N122&amp;"）"))</f>
        <v>未達成（2）</v>
      </c>
    </row>
    <row r="123" spans="1:16">
      <c r="A123" s="3">
        <v>46009.600648148145</v>
      </c>
      <c r="B123">
        <v>60</v>
      </c>
      <c r="C123">
        <v>8</v>
      </c>
      <c r="D123">
        <v>0</v>
      </c>
      <c r="E123">
        <v>0</v>
      </c>
      <c r="F123">
        <v>0</v>
      </c>
      <c r="G123" s="5">
        <v>6.5277777757728472E-3</v>
      </c>
      <c r="H123" t="s">
        <v>302</v>
      </c>
      <c r="I123" t="s">
        <v>303</v>
      </c>
      <c r="J123">
        <v>0</v>
      </c>
      <c r="K123">
        <f t="shared" ref="K123" si="164">IF(A123&lt;DATEVALUE("2025/11/20")+TIMEVALUE("6:00"),1,IF(B123-SUM(D123:F123)&lt;&gt;60,0,MAX(2-INT(G123*24*60/10),0)))</f>
        <v>2</v>
      </c>
      <c r="L123">
        <f t="shared" ref="L123" si="165">L122+K123</f>
        <v>120</v>
      </c>
      <c r="M123">
        <f t="shared" ref="M123" si="166">2+IF(A123&gt;=DATEVALUE("2025/11/30")+TIMEVALUE("6:00"),1,0)+IF(A123&gt;=DATEVALUE("2025/12/11")+TIMEVALUE("6:00"),1,0)</f>
        <v>4</v>
      </c>
      <c r="N123">
        <f t="shared" ref="N123" si="167">N122+M123*(INT(A123-6/24)-INT(A122-6/24))+O123</f>
        <v>120</v>
      </c>
      <c r="O123">
        <f t="shared" ref="O123" si="168">IF(A123&gt;=DATEVALUE("2025/11/8")+TIMEVALUE("6:00"),1,0)-IF(A122&gt;=DATEVALUE("2025/11/8")+TIMEVALUE("6:00"),1,0)</f>
        <v>0</v>
      </c>
      <c r="P123" t="str">
        <f t="shared" ref="P123" si="169">IF(L123&lt;N123,"未達成（"&amp;N123-L123&amp;"）",IF(L123=N123,"達成","前倒し（"&amp;L123-N123&amp;"）"))</f>
        <v>達成</v>
      </c>
    </row>
    <row r="124" spans="1:16">
      <c r="A124" s="3">
        <v>46010.489201388889</v>
      </c>
      <c r="B124">
        <v>60</v>
      </c>
      <c r="C124">
        <v>15</v>
      </c>
      <c r="D124">
        <v>0</v>
      </c>
      <c r="E124">
        <v>0</v>
      </c>
      <c r="F124">
        <v>0</v>
      </c>
      <c r="G124" s="5">
        <v>1.0011574071540963E-2</v>
      </c>
      <c r="H124" t="s">
        <v>304</v>
      </c>
      <c r="I124" t="s">
        <v>305</v>
      </c>
      <c r="J124">
        <v>0</v>
      </c>
      <c r="K124">
        <f t="shared" ref="K124" si="170">IF(A124&lt;DATEVALUE("2025/11/20")+TIMEVALUE("6:00"),1,IF(B124-SUM(D124:F124)&lt;&gt;60,0,MAX(2-INT(G124*24*60/10),0)))</f>
        <v>1</v>
      </c>
      <c r="L124">
        <f t="shared" ref="L124" si="171">L123+K124</f>
        <v>121</v>
      </c>
      <c r="M124">
        <f t="shared" ref="M124" si="172">2+IF(A124&gt;=DATEVALUE("2025/11/30")+TIMEVALUE("6:00"),1,0)+IF(A124&gt;=DATEVALUE("2025/12/11")+TIMEVALUE("6:00"),1,0)</f>
        <v>4</v>
      </c>
      <c r="N124">
        <f t="shared" ref="N124" si="173">N123+M124*(INT(A124-6/24)-INT(A123-6/24))+O124</f>
        <v>124</v>
      </c>
      <c r="O124">
        <f t="shared" ref="O124" si="174">IF(A124&gt;=DATEVALUE("2025/11/8")+TIMEVALUE("6:00"),1,0)-IF(A123&gt;=DATEVALUE("2025/11/8")+TIMEVALUE("6:00"),1,0)</f>
        <v>0</v>
      </c>
      <c r="P124" t="str">
        <f t="shared" ref="P124" si="175">IF(L124&lt;N124,"未達成（"&amp;N124-L124&amp;"）",IF(L124=N124,"達成","前倒し（"&amp;L124-N124&amp;"）"))</f>
        <v>未達成（3）</v>
      </c>
    </row>
    <row r="125" spans="1:16">
      <c r="A125" s="3">
        <v>46010.549768518518</v>
      </c>
      <c r="B125">
        <v>60</v>
      </c>
      <c r="C125">
        <v>14</v>
      </c>
      <c r="D125">
        <v>0</v>
      </c>
      <c r="E125">
        <v>0</v>
      </c>
      <c r="F125">
        <v>0</v>
      </c>
      <c r="G125" s="5">
        <v>6.7361111141508445E-3</v>
      </c>
      <c r="H125" t="s">
        <v>306</v>
      </c>
      <c r="I125" t="s">
        <v>307</v>
      </c>
      <c r="J125">
        <v>0</v>
      </c>
      <c r="K125">
        <f t="shared" ref="K125" si="176">IF(A125&lt;DATEVALUE("2025/11/20")+TIMEVALUE("6:00"),1,IF(B125-SUM(D125:F125)&lt;&gt;60,0,MAX(2-INT(G125*24*60/10),0)))</f>
        <v>2</v>
      </c>
      <c r="L125">
        <f t="shared" ref="L125" si="177">L124+K125</f>
        <v>123</v>
      </c>
      <c r="M125">
        <f t="shared" ref="M125" si="178">2+IF(A125&gt;=DATEVALUE("2025/11/30")+TIMEVALUE("6:00"),1,0)+IF(A125&gt;=DATEVALUE("2025/12/11")+TIMEVALUE("6:00"),1,0)</f>
        <v>4</v>
      </c>
      <c r="N125">
        <f t="shared" ref="N125" si="179">N124+M125*(INT(A125-6/24)-INT(A124-6/24))+O125</f>
        <v>124</v>
      </c>
      <c r="O125">
        <f t="shared" ref="O125" si="180">IF(A125&gt;=DATEVALUE("2025/11/8")+TIMEVALUE("6:00"),1,0)-IF(A124&gt;=DATEVALUE("2025/11/8")+TIMEVALUE("6:00"),1,0)</f>
        <v>0</v>
      </c>
      <c r="P125" t="str">
        <f t="shared" ref="P125" si="181">IF(L125&lt;N125,"未達成（"&amp;N125-L125&amp;"）",IF(L125=N125,"達成","前倒し（"&amp;L125-N125&amp;"）"))</f>
        <v>未達成（1）</v>
      </c>
    </row>
    <row r="126" spans="1:16">
      <c r="A126" s="3">
        <v>46010.559502314813</v>
      </c>
      <c r="B126">
        <v>60</v>
      </c>
      <c r="C126">
        <v>6</v>
      </c>
      <c r="D126">
        <v>0</v>
      </c>
      <c r="E126">
        <v>0</v>
      </c>
      <c r="F126">
        <v>0</v>
      </c>
      <c r="G126" s="5">
        <v>8.4606481468654238E-3</v>
      </c>
      <c r="H126" t="s">
        <v>308</v>
      </c>
      <c r="I126" t="s">
        <v>309</v>
      </c>
      <c r="J126">
        <v>0</v>
      </c>
      <c r="K126">
        <f t="shared" ref="K126" si="182">IF(A126&lt;DATEVALUE("2025/11/20")+TIMEVALUE("6:00"),1,IF(B126-SUM(D126:F126)&lt;&gt;60,0,MAX(2-INT(G126*24*60/10),0)))</f>
        <v>1</v>
      </c>
      <c r="L126">
        <f t="shared" ref="L126" si="183">L125+K126</f>
        <v>124</v>
      </c>
      <c r="M126">
        <f t="shared" ref="M126" si="184">2+IF(A126&gt;=DATEVALUE("2025/11/30")+TIMEVALUE("6:00"),1,0)+IF(A126&gt;=DATEVALUE("2025/12/11")+TIMEVALUE("6:00"),1,0)</f>
        <v>4</v>
      </c>
      <c r="N126">
        <f t="shared" ref="N126" si="185">N125+M126*(INT(A126-6/24)-INT(A125-6/24))+O126</f>
        <v>124</v>
      </c>
      <c r="O126">
        <f t="shared" ref="O126" si="186">IF(A126&gt;=DATEVALUE("2025/11/8")+TIMEVALUE("6:00"),1,0)-IF(A125&gt;=DATEVALUE("2025/11/8")+TIMEVALUE("6:00"),1,0)</f>
        <v>0</v>
      </c>
      <c r="P126" t="str">
        <f t="shared" ref="P126" si="187">IF(L126&lt;N126,"未達成（"&amp;N126-L126&amp;"）",IF(L126=N126,"達成","前倒し（"&amp;L126-N126&amp;"）"))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46010.551041666666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2025-12-19T04:27:51Z</dcterms:modified>
</cp:coreProperties>
</file>
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514C6189-D520-4740-807B-746157603C50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4" i="4" l="1"/>
  <c r="O94" i="4"/>
  <c r="N94" i="4"/>
  <c r="M94" i="4"/>
  <c r="L94" i="4"/>
  <c r="K94" i="4"/>
  <c r="O93" i="4"/>
  <c r="M93" i="4"/>
  <c r="N93" i="4" s="1"/>
  <c r="K93" i="4"/>
  <c r="L93" i="4" s="1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0" i="4"/>
  <c r="M80" i="4"/>
  <c r="K80" i="4"/>
  <c r="O81" i="4"/>
  <c r="M81" i="4"/>
  <c r="K81" i="4"/>
  <c r="O79" i="4"/>
  <c r="M79" i="4"/>
  <c r="K79" i="4"/>
  <c r="O78" i="4"/>
  <c r="M78" i="4"/>
  <c r="K78" i="4"/>
  <c r="O77" i="4"/>
  <c r="M77" i="4"/>
  <c r="K77" i="4"/>
  <c r="O76" i="4"/>
  <c r="M76" i="4"/>
  <c r="K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K75" i="4"/>
  <c r="K74" i="4"/>
  <c r="K73" i="4"/>
  <c r="P93" i="4" l="1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N17" i="4"/>
  <c r="L18" i="4" l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l="1"/>
  <c r="P17" i="4"/>
  <c r="N18" i="4"/>
  <c r="L78" i="4" l="1"/>
  <c r="N19" i="4"/>
  <c r="P18" i="4"/>
  <c r="L79" i="4" l="1"/>
  <c r="N20" i="4"/>
  <c r="P19" i="4"/>
  <c r="L80" i="4" l="1"/>
  <c r="N21" i="4"/>
  <c r="P20" i="4"/>
  <c r="L81" i="4" l="1"/>
  <c r="N22" i="4"/>
  <c r="P21" i="4"/>
  <c r="L82" i="4" l="1"/>
  <c r="N23" i="4"/>
  <c r="P22" i="4"/>
  <c r="L83" i="4" l="1"/>
  <c r="N24" i="4"/>
  <c r="P23" i="4"/>
  <c r="L84" i="4" l="1"/>
  <c r="N25" i="4"/>
  <c r="P24" i="4"/>
  <c r="L85" i="4" l="1"/>
  <c r="N26" i="4"/>
  <c r="P25" i="4"/>
  <c r="L86" i="4" l="1"/>
  <c r="N27" i="4"/>
  <c r="P26" i="4"/>
  <c r="L87" i="4" l="1"/>
  <c r="N28" i="4"/>
  <c r="P27" i="4"/>
  <c r="L88" i="4" l="1"/>
  <c r="N29" i="4"/>
  <c r="P28" i="4"/>
  <c r="L89" i="4" l="1"/>
  <c r="N30" i="4"/>
  <c r="P29" i="4"/>
  <c r="L90" i="4" l="1"/>
  <c r="N31" i="4"/>
  <c r="P30" i="4"/>
  <c r="L91" i="4" l="1"/>
  <c r="N32" i="4"/>
  <c r="P31" i="4"/>
  <c r="L92" i="4" l="1"/>
  <c r="N33" i="4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1" i="4"/>
  <c r="P63" i="4" l="1"/>
  <c r="N64" i="4"/>
  <c r="N65" i="4" l="1"/>
  <c r="P64" i="4"/>
  <c r="N66" i="4" l="1"/>
  <c r="P65" i="4"/>
  <c r="P66" i="4" l="1"/>
  <c r="N67" i="4"/>
  <c r="P67" i="4" l="1"/>
  <c r="N68" i="4"/>
  <c r="N69" i="4" l="1"/>
  <c r="P68" i="4"/>
  <c r="P69" i="4" l="1"/>
  <c r="N70" i="4"/>
  <c r="P70" i="4" l="1"/>
  <c r="N71" i="4"/>
  <c r="N72" i="4" l="1"/>
  <c r="P71" i="4"/>
  <c r="N73" i="4" l="1"/>
  <c r="P72" i="4"/>
  <c r="N74" i="4" l="1"/>
  <c r="P73" i="4"/>
  <c r="P74" i="4" l="1"/>
  <c r="N75" i="4"/>
  <c r="P75" i="4" l="1"/>
  <c r="N76" i="4"/>
  <c r="N77" i="4" l="1"/>
  <c r="P76" i="4"/>
  <c r="N78" i="4" l="1"/>
  <c r="P77" i="4"/>
  <c r="N79" i="4" l="1"/>
  <c r="P78" i="4"/>
  <c r="N80" i="4" l="1"/>
  <c r="P79" i="4"/>
  <c r="N81" i="4" l="1"/>
  <c r="P80" i="4"/>
  <c r="N82" i="4" l="1"/>
  <c r="P81" i="4"/>
  <c r="N83" i="4" l="1"/>
  <c r="P82" i="4"/>
  <c r="N84" i="4" l="1"/>
  <c r="P83" i="4"/>
  <c r="N85" i="4" l="1"/>
  <c r="P84" i="4"/>
  <c r="N86" i="4" l="1"/>
  <c r="P85" i="4"/>
  <c r="N87" i="4" l="1"/>
  <c r="P86" i="4"/>
  <c r="N88" i="4" l="1"/>
  <c r="P87" i="4"/>
  <c r="N89" i="4" l="1"/>
  <c r="P88" i="4"/>
  <c r="N90" i="4" l="1"/>
  <c r="P89" i="4"/>
  <c r="N91" i="4" l="1"/>
  <c r="P90" i="4"/>
  <c r="N92" i="4" l="1"/>
  <c r="P91" i="4"/>
  <c r="P92" i="4" l="1"/>
</calcChain>
</file>

<file path=xl/sharedStrings.xml><?xml version="1.0" encoding="utf-8"?>
<sst xmlns="http://schemas.openxmlformats.org/spreadsheetml/2006/main" count="265" uniqueCount="246">
  <si>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</si>
  <si>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</si>
  <si>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</si>
  <si>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</si>
  <si>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</si>
  <si>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</si>
  <si>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</si>
  <si>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</si>
  <si>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</si>
  <si>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</si>
  <si>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</si>
  <si>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</si>
  <si>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</si>
  <si>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</si>
  <si>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</si>
  <si>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</si>
  <si>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</si>
  <si>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</si>
  <si>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</si>
  <si>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</si>
  <si>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</si>
  <si>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</si>
  <si>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</si>
  <si>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</si>
  <si>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</si>
  <si>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</si>
  <si>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</si>
  <si>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</si>
  <si>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</si>
  <si>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</si>
  <si>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</si>
  <si>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</si>
  <si>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</si>
  <si>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</si>
  <si>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</si>
  <si>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</si>
  <si>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</si>
  <si>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</si>
  <si>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</si>
  <si>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</si>
  <si>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</si>
  <si>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</si>
  <si>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</si>
  <si>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</si>
  <si>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</si>
  <si>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</si>
  <si>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</si>
  <si>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</si>
  <si>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</si>
  <si>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</si>
  <si>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</si>
  <si>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</si>
  <si>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</si>
  <si>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</si>
  <si>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</si>
  <si>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</si>
  <si>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</si>
  <si>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</si>
  <si>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</si>
  <si>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</si>
  <si>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</si>
  <si>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</si>
  <si>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</si>
  <si>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</si>
  <si>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</si>
  <si>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</si>
  <si>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</si>
  <si>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</si>
  <si>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</si>
  <si>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</si>
  <si>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</si>
  <si>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</si>
  <si>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</si>
  <si>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</si>
  <si>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</si>
  <si>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</si>
  <si>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</si>
  <si>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</si>
  <si>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</si>
  <si>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</si>
  <si>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</si>
  <si>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</si>
  <si>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</si>
  <si>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</si>
  <si>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</si>
  <si>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</si>
  <si>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</si>
  <si>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</si>
  <si>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</si>
  <si>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</si>
  <si>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</si>
  <si>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</si>
  <si>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</si>
  <si>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</si>
  <si>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</si>
  <si>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</si>
  <si>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</si>
  <si>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</si>
  <si>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</si>
  <si>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</si>
  <si>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</si>
  <si>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</si>
  <si>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</si>
  <si>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</si>
  <si>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</si>
  <si>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</si>
  <si>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</si>
  <si>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</si>
  <si>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</si>
  <si>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</si>
  <si>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</si>
  <si>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</si>
  <si>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</si>
  <si>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</si>
  <si>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</si>
  <si>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</si>
  <si>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</si>
  <si>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</si>
  <si>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</si>
  <si>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</si>
  <si>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</si>
  <si>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</si>
  <si>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</si>
  <si>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</si>
  <si>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</si>
  <si>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</si>
  <si>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</si>
  <si>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</si>
  <si>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</si>
  <si>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</si>
  <si>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</si>
  <si>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</si>
  <si>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</si>
  <si>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</si>
  <si>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</si>
  <si>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</si>
  <si>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</si>
  <si>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</si>
  <si>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</si>
  <si>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</si>
  <si>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</si>
  <si>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</si>
  <si>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</si>
  <si>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</si>
  <si>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</si>
  <si>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</si>
  <si>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</si>
  <si>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</si>
  <si>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</si>
  <si>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</si>
  <si>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</si>
  <si>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</si>
  <si>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</si>
  <si>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</si>
  <si>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</si>
  <si>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</si>
  <si>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</si>
  <si>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</si>
  <si>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</si>
  <si>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</si>
  <si>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</si>
  <si>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</si>
  <si>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</si>
  <si>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</si>
  <si>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</si>
  <si>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</si>
  <si>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</si>
  <si>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</si>
  <si>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</si>
  <si>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</si>
  <si>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</si>
  <si>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</si>
  <si>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</si>
  <si>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</si>
  <si>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</si>
  <si>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</si>
  <si>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</si>
  <si>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</si>
  <si>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</si>
  <si>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</si>
  <si>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</si>
  <si>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</si>
  <si>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</si>
  <si>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</si>
  <si>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</si>
  <si>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</si>
  <si>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</si>
  <si>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</si>
  <si>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</si>
  <si>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</si>
  <si>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</si>
  <si>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</si>
  <si>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</si>
  <si>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</si>
  <si>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</si>
  <si>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</si>
  <si>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</si>
  <si>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</si>
  <si>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</si>
  <si>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</si>
  <si>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</si>
  <si>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</si>
  <si>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</si>
  <si>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</si>
  <si>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</si>
  <si>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</si>
  <si>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</si>
  <si>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１日目標ポイント（２と2025/11/30以降は１）</t>
    <rPh sb="1" eb="2">
      <t>ニチ</t>
    </rPh>
    <rPh sb="21" eb="23">
      <t>イコウ</t>
    </rPh>
    <phoneticPr fontId="1"/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</si>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</sst>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データ!$P$1:$P$93</c:f>
              <c:strCache>
                <c:ptCount val="93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データ!$A$2:$A$94</c:f>
              <c:numCache>
                <c:formatCode>m/d/yyyy\ h:mm</c:formatCode>
                <c:ptCount val="9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</c:numCache>
            </c:numRef>
          </c:xVal>
          <c:yVal>
            <c:numRef>
              <c:f>データ!$B$2:$B$94</c:f>
              <c:numCache>
                <c:formatCode>General</c:formatCode>
                <c:ptCount val="9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96-4E57-AEB8-F7C18B19195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496-4E57-AEB8-F7C18B191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7003135"/>
        <c:axId val="1127003615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データ!$A$2:$A$94</c:f>
              <c:numCache>
                <c:formatCode>m/d/yyyy\ h:mm</c:formatCode>
                <c:ptCount val="9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</c:numCache>
            </c:numRef>
          </c:xVal>
          <c:yVal>
            <c:numRef>
              <c:f>データ!$G$2:$G$94</c:f>
              <c:numCache>
                <c:formatCode>[h]:mm</c:formatCode>
                <c:ptCount val="93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96-4E57-AEB8-F7C18B191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996415"/>
        <c:axId val="1127002655"/>
      </c:scatterChart>
      <c:valAx>
        <c:axId val="112700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7003615"/>
        <c:crosses val="autoZero"/>
        <c:crossBetween val="midCat"/>
      </c:valAx>
      <c:valAx>
        <c:axId val="112700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7003135"/>
        <c:crosses val="autoZero"/>
        <c:crossBetween val="midCat"/>
      </c:valAx>
      <c:valAx>
        <c:axId val="1127002655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6996415"/>
        <c:crosses val="max"/>
        <c:crossBetween val="midCat"/>
      </c:valAx>
      <c:valAx>
        <c:axId val="112699641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7002655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211931</xdr:colOff>
      <xdr:row>2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62" name="Match0">
          <a:extLst>
            <a:ext uri="{FF2B5EF4-FFF2-40B4-BE49-F238E27FC236}">
              <a16:creationId xmlns:a16="http://schemas.microsoft.com/office/drawing/2014/main" id="{DF0F5E64-7279-8A2B-69B5-02769630A47E}"/>
            </a:ext>
          </a:extLst>
        </xdr:cNvPr>
        <xdr:cNvCxnSpPr/>
      </xdr:nvCxnSpPr>
      <xdr:spPr>
        <a:xfrm flipH="1">
          <a:off x="1907381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63" name="Match1">
          <a:extLst>
            <a:ext uri="{FF2B5EF4-FFF2-40B4-BE49-F238E27FC236}">
              <a16:creationId xmlns:a16="http://schemas.microsoft.com/office/drawing/2014/main" id="{3A96410B-F652-0E51-C1AF-FD7B6642F29A}"/>
            </a:ext>
          </a:extLst>
        </xdr:cNvPr>
        <xdr:cNvCxnSpPr/>
      </xdr:nvCxnSpPr>
      <xdr:spPr>
        <a:xfrm flipH="1">
          <a:off x="635794" y="33932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0</xdr:row>
      <xdr:rowOff>178594</xdr:rowOff>
    </xdr:to>
    <xdr:cxnSp macro="">
      <xdr:nvCxnSpPr>
        <xdr:cNvPr id="1024" name="Match2">
          <a:extLst>
            <a:ext uri="{FF2B5EF4-FFF2-40B4-BE49-F238E27FC236}">
              <a16:creationId xmlns:a16="http://schemas.microsoft.com/office/drawing/2014/main" id="{1C508679-5231-E3FA-54FC-528FCF893DE1}"/>
            </a:ext>
          </a:extLst>
        </xdr:cNvPr>
        <xdr:cNvCxnSpPr/>
      </xdr:nvCxnSpPr>
      <xdr:spPr>
        <a:xfrm>
          <a:off x="40266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0</xdr:row>
      <xdr:rowOff>178594</xdr:rowOff>
    </xdr:to>
    <xdr:cxnSp macro="">
      <xdr:nvCxnSpPr>
        <xdr:cNvPr id="1025" name="Match3">
          <a:extLst>
            <a:ext uri="{FF2B5EF4-FFF2-40B4-BE49-F238E27FC236}">
              <a16:creationId xmlns:a16="http://schemas.microsoft.com/office/drawing/2014/main" id="{4F17B737-1337-DD3F-A5F6-F69C3E7384DA}"/>
            </a:ext>
          </a:extLst>
        </xdr:cNvPr>
        <xdr:cNvCxnSpPr/>
      </xdr:nvCxnSpPr>
      <xdr:spPr>
        <a:xfrm flipH="1">
          <a:off x="40266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026" name="Match4">
          <a:extLst>
            <a:ext uri="{FF2B5EF4-FFF2-40B4-BE49-F238E27FC236}">
              <a16:creationId xmlns:a16="http://schemas.microsoft.com/office/drawing/2014/main" id="{AA1743B8-4BA8-F83C-B7CE-E3BEED1A80A1}"/>
            </a:ext>
          </a:extLst>
        </xdr:cNvPr>
        <xdr:cNvCxnSpPr/>
      </xdr:nvCxnSpPr>
      <xdr:spPr>
        <a:xfrm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027" name="Match5">
          <a:extLst>
            <a:ext uri="{FF2B5EF4-FFF2-40B4-BE49-F238E27FC236}">
              <a16:creationId xmlns:a16="http://schemas.microsoft.com/office/drawing/2014/main" id="{C75C344E-8327-8B48-AECC-E310A6CC0B0E}"/>
            </a:ext>
          </a:extLst>
        </xdr:cNvPr>
        <xdr:cNvCxnSpPr/>
      </xdr:nvCxnSpPr>
      <xdr:spPr>
        <a:xfrm flipH="1" flipV="1"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028" name="Match6">
          <a:extLst>
            <a:ext uri="{FF2B5EF4-FFF2-40B4-BE49-F238E27FC236}">
              <a16:creationId xmlns:a16="http://schemas.microsoft.com/office/drawing/2014/main" id="{627BEA22-1D8B-8FA2-7233-D5E2A27FEA11}"/>
            </a:ext>
          </a:extLst>
        </xdr:cNvPr>
        <xdr:cNvCxnSpPr/>
      </xdr:nvCxnSpPr>
      <xdr:spPr>
        <a:xfrm>
          <a:off x="275510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029" name="Match7">
          <a:extLst>
            <a:ext uri="{FF2B5EF4-FFF2-40B4-BE49-F238E27FC236}">
              <a16:creationId xmlns:a16="http://schemas.microsoft.com/office/drawing/2014/main" id="{FFEBCFEE-0D66-3591-5FF5-ADBB9A76FFFF}"/>
            </a:ext>
          </a:extLst>
        </xdr:cNvPr>
        <xdr:cNvCxnSpPr/>
      </xdr:nvCxnSpPr>
      <xdr:spPr>
        <a:xfrm flipV="1">
          <a:off x="275510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1030" name="Match8">
          <a:extLst>
            <a:ext uri="{FF2B5EF4-FFF2-40B4-BE49-F238E27FC236}">
              <a16:creationId xmlns:a16="http://schemas.microsoft.com/office/drawing/2014/main" id="{0B50CFC0-ABE9-13D6-4C2B-2DF31CDA4436}"/>
            </a:ext>
          </a:extLst>
        </xdr:cNvPr>
        <xdr:cNvCxnSpPr/>
      </xdr:nvCxnSpPr>
      <xdr:spPr>
        <a:xfrm>
          <a:off x="40266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031" name="Match9">
          <a:extLst>
            <a:ext uri="{FF2B5EF4-FFF2-40B4-BE49-F238E27FC236}">
              <a16:creationId xmlns:a16="http://schemas.microsoft.com/office/drawing/2014/main" id="{5EB0C11E-0710-F2EA-6097-3B792DDD590B}"/>
            </a:ext>
          </a:extLst>
        </xdr:cNvPr>
        <xdr:cNvCxnSpPr/>
      </xdr:nvCxnSpPr>
      <xdr:spPr>
        <a:xfrm flipH="1"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1032" name="Match10">
          <a:extLst>
            <a:ext uri="{FF2B5EF4-FFF2-40B4-BE49-F238E27FC236}">
              <a16:creationId xmlns:a16="http://schemas.microsoft.com/office/drawing/2014/main" id="{FE5EF166-4CB0-4391-ADB6-72BE742EA410}"/>
            </a:ext>
          </a:extLst>
        </xdr:cNvPr>
        <xdr:cNvCxnSpPr/>
      </xdr:nvCxnSpPr>
      <xdr:spPr>
        <a:xfrm flipH="1" flipV="1">
          <a:off x="405209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033" name="Match11">
          <a:extLst>
            <a:ext uri="{FF2B5EF4-FFF2-40B4-BE49-F238E27FC236}">
              <a16:creationId xmlns:a16="http://schemas.microsoft.com/office/drawing/2014/main" id="{43F695BC-EA17-89BD-26EB-9F6E35BAD474}"/>
            </a:ext>
          </a:extLst>
        </xdr:cNvPr>
        <xdr:cNvCxnSpPr/>
      </xdr:nvCxnSpPr>
      <xdr:spPr>
        <a:xfrm flipH="1"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1034" name="Match12">
          <a:extLst>
            <a:ext uri="{FF2B5EF4-FFF2-40B4-BE49-F238E27FC236}">
              <a16:creationId xmlns:a16="http://schemas.microsoft.com/office/drawing/2014/main" id="{039984D6-3D6A-1DAA-9940-D6CB5D193DD2}"/>
            </a:ext>
          </a:extLst>
        </xdr:cNvPr>
        <xdr:cNvCxnSpPr/>
      </xdr:nvCxnSpPr>
      <xdr:spPr>
        <a:xfrm flipV="1">
          <a:off x="405209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035" name="Match13">
          <a:extLst>
            <a:ext uri="{FF2B5EF4-FFF2-40B4-BE49-F238E27FC236}">
              <a16:creationId xmlns:a16="http://schemas.microsoft.com/office/drawing/2014/main" id="{A2AF0E0E-1748-933E-04BD-C725E976C617}"/>
            </a:ext>
          </a:extLst>
        </xdr:cNvPr>
        <xdr:cNvCxnSpPr/>
      </xdr:nvCxnSpPr>
      <xdr:spPr>
        <a:xfrm flipV="1"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0</xdr:col>
      <xdr:colOff>211931</xdr:colOff>
      <xdr:row>2</xdr:row>
      <xdr:rowOff>178594</xdr:rowOff>
    </xdr:to>
    <xdr:cxnSp macro="">
      <xdr:nvCxnSpPr>
        <xdr:cNvPr id="1036" name="Match14">
          <a:extLst>
            <a:ext uri="{FF2B5EF4-FFF2-40B4-BE49-F238E27FC236}">
              <a16:creationId xmlns:a16="http://schemas.microsoft.com/office/drawing/2014/main" id="{F5744029-1725-7A79-EFB7-7BCB4762A3F5}"/>
            </a:ext>
          </a:extLst>
        </xdr:cNvPr>
        <xdr:cNvCxnSpPr/>
      </xdr:nvCxnSpPr>
      <xdr:spPr>
        <a:xfrm>
          <a:off x="21193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1</xdr:row>
      <xdr:rowOff>178593</xdr:rowOff>
    </xdr:to>
    <xdr:cxnSp macro="">
      <xdr:nvCxnSpPr>
        <xdr:cNvPr id="1037" name="Match15">
          <a:extLst>
            <a:ext uri="{FF2B5EF4-FFF2-40B4-BE49-F238E27FC236}">
              <a16:creationId xmlns:a16="http://schemas.microsoft.com/office/drawing/2014/main" id="{9C549911-ADA4-32DE-E44F-8AA508408804}"/>
            </a:ext>
          </a:extLst>
        </xdr:cNvPr>
        <xdr:cNvCxnSpPr/>
      </xdr:nvCxnSpPr>
      <xdr:spPr>
        <a:xfrm>
          <a:off x="36028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038" name="Match16">
          <a:extLst>
            <a:ext uri="{FF2B5EF4-FFF2-40B4-BE49-F238E27FC236}">
              <a16:creationId xmlns:a16="http://schemas.microsoft.com/office/drawing/2014/main" id="{51316066-429F-3490-9DF7-473D4BE7B31E}"/>
            </a:ext>
          </a:extLst>
        </xdr:cNvPr>
        <xdr:cNvCxnSpPr/>
      </xdr:nvCxnSpPr>
      <xdr:spPr>
        <a:xfrm flipV="1">
          <a:off x="36028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039" name="Match17">
          <a:extLst>
            <a:ext uri="{FF2B5EF4-FFF2-40B4-BE49-F238E27FC236}">
              <a16:creationId xmlns:a16="http://schemas.microsoft.com/office/drawing/2014/main" id="{A4F60EA7-8D48-FA0D-8C48-6AC8D58F9700}"/>
            </a:ext>
          </a:extLst>
        </xdr:cNvPr>
        <xdr:cNvCxnSpPr/>
      </xdr:nvCxnSpPr>
      <xdr:spPr>
        <a:xfrm flipV="1">
          <a:off x="402669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</xdr:row>
      <xdr:rowOff>203993</xdr:rowOff>
    </xdr:from>
    <xdr:to>
      <xdr:col>10</xdr:col>
      <xdr:colOff>237331</xdr:colOff>
      <xdr:row>2</xdr:row>
      <xdr:rowOff>203994</xdr:rowOff>
    </xdr:to>
    <xdr:cxnSp macro="">
      <xdr:nvCxnSpPr>
        <xdr:cNvPr id="1040" name="Match18">
          <a:extLst>
            <a:ext uri="{FF2B5EF4-FFF2-40B4-BE49-F238E27FC236}">
              <a16:creationId xmlns:a16="http://schemas.microsoft.com/office/drawing/2014/main" id="{1FF09E37-B512-09B3-74A5-EC2FB9EC5A3A}"/>
            </a:ext>
          </a:extLst>
        </xdr:cNvPr>
        <xdr:cNvCxnSpPr/>
      </xdr:nvCxnSpPr>
      <xdr:spPr>
        <a:xfrm flipV="1">
          <a:off x="405209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041" name="Match19">
          <a:extLst>
            <a:ext uri="{FF2B5EF4-FFF2-40B4-BE49-F238E27FC236}">
              <a16:creationId xmlns:a16="http://schemas.microsoft.com/office/drawing/2014/main" id="{FDA3F09C-6E35-AA82-03BE-34C891C43A1B}"/>
            </a:ext>
          </a:extLst>
        </xdr:cNvPr>
        <xdr:cNvCxnSpPr/>
      </xdr:nvCxnSpPr>
      <xdr:spPr>
        <a:xfrm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1042" name="Match20">
          <a:extLst>
            <a:ext uri="{FF2B5EF4-FFF2-40B4-BE49-F238E27FC236}">
              <a16:creationId xmlns:a16="http://schemas.microsoft.com/office/drawing/2014/main" id="{B8DDA0FF-1BDB-1515-E9BA-BE7E82986FA0}"/>
            </a:ext>
          </a:extLst>
        </xdr:cNvPr>
        <xdr:cNvCxnSpPr/>
      </xdr:nvCxnSpPr>
      <xdr:spPr>
        <a:xfrm flipH="1"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4</xdr:row>
      <xdr:rowOff>203994</xdr:rowOff>
    </xdr:from>
    <xdr:to>
      <xdr:col>3</xdr:col>
      <xdr:colOff>237331</xdr:colOff>
      <xdr:row>5</xdr:row>
      <xdr:rowOff>203993</xdr:rowOff>
    </xdr:to>
    <xdr:cxnSp macro="">
      <xdr:nvCxnSpPr>
        <xdr:cNvPr id="1043" name="Match21">
          <a:extLst>
            <a:ext uri="{FF2B5EF4-FFF2-40B4-BE49-F238E27FC236}">
              <a16:creationId xmlns:a16="http://schemas.microsoft.com/office/drawing/2014/main" id="{FC3F1B91-E2E0-45A5-927C-4FB40F827944}"/>
            </a:ext>
          </a:extLst>
        </xdr:cNvPr>
        <xdr:cNvCxnSpPr/>
      </xdr:nvCxnSpPr>
      <xdr:spPr>
        <a:xfrm flipV="1">
          <a:off x="108505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7</xdr:col>
      <xdr:colOff>211931</xdr:colOff>
      <xdr:row>7</xdr:row>
      <xdr:rowOff>178593</xdr:rowOff>
    </xdr:to>
    <xdr:cxnSp macro="">
      <xdr:nvCxnSpPr>
        <xdr:cNvPr id="1044" name="Match22">
          <a:extLst>
            <a:ext uri="{FF2B5EF4-FFF2-40B4-BE49-F238E27FC236}">
              <a16:creationId xmlns:a16="http://schemas.microsoft.com/office/drawing/2014/main" id="{67E596DB-A6B2-4505-8E18-CBE10C8A0935}"/>
            </a:ext>
          </a:extLst>
        </xdr:cNvPr>
        <xdr:cNvCxnSpPr/>
      </xdr:nvCxnSpPr>
      <xdr:spPr>
        <a:xfrm>
          <a:off x="317896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0</xdr:col>
      <xdr:colOff>211931</xdr:colOff>
      <xdr:row>7</xdr:row>
      <xdr:rowOff>178593</xdr:rowOff>
    </xdr:to>
    <xdr:cxnSp macro="">
      <xdr:nvCxnSpPr>
        <xdr:cNvPr id="1045" name="Match23">
          <a:extLst>
            <a:ext uri="{FF2B5EF4-FFF2-40B4-BE49-F238E27FC236}">
              <a16:creationId xmlns:a16="http://schemas.microsoft.com/office/drawing/2014/main" id="{591E5349-9251-4C94-DFA6-92859C09EA71}"/>
            </a:ext>
          </a:extLst>
        </xdr:cNvPr>
        <xdr:cNvCxnSpPr/>
      </xdr:nvCxnSpPr>
      <xdr:spPr>
        <a:xfrm flipV="1">
          <a:off x="21193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6</xdr:row>
      <xdr:rowOff>203994</xdr:rowOff>
    </xdr:from>
    <xdr:to>
      <xdr:col>1</xdr:col>
      <xdr:colOff>237331</xdr:colOff>
      <xdr:row>7</xdr:row>
      <xdr:rowOff>203993</xdr:rowOff>
    </xdr:to>
    <xdr:cxnSp macro="">
      <xdr:nvCxnSpPr>
        <xdr:cNvPr id="1046" name="Match24">
          <a:extLst>
            <a:ext uri="{FF2B5EF4-FFF2-40B4-BE49-F238E27FC236}">
              <a16:creationId xmlns:a16="http://schemas.microsoft.com/office/drawing/2014/main" id="{126F5306-8996-17F7-9091-59EBF3A293BB}"/>
            </a:ext>
          </a:extLst>
        </xdr:cNvPr>
        <xdr:cNvCxnSpPr/>
      </xdr:nvCxnSpPr>
      <xdr:spPr>
        <a:xfrm flipV="1">
          <a:off x="23733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047" name="Match25">
          <a:extLst>
            <a:ext uri="{FF2B5EF4-FFF2-40B4-BE49-F238E27FC236}">
              <a16:creationId xmlns:a16="http://schemas.microsoft.com/office/drawing/2014/main" id="{C3A7890E-5EC5-605F-C2FC-F9CC2301017E}"/>
            </a:ext>
          </a:extLst>
        </xdr:cNvPr>
        <xdr:cNvCxnSpPr/>
      </xdr:nvCxnSpPr>
      <xdr:spPr>
        <a:xfrm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6</xdr:row>
      <xdr:rowOff>203994</xdr:rowOff>
    </xdr:from>
    <xdr:to>
      <xdr:col>2</xdr:col>
      <xdr:colOff>237331</xdr:colOff>
      <xdr:row>7</xdr:row>
      <xdr:rowOff>203993</xdr:rowOff>
    </xdr:to>
    <xdr:cxnSp macro="">
      <xdr:nvCxnSpPr>
        <xdr:cNvPr id="1048" name="Match26">
          <a:extLst>
            <a:ext uri="{FF2B5EF4-FFF2-40B4-BE49-F238E27FC236}">
              <a16:creationId xmlns:a16="http://schemas.microsoft.com/office/drawing/2014/main" id="{82470B0B-A8D8-A19D-D240-4D9567BDC3A5}"/>
            </a:ext>
          </a:extLst>
        </xdr:cNvPr>
        <xdr:cNvCxnSpPr/>
      </xdr:nvCxnSpPr>
      <xdr:spPr>
        <a:xfrm flipH="1" flipV="1">
          <a:off x="6611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049" name="Match27">
          <a:extLst>
            <a:ext uri="{FF2B5EF4-FFF2-40B4-BE49-F238E27FC236}">
              <a16:creationId xmlns:a16="http://schemas.microsoft.com/office/drawing/2014/main" id="{8B99C288-8791-2E20-53AA-2F49DD5F8823}"/>
            </a:ext>
          </a:extLst>
        </xdr:cNvPr>
        <xdr:cNvCxnSpPr/>
      </xdr:nvCxnSpPr>
      <xdr:spPr>
        <a:xfrm flipH="1">
          <a:off x="44505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8</xdr:row>
      <xdr:rowOff>178594</xdr:rowOff>
    </xdr:to>
    <xdr:cxnSp macro="">
      <xdr:nvCxnSpPr>
        <xdr:cNvPr id="1055" name="Match28">
          <a:extLst>
            <a:ext uri="{FF2B5EF4-FFF2-40B4-BE49-F238E27FC236}">
              <a16:creationId xmlns:a16="http://schemas.microsoft.com/office/drawing/2014/main" id="{BAA17B96-5D4B-2C91-3128-1438B166C6A4}"/>
            </a:ext>
          </a:extLst>
        </xdr:cNvPr>
        <xdr:cNvCxnSpPr/>
      </xdr:nvCxnSpPr>
      <xdr:spPr>
        <a:xfrm flipH="1">
          <a:off x="1483519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1056" name="Match29">
          <a:extLst>
            <a:ext uri="{FF2B5EF4-FFF2-40B4-BE49-F238E27FC236}">
              <a16:creationId xmlns:a16="http://schemas.microsoft.com/office/drawing/2014/main" id="{7F89C6D1-4D29-4C39-9A61-E485EF31A9B7}"/>
            </a:ext>
          </a:extLst>
        </xdr:cNvPr>
        <xdr:cNvCxnSpPr/>
      </xdr:nvCxnSpPr>
      <xdr:spPr>
        <a:xfrm flipV="1">
          <a:off x="10596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1057" name="Match30">
          <a:extLst>
            <a:ext uri="{FF2B5EF4-FFF2-40B4-BE49-F238E27FC236}">
              <a16:creationId xmlns:a16="http://schemas.microsoft.com/office/drawing/2014/main" id="{F1E5F1B5-ADE6-3C6A-C7A9-9DFD6DAFA7BA}"/>
            </a:ext>
          </a:extLst>
        </xdr:cNvPr>
        <xdr:cNvCxnSpPr/>
      </xdr:nvCxnSpPr>
      <xdr:spPr>
        <a:xfrm flipH="1" flipV="1">
          <a:off x="148351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061" name="Match31">
          <a:extLst>
            <a:ext uri="{FF2B5EF4-FFF2-40B4-BE49-F238E27FC236}">
              <a16:creationId xmlns:a16="http://schemas.microsoft.com/office/drawing/2014/main" id="{F80F58F9-7EC1-192A-38A4-7D5B1B327F4D}"/>
            </a:ext>
          </a:extLst>
        </xdr:cNvPr>
        <xdr:cNvCxnSpPr/>
      </xdr:nvCxnSpPr>
      <xdr:spPr>
        <a:xfrm flipV="1">
          <a:off x="487441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063" name="Match32">
          <a:extLst>
            <a:ext uri="{FF2B5EF4-FFF2-40B4-BE49-F238E27FC236}">
              <a16:creationId xmlns:a16="http://schemas.microsoft.com/office/drawing/2014/main" id="{99DEECC1-EE3F-1BA0-FB58-BB723D947DDC}"/>
            </a:ext>
          </a:extLst>
        </xdr:cNvPr>
        <xdr:cNvCxnSpPr/>
      </xdr:nvCxnSpPr>
      <xdr:spPr>
        <a:xfrm flipH="1">
          <a:off x="3178969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0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064" name="Match33">
          <a:extLst>
            <a:ext uri="{FF2B5EF4-FFF2-40B4-BE49-F238E27FC236}">
              <a16:creationId xmlns:a16="http://schemas.microsoft.com/office/drawing/2014/main" id="{DFCCC9B3-BA7C-DE5F-8D46-71CE99114500}"/>
            </a:ext>
          </a:extLst>
        </xdr:cNvPr>
        <xdr:cNvCxnSpPr/>
      </xdr:nvCxnSpPr>
      <xdr:spPr>
        <a:xfrm flipV="1">
          <a:off x="4874419" y="17859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1</xdr:row>
      <xdr:rowOff>229393</xdr:rowOff>
    </xdr:from>
    <xdr:to>
      <xdr:col>8</xdr:col>
      <xdr:colOff>262731</xdr:colOff>
      <xdr:row>7</xdr:row>
      <xdr:rowOff>229393</xdr:rowOff>
    </xdr:to>
    <xdr:cxnSp macro="">
      <xdr:nvCxnSpPr>
        <xdr:cNvPr id="1065" name="Match34">
          <a:extLst>
            <a:ext uri="{FF2B5EF4-FFF2-40B4-BE49-F238E27FC236}">
              <a16:creationId xmlns:a16="http://schemas.microsoft.com/office/drawing/2014/main" id="{26079DD3-C0EA-6FAF-06DB-275F1D283D23}"/>
            </a:ext>
          </a:extLst>
        </xdr:cNvPr>
        <xdr:cNvCxnSpPr/>
      </xdr:nvCxnSpPr>
      <xdr:spPr>
        <a:xfrm flipV="1">
          <a:off x="1110456" y="586581"/>
          <a:ext cx="2543175" cy="214312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9</xdr:col>
      <xdr:colOff>211931</xdr:colOff>
      <xdr:row>4</xdr:row>
      <xdr:rowOff>178594</xdr:rowOff>
    </xdr:to>
    <xdr:cxnSp macro="">
      <xdr:nvCxnSpPr>
        <xdr:cNvPr id="1066" name="Match35">
          <a:extLst>
            <a:ext uri="{FF2B5EF4-FFF2-40B4-BE49-F238E27FC236}">
              <a16:creationId xmlns:a16="http://schemas.microsoft.com/office/drawing/2014/main" id="{35A5F8EF-3CE4-04D2-585F-BBFC8DED1CEB}"/>
            </a:ext>
          </a:extLst>
        </xdr:cNvPr>
        <xdr:cNvCxnSpPr/>
      </xdr:nvCxnSpPr>
      <xdr:spPr>
        <a:xfrm>
          <a:off x="2755106" y="1607344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0</xdr:row>
      <xdr:rowOff>178594</xdr:rowOff>
    </xdr:to>
    <xdr:cxnSp macro="">
      <xdr:nvCxnSpPr>
        <xdr:cNvPr id="1067" name="Match36">
          <a:extLst>
            <a:ext uri="{FF2B5EF4-FFF2-40B4-BE49-F238E27FC236}">
              <a16:creationId xmlns:a16="http://schemas.microsoft.com/office/drawing/2014/main" id="{1412048C-2700-CBE0-4449-6834C4BEC527}"/>
            </a:ext>
          </a:extLst>
        </xdr:cNvPr>
        <xdr:cNvCxnSpPr/>
      </xdr:nvCxnSpPr>
      <xdr:spPr>
        <a:xfrm>
          <a:off x="6357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068" name="Match37">
          <a:extLst>
            <a:ext uri="{FF2B5EF4-FFF2-40B4-BE49-F238E27FC236}">
              <a16:creationId xmlns:a16="http://schemas.microsoft.com/office/drawing/2014/main" id="{372570F4-1CAF-83CE-20E0-BAAB2F250D3A}"/>
            </a:ext>
          </a:extLst>
        </xdr:cNvPr>
        <xdr:cNvCxnSpPr/>
      </xdr:nvCxnSpPr>
      <xdr:spPr>
        <a:xfrm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1069" name="Match38">
          <a:extLst>
            <a:ext uri="{FF2B5EF4-FFF2-40B4-BE49-F238E27FC236}">
              <a16:creationId xmlns:a16="http://schemas.microsoft.com/office/drawing/2014/main" id="{16A50640-3F0C-8EC5-CC6F-25FDE9FD7A85}"/>
            </a:ext>
          </a:extLst>
        </xdr:cNvPr>
        <xdr:cNvCxnSpPr/>
      </xdr:nvCxnSpPr>
      <xdr:spPr>
        <a:xfrm flipH="1">
          <a:off x="44505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070" name="Match39">
          <a:extLst>
            <a:ext uri="{FF2B5EF4-FFF2-40B4-BE49-F238E27FC236}">
              <a16:creationId xmlns:a16="http://schemas.microsoft.com/office/drawing/2014/main" id="{75EE5FAC-0986-87BC-8E1F-9B0EA6C7B41B}"/>
            </a:ext>
          </a:extLst>
        </xdr:cNvPr>
        <xdr:cNvCxnSpPr/>
      </xdr:nvCxnSpPr>
      <xdr:spPr>
        <a:xfrm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071" name="Match40">
          <a:extLst>
            <a:ext uri="{FF2B5EF4-FFF2-40B4-BE49-F238E27FC236}">
              <a16:creationId xmlns:a16="http://schemas.microsoft.com/office/drawing/2014/main" id="{2920E9B5-51AD-4D1D-FFFA-BB37377EE722}"/>
            </a:ext>
          </a:extLst>
        </xdr:cNvPr>
        <xdr:cNvCxnSpPr/>
      </xdr:nvCxnSpPr>
      <xdr:spPr>
        <a:xfrm flipV="1">
          <a:off x="44505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072" name="Match41">
          <a:extLst>
            <a:ext uri="{FF2B5EF4-FFF2-40B4-BE49-F238E27FC236}">
              <a16:creationId xmlns:a16="http://schemas.microsoft.com/office/drawing/2014/main" id="{36529893-170F-D96E-C369-ACF320B52589}"/>
            </a:ext>
          </a:extLst>
        </xdr:cNvPr>
        <xdr:cNvCxnSpPr/>
      </xdr:nvCxnSpPr>
      <xdr:spPr>
        <a:xfrm>
          <a:off x="233124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073" name="Match42">
          <a:extLst>
            <a:ext uri="{FF2B5EF4-FFF2-40B4-BE49-F238E27FC236}">
              <a16:creationId xmlns:a16="http://schemas.microsoft.com/office/drawing/2014/main" id="{B9BAFD9F-B87A-3C3B-4CFF-4661E20D1A7B}"/>
            </a:ext>
          </a:extLst>
        </xdr:cNvPr>
        <xdr:cNvCxnSpPr/>
      </xdr:nvCxnSpPr>
      <xdr:spPr>
        <a:xfrm flipH="1">
          <a:off x="190738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1074" name="Match43">
          <a:extLst>
            <a:ext uri="{FF2B5EF4-FFF2-40B4-BE49-F238E27FC236}">
              <a16:creationId xmlns:a16="http://schemas.microsoft.com/office/drawing/2014/main" id="{A98C17C2-9B83-3921-9967-56688D9D5ACB}"/>
            </a:ext>
          </a:extLst>
        </xdr:cNvPr>
        <xdr:cNvCxnSpPr/>
      </xdr:nvCxnSpPr>
      <xdr:spPr>
        <a:xfrm flipV="1">
          <a:off x="235664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5</xdr:row>
      <xdr:rowOff>178593</xdr:rowOff>
    </xdr:to>
    <xdr:cxnSp macro="">
      <xdr:nvCxnSpPr>
        <xdr:cNvPr id="1075" name="Match44">
          <a:extLst>
            <a:ext uri="{FF2B5EF4-FFF2-40B4-BE49-F238E27FC236}">
              <a16:creationId xmlns:a16="http://schemas.microsoft.com/office/drawing/2014/main" id="{E0CE2EEC-E4EC-A3E9-1C55-92F68CF5D06D}"/>
            </a:ext>
          </a:extLst>
        </xdr:cNvPr>
        <xdr:cNvCxnSpPr/>
      </xdr:nvCxnSpPr>
      <xdr:spPr>
        <a:xfrm flipH="1">
          <a:off x="36028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1076" name="Match45">
          <a:extLst>
            <a:ext uri="{FF2B5EF4-FFF2-40B4-BE49-F238E27FC236}">
              <a16:creationId xmlns:a16="http://schemas.microsoft.com/office/drawing/2014/main" id="{95AB3CD3-62F8-B7E8-F422-2FD5C4D159F8}"/>
            </a:ext>
          </a:extLst>
        </xdr:cNvPr>
        <xdr:cNvCxnSpPr/>
      </xdr:nvCxnSpPr>
      <xdr:spPr>
        <a:xfrm flipH="1" flipV="1">
          <a:off x="190738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077" name="Match46">
          <a:extLst>
            <a:ext uri="{FF2B5EF4-FFF2-40B4-BE49-F238E27FC236}">
              <a16:creationId xmlns:a16="http://schemas.microsoft.com/office/drawing/2014/main" id="{551C03AB-5050-8186-D2ED-0251D32E0BAF}"/>
            </a:ext>
          </a:extLst>
        </xdr:cNvPr>
        <xdr:cNvCxnSpPr/>
      </xdr:nvCxnSpPr>
      <xdr:spPr>
        <a:xfrm flipV="1"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078" name="Match47">
          <a:extLst>
            <a:ext uri="{FF2B5EF4-FFF2-40B4-BE49-F238E27FC236}">
              <a16:creationId xmlns:a16="http://schemas.microsoft.com/office/drawing/2014/main" id="{CE5FF5B0-E8B3-FBA6-6433-8D28817FA0DF}"/>
            </a:ext>
          </a:extLst>
        </xdr:cNvPr>
        <xdr:cNvCxnSpPr/>
      </xdr:nvCxnSpPr>
      <xdr:spPr>
        <a:xfrm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10</xdr:row>
      <xdr:rowOff>203994</xdr:rowOff>
    </xdr:from>
    <xdr:to>
      <xdr:col>10</xdr:col>
      <xdr:colOff>237331</xdr:colOff>
      <xdr:row>11</xdr:row>
      <xdr:rowOff>203993</xdr:rowOff>
    </xdr:to>
    <xdr:cxnSp macro="">
      <xdr:nvCxnSpPr>
        <xdr:cNvPr id="1079" name="Match48">
          <a:extLst>
            <a:ext uri="{FF2B5EF4-FFF2-40B4-BE49-F238E27FC236}">
              <a16:creationId xmlns:a16="http://schemas.microsoft.com/office/drawing/2014/main" id="{AD551EC8-50FE-21A6-D6DA-44654B39101C}"/>
            </a:ext>
          </a:extLst>
        </xdr:cNvPr>
        <xdr:cNvCxnSpPr/>
      </xdr:nvCxnSpPr>
      <xdr:spPr>
        <a:xfrm flipH="1">
          <a:off x="405209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1080" name="Match49">
          <a:extLst>
            <a:ext uri="{FF2B5EF4-FFF2-40B4-BE49-F238E27FC236}">
              <a16:creationId xmlns:a16="http://schemas.microsoft.com/office/drawing/2014/main" id="{D85CE2EE-11F2-C3E3-7666-0BDD688C7D7F}"/>
            </a:ext>
          </a:extLst>
        </xdr:cNvPr>
        <xdr:cNvCxnSpPr/>
      </xdr:nvCxnSpPr>
      <xdr:spPr>
        <a:xfrm flipH="1">
          <a:off x="211931" y="3750469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081" name="Match50">
          <a:extLst>
            <a:ext uri="{FF2B5EF4-FFF2-40B4-BE49-F238E27FC236}">
              <a16:creationId xmlns:a16="http://schemas.microsoft.com/office/drawing/2014/main" id="{130983A4-E599-28DD-2018-FC613751526F}"/>
            </a:ext>
          </a:extLst>
        </xdr:cNvPr>
        <xdr:cNvCxnSpPr/>
      </xdr:nvCxnSpPr>
      <xdr:spPr>
        <a:xfrm flipH="1">
          <a:off x="3178969" y="232171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082" name="Match51">
          <a:extLst>
            <a:ext uri="{FF2B5EF4-FFF2-40B4-BE49-F238E27FC236}">
              <a16:creationId xmlns:a16="http://schemas.microsoft.com/office/drawing/2014/main" id="{D2E5AF86-F947-0583-F7DF-4EDE14CB0CC2}"/>
            </a:ext>
          </a:extLst>
        </xdr:cNvPr>
        <xdr:cNvCxnSpPr/>
      </xdr:nvCxnSpPr>
      <xdr:spPr>
        <a:xfrm>
          <a:off x="3178969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1083" name="Match52">
          <a:extLst>
            <a:ext uri="{FF2B5EF4-FFF2-40B4-BE49-F238E27FC236}">
              <a16:creationId xmlns:a16="http://schemas.microsoft.com/office/drawing/2014/main" id="{779B5D57-5361-0D38-3F09-FA995613A801}"/>
            </a:ext>
          </a:extLst>
        </xdr:cNvPr>
        <xdr:cNvCxnSpPr/>
      </xdr:nvCxnSpPr>
      <xdr:spPr>
        <a:xfrm>
          <a:off x="1483519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084" name="Match53">
          <a:extLst>
            <a:ext uri="{FF2B5EF4-FFF2-40B4-BE49-F238E27FC236}">
              <a16:creationId xmlns:a16="http://schemas.microsoft.com/office/drawing/2014/main" id="{40F14F6D-69DB-BBD1-2C1B-071C64786DBD}"/>
            </a:ext>
          </a:extLst>
        </xdr:cNvPr>
        <xdr:cNvCxnSpPr/>
      </xdr:nvCxnSpPr>
      <xdr:spPr>
        <a:xfrm flipV="1">
          <a:off x="4450556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085" name="Match54">
          <a:extLst>
            <a:ext uri="{FF2B5EF4-FFF2-40B4-BE49-F238E27FC236}">
              <a16:creationId xmlns:a16="http://schemas.microsoft.com/office/drawing/2014/main" id="{B5FAFB11-20F2-FFF9-92CC-071EA2059FD5}"/>
            </a:ext>
          </a:extLst>
        </xdr:cNvPr>
        <xdr:cNvCxnSpPr/>
      </xdr:nvCxnSpPr>
      <xdr:spPr>
        <a:xfrm>
          <a:off x="1907381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086" name="Match55">
          <a:extLst>
            <a:ext uri="{FF2B5EF4-FFF2-40B4-BE49-F238E27FC236}">
              <a16:creationId xmlns:a16="http://schemas.microsoft.com/office/drawing/2014/main" id="{C9021A7E-9DDD-C0F8-1389-8A2CA556C0B2}"/>
            </a:ext>
          </a:extLst>
        </xdr:cNvPr>
        <xdr:cNvCxnSpPr/>
      </xdr:nvCxnSpPr>
      <xdr:spPr>
        <a:xfrm flipH="1">
          <a:off x="317896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8</xdr:col>
      <xdr:colOff>237331</xdr:colOff>
      <xdr:row>3</xdr:row>
      <xdr:rowOff>203993</xdr:rowOff>
    </xdr:to>
    <xdr:cxnSp macro="">
      <xdr:nvCxnSpPr>
        <xdr:cNvPr id="1087" name="Match56">
          <a:extLst>
            <a:ext uri="{FF2B5EF4-FFF2-40B4-BE49-F238E27FC236}">
              <a16:creationId xmlns:a16="http://schemas.microsoft.com/office/drawing/2014/main" id="{3609E306-F4EF-BEF2-9D7A-CA7D51376CB8}"/>
            </a:ext>
          </a:extLst>
        </xdr:cNvPr>
        <xdr:cNvCxnSpPr/>
      </xdr:nvCxnSpPr>
      <xdr:spPr>
        <a:xfrm flipH="1" flipV="1">
          <a:off x="3204369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088" name="Match57">
          <a:extLst>
            <a:ext uri="{FF2B5EF4-FFF2-40B4-BE49-F238E27FC236}">
              <a16:creationId xmlns:a16="http://schemas.microsoft.com/office/drawing/2014/main" id="{3B038E5A-17F1-8AE1-837E-3A4EFCD93506}"/>
            </a:ext>
          </a:extLst>
        </xdr:cNvPr>
        <xdr:cNvCxnSpPr/>
      </xdr:nvCxnSpPr>
      <xdr:spPr>
        <a:xfrm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089" name="Match58">
          <a:extLst>
            <a:ext uri="{FF2B5EF4-FFF2-40B4-BE49-F238E27FC236}">
              <a16:creationId xmlns:a16="http://schemas.microsoft.com/office/drawing/2014/main" id="{210CA4A8-1850-7A62-4817-AEE70F2B36B5}"/>
            </a:ext>
          </a:extLst>
        </xdr:cNvPr>
        <xdr:cNvCxnSpPr/>
      </xdr:nvCxnSpPr>
      <xdr:spPr>
        <a:xfrm>
          <a:off x="190738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4</xdr:col>
      <xdr:colOff>237331</xdr:colOff>
      <xdr:row>5</xdr:row>
      <xdr:rowOff>203993</xdr:rowOff>
    </xdr:to>
    <xdr:cxnSp macro="">
      <xdr:nvCxnSpPr>
        <xdr:cNvPr id="1090" name="Match59">
          <a:extLst>
            <a:ext uri="{FF2B5EF4-FFF2-40B4-BE49-F238E27FC236}">
              <a16:creationId xmlns:a16="http://schemas.microsoft.com/office/drawing/2014/main" id="{D03AFBC1-E588-3074-3A2E-ADBA7D24BDE1}"/>
            </a:ext>
          </a:extLst>
        </xdr:cNvPr>
        <xdr:cNvCxnSpPr/>
      </xdr:nvCxnSpPr>
      <xdr:spPr>
        <a:xfrm flipH="1">
          <a:off x="1508919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091" name="Match60">
          <a:extLst>
            <a:ext uri="{FF2B5EF4-FFF2-40B4-BE49-F238E27FC236}">
              <a16:creationId xmlns:a16="http://schemas.microsoft.com/office/drawing/2014/main" id="{07D7834A-420F-1E6D-CA29-5A0EC011063A}"/>
            </a:ext>
          </a:extLst>
        </xdr:cNvPr>
        <xdr:cNvCxnSpPr/>
      </xdr:nvCxnSpPr>
      <xdr:spPr>
        <a:xfrm>
          <a:off x="148351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6</xdr:row>
      <xdr:rowOff>203994</xdr:rowOff>
    </xdr:from>
    <xdr:to>
      <xdr:col>3</xdr:col>
      <xdr:colOff>237331</xdr:colOff>
      <xdr:row>7</xdr:row>
      <xdr:rowOff>203993</xdr:rowOff>
    </xdr:to>
    <xdr:cxnSp macro="">
      <xdr:nvCxnSpPr>
        <xdr:cNvPr id="1092" name="Match61">
          <a:extLst>
            <a:ext uri="{FF2B5EF4-FFF2-40B4-BE49-F238E27FC236}">
              <a16:creationId xmlns:a16="http://schemas.microsoft.com/office/drawing/2014/main" id="{9C157F97-C40B-599A-B399-1A7638BE4924}"/>
            </a:ext>
          </a:extLst>
        </xdr:cNvPr>
        <xdr:cNvCxnSpPr/>
      </xdr:nvCxnSpPr>
      <xdr:spPr>
        <a:xfrm>
          <a:off x="150891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5</xdr:row>
      <xdr:rowOff>229393</xdr:rowOff>
    </xdr:from>
    <xdr:to>
      <xdr:col>3</xdr:col>
      <xdr:colOff>262731</xdr:colOff>
      <xdr:row>6</xdr:row>
      <xdr:rowOff>229394</xdr:rowOff>
    </xdr:to>
    <xdr:cxnSp macro="">
      <xdr:nvCxnSpPr>
        <xdr:cNvPr id="1093" name="Match62">
          <a:extLst>
            <a:ext uri="{FF2B5EF4-FFF2-40B4-BE49-F238E27FC236}">
              <a16:creationId xmlns:a16="http://schemas.microsoft.com/office/drawing/2014/main" id="{3200103A-F796-A1BD-D42D-CCFE37048206}"/>
            </a:ext>
          </a:extLst>
        </xdr:cNvPr>
        <xdr:cNvCxnSpPr/>
      </xdr:nvCxnSpPr>
      <xdr:spPr>
        <a:xfrm flipV="1">
          <a:off x="1534319" y="201533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094" name="Match63">
          <a:extLst>
            <a:ext uri="{FF2B5EF4-FFF2-40B4-BE49-F238E27FC236}">
              <a16:creationId xmlns:a16="http://schemas.microsoft.com/office/drawing/2014/main" id="{C6621965-CADC-D6F0-65A2-08E4A17F4C60}"/>
            </a:ext>
          </a:extLst>
        </xdr:cNvPr>
        <xdr:cNvCxnSpPr/>
      </xdr:nvCxnSpPr>
      <xdr:spPr>
        <a:xfrm flipH="1">
          <a:off x="190738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095" name="Match64">
          <a:extLst>
            <a:ext uri="{FF2B5EF4-FFF2-40B4-BE49-F238E27FC236}">
              <a16:creationId xmlns:a16="http://schemas.microsoft.com/office/drawing/2014/main" id="{45858B25-AA73-C1AF-C4E0-96ADC95A98C7}"/>
            </a:ext>
          </a:extLst>
        </xdr:cNvPr>
        <xdr:cNvCxnSpPr/>
      </xdr:nvCxnSpPr>
      <xdr:spPr>
        <a:xfrm flipV="1">
          <a:off x="360283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1096" name="Match65">
          <a:extLst>
            <a:ext uri="{FF2B5EF4-FFF2-40B4-BE49-F238E27FC236}">
              <a16:creationId xmlns:a16="http://schemas.microsoft.com/office/drawing/2014/main" id="{401A0844-7AE2-0824-1C88-C064EB8C841E}"/>
            </a:ext>
          </a:extLst>
        </xdr:cNvPr>
        <xdr:cNvCxnSpPr/>
      </xdr:nvCxnSpPr>
      <xdr:spPr>
        <a:xfrm flipH="1" flipV="1">
          <a:off x="36028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097" name="Match66">
          <a:extLst>
            <a:ext uri="{FF2B5EF4-FFF2-40B4-BE49-F238E27FC236}">
              <a16:creationId xmlns:a16="http://schemas.microsoft.com/office/drawing/2014/main" id="{3E3BDE90-EC27-A1DF-8101-036B4D626CC9}"/>
            </a:ext>
          </a:extLst>
        </xdr:cNvPr>
        <xdr:cNvCxnSpPr/>
      </xdr:nvCxnSpPr>
      <xdr:spPr>
        <a:xfrm>
          <a:off x="275510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098" name="Match67">
          <a:extLst>
            <a:ext uri="{FF2B5EF4-FFF2-40B4-BE49-F238E27FC236}">
              <a16:creationId xmlns:a16="http://schemas.microsoft.com/office/drawing/2014/main" id="{29BDC24B-F2C0-974F-D28A-0645C6F459C1}"/>
            </a:ext>
          </a:extLst>
        </xdr:cNvPr>
        <xdr:cNvCxnSpPr/>
      </xdr:nvCxnSpPr>
      <xdr:spPr>
        <a:xfrm flipH="1" flipV="1">
          <a:off x="36028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10</xdr:row>
      <xdr:rowOff>203994</xdr:rowOff>
    </xdr:from>
    <xdr:to>
      <xdr:col>5</xdr:col>
      <xdr:colOff>237331</xdr:colOff>
      <xdr:row>11</xdr:row>
      <xdr:rowOff>203993</xdr:rowOff>
    </xdr:to>
    <xdr:cxnSp macro="">
      <xdr:nvCxnSpPr>
        <xdr:cNvPr id="1099" name="Match68">
          <a:extLst>
            <a:ext uri="{FF2B5EF4-FFF2-40B4-BE49-F238E27FC236}">
              <a16:creationId xmlns:a16="http://schemas.microsoft.com/office/drawing/2014/main" id="{52A96C54-9C4C-AB78-24AA-DE094D641DCA}"/>
            </a:ext>
          </a:extLst>
        </xdr:cNvPr>
        <xdr:cNvCxnSpPr/>
      </xdr:nvCxnSpPr>
      <xdr:spPr>
        <a:xfrm>
          <a:off x="2356644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100" name="Match69">
          <a:extLst>
            <a:ext uri="{FF2B5EF4-FFF2-40B4-BE49-F238E27FC236}">
              <a16:creationId xmlns:a16="http://schemas.microsoft.com/office/drawing/2014/main" id="{89B6E8C7-580F-92D2-DFD1-93EB3F284EBD}"/>
            </a:ext>
          </a:extLst>
        </xdr:cNvPr>
        <xdr:cNvCxnSpPr/>
      </xdr:nvCxnSpPr>
      <xdr:spPr>
        <a:xfrm flipH="1">
          <a:off x="233124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9</xdr:row>
      <xdr:rowOff>203993</xdr:rowOff>
    </xdr:from>
    <xdr:to>
      <xdr:col>7</xdr:col>
      <xdr:colOff>237331</xdr:colOff>
      <xdr:row>10</xdr:row>
      <xdr:rowOff>203994</xdr:rowOff>
    </xdr:to>
    <xdr:cxnSp macro="">
      <xdr:nvCxnSpPr>
        <xdr:cNvPr id="1101" name="Match70">
          <a:extLst>
            <a:ext uri="{FF2B5EF4-FFF2-40B4-BE49-F238E27FC236}">
              <a16:creationId xmlns:a16="http://schemas.microsoft.com/office/drawing/2014/main" id="{6FD3FD01-4E1B-2FCB-208C-EEEB1063169C}"/>
            </a:ext>
          </a:extLst>
        </xdr:cNvPr>
        <xdr:cNvCxnSpPr/>
      </xdr:nvCxnSpPr>
      <xdr:spPr>
        <a:xfrm flipV="1">
          <a:off x="2780506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11</xdr:row>
      <xdr:rowOff>203993</xdr:rowOff>
    </xdr:from>
    <xdr:to>
      <xdr:col>11</xdr:col>
      <xdr:colOff>237331</xdr:colOff>
      <xdr:row>11</xdr:row>
      <xdr:rowOff>203993</xdr:rowOff>
    </xdr:to>
    <xdr:cxnSp macro="">
      <xdr:nvCxnSpPr>
        <xdr:cNvPr id="1102" name="Match71">
          <a:extLst>
            <a:ext uri="{FF2B5EF4-FFF2-40B4-BE49-F238E27FC236}">
              <a16:creationId xmlns:a16="http://schemas.microsoft.com/office/drawing/2014/main" id="{F4B8BFB2-DB5D-D4AB-1CCA-D7F082B15B02}"/>
            </a:ext>
          </a:extLst>
        </xdr:cNvPr>
        <xdr:cNvCxnSpPr/>
      </xdr:nvCxnSpPr>
      <xdr:spPr>
        <a:xfrm>
          <a:off x="4475956" y="41330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11</xdr:row>
      <xdr:rowOff>229393</xdr:rowOff>
    </xdr:from>
    <xdr:to>
      <xdr:col>10</xdr:col>
      <xdr:colOff>262731</xdr:colOff>
      <xdr:row>11</xdr:row>
      <xdr:rowOff>229393</xdr:rowOff>
    </xdr:to>
    <xdr:cxnSp macro="">
      <xdr:nvCxnSpPr>
        <xdr:cNvPr id="1103" name="Match72">
          <a:extLst>
            <a:ext uri="{FF2B5EF4-FFF2-40B4-BE49-F238E27FC236}">
              <a16:creationId xmlns:a16="http://schemas.microsoft.com/office/drawing/2014/main" id="{1EA8EA5E-DE25-F2AD-1703-00319590BA88}"/>
            </a:ext>
          </a:extLst>
        </xdr:cNvPr>
        <xdr:cNvCxnSpPr/>
      </xdr:nvCxnSpPr>
      <xdr:spPr>
        <a:xfrm flipH="1">
          <a:off x="4077494" y="4158456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CCD480E7-A4EE-4D52-9C65-AC9D00A1E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I12" sqref="I1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4</v>
      </c>
      <c r="B1" s="23">
        <v>5</v>
      </c>
      <c r="C1" s="23">
        <v>9</v>
      </c>
      <c r="D1" s="26">
        <v>4</v>
      </c>
      <c r="E1" s="26">
        <v>5</v>
      </c>
      <c r="F1" s="26">
        <v>1</v>
      </c>
      <c r="G1" s="26">
        <v>5</v>
      </c>
      <c r="H1" s="23">
        <v>6</v>
      </c>
      <c r="I1" s="26">
        <v>2</v>
      </c>
      <c r="J1" s="23">
        <v>1</v>
      </c>
      <c r="K1" s="23">
        <v>1</v>
      </c>
      <c r="L1" s="22">
        <v>3</v>
      </c>
      <c r="N1" s="2">
        <v>256</v>
      </c>
      <c r="O1" s="1">
        <v>1</v>
      </c>
    </row>
    <row r="2" spans="1:15" ht="28.25" customHeight="1">
      <c r="A2" s="23">
        <v>4</v>
      </c>
      <c r="B2" s="22">
        <v>1</v>
      </c>
      <c r="C2" s="26">
        <v>3</v>
      </c>
      <c r="D2" s="26">
        <v>6</v>
      </c>
      <c r="E2" s="26">
        <v>2</v>
      </c>
      <c r="F2" s="26">
        <v>8</v>
      </c>
      <c r="G2" s="23">
        <v>5</v>
      </c>
      <c r="H2" s="26">
        <v>3</v>
      </c>
      <c r="I2" s="22">
        <v>4</v>
      </c>
      <c r="J2" s="23">
        <v>7</v>
      </c>
      <c r="K2" s="23">
        <v>7</v>
      </c>
      <c r="L2" s="22">
        <v>5</v>
      </c>
      <c r="N2" s="2">
        <v>9134346</v>
      </c>
      <c r="O2" s="1">
        <v>1</v>
      </c>
    </row>
    <row r="3" spans="1:15" ht="28.25" customHeight="1">
      <c r="A3" s="23">
        <v>7</v>
      </c>
      <c r="B3" s="26">
        <v>8</v>
      </c>
      <c r="C3" s="22">
        <v>1</v>
      </c>
      <c r="D3" s="22">
        <v>6</v>
      </c>
      <c r="E3" s="22">
        <v>4</v>
      </c>
      <c r="F3" s="22">
        <v>4</v>
      </c>
      <c r="G3" s="22">
        <v>2</v>
      </c>
      <c r="H3" s="22">
        <v>9</v>
      </c>
      <c r="I3" s="23">
        <v>4</v>
      </c>
      <c r="J3" s="23">
        <v>4</v>
      </c>
      <c r="K3" s="23">
        <v>9</v>
      </c>
      <c r="L3" s="22">
        <v>7</v>
      </c>
      <c r="N3" s="2">
        <v>11</v>
      </c>
      <c r="O3" s="1">
        <v>12</v>
      </c>
    </row>
    <row r="4" spans="1:15" ht="28.25" customHeight="1">
      <c r="A4" s="26">
        <v>2</v>
      </c>
      <c r="B4" s="26">
        <v>8</v>
      </c>
      <c r="C4" s="23">
        <v>4</v>
      </c>
      <c r="D4" s="26">
        <v>6</v>
      </c>
      <c r="E4" s="26">
        <v>3</v>
      </c>
      <c r="F4" s="22">
        <v>5</v>
      </c>
      <c r="G4" s="22">
        <v>4</v>
      </c>
      <c r="H4" s="26">
        <v>3</v>
      </c>
      <c r="I4" s="23">
        <v>8</v>
      </c>
      <c r="J4" s="26">
        <v>4</v>
      </c>
      <c r="K4" s="23">
        <v>5</v>
      </c>
      <c r="L4" s="22">
        <v>3</v>
      </c>
      <c r="N4" s="2">
        <v>47</v>
      </c>
      <c r="O4" s="1">
        <v>18</v>
      </c>
    </row>
    <row r="5" spans="1:15" ht="28.25" customHeight="1">
      <c r="A5" s="26">
        <v>4</v>
      </c>
      <c r="B5" s="26">
        <v>1</v>
      </c>
      <c r="C5" s="23">
        <v>8</v>
      </c>
      <c r="D5" s="23">
        <v>7</v>
      </c>
      <c r="E5" s="22">
        <v>6</v>
      </c>
      <c r="F5" s="22">
        <v>5</v>
      </c>
      <c r="G5" s="22">
        <v>9</v>
      </c>
      <c r="H5" s="22">
        <v>9</v>
      </c>
      <c r="I5" s="22">
        <v>2</v>
      </c>
      <c r="J5" s="22">
        <v>3</v>
      </c>
      <c r="K5" s="26">
        <v>2</v>
      </c>
      <c r="L5" s="22">
        <v>4</v>
      </c>
      <c r="N5" s="2">
        <v>41836</v>
      </c>
      <c r="O5" s="1">
        <v>1</v>
      </c>
    </row>
    <row r="6" spans="1:15" ht="28.25" customHeight="1">
      <c r="A6" s="26">
        <v>3</v>
      </c>
      <c r="B6" s="26">
        <v>6</v>
      </c>
      <c r="C6" s="23">
        <v>4</v>
      </c>
      <c r="D6" s="23">
        <v>9</v>
      </c>
      <c r="E6" s="22">
        <v>8</v>
      </c>
      <c r="F6" s="23">
        <v>5</v>
      </c>
      <c r="G6" s="26">
        <v>6</v>
      </c>
      <c r="H6" s="26">
        <v>4</v>
      </c>
      <c r="I6" s="23">
        <v>9</v>
      </c>
      <c r="J6" s="23">
        <v>5</v>
      </c>
      <c r="K6" s="22">
        <v>1</v>
      </c>
      <c r="L6" s="26">
        <v>5</v>
      </c>
      <c r="N6" s="2">
        <v>3753</v>
      </c>
      <c r="O6" s="1">
        <v>1</v>
      </c>
    </row>
    <row r="7" spans="1:15" ht="28.25" customHeight="1">
      <c r="A7" s="23">
        <v>7</v>
      </c>
      <c r="B7" s="23">
        <v>7</v>
      </c>
      <c r="C7" s="26">
        <v>6</v>
      </c>
      <c r="D7" s="22">
        <v>8</v>
      </c>
      <c r="E7" s="23">
        <v>9</v>
      </c>
      <c r="F7" s="23">
        <v>8</v>
      </c>
      <c r="G7" s="23">
        <v>1</v>
      </c>
      <c r="H7" s="22">
        <v>4</v>
      </c>
      <c r="I7" s="23">
        <v>8</v>
      </c>
      <c r="J7" s="22">
        <v>8</v>
      </c>
      <c r="K7" s="26">
        <v>8</v>
      </c>
      <c r="L7" s="22">
        <v>5</v>
      </c>
      <c r="N7" s="2">
        <v>4885494</v>
      </c>
      <c r="O7" s="1">
        <v>1</v>
      </c>
    </row>
    <row r="8" spans="1:15" ht="28.25" customHeight="1">
      <c r="A8" s="23">
        <v>4</v>
      </c>
      <c r="B8" s="26">
        <v>8</v>
      </c>
      <c r="C8" s="22">
        <v>4</v>
      </c>
      <c r="D8" s="22">
        <v>9</v>
      </c>
      <c r="E8" s="26">
        <v>1</v>
      </c>
      <c r="F8" s="23">
        <v>5</v>
      </c>
      <c r="G8" s="23">
        <v>1</v>
      </c>
      <c r="H8" s="22">
        <v>7</v>
      </c>
      <c r="I8" s="22">
        <v>3</v>
      </c>
      <c r="J8" s="26">
        <v>2</v>
      </c>
      <c r="K8" s="22">
        <v>6</v>
      </c>
      <c r="L8" s="23">
        <v>4</v>
      </c>
      <c r="N8" s="2">
        <v>9923</v>
      </c>
      <c r="O8" s="1">
        <v>1</v>
      </c>
    </row>
    <row r="9" spans="1:15" ht="28.25" customHeight="1">
      <c r="A9" s="26">
        <v>3</v>
      </c>
      <c r="B9" s="26">
        <v>8</v>
      </c>
      <c r="C9" s="22">
        <v>5</v>
      </c>
      <c r="D9" s="23">
        <v>7</v>
      </c>
      <c r="E9" s="23">
        <v>4</v>
      </c>
      <c r="F9" s="26">
        <v>8</v>
      </c>
      <c r="G9" s="23">
        <v>8</v>
      </c>
      <c r="H9" s="22">
        <v>6</v>
      </c>
      <c r="I9" s="23">
        <v>9</v>
      </c>
      <c r="J9" s="22">
        <v>1</v>
      </c>
      <c r="K9" s="23">
        <v>7</v>
      </c>
      <c r="L9" s="26">
        <v>5</v>
      </c>
      <c r="N9" s="2">
        <v>59</v>
      </c>
      <c r="O9" s="1">
        <v>13</v>
      </c>
    </row>
    <row r="10" spans="1:15" ht="28.25" customHeight="1">
      <c r="A10" s="26">
        <v>5</v>
      </c>
      <c r="B10" s="22">
        <v>6</v>
      </c>
      <c r="C10" s="22">
        <v>4</v>
      </c>
      <c r="D10" s="22">
        <v>3</v>
      </c>
      <c r="E10" s="22">
        <v>4</v>
      </c>
      <c r="F10" s="22">
        <v>3</v>
      </c>
      <c r="G10" s="22">
        <v>1</v>
      </c>
      <c r="H10" s="22">
        <v>9</v>
      </c>
      <c r="I10" s="22">
        <v>6</v>
      </c>
      <c r="J10" s="23">
        <v>8</v>
      </c>
      <c r="K10" s="22">
        <v>1</v>
      </c>
      <c r="L10" s="23">
        <v>7</v>
      </c>
      <c r="N10" s="2">
        <v>816366</v>
      </c>
      <c r="O10" s="1">
        <v>1</v>
      </c>
    </row>
    <row r="11" spans="1:15" ht="28.25" customHeight="1">
      <c r="A11" s="22">
        <v>6</v>
      </c>
      <c r="B11" s="22">
        <v>6</v>
      </c>
      <c r="C11" s="22">
        <v>3</v>
      </c>
      <c r="D11" s="22">
        <v>6</v>
      </c>
      <c r="E11" s="22">
        <v>1</v>
      </c>
      <c r="F11" s="22">
        <v>8</v>
      </c>
      <c r="G11" s="23">
        <v>8</v>
      </c>
      <c r="H11" s="22">
        <v>6</v>
      </c>
      <c r="I11" s="26">
        <v>3</v>
      </c>
      <c r="J11" s="23">
        <v>1</v>
      </c>
      <c r="K11" s="22">
        <v>5</v>
      </c>
      <c r="L11" s="23">
        <v>4</v>
      </c>
      <c r="N11" s="2">
        <v>56166</v>
      </c>
      <c r="O11" s="1">
        <v>1</v>
      </c>
    </row>
    <row r="12" spans="1:15" ht="28.25" customHeight="1">
      <c r="A12" s="26">
        <v>5</v>
      </c>
      <c r="B12" s="26">
        <v>3</v>
      </c>
      <c r="C12" s="26">
        <v>1</v>
      </c>
      <c r="D12" s="26">
        <v>2</v>
      </c>
      <c r="E12" s="22">
        <v>2</v>
      </c>
      <c r="F12" s="22">
        <v>9</v>
      </c>
      <c r="G12" s="22">
        <v>6</v>
      </c>
      <c r="H12" s="22">
        <v>8</v>
      </c>
      <c r="I12" s="22">
        <v>1</v>
      </c>
      <c r="J12" s="23">
        <v>9</v>
      </c>
      <c r="K12" s="22">
        <v>8</v>
      </c>
      <c r="L12" s="23">
        <v>9</v>
      </c>
      <c r="N12" s="2">
        <v>644</v>
      </c>
      <c r="O12" s="1">
        <v>2</v>
      </c>
    </row>
    <row r="13" spans="1:15" ht="28.25" customHeight="1">
      <c r="N13" s="2">
        <v>851</v>
      </c>
      <c r="O13" s="1">
        <v>1</v>
      </c>
    </row>
    <row r="14" spans="1:15" ht="28.25" customHeight="1">
      <c r="N14" s="2">
        <v>29681</v>
      </c>
      <c r="O14" s="1">
        <v>1</v>
      </c>
    </row>
    <row r="15" spans="1:15" ht="28.25" customHeight="1">
      <c r="N15" s="2">
        <v>89</v>
      </c>
      <c r="O15" s="1">
        <v>18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94"/>
  <sheetViews>
    <sheetView tabSelected="1" zoomScaleNormal="100" workbookViewId="0">
      <pane ySplit="1" topLeftCell="A86" activePane="bottomLeft" state="frozen"/>
      <selection pane="bottomLeft" activeCell="A94" sqref="A9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207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f>2+IF(A17&gt;=DATEVALUE("2025/11/30"),1,0)</f>
        <v>2</v>
      </c>
      <c r="N17">
        <f t="shared" ref="N17:N63" si="0">N16+M17*(INT(A17-6/24)-INT(A16-6/24))+O17</f>
        <v>2</v>
      </c>
      <c r="O17">
        <f>IF(A17&gt;=DATEVALUE("2025/11/8"),1,0)-IF(A16&gt;=DATEVALUE("2025/11/8"),1,0)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f t="shared" ref="M18:M75" si="3">2+IF(A18&gt;=DATEVALUE("2025/11/30"),1,0)</f>
        <v>2</v>
      </c>
      <c r="N18">
        <f t="shared" si="0"/>
        <v>2</v>
      </c>
      <c r="O18">
        <f t="shared" ref="O18:O75" si="4">IF(A18&gt;=DATEVALUE("2025/11/8"),1,0)-IF(A17&gt;=DATEVALUE("2025/11/8"),1,0)</f>
        <v>0</v>
      </c>
      <c r="P18" t="str">
        <f t="shared" ref="P18:P58" si="5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f t="shared" si="3"/>
        <v>2</v>
      </c>
      <c r="N19">
        <f t="shared" si="0"/>
        <v>4</v>
      </c>
      <c r="O19">
        <f t="shared" si="4"/>
        <v>0</v>
      </c>
      <c r="P19" t="str">
        <f t="shared" si="5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f t="shared" si="3"/>
        <v>2</v>
      </c>
      <c r="N20">
        <f t="shared" si="0"/>
        <v>4</v>
      </c>
      <c r="O20">
        <f t="shared" si="4"/>
        <v>0</v>
      </c>
      <c r="P20" t="str">
        <f t="shared" si="5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f t="shared" si="3"/>
        <v>2</v>
      </c>
      <c r="N21">
        <f t="shared" si="0"/>
        <v>6</v>
      </c>
      <c r="O21">
        <f t="shared" si="4"/>
        <v>0</v>
      </c>
      <c r="P21" t="str">
        <f t="shared" si="5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f t="shared" si="3"/>
        <v>2</v>
      </c>
      <c r="N22">
        <f t="shared" si="0"/>
        <v>6</v>
      </c>
      <c r="O22">
        <f t="shared" si="4"/>
        <v>0</v>
      </c>
      <c r="P22" t="str">
        <f t="shared" si="5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f t="shared" si="3"/>
        <v>2</v>
      </c>
      <c r="N23">
        <f t="shared" si="0"/>
        <v>8</v>
      </c>
      <c r="O23">
        <f t="shared" si="4"/>
        <v>0</v>
      </c>
      <c r="P23" t="str">
        <f t="shared" si="5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f t="shared" si="3"/>
        <v>2</v>
      </c>
      <c r="N24">
        <f t="shared" si="0"/>
        <v>8</v>
      </c>
      <c r="O24">
        <f t="shared" si="4"/>
        <v>0</v>
      </c>
      <c r="P24" t="str">
        <f t="shared" si="5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f t="shared" si="3"/>
        <v>2</v>
      </c>
      <c r="N25">
        <f t="shared" si="0"/>
        <v>10</v>
      </c>
      <c r="O25">
        <f t="shared" si="4"/>
        <v>0</v>
      </c>
      <c r="P25" t="str">
        <f t="shared" si="5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f t="shared" si="3"/>
        <v>2</v>
      </c>
      <c r="N26">
        <f t="shared" si="0"/>
        <v>10</v>
      </c>
      <c r="O26">
        <f t="shared" si="4"/>
        <v>0</v>
      </c>
      <c r="P26" t="str">
        <f t="shared" si="5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f t="shared" si="3"/>
        <v>2</v>
      </c>
      <c r="N27">
        <f t="shared" si="0"/>
        <v>13</v>
      </c>
      <c r="O27">
        <f t="shared" si="4"/>
        <v>1</v>
      </c>
      <c r="P27" t="str">
        <f t="shared" si="5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f t="shared" si="3"/>
        <v>2</v>
      </c>
      <c r="N28">
        <f t="shared" si="0"/>
        <v>13</v>
      </c>
      <c r="O28">
        <f t="shared" si="4"/>
        <v>0</v>
      </c>
      <c r="P28" t="str">
        <f t="shared" si="5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f t="shared" si="3"/>
        <v>2</v>
      </c>
      <c r="N29">
        <f t="shared" si="0"/>
        <v>13</v>
      </c>
      <c r="O29">
        <f t="shared" si="4"/>
        <v>0</v>
      </c>
      <c r="P29" t="str">
        <f t="shared" si="5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f t="shared" si="3"/>
        <v>2</v>
      </c>
      <c r="N30">
        <f t="shared" si="0"/>
        <v>15</v>
      </c>
      <c r="O30">
        <f t="shared" si="4"/>
        <v>0</v>
      </c>
      <c r="P30" t="str">
        <f t="shared" si="5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f t="shared" si="3"/>
        <v>2</v>
      </c>
      <c r="N31">
        <f t="shared" si="0"/>
        <v>15</v>
      </c>
      <c r="O31">
        <f t="shared" si="4"/>
        <v>0</v>
      </c>
      <c r="P31" t="str">
        <f t="shared" si="5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f t="shared" si="3"/>
        <v>2</v>
      </c>
      <c r="N32">
        <f t="shared" si="0"/>
        <v>17</v>
      </c>
      <c r="O32">
        <f t="shared" si="4"/>
        <v>0</v>
      </c>
      <c r="P32" t="str">
        <f t="shared" si="5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f t="shared" si="3"/>
        <v>2</v>
      </c>
      <c r="N33">
        <f t="shared" si="0"/>
        <v>17</v>
      </c>
      <c r="O33">
        <f t="shared" si="4"/>
        <v>0</v>
      </c>
      <c r="P33" t="str">
        <f t="shared" si="5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f t="shared" si="3"/>
        <v>2</v>
      </c>
      <c r="N34">
        <f t="shared" si="0"/>
        <v>19</v>
      </c>
      <c r="O34">
        <f t="shared" si="4"/>
        <v>0</v>
      </c>
      <c r="P34" t="str">
        <f t="shared" si="5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f t="shared" si="3"/>
        <v>2</v>
      </c>
      <c r="N35">
        <f t="shared" si="0"/>
        <v>19</v>
      </c>
      <c r="O35">
        <f t="shared" si="4"/>
        <v>0</v>
      </c>
      <c r="P35" t="str">
        <f t="shared" si="5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f t="shared" si="3"/>
        <v>2</v>
      </c>
      <c r="N36">
        <f t="shared" si="0"/>
        <v>21</v>
      </c>
      <c r="O36">
        <f t="shared" si="4"/>
        <v>0</v>
      </c>
      <c r="P36" t="str">
        <f t="shared" si="5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f t="shared" si="3"/>
        <v>2</v>
      </c>
      <c r="N37">
        <f t="shared" si="0"/>
        <v>21</v>
      </c>
      <c r="O37">
        <f t="shared" si="4"/>
        <v>0</v>
      </c>
      <c r="P37" t="str">
        <f t="shared" si="5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f t="shared" si="3"/>
        <v>2</v>
      </c>
      <c r="N38">
        <f t="shared" si="0"/>
        <v>25</v>
      </c>
      <c r="O38">
        <f t="shared" si="4"/>
        <v>0</v>
      </c>
      <c r="P38" t="str">
        <f t="shared" si="5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f t="shared" si="3"/>
        <v>2</v>
      </c>
      <c r="N39">
        <f t="shared" si="0"/>
        <v>25</v>
      </c>
      <c r="O39">
        <f t="shared" si="4"/>
        <v>0</v>
      </c>
      <c r="P39" t="str">
        <f t="shared" si="5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f t="shared" si="3"/>
        <v>2</v>
      </c>
      <c r="N40">
        <f t="shared" si="0"/>
        <v>27</v>
      </c>
      <c r="O40">
        <f t="shared" si="4"/>
        <v>0</v>
      </c>
      <c r="P40" t="str">
        <f t="shared" si="5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f t="shared" si="3"/>
        <v>2</v>
      </c>
      <c r="N41">
        <f t="shared" si="0"/>
        <v>27</v>
      </c>
      <c r="O41">
        <f t="shared" si="4"/>
        <v>0</v>
      </c>
      <c r="P41" t="str">
        <f t="shared" si="5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f t="shared" si="3"/>
        <v>2</v>
      </c>
      <c r="N42">
        <f t="shared" si="0"/>
        <v>29</v>
      </c>
      <c r="O42">
        <f t="shared" si="4"/>
        <v>0</v>
      </c>
      <c r="P42" t="str">
        <f t="shared" si="5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f t="shared" si="3"/>
        <v>2</v>
      </c>
      <c r="N43">
        <f t="shared" si="0"/>
        <v>29</v>
      </c>
      <c r="O43">
        <f t="shared" si="4"/>
        <v>0</v>
      </c>
      <c r="P43" t="str">
        <f t="shared" si="5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f t="shared" si="3"/>
        <v>2</v>
      </c>
      <c r="N44">
        <f t="shared" si="0"/>
        <v>29</v>
      </c>
      <c r="O44">
        <f t="shared" si="4"/>
        <v>0</v>
      </c>
      <c r="P44" t="str">
        <f t="shared" si="5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f t="shared" si="3"/>
        <v>2</v>
      </c>
      <c r="N45">
        <f t="shared" si="0"/>
        <v>29</v>
      </c>
      <c r="O45">
        <f t="shared" si="4"/>
        <v>0</v>
      </c>
      <c r="P45" t="str">
        <f t="shared" si="5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f t="shared" si="3"/>
        <v>2</v>
      </c>
      <c r="N46">
        <f t="shared" si="0"/>
        <v>29</v>
      </c>
      <c r="O46">
        <f t="shared" si="4"/>
        <v>0</v>
      </c>
      <c r="P46" t="str">
        <f t="shared" si="5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f t="shared" si="3"/>
        <v>2</v>
      </c>
      <c r="N47">
        <f t="shared" si="0"/>
        <v>29</v>
      </c>
      <c r="O47">
        <f t="shared" si="4"/>
        <v>0</v>
      </c>
      <c r="P47" t="str">
        <f t="shared" si="5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f t="shared" si="3"/>
        <v>2</v>
      </c>
      <c r="N48">
        <f t="shared" si="0"/>
        <v>31</v>
      </c>
      <c r="O48">
        <f t="shared" si="4"/>
        <v>0</v>
      </c>
      <c r="P48" t="str">
        <f t="shared" si="5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f t="shared" si="3"/>
        <v>2</v>
      </c>
      <c r="N49">
        <f t="shared" si="0"/>
        <v>31</v>
      </c>
      <c r="O49">
        <f t="shared" si="4"/>
        <v>0</v>
      </c>
      <c r="P49" t="str">
        <f t="shared" si="5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f t="shared" si="3"/>
        <v>2</v>
      </c>
      <c r="N50">
        <f t="shared" si="0"/>
        <v>31</v>
      </c>
      <c r="O50">
        <f t="shared" si="4"/>
        <v>0</v>
      </c>
      <c r="P50" t="str">
        <f t="shared" si="5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f t="shared" si="3"/>
        <v>2</v>
      </c>
      <c r="N51">
        <f t="shared" si="0"/>
        <v>31</v>
      </c>
      <c r="O51">
        <f t="shared" si="4"/>
        <v>0</v>
      </c>
      <c r="P51" t="str">
        <f t="shared" si="5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f t="shared" si="3"/>
        <v>2</v>
      </c>
      <c r="N52">
        <f t="shared" si="0"/>
        <v>35</v>
      </c>
      <c r="O52">
        <f t="shared" si="4"/>
        <v>0</v>
      </c>
      <c r="P52" t="str">
        <f t="shared" si="5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f t="shared" si="3"/>
        <v>2</v>
      </c>
      <c r="N53">
        <f t="shared" si="0"/>
        <v>35</v>
      </c>
      <c r="O53">
        <f t="shared" si="4"/>
        <v>0</v>
      </c>
      <c r="P53" t="str">
        <f t="shared" si="5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f t="shared" si="3"/>
        <v>2</v>
      </c>
      <c r="N54">
        <f t="shared" si="0"/>
        <v>37</v>
      </c>
      <c r="O54">
        <f t="shared" si="4"/>
        <v>0</v>
      </c>
      <c r="P54" t="str">
        <f t="shared" si="5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f t="shared" si="3"/>
        <v>2</v>
      </c>
      <c r="N55">
        <f t="shared" si="0"/>
        <v>37</v>
      </c>
      <c r="O55">
        <f t="shared" si="4"/>
        <v>0</v>
      </c>
      <c r="P55" t="str">
        <f t="shared" si="5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f t="shared" si="3"/>
        <v>2</v>
      </c>
      <c r="N56">
        <f t="shared" si="0"/>
        <v>39</v>
      </c>
      <c r="O56">
        <f t="shared" si="4"/>
        <v>0</v>
      </c>
      <c r="P56" t="str">
        <f t="shared" si="5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f t="shared" si="3"/>
        <v>2</v>
      </c>
      <c r="N57">
        <f t="shared" si="0"/>
        <v>41</v>
      </c>
      <c r="O57">
        <f t="shared" si="4"/>
        <v>0</v>
      </c>
      <c r="P57" t="str">
        <f t="shared" si="5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f t="shared" si="3"/>
        <v>2</v>
      </c>
      <c r="N58">
        <f t="shared" si="0"/>
        <v>41</v>
      </c>
      <c r="O58">
        <f t="shared" si="4"/>
        <v>0</v>
      </c>
      <c r="P58" t="str">
        <f t="shared" si="5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6">L58+K59</f>
        <v>42</v>
      </c>
      <c r="M59">
        <f t="shared" si="3"/>
        <v>2</v>
      </c>
      <c r="N59">
        <f t="shared" si="0"/>
        <v>45</v>
      </c>
      <c r="O59">
        <f t="shared" si="4"/>
        <v>0</v>
      </c>
      <c r="P59" t="str">
        <f t="shared" ref="P59" si="7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8">L59+K60</f>
        <v>42</v>
      </c>
      <c r="M60">
        <f t="shared" si="3"/>
        <v>2</v>
      </c>
      <c r="N60">
        <f t="shared" si="0"/>
        <v>45</v>
      </c>
      <c r="O60">
        <f t="shared" si="4"/>
        <v>0</v>
      </c>
      <c r="P60" t="str">
        <f t="shared" ref="P60" si="9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10">L60+K61</f>
        <v>42</v>
      </c>
      <c r="M61">
        <f t="shared" si="3"/>
        <v>2</v>
      </c>
      <c r="N61">
        <f t="shared" si="0"/>
        <v>45</v>
      </c>
      <c r="O61">
        <f t="shared" si="4"/>
        <v>0</v>
      </c>
      <c r="P61" t="str">
        <f t="shared" ref="P61" si="11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2">L61+K62</f>
        <v>43</v>
      </c>
      <c r="M62">
        <f t="shared" si="3"/>
        <v>2</v>
      </c>
      <c r="N62">
        <f t="shared" si="0"/>
        <v>45</v>
      </c>
      <c r="O62">
        <f t="shared" si="4"/>
        <v>0</v>
      </c>
      <c r="P62" t="str">
        <f t="shared" ref="P62" si="13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ref="K63" si="14">IF(A63&lt;DATEVALUE("2025/11/20"),1,IF(B63-SUM(D63:F63)&lt;&gt;60,0,MAX(2-INT(G63*24*60/10),0)))</f>
        <v>2</v>
      </c>
      <c r="L63">
        <f t="shared" ref="L63" si="15">L62+K63</f>
        <v>45</v>
      </c>
      <c r="M63">
        <f t="shared" si="3"/>
        <v>2</v>
      </c>
      <c r="N63">
        <f t="shared" si="0"/>
        <v>45</v>
      </c>
      <c r="O63">
        <f t="shared" si="4"/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f t="shared" si="3"/>
        <v>2</v>
      </c>
      <c r="N64">
        <f t="shared" ref="N64" si="19">N63+M64*(INT(A64-6/24)-INT(A63-6/24))+O64</f>
        <v>47</v>
      </c>
      <c r="O64">
        <f t="shared" si="4"/>
        <v>0</v>
      </c>
      <c r="P64" t="str">
        <f t="shared" ref="P64" si="20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ref="K65" si="21">IF(A65&lt;DATEVALUE("2025/11/20"),1,IF(B65-SUM(D65:F65)&lt;&gt;60,0,MAX(2-INT(G65*24*60/10),0)))</f>
        <v>0</v>
      </c>
      <c r="L65">
        <f t="shared" ref="L65" si="22">L64+K65</f>
        <v>47</v>
      </c>
      <c r="M65">
        <f t="shared" si="3"/>
        <v>2</v>
      </c>
      <c r="N65">
        <f t="shared" ref="N65" si="23">N64+M65*(INT(A65-6/24)-INT(A64-6/24))+O65</f>
        <v>49</v>
      </c>
      <c r="O65">
        <f t="shared" si="4"/>
        <v>0</v>
      </c>
      <c r="P65" t="str">
        <f t="shared" ref="P65" si="24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ref="K66" si="25">IF(A66&lt;DATEVALUE("2025/11/20"),1,IF(B66-SUM(D66:F66)&lt;&gt;60,0,MAX(2-INT(G66*24*60/10),0)))</f>
        <v>2</v>
      </c>
      <c r="L66">
        <f t="shared" ref="L66" si="26">L65+K66</f>
        <v>49</v>
      </c>
      <c r="M66">
        <f t="shared" si="3"/>
        <v>2</v>
      </c>
      <c r="N66">
        <f t="shared" ref="N66" si="27">N65+M66*(INT(A66-6/24)-INT(A65-6/24))+O66</f>
        <v>49</v>
      </c>
      <c r="O66">
        <f t="shared" si="4"/>
        <v>0</v>
      </c>
      <c r="P66" t="str">
        <f t="shared" ref="P66" si="28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ref="K67" si="29">IF(A67&lt;DATEVALUE("2025/11/20"),1,IF(B67-SUM(D67:F67)&lt;&gt;60,0,MAX(2-INT(G67*24*60/10),0)))</f>
        <v>1</v>
      </c>
      <c r="L67">
        <f t="shared" ref="L67" si="30">L66+K67</f>
        <v>50</v>
      </c>
      <c r="M67">
        <f t="shared" si="3"/>
        <v>2</v>
      </c>
      <c r="N67">
        <f t="shared" ref="N67" si="31">N66+M67*(INT(A67-6/24)-INT(A66-6/24))+O67</f>
        <v>51</v>
      </c>
      <c r="O67">
        <f t="shared" si="4"/>
        <v>0</v>
      </c>
      <c r="P67" t="str">
        <f t="shared" ref="P67" si="32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ref="K68" si="33">IF(A68&lt;DATEVALUE("2025/11/20"),1,IF(B68-SUM(D68:F68)&lt;&gt;60,0,MAX(2-INT(G68*24*60/10),0)))</f>
        <v>0</v>
      </c>
      <c r="L68">
        <f t="shared" ref="L68" si="34">L67+K68</f>
        <v>50</v>
      </c>
      <c r="M68">
        <f t="shared" si="3"/>
        <v>2</v>
      </c>
      <c r="N68">
        <f t="shared" ref="N68" si="35">N67+M68*(INT(A68-6/24)-INT(A67-6/24))+O68</f>
        <v>51</v>
      </c>
      <c r="O68">
        <f t="shared" si="4"/>
        <v>0</v>
      </c>
      <c r="P68" t="str">
        <f t="shared" ref="P68" si="36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ref="K69" si="37">IF(A69&lt;DATEVALUE("2025/11/20"),1,IF(B69-SUM(D69:F69)&lt;&gt;60,0,MAX(2-INT(G69*24*60/10),0)))</f>
        <v>1</v>
      </c>
      <c r="L69">
        <f t="shared" ref="L69" si="38">L68+K69</f>
        <v>51</v>
      </c>
      <c r="M69">
        <f t="shared" si="3"/>
        <v>2</v>
      </c>
      <c r="N69">
        <f t="shared" ref="N69" si="39">N68+M69*(INT(A69-6/24)-INT(A68-6/24))+O69</f>
        <v>51</v>
      </c>
      <c r="O69">
        <f t="shared" si="4"/>
        <v>0</v>
      </c>
      <c r="P69" t="str">
        <f t="shared" ref="P69" si="40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ref="K70" si="41">IF(A70&lt;DATEVALUE("2025/11/20"),1,IF(B70-SUM(D70:F70)&lt;&gt;60,0,MAX(2-INT(G70*24*60/10),0)))</f>
        <v>0</v>
      </c>
      <c r="L70">
        <f t="shared" ref="L70" si="42">L69+K70</f>
        <v>51</v>
      </c>
      <c r="M70">
        <f t="shared" si="3"/>
        <v>2</v>
      </c>
      <c r="N70">
        <f t="shared" ref="N70" si="43">N69+M70*(INT(A70-6/24)-INT(A69-6/24))+O70</f>
        <v>53</v>
      </c>
      <c r="O70">
        <f t="shared" si="4"/>
        <v>0</v>
      </c>
      <c r="P70" t="str">
        <f t="shared" ref="P70" si="44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ref="K71" si="45">IF(A71&lt;DATEVALUE("2025/11/20"),1,IF(B71-SUM(D71:F71)&lt;&gt;60,0,MAX(2-INT(G71*24*60/10),0)))</f>
        <v>1</v>
      </c>
      <c r="L71">
        <f t="shared" ref="L71" si="46">L70+K71</f>
        <v>52</v>
      </c>
      <c r="M71">
        <f t="shared" si="3"/>
        <v>2</v>
      </c>
      <c r="N71">
        <f t="shared" ref="N71" si="47">N70+M71*(INT(A71-6/24)-INT(A70-6/24))+O71</f>
        <v>53</v>
      </c>
      <c r="O71">
        <f t="shared" si="4"/>
        <v>0</v>
      </c>
      <c r="P71" t="str">
        <f t="shared" ref="P71" si="48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ref="K72" si="49">IF(A72&lt;DATEVALUE("2025/11/20"),1,IF(B72-SUM(D72:F72)&lt;&gt;60,0,MAX(2-INT(G72*24*60/10),0)))</f>
        <v>1</v>
      </c>
      <c r="L72">
        <f t="shared" ref="L72" si="50">L71+K72</f>
        <v>53</v>
      </c>
      <c r="M72">
        <f t="shared" si="3"/>
        <v>2</v>
      </c>
      <c r="N72">
        <f t="shared" ref="N72" si="51">N71+M72*(INT(A72-6/24)-INT(A71-6/24))+O72</f>
        <v>53</v>
      </c>
      <c r="O72">
        <f t="shared" si="4"/>
        <v>0</v>
      </c>
      <c r="P72" t="str">
        <f t="shared" ref="P72" si="52">IF(L72&lt;N72,"未達成（"&amp;N72-L72&amp;"）",IF(L72=N72,"達成","前倒し（"&amp;L72-N72&amp;"）"))</f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ref="K73" si="53">IF(A73&lt;DATEVALUE("2025/11/20"),1,IF(B73-SUM(D73:F73)&lt;&gt;60,0,MAX(2-INT(G73*24*60/10),0)))</f>
        <v>1</v>
      </c>
      <c r="L73">
        <f t="shared" ref="L73" si="54">L72+K73</f>
        <v>54</v>
      </c>
      <c r="M73">
        <f t="shared" si="3"/>
        <v>2</v>
      </c>
      <c r="N73">
        <f t="shared" ref="N73" si="55">N72+M73*(INT(A73-6/24)-INT(A72-6/24))+O73</f>
        <v>55</v>
      </c>
      <c r="O73">
        <f t="shared" si="4"/>
        <v>0</v>
      </c>
      <c r="P73" t="str">
        <f t="shared" ref="P73" si="56">IF(L73&lt;N73,"未達成（"&amp;N73-L73&amp;"）",IF(L73=N73,"達成","前倒し（"&amp;L73-N73&amp;"）"))</f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ref="K74" si="57">IF(A74&lt;DATEVALUE("2025/11/20"),1,IF(B74-SUM(D74:F74)&lt;&gt;60,0,MAX(2-INT(G74*24*60/10),0)))</f>
        <v>1</v>
      </c>
      <c r="L74">
        <f t="shared" ref="L74" si="58">L73+K74</f>
        <v>55</v>
      </c>
      <c r="M74">
        <f t="shared" si="3"/>
        <v>2</v>
      </c>
      <c r="N74">
        <f t="shared" ref="N74" si="59">N73+M74*(INT(A74-6/24)-INT(A73-6/24))+O74</f>
        <v>55</v>
      </c>
      <c r="O74">
        <f t="shared" si="4"/>
        <v>0</v>
      </c>
      <c r="P74" t="str">
        <f t="shared" ref="P74" si="60">IF(L74&lt;N74,"未達成（"&amp;N74-L74&amp;"）",IF(L74=N74,"達成","前倒し（"&amp;L74-N74&amp;"）"))</f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ref="K75" si="61">IF(A75&lt;DATEVALUE("2025/11/20"),1,IF(B75-SUM(D75:F75)&lt;&gt;60,0,MAX(2-INT(G75*24*60/10),0)))</f>
        <v>2</v>
      </c>
      <c r="L75">
        <f t="shared" ref="L75" si="62">L74+K75</f>
        <v>57</v>
      </c>
      <c r="M75">
        <f t="shared" si="3"/>
        <v>3</v>
      </c>
      <c r="N75">
        <f t="shared" ref="N75" si="63">N74+M75*(INT(A75-6/24)-INT(A74-6/24))+O75</f>
        <v>58</v>
      </c>
      <c r="O75">
        <f t="shared" si="4"/>
        <v>0</v>
      </c>
      <c r="P75" t="str">
        <f t="shared" ref="P75" si="64">IF(L75&lt;N75,"未達成（"&amp;N75-L75&amp;"）",IF(L75=N75,"達成","前倒し（"&amp;L75-N75&amp;"）"))</f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208</v>
      </c>
      <c r="I76" t="s">
        <v>209</v>
      </c>
      <c r="J76">
        <v>0</v>
      </c>
      <c r="K76">
        <f t="shared" ref="K76" si="65">IF(A76&lt;DATEVALUE("2025/11/20"),1,IF(B76-SUM(D76:F76)&lt;&gt;60,0,MAX(2-INT(G76*24*60/10),0)))</f>
        <v>2</v>
      </c>
      <c r="L76">
        <f t="shared" ref="L76" si="66">L75+K76</f>
        <v>59</v>
      </c>
      <c r="M76">
        <f t="shared" ref="M76" si="67">2+IF(A76&gt;=DATEVALUE("2025/11/30"),1,0)</f>
        <v>3</v>
      </c>
      <c r="N76">
        <f t="shared" ref="N76" si="68">N75+M76*(INT(A76-6/24)-INT(A75-6/24))+O76</f>
        <v>58</v>
      </c>
      <c r="O76">
        <f t="shared" ref="O76" si="69">IF(A76&gt;=DATEVALUE("2025/11/8"),1,0)-IF(A75&gt;=DATEVALUE("2025/11/8"),1,0)</f>
        <v>0</v>
      </c>
      <c r="P76" t="str">
        <f t="shared" ref="P76" si="70">IF(L76&lt;N76,"未達成（"&amp;N76-L76&amp;"）",IF(L76=N76,"達成","前倒し（"&amp;L76-N76&amp;"）"))</f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210</v>
      </c>
      <c r="I77" t="s">
        <v>211</v>
      </c>
      <c r="J77">
        <v>0</v>
      </c>
      <c r="K77">
        <f t="shared" ref="K77" si="71">IF(A77&lt;DATEVALUE("2025/11/20"),1,IF(B77-SUM(D77:F77)&lt;&gt;60,0,MAX(2-INT(G77*24*60/10),0)))</f>
        <v>1</v>
      </c>
      <c r="L77">
        <f t="shared" ref="L77" si="72">L76+K77</f>
        <v>60</v>
      </c>
      <c r="M77">
        <f t="shared" ref="M77" si="73">2+IF(A77&gt;=DATEVALUE("2025/11/30"),1,0)</f>
        <v>3</v>
      </c>
      <c r="N77">
        <f t="shared" ref="N77" si="74">N76+M77*(INT(A77-6/24)-INT(A76-6/24))+O77</f>
        <v>61</v>
      </c>
      <c r="O77">
        <f t="shared" ref="O77" si="75">IF(A77&gt;=DATEVALUE("2025/11/8"),1,0)-IF(A76&gt;=DATEVALUE("2025/11/8"),1,0)</f>
        <v>0</v>
      </c>
      <c r="P77" t="str">
        <f t="shared" ref="P77" si="76">IF(L77&lt;N77,"未達成（"&amp;N77-L77&amp;"）",IF(L77=N77,"達成","前倒し（"&amp;L77-N77&amp;"）"))</f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212</v>
      </c>
      <c r="I78" t="s">
        <v>213</v>
      </c>
      <c r="J78">
        <v>0</v>
      </c>
      <c r="K78">
        <f t="shared" ref="K78" si="77">IF(A78&lt;DATEVALUE("2025/11/20"),1,IF(B78-SUM(D78:F78)&lt;&gt;60,0,MAX(2-INT(G78*24*60/10),0)))</f>
        <v>2</v>
      </c>
      <c r="L78">
        <f t="shared" ref="L78" si="78">L77+K78</f>
        <v>62</v>
      </c>
      <c r="M78">
        <f t="shared" ref="M78" si="79">2+IF(A78&gt;=DATEVALUE("2025/11/30"),1,0)</f>
        <v>3</v>
      </c>
      <c r="N78">
        <f t="shared" ref="N78" si="80">N77+M78*(INT(A78-6/24)-INT(A77-6/24))+O78</f>
        <v>61</v>
      </c>
      <c r="O78">
        <f t="shared" ref="O78" si="81">IF(A78&gt;=DATEVALUE("2025/11/8"),1,0)-IF(A77&gt;=DATEVALUE("2025/11/8"),1,0)</f>
        <v>0</v>
      </c>
      <c r="P78" t="str">
        <f t="shared" ref="P78" si="82">IF(L78&lt;N78,"未達成（"&amp;N78-L78&amp;"）",IF(L78=N78,"達成","前倒し（"&amp;L78-N78&amp;"）"))</f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214</v>
      </c>
      <c r="I79" t="s">
        <v>215</v>
      </c>
      <c r="J79">
        <v>0</v>
      </c>
      <c r="K79">
        <f t="shared" ref="K79" si="83">IF(A79&lt;DATEVALUE("2025/11/20"),1,IF(B79-SUM(D79:F79)&lt;&gt;60,0,MAX(2-INT(G79*24*60/10),0)))</f>
        <v>0</v>
      </c>
      <c r="L79">
        <f t="shared" ref="L79" si="84">L78+K79</f>
        <v>62</v>
      </c>
      <c r="M79">
        <f t="shared" ref="M79" si="85">2+IF(A79&gt;=DATEVALUE("2025/11/30"),1,0)</f>
        <v>3</v>
      </c>
      <c r="N79">
        <f t="shared" ref="N79" si="86">N78+M79*(INT(A79-6/24)-INT(A78-6/24))+O79</f>
        <v>64</v>
      </c>
      <c r="O79">
        <f t="shared" ref="O79" si="87">IF(A79&gt;=DATEVALUE("2025/11/8"),1,0)-IF(A78&gt;=DATEVALUE("2025/11/8"),1,0)</f>
        <v>0</v>
      </c>
      <c r="P79" t="str">
        <f t="shared" ref="P79" si="88">IF(L79&lt;N79,"未達成（"&amp;N79-L79&amp;"）",IF(L79=N79,"達成","前倒し（"&amp;L79-N79&amp;"）"))</f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218</v>
      </c>
      <c r="I80" t="s">
        <v>219</v>
      </c>
      <c r="J80">
        <v>0</v>
      </c>
      <c r="K80">
        <f t="shared" ref="K80" si="89">IF(A80&lt;DATEVALUE("2025/11/20"),1,IF(B80-SUM(D80:F80)&lt;&gt;60,0,MAX(2-INT(G80*24*60/10),0)))</f>
        <v>2</v>
      </c>
      <c r="L80">
        <f t="shared" ref="L80" si="90">L79+K80</f>
        <v>64</v>
      </c>
      <c r="M80">
        <f t="shared" ref="M80" si="91">2+IF(A80&gt;=DATEVALUE("2025/11/30"),1,0)</f>
        <v>3</v>
      </c>
      <c r="N80">
        <f t="shared" ref="N80" si="92">N79+M80*(INT(A80-6/24)-INT(A79-6/24))+O80</f>
        <v>64</v>
      </c>
      <c r="O80">
        <f t="shared" ref="O80" si="93">IF(A80&gt;=DATEVALUE("2025/11/8"),1,0)-IF(A79&gt;=DATEVALUE("2025/11/8"),1,0)</f>
        <v>0</v>
      </c>
      <c r="P80" t="str">
        <f t="shared" ref="P80" si="94">IF(L80&lt;N80,"未達成（"&amp;N80-L80&amp;"）",IF(L80=N80,"達成","前倒し（"&amp;L80-N80&amp;"）"))</f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216</v>
      </c>
      <c r="I81" t="s">
        <v>217</v>
      </c>
      <c r="J81">
        <v>0</v>
      </c>
      <c r="K81">
        <f t="shared" ref="K81" si="95">IF(A81&lt;DATEVALUE("2025/11/20"),1,IF(B81-SUM(D81:F81)&lt;&gt;60,0,MAX(2-INT(G81*24*60/10),0)))</f>
        <v>1</v>
      </c>
      <c r="L81">
        <f t="shared" ref="L81" si="96">L80+K81</f>
        <v>65</v>
      </c>
      <c r="M81">
        <f t="shared" ref="M81" si="97">2+IF(A81&gt;=DATEVALUE("2025/11/30"),1,0)</f>
        <v>3</v>
      </c>
      <c r="N81">
        <f t="shared" ref="N81" si="98">N80+M81*(INT(A81-6/24)-INT(A80-6/24))+O81</f>
        <v>67</v>
      </c>
      <c r="O81">
        <f t="shared" ref="O81" si="99">IF(A81&gt;=DATEVALUE("2025/11/8"),1,0)-IF(A80&gt;=DATEVALUE("2025/11/8"),1,0)</f>
        <v>0</v>
      </c>
      <c r="P81" t="str">
        <f t="shared" ref="P81" si="100">IF(L81&lt;N81,"未達成（"&amp;N81-L81&amp;"）",IF(L81=N81,"達成","前倒し（"&amp;L81-N81&amp;"）"))</f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220</v>
      </c>
      <c r="I82" t="s">
        <v>221</v>
      </c>
      <c r="J82">
        <v>0</v>
      </c>
      <c r="K82">
        <f t="shared" ref="K82" si="101">IF(A82&lt;DATEVALUE("2025/11/20"),1,IF(B82-SUM(D82:F82)&lt;&gt;60,0,MAX(2-INT(G82*24*60/10),0)))</f>
        <v>1</v>
      </c>
      <c r="L82">
        <f t="shared" ref="L82" si="102">L81+K82</f>
        <v>66</v>
      </c>
      <c r="M82">
        <f t="shared" ref="M82" si="103">2+IF(A82&gt;=DATEVALUE("2025/11/30"),1,0)</f>
        <v>3</v>
      </c>
      <c r="N82">
        <f t="shared" ref="N82" si="104">N81+M82*(INT(A82-6/24)-INT(A81-6/24))+O82</f>
        <v>67</v>
      </c>
      <c r="O82">
        <f t="shared" ref="O82" si="105">IF(A82&gt;=DATEVALUE("2025/11/8"),1,0)-IF(A81&gt;=DATEVALUE("2025/11/8"),1,0)</f>
        <v>0</v>
      </c>
      <c r="P82" t="str">
        <f t="shared" ref="P82" si="106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222</v>
      </c>
      <c r="I83" t="s">
        <v>223</v>
      </c>
      <c r="J83">
        <v>0</v>
      </c>
      <c r="K83">
        <f t="shared" ref="K83" si="107">IF(A83&lt;DATEVALUE("2025/11/20"),1,IF(B83-SUM(D83:F83)&lt;&gt;60,0,MAX(2-INT(G83*24*60/10),0)))</f>
        <v>1</v>
      </c>
      <c r="L83">
        <f t="shared" ref="L83" si="108">L82+K83</f>
        <v>67</v>
      </c>
      <c r="M83">
        <f t="shared" ref="M83" si="109">2+IF(A83&gt;=DATEVALUE("2025/11/30"),1,0)</f>
        <v>3</v>
      </c>
      <c r="N83">
        <f t="shared" ref="N83" si="110">N82+M83*(INT(A83-6/24)-INT(A82-6/24))+O83</f>
        <v>67</v>
      </c>
      <c r="O83">
        <f t="shared" ref="O83" si="111">IF(A83&gt;=DATEVALUE("2025/11/8"),1,0)-IF(A82&gt;=DATEVALUE("2025/11/8"),1,0)</f>
        <v>0</v>
      </c>
      <c r="P83" t="str">
        <f t="shared" ref="P83" si="112">IF(L83&lt;N83,"未達成（"&amp;N83-L83&amp;"）",IF(L83=N83,"達成","前倒し（"&amp;L83-N83&amp;"）"))</f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224</v>
      </c>
      <c r="I84" t="s">
        <v>225</v>
      </c>
      <c r="J84">
        <v>0</v>
      </c>
      <c r="K84">
        <f t="shared" ref="K84" si="113">IF(A84&lt;DATEVALUE("2025/11/20"),1,IF(B84-SUM(D84:F84)&lt;&gt;60,0,MAX(2-INT(G84*24*60/10),0)))</f>
        <v>1</v>
      </c>
      <c r="L84">
        <f t="shared" ref="L84" si="114">L83+K84</f>
        <v>68</v>
      </c>
      <c r="M84">
        <f t="shared" ref="M84" si="115">2+IF(A84&gt;=DATEVALUE("2025/11/30"),1,0)</f>
        <v>3</v>
      </c>
      <c r="N84">
        <f t="shared" ref="N84" si="116">N83+M84*(INT(A84-6/24)-INT(A83-6/24))+O84</f>
        <v>70</v>
      </c>
      <c r="O84">
        <f t="shared" ref="O84" si="117">IF(A84&gt;=DATEVALUE("2025/11/8"),1,0)-IF(A83&gt;=DATEVALUE("2025/11/8"),1,0)</f>
        <v>0</v>
      </c>
      <c r="P84" t="str">
        <f t="shared" ref="P84" si="118">IF(L84&lt;N84,"未達成（"&amp;N84-L84&amp;"）",IF(L84=N84,"達成","前倒し（"&amp;L84-N84&amp;"）"))</f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226</v>
      </c>
      <c r="I85" t="s">
        <v>227</v>
      </c>
      <c r="J85">
        <v>0</v>
      </c>
      <c r="K85">
        <f t="shared" ref="K85" si="119">IF(A85&lt;DATEVALUE("2025/11/20"),1,IF(B85-SUM(D85:F85)&lt;&gt;60,0,MAX(2-INT(G85*24*60/10),0)))</f>
        <v>1</v>
      </c>
      <c r="L85">
        <f t="shared" ref="L85" si="120">L84+K85</f>
        <v>69</v>
      </c>
      <c r="M85">
        <f t="shared" ref="M85" si="121">2+IF(A85&gt;=DATEVALUE("2025/11/30"),1,0)</f>
        <v>3</v>
      </c>
      <c r="N85">
        <f t="shared" ref="N85" si="122">N84+M85*(INT(A85-6/24)-INT(A84-6/24))+O85</f>
        <v>70</v>
      </c>
      <c r="O85">
        <f t="shared" ref="O85" si="123">IF(A85&gt;=DATEVALUE("2025/11/8"),1,0)-IF(A84&gt;=DATEVALUE("2025/11/8"),1,0)</f>
        <v>0</v>
      </c>
      <c r="P85" t="str">
        <f t="shared" ref="P85" si="124">IF(L85&lt;N85,"未達成（"&amp;N85-L85&amp;"）",IF(L85=N85,"達成","前倒し（"&amp;L85-N85&amp;"）"))</f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228</v>
      </c>
      <c r="I86" t="s">
        <v>229</v>
      </c>
      <c r="J86">
        <v>0</v>
      </c>
      <c r="K86">
        <f t="shared" ref="K86" si="125">IF(A86&lt;DATEVALUE("2025/11/20"),1,IF(B86-SUM(D86:F86)&lt;&gt;60,0,MAX(2-INT(G86*24*60/10),0)))</f>
        <v>2</v>
      </c>
      <c r="L86">
        <f t="shared" ref="L86" si="126">L85+K86</f>
        <v>71</v>
      </c>
      <c r="M86">
        <f t="shared" ref="M86" si="127">2+IF(A86&gt;=DATEVALUE("2025/11/30"),1,0)</f>
        <v>3</v>
      </c>
      <c r="N86">
        <f t="shared" ref="N86" si="128">N85+M86*(INT(A86-6/24)-INT(A85-6/24))+O86</f>
        <v>70</v>
      </c>
      <c r="O86">
        <f t="shared" ref="O86" si="129">IF(A86&gt;=DATEVALUE("2025/11/8"),1,0)-IF(A85&gt;=DATEVALUE("2025/11/8"),1,0)</f>
        <v>0</v>
      </c>
      <c r="P86" t="str">
        <f t="shared" ref="P86" si="130">IF(L86&lt;N86,"未達成（"&amp;N86-L86&amp;"）",IF(L86=N86,"達成","前倒し（"&amp;L86-N86&amp;"）"))</f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230</v>
      </c>
      <c r="I87" t="s">
        <v>231</v>
      </c>
      <c r="J87">
        <v>0</v>
      </c>
      <c r="K87">
        <f t="shared" ref="K87" si="131">IF(A87&lt;DATEVALUE("2025/11/20"),1,IF(B87-SUM(D87:F87)&lt;&gt;60,0,MAX(2-INT(G87*24*60/10),0)))</f>
        <v>1</v>
      </c>
      <c r="L87">
        <f t="shared" ref="L87" si="132">L86+K87</f>
        <v>72</v>
      </c>
      <c r="M87">
        <f t="shared" ref="M87" si="133">2+IF(A87&gt;=DATEVALUE("2025/11/30"),1,0)</f>
        <v>3</v>
      </c>
      <c r="N87">
        <f t="shared" ref="N87" si="134">N86+M87*(INT(A87-6/24)-INT(A86-6/24))+O87</f>
        <v>73</v>
      </c>
      <c r="O87">
        <f t="shared" ref="O87" si="135">IF(A87&gt;=DATEVALUE("2025/11/8"),1,0)-IF(A86&gt;=DATEVALUE("2025/11/8"),1,0)</f>
        <v>0</v>
      </c>
      <c r="P87" t="str">
        <f t="shared" ref="P87" si="136">IF(L87&lt;N87,"未達成（"&amp;N87-L87&amp;"）",IF(L87=N87,"達成","前倒し（"&amp;L87-N87&amp;"）"))</f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232</v>
      </c>
      <c r="I88" t="s">
        <v>233</v>
      </c>
      <c r="J88">
        <v>0</v>
      </c>
      <c r="K88">
        <f t="shared" ref="K88" si="137">IF(A88&lt;DATEVALUE("2025/11/20"),1,IF(B88-SUM(D88:F88)&lt;&gt;60,0,MAX(2-INT(G88*24*60/10),0)))</f>
        <v>1</v>
      </c>
      <c r="L88">
        <f t="shared" ref="L88" si="138">L87+K88</f>
        <v>73</v>
      </c>
      <c r="M88">
        <f t="shared" ref="M88" si="139">2+IF(A88&gt;=DATEVALUE("2025/11/30"),1,0)</f>
        <v>3</v>
      </c>
      <c r="N88">
        <f t="shared" ref="N88" si="140">N87+M88*(INT(A88-6/24)-INT(A87-6/24))+O88</f>
        <v>73</v>
      </c>
      <c r="O88">
        <f t="shared" ref="O88" si="141">IF(A88&gt;=DATEVALUE("2025/11/8"),1,0)-IF(A87&gt;=DATEVALUE("2025/11/8"),1,0)</f>
        <v>0</v>
      </c>
      <c r="P88" t="str">
        <f t="shared" ref="P88" si="142">IF(L88&lt;N88,"未達成（"&amp;N88-L88&amp;"）",IF(L88=N88,"達成","前倒し（"&amp;L88-N88&amp;"）"))</f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234</v>
      </c>
      <c r="I89" t="s">
        <v>235</v>
      </c>
      <c r="J89">
        <v>0</v>
      </c>
      <c r="K89">
        <f t="shared" ref="K89" si="143">IF(A89&lt;DATEVALUE("2025/11/20"),1,IF(B89-SUM(D89:F89)&lt;&gt;60,0,MAX(2-INT(G89*24*60/10),0)))</f>
        <v>2</v>
      </c>
      <c r="L89">
        <f t="shared" ref="L89" si="144">L88+K89</f>
        <v>75</v>
      </c>
      <c r="M89">
        <f t="shared" ref="M89" si="145">2+IF(A89&gt;=DATEVALUE("2025/11/30"),1,0)</f>
        <v>3</v>
      </c>
      <c r="N89">
        <f t="shared" ref="N89" si="146">N88+M89*(INT(A89-6/24)-INT(A88-6/24))+O89</f>
        <v>76</v>
      </c>
      <c r="O89">
        <f t="shared" ref="O89" si="147">IF(A89&gt;=DATEVALUE("2025/11/8"),1,0)-IF(A88&gt;=DATEVALUE("2025/11/8"),1,0)</f>
        <v>0</v>
      </c>
      <c r="P89" t="str">
        <f t="shared" ref="P89" si="148">IF(L89&lt;N89,"未達成（"&amp;N89-L89&amp;"）",IF(L89=N89,"達成","前倒し（"&amp;L89-N89&amp;"）"))</f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236</v>
      </c>
      <c r="I90" t="s">
        <v>237</v>
      </c>
      <c r="J90">
        <v>0</v>
      </c>
      <c r="K90">
        <f t="shared" ref="K90" si="149">IF(A90&lt;DATEVALUE("2025/11/20"),1,IF(B90-SUM(D90:F90)&lt;&gt;60,0,MAX(2-INT(G90*24*60/10),0)))</f>
        <v>2</v>
      </c>
      <c r="L90">
        <f t="shared" ref="L90" si="150">L89+K90</f>
        <v>77</v>
      </c>
      <c r="M90">
        <f t="shared" ref="M90" si="151">2+IF(A90&gt;=DATEVALUE("2025/11/30"),1,0)</f>
        <v>3</v>
      </c>
      <c r="N90">
        <f t="shared" ref="N90" si="152">N89+M90*(INT(A90-6/24)-INT(A89-6/24))+O90</f>
        <v>76</v>
      </c>
      <c r="O90">
        <f t="shared" ref="O90" si="153">IF(A90&gt;=DATEVALUE("2025/11/8"),1,0)-IF(A89&gt;=DATEVALUE("2025/11/8"),1,0)</f>
        <v>0</v>
      </c>
      <c r="P90" t="str">
        <f t="shared" ref="P90" si="154">IF(L90&lt;N90,"未達成（"&amp;N90-L90&amp;"）",IF(L90=N90,"達成","前倒し（"&amp;L90-N90&amp;"）"))</f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238</v>
      </c>
      <c r="I91" t="s">
        <v>239</v>
      </c>
      <c r="J91">
        <v>0</v>
      </c>
      <c r="K91">
        <f t="shared" ref="K91" si="155">IF(A91&lt;DATEVALUE("2025/11/20"),1,IF(B91-SUM(D91:F91)&lt;&gt;60,0,MAX(2-INT(G91*24*60/10),0)))</f>
        <v>2</v>
      </c>
      <c r="L91">
        <f t="shared" ref="L91" si="156">L90+K91</f>
        <v>79</v>
      </c>
      <c r="M91">
        <f t="shared" ref="M91" si="157">2+IF(A91&gt;=DATEVALUE("2025/11/30"),1,0)</f>
        <v>3</v>
      </c>
      <c r="N91">
        <f t="shared" ref="N91" si="158">N90+M91*(INT(A91-6/24)-INT(A90-6/24))+O91</f>
        <v>79</v>
      </c>
      <c r="O91">
        <f t="shared" ref="O91" si="159">IF(A91&gt;=DATEVALUE("2025/11/8"),1,0)-IF(A90&gt;=DATEVALUE("2025/11/8"),1,0)</f>
        <v>0</v>
      </c>
      <c r="P91" t="str">
        <f t="shared" ref="P91" si="160">IF(L91&lt;N91,"未達成（"&amp;N91-L91&amp;"）",IF(L91=N91,"達成","前倒し（"&amp;L91-N91&amp;"）"))</f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240</v>
      </c>
      <c r="I92" t="s">
        <v>241</v>
      </c>
      <c r="J92">
        <v>0</v>
      </c>
      <c r="K92">
        <f t="shared" ref="K92" si="161">IF(A92&lt;DATEVALUE("2025/11/20"),1,IF(B92-SUM(D92:F92)&lt;&gt;60,0,MAX(2-INT(G92*24*60/10),0)))</f>
        <v>1</v>
      </c>
      <c r="L92">
        <f t="shared" ref="L92" si="162">L91+K92</f>
        <v>80</v>
      </c>
      <c r="M92">
        <f t="shared" ref="M92" si="163">2+IF(A92&gt;=DATEVALUE("2025/11/30"),1,0)</f>
        <v>3</v>
      </c>
      <c r="N92">
        <f t="shared" ref="N92" si="164">N91+M92*(INT(A92-6/24)-INT(A91-6/24))+O92</f>
        <v>82</v>
      </c>
      <c r="O92">
        <f t="shared" ref="O92" si="165">IF(A92&gt;=DATEVALUE("2025/11/8"),1,0)-IF(A91&gt;=DATEVALUE("2025/11/8"),1,0)</f>
        <v>0</v>
      </c>
      <c r="P92" t="str">
        <f t="shared" ref="P92" si="166">IF(L92&lt;N92,"未達成（"&amp;N92-L92&amp;"）",IF(L92=N92,"達成","前倒し（"&amp;L92-N92&amp;"）"))</f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242</v>
      </c>
      <c r="I93" t="s">
        <v>243</v>
      </c>
      <c r="J93">
        <v>0</v>
      </c>
      <c r="K93">
        <f t="shared" ref="K93" si="167">IF(A93&lt;DATEVALUE("2025/11/20"),1,IF(B93-SUM(D93:F93)&lt;&gt;60,0,MAX(2-INT(G93*24*60/10),0)))</f>
        <v>1</v>
      </c>
      <c r="L93">
        <f t="shared" ref="L93" si="168">L92+K93</f>
        <v>81</v>
      </c>
      <c r="M93">
        <f t="shared" ref="M93" si="169">2+IF(A93&gt;=DATEVALUE("2025/11/30"),1,0)</f>
        <v>3</v>
      </c>
      <c r="N93">
        <f t="shared" ref="N93" si="170">N92+M93*(INT(A93-6/24)-INT(A92-6/24))+O93</f>
        <v>82</v>
      </c>
      <c r="O93">
        <f t="shared" ref="O93" si="171">IF(A93&gt;=DATEVALUE("2025/11/8"),1,0)-IF(A92&gt;=DATEVALUE("2025/11/8"),1,0)</f>
        <v>0</v>
      </c>
      <c r="P93" t="str">
        <f t="shared" ref="P93" si="172">IF(L93&lt;N93,"未達成（"&amp;N93-L93&amp;"）",IF(L93=N93,"達成","前倒し（"&amp;L93-N93&amp;"）"))</f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244</v>
      </c>
      <c r="I94" t="s">
        <v>245</v>
      </c>
      <c r="J94">
        <v>0</v>
      </c>
      <c r="K94">
        <f t="shared" ref="K94" si="173">IF(A94&lt;DATEVALUE("2025/11/20"),1,IF(B94-SUM(D94:F94)&lt;&gt;60,0,MAX(2-INT(G94*24*60/10),0)))</f>
        <v>2</v>
      </c>
      <c r="L94">
        <f t="shared" ref="L94" si="174">L93+K94</f>
        <v>83</v>
      </c>
      <c r="M94">
        <f t="shared" ref="M94" si="175">2+IF(A94&gt;=DATEVALUE("2025/11/30"),1,0)</f>
        <v>3</v>
      </c>
      <c r="N94">
        <f t="shared" ref="N94" si="176">N93+M94*(INT(A94-6/24)-INT(A93-6/24))+O94</f>
        <v>82</v>
      </c>
      <c r="O94">
        <f t="shared" ref="O94" si="177">IF(A94&gt;=DATEVALUE("2025/11/8"),1,0)-IF(A93&gt;=DATEVALUE("2025/11/8"),1,0)</f>
        <v>0</v>
      </c>
      <c r="P94" t="str">
        <f t="shared" ref="P94" si="178">IF(L94&lt;N94,"未達成（"&amp;N94-L94&amp;"）",IF(L94=N94,"達成","前倒し（"&amp;L94-N94&amp;"）"))</f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45999.860856481479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2025-12-08T11:48:01Z</dcterms:modified>
</cp:coreProperties>
</file>
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8E2B4CDD-55F5-49B8-AF72-3169101AB0C3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82" i="4" l="1"/>
  <c r="M182" i="4"/>
  <c r="K182" i="4"/>
  <c r="O181" i="4"/>
  <c r="M181" i="4"/>
  <c r="K181" i="4"/>
  <c r="O180" i="4"/>
  <c r="M180" i="4"/>
  <c r="K180" i="4"/>
  <c r="O179" i="4"/>
  <c r="M179" i="4"/>
  <c r="K179" i="4"/>
  <c r="O178" i="4"/>
  <c r="M178" i="4"/>
  <c r="K178" i="4"/>
  <c r="O177" i="4"/>
  <c r="M177" i="4"/>
  <c r="K177" i="4"/>
  <c r="O176" i="4"/>
  <c r="M176" i="4"/>
  <c r="K176" i="4"/>
  <c r="O175" i="4"/>
  <c r="M175" i="4"/>
  <c r="K175" i="4"/>
  <c r="O174" i="4"/>
  <c r="M174" i="4"/>
  <c r="K174" i="4"/>
  <c r="O173" i="4"/>
  <c r="M173" i="4"/>
  <c r="K173" i="4"/>
  <c r="O172" i="4"/>
  <c r="M172" i="4"/>
  <c r="K172" i="4"/>
  <c r="O171" i="4"/>
  <c r="M171" i="4"/>
  <c r="K171" i="4"/>
  <c r="O170" i="4"/>
  <c r="M170" i="4"/>
  <c r="K170" i="4"/>
  <c r="O169" i="4"/>
  <c r="M169" i="4"/>
  <c r="K169" i="4"/>
  <c r="O168" i="4"/>
  <c r="M168" i="4"/>
  <c r="K168" i="4"/>
  <c r="O167" i="4"/>
  <c r="M167" i="4"/>
  <c r="K167" i="4"/>
  <c r="O166" i="4"/>
  <c r="M166" i="4"/>
  <c r="K166" i="4"/>
  <c r="O165" i="4"/>
  <c r="M165" i="4"/>
  <c r="K165" i="4"/>
  <c r="O164" i="4"/>
  <c r="M164" i="4"/>
  <c r="K164" i="4"/>
  <c r="O163" i="4"/>
  <c r="M163" i="4"/>
  <c r="K163" i="4"/>
  <c r="O162" i="4"/>
  <c r="M162" i="4"/>
  <c r="K162" i="4"/>
  <c r="O161" i="4"/>
  <c r="M161" i="4"/>
  <c r="K161" i="4"/>
  <c r="O160" i="4"/>
  <c r="M160" i="4"/>
  <c r="K160" i="4"/>
  <c r="O159" i="4"/>
  <c r="M159" i="4"/>
  <c r="K159" i="4"/>
  <c r="O158" i="4"/>
  <c r="M158" i="4"/>
  <c r="K158" i="4"/>
  <c r="O157" i="4"/>
  <c r="M157" i="4"/>
  <c r="K157" i="4"/>
  <c r="O156" i="4"/>
  <c r="M156" i="4"/>
  <c r="K156" i="4"/>
  <c r="O155" i="4"/>
  <c r="M155" i="4"/>
  <c r="K155" i="4"/>
  <c r="O154" i="4"/>
  <c r="M154" i="4"/>
  <c r="K154" i="4"/>
  <c r="O153" i="4"/>
  <c r="M153" i="4"/>
  <c r="K153" i="4"/>
  <c r="O152" i="4"/>
  <c r="M152" i="4"/>
  <c r="K152" i="4"/>
  <c r="O151" i="4"/>
  <c r="M151" i="4"/>
  <c r="K151" i="4"/>
  <c r="O150" i="4"/>
  <c r="M150" i="4"/>
  <c r="K150" i="4"/>
  <c r="O149" i="4"/>
  <c r="M149" i="4"/>
  <c r="K149" i="4"/>
  <c r="O148" i="4"/>
  <c r="M148" i="4"/>
  <c r="K148" i="4"/>
  <c r="O147" i="4"/>
  <c r="M147" i="4"/>
  <c r="K147" i="4"/>
  <c r="O146" i="4"/>
  <c r="M146" i="4"/>
  <c r="K146" i="4"/>
  <c r="O145" i="4"/>
  <c r="M145" i="4"/>
  <c r="K145" i="4"/>
  <c r="O144" i="4"/>
  <c r="M144" i="4"/>
  <c r="K144" i="4"/>
  <c r="O143" i="4"/>
  <c r="M143" i="4"/>
  <c r="K143" i="4"/>
  <c r="O142" i="4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K18" i="4"/>
  <c r="O18" i="4"/>
  <c r="M18" i="4"/>
  <c r="L18" i="4" l="1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L20" i="4" l="1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P20" i="4" l="1"/>
  <c r="L21" i="4"/>
  <c r="T2" i="5"/>
  <c r="T3" i="5"/>
  <c r="T4" i="3"/>
  <c r="S5" i="3"/>
  <c r="L22" i="4" l="1"/>
  <c r="P21" i="4"/>
  <c r="T4" i="5"/>
  <c r="S6" i="3"/>
  <c r="T6" i="3" s="1"/>
  <c r="T5" i="3"/>
  <c r="L23" i="4" l="1"/>
  <c r="P22" i="4"/>
  <c r="T6" i="5"/>
  <c r="T5" i="5"/>
  <c r="L24" i="4" l="1"/>
  <c r="P23" i="4"/>
  <c r="P18" i="4"/>
  <c r="P24" i="4" l="1"/>
  <c r="L25" i="4"/>
  <c r="L26" i="4" l="1"/>
  <c r="P25" i="4"/>
  <c r="L27" i="4" l="1"/>
  <c r="P26" i="4"/>
  <c r="L28" i="4" l="1"/>
  <c r="P27" i="4"/>
  <c r="P28" i="4" l="1"/>
  <c r="L29" i="4"/>
  <c r="L30" i="4" l="1"/>
  <c r="P29" i="4"/>
  <c r="L31" i="4" l="1"/>
  <c r="P30" i="4"/>
  <c r="L32" i="4" l="1"/>
  <c r="P31" i="4"/>
  <c r="P32" i="4" l="1"/>
  <c r="L33" i="4"/>
  <c r="L34" i="4" l="1"/>
  <c r="P33" i="4"/>
  <c r="L35" i="4" l="1"/>
  <c r="P34" i="4"/>
  <c r="L36" i="4" l="1"/>
  <c r="P35" i="4"/>
  <c r="P36" i="4" l="1"/>
  <c r="L37" i="4"/>
  <c r="L38" i="4" l="1"/>
  <c r="P37" i="4"/>
  <c r="L39" i="4" l="1"/>
  <c r="P38" i="4"/>
  <c r="L40" i="4" l="1"/>
  <c r="P39" i="4"/>
  <c r="P40" i="4" l="1"/>
  <c r="L41" i="4"/>
  <c r="L42" i="4" l="1"/>
  <c r="P41" i="4"/>
  <c r="L43" i="4" l="1"/>
  <c r="P42" i="4"/>
  <c r="L44" i="4" l="1"/>
  <c r="P43" i="4"/>
  <c r="P44" i="4" l="1"/>
  <c r="L45" i="4"/>
  <c r="L46" i="4" l="1"/>
  <c r="P45" i="4"/>
  <c r="L47" i="4" l="1"/>
  <c r="P46" i="4"/>
  <c r="L48" i="4" l="1"/>
  <c r="P47" i="4"/>
  <c r="P48" i="4" l="1"/>
  <c r="L49" i="4"/>
  <c r="L50" i="4" l="1"/>
  <c r="P49" i="4"/>
  <c r="L51" i="4" l="1"/>
  <c r="P50" i="4"/>
  <c r="L52" i="4" l="1"/>
  <c r="P51" i="4"/>
  <c r="P52" i="4" l="1"/>
  <c r="L53" i="4"/>
  <c r="L54" i="4" l="1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2" i="4" s="1"/>
  <c r="P181" i="4"/>
</calcChain>
</file>

<file path=xl/sharedStrings.xml><?xml version="1.0" encoding="utf-8"?>
<sst xmlns="http://schemas.openxmlformats.org/spreadsheetml/2006/main" count="440" uniqueCount="421">
  <si>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</si>
  <si>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</si>
  <si>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</si>
  <si>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</si>
  <si>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</si>
  <si>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</si>
  <si>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</si>
  <si>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</si>
  <si>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</si>
  <si>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</si>
  <si>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</si>
  <si>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</si>
  <si>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</si>
  <si>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</si>
  <si>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</si>
  <si>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</si>
  <si>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</si>
  <si>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</si>
  <si>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</si>
  <si>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</si>
  <si>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</si>
  <si>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</si>
  <si>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</si>
  <si>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</si>
  <si>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</si>
  <si>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</si>
  <si>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</si>
  <si>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</si>
  <si>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</si>
  <si>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</si>
  <si>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</si>
  <si>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</si>
  <si>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</si>
  <si>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</si>
  <si>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</si>
  <si>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</si>
  <si>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</si>
  <si>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</si>
  <si>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</si>
  <si>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</si>
  <si>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</si>
  <si>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</si>
  <si>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</si>
  <si>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</si>
  <si>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</si>
  <si>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</si>
  <si>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</si>
  <si>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</si>
  <si>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</si>
  <si>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</si>
  <si>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</si>
  <si>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</si>
  <si>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</si>
  <si>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</si>
  <si>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</si>
  <si>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</si>
  <si>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</si>
  <si>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</si>
  <si>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</si>
  <si>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</si>
  <si>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</si>
  <si>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</si>
  <si>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</si>
  <si>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</si>
  <si>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</si>
  <si>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</si>
  <si>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</si>
  <si>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</si>
  <si>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</si>
  <si>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</si>
  <si>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</si>
  <si>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</si>
  <si>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</si>
  <si>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</si>
  <si>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</si>
  <si>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</si>
  <si>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</si>
  <si>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</si>
  <si>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</si>
  <si>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</si>
  <si>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</si>
  <si>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</si>
  <si>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</si>
  <si>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</si>
  <si>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</si>
  <si>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</si>
  <si>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</si>
  <si>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</si>
  <si>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</si>
  <si>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</si>
  <si>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</si>
  <si>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</si>
  <si>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</si>
  <si>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</si>
  <si>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</si>
  <si>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</si>
  <si>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</si>
  <si>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</si>
  <si>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</si>
  <si>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</si>
  <si>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</si>
  <si>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</si>
  <si>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</si>
  <si>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</si>
  <si>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</si>
  <si>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</si>
  <si>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</si>
  <si>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</si>
  <si>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</si>
  <si>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</si>
  <si>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</si>
  <si>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</si>
  <si>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</si>
  <si>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</si>
  <si>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</si>
  <si>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</si>
  <si>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</si>
  <si>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</si>
  <si>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</si>
  <si>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</si>
  <si>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</si>
  <si>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</si>
  <si>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</si>
  <si>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</si>
  <si>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</si>
  <si>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</si>
  <si>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</si>
  <si>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</si>
  <si>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</si>
  <si>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</si>
  <si>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</si>
  <si>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</si>
  <si>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</si>
  <si>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</si>
  <si>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</si>
  <si>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</si>
  <si>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</si>
  <si>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</si>
  <si>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</si>
  <si>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</si>
  <si>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</si>
  <si>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</si>
  <si>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</si>
  <si>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</si>
  <si>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</si>
  <si>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</si>
  <si>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</si>
  <si>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</si>
  <si>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</si>
  <si>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</si>
  <si>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</si>
  <si>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</si>
  <si>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</si>
  <si>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</si>
  <si>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</si>
  <si>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</si>
  <si>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</si>
  <si>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</si>
  <si>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</si>
  <si>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</si>
  <si>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</si>
  <si>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</si>
  <si>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</si>
  <si>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</si>
  <si>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</si>
  <si>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</si>
  <si>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</si>
  <si>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</si>
  <si>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</si>
  <si>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</si>
  <si>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</si>
  <si>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</si>
  <si>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</si>
  <si>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</si>
  <si>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</si>
  <si>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</si>
  <si>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</si>
  <si>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</si>
  <si>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</si>
  <si>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</si>
  <si>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</si>
  <si>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</si>
  <si>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</si>
  <si>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</si>
  <si>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</si>
  <si>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</si>
  <si>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</si>
  <si>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</si>
  <si>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</si>
  <si>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</si>
  <si>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</si>
  <si>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</si>
  <si>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</si>
  <si>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</si>
  <si>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</si>
  <si>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</si>
  <si>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</si>
  <si>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</si>
  <si>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</si>
  <si>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</si>
  <si>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</si>
  <si>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</si>
  <si>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</si>
  <si>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</si>
  <si>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</si>
  <si>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</si>
  <si>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</si>
  <si>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</si>
  <si>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</si>
  <si>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</si>
  <si>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</si>
  <si>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</si>
  <si>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</si>
  <si>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</si>
  <si>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</si>
  <si>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</si>
  <si>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</si>
  <si>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</si>
  <si>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</si>
  <si>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</si>
  <si>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</si>
  <si>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</si>
  <si>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</si>
  <si>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</si>
  <si>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</si>
  <si>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</si>
  <si>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</si>
  <si>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</si>
  <si>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</si>
  <si>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</si>
  <si>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</si>
  <si>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</si>
  <si>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</si>
  <si>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</si>
  <si>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</si>
  <si>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</si>
  <si>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</si>
  <si>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</si>
  <si>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</si>
  <si>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</si>
  <si>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</si>
  <si>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</si>
  <si>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</si>
  <si>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</si>
  <si>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</si>
  <si>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</si>
  <si>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</si>
  <si>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</si>
  <si>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</si>
  <si>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</si>
  <si>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</si>
  <si>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</si>
  <si>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</si>
  <si>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</si>
  <si>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</si>
  <si>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</si>
  <si>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</si>
  <si>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</si>
  <si>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</si>
  <si>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</si>
  <si>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</si>
  <si>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</si>
  <si>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</si>
  <si>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</si>
  <si>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</si>
  <si>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</si>
  <si>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</si>
  <si>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</si>
  <si>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</si>
  <si>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</si>
  <si>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</si>
  <si>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</si>
  <si>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</si>
  <si>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</si>
  <si>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</si>
  <si>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</si>
  <si>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</si>
  <si>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</si>
  <si>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</si>
  <si>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</si>
  <si>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</si>
  <si>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</si>
  <si>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</si>
  <si>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</si>
  <si>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</si>
  <si>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</si>
  <si>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</si>
  <si>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</si>
  <si>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</si>
  <si>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</si>
  <si>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</si>
  <si>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</si>
  <si>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</si>
  <si>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</si>
  <si>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</si>
  <si>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</si>
  <si>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</si>
  <si>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</si>
  <si>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</si>
  <si>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</si>
  <si>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</si>
  <si>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</si>
  <si>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</si>
  <si>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</si>
  <si>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</si>
  <si>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</si>
  <si>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</si>
  <si>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</si>
  <si>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</si>
  <si>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</si>
  <si>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</si>
  <si>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</si>
  <si>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</si>
  <si>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</si>
  <si>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</si>
  <si>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</si>
  <si>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</si>
  <si>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</si>
  <si>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</si>
  <si>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</si>
  <si>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</si>
  <si>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</si>
  <si>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</si>
  <si>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</si>
  <si>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</si>
  <si>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</si>
  <si>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</si>
  <si>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</si>
  <si>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</si>
  <si>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</si>
  <si>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</si>
  <si>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</si>
  <si>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</si>
  <si>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</si>
  <si>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</si>
  <si>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</si>
  <si>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</si>
  <si>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</si>
  <si>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</si>
  <si>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</si>
  <si>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</si>
  <si>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</si>
  <si>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</si>
  <si>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</si>
  <si>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</si>
  <si>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</si>
  <si>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</si>
  <si>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</si>
  <si>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</si>
  <si>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</si>
  <si>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</si>
  <si>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</si>
  <si>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</si>
  <si>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</si>
  <si>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</si>
  <si>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</si>
  <si>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</si>
  <si>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</si>
  <si>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</si>
  <si>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</si>
  <si>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</si>
  <si>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</si>
  <si>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</si>
  <si>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</si>
  <si>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</si>
  <si>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</si>
  <si>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</si>
  <si>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</si>
  <si>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</si>
  <si>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</si>
  <si>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</si>
  <si>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</si>
  <si>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</si>
  <si>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</si>
  <si>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</si>
  <si>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</si>
  <si>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</si>
  <si>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</si>
  <si>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</si>
  <si>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</si>
  <si>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</si>
  <si>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</si>
  <si>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</si>
  <si>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</si>
  <si>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</si>
  <si>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</si>
  <si>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</si>
  <si>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</si>
  <si>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</si>
  <si>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</si>
  <si>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</si>
  <si>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</si>
  <si>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</si>
  <si>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</si>
  <si>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</si>
  <si>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</si>
  <si>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</si>
  <si>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</si>
  <si>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</si>
  <si>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</si>
  <si>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</si>
  <si>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</si>
  <si>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</si>
  <si>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</si>
  <si>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ポイント（2025/11/20未満は１、2025/11/20以上は得点１が６０点以外は０、減点１２３が０点以外は０、経過時間が２０分※１以上は０、１０分台は１、0分台は２）
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7" eb="99">
      <t>ミマン</t>
    </rPh>
    <rPh sb="102" eb="103">
      <t>フン</t>
    </rPh>
    <rPh sb="114" eb="116">
      <t>イジョウ</t>
    </rPh>
    <phoneticPr fontId="1"/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</si>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</sst>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 wrapText="1"/>
    </xf>
    <xf numFmtId="22" fontId="0" fillId="0" borderId="0" xfId="0" applyNumberFormat="1" applyFill="1">
      <alignment vertical="center"/>
    </xf>
    <xf numFmtId="176" fontId="0" fillId="0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データ!$P$2:$P$181</c:f>
              <c:strCache>
                <c:ptCount val="180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  <c:pt idx="109">
                  <c:v>前倒し（1）</c:v>
                </c:pt>
                <c:pt idx="110">
                  <c:v>未達成（1）</c:v>
                </c:pt>
                <c:pt idx="111">
                  <c:v>達成</c:v>
                </c:pt>
                <c:pt idx="112">
                  <c:v>未達成（2）</c:v>
                </c:pt>
                <c:pt idx="113">
                  <c:v>未達成（1）</c:v>
                </c:pt>
                <c:pt idx="114">
                  <c:v>達成</c:v>
                </c:pt>
                <c:pt idx="115">
                  <c:v>未達成（3）</c:v>
                </c:pt>
                <c:pt idx="116">
                  <c:v>未達成（3）</c:v>
                </c:pt>
                <c:pt idx="117">
                  <c:v>未達成（2）</c:v>
                </c:pt>
                <c:pt idx="118">
                  <c:v>達成</c:v>
                </c:pt>
                <c:pt idx="119">
                  <c:v>未達成（3）</c:v>
                </c:pt>
                <c:pt idx="120">
                  <c:v>未達成（2）</c:v>
                </c:pt>
                <c:pt idx="121">
                  <c:v>未達成（2）</c:v>
                </c:pt>
                <c:pt idx="122">
                  <c:v>達成</c:v>
                </c:pt>
                <c:pt idx="123">
                  <c:v>未達成（3）</c:v>
                </c:pt>
                <c:pt idx="124">
                  <c:v>未達成（1）</c:v>
                </c:pt>
                <c:pt idx="125">
                  <c:v>達成</c:v>
                </c:pt>
                <c:pt idx="126">
                  <c:v>未達成（3）</c:v>
                </c:pt>
                <c:pt idx="127">
                  <c:v>未達成（1）</c:v>
                </c:pt>
                <c:pt idx="128">
                  <c:v>達成</c:v>
                </c:pt>
                <c:pt idx="129">
                  <c:v>未達成（2）</c:v>
                </c:pt>
                <c:pt idx="130">
                  <c:v>達成</c:v>
                </c:pt>
                <c:pt idx="131">
                  <c:v>未達成（3）</c:v>
                </c:pt>
                <c:pt idx="132">
                  <c:v>未達成（3）</c:v>
                </c:pt>
                <c:pt idx="133">
                  <c:v>未達成（2）</c:v>
                </c:pt>
                <c:pt idx="134">
                  <c:v>達成</c:v>
                </c:pt>
                <c:pt idx="135">
                  <c:v>未達成（2）</c:v>
                </c:pt>
                <c:pt idx="136">
                  <c:v>未達成（2）</c:v>
                </c:pt>
                <c:pt idx="137">
                  <c:v>達成</c:v>
                </c:pt>
                <c:pt idx="138">
                  <c:v>未達成（3）</c:v>
                </c:pt>
                <c:pt idx="139">
                  <c:v>未達成（1）</c:v>
                </c:pt>
                <c:pt idx="140">
                  <c:v>達成</c:v>
                </c:pt>
                <c:pt idx="141">
                  <c:v>未達成（3）</c:v>
                </c:pt>
                <c:pt idx="142">
                  <c:v>未達成（2）</c:v>
                </c:pt>
                <c:pt idx="143">
                  <c:v>達成</c:v>
                </c:pt>
                <c:pt idx="144">
                  <c:v>未達成（3）</c:v>
                </c:pt>
                <c:pt idx="145">
                  <c:v>未達成（2）</c:v>
                </c:pt>
                <c:pt idx="146">
                  <c:v>達成</c:v>
                </c:pt>
                <c:pt idx="147">
                  <c:v>未達成（3）</c:v>
                </c:pt>
                <c:pt idx="148">
                  <c:v>未達成（1）</c:v>
                </c:pt>
                <c:pt idx="149">
                  <c:v>達成</c:v>
                </c:pt>
                <c:pt idx="150">
                  <c:v>未達成（2）</c:v>
                </c:pt>
                <c:pt idx="151">
                  <c:v>達成</c:v>
                </c:pt>
                <c:pt idx="152">
                  <c:v>未達成（3）</c:v>
                </c:pt>
                <c:pt idx="153">
                  <c:v>未達成（1）</c:v>
                </c:pt>
                <c:pt idx="154">
                  <c:v>前倒し（1）</c:v>
                </c:pt>
                <c:pt idx="155">
                  <c:v>未達成（1）</c:v>
                </c:pt>
                <c:pt idx="156">
                  <c:v>達成</c:v>
                </c:pt>
                <c:pt idx="157">
                  <c:v>未達成（3）</c:v>
                </c:pt>
                <c:pt idx="158">
                  <c:v>未達成（1）</c:v>
                </c:pt>
                <c:pt idx="159">
                  <c:v>達成</c:v>
                </c:pt>
                <c:pt idx="160">
                  <c:v>未達成（2）</c:v>
                </c:pt>
                <c:pt idx="161">
                  <c:v>未達成（1）</c:v>
                </c:pt>
                <c:pt idx="162">
                  <c:v>前倒し（1）</c:v>
                </c:pt>
                <c:pt idx="163">
                  <c:v>未達成（2）</c:v>
                </c:pt>
                <c:pt idx="164">
                  <c:v>未達成（1）</c:v>
                </c:pt>
                <c:pt idx="165">
                  <c:v>前倒し（1）</c:v>
                </c:pt>
                <c:pt idx="166">
                  <c:v>未達成（2）</c:v>
                </c:pt>
                <c:pt idx="167">
                  <c:v>達成</c:v>
                </c:pt>
                <c:pt idx="168">
                  <c:v>未達成（2）</c:v>
                </c:pt>
                <c:pt idx="169">
                  <c:v>達成</c:v>
                </c:pt>
                <c:pt idx="170">
                  <c:v>未達成（3）</c:v>
                </c:pt>
                <c:pt idx="171">
                  <c:v>未達成（2）</c:v>
                </c:pt>
                <c:pt idx="172">
                  <c:v>達成</c:v>
                </c:pt>
                <c:pt idx="173">
                  <c:v>未達成（2）</c:v>
                </c:pt>
                <c:pt idx="174">
                  <c:v>未達成（1）</c:v>
                </c:pt>
                <c:pt idx="175">
                  <c:v>前倒し（1）</c:v>
                </c:pt>
                <c:pt idx="176">
                  <c:v>未達成（1）</c:v>
                </c:pt>
                <c:pt idx="177">
                  <c:v>前倒し（1）</c:v>
                </c:pt>
                <c:pt idx="178">
                  <c:v>未達成（2）</c:v>
                </c:pt>
                <c:pt idx="179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データ!$A$3:$A$182</c:f>
              <c:numCache>
                <c:formatCode>m/d/yyyy\ h:mm</c:formatCode>
                <c:ptCount val="18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</c:numCache>
            </c:numRef>
          </c:xVal>
          <c:yVal>
            <c:numRef>
              <c:f>データ!$B$3:$B$182</c:f>
              <c:numCache>
                <c:formatCode>General</c:formatCode>
                <c:ptCount val="180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95-4F76-B4C2-DA0DF63B705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995-4F76-B4C2-DA0DF63B7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4428159"/>
        <c:axId val="1534429119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データ!$A$3:$A$182</c:f>
              <c:numCache>
                <c:formatCode>m/d/yyyy\ h:mm</c:formatCode>
                <c:ptCount val="18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</c:numCache>
            </c:numRef>
          </c:xVal>
          <c:yVal>
            <c:numRef>
              <c:f>データ!$G$3:$G$182</c:f>
              <c:numCache>
                <c:formatCode>[h]:mm</c:formatCode>
                <c:ptCount val="180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95-4F76-B4C2-DA0DF63B7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4448319"/>
        <c:axId val="1534407519"/>
      </c:scatterChart>
      <c:valAx>
        <c:axId val="15344281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34429119"/>
        <c:crosses val="autoZero"/>
        <c:crossBetween val="midCat"/>
      </c:valAx>
      <c:valAx>
        <c:axId val="1534429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34428159"/>
        <c:crosses val="autoZero"/>
        <c:crossBetween val="midCat"/>
      </c:valAx>
      <c:valAx>
        <c:axId val="1534407519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34448319"/>
        <c:crosses val="max"/>
        <c:crossBetween val="midCat"/>
      </c:valAx>
      <c:valAx>
        <c:axId val="1534448319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34407519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211931</xdr:colOff>
      <xdr:row>5</xdr:row>
      <xdr:rowOff>178593</xdr:rowOff>
    </xdr:from>
    <xdr:to>
      <xdr:col>7</xdr:col>
      <xdr:colOff>211931</xdr:colOff>
      <xdr:row>11</xdr:row>
      <xdr:rowOff>178593</xdr:rowOff>
    </xdr:to>
    <xdr:cxnSp macro="">
      <xdr:nvCxnSpPr>
        <xdr:cNvPr id="1036" name="Match0">
          <a:extLst>
            <a:ext uri="{FF2B5EF4-FFF2-40B4-BE49-F238E27FC236}">
              <a16:creationId xmlns:a16="http://schemas.microsoft.com/office/drawing/2014/main" id="{FA1A9DA8-E74F-FEE5-7EBD-DD232C8D9698}"/>
            </a:ext>
          </a:extLst>
        </xdr:cNvPr>
        <xdr:cNvCxnSpPr/>
      </xdr:nvCxnSpPr>
      <xdr:spPr>
        <a:xfrm>
          <a:off x="635794" y="1964531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5</xdr:col>
      <xdr:colOff>211931</xdr:colOff>
      <xdr:row>2</xdr:row>
      <xdr:rowOff>178594</xdr:rowOff>
    </xdr:to>
    <xdr:cxnSp macro="">
      <xdr:nvCxnSpPr>
        <xdr:cNvPr id="1037" name="Match1">
          <a:extLst>
            <a:ext uri="{FF2B5EF4-FFF2-40B4-BE49-F238E27FC236}">
              <a16:creationId xmlns:a16="http://schemas.microsoft.com/office/drawing/2014/main" id="{606CB492-225F-51A1-5CC1-FA73156A5E73}"/>
            </a:ext>
          </a:extLst>
        </xdr:cNvPr>
        <xdr:cNvCxnSpPr/>
      </xdr:nvCxnSpPr>
      <xdr:spPr>
        <a:xfrm>
          <a:off x="190738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2</xdr:row>
      <xdr:rowOff>178594</xdr:rowOff>
    </xdr:from>
    <xdr:to>
      <xdr:col>8</xdr:col>
      <xdr:colOff>211931</xdr:colOff>
      <xdr:row>3</xdr:row>
      <xdr:rowOff>178593</xdr:rowOff>
    </xdr:to>
    <xdr:cxnSp macro="">
      <xdr:nvCxnSpPr>
        <xdr:cNvPr id="1038" name="Match2">
          <a:extLst>
            <a:ext uri="{FF2B5EF4-FFF2-40B4-BE49-F238E27FC236}">
              <a16:creationId xmlns:a16="http://schemas.microsoft.com/office/drawing/2014/main" id="{D475D7DE-17D0-91D2-2A7B-2BFB9DD2B060}"/>
            </a:ext>
          </a:extLst>
        </xdr:cNvPr>
        <xdr:cNvCxnSpPr/>
      </xdr:nvCxnSpPr>
      <xdr:spPr>
        <a:xfrm flipH="1" flipV="1">
          <a:off x="3178969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1</xdr:col>
      <xdr:colOff>211931</xdr:colOff>
      <xdr:row>6</xdr:row>
      <xdr:rowOff>178594</xdr:rowOff>
    </xdr:to>
    <xdr:cxnSp macro="">
      <xdr:nvCxnSpPr>
        <xdr:cNvPr id="1039" name="Match3">
          <a:extLst>
            <a:ext uri="{FF2B5EF4-FFF2-40B4-BE49-F238E27FC236}">
              <a16:creationId xmlns:a16="http://schemas.microsoft.com/office/drawing/2014/main" id="{FD717717-B05C-9724-B7EB-696396CA6B82}"/>
            </a:ext>
          </a:extLst>
        </xdr:cNvPr>
        <xdr:cNvCxnSpPr/>
      </xdr:nvCxnSpPr>
      <xdr:spPr>
        <a:xfrm>
          <a:off x="21193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2</xdr:col>
      <xdr:colOff>211931</xdr:colOff>
      <xdr:row>6</xdr:row>
      <xdr:rowOff>178594</xdr:rowOff>
    </xdr:to>
    <xdr:cxnSp macro="">
      <xdr:nvCxnSpPr>
        <xdr:cNvPr id="1040" name="Match4">
          <a:extLst>
            <a:ext uri="{FF2B5EF4-FFF2-40B4-BE49-F238E27FC236}">
              <a16:creationId xmlns:a16="http://schemas.microsoft.com/office/drawing/2014/main" id="{B1C7327F-4B5D-BBD6-8496-B3C91DCBB8A8}"/>
            </a:ext>
          </a:extLst>
        </xdr:cNvPr>
        <xdr:cNvCxnSpPr/>
      </xdr:nvCxnSpPr>
      <xdr:spPr>
        <a:xfrm flipH="1">
          <a:off x="635794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6</xdr:row>
      <xdr:rowOff>178594</xdr:rowOff>
    </xdr:to>
    <xdr:cxnSp macro="">
      <xdr:nvCxnSpPr>
        <xdr:cNvPr id="1041" name="Match5">
          <a:extLst>
            <a:ext uri="{FF2B5EF4-FFF2-40B4-BE49-F238E27FC236}">
              <a16:creationId xmlns:a16="http://schemas.microsoft.com/office/drawing/2014/main" id="{2384D50C-E6FA-D852-5F45-8B19CCDF5C11}"/>
            </a:ext>
          </a:extLst>
        </xdr:cNvPr>
        <xdr:cNvCxnSpPr/>
      </xdr:nvCxnSpPr>
      <xdr:spPr>
        <a:xfrm flipH="1">
          <a:off x="3178969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5</xdr:row>
      <xdr:rowOff>203993</xdr:rowOff>
    </xdr:from>
    <xdr:to>
      <xdr:col>8</xdr:col>
      <xdr:colOff>237331</xdr:colOff>
      <xdr:row>6</xdr:row>
      <xdr:rowOff>203994</xdr:rowOff>
    </xdr:to>
    <xdr:cxnSp macro="">
      <xdr:nvCxnSpPr>
        <xdr:cNvPr id="1042" name="Match6">
          <a:extLst>
            <a:ext uri="{FF2B5EF4-FFF2-40B4-BE49-F238E27FC236}">
              <a16:creationId xmlns:a16="http://schemas.microsoft.com/office/drawing/2014/main" id="{BD1E881A-53D1-2D4A-BCC4-AD3D9F9DB4F8}"/>
            </a:ext>
          </a:extLst>
        </xdr:cNvPr>
        <xdr:cNvCxnSpPr/>
      </xdr:nvCxnSpPr>
      <xdr:spPr>
        <a:xfrm flipH="1" flipV="1">
          <a:off x="3204369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6</xdr:row>
      <xdr:rowOff>178594</xdr:rowOff>
    </xdr:from>
    <xdr:to>
      <xdr:col>11</xdr:col>
      <xdr:colOff>211931</xdr:colOff>
      <xdr:row>7</xdr:row>
      <xdr:rowOff>178593</xdr:rowOff>
    </xdr:to>
    <xdr:cxnSp macro="">
      <xdr:nvCxnSpPr>
        <xdr:cNvPr id="1043" name="Match7">
          <a:extLst>
            <a:ext uri="{FF2B5EF4-FFF2-40B4-BE49-F238E27FC236}">
              <a16:creationId xmlns:a16="http://schemas.microsoft.com/office/drawing/2014/main" id="{74A88E3B-3DAC-47F4-C596-A1F1BDF16E40}"/>
            </a:ext>
          </a:extLst>
        </xdr:cNvPr>
        <xdr:cNvCxnSpPr/>
      </xdr:nvCxnSpPr>
      <xdr:spPr>
        <a:xfrm flipV="1">
          <a:off x="4450556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6</xdr:col>
      <xdr:colOff>211931</xdr:colOff>
      <xdr:row>8</xdr:row>
      <xdr:rowOff>178594</xdr:rowOff>
    </xdr:to>
    <xdr:cxnSp macro="">
      <xdr:nvCxnSpPr>
        <xdr:cNvPr id="1044" name="Match8">
          <a:extLst>
            <a:ext uri="{FF2B5EF4-FFF2-40B4-BE49-F238E27FC236}">
              <a16:creationId xmlns:a16="http://schemas.microsoft.com/office/drawing/2014/main" id="{87C7E575-5E42-32A7-AE53-2C304C91E99F}"/>
            </a:ext>
          </a:extLst>
        </xdr:cNvPr>
        <xdr:cNvCxnSpPr/>
      </xdr:nvCxnSpPr>
      <xdr:spPr>
        <a:xfrm flipH="1" flipV="1">
          <a:off x="233124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10</xdr:row>
      <xdr:rowOff>178594</xdr:rowOff>
    </xdr:to>
    <xdr:cxnSp macro="">
      <xdr:nvCxnSpPr>
        <xdr:cNvPr id="1045" name="Match9">
          <a:extLst>
            <a:ext uri="{FF2B5EF4-FFF2-40B4-BE49-F238E27FC236}">
              <a16:creationId xmlns:a16="http://schemas.microsoft.com/office/drawing/2014/main" id="{47E61FBA-9F94-68C7-F7C3-EABDFBAE23A7}"/>
            </a:ext>
          </a:extLst>
        </xdr:cNvPr>
        <xdr:cNvCxnSpPr/>
      </xdr:nvCxnSpPr>
      <xdr:spPr>
        <a:xfrm>
          <a:off x="445055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9</xdr:row>
      <xdr:rowOff>203993</xdr:rowOff>
    </xdr:from>
    <xdr:to>
      <xdr:col>10</xdr:col>
      <xdr:colOff>237331</xdr:colOff>
      <xdr:row>10</xdr:row>
      <xdr:rowOff>203994</xdr:rowOff>
    </xdr:to>
    <xdr:cxnSp macro="">
      <xdr:nvCxnSpPr>
        <xdr:cNvPr id="1046" name="Match10">
          <a:extLst>
            <a:ext uri="{FF2B5EF4-FFF2-40B4-BE49-F238E27FC236}">
              <a16:creationId xmlns:a16="http://schemas.microsoft.com/office/drawing/2014/main" id="{C46173E8-FED1-C89D-A6EA-27B3C2D163D3}"/>
            </a:ext>
          </a:extLst>
        </xdr:cNvPr>
        <xdr:cNvCxnSpPr/>
      </xdr:nvCxnSpPr>
      <xdr:spPr>
        <a:xfrm>
          <a:off x="4475956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10</xdr:row>
      <xdr:rowOff>178594</xdr:rowOff>
    </xdr:to>
    <xdr:cxnSp macro="">
      <xdr:nvCxnSpPr>
        <xdr:cNvPr id="1047" name="Match11">
          <a:extLst>
            <a:ext uri="{FF2B5EF4-FFF2-40B4-BE49-F238E27FC236}">
              <a16:creationId xmlns:a16="http://schemas.microsoft.com/office/drawing/2014/main" id="{4AB4A231-784C-E6BF-3A54-8DBF8381FF56}"/>
            </a:ext>
          </a:extLst>
        </xdr:cNvPr>
        <xdr:cNvCxnSpPr/>
      </xdr:nvCxnSpPr>
      <xdr:spPr>
        <a:xfrm>
          <a:off x="4026694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10</xdr:row>
      <xdr:rowOff>203994</xdr:rowOff>
    </xdr:from>
    <xdr:to>
      <xdr:col>9</xdr:col>
      <xdr:colOff>237331</xdr:colOff>
      <xdr:row>11</xdr:row>
      <xdr:rowOff>203993</xdr:rowOff>
    </xdr:to>
    <xdr:cxnSp macro="">
      <xdr:nvCxnSpPr>
        <xdr:cNvPr id="1048" name="Match12">
          <a:extLst>
            <a:ext uri="{FF2B5EF4-FFF2-40B4-BE49-F238E27FC236}">
              <a16:creationId xmlns:a16="http://schemas.microsoft.com/office/drawing/2014/main" id="{5C15E803-8626-4924-EAFF-179617452E80}"/>
            </a:ext>
          </a:extLst>
        </xdr:cNvPr>
        <xdr:cNvCxnSpPr/>
      </xdr:nvCxnSpPr>
      <xdr:spPr>
        <a:xfrm>
          <a:off x="4052094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11</xdr:row>
      <xdr:rowOff>178593</xdr:rowOff>
    </xdr:from>
    <xdr:to>
      <xdr:col>9</xdr:col>
      <xdr:colOff>211931</xdr:colOff>
      <xdr:row>11</xdr:row>
      <xdr:rowOff>178593</xdr:rowOff>
    </xdr:to>
    <xdr:cxnSp macro="">
      <xdr:nvCxnSpPr>
        <xdr:cNvPr id="1049" name="Match13">
          <a:extLst>
            <a:ext uri="{FF2B5EF4-FFF2-40B4-BE49-F238E27FC236}">
              <a16:creationId xmlns:a16="http://schemas.microsoft.com/office/drawing/2014/main" id="{C18BD483-4D23-2411-34D5-BF0ABDB37EF3}"/>
            </a:ext>
          </a:extLst>
        </xdr:cNvPr>
        <xdr:cNvCxnSpPr/>
      </xdr:nvCxnSpPr>
      <xdr:spPr>
        <a:xfrm>
          <a:off x="3602831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0</xdr:row>
      <xdr:rowOff>178594</xdr:rowOff>
    </xdr:to>
    <xdr:cxnSp macro="">
      <xdr:nvCxnSpPr>
        <xdr:cNvPr id="1055" name="Match14">
          <a:extLst>
            <a:ext uri="{FF2B5EF4-FFF2-40B4-BE49-F238E27FC236}">
              <a16:creationId xmlns:a16="http://schemas.microsoft.com/office/drawing/2014/main" id="{1D787258-2009-7EC6-2A5E-67845C9AC60E}"/>
            </a:ext>
          </a:extLst>
        </xdr:cNvPr>
        <xdr:cNvCxnSpPr/>
      </xdr:nvCxnSpPr>
      <xdr:spPr>
        <a:xfrm flipH="1">
          <a:off x="190738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4</xdr:row>
      <xdr:rowOff>178594</xdr:rowOff>
    </xdr:from>
    <xdr:to>
      <xdr:col>11</xdr:col>
      <xdr:colOff>211931</xdr:colOff>
      <xdr:row>5</xdr:row>
      <xdr:rowOff>178593</xdr:rowOff>
    </xdr:to>
    <xdr:cxnSp macro="">
      <xdr:nvCxnSpPr>
        <xdr:cNvPr id="1056" name="Match15">
          <a:extLst>
            <a:ext uri="{FF2B5EF4-FFF2-40B4-BE49-F238E27FC236}">
              <a16:creationId xmlns:a16="http://schemas.microsoft.com/office/drawing/2014/main" id="{A15543FD-B510-D6BC-C6F5-34B5B09CC9F0}"/>
            </a:ext>
          </a:extLst>
        </xdr:cNvPr>
        <xdr:cNvCxnSpPr/>
      </xdr:nvCxnSpPr>
      <xdr:spPr>
        <a:xfrm>
          <a:off x="4874419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7</xdr:col>
      <xdr:colOff>211931</xdr:colOff>
      <xdr:row>7</xdr:row>
      <xdr:rowOff>178593</xdr:rowOff>
    </xdr:to>
    <xdr:cxnSp macro="">
      <xdr:nvCxnSpPr>
        <xdr:cNvPr id="1057" name="Match16">
          <a:extLst>
            <a:ext uri="{FF2B5EF4-FFF2-40B4-BE49-F238E27FC236}">
              <a16:creationId xmlns:a16="http://schemas.microsoft.com/office/drawing/2014/main" id="{98BA336B-2D5A-12BE-5253-BF55FD0B7242}"/>
            </a:ext>
          </a:extLst>
        </xdr:cNvPr>
        <xdr:cNvCxnSpPr/>
      </xdr:nvCxnSpPr>
      <xdr:spPr>
        <a:xfrm>
          <a:off x="2755106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6</xdr:row>
      <xdr:rowOff>203994</xdr:rowOff>
    </xdr:from>
    <xdr:to>
      <xdr:col>6</xdr:col>
      <xdr:colOff>237331</xdr:colOff>
      <xdr:row>6</xdr:row>
      <xdr:rowOff>203994</xdr:rowOff>
    </xdr:to>
    <xdr:cxnSp macro="">
      <xdr:nvCxnSpPr>
        <xdr:cNvPr id="1061" name="Match17">
          <a:extLst>
            <a:ext uri="{FF2B5EF4-FFF2-40B4-BE49-F238E27FC236}">
              <a16:creationId xmlns:a16="http://schemas.microsoft.com/office/drawing/2014/main" id="{46D0D28B-3C3A-5BD6-FFA3-6BDB58959B4F}"/>
            </a:ext>
          </a:extLst>
        </xdr:cNvPr>
        <xdr:cNvCxnSpPr/>
      </xdr:nvCxnSpPr>
      <xdr:spPr>
        <a:xfrm flipH="1">
          <a:off x="2356644" y="234711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5</xdr:row>
      <xdr:rowOff>229393</xdr:rowOff>
    </xdr:from>
    <xdr:to>
      <xdr:col>6</xdr:col>
      <xdr:colOff>262731</xdr:colOff>
      <xdr:row>6</xdr:row>
      <xdr:rowOff>229394</xdr:rowOff>
    </xdr:to>
    <xdr:cxnSp macro="">
      <xdr:nvCxnSpPr>
        <xdr:cNvPr id="1064" name="Match18">
          <a:extLst>
            <a:ext uri="{FF2B5EF4-FFF2-40B4-BE49-F238E27FC236}">
              <a16:creationId xmlns:a16="http://schemas.microsoft.com/office/drawing/2014/main" id="{4EEE8EC8-029F-AD02-B52C-889E9469C010}"/>
            </a:ext>
          </a:extLst>
        </xdr:cNvPr>
        <xdr:cNvCxnSpPr/>
      </xdr:nvCxnSpPr>
      <xdr:spPr>
        <a:xfrm flipV="1">
          <a:off x="2805906" y="201533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8</xdr:row>
      <xdr:rowOff>178594</xdr:rowOff>
    </xdr:from>
    <xdr:to>
      <xdr:col>4</xdr:col>
      <xdr:colOff>211931</xdr:colOff>
      <xdr:row>8</xdr:row>
      <xdr:rowOff>178594</xdr:rowOff>
    </xdr:to>
    <xdr:cxnSp macro="">
      <xdr:nvCxnSpPr>
        <xdr:cNvPr id="1065" name="Match19">
          <a:extLst>
            <a:ext uri="{FF2B5EF4-FFF2-40B4-BE49-F238E27FC236}">
              <a16:creationId xmlns:a16="http://schemas.microsoft.com/office/drawing/2014/main" id="{20AF2999-B62C-3F3A-8F4D-C75470FC21A3}"/>
            </a:ext>
          </a:extLst>
        </xdr:cNvPr>
        <xdr:cNvCxnSpPr/>
      </xdr:nvCxnSpPr>
      <xdr:spPr>
        <a:xfrm>
          <a:off x="1483519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7</xdr:row>
      <xdr:rowOff>203993</xdr:rowOff>
    </xdr:from>
    <xdr:to>
      <xdr:col>3</xdr:col>
      <xdr:colOff>237331</xdr:colOff>
      <xdr:row>8</xdr:row>
      <xdr:rowOff>203994</xdr:rowOff>
    </xdr:to>
    <xdr:cxnSp macro="">
      <xdr:nvCxnSpPr>
        <xdr:cNvPr id="1066" name="Match20">
          <a:extLst>
            <a:ext uri="{FF2B5EF4-FFF2-40B4-BE49-F238E27FC236}">
              <a16:creationId xmlns:a16="http://schemas.microsoft.com/office/drawing/2014/main" id="{0F0356B0-AD23-1299-6F29-B733163A68EC}"/>
            </a:ext>
          </a:extLst>
        </xdr:cNvPr>
        <xdr:cNvCxnSpPr/>
      </xdr:nvCxnSpPr>
      <xdr:spPr>
        <a:xfrm flipH="1" flipV="1">
          <a:off x="1085056" y="270430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7</xdr:row>
      <xdr:rowOff>229393</xdr:rowOff>
    </xdr:from>
    <xdr:to>
      <xdr:col>4</xdr:col>
      <xdr:colOff>262731</xdr:colOff>
      <xdr:row>8</xdr:row>
      <xdr:rowOff>229394</xdr:rowOff>
    </xdr:to>
    <xdr:cxnSp macro="">
      <xdr:nvCxnSpPr>
        <xdr:cNvPr id="1067" name="Match21">
          <a:extLst>
            <a:ext uri="{FF2B5EF4-FFF2-40B4-BE49-F238E27FC236}">
              <a16:creationId xmlns:a16="http://schemas.microsoft.com/office/drawing/2014/main" id="{4CF33792-1E0F-2814-7937-3ABCEDA67856}"/>
            </a:ext>
          </a:extLst>
        </xdr:cNvPr>
        <xdr:cNvCxnSpPr/>
      </xdr:nvCxnSpPr>
      <xdr:spPr>
        <a:xfrm flipV="1">
          <a:off x="1534319" y="272970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8</xdr:col>
      <xdr:colOff>211931</xdr:colOff>
      <xdr:row>10</xdr:row>
      <xdr:rowOff>178594</xdr:rowOff>
    </xdr:to>
    <xdr:cxnSp macro="">
      <xdr:nvCxnSpPr>
        <xdr:cNvPr id="1068" name="Match22">
          <a:extLst>
            <a:ext uri="{FF2B5EF4-FFF2-40B4-BE49-F238E27FC236}">
              <a16:creationId xmlns:a16="http://schemas.microsoft.com/office/drawing/2014/main" id="{7A582BEC-1468-1CF5-6758-77D2A5756922}"/>
            </a:ext>
          </a:extLst>
        </xdr:cNvPr>
        <xdr:cNvCxnSpPr/>
      </xdr:nvCxnSpPr>
      <xdr:spPr>
        <a:xfrm flipV="1">
          <a:off x="3602831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9</xdr:col>
      <xdr:colOff>211931</xdr:colOff>
      <xdr:row>3</xdr:row>
      <xdr:rowOff>178593</xdr:rowOff>
    </xdr:to>
    <xdr:cxnSp macro="">
      <xdr:nvCxnSpPr>
        <xdr:cNvPr id="1069" name="Match23">
          <a:extLst>
            <a:ext uri="{FF2B5EF4-FFF2-40B4-BE49-F238E27FC236}">
              <a16:creationId xmlns:a16="http://schemas.microsoft.com/office/drawing/2014/main" id="{A3E28A1B-DE71-EAF7-284D-DDE486E72BAD}"/>
            </a:ext>
          </a:extLst>
        </xdr:cNvPr>
        <xdr:cNvCxnSpPr/>
      </xdr:nvCxnSpPr>
      <xdr:spPr>
        <a:xfrm>
          <a:off x="4026694" y="5357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3</xdr:row>
      <xdr:rowOff>178593</xdr:rowOff>
    </xdr:from>
    <xdr:to>
      <xdr:col>9</xdr:col>
      <xdr:colOff>211931</xdr:colOff>
      <xdr:row>5</xdr:row>
      <xdr:rowOff>178593</xdr:rowOff>
    </xdr:to>
    <xdr:cxnSp macro="">
      <xdr:nvCxnSpPr>
        <xdr:cNvPr id="1070" name="Match24">
          <a:extLst>
            <a:ext uri="{FF2B5EF4-FFF2-40B4-BE49-F238E27FC236}">
              <a16:creationId xmlns:a16="http://schemas.microsoft.com/office/drawing/2014/main" id="{AA784980-0F54-A86E-810C-4824B2E4E5E3}"/>
            </a:ext>
          </a:extLst>
        </xdr:cNvPr>
        <xdr:cNvCxnSpPr/>
      </xdr:nvCxnSpPr>
      <xdr:spPr>
        <a:xfrm flipV="1">
          <a:off x="3178969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10</xdr:col>
      <xdr:colOff>211931</xdr:colOff>
      <xdr:row>7</xdr:row>
      <xdr:rowOff>178593</xdr:rowOff>
    </xdr:to>
    <xdr:cxnSp macro="">
      <xdr:nvCxnSpPr>
        <xdr:cNvPr id="1071" name="Match25">
          <a:extLst>
            <a:ext uri="{FF2B5EF4-FFF2-40B4-BE49-F238E27FC236}">
              <a16:creationId xmlns:a16="http://schemas.microsoft.com/office/drawing/2014/main" id="{DE3EE09D-C298-D47C-8CD8-B7519306FC8D}"/>
            </a:ext>
          </a:extLst>
        </xdr:cNvPr>
        <xdr:cNvCxnSpPr/>
      </xdr:nvCxnSpPr>
      <xdr:spPr>
        <a:xfrm flipH="1">
          <a:off x="3602831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10</xdr:col>
      <xdr:colOff>211931</xdr:colOff>
      <xdr:row>3</xdr:row>
      <xdr:rowOff>178593</xdr:rowOff>
    </xdr:to>
    <xdr:cxnSp macro="">
      <xdr:nvCxnSpPr>
        <xdr:cNvPr id="1072" name="Match26">
          <a:extLst>
            <a:ext uri="{FF2B5EF4-FFF2-40B4-BE49-F238E27FC236}">
              <a16:creationId xmlns:a16="http://schemas.microsoft.com/office/drawing/2014/main" id="{BAA73A8D-2883-058B-327C-E56AAD3F65FD}"/>
            </a:ext>
          </a:extLst>
        </xdr:cNvPr>
        <xdr:cNvCxnSpPr/>
      </xdr:nvCxnSpPr>
      <xdr:spPr>
        <a:xfrm>
          <a:off x="4450556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2</xdr:row>
      <xdr:rowOff>203994</xdr:rowOff>
    </xdr:from>
    <xdr:to>
      <xdr:col>10</xdr:col>
      <xdr:colOff>237331</xdr:colOff>
      <xdr:row>3</xdr:row>
      <xdr:rowOff>203993</xdr:rowOff>
    </xdr:to>
    <xdr:cxnSp macro="">
      <xdr:nvCxnSpPr>
        <xdr:cNvPr id="1073" name="Match27">
          <a:extLst>
            <a:ext uri="{FF2B5EF4-FFF2-40B4-BE49-F238E27FC236}">
              <a16:creationId xmlns:a16="http://schemas.microsoft.com/office/drawing/2014/main" id="{409F3992-6234-4FD4-C8AD-1F9DF20C17BA}"/>
            </a:ext>
          </a:extLst>
        </xdr:cNvPr>
        <xdr:cNvCxnSpPr/>
      </xdr:nvCxnSpPr>
      <xdr:spPr>
        <a:xfrm flipH="1">
          <a:off x="4052094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1</xdr:row>
      <xdr:rowOff>229393</xdr:rowOff>
    </xdr:from>
    <xdr:to>
      <xdr:col>10</xdr:col>
      <xdr:colOff>262731</xdr:colOff>
      <xdr:row>2</xdr:row>
      <xdr:rowOff>229394</xdr:rowOff>
    </xdr:to>
    <xdr:cxnSp macro="">
      <xdr:nvCxnSpPr>
        <xdr:cNvPr id="1074" name="Match28">
          <a:extLst>
            <a:ext uri="{FF2B5EF4-FFF2-40B4-BE49-F238E27FC236}">
              <a16:creationId xmlns:a16="http://schemas.microsoft.com/office/drawing/2014/main" id="{F1FEF8F0-C9B1-1C3A-E771-F410B9342A79}"/>
            </a:ext>
          </a:extLst>
        </xdr:cNvPr>
        <xdr:cNvCxnSpPr/>
      </xdr:nvCxnSpPr>
      <xdr:spPr>
        <a:xfrm flipV="1">
          <a:off x="4501356" y="58658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5</xdr:col>
      <xdr:colOff>211931</xdr:colOff>
      <xdr:row>6</xdr:row>
      <xdr:rowOff>178594</xdr:rowOff>
    </xdr:to>
    <xdr:cxnSp macro="">
      <xdr:nvCxnSpPr>
        <xdr:cNvPr id="1075" name="Match29">
          <a:extLst>
            <a:ext uri="{FF2B5EF4-FFF2-40B4-BE49-F238E27FC236}">
              <a16:creationId xmlns:a16="http://schemas.microsoft.com/office/drawing/2014/main" id="{3F1050C9-1E03-01F0-E8BF-E52A5E2E04BD}"/>
            </a:ext>
          </a:extLst>
        </xdr:cNvPr>
        <xdr:cNvCxnSpPr/>
      </xdr:nvCxnSpPr>
      <xdr:spPr>
        <a:xfrm flipH="1">
          <a:off x="190738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10</xdr:col>
      <xdr:colOff>211931</xdr:colOff>
      <xdr:row>7</xdr:row>
      <xdr:rowOff>178593</xdr:rowOff>
    </xdr:to>
    <xdr:cxnSp macro="">
      <xdr:nvCxnSpPr>
        <xdr:cNvPr id="1076" name="Match30">
          <a:extLst>
            <a:ext uri="{FF2B5EF4-FFF2-40B4-BE49-F238E27FC236}">
              <a16:creationId xmlns:a16="http://schemas.microsoft.com/office/drawing/2014/main" id="{A6840079-D0A5-5B93-0EDE-6BBE1CDEF581}"/>
            </a:ext>
          </a:extLst>
        </xdr:cNvPr>
        <xdr:cNvCxnSpPr/>
      </xdr:nvCxnSpPr>
      <xdr:spPr>
        <a:xfrm flipH="1">
          <a:off x="40266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7</xdr:row>
      <xdr:rowOff>178593</xdr:rowOff>
    </xdr:from>
    <xdr:to>
      <xdr:col>11</xdr:col>
      <xdr:colOff>211931</xdr:colOff>
      <xdr:row>8</xdr:row>
      <xdr:rowOff>178594</xdr:rowOff>
    </xdr:to>
    <xdr:cxnSp macro="">
      <xdr:nvCxnSpPr>
        <xdr:cNvPr id="1077" name="Match31">
          <a:extLst>
            <a:ext uri="{FF2B5EF4-FFF2-40B4-BE49-F238E27FC236}">
              <a16:creationId xmlns:a16="http://schemas.microsoft.com/office/drawing/2014/main" id="{AF18080E-1654-0E8C-C2EF-D50BD9C9377F}"/>
            </a:ext>
          </a:extLst>
        </xdr:cNvPr>
        <xdr:cNvCxnSpPr/>
      </xdr:nvCxnSpPr>
      <xdr:spPr>
        <a:xfrm>
          <a:off x="4874419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5</xdr:col>
      <xdr:colOff>211931</xdr:colOff>
      <xdr:row>9</xdr:row>
      <xdr:rowOff>178593</xdr:rowOff>
    </xdr:to>
    <xdr:cxnSp macro="">
      <xdr:nvCxnSpPr>
        <xdr:cNvPr id="1078" name="Match32">
          <a:extLst>
            <a:ext uri="{FF2B5EF4-FFF2-40B4-BE49-F238E27FC236}">
              <a16:creationId xmlns:a16="http://schemas.microsoft.com/office/drawing/2014/main" id="{5BD8C68F-4EA4-6C03-B949-F961215161D3}"/>
            </a:ext>
          </a:extLst>
        </xdr:cNvPr>
        <xdr:cNvCxnSpPr/>
      </xdr:nvCxnSpPr>
      <xdr:spPr>
        <a:xfrm>
          <a:off x="2331244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8</xdr:col>
      <xdr:colOff>211931</xdr:colOff>
      <xdr:row>8</xdr:row>
      <xdr:rowOff>178594</xdr:rowOff>
    </xdr:to>
    <xdr:cxnSp macro="">
      <xdr:nvCxnSpPr>
        <xdr:cNvPr id="1079" name="Match33">
          <a:extLst>
            <a:ext uri="{FF2B5EF4-FFF2-40B4-BE49-F238E27FC236}">
              <a16:creationId xmlns:a16="http://schemas.microsoft.com/office/drawing/2014/main" id="{2EA41E85-BBA1-992D-0103-72F4211ADA55}"/>
            </a:ext>
          </a:extLst>
        </xdr:cNvPr>
        <xdr:cNvCxnSpPr/>
      </xdr:nvCxnSpPr>
      <xdr:spPr>
        <a:xfrm flipV="1">
          <a:off x="3602831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7</xdr:row>
      <xdr:rowOff>203993</xdr:rowOff>
    </xdr:from>
    <xdr:to>
      <xdr:col>9</xdr:col>
      <xdr:colOff>237331</xdr:colOff>
      <xdr:row>8</xdr:row>
      <xdr:rowOff>203994</xdr:rowOff>
    </xdr:to>
    <xdr:cxnSp macro="">
      <xdr:nvCxnSpPr>
        <xdr:cNvPr id="1080" name="Match34">
          <a:extLst>
            <a:ext uri="{FF2B5EF4-FFF2-40B4-BE49-F238E27FC236}">
              <a16:creationId xmlns:a16="http://schemas.microsoft.com/office/drawing/2014/main" id="{C8E40578-07BB-CA78-DD09-32CA22D4F95A}"/>
            </a:ext>
          </a:extLst>
        </xdr:cNvPr>
        <xdr:cNvCxnSpPr/>
      </xdr:nvCxnSpPr>
      <xdr:spPr>
        <a:xfrm flipV="1">
          <a:off x="3628231" y="270430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2</xdr:col>
      <xdr:colOff>211931</xdr:colOff>
      <xdr:row>10</xdr:row>
      <xdr:rowOff>178594</xdr:rowOff>
    </xdr:to>
    <xdr:cxnSp macro="">
      <xdr:nvCxnSpPr>
        <xdr:cNvPr id="1081" name="Match35">
          <a:extLst>
            <a:ext uri="{FF2B5EF4-FFF2-40B4-BE49-F238E27FC236}">
              <a16:creationId xmlns:a16="http://schemas.microsoft.com/office/drawing/2014/main" id="{020D50F6-FD53-EE09-854C-B7C18B416D25}"/>
            </a:ext>
          </a:extLst>
        </xdr:cNvPr>
        <xdr:cNvCxnSpPr/>
      </xdr:nvCxnSpPr>
      <xdr:spPr>
        <a:xfrm>
          <a:off x="6357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5</xdr:col>
      <xdr:colOff>211931</xdr:colOff>
      <xdr:row>11</xdr:row>
      <xdr:rowOff>178593</xdr:rowOff>
    </xdr:to>
    <xdr:cxnSp macro="">
      <xdr:nvCxnSpPr>
        <xdr:cNvPr id="1082" name="Match36">
          <a:extLst>
            <a:ext uri="{FF2B5EF4-FFF2-40B4-BE49-F238E27FC236}">
              <a16:creationId xmlns:a16="http://schemas.microsoft.com/office/drawing/2014/main" id="{ED520C9A-3E32-412D-FC52-FBA089A79EFC}"/>
            </a:ext>
          </a:extLst>
        </xdr:cNvPr>
        <xdr:cNvCxnSpPr/>
      </xdr:nvCxnSpPr>
      <xdr:spPr>
        <a:xfrm flipV="1">
          <a:off x="190738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7</xdr:col>
      <xdr:colOff>211931</xdr:colOff>
      <xdr:row>6</xdr:row>
      <xdr:rowOff>178594</xdr:rowOff>
    </xdr:to>
    <xdr:cxnSp macro="">
      <xdr:nvCxnSpPr>
        <xdr:cNvPr id="1083" name="Match37">
          <a:extLst>
            <a:ext uri="{FF2B5EF4-FFF2-40B4-BE49-F238E27FC236}">
              <a16:creationId xmlns:a16="http://schemas.microsoft.com/office/drawing/2014/main" id="{D284B49E-0FA0-97F6-171E-13971E39B2F9}"/>
            </a:ext>
          </a:extLst>
        </xdr:cNvPr>
        <xdr:cNvCxnSpPr/>
      </xdr:nvCxnSpPr>
      <xdr:spPr>
        <a:xfrm flipH="1" flipV="1">
          <a:off x="2331244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5</xdr:col>
      <xdr:colOff>211931</xdr:colOff>
      <xdr:row>9</xdr:row>
      <xdr:rowOff>178593</xdr:rowOff>
    </xdr:to>
    <xdr:cxnSp macro="">
      <xdr:nvCxnSpPr>
        <xdr:cNvPr id="1084" name="Match38">
          <a:extLst>
            <a:ext uri="{FF2B5EF4-FFF2-40B4-BE49-F238E27FC236}">
              <a16:creationId xmlns:a16="http://schemas.microsoft.com/office/drawing/2014/main" id="{8E796EB2-1A89-323E-0FF7-6E2D4B2D9842}"/>
            </a:ext>
          </a:extLst>
        </xdr:cNvPr>
        <xdr:cNvCxnSpPr/>
      </xdr:nvCxnSpPr>
      <xdr:spPr>
        <a:xfrm flipH="1">
          <a:off x="1483519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7</xdr:row>
      <xdr:rowOff>203993</xdr:rowOff>
    </xdr:from>
    <xdr:to>
      <xdr:col>5</xdr:col>
      <xdr:colOff>237331</xdr:colOff>
      <xdr:row>7</xdr:row>
      <xdr:rowOff>203993</xdr:rowOff>
    </xdr:to>
    <xdr:cxnSp macro="">
      <xdr:nvCxnSpPr>
        <xdr:cNvPr id="1085" name="Match39">
          <a:extLst>
            <a:ext uri="{FF2B5EF4-FFF2-40B4-BE49-F238E27FC236}">
              <a16:creationId xmlns:a16="http://schemas.microsoft.com/office/drawing/2014/main" id="{F500940D-E6EB-4B5B-C16C-B5DEF2C8F19E}"/>
            </a:ext>
          </a:extLst>
        </xdr:cNvPr>
        <xdr:cNvCxnSpPr/>
      </xdr:nvCxnSpPr>
      <xdr:spPr>
        <a:xfrm flipH="1">
          <a:off x="1508919" y="2704306"/>
          <a:ext cx="84772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11</xdr:col>
      <xdr:colOff>211931</xdr:colOff>
      <xdr:row>2</xdr:row>
      <xdr:rowOff>178594</xdr:rowOff>
    </xdr:to>
    <xdr:cxnSp macro="">
      <xdr:nvCxnSpPr>
        <xdr:cNvPr id="1086" name="Match40">
          <a:extLst>
            <a:ext uri="{FF2B5EF4-FFF2-40B4-BE49-F238E27FC236}">
              <a16:creationId xmlns:a16="http://schemas.microsoft.com/office/drawing/2014/main" id="{8F35A6E1-48DD-E566-7D9C-DA104602EFEA}"/>
            </a:ext>
          </a:extLst>
        </xdr:cNvPr>
        <xdr:cNvCxnSpPr/>
      </xdr:nvCxnSpPr>
      <xdr:spPr>
        <a:xfrm flipH="1">
          <a:off x="4026694" y="89296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288131</xdr:colOff>
      <xdr:row>4</xdr:row>
      <xdr:rowOff>254794</xdr:rowOff>
    </xdr:from>
    <xdr:to>
      <xdr:col>6</xdr:col>
      <xdr:colOff>288131</xdr:colOff>
      <xdr:row>6</xdr:row>
      <xdr:rowOff>254794</xdr:rowOff>
    </xdr:to>
    <xdr:cxnSp macro="">
      <xdr:nvCxnSpPr>
        <xdr:cNvPr id="1087" name="Match41">
          <a:extLst>
            <a:ext uri="{FF2B5EF4-FFF2-40B4-BE49-F238E27FC236}">
              <a16:creationId xmlns:a16="http://schemas.microsoft.com/office/drawing/2014/main" id="{6D77E12E-6CB4-6FAD-0890-6798FA62F6A0}"/>
            </a:ext>
          </a:extLst>
        </xdr:cNvPr>
        <xdr:cNvCxnSpPr/>
      </xdr:nvCxnSpPr>
      <xdr:spPr>
        <a:xfrm flipH="1" flipV="1">
          <a:off x="1983581" y="1683544"/>
          <a:ext cx="847725" cy="714375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5</xdr:col>
      <xdr:colOff>211931</xdr:colOff>
      <xdr:row>6</xdr:row>
      <xdr:rowOff>178594</xdr:rowOff>
    </xdr:to>
    <xdr:cxnSp macro="">
      <xdr:nvCxnSpPr>
        <xdr:cNvPr id="1472" name="Match42">
          <a:extLst>
            <a:ext uri="{FF2B5EF4-FFF2-40B4-BE49-F238E27FC236}">
              <a16:creationId xmlns:a16="http://schemas.microsoft.com/office/drawing/2014/main" id="{92BB5295-99F5-5DD2-BA14-F0FE10428465}"/>
            </a:ext>
          </a:extLst>
        </xdr:cNvPr>
        <xdr:cNvCxnSpPr/>
      </xdr:nvCxnSpPr>
      <xdr:spPr>
        <a:xfrm flipH="1" flipV="1">
          <a:off x="635794" y="892969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10</xdr:col>
      <xdr:colOff>211931</xdr:colOff>
      <xdr:row>8</xdr:row>
      <xdr:rowOff>178594</xdr:rowOff>
    </xdr:to>
    <xdr:cxnSp macro="">
      <xdr:nvCxnSpPr>
        <xdr:cNvPr id="1473" name="Match43">
          <a:extLst>
            <a:ext uri="{FF2B5EF4-FFF2-40B4-BE49-F238E27FC236}">
              <a16:creationId xmlns:a16="http://schemas.microsoft.com/office/drawing/2014/main" id="{73F3A8DE-0E6D-9AB6-67AD-259D46BE8032}"/>
            </a:ext>
          </a:extLst>
        </xdr:cNvPr>
        <xdr:cNvCxnSpPr/>
      </xdr:nvCxnSpPr>
      <xdr:spPr>
        <a:xfrm flipH="1">
          <a:off x="2755106" y="160734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9</xdr:col>
      <xdr:colOff>211931</xdr:colOff>
      <xdr:row>2</xdr:row>
      <xdr:rowOff>178594</xdr:rowOff>
    </xdr:to>
    <xdr:cxnSp macro="">
      <xdr:nvCxnSpPr>
        <xdr:cNvPr id="1474" name="Match44">
          <a:extLst>
            <a:ext uri="{FF2B5EF4-FFF2-40B4-BE49-F238E27FC236}">
              <a16:creationId xmlns:a16="http://schemas.microsoft.com/office/drawing/2014/main" id="{A1A05D8D-4341-B5CD-2144-0619840FB910}"/>
            </a:ext>
          </a:extLst>
        </xdr:cNvPr>
        <xdr:cNvCxnSpPr/>
      </xdr:nvCxnSpPr>
      <xdr:spPr>
        <a:xfrm>
          <a:off x="2755106" y="892969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11</xdr:col>
      <xdr:colOff>211931</xdr:colOff>
      <xdr:row>0</xdr:row>
      <xdr:rowOff>178594</xdr:rowOff>
    </xdr:to>
    <xdr:cxnSp macro="">
      <xdr:nvCxnSpPr>
        <xdr:cNvPr id="1475" name="Match45">
          <a:extLst>
            <a:ext uri="{FF2B5EF4-FFF2-40B4-BE49-F238E27FC236}">
              <a16:creationId xmlns:a16="http://schemas.microsoft.com/office/drawing/2014/main" id="{7D9599C5-05C7-49E0-35F0-E9DFE395DDC5}"/>
            </a:ext>
          </a:extLst>
        </xdr:cNvPr>
        <xdr:cNvCxnSpPr/>
      </xdr:nvCxnSpPr>
      <xdr:spPr>
        <a:xfrm>
          <a:off x="3602831" y="178594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7</xdr:col>
      <xdr:colOff>211931</xdr:colOff>
      <xdr:row>10</xdr:row>
      <xdr:rowOff>178594</xdr:rowOff>
    </xdr:to>
    <xdr:cxnSp macro="">
      <xdr:nvCxnSpPr>
        <xdr:cNvPr id="1476" name="Match46">
          <a:extLst>
            <a:ext uri="{FF2B5EF4-FFF2-40B4-BE49-F238E27FC236}">
              <a16:creationId xmlns:a16="http://schemas.microsoft.com/office/drawing/2014/main" id="{5A9ECCB6-F166-363F-22ED-DBC5BC723B33}"/>
            </a:ext>
          </a:extLst>
        </xdr:cNvPr>
        <xdr:cNvCxnSpPr/>
      </xdr:nvCxnSpPr>
      <xdr:spPr>
        <a:xfrm flipH="1" flipV="1">
          <a:off x="1483519" y="2321719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3</xdr:col>
      <xdr:colOff>211931</xdr:colOff>
      <xdr:row>3</xdr:row>
      <xdr:rowOff>178593</xdr:rowOff>
    </xdr:to>
    <xdr:cxnSp macro="">
      <xdr:nvCxnSpPr>
        <xdr:cNvPr id="1477" name="Match47">
          <a:extLst>
            <a:ext uri="{FF2B5EF4-FFF2-40B4-BE49-F238E27FC236}">
              <a16:creationId xmlns:a16="http://schemas.microsoft.com/office/drawing/2014/main" id="{B06DE8CC-A0FA-7285-8CE6-75A06D5692B7}"/>
            </a:ext>
          </a:extLst>
        </xdr:cNvPr>
        <xdr:cNvCxnSpPr/>
      </xdr:nvCxnSpPr>
      <xdr:spPr>
        <a:xfrm>
          <a:off x="10596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</xdr:row>
      <xdr:rowOff>203993</xdr:rowOff>
    </xdr:from>
    <xdr:to>
      <xdr:col>2</xdr:col>
      <xdr:colOff>237331</xdr:colOff>
      <xdr:row>2</xdr:row>
      <xdr:rowOff>203994</xdr:rowOff>
    </xdr:to>
    <xdr:cxnSp macro="">
      <xdr:nvCxnSpPr>
        <xdr:cNvPr id="1478" name="Match48">
          <a:extLst>
            <a:ext uri="{FF2B5EF4-FFF2-40B4-BE49-F238E27FC236}">
              <a16:creationId xmlns:a16="http://schemas.microsoft.com/office/drawing/2014/main" id="{F0F467B8-75EB-43A8-7230-88FA38BCEDCA}"/>
            </a:ext>
          </a:extLst>
        </xdr:cNvPr>
        <xdr:cNvCxnSpPr/>
      </xdr:nvCxnSpPr>
      <xdr:spPr>
        <a:xfrm flipV="1">
          <a:off x="1085056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0</xdr:col>
      <xdr:colOff>211931</xdr:colOff>
      <xdr:row>4</xdr:row>
      <xdr:rowOff>178594</xdr:rowOff>
    </xdr:to>
    <xdr:cxnSp macro="">
      <xdr:nvCxnSpPr>
        <xdr:cNvPr id="1479" name="Match49">
          <a:extLst>
            <a:ext uri="{FF2B5EF4-FFF2-40B4-BE49-F238E27FC236}">
              <a16:creationId xmlns:a16="http://schemas.microsoft.com/office/drawing/2014/main" id="{31809853-FBB3-3FDF-1523-7D89D35583ED}"/>
            </a:ext>
          </a:extLst>
        </xdr:cNvPr>
        <xdr:cNvCxnSpPr/>
      </xdr:nvCxnSpPr>
      <xdr:spPr>
        <a:xfrm>
          <a:off x="211931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10</xdr:col>
      <xdr:colOff>211931</xdr:colOff>
      <xdr:row>4</xdr:row>
      <xdr:rowOff>178594</xdr:rowOff>
    </xdr:to>
    <xdr:cxnSp macro="">
      <xdr:nvCxnSpPr>
        <xdr:cNvPr id="1480" name="Match50">
          <a:extLst>
            <a:ext uri="{FF2B5EF4-FFF2-40B4-BE49-F238E27FC236}">
              <a16:creationId xmlns:a16="http://schemas.microsoft.com/office/drawing/2014/main" id="{47F7B577-7B7F-FC03-5451-42B15EA5D5AE}"/>
            </a:ext>
          </a:extLst>
        </xdr:cNvPr>
        <xdr:cNvCxnSpPr/>
      </xdr:nvCxnSpPr>
      <xdr:spPr>
        <a:xfrm>
          <a:off x="402669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10</xdr:col>
      <xdr:colOff>211931</xdr:colOff>
      <xdr:row>4</xdr:row>
      <xdr:rowOff>178594</xdr:rowOff>
    </xdr:to>
    <xdr:cxnSp macro="">
      <xdr:nvCxnSpPr>
        <xdr:cNvPr id="1481" name="Match51">
          <a:extLst>
            <a:ext uri="{FF2B5EF4-FFF2-40B4-BE49-F238E27FC236}">
              <a16:creationId xmlns:a16="http://schemas.microsoft.com/office/drawing/2014/main" id="{53448DC6-446C-DB21-594F-6A89C9F90DDD}"/>
            </a:ext>
          </a:extLst>
        </xdr:cNvPr>
        <xdr:cNvCxnSpPr/>
      </xdr:nvCxnSpPr>
      <xdr:spPr>
        <a:xfrm>
          <a:off x="4450556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1482" name="Match52">
          <a:extLst>
            <a:ext uri="{FF2B5EF4-FFF2-40B4-BE49-F238E27FC236}">
              <a16:creationId xmlns:a16="http://schemas.microsoft.com/office/drawing/2014/main" id="{0F735779-8CD7-CBE7-AF14-B712FBD7F862}"/>
            </a:ext>
          </a:extLst>
        </xdr:cNvPr>
        <xdr:cNvCxnSpPr/>
      </xdr:nvCxnSpPr>
      <xdr:spPr>
        <a:xfrm flipH="1">
          <a:off x="148351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5</xdr:row>
      <xdr:rowOff>203993</xdr:rowOff>
    </xdr:from>
    <xdr:to>
      <xdr:col>4</xdr:col>
      <xdr:colOff>237331</xdr:colOff>
      <xdr:row>6</xdr:row>
      <xdr:rowOff>203994</xdr:rowOff>
    </xdr:to>
    <xdr:cxnSp macro="">
      <xdr:nvCxnSpPr>
        <xdr:cNvPr id="1483" name="Match53">
          <a:extLst>
            <a:ext uri="{FF2B5EF4-FFF2-40B4-BE49-F238E27FC236}">
              <a16:creationId xmlns:a16="http://schemas.microsoft.com/office/drawing/2014/main" id="{04912CDE-B870-7871-F443-FDE42D743462}"/>
            </a:ext>
          </a:extLst>
        </xdr:cNvPr>
        <xdr:cNvCxnSpPr/>
      </xdr:nvCxnSpPr>
      <xdr:spPr>
        <a:xfrm flipV="1">
          <a:off x="1932781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7</xdr:row>
      <xdr:rowOff>178593</xdr:rowOff>
    </xdr:from>
    <xdr:to>
      <xdr:col>10</xdr:col>
      <xdr:colOff>211931</xdr:colOff>
      <xdr:row>8</xdr:row>
      <xdr:rowOff>178594</xdr:rowOff>
    </xdr:to>
    <xdr:cxnSp macro="">
      <xdr:nvCxnSpPr>
        <xdr:cNvPr id="1484" name="Match54">
          <a:extLst>
            <a:ext uri="{FF2B5EF4-FFF2-40B4-BE49-F238E27FC236}">
              <a16:creationId xmlns:a16="http://schemas.microsoft.com/office/drawing/2014/main" id="{253AAF0D-8B93-E120-2360-646C6B8B4DC8}"/>
            </a:ext>
          </a:extLst>
        </xdr:cNvPr>
        <xdr:cNvCxnSpPr/>
      </xdr:nvCxnSpPr>
      <xdr:spPr>
        <a:xfrm>
          <a:off x="402669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8</xdr:row>
      <xdr:rowOff>178594</xdr:rowOff>
    </xdr:from>
    <xdr:to>
      <xdr:col>11</xdr:col>
      <xdr:colOff>211931</xdr:colOff>
      <xdr:row>9</xdr:row>
      <xdr:rowOff>178593</xdr:rowOff>
    </xdr:to>
    <xdr:cxnSp macro="">
      <xdr:nvCxnSpPr>
        <xdr:cNvPr id="1485" name="Match55">
          <a:extLst>
            <a:ext uri="{FF2B5EF4-FFF2-40B4-BE49-F238E27FC236}">
              <a16:creationId xmlns:a16="http://schemas.microsoft.com/office/drawing/2014/main" id="{347827E3-28E0-8708-D294-8EA54232EC4D}"/>
            </a:ext>
          </a:extLst>
        </xdr:cNvPr>
        <xdr:cNvCxnSpPr/>
      </xdr:nvCxnSpPr>
      <xdr:spPr>
        <a:xfrm>
          <a:off x="4874419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8</xdr:row>
      <xdr:rowOff>203994</xdr:rowOff>
    </xdr:from>
    <xdr:to>
      <xdr:col>11</xdr:col>
      <xdr:colOff>237331</xdr:colOff>
      <xdr:row>8</xdr:row>
      <xdr:rowOff>203994</xdr:rowOff>
    </xdr:to>
    <xdr:cxnSp macro="">
      <xdr:nvCxnSpPr>
        <xdr:cNvPr id="1486" name="Match56">
          <a:extLst>
            <a:ext uri="{FF2B5EF4-FFF2-40B4-BE49-F238E27FC236}">
              <a16:creationId xmlns:a16="http://schemas.microsoft.com/office/drawing/2014/main" id="{602D80BA-A5FE-66DB-A552-F0DA39C99507}"/>
            </a:ext>
          </a:extLst>
        </xdr:cNvPr>
        <xdr:cNvCxnSpPr/>
      </xdr:nvCxnSpPr>
      <xdr:spPr>
        <a:xfrm flipH="1">
          <a:off x="4475956" y="306149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9</xdr:row>
      <xdr:rowOff>178593</xdr:rowOff>
    </xdr:from>
    <xdr:to>
      <xdr:col>6</xdr:col>
      <xdr:colOff>211931</xdr:colOff>
      <xdr:row>9</xdr:row>
      <xdr:rowOff>178593</xdr:rowOff>
    </xdr:to>
    <xdr:cxnSp macro="">
      <xdr:nvCxnSpPr>
        <xdr:cNvPr id="1487" name="Match57">
          <a:extLst>
            <a:ext uri="{FF2B5EF4-FFF2-40B4-BE49-F238E27FC236}">
              <a16:creationId xmlns:a16="http://schemas.microsoft.com/office/drawing/2014/main" id="{1770CB59-930F-828B-BA3E-D1B75EA1AF92}"/>
            </a:ext>
          </a:extLst>
        </xdr:cNvPr>
        <xdr:cNvCxnSpPr/>
      </xdr:nvCxnSpPr>
      <xdr:spPr>
        <a:xfrm>
          <a:off x="2331244" y="33932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2</xdr:col>
      <xdr:colOff>211931</xdr:colOff>
      <xdr:row>10</xdr:row>
      <xdr:rowOff>178594</xdr:rowOff>
    </xdr:to>
    <xdr:cxnSp macro="">
      <xdr:nvCxnSpPr>
        <xdr:cNvPr id="1488" name="Match58">
          <a:extLst>
            <a:ext uri="{FF2B5EF4-FFF2-40B4-BE49-F238E27FC236}">
              <a16:creationId xmlns:a16="http://schemas.microsoft.com/office/drawing/2014/main" id="{480EF229-E43E-F62B-5BCC-CFA72BB5179C}"/>
            </a:ext>
          </a:extLst>
        </xdr:cNvPr>
        <xdr:cNvCxnSpPr/>
      </xdr:nvCxnSpPr>
      <xdr:spPr>
        <a:xfrm flipV="1">
          <a:off x="1059656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9</xdr:row>
      <xdr:rowOff>203993</xdr:rowOff>
    </xdr:from>
    <xdr:to>
      <xdr:col>3</xdr:col>
      <xdr:colOff>237331</xdr:colOff>
      <xdr:row>10</xdr:row>
      <xdr:rowOff>203994</xdr:rowOff>
    </xdr:to>
    <xdr:cxnSp macro="">
      <xdr:nvCxnSpPr>
        <xdr:cNvPr id="1489" name="Match59">
          <a:extLst>
            <a:ext uri="{FF2B5EF4-FFF2-40B4-BE49-F238E27FC236}">
              <a16:creationId xmlns:a16="http://schemas.microsoft.com/office/drawing/2014/main" id="{E1E63856-10F2-D331-6B3D-D71B7551ABE0}"/>
            </a:ext>
          </a:extLst>
        </xdr:cNvPr>
        <xdr:cNvCxnSpPr/>
      </xdr:nvCxnSpPr>
      <xdr:spPr>
        <a:xfrm flipV="1">
          <a:off x="1085056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9</xdr:row>
      <xdr:rowOff>178593</xdr:rowOff>
    </xdr:from>
    <xdr:to>
      <xdr:col>6</xdr:col>
      <xdr:colOff>211931</xdr:colOff>
      <xdr:row>10</xdr:row>
      <xdr:rowOff>178594</xdr:rowOff>
    </xdr:to>
    <xdr:cxnSp macro="">
      <xdr:nvCxnSpPr>
        <xdr:cNvPr id="1490" name="Match60">
          <a:extLst>
            <a:ext uri="{FF2B5EF4-FFF2-40B4-BE49-F238E27FC236}">
              <a16:creationId xmlns:a16="http://schemas.microsoft.com/office/drawing/2014/main" id="{D17BA319-2AAB-2414-74F7-1E4152C64880}"/>
            </a:ext>
          </a:extLst>
        </xdr:cNvPr>
        <xdr:cNvCxnSpPr/>
      </xdr:nvCxnSpPr>
      <xdr:spPr>
        <a:xfrm flipV="1">
          <a:off x="233124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0</xdr:col>
      <xdr:colOff>211931</xdr:colOff>
      <xdr:row>11</xdr:row>
      <xdr:rowOff>178593</xdr:rowOff>
    </xdr:to>
    <xdr:cxnSp macro="">
      <xdr:nvCxnSpPr>
        <xdr:cNvPr id="1491" name="Match61">
          <a:extLst>
            <a:ext uri="{FF2B5EF4-FFF2-40B4-BE49-F238E27FC236}">
              <a16:creationId xmlns:a16="http://schemas.microsoft.com/office/drawing/2014/main" id="{21F5409B-EF65-6E1C-AC41-90A58AE65756}"/>
            </a:ext>
          </a:extLst>
        </xdr:cNvPr>
        <xdr:cNvCxnSpPr/>
      </xdr:nvCxnSpPr>
      <xdr:spPr>
        <a:xfrm flipV="1">
          <a:off x="211931" y="1964531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7</xdr:col>
      <xdr:colOff>211931</xdr:colOff>
      <xdr:row>5</xdr:row>
      <xdr:rowOff>178593</xdr:rowOff>
    </xdr:to>
    <xdr:cxnSp macro="">
      <xdr:nvCxnSpPr>
        <xdr:cNvPr id="1492" name="Match62">
          <a:extLst>
            <a:ext uri="{FF2B5EF4-FFF2-40B4-BE49-F238E27FC236}">
              <a16:creationId xmlns:a16="http://schemas.microsoft.com/office/drawing/2014/main" id="{5FBE944A-578F-DE99-C6B6-33D69A7FD5EB}"/>
            </a:ext>
          </a:extLst>
        </xdr:cNvPr>
        <xdr:cNvCxnSpPr/>
      </xdr:nvCxnSpPr>
      <xdr:spPr>
        <a:xfrm>
          <a:off x="1059656" y="178594"/>
          <a:ext cx="2119313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ED196C4-5419-5822-55EF-E23F88568D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H6" sqref="H6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5</v>
      </c>
      <c r="B1" s="27">
        <v>2</v>
      </c>
      <c r="C1" s="22">
        <v>2</v>
      </c>
      <c r="D1" s="27">
        <v>1</v>
      </c>
      <c r="E1" s="23">
        <v>1</v>
      </c>
      <c r="F1" s="23">
        <v>4</v>
      </c>
      <c r="G1" s="27">
        <v>2</v>
      </c>
      <c r="H1" s="27">
        <v>4</v>
      </c>
      <c r="I1" s="22">
        <v>5</v>
      </c>
      <c r="J1" s="22">
        <v>9</v>
      </c>
      <c r="K1" s="22">
        <v>4</v>
      </c>
      <c r="L1" s="22">
        <v>4</v>
      </c>
      <c r="N1" s="2">
        <v>8231655</v>
      </c>
      <c r="O1" s="1">
        <v>1</v>
      </c>
    </row>
    <row r="2" spans="1:15" s="2" customFormat="1" ht="28.25" customHeight="1">
      <c r="A2" s="27">
        <v>3</v>
      </c>
      <c r="B2" s="27">
        <v>1</v>
      </c>
      <c r="C2" s="23">
        <v>3</v>
      </c>
      <c r="D2" s="22">
        <v>2</v>
      </c>
      <c r="E2" s="22">
        <v>2</v>
      </c>
      <c r="F2" s="27">
        <v>3</v>
      </c>
      <c r="G2" s="27">
        <v>7</v>
      </c>
      <c r="H2" s="27">
        <v>7</v>
      </c>
      <c r="I2" s="27">
        <v>4</v>
      </c>
      <c r="J2" s="22">
        <v>9</v>
      </c>
      <c r="K2" s="23">
        <v>6</v>
      </c>
      <c r="L2" s="27">
        <v>4</v>
      </c>
      <c r="N2" s="2">
        <v>29</v>
      </c>
      <c r="O2" s="2">
        <v>13</v>
      </c>
    </row>
    <row r="3" spans="1:15" ht="28.25" customHeight="1">
      <c r="A3" s="27">
        <v>5</v>
      </c>
      <c r="B3" s="22">
        <v>1</v>
      </c>
      <c r="C3" s="23">
        <v>6</v>
      </c>
      <c r="D3" s="27">
        <v>1</v>
      </c>
      <c r="E3" s="22">
        <v>3</v>
      </c>
      <c r="F3" s="22">
        <v>9</v>
      </c>
      <c r="G3" s="22">
        <v>5</v>
      </c>
      <c r="H3" s="22">
        <v>9</v>
      </c>
      <c r="I3" s="22">
        <v>8</v>
      </c>
      <c r="J3" s="22">
        <v>5</v>
      </c>
      <c r="K3" s="22">
        <v>7</v>
      </c>
      <c r="L3" s="22">
        <v>4</v>
      </c>
      <c r="N3" s="2">
        <v>41</v>
      </c>
      <c r="O3" s="1">
        <v>9</v>
      </c>
    </row>
    <row r="4" spans="1:15" ht="28.25" customHeight="1">
      <c r="A4" s="23">
        <v>6</v>
      </c>
      <c r="B4" s="27">
        <v>8</v>
      </c>
      <c r="C4" s="22">
        <v>5</v>
      </c>
      <c r="D4" s="23">
        <v>3</v>
      </c>
      <c r="E4" s="27">
        <v>7</v>
      </c>
      <c r="F4" s="22">
        <v>3</v>
      </c>
      <c r="G4" s="27">
        <v>5</v>
      </c>
      <c r="H4" s="27">
        <v>1</v>
      </c>
      <c r="I4" s="23">
        <v>2</v>
      </c>
      <c r="J4" s="22">
        <v>6</v>
      </c>
      <c r="K4" s="23">
        <v>6</v>
      </c>
      <c r="L4" s="27">
        <v>5</v>
      </c>
      <c r="N4" s="2">
        <v>956</v>
      </c>
      <c r="O4" s="1">
        <v>3</v>
      </c>
    </row>
    <row r="5" spans="1:15" ht="28.25" customHeight="1">
      <c r="A5" s="23">
        <v>3</v>
      </c>
      <c r="B5" s="27">
        <v>4</v>
      </c>
      <c r="C5" s="27">
        <v>8</v>
      </c>
      <c r="D5" s="22">
        <v>5</v>
      </c>
      <c r="E5" s="23">
        <v>5</v>
      </c>
      <c r="F5" s="23">
        <v>3</v>
      </c>
      <c r="G5" s="22">
        <v>7</v>
      </c>
      <c r="H5" s="27">
        <v>8</v>
      </c>
      <c r="I5" s="23">
        <v>5</v>
      </c>
      <c r="J5" s="27">
        <v>5</v>
      </c>
      <c r="K5" s="22">
        <v>3</v>
      </c>
      <c r="L5" s="23">
        <v>4</v>
      </c>
      <c r="N5" s="2">
        <v>76</v>
      </c>
      <c r="O5" s="1">
        <v>11</v>
      </c>
    </row>
    <row r="6" spans="1:15" ht="28.25" customHeight="1">
      <c r="A6" s="22">
        <v>2</v>
      </c>
      <c r="B6" s="22">
        <v>8</v>
      </c>
      <c r="C6" s="27">
        <v>8</v>
      </c>
      <c r="D6" s="27">
        <v>8</v>
      </c>
      <c r="E6" s="22">
        <v>3</v>
      </c>
      <c r="F6" s="23">
        <v>7</v>
      </c>
      <c r="G6" s="23">
        <v>1</v>
      </c>
      <c r="H6" s="22">
        <v>9</v>
      </c>
      <c r="I6" s="27">
        <v>3</v>
      </c>
      <c r="J6" s="22">
        <v>7</v>
      </c>
      <c r="K6" s="23">
        <v>9</v>
      </c>
      <c r="L6" s="23">
        <v>1</v>
      </c>
      <c r="N6" s="2">
        <v>913</v>
      </c>
      <c r="O6" s="1">
        <v>3</v>
      </c>
    </row>
    <row r="7" spans="1:15" ht="28.25" customHeight="1">
      <c r="A7" s="22">
        <v>7</v>
      </c>
      <c r="B7" s="23">
        <v>9</v>
      </c>
      <c r="C7" s="22">
        <v>2</v>
      </c>
      <c r="D7" s="22">
        <v>2</v>
      </c>
      <c r="E7" s="23">
        <v>6</v>
      </c>
      <c r="F7" s="22">
        <v>1</v>
      </c>
      <c r="G7" s="22">
        <v>4</v>
      </c>
      <c r="H7" s="23">
        <v>9</v>
      </c>
      <c r="I7" s="22">
        <v>2</v>
      </c>
      <c r="J7" s="23">
        <v>5</v>
      </c>
      <c r="K7" s="23">
        <v>7</v>
      </c>
      <c r="L7" s="23">
        <v>9</v>
      </c>
      <c r="N7" s="2">
        <v>475</v>
      </c>
      <c r="O7" s="1">
        <v>2</v>
      </c>
    </row>
    <row r="8" spans="1:15" ht="28.25" customHeight="1">
      <c r="A8" s="22">
        <v>3</v>
      </c>
      <c r="B8" s="27">
        <v>3</v>
      </c>
      <c r="C8" s="23">
        <v>1</v>
      </c>
      <c r="D8" s="22">
        <v>3</v>
      </c>
      <c r="E8" s="22">
        <v>1</v>
      </c>
      <c r="F8" s="22">
        <v>9</v>
      </c>
      <c r="G8" s="27">
        <v>3</v>
      </c>
      <c r="H8" s="22">
        <v>1</v>
      </c>
      <c r="I8" s="22">
        <v>6</v>
      </c>
      <c r="J8" s="23">
        <v>6</v>
      </c>
      <c r="K8" s="23">
        <v>2</v>
      </c>
      <c r="L8" s="23">
        <v>7</v>
      </c>
      <c r="N8" s="2">
        <v>13551</v>
      </c>
      <c r="O8" s="1">
        <v>1</v>
      </c>
    </row>
    <row r="9" spans="1:15" ht="28.25" customHeight="1">
      <c r="A9" s="22">
        <v>3</v>
      </c>
      <c r="B9" s="27">
        <v>5</v>
      </c>
      <c r="C9" s="27">
        <v>2</v>
      </c>
      <c r="D9" s="23">
        <v>4</v>
      </c>
      <c r="E9" s="22">
        <v>1</v>
      </c>
      <c r="F9" s="22">
        <v>7</v>
      </c>
      <c r="G9" s="22">
        <v>2</v>
      </c>
      <c r="H9" s="27">
        <v>2</v>
      </c>
      <c r="I9" s="22">
        <v>7</v>
      </c>
      <c r="J9" s="27">
        <v>5</v>
      </c>
      <c r="K9" s="23">
        <v>3</v>
      </c>
      <c r="L9" s="23">
        <v>6</v>
      </c>
      <c r="N9" s="2">
        <v>37212</v>
      </c>
      <c r="O9" s="1">
        <v>1</v>
      </c>
    </row>
    <row r="10" spans="1:15" ht="28.25" customHeight="1">
      <c r="A10" s="22">
        <v>2</v>
      </c>
      <c r="B10" s="23">
        <v>7</v>
      </c>
      <c r="C10" s="22">
        <v>3</v>
      </c>
      <c r="D10" s="23">
        <v>3</v>
      </c>
      <c r="E10" s="27">
        <v>8</v>
      </c>
      <c r="F10" s="22">
        <v>6</v>
      </c>
      <c r="G10" s="22">
        <v>3</v>
      </c>
      <c r="H10" s="27">
        <v>7</v>
      </c>
      <c r="I10" s="23">
        <v>1</v>
      </c>
      <c r="J10" s="27">
        <v>7</v>
      </c>
      <c r="K10" s="23">
        <v>2</v>
      </c>
      <c r="L10" s="23">
        <v>3</v>
      </c>
      <c r="N10" s="2">
        <v>5985</v>
      </c>
      <c r="O10" s="1">
        <v>1</v>
      </c>
    </row>
    <row r="11" spans="1:15" ht="28.25" customHeight="1">
      <c r="A11" s="22">
        <v>5</v>
      </c>
      <c r="B11" s="27">
        <v>8</v>
      </c>
      <c r="C11" s="22">
        <v>6</v>
      </c>
      <c r="D11" s="27">
        <v>2</v>
      </c>
      <c r="E11" s="27">
        <v>4</v>
      </c>
      <c r="F11" s="23">
        <v>6</v>
      </c>
      <c r="G11" s="22">
        <v>5</v>
      </c>
      <c r="H11" s="22">
        <v>2</v>
      </c>
      <c r="I11" s="23">
        <v>4</v>
      </c>
      <c r="J11" s="23">
        <v>2</v>
      </c>
      <c r="K11" s="23">
        <v>9</v>
      </c>
      <c r="L11" s="23">
        <v>9</v>
      </c>
      <c r="N11" s="2">
        <v>5944</v>
      </c>
      <c r="O11" s="1">
        <v>1</v>
      </c>
    </row>
    <row r="12" spans="1:15" ht="28.25" customHeight="1">
      <c r="A12" s="22">
        <v>6</v>
      </c>
      <c r="B12" s="27">
        <v>1</v>
      </c>
      <c r="C12" s="27">
        <v>6</v>
      </c>
      <c r="D12" s="27">
        <v>8</v>
      </c>
      <c r="E12" s="23">
        <v>7</v>
      </c>
      <c r="F12" s="27">
        <v>4</v>
      </c>
      <c r="G12" s="27">
        <v>8</v>
      </c>
      <c r="H12" s="22">
        <v>5</v>
      </c>
      <c r="I12" s="23">
        <v>2</v>
      </c>
      <c r="J12" s="23">
        <v>9</v>
      </c>
      <c r="K12" s="27">
        <v>7</v>
      </c>
      <c r="L12" s="27">
        <v>3</v>
      </c>
      <c r="N12" s="2">
        <v>23712</v>
      </c>
      <c r="O12" s="1">
        <v>1</v>
      </c>
    </row>
    <row r="13" spans="1:15" ht="28.25" customHeight="1">
      <c r="N13" s="2">
        <v>63</v>
      </c>
      <c r="O13" s="1">
        <v>14</v>
      </c>
    </row>
    <row r="14" spans="1:15" ht="28.25" customHeight="1">
      <c r="N14" s="2">
        <v>6523372</v>
      </c>
      <c r="O14" s="1">
        <v>1</v>
      </c>
    </row>
    <row r="15" spans="1:15" ht="28.25" customHeight="1">
      <c r="N15" s="2">
        <v>223379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182"/>
  <sheetViews>
    <sheetView tabSelected="1" zoomScaleNormal="100" workbookViewId="0">
      <pane ySplit="2" topLeftCell="A175" activePane="bottomLeft" state="frozen"/>
      <selection pane="bottomLeft" activeCell="A182" sqref="A182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1" spans="1:3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</row>
    <row r="2" spans="1:35" ht="246.75">
      <c r="A2" s="28" t="s">
        <v>0</v>
      </c>
      <c r="B2" s="29" t="s">
        <v>171</v>
      </c>
      <c r="C2" s="29" t="s">
        <v>172</v>
      </c>
      <c r="D2" s="29" t="s">
        <v>173</v>
      </c>
      <c r="E2" s="29" t="s">
        <v>174</v>
      </c>
      <c r="F2" s="29" t="s">
        <v>175</v>
      </c>
      <c r="G2" s="29" t="s">
        <v>10</v>
      </c>
      <c r="H2" s="29" t="s">
        <v>16</v>
      </c>
      <c r="I2" s="29" t="s">
        <v>15</v>
      </c>
      <c r="J2" s="29" t="s">
        <v>11</v>
      </c>
      <c r="K2" s="29" t="s">
        <v>404</v>
      </c>
      <c r="L2" s="29" t="s">
        <v>163</v>
      </c>
      <c r="M2" s="4" t="s">
        <v>250</v>
      </c>
      <c r="N2" s="4" t="s">
        <v>178</v>
      </c>
      <c r="O2" s="4" t="s">
        <v>179</v>
      </c>
      <c r="P2" s="4" t="s">
        <v>170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0">
        <v>45951.701574074075</v>
      </c>
      <c r="B3" s="28">
        <v>61</v>
      </c>
      <c r="C3" s="28">
        <v>16</v>
      </c>
      <c r="D3" s="28">
        <v>0</v>
      </c>
      <c r="E3" s="28">
        <v>17</v>
      </c>
      <c r="F3" s="28">
        <v>0</v>
      </c>
      <c r="G3" s="31">
        <v>1.4050925929041114E-2</v>
      </c>
      <c r="H3" s="28" t="s">
        <v>66</v>
      </c>
      <c r="I3" s="28" t="s">
        <v>48</v>
      </c>
      <c r="J3" s="28">
        <v>0</v>
      </c>
      <c r="K3" s="28"/>
      <c r="L3" s="28"/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0">
        <v>45951.867650462962</v>
      </c>
      <c r="B4" s="28">
        <v>74</v>
      </c>
      <c r="C4" s="28">
        <v>10</v>
      </c>
      <c r="D4" s="28">
        <v>0</v>
      </c>
      <c r="E4" s="28">
        <v>0</v>
      </c>
      <c r="F4" s="28">
        <v>0</v>
      </c>
      <c r="G4" s="31">
        <v>1.0868055556784384E-2</v>
      </c>
      <c r="H4" s="28" t="s">
        <v>64</v>
      </c>
      <c r="I4" s="28" t="s">
        <v>65</v>
      </c>
      <c r="J4" s="28">
        <v>0</v>
      </c>
      <c r="K4" s="28"/>
      <c r="L4" s="28"/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0">
        <v>45952.483495370368</v>
      </c>
      <c r="B5" s="28">
        <v>42</v>
      </c>
      <c r="C5" s="28">
        <v>10</v>
      </c>
      <c r="D5" s="28">
        <v>0</v>
      </c>
      <c r="E5" s="28">
        <v>27</v>
      </c>
      <c r="F5" s="28">
        <v>0</v>
      </c>
      <c r="G5" s="31">
        <v>1.7534722217533272E-2</v>
      </c>
      <c r="H5" s="28" t="s">
        <v>62</v>
      </c>
      <c r="I5" s="28" t="s">
        <v>63</v>
      </c>
      <c r="J5" s="28">
        <v>0</v>
      </c>
      <c r="K5" s="28"/>
      <c r="L5" s="28"/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0">
        <v>45952.864699074074</v>
      </c>
      <c r="B6" s="28">
        <v>70</v>
      </c>
      <c r="C6" s="28">
        <v>32</v>
      </c>
      <c r="D6" s="28">
        <v>0</v>
      </c>
      <c r="E6" s="28">
        <v>4</v>
      </c>
      <c r="F6" s="28">
        <v>0</v>
      </c>
      <c r="G6" s="31">
        <v>1.9606481480877846E-2</v>
      </c>
      <c r="H6" s="28" t="s">
        <v>60</v>
      </c>
      <c r="I6" s="28" t="s">
        <v>61</v>
      </c>
      <c r="J6" s="28">
        <v>0</v>
      </c>
      <c r="K6" s="28"/>
      <c r="L6" s="28"/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0">
        <v>45953.849791666667</v>
      </c>
      <c r="B7" s="28">
        <v>53</v>
      </c>
      <c r="C7" s="28">
        <v>105</v>
      </c>
      <c r="D7" s="28">
        <v>0</v>
      </c>
      <c r="E7" s="28">
        <v>4</v>
      </c>
      <c r="F7" s="28">
        <v>0</v>
      </c>
      <c r="G7" s="31">
        <v>1.4953703706851229E-2</v>
      </c>
      <c r="H7" s="28" t="s">
        <v>58</v>
      </c>
      <c r="I7" s="28" t="s">
        <v>59</v>
      </c>
      <c r="J7" s="28">
        <v>0</v>
      </c>
      <c r="K7" s="28"/>
      <c r="L7" s="28"/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0">
        <v>45953.869490740741</v>
      </c>
      <c r="B8" s="28">
        <v>58</v>
      </c>
      <c r="C8" s="28">
        <v>82</v>
      </c>
      <c r="D8" s="28">
        <v>0</v>
      </c>
      <c r="E8" s="28">
        <v>3</v>
      </c>
      <c r="F8" s="28">
        <v>0</v>
      </c>
      <c r="G8" s="31">
        <v>1.8831018518540077E-2</v>
      </c>
      <c r="H8" s="28" t="s">
        <v>56</v>
      </c>
      <c r="I8" s="28" t="s">
        <v>57</v>
      </c>
      <c r="J8" s="28">
        <v>0</v>
      </c>
      <c r="K8" s="28"/>
      <c r="L8" s="28"/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0">
        <v>45954.406076388892</v>
      </c>
      <c r="B9" s="28">
        <v>50</v>
      </c>
      <c r="C9" s="28">
        <v>67</v>
      </c>
      <c r="D9" s="28">
        <v>0</v>
      </c>
      <c r="E9" s="28">
        <v>13</v>
      </c>
      <c r="F9" s="28">
        <v>0</v>
      </c>
      <c r="G9" s="31">
        <v>1.0740740741312038E-2</v>
      </c>
      <c r="H9" s="28" t="s">
        <v>54</v>
      </c>
      <c r="I9" s="28" t="s">
        <v>55</v>
      </c>
      <c r="J9" s="28">
        <v>0</v>
      </c>
      <c r="K9" s="28"/>
      <c r="L9" s="28"/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0">
        <v>45954.875092592592</v>
      </c>
      <c r="B10" s="28">
        <v>57</v>
      </c>
      <c r="C10" s="28">
        <v>66</v>
      </c>
      <c r="D10" s="28">
        <v>0</v>
      </c>
      <c r="E10" s="28">
        <v>7</v>
      </c>
      <c r="F10" s="28">
        <v>0</v>
      </c>
      <c r="G10" s="31">
        <v>2.0335648150648922E-2</v>
      </c>
      <c r="H10" s="28" t="s">
        <v>52</v>
      </c>
      <c r="I10" s="28" t="s">
        <v>53</v>
      </c>
      <c r="J10" s="28">
        <v>0</v>
      </c>
      <c r="K10" s="28"/>
      <c r="L10" s="28"/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0">
        <v>45956.6015625</v>
      </c>
      <c r="B11" s="28">
        <v>31</v>
      </c>
      <c r="C11" s="28">
        <v>14</v>
      </c>
      <c r="D11" s="28">
        <v>0</v>
      </c>
      <c r="E11" s="28">
        <v>29</v>
      </c>
      <c r="F11" s="28">
        <v>0</v>
      </c>
      <c r="G11" s="31">
        <v>1.4293981483206153E-2</v>
      </c>
      <c r="H11" s="28" t="s">
        <v>50</v>
      </c>
      <c r="I11" s="28" t="s">
        <v>51</v>
      </c>
      <c r="J11" s="28">
        <v>0</v>
      </c>
      <c r="K11" s="28"/>
      <c r="L11" s="28"/>
    </row>
    <row r="12" spans="1:35">
      <c r="A12" s="30">
        <v>45958.470810185187</v>
      </c>
      <c r="B12" s="28">
        <v>60</v>
      </c>
      <c r="C12" s="28">
        <v>16</v>
      </c>
      <c r="D12" s="28">
        <v>0</v>
      </c>
      <c r="E12" s="28">
        <v>0</v>
      </c>
      <c r="F12" s="28">
        <v>0</v>
      </c>
      <c r="G12" s="31">
        <v>6.7708333372138441E-3</v>
      </c>
      <c r="H12" s="28" t="s">
        <v>67</v>
      </c>
      <c r="I12" s="28" t="s">
        <v>68</v>
      </c>
      <c r="J12" s="28">
        <v>0</v>
      </c>
      <c r="K12" s="28"/>
      <c r="L12" s="28"/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</row>
    <row r="17" spans="1:16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</row>
    <row r="18" spans="1:16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0">2+IF(A18&gt;=DATEVALUE("2025/11/30")+TIMEVALUE("6:00"),1,0)+IF(A18&gt;=DATEVALUE("2025/12/11")+TIMEVALUE("6:00"),1,0)</f>
        <v>2</v>
      </c>
      <c r="N18">
        <f t="shared" ref="N18" si="1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</row>
    <row r="19" spans="1:16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2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3">L18+K19</f>
        <v>2</v>
      </c>
      <c r="M19">
        <f t="shared" ref="M19:M82" si="4">2+IF(A19&gt;=DATEVALUE("2025/11/30")+TIMEVALUE("6:00"),1,0)+IF(A19&gt;=DATEVALUE("2025/12/11")+TIMEVALUE("6:00"),1,0)</f>
        <v>2</v>
      </c>
      <c r="N19">
        <f t="shared" ref="N19:N82" si="5">N18+M19*(INT(A19-6/24)-INT(A18-6/24))+O19</f>
        <v>2</v>
      </c>
      <c r="O19">
        <f t="shared" ref="O19:O82" si="6">IF(A19&gt;=DATEVALUE("2025/11/8")+TIMEVALUE("6:00"),1,0)-IF(A18&gt;=DATEVALUE("2025/11/8")+TIMEVALUE("6:00"),1,0)</f>
        <v>0</v>
      </c>
      <c r="P19" t="str">
        <f t="shared" ref="P19:P82" si="7">IF(L19&lt;N19,"未達成（"&amp;N19-L19&amp;"）",IF(L19=N19,"達成","前倒し（"&amp;L19-N19&amp;"）"))</f>
        <v>達成</v>
      </c>
    </row>
    <row r="20" spans="1:16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2"/>
        <v>1</v>
      </c>
      <c r="L20">
        <f t="shared" si="3"/>
        <v>3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未達成（1）</v>
      </c>
    </row>
    <row r="21" spans="1:16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2"/>
        <v>1</v>
      </c>
      <c r="L21">
        <f t="shared" si="3"/>
        <v>4</v>
      </c>
      <c r="M21">
        <f t="shared" si="4"/>
        <v>2</v>
      </c>
      <c r="N21">
        <f t="shared" si="5"/>
        <v>4</v>
      </c>
      <c r="O21">
        <f t="shared" si="6"/>
        <v>0</v>
      </c>
      <c r="P21" t="str">
        <f t="shared" si="7"/>
        <v>達成</v>
      </c>
    </row>
    <row r="22" spans="1:16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2"/>
        <v>1</v>
      </c>
      <c r="L22">
        <f t="shared" si="3"/>
        <v>5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未達成（1）</v>
      </c>
    </row>
    <row r="23" spans="1:16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2"/>
        <v>1</v>
      </c>
      <c r="L23">
        <f t="shared" si="3"/>
        <v>6</v>
      </c>
      <c r="M23">
        <f t="shared" si="4"/>
        <v>2</v>
      </c>
      <c r="N23">
        <f t="shared" si="5"/>
        <v>6</v>
      </c>
      <c r="O23">
        <f t="shared" si="6"/>
        <v>0</v>
      </c>
      <c r="P23" t="str">
        <f t="shared" si="7"/>
        <v>達成</v>
      </c>
    </row>
    <row r="24" spans="1:16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2"/>
        <v>1</v>
      </c>
      <c r="L24">
        <f t="shared" si="3"/>
        <v>7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未達成（1）</v>
      </c>
    </row>
    <row r="25" spans="1:16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2"/>
        <v>1</v>
      </c>
      <c r="L25">
        <f t="shared" si="3"/>
        <v>8</v>
      </c>
      <c r="M25">
        <f t="shared" si="4"/>
        <v>2</v>
      </c>
      <c r="N25">
        <f t="shared" si="5"/>
        <v>8</v>
      </c>
      <c r="O25">
        <f t="shared" si="6"/>
        <v>0</v>
      </c>
      <c r="P25" t="str">
        <f t="shared" si="7"/>
        <v>達成</v>
      </c>
    </row>
    <row r="26" spans="1:16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2"/>
        <v>1</v>
      </c>
      <c r="L26">
        <f t="shared" si="3"/>
        <v>9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未達成（1）</v>
      </c>
    </row>
    <row r="27" spans="1:16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2"/>
        <v>1</v>
      </c>
      <c r="L27">
        <f t="shared" si="3"/>
        <v>10</v>
      </c>
      <c r="M27">
        <f t="shared" si="4"/>
        <v>2</v>
      </c>
      <c r="N27">
        <f t="shared" si="5"/>
        <v>10</v>
      </c>
      <c r="O27">
        <f t="shared" si="6"/>
        <v>0</v>
      </c>
      <c r="P27" t="str">
        <f t="shared" si="7"/>
        <v>達成</v>
      </c>
    </row>
    <row r="28" spans="1:16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2"/>
        <v>1</v>
      </c>
      <c r="L28">
        <f t="shared" si="3"/>
        <v>11</v>
      </c>
      <c r="M28">
        <f t="shared" si="4"/>
        <v>2</v>
      </c>
      <c r="N28">
        <f t="shared" si="5"/>
        <v>13</v>
      </c>
      <c r="O28">
        <f t="shared" si="6"/>
        <v>1</v>
      </c>
      <c r="P28" t="str">
        <f t="shared" si="7"/>
        <v>未達成（2）</v>
      </c>
    </row>
    <row r="29" spans="1:16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2"/>
        <v>1</v>
      </c>
      <c r="L29">
        <f t="shared" si="3"/>
        <v>12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未達成（1）</v>
      </c>
    </row>
    <row r="30" spans="1:16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2"/>
        <v>1</v>
      </c>
      <c r="L30">
        <f t="shared" si="3"/>
        <v>13</v>
      </c>
      <c r="M30">
        <f t="shared" si="4"/>
        <v>2</v>
      </c>
      <c r="N30">
        <f t="shared" si="5"/>
        <v>13</v>
      </c>
      <c r="O30">
        <f t="shared" si="6"/>
        <v>0</v>
      </c>
      <c r="P30" t="str">
        <f t="shared" si="7"/>
        <v>達成</v>
      </c>
    </row>
    <row r="31" spans="1:16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2"/>
        <v>1</v>
      </c>
      <c r="L31">
        <f t="shared" si="3"/>
        <v>14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未達成（1）</v>
      </c>
    </row>
    <row r="32" spans="1:16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2"/>
        <v>1</v>
      </c>
      <c r="L32">
        <f t="shared" si="3"/>
        <v>15</v>
      </c>
      <c r="M32">
        <f t="shared" si="4"/>
        <v>2</v>
      </c>
      <c r="N32">
        <f t="shared" si="5"/>
        <v>15</v>
      </c>
      <c r="O32">
        <f t="shared" si="6"/>
        <v>0</v>
      </c>
      <c r="P32" t="str">
        <f t="shared" si="7"/>
        <v>達成</v>
      </c>
    </row>
    <row r="33" spans="1:16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2"/>
        <v>1</v>
      </c>
      <c r="L33">
        <f t="shared" si="3"/>
        <v>16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未達成（1）</v>
      </c>
    </row>
    <row r="34" spans="1:16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2"/>
        <v>1</v>
      </c>
      <c r="L34">
        <f t="shared" si="3"/>
        <v>17</v>
      </c>
      <c r="M34">
        <f t="shared" si="4"/>
        <v>2</v>
      </c>
      <c r="N34">
        <f t="shared" si="5"/>
        <v>17</v>
      </c>
      <c r="O34">
        <f t="shared" si="6"/>
        <v>0</v>
      </c>
      <c r="P34" t="str">
        <f t="shared" si="7"/>
        <v>達成</v>
      </c>
    </row>
    <row r="35" spans="1:16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2"/>
        <v>1</v>
      </c>
      <c r="L35">
        <f t="shared" si="3"/>
        <v>18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未達成（1）</v>
      </c>
    </row>
    <row r="36" spans="1:16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2"/>
        <v>1</v>
      </c>
      <c r="L36">
        <f t="shared" si="3"/>
        <v>19</v>
      </c>
      <c r="M36">
        <f t="shared" si="4"/>
        <v>2</v>
      </c>
      <c r="N36">
        <f t="shared" si="5"/>
        <v>19</v>
      </c>
      <c r="O36">
        <f t="shared" si="6"/>
        <v>0</v>
      </c>
      <c r="P36" t="str">
        <f t="shared" si="7"/>
        <v>達成</v>
      </c>
    </row>
    <row r="37" spans="1:16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2"/>
        <v>1</v>
      </c>
      <c r="L37">
        <f t="shared" si="3"/>
        <v>20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未達成（1）</v>
      </c>
    </row>
    <row r="38" spans="1:16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2"/>
        <v>1</v>
      </c>
      <c r="L38">
        <f t="shared" si="3"/>
        <v>21</v>
      </c>
      <c r="M38">
        <f t="shared" si="4"/>
        <v>2</v>
      </c>
      <c r="N38">
        <f t="shared" si="5"/>
        <v>21</v>
      </c>
      <c r="O38">
        <f t="shared" si="6"/>
        <v>0</v>
      </c>
      <c r="P38" t="str">
        <f t="shared" si="7"/>
        <v>達成</v>
      </c>
    </row>
    <row r="39" spans="1:16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2"/>
        <v>1</v>
      </c>
      <c r="L39">
        <f t="shared" si="3"/>
        <v>22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未達成（3）</v>
      </c>
    </row>
    <row r="40" spans="1:16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2"/>
        <v>1</v>
      </c>
      <c r="L40">
        <f t="shared" si="3"/>
        <v>23</v>
      </c>
      <c r="M40">
        <f t="shared" si="4"/>
        <v>2</v>
      </c>
      <c r="N40">
        <f t="shared" si="5"/>
        <v>25</v>
      </c>
      <c r="O40">
        <f t="shared" si="6"/>
        <v>0</v>
      </c>
      <c r="P40" t="str">
        <f t="shared" si="7"/>
        <v>未達成（2）</v>
      </c>
    </row>
    <row r="41" spans="1:16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2"/>
        <v>1</v>
      </c>
      <c r="L41">
        <f t="shared" si="3"/>
        <v>24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未達成（3）</v>
      </c>
    </row>
    <row r="42" spans="1:16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2"/>
        <v>1</v>
      </c>
      <c r="L42">
        <f t="shared" si="3"/>
        <v>25</v>
      </c>
      <c r="M42">
        <f t="shared" si="4"/>
        <v>2</v>
      </c>
      <c r="N42">
        <f t="shared" si="5"/>
        <v>27</v>
      </c>
      <c r="O42">
        <f t="shared" si="6"/>
        <v>0</v>
      </c>
      <c r="P42" t="str">
        <f t="shared" si="7"/>
        <v>未達成（2）</v>
      </c>
    </row>
    <row r="43" spans="1:16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2"/>
        <v>1</v>
      </c>
      <c r="L43">
        <f t="shared" si="3"/>
        <v>26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未達成（3）</v>
      </c>
    </row>
    <row r="44" spans="1:16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2"/>
        <v>1</v>
      </c>
      <c r="L44">
        <f t="shared" si="3"/>
        <v>27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未達成（2）</v>
      </c>
    </row>
    <row r="45" spans="1:16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2"/>
        <v>1</v>
      </c>
      <c r="L45">
        <f t="shared" si="3"/>
        <v>28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未達成（1）</v>
      </c>
    </row>
    <row r="46" spans="1:16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2"/>
        <v>1</v>
      </c>
      <c r="L46">
        <f t="shared" si="3"/>
        <v>29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達成</v>
      </c>
    </row>
    <row r="47" spans="1:16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2"/>
        <v>1</v>
      </c>
      <c r="L47">
        <f t="shared" si="3"/>
        <v>30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前倒し（1）</v>
      </c>
    </row>
    <row r="48" spans="1:16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2"/>
        <v>1</v>
      </c>
      <c r="L48">
        <f t="shared" si="3"/>
        <v>31</v>
      </c>
      <c r="M48">
        <f t="shared" si="4"/>
        <v>2</v>
      </c>
      <c r="N48">
        <f t="shared" si="5"/>
        <v>29</v>
      </c>
      <c r="O48">
        <f t="shared" si="6"/>
        <v>0</v>
      </c>
      <c r="P48" t="str">
        <f t="shared" si="7"/>
        <v>前倒し（2）</v>
      </c>
    </row>
    <row r="49" spans="1:16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2"/>
        <v>1</v>
      </c>
      <c r="L49">
        <f t="shared" si="3"/>
        <v>32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前倒し（1）</v>
      </c>
    </row>
    <row r="50" spans="1:16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2"/>
        <v>1</v>
      </c>
      <c r="L50">
        <f t="shared" si="3"/>
        <v>33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前倒し（2）</v>
      </c>
    </row>
    <row r="51" spans="1:16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2"/>
        <v>1</v>
      </c>
      <c r="L51">
        <f t="shared" si="3"/>
        <v>34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前倒し（3）</v>
      </c>
    </row>
    <row r="52" spans="1:16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2"/>
        <v>1</v>
      </c>
      <c r="L52">
        <f t="shared" si="3"/>
        <v>35</v>
      </c>
      <c r="M52">
        <f t="shared" si="4"/>
        <v>2</v>
      </c>
      <c r="N52">
        <f t="shared" si="5"/>
        <v>31</v>
      </c>
      <c r="O52">
        <f t="shared" si="6"/>
        <v>0</v>
      </c>
      <c r="P52" t="str">
        <f t="shared" si="7"/>
        <v>前倒し（4）</v>
      </c>
    </row>
    <row r="53" spans="1:16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2"/>
        <v>1</v>
      </c>
      <c r="L53">
        <f t="shared" si="3"/>
        <v>36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前倒し（1）</v>
      </c>
    </row>
    <row r="54" spans="1:16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2"/>
        <v>1</v>
      </c>
      <c r="L54">
        <f t="shared" si="3"/>
        <v>37</v>
      </c>
      <c r="M54">
        <f t="shared" si="4"/>
        <v>2</v>
      </c>
      <c r="N54">
        <f t="shared" si="5"/>
        <v>35</v>
      </c>
      <c r="O54">
        <f t="shared" si="6"/>
        <v>0</v>
      </c>
      <c r="P54" t="str">
        <f t="shared" si="7"/>
        <v>前倒し（2）</v>
      </c>
    </row>
    <row r="55" spans="1:16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2"/>
        <v>1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2"/>
        <v>0</v>
      </c>
      <c r="L56">
        <f t="shared" si="3"/>
        <v>38</v>
      </c>
      <c r="M56">
        <f t="shared" si="4"/>
        <v>2</v>
      </c>
      <c r="N56">
        <f t="shared" si="5"/>
        <v>37</v>
      </c>
      <c r="O56">
        <f t="shared" si="6"/>
        <v>0</v>
      </c>
      <c r="P56" t="str">
        <f t="shared" si="7"/>
        <v>前倒し（1）</v>
      </c>
    </row>
    <row r="57" spans="1:16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2"/>
        <v>1</v>
      </c>
      <c r="L57">
        <f t="shared" si="3"/>
        <v>39</v>
      </c>
      <c r="M57">
        <f t="shared" si="4"/>
        <v>2</v>
      </c>
      <c r="N57">
        <f t="shared" si="5"/>
        <v>39</v>
      </c>
      <c r="O57">
        <f t="shared" si="6"/>
        <v>0</v>
      </c>
      <c r="P57" t="str">
        <f t="shared" si="7"/>
        <v>達成</v>
      </c>
    </row>
    <row r="58" spans="1:16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2"/>
        <v>1</v>
      </c>
      <c r="L58">
        <f t="shared" si="3"/>
        <v>40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未達成（1）</v>
      </c>
    </row>
    <row r="59" spans="1:16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2"/>
        <v>1</v>
      </c>
      <c r="L59">
        <f t="shared" si="3"/>
        <v>41</v>
      </c>
      <c r="M59">
        <f t="shared" si="4"/>
        <v>2</v>
      </c>
      <c r="N59">
        <f t="shared" si="5"/>
        <v>41</v>
      </c>
      <c r="O59">
        <f t="shared" si="6"/>
        <v>0</v>
      </c>
      <c r="P59" t="str">
        <f t="shared" si="7"/>
        <v>達成</v>
      </c>
    </row>
    <row r="60" spans="1:16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2"/>
        <v>1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2"/>
        <v>0</v>
      </c>
      <c r="L62">
        <f t="shared" si="3"/>
        <v>42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未達成（3）</v>
      </c>
    </row>
    <row r="63" spans="1:16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2"/>
        <v>1</v>
      </c>
      <c r="L63">
        <f t="shared" si="3"/>
        <v>43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未達成（2）</v>
      </c>
    </row>
    <row r="64" spans="1:16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180</v>
      </c>
      <c r="I64" t="s">
        <v>181</v>
      </c>
      <c r="J64">
        <v>0</v>
      </c>
      <c r="K64">
        <f t="shared" si="2"/>
        <v>2</v>
      </c>
      <c r="L64">
        <f t="shared" si="3"/>
        <v>45</v>
      </c>
      <c r="M64">
        <f t="shared" si="4"/>
        <v>2</v>
      </c>
      <c r="N64">
        <f t="shared" si="5"/>
        <v>45</v>
      </c>
      <c r="O64">
        <f t="shared" si="6"/>
        <v>0</v>
      </c>
      <c r="P64" t="str">
        <f t="shared" si="7"/>
        <v>達成</v>
      </c>
    </row>
    <row r="65" spans="1:16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182</v>
      </c>
      <c r="I65" t="s">
        <v>183</v>
      </c>
      <c r="J65">
        <v>0</v>
      </c>
      <c r="K65">
        <f t="shared" si="2"/>
        <v>2</v>
      </c>
      <c r="L65">
        <f t="shared" si="3"/>
        <v>47</v>
      </c>
      <c r="M65">
        <f t="shared" si="4"/>
        <v>2</v>
      </c>
      <c r="N65">
        <f t="shared" si="5"/>
        <v>47</v>
      </c>
      <c r="O65">
        <f t="shared" si="6"/>
        <v>0</v>
      </c>
      <c r="P65" t="str">
        <f t="shared" si="7"/>
        <v>達成</v>
      </c>
    </row>
    <row r="66" spans="1:16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184</v>
      </c>
      <c r="I66" t="s">
        <v>185</v>
      </c>
      <c r="J66">
        <v>0</v>
      </c>
      <c r="K66">
        <f t="shared" si="2"/>
        <v>0</v>
      </c>
      <c r="L66">
        <f t="shared" si="3"/>
        <v>47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未達成（2）</v>
      </c>
    </row>
    <row r="67" spans="1:16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186</v>
      </c>
      <c r="I67" t="s">
        <v>187</v>
      </c>
      <c r="J67">
        <v>0</v>
      </c>
      <c r="K67">
        <f t="shared" si="2"/>
        <v>2</v>
      </c>
      <c r="L67">
        <f t="shared" si="3"/>
        <v>49</v>
      </c>
      <c r="M67">
        <f t="shared" si="4"/>
        <v>2</v>
      </c>
      <c r="N67">
        <f t="shared" si="5"/>
        <v>49</v>
      </c>
      <c r="O67">
        <f t="shared" si="6"/>
        <v>0</v>
      </c>
      <c r="P67" t="str">
        <f t="shared" si="7"/>
        <v>達成</v>
      </c>
    </row>
    <row r="68" spans="1:16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188</v>
      </c>
      <c r="I68" t="s">
        <v>189</v>
      </c>
      <c r="J68">
        <v>0</v>
      </c>
      <c r="K68">
        <f t="shared" si="2"/>
        <v>1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190</v>
      </c>
      <c r="I69" t="s">
        <v>191</v>
      </c>
      <c r="J69">
        <v>0</v>
      </c>
      <c r="K69">
        <f t="shared" si="2"/>
        <v>0</v>
      </c>
      <c r="L69">
        <f t="shared" si="3"/>
        <v>50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未達成（1）</v>
      </c>
    </row>
    <row r="70" spans="1:16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192</v>
      </c>
      <c r="I70" t="s">
        <v>193</v>
      </c>
      <c r="J70">
        <v>0</v>
      </c>
      <c r="K70">
        <f t="shared" si="2"/>
        <v>1</v>
      </c>
      <c r="L70">
        <f t="shared" si="3"/>
        <v>51</v>
      </c>
      <c r="M70">
        <f t="shared" si="4"/>
        <v>2</v>
      </c>
      <c r="N70">
        <f t="shared" si="5"/>
        <v>51</v>
      </c>
      <c r="O70">
        <f t="shared" si="6"/>
        <v>0</v>
      </c>
      <c r="P70" t="str">
        <f t="shared" si="7"/>
        <v>達成</v>
      </c>
    </row>
    <row r="71" spans="1:16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194</v>
      </c>
      <c r="I71" t="s">
        <v>195</v>
      </c>
      <c r="J71">
        <v>0</v>
      </c>
      <c r="K71">
        <f t="shared" si="2"/>
        <v>0</v>
      </c>
      <c r="L71">
        <f t="shared" si="3"/>
        <v>51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未達成（2）</v>
      </c>
    </row>
    <row r="72" spans="1:16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196</v>
      </c>
      <c r="I72" t="s">
        <v>197</v>
      </c>
      <c r="J72">
        <v>0</v>
      </c>
      <c r="K72">
        <f t="shared" si="2"/>
        <v>1</v>
      </c>
      <c r="L72">
        <f t="shared" si="3"/>
        <v>52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未達成（1）</v>
      </c>
    </row>
    <row r="73" spans="1:16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198</v>
      </c>
      <c r="I73" t="s">
        <v>199</v>
      </c>
      <c r="J73">
        <v>0</v>
      </c>
      <c r="K73">
        <f t="shared" si="2"/>
        <v>1</v>
      </c>
      <c r="L73">
        <f t="shared" si="3"/>
        <v>53</v>
      </c>
      <c r="M73">
        <f t="shared" si="4"/>
        <v>2</v>
      </c>
      <c r="N73">
        <f t="shared" si="5"/>
        <v>53</v>
      </c>
      <c r="O73">
        <f t="shared" si="6"/>
        <v>0</v>
      </c>
      <c r="P73" t="str">
        <f t="shared" si="7"/>
        <v>達成</v>
      </c>
    </row>
    <row r="74" spans="1:16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200</v>
      </c>
      <c r="I74" t="s">
        <v>201</v>
      </c>
      <c r="J74">
        <v>0</v>
      </c>
      <c r="K74">
        <f t="shared" si="2"/>
        <v>1</v>
      </c>
      <c r="L74">
        <f t="shared" si="3"/>
        <v>54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未達成（1）</v>
      </c>
    </row>
    <row r="75" spans="1:16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202</v>
      </c>
      <c r="I75" t="s">
        <v>203</v>
      </c>
      <c r="J75">
        <v>0</v>
      </c>
      <c r="K75">
        <f t="shared" si="2"/>
        <v>1</v>
      </c>
      <c r="L75">
        <f t="shared" si="3"/>
        <v>55</v>
      </c>
      <c r="M75">
        <f t="shared" si="4"/>
        <v>2</v>
      </c>
      <c r="N75">
        <f t="shared" si="5"/>
        <v>55</v>
      </c>
      <c r="O75">
        <f t="shared" si="6"/>
        <v>0</v>
      </c>
      <c r="P75" t="str">
        <f t="shared" si="7"/>
        <v>達成</v>
      </c>
    </row>
    <row r="76" spans="1:16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204</v>
      </c>
      <c r="I76" t="s">
        <v>205</v>
      </c>
      <c r="J76">
        <v>0</v>
      </c>
      <c r="K76">
        <f t="shared" si="2"/>
        <v>2</v>
      </c>
      <c r="L76">
        <f t="shared" si="3"/>
        <v>57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未達成（1）</v>
      </c>
    </row>
    <row r="77" spans="1:16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206</v>
      </c>
      <c r="I77" t="s">
        <v>207</v>
      </c>
      <c r="J77">
        <v>0</v>
      </c>
      <c r="K77">
        <f t="shared" si="2"/>
        <v>2</v>
      </c>
      <c r="L77">
        <f t="shared" si="3"/>
        <v>59</v>
      </c>
      <c r="M77">
        <f t="shared" si="4"/>
        <v>3</v>
      </c>
      <c r="N77">
        <f t="shared" si="5"/>
        <v>58</v>
      </c>
      <c r="O77">
        <f t="shared" si="6"/>
        <v>0</v>
      </c>
      <c r="P77" t="str">
        <f t="shared" si="7"/>
        <v>前倒し（1）</v>
      </c>
    </row>
    <row r="78" spans="1:16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208</v>
      </c>
      <c r="I78" t="s">
        <v>209</v>
      </c>
      <c r="J78">
        <v>0</v>
      </c>
      <c r="K78">
        <f t="shared" si="2"/>
        <v>1</v>
      </c>
      <c r="L78">
        <f t="shared" si="3"/>
        <v>60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未達成（1）</v>
      </c>
    </row>
    <row r="79" spans="1:16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210</v>
      </c>
      <c r="I79" t="s">
        <v>211</v>
      </c>
      <c r="J79">
        <v>0</v>
      </c>
      <c r="K79">
        <f t="shared" si="2"/>
        <v>2</v>
      </c>
      <c r="L79">
        <f t="shared" si="3"/>
        <v>62</v>
      </c>
      <c r="M79">
        <f t="shared" si="4"/>
        <v>3</v>
      </c>
      <c r="N79">
        <f t="shared" si="5"/>
        <v>61</v>
      </c>
      <c r="O79">
        <f t="shared" si="6"/>
        <v>0</v>
      </c>
      <c r="P79" t="str">
        <f t="shared" si="7"/>
        <v>前倒し（1）</v>
      </c>
    </row>
    <row r="80" spans="1:16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212</v>
      </c>
      <c r="I80" t="s">
        <v>213</v>
      </c>
      <c r="J80">
        <v>0</v>
      </c>
      <c r="K80">
        <f t="shared" si="2"/>
        <v>0</v>
      </c>
      <c r="L80">
        <f t="shared" si="3"/>
        <v>62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未達成（2）</v>
      </c>
    </row>
    <row r="81" spans="1:16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216</v>
      </c>
      <c r="I81" t="s">
        <v>217</v>
      </c>
      <c r="J81">
        <v>0</v>
      </c>
      <c r="K81">
        <f t="shared" si="2"/>
        <v>2</v>
      </c>
      <c r="L81">
        <f t="shared" si="3"/>
        <v>64</v>
      </c>
      <c r="M81">
        <f t="shared" si="4"/>
        <v>3</v>
      </c>
      <c r="N81">
        <f t="shared" si="5"/>
        <v>64</v>
      </c>
      <c r="O81">
        <f t="shared" si="6"/>
        <v>0</v>
      </c>
      <c r="P81" t="str">
        <f t="shared" si="7"/>
        <v>達成</v>
      </c>
    </row>
    <row r="82" spans="1:16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214</v>
      </c>
      <c r="I82" t="s">
        <v>215</v>
      </c>
      <c r="J82">
        <v>0</v>
      </c>
      <c r="K82">
        <f t="shared" si="2"/>
        <v>1</v>
      </c>
      <c r="L82">
        <f t="shared" si="3"/>
        <v>65</v>
      </c>
      <c r="M82">
        <f t="shared" si="4"/>
        <v>3</v>
      </c>
      <c r="N82">
        <f t="shared" si="5"/>
        <v>67</v>
      </c>
      <c r="O82">
        <f t="shared" si="6"/>
        <v>0</v>
      </c>
      <c r="P82" t="str">
        <f t="shared" si="7"/>
        <v>未達成（2）</v>
      </c>
    </row>
    <row r="83" spans="1:16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218</v>
      </c>
      <c r="I83" t="s">
        <v>219</v>
      </c>
      <c r="J83">
        <v>0</v>
      </c>
      <c r="K83">
        <f t="shared" ref="K83:K146" si="8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9">L82+K83</f>
        <v>66</v>
      </c>
      <c r="M83">
        <f t="shared" ref="M83:M146" si="10">2+IF(A83&gt;=DATEVALUE("2025/11/30")+TIMEVALUE("6:00"),1,0)+IF(A83&gt;=DATEVALUE("2025/12/11")+TIMEVALUE("6:00"),1,0)</f>
        <v>3</v>
      </c>
      <c r="N83">
        <f t="shared" ref="N83:N146" si="11">N82+M83*(INT(A83-6/24)-INT(A82-6/24))+O83</f>
        <v>67</v>
      </c>
      <c r="O83">
        <f t="shared" ref="O83:O146" si="12">IF(A83&gt;=DATEVALUE("2025/11/8")+TIMEVALUE("6:00"),1,0)-IF(A82&gt;=DATEVALUE("2025/11/8")+TIMEVALUE("6:00"),1,0)</f>
        <v>0</v>
      </c>
      <c r="P83" t="str">
        <f t="shared" ref="P83:P146" si="13">IF(L83&lt;N83,"未達成（"&amp;N83-L83&amp;"）",IF(L83=N83,"達成","前倒し（"&amp;L83-N83&amp;"）"))</f>
        <v>未達成（1）</v>
      </c>
    </row>
    <row r="84" spans="1:16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220</v>
      </c>
      <c r="I84" t="s">
        <v>221</v>
      </c>
      <c r="J84">
        <v>0</v>
      </c>
      <c r="K84">
        <f t="shared" si="8"/>
        <v>1</v>
      </c>
      <c r="L84">
        <f t="shared" si="9"/>
        <v>67</v>
      </c>
      <c r="M84">
        <f t="shared" si="10"/>
        <v>3</v>
      </c>
      <c r="N84">
        <f t="shared" si="11"/>
        <v>67</v>
      </c>
      <c r="O84">
        <f t="shared" si="12"/>
        <v>0</v>
      </c>
      <c r="P84" t="str">
        <f t="shared" si="13"/>
        <v>達成</v>
      </c>
    </row>
    <row r="85" spans="1:16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222</v>
      </c>
      <c r="I85" t="s">
        <v>223</v>
      </c>
      <c r="J85">
        <v>0</v>
      </c>
      <c r="K85">
        <f t="shared" si="8"/>
        <v>1</v>
      </c>
      <c r="L85">
        <f t="shared" si="9"/>
        <v>68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未達成（2）</v>
      </c>
    </row>
    <row r="86" spans="1:16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224</v>
      </c>
      <c r="I86" t="s">
        <v>225</v>
      </c>
      <c r="J86">
        <v>0</v>
      </c>
      <c r="K86">
        <f t="shared" si="8"/>
        <v>1</v>
      </c>
      <c r="L86">
        <f t="shared" si="9"/>
        <v>69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未達成（1）</v>
      </c>
    </row>
    <row r="87" spans="1:16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226</v>
      </c>
      <c r="I87" t="s">
        <v>227</v>
      </c>
      <c r="J87">
        <v>0</v>
      </c>
      <c r="K87">
        <f t="shared" si="8"/>
        <v>2</v>
      </c>
      <c r="L87">
        <f t="shared" si="9"/>
        <v>71</v>
      </c>
      <c r="M87">
        <f t="shared" si="10"/>
        <v>3</v>
      </c>
      <c r="N87">
        <f t="shared" si="11"/>
        <v>70</v>
      </c>
      <c r="O87">
        <f t="shared" si="12"/>
        <v>0</v>
      </c>
      <c r="P87" t="str">
        <f t="shared" si="13"/>
        <v>前倒し（1）</v>
      </c>
    </row>
    <row r="88" spans="1:16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228</v>
      </c>
      <c r="I88" t="s">
        <v>229</v>
      </c>
      <c r="J88">
        <v>0</v>
      </c>
      <c r="K88">
        <f t="shared" si="8"/>
        <v>1</v>
      </c>
      <c r="L88">
        <f t="shared" si="9"/>
        <v>72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未達成（1）</v>
      </c>
    </row>
    <row r="89" spans="1:16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230</v>
      </c>
      <c r="I89" t="s">
        <v>231</v>
      </c>
      <c r="J89">
        <v>0</v>
      </c>
      <c r="K89">
        <f t="shared" si="8"/>
        <v>1</v>
      </c>
      <c r="L89">
        <f t="shared" si="9"/>
        <v>73</v>
      </c>
      <c r="M89">
        <f t="shared" si="10"/>
        <v>3</v>
      </c>
      <c r="N89">
        <f t="shared" si="11"/>
        <v>73</v>
      </c>
      <c r="O89">
        <f t="shared" si="12"/>
        <v>0</v>
      </c>
      <c r="P89" t="str">
        <f t="shared" si="13"/>
        <v>達成</v>
      </c>
    </row>
    <row r="90" spans="1:16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232</v>
      </c>
      <c r="I90" t="s">
        <v>233</v>
      </c>
      <c r="J90">
        <v>0</v>
      </c>
      <c r="K90">
        <f t="shared" si="8"/>
        <v>2</v>
      </c>
      <c r="L90">
        <f t="shared" si="9"/>
        <v>75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未達成（1）</v>
      </c>
    </row>
    <row r="91" spans="1:16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234</v>
      </c>
      <c r="I91" t="s">
        <v>235</v>
      </c>
      <c r="J91">
        <v>0</v>
      </c>
      <c r="K91">
        <f t="shared" si="8"/>
        <v>2</v>
      </c>
      <c r="L91">
        <f t="shared" si="9"/>
        <v>77</v>
      </c>
      <c r="M91">
        <f t="shared" si="10"/>
        <v>3</v>
      </c>
      <c r="N91">
        <f t="shared" si="11"/>
        <v>76</v>
      </c>
      <c r="O91">
        <f t="shared" si="12"/>
        <v>0</v>
      </c>
      <c r="P91" t="str">
        <f t="shared" si="13"/>
        <v>前倒し（1）</v>
      </c>
    </row>
    <row r="92" spans="1:16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236</v>
      </c>
      <c r="I92" t="s">
        <v>237</v>
      </c>
      <c r="J92">
        <v>0</v>
      </c>
      <c r="K92">
        <f t="shared" si="8"/>
        <v>2</v>
      </c>
      <c r="L92">
        <f t="shared" si="9"/>
        <v>79</v>
      </c>
      <c r="M92">
        <f t="shared" si="10"/>
        <v>3</v>
      </c>
      <c r="N92">
        <f t="shared" si="11"/>
        <v>79</v>
      </c>
      <c r="O92">
        <f t="shared" si="12"/>
        <v>0</v>
      </c>
      <c r="P92" t="str">
        <f t="shared" si="13"/>
        <v>達成</v>
      </c>
    </row>
    <row r="93" spans="1:16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238</v>
      </c>
      <c r="I93" t="s">
        <v>239</v>
      </c>
      <c r="J93">
        <v>0</v>
      </c>
      <c r="K93">
        <f t="shared" si="8"/>
        <v>1</v>
      </c>
      <c r="L93">
        <f t="shared" si="9"/>
        <v>80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未達成（2）</v>
      </c>
    </row>
    <row r="94" spans="1:16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240</v>
      </c>
      <c r="I94" t="s">
        <v>241</v>
      </c>
      <c r="J94">
        <v>0</v>
      </c>
      <c r="K94">
        <f t="shared" si="8"/>
        <v>1</v>
      </c>
      <c r="L94">
        <f t="shared" si="9"/>
        <v>81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未達成（1）</v>
      </c>
    </row>
    <row r="95" spans="1:16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242</v>
      </c>
      <c r="I95" t="s">
        <v>243</v>
      </c>
      <c r="J95">
        <v>0</v>
      </c>
      <c r="K95">
        <f t="shared" si="8"/>
        <v>2</v>
      </c>
      <c r="L95">
        <f t="shared" si="9"/>
        <v>83</v>
      </c>
      <c r="M95">
        <f t="shared" si="10"/>
        <v>3</v>
      </c>
      <c r="N95">
        <f t="shared" si="11"/>
        <v>82</v>
      </c>
      <c r="O95">
        <f t="shared" si="12"/>
        <v>0</v>
      </c>
      <c r="P95" t="str">
        <f t="shared" si="13"/>
        <v>前倒し（1）</v>
      </c>
    </row>
    <row r="96" spans="1:16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244</v>
      </c>
      <c r="I96" t="s">
        <v>245</v>
      </c>
      <c r="J96">
        <v>0</v>
      </c>
      <c r="K96">
        <f t="shared" si="8"/>
        <v>1</v>
      </c>
      <c r="L96">
        <f t="shared" si="9"/>
        <v>84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未達成（1）</v>
      </c>
    </row>
    <row r="97" spans="1:16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246</v>
      </c>
      <c r="I97" t="s">
        <v>247</v>
      </c>
      <c r="J97">
        <v>0</v>
      </c>
      <c r="K97">
        <f t="shared" si="8"/>
        <v>2</v>
      </c>
      <c r="L97">
        <f t="shared" si="9"/>
        <v>86</v>
      </c>
      <c r="M97">
        <f t="shared" si="10"/>
        <v>3</v>
      </c>
      <c r="N97">
        <f t="shared" si="11"/>
        <v>85</v>
      </c>
      <c r="O97">
        <f t="shared" si="12"/>
        <v>0</v>
      </c>
      <c r="P97" t="str">
        <f t="shared" si="13"/>
        <v>前倒し（1）</v>
      </c>
    </row>
    <row r="98" spans="1:16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248</v>
      </c>
      <c r="I98" t="s">
        <v>249</v>
      </c>
      <c r="J98">
        <v>0</v>
      </c>
      <c r="K98">
        <f t="shared" si="8"/>
        <v>2</v>
      </c>
      <c r="L98">
        <f t="shared" si="9"/>
        <v>88</v>
      </c>
      <c r="M98">
        <f t="shared" si="10"/>
        <v>3</v>
      </c>
      <c r="N98">
        <f t="shared" si="11"/>
        <v>88</v>
      </c>
      <c r="O98">
        <f t="shared" si="12"/>
        <v>0</v>
      </c>
      <c r="P98" t="str">
        <f t="shared" si="13"/>
        <v>達成</v>
      </c>
    </row>
    <row r="99" spans="1:16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251</v>
      </c>
      <c r="I99" t="s">
        <v>252</v>
      </c>
      <c r="J99">
        <v>0</v>
      </c>
      <c r="K99">
        <f t="shared" si="8"/>
        <v>1</v>
      </c>
      <c r="L99">
        <f t="shared" si="9"/>
        <v>89</v>
      </c>
      <c r="M99">
        <f t="shared" si="10"/>
        <v>4</v>
      </c>
      <c r="N99">
        <f t="shared" si="11"/>
        <v>92</v>
      </c>
      <c r="O99">
        <f t="shared" si="12"/>
        <v>0</v>
      </c>
      <c r="P99" t="str">
        <f t="shared" si="13"/>
        <v>未達成（3）</v>
      </c>
    </row>
    <row r="100" spans="1:16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253</v>
      </c>
      <c r="I100" t="s">
        <v>254</v>
      </c>
      <c r="J100">
        <v>0</v>
      </c>
      <c r="K100">
        <f t="shared" si="8"/>
        <v>0</v>
      </c>
      <c r="L100">
        <f t="shared" si="9"/>
        <v>89</v>
      </c>
      <c r="M100">
        <f t="shared" si="10"/>
        <v>4</v>
      </c>
      <c r="N100">
        <f t="shared" si="11"/>
        <v>92</v>
      </c>
      <c r="O100">
        <f t="shared" si="12"/>
        <v>0</v>
      </c>
      <c r="P100" t="str">
        <f t="shared" si="13"/>
        <v>未達成（3）</v>
      </c>
    </row>
    <row r="101" spans="1:16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255</v>
      </c>
      <c r="I101" t="s">
        <v>256</v>
      </c>
      <c r="J101">
        <v>0</v>
      </c>
      <c r="K101">
        <f t="shared" si="8"/>
        <v>1</v>
      </c>
      <c r="L101">
        <f t="shared" si="9"/>
        <v>90</v>
      </c>
      <c r="M101">
        <f t="shared" si="10"/>
        <v>4</v>
      </c>
      <c r="N101">
        <f t="shared" si="11"/>
        <v>92</v>
      </c>
      <c r="O101">
        <f t="shared" si="12"/>
        <v>0</v>
      </c>
      <c r="P101" t="str">
        <f t="shared" si="13"/>
        <v>未達成（2）</v>
      </c>
    </row>
    <row r="102" spans="1:16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257</v>
      </c>
      <c r="I102" t="s">
        <v>258</v>
      </c>
      <c r="J102">
        <v>0</v>
      </c>
      <c r="K102">
        <f t="shared" si="8"/>
        <v>1</v>
      </c>
      <c r="L102">
        <f t="shared" si="9"/>
        <v>91</v>
      </c>
      <c r="M102">
        <f t="shared" si="10"/>
        <v>4</v>
      </c>
      <c r="N102">
        <f t="shared" si="11"/>
        <v>92</v>
      </c>
      <c r="O102">
        <f t="shared" si="12"/>
        <v>0</v>
      </c>
      <c r="P102" t="str">
        <f t="shared" si="13"/>
        <v>未達成（1）</v>
      </c>
    </row>
    <row r="103" spans="1:16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259</v>
      </c>
      <c r="I103" t="s">
        <v>260</v>
      </c>
      <c r="J103">
        <v>0</v>
      </c>
      <c r="K103">
        <f t="shared" si="8"/>
        <v>1</v>
      </c>
      <c r="L103">
        <f t="shared" si="9"/>
        <v>92</v>
      </c>
      <c r="M103">
        <f t="shared" si="10"/>
        <v>4</v>
      </c>
      <c r="N103">
        <f t="shared" si="11"/>
        <v>92</v>
      </c>
      <c r="O103">
        <f t="shared" si="12"/>
        <v>0</v>
      </c>
      <c r="P103" t="str">
        <f t="shared" si="13"/>
        <v>達成</v>
      </c>
    </row>
    <row r="104" spans="1:16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261</v>
      </c>
      <c r="I104" t="s">
        <v>262</v>
      </c>
      <c r="J104">
        <v>0</v>
      </c>
      <c r="K104">
        <f t="shared" si="8"/>
        <v>2</v>
      </c>
      <c r="L104">
        <f t="shared" si="9"/>
        <v>94</v>
      </c>
      <c r="M104">
        <f t="shared" si="10"/>
        <v>4</v>
      </c>
      <c r="N104">
        <f t="shared" si="11"/>
        <v>96</v>
      </c>
      <c r="O104">
        <f t="shared" si="12"/>
        <v>0</v>
      </c>
      <c r="P104" t="str">
        <f t="shared" si="13"/>
        <v>未達成（2）</v>
      </c>
    </row>
    <row r="105" spans="1:16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263</v>
      </c>
      <c r="I105" t="s">
        <v>264</v>
      </c>
      <c r="J105">
        <v>0</v>
      </c>
      <c r="K105">
        <f t="shared" si="8"/>
        <v>1</v>
      </c>
      <c r="L105">
        <f t="shared" si="9"/>
        <v>95</v>
      </c>
      <c r="M105">
        <f t="shared" si="10"/>
        <v>4</v>
      </c>
      <c r="N105">
        <f t="shared" si="11"/>
        <v>96</v>
      </c>
      <c r="O105">
        <f t="shared" si="12"/>
        <v>0</v>
      </c>
      <c r="P105" t="str">
        <f t="shared" si="13"/>
        <v>未達成（1）</v>
      </c>
    </row>
    <row r="106" spans="1:16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265</v>
      </c>
      <c r="I106" t="s">
        <v>266</v>
      </c>
      <c r="J106">
        <v>0</v>
      </c>
      <c r="K106">
        <f t="shared" si="8"/>
        <v>2</v>
      </c>
      <c r="L106">
        <f t="shared" si="9"/>
        <v>97</v>
      </c>
      <c r="M106">
        <f t="shared" si="10"/>
        <v>4</v>
      </c>
      <c r="N106">
        <f t="shared" si="11"/>
        <v>96</v>
      </c>
      <c r="O106">
        <f t="shared" si="12"/>
        <v>0</v>
      </c>
      <c r="P106" t="str">
        <f t="shared" si="13"/>
        <v>前倒し（1）</v>
      </c>
    </row>
    <row r="107" spans="1:16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267</v>
      </c>
      <c r="I107" t="s">
        <v>268</v>
      </c>
      <c r="J107">
        <v>0</v>
      </c>
      <c r="K107">
        <f t="shared" si="8"/>
        <v>1</v>
      </c>
      <c r="L107">
        <f t="shared" si="9"/>
        <v>98</v>
      </c>
      <c r="M107">
        <f t="shared" si="10"/>
        <v>4</v>
      </c>
      <c r="N107">
        <f t="shared" si="11"/>
        <v>100</v>
      </c>
      <c r="O107">
        <f t="shared" si="12"/>
        <v>0</v>
      </c>
      <c r="P107" t="str">
        <f t="shared" si="13"/>
        <v>未達成（2）</v>
      </c>
    </row>
    <row r="108" spans="1:16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269</v>
      </c>
      <c r="I108" t="s">
        <v>270</v>
      </c>
      <c r="J108">
        <v>0</v>
      </c>
      <c r="K108">
        <f t="shared" si="8"/>
        <v>2</v>
      </c>
      <c r="L108">
        <f t="shared" si="9"/>
        <v>100</v>
      </c>
      <c r="M108">
        <f t="shared" si="10"/>
        <v>4</v>
      </c>
      <c r="N108">
        <f t="shared" si="11"/>
        <v>100</v>
      </c>
      <c r="O108">
        <f t="shared" si="12"/>
        <v>0</v>
      </c>
      <c r="P108" t="str">
        <f t="shared" si="13"/>
        <v>達成</v>
      </c>
    </row>
    <row r="109" spans="1:16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271</v>
      </c>
      <c r="I109" t="s">
        <v>272</v>
      </c>
      <c r="J109">
        <v>0</v>
      </c>
      <c r="K109">
        <f t="shared" si="8"/>
        <v>1</v>
      </c>
      <c r="L109">
        <f t="shared" si="9"/>
        <v>101</v>
      </c>
      <c r="M109">
        <f t="shared" si="10"/>
        <v>4</v>
      </c>
      <c r="N109">
        <f t="shared" si="11"/>
        <v>104</v>
      </c>
      <c r="O109">
        <f t="shared" si="12"/>
        <v>0</v>
      </c>
      <c r="P109" t="str">
        <f t="shared" si="13"/>
        <v>未達成（3）</v>
      </c>
    </row>
    <row r="110" spans="1:16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273</v>
      </c>
      <c r="I110" t="s">
        <v>274</v>
      </c>
      <c r="J110">
        <v>0</v>
      </c>
      <c r="K110">
        <f t="shared" si="8"/>
        <v>2</v>
      </c>
      <c r="L110">
        <f t="shared" si="9"/>
        <v>103</v>
      </c>
      <c r="M110">
        <f t="shared" si="10"/>
        <v>4</v>
      </c>
      <c r="N110">
        <f t="shared" si="11"/>
        <v>104</v>
      </c>
      <c r="O110">
        <f t="shared" si="12"/>
        <v>0</v>
      </c>
      <c r="P110" t="str">
        <f t="shared" si="13"/>
        <v>未達成（1）</v>
      </c>
    </row>
    <row r="111" spans="1:16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275</v>
      </c>
      <c r="I111" t="s">
        <v>276</v>
      </c>
      <c r="J111">
        <v>0</v>
      </c>
      <c r="K111">
        <f t="shared" si="8"/>
        <v>2</v>
      </c>
      <c r="L111">
        <f t="shared" si="9"/>
        <v>105</v>
      </c>
      <c r="M111">
        <f t="shared" si="10"/>
        <v>4</v>
      </c>
      <c r="N111">
        <f t="shared" si="11"/>
        <v>104</v>
      </c>
      <c r="O111">
        <f t="shared" si="12"/>
        <v>0</v>
      </c>
      <c r="P111" t="str">
        <f t="shared" si="13"/>
        <v>前倒し（1）</v>
      </c>
    </row>
    <row r="112" spans="1:16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277</v>
      </c>
      <c r="I112" t="s">
        <v>278</v>
      </c>
      <c r="J112">
        <v>0</v>
      </c>
      <c r="K112">
        <f t="shared" si="8"/>
        <v>2</v>
      </c>
      <c r="L112">
        <f t="shared" si="9"/>
        <v>107</v>
      </c>
      <c r="M112">
        <f t="shared" si="10"/>
        <v>4</v>
      </c>
      <c r="N112">
        <f t="shared" si="11"/>
        <v>108</v>
      </c>
      <c r="O112">
        <f t="shared" si="12"/>
        <v>0</v>
      </c>
      <c r="P112" t="str">
        <f t="shared" si="13"/>
        <v>未達成（1）</v>
      </c>
    </row>
    <row r="113" spans="1:16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279</v>
      </c>
      <c r="I113" t="s">
        <v>280</v>
      </c>
      <c r="J113">
        <v>0</v>
      </c>
      <c r="K113">
        <f t="shared" si="8"/>
        <v>1</v>
      </c>
      <c r="L113">
        <f t="shared" si="9"/>
        <v>108</v>
      </c>
      <c r="M113">
        <f t="shared" si="10"/>
        <v>4</v>
      </c>
      <c r="N113">
        <f t="shared" si="11"/>
        <v>108</v>
      </c>
      <c r="O113">
        <f t="shared" si="12"/>
        <v>0</v>
      </c>
      <c r="P113" t="str">
        <f t="shared" si="13"/>
        <v>達成</v>
      </c>
    </row>
    <row r="114" spans="1:16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281</v>
      </c>
      <c r="I114" t="s">
        <v>282</v>
      </c>
      <c r="J114">
        <v>0</v>
      </c>
      <c r="K114">
        <f t="shared" si="8"/>
        <v>2</v>
      </c>
      <c r="L114">
        <f t="shared" si="9"/>
        <v>110</v>
      </c>
      <c r="M114">
        <f t="shared" si="10"/>
        <v>4</v>
      </c>
      <c r="N114">
        <f t="shared" si="11"/>
        <v>112</v>
      </c>
      <c r="O114">
        <f t="shared" si="12"/>
        <v>0</v>
      </c>
      <c r="P114" t="str">
        <f t="shared" si="13"/>
        <v>未達成（2）</v>
      </c>
    </row>
    <row r="115" spans="1:16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283</v>
      </c>
      <c r="I115" t="s">
        <v>284</v>
      </c>
      <c r="J115">
        <v>0</v>
      </c>
      <c r="K115">
        <f t="shared" si="8"/>
        <v>1</v>
      </c>
      <c r="L115">
        <f t="shared" si="9"/>
        <v>111</v>
      </c>
      <c r="M115">
        <f t="shared" si="10"/>
        <v>4</v>
      </c>
      <c r="N115">
        <f t="shared" si="11"/>
        <v>112</v>
      </c>
      <c r="O115">
        <f t="shared" si="12"/>
        <v>0</v>
      </c>
      <c r="P115" t="str">
        <f t="shared" si="13"/>
        <v>未達成（1）</v>
      </c>
    </row>
    <row r="116" spans="1:16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285</v>
      </c>
      <c r="I116" t="s">
        <v>286</v>
      </c>
      <c r="J116">
        <v>0</v>
      </c>
      <c r="K116">
        <f t="shared" si="8"/>
        <v>1</v>
      </c>
      <c r="L116">
        <f t="shared" si="9"/>
        <v>112</v>
      </c>
      <c r="M116">
        <f t="shared" si="10"/>
        <v>4</v>
      </c>
      <c r="N116">
        <f t="shared" si="11"/>
        <v>112</v>
      </c>
      <c r="O116">
        <f t="shared" si="12"/>
        <v>0</v>
      </c>
      <c r="P116" t="str">
        <f t="shared" si="13"/>
        <v>達成</v>
      </c>
    </row>
    <row r="117" spans="1:16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287</v>
      </c>
      <c r="I117" t="s">
        <v>288</v>
      </c>
      <c r="J117">
        <v>0</v>
      </c>
      <c r="K117">
        <f t="shared" si="8"/>
        <v>1</v>
      </c>
      <c r="L117">
        <f t="shared" si="9"/>
        <v>113</v>
      </c>
      <c r="M117">
        <f t="shared" si="10"/>
        <v>4</v>
      </c>
      <c r="N117">
        <f t="shared" si="11"/>
        <v>116</v>
      </c>
      <c r="O117">
        <f t="shared" si="12"/>
        <v>0</v>
      </c>
      <c r="P117" t="str">
        <f t="shared" si="13"/>
        <v>未達成（3）</v>
      </c>
    </row>
    <row r="118" spans="1:16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289</v>
      </c>
      <c r="I118" t="s">
        <v>290</v>
      </c>
      <c r="J118">
        <v>0</v>
      </c>
      <c r="K118">
        <f t="shared" si="8"/>
        <v>0</v>
      </c>
      <c r="L118">
        <f t="shared" si="9"/>
        <v>113</v>
      </c>
      <c r="M118">
        <f t="shared" si="10"/>
        <v>4</v>
      </c>
      <c r="N118">
        <f t="shared" si="11"/>
        <v>116</v>
      </c>
      <c r="O118">
        <f t="shared" si="12"/>
        <v>0</v>
      </c>
      <c r="P118" t="str">
        <f t="shared" si="13"/>
        <v>未達成（3）</v>
      </c>
    </row>
    <row r="119" spans="1:16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291</v>
      </c>
      <c r="I119" t="s">
        <v>292</v>
      </c>
      <c r="J119">
        <v>0</v>
      </c>
      <c r="K119">
        <f t="shared" si="8"/>
        <v>1</v>
      </c>
      <c r="L119">
        <f t="shared" si="9"/>
        <v>114</v>
      </c>
      <c r="M119">
        <f t="shared" si="10"/>
        <v>4</v>
      </c>
      <c r="N119">
        <f t="shared" si="11"/>
        <v>116</v>
      </c>
      <c r="O119">
        <f t="shared" si="12"/>
        <v>0</v>
      </c>
      <c r="P119" t="str">
        <f t="shared" si="13"/>
        <v>未達成（2）</v>
      </c>
    </row>
    <row r="120" spans="1:16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293</v>
      </c>
      <c r="I120" t="s">
        <v>294</v>
      </c>
      <c r="J120">
        <v>0</v>
      </c>
      <c r="K120">
        <f t="shared" si="8"/>
        <v>2</v>
      </c>
      <c r="L120">
        <f t="shared" si="9"/>
        <v>116</v>
      </c>
      <c r="M120">
        <f t="shared" si="10"/>
        <v>4</v>
      </c>
      <c r="N120">
        <f t="shared" si="11"/>
        <v>116</v>
      </c>
      <c r="O120">
        <f t="shared" si="12"/>
        <v>0</v>
      </c>
      <c r="P120" t="str">
        <f t="shared" si="13"/>
        <v>達成</v>
      </c>
    </row>
    <row r="121" spans="1:16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295</v>
      </c>
      <c r="I121" t="s">
        <v>296</v>
      </c>
      <c r="J121">
        <v>0</v>
      </c>
      <c r="K121">
        <f t="shared" si="8"/>
        <v>1</v>
      </c>
      <c r="L121">
        <f t="shared" si="9"/>
        <v>117</v>
      </c>
      <c r="M121">
        <f t="shared" si="10"/>
        <v>4</v>
      </c>
      <c r="N121">
        <f t="shared" si="11"/>
        <v>120</v>
      </c>
      <c r="O121">
        <f t="shared" si="12"/>
        <v>0</v>
      </c>
      <c r="P121" t="str">
        <f t="shared" si="13"/>
        <v>未達成（3）</v>
      </c>
    </row>
    <row r="122" spans="1:16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297</v>
      </c>
      <c r="I122" t="s">
        <v>298</v>
      </c>
      <c r="J122">
        <v>0</v>
      </c>
      <c r="K122">
        <f t="shared" si="8"/>
        <v>1</v>
      </c>
      <c r="L122">
        <f t="shared" si="9"/>
        <v>118</v>
      </c>
      <c r="M122">
        <f t="shared" si="10"/>
        <v>4</v>
      </c>
      <c r="N122">
        <f t="shared" si="11"/>
        <v>120</v>
      </c>
      <c r="O122">
        <f t="shared" si="12"/>
        <v>0</v>
      </c>
      <c r="P122" t="str">
        <f t="shared" si="13"/>
        <v>未達成（2）</v>
      </c>
    </row>
    <row r="123" spans="1:16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299</v>
      </c>
      <c r="I123" t="s">
        <v>300</v>
      </c>
      <c r="J123">
        <v>0</v>
      </c>
      <c r="K123">
        <f t="shared" si="8"/>
        <v>0</v>
      </c>
      <c r="L123">
        <f t="shared" si="9"/>
        <v>118</v>
      </c>
      <c r="M123">
        <f t="shared" si="10"/>
        <v>4</v>
      </c>
      <c r="N123">
        <f t="shared" si="11"/>
        <v>120</v>
      </c>
      <c r="O123">
        <f t="shared" si="12"/>
        <v>0</v>
      </c>
      <c r="P123" t="str">
        <f t="shared" si="13"/>
        <v>未達成（2）</v>
      </c>
    </row>
    <row r="124" spans="1:16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301</v>
      </c>
      <c r="I124" t="s">
        <v>302</v>
      </c>
      <c r="J124">
        <v>0</v>
      </c>
      <c r="K124">
        <f t="shared" si="8"/>
        <v>2</v>
      </c>
      <c r="L124">
        <f t="shared" si="9"/>
        <v>120</v>
      </c>
      <c r="M124">
        <f t="shared" si="10"/>
        <v>4</v>
      </c>
      <c r="N124">
        <f t="shared" si="11"/>
        <v>120</v>
      </c>
      <c r="O124">
        <f t="shared" si="12"/>
        <v>0</v>
      </c>
      <c r="P124" t="str">
        <f t="shared" si="13"/>
        <v>達成</v>
      </c>
    </row>
    <row r="125" spans="1:16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303</v>
      </c>
      <c r="I125" t="s">
        <v>304</v>
      </c>
      <c r="J125">
        <v>0</v>
      </c>
      <c r="K125">
        <f t="shared" si="8"/>
        <v>1</v>
      </c>
      <c r="L125">
        <f t="shared" si="9"/>
        <v>121</v>
      </c>
      <c r="M125">
        <f t="shared" si="10"/>
        <v>4</v>
      </c>
      <c r="N125">
        <f t="shared" si="11"/>
        <v>124</v>
      </c>
      <c r="O125">
        <f t="shared" si="12"/>
        <v>0</v>
      </c>
      <c r="P125" t="str">
        <f t="shared" si="13"/>
        <v>未達成（3）</v>
      </c>
    </row>
    <row r="126" spans="1:16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305</v>
      </c>
      <c r="I126" t="s">
        <v>306</v>
      </c>
      <c r="J126">
        <v>0</v>
      </c>
      <c r="K126">
        <f t="shared" si="8"/>
        <v>2</v>
      </c>
      <c r="L126">
        <f t="shared" si="9"/>
        <v>123</v>
      </c>
      <c r="M126">
        <f t="shared" si="10"/>
        <v>4</v>
      </c>
      <c r="N126">
        <f t="shared" si="11"/>
        <v>124</v>
      </c>
      <c r="O126">
        <f t="shared" si="12"/>
        <v>0</v>
      </c>
      <c r="P126" t="str">
        <f t="shared" si="13"/>
        <v>未達成（1）</v>
      </c>
    </row>
    <row r="127" spans="1:16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307</v>
      </c>
      <c r="I127" t="s">
        <v>308</v>
      </c>
      <c r="J127">
        <v>0</v>
      </c>
      <c r="K127">
        <f t="shared" si="8"/>
        <v>1</v>
      </c>
      <c r="L127">
        <f t="shared" si="9"/>
        <v>124</v>
      </c>
      <c r="M127">
        <f t="shared" si="10"/>
        <v>4</v>
      </c>
      <c r="N127">
        <f t="shared" si="11"/>
        <v>124</v>
      </c>
      <c r="O127">
        <f t="shared" si="12"/>
        <v>0</v>
      </c>
      <c r="P127" t="str">
        <f t="shared" si="13"/>
        <v>達成</v>
      </c>
    </row>
    <row r="128" spans="1:16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309</v>
      </c>
      <c r="I128" t="s">
        <v>310</v>
      </c>
      <c r="J128">
        <v>0</v>
      </c>
      <c r="K128">
        <f t="shared" si="8"/>
        <v>1</v>
      </c>
      <c r="L128">
        <f t="shared" si="9"/>
        <v>125</v>
      </c>
      <c r="M128">
        <f t="shared" si="10"/>
        <v>4</v>
      </c>
      <c r="N128">
        <f t="shared" si="11"/>
        <v>128</v>
      </c>
      <c r="O128">
        <f t="shared" si="12"/>
        <v>0</v>
      </c>
      <c r="P128" t="str">
        <f t="shared" si="13"/>
        <v>未達成（3）</v>
      </c>
    </row>
    <row r="129" spans="1:16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311</v>
      </c>
      <c r="I129" t="s">
        <v>312</v>
      </c>
      <c r="J129">
        <v>0</v>
      </c>
      <c r="K129">
        <f t="shared" si="8"/>
        <v>2</v>
      </c>
      <c r="L129">
        <f t="shared" si="9"/>
        <v>127</v>
      </c>
      <c r="M129">
        <f t="shared" si="10"/>
        <v>4</v>
      </c>
      <c r="N129">
        <f t="shared" si="11"/>
        <v>128</v>
      </c>
      <c r="O129">
        <f t="shared" si="12"/>
        <v>0</v>
      </c>
      <c r="P129" t="str">
        <f t="shared" si="13"/>
        <v>未達成（1）</v>
      </c>
    </row>
    <row r="130" spans="1:16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313</v>
      </c>
      <c r="I130" t="s">
        <v>314</v>
      </c>
      <c r="J130">
        <v>0</v>
      </c>
      <c r="K130">
        <f t="shared" si="8"/>
        <v>1</v>
      </c>
      <c r="L130">
        <f t="shared" si="9"/>
        <v>128</v>
      </c>
      <c r="M130">
        <f t="shared" si="10"/>
        <v>4</v>
      </c>
      <c r="N130">
        <f t="shared" si="11"/>
        <v>128</v>
      </c>
      <c r="O130">
        <f t="shared" si="12"/>
        <v>0</v>
      </c>
      <c r="P130" t="str">
        <f t="shared" si="13"/>
        <v>達成</v>
      </c>
    </row>
    <row r="131" spans="1:16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315</v>
      </c>
      <c r="I131" t="s">
        <v>316</v>
      </c>
      <c r="J131">
        <v>0</v>
      </c>
      <c r="K131">
        <f t="shared" si="8"/>
        <v>2</v>
      </c>
      <c r="L131">
        <f t="shared" si="9"/>
        <v>130</v>
      </c>
      <c r="M131">
        <f t="shared" si="10"/>
        <v>4</v>
      </c>
      <c r="N131">
        <f t="shared" si="11"/>
        <v>132</v>
      </c>
      <c r="O131">
        <f t="shared" si="12"/>
        <v>0</v>
      </c>
      <c r="P131" t="str">
        <f t="shared" si="13"/>
        <v>未達成（2）</v>
      </c>
    </row>
    <row r="132" spans="1:16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317</v>
      </c>
      <c r="I132" t="s">
        <v>318</v>
      </c>
      <c r="J132">
        <v>0</v>
      </c>
      <c r="K132">
        <f t="shared" si="8"/>
        <v>2</v>
      </c>
      <c r="L132">
        <f t="shared" si="9"/>
        <v>132</v>
      </c>
      <c r="M132">
        <f t="shared" si="10"/>
        <v>4</v>
      </c>
      <c r="N132">
        <f t="shared" si="11"/>
        <v>132</v>
      </c>
      <c r="O132">
        <f t="shared" si="12"/>
        <v>0</v>
      </c>
      <c r="P132" t="str">
        <f t="shared" si="13"/>
        <v>達成</v>
      </c>
    </row>
    <row r="133" spans="1:16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319</v>
      </c>
      <c r="I133" t="s">
        <v>320</v>
      </c>
      <c r="J133">
        <v>0</v>
      </c>
      <c r="K133">
        <f t="shared" si="8"/>
        <v>1</v>
      </c>
      <c r="L133">
        <f t="shared" si="9"/>
        <v>133</v>
      </c>
      <c r="M133">
        <f t="shared" si="10"/>
        <v>4</v>
      </c>
      <c r="N133">
        <f t="shared" si="11"/>
        <v>136</v>
      </c>
      <c r="O133">
        <f t="shared" si="12"/>
        <v>0</v>
      </c>
      <c r="P133" t="str">
        <f t="shared" si="13"/>
        <v>未達成（3）</v>
      </c>
    </row>
    <row r="134" spans="1:16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321</v>
      </c>
      <c r="I134" t="s">
        <v>322</v>
      </c>
      <c r="J134">
        <v>0</v>
      </c>
      <c r="K134">
        <f t="shared" si="8"/>
        <v>0</v>
      </c>
      <c r="L134">
        <f t="shared" si="9"/>
        <v>133</v>
      </c>
      <c r="M134">
        <f t="shared" si="10"/>
        <v>4</v>
      </c>
      <c r="N134">
        <f t="shared" si="11"/>
        <v>136</v>
      </c>
      <c r="O134">
        <f t="shared" si="12"/>
        <v>0</v>
      </c>
      <c r="P134" t="str">
        <f t="shared" si="13"/>
        <v>未達成（3）</v>
      </c>
    </row>
    <row r="135" spans="1:16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323</v>
      </c>
      <c r="I135" t="s">
        <v>324</v>
      </c>
      <c r="J135">
        <v>0</v>
      </c>
      <c r="K135">
        <f t="shared" si="8"/>
        <v>1</v>
      </c>
      <c r="L135">
        <f t="shared" si="9"/>
        <v>134</v>
      </c>
      <c r="M135">
        <f t="shared" si="10"/>
        <v>4</v>
      </c>
      <c r="N135">
        <f t="shared" si="11"/>
        <v>136</v>
      </c>
      <c r="O135">
        <f t="shared" si="12"/>
        <v>0</v>
      </c>
      <c r="P135" t="str">
        <f t="shared" si="13"/>
        <v>未達成（2）</v>
      </c>
    </row>
    <row r="136" spans="1:16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325</v>
      </c>
      <c r="I136" t="s">
        <v>326</v>
      </c>
      <c r="J136">
        <v>0</v>
      </c>
      <c r="K136">
        <f t="shared" si="8"/>
        <v>2</v>
      </c>
      <c r="L136">
        <f t="shared" si="9"/>
        <v>136</v>
      </c>
      <c r="M136">
        <f t="shared" si="10"/>
        <v>4</v>
      </c>
      <c r="N136">
        <f t="shared" si="11"/>
        <v>136</v>
      </c>
      <c r="O136">
        <f t="shared" si="12"/>
        <v>0</v>
      </c>
      <c r="P136" t="str">
        <f t="shared" si="13"/>
        <v>達成</v>
      </c>
    </row>
    <row r="137" spans="1:16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327</v>
      </c>
      <c r="I137" t="s">
        <v>328</v>
      </c>
      <c r="J137">
        <v>0</v>
      </c>
      <c r="K137">
        <f t="shared" si="8"/>
        <v>2</v>
      </c>
      <c r="L137">
        <f t="shared" si="9"/>
        <v>138</v>
      </c>
      <c r="M137">
        <f t="shared" si="10"/>
        <v>4</v>
      </c>
      <c r="N137">
        <f t="shared" si="11"/>
        <v>140</v>
      </c>
      <c r="O137">
        <f t="shared" si="12"/>
        <v>0</v>
      </c>
      <c r="P137" t="str">
        <f t="shared" si="13"/>
        <v>未達成（2）</v>
      </c>
    </row>
    <row r="138" spans="1:16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329</v>
      </c>
      <c r="I138" t="s">
        <v>330</v>
      </c>
      <c r="J138">
        <v>0</v>
      </c>
      <c r="K138">
        <f t="shared" si="8"/>
        <v>0</v>
      </c>
      <c r="L138">
        <f t="shared" si="9"/>
        <v>138</v>
      </c>
      <c r="M138">
        <f t="shared" si="10"/>
        <v>4</v>
      </c>
      <c r="N138">
        <f t="shared" si="11"/>
        <v>140</v>
      </c>
      <c r="O138">
        <f t="shared" si="12"/>
        <v>0</v>
      </c>
      <c r="P138" t="str">
        <f t="shared" si="13"/>
        <v>未達成（2）</v>
      </c>
    </row>
    <row r="139" spans="1:16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331</v>
      </c>
      <c r="I139" t="s">
        <v>332</v>
      </c>
      <c r="J139">
        <v>0</v>
      </c>
      <c r="K139">
        <f t="shared" si="8"/>
        <v>2</v>
      </c>
      <c r="L139">
        <f t="shared" si="9"/>
        <v>140</v>
      </c>
      <c r="M139">
        <f t="shared" si="10"/>
        <v>4</v>
      </c>
      <c r="N139">
        <f t="shared" si="11"/>
        <v>140</v>
      </c>
      <c r="O139">
        <f t="shared" si="12"/>
        <v>0</v>
      </c>
      <c r="P139" t="str">
        <f t="shared" si="13"/>
        <v>達成</v>
      </c>
    </row>
    <row r="140" spans="1:16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333</v>
      </c>
      <c r="I140" t="s">
        <v>334</v>
      </c>
      <c r="J140">
        <v>0</v>
      </c>
      <c r="K140">
        <f t="shared" si="8"/>
        <v>1</v>
      </c>
      <c r="L140">
        <f t="shared" si="9"/>
        <v>141</v>
      </c>
      <c r="M140">
        <f t="shared" si="10"/>
        <v>4</v>
      </c>
      <c r="N140">
        <f t="shared" si="11"/>
        <v>144</v>
      </c>
      <c r="O140">
        <f t="shared" si="12"/>
        <v>0</v>
      </c>
      <c r="P140" t="str">
        <f t="shared" si="13"/>
        <v>未達成（3）</v>
      </c>
    </row>
    <row r="141" spans="1:16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335</v>
      </c>
      <c r="I141" t="s">
        <v>336</v>
      </c>
      <c r="J141">
        <v>0</v>
      </c>
      <c r="K141">
        <f t="shared" si="8"/>
        <v>2</v>
      </c>
      <c r="L141">
        <f t="shared" si="9"/>
        <v>143</v>
      </c>
      <c r="M141">
        <f t="shared" si="10"/>
        <v>4</v>
      </c>
      <c r="N141">
        <f t="shared" si="11"/>
        <v>144</v>
      </c>
      <c r="O141">
        <f t="shared" si="12"/>
        <v>0</v>
      </c>
      <c r="P141" t="str">
        <f t="shared" si="13"/>
        <v>未達成（1）</v>
      </c>
    </row>
    <row r="142" spans="1:16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337</v>
      </c>
      <c r="I142" t="s">
        <v>338</v>
      </c>
      <c r="J142">
        <v>0</v>
      </c>
      <c r="K142">
        <f t="shared" si="8"/>
        <v>1</v>
      </c>
      <c r="L142">
        <f t="shared" si="9"/>
        <v>144</v>
      </c>
      <c r="M142">
        <f t="shared" si="10"/>
        <v>4</v>
      </c>
      <c r="N142">
        <f t="shared" si="11"/>
        <v>144</v>
      </c>
      <c r="O142">
        <f t="shared" si="12"/>
        <v>0</v>
      </c>
      <c r="P142" t="str">
        <f t="shared" si="13"/>
        <v>達成</v>
      </c>
    </row>
    <row r="143" spans="1:16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340</v>
      </c>
      <c r="I143" t="s">
        <v>341</v>
      </c>
      <c r="J143">
        <v>0</v>
      </c>
      <c r="K143">
        <f t="shared" si="8"/>
        <v>1</v>
      </c>
      <c r="L143">
        <f t="shared" si="9"/>
        <v>145</v>
      </c>
      <c r="M143">
        <f t="shared" si="10"/>
        <v>4</v>
      </c>
      <c r="N143">
        <f t="shared" si="11"/>
        <v>148</v>
      </c>
      <c r="O143">
        <f t="shared" si="12"/>
        <v>0</v>
      </c>
      <c r="P143" t="str">
        <f t="shared" si="13"/>
        <v>未達成（3）</v>
      </c>
    </row>
    <row r="144" spans="1:16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342</v>
      </c>
      <c r="I144" t="s">
        <v>343</v>
      </c>
      <c r="J144">
        <v>0</v>
      </c>
      <c r="K144">
        <f t="shared" si="8"/>
        <v>1</v>
      </c>
      <c r="L144">
        <f t="shared" si="9"/>
        <v>146</v>
      </c>
      <c r="M144">
        <f t="shared" si="10"/>
        <v>4</v>
      </c>
      <c r="N144">
        <f t="shared" si="11"/>
        <v>148</v>
      </c>
      <c r="O144">
        <f t="shared" si="12"/>
        <v>0</v>
      </c>
      <c r="P144" t="str">
        <f t="shared" si="13"/>
        <v>未達成（2）</v>
      </c>
    </row>
    <row r="145" spans="1:16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344</v>
      </c>
      <c r="I145" t="s">
        <v>345</v>
      </c>
      <c r="J145">
        <v>0</v>
      </c>
      <c r="K145">
        <f t="shared" si="8"/>
        <v>2</v>
      </c>
      <c r="L145">
        <f t="shared" si="9"/>
        <v>148</v>
      </c>
      <c r="M145">
        <f t="shared" si="10"/>
        <v>4</v>
      </c>
      <c r="N145">
        <f t="shared" si="11"/>
        <v>148</v>
      </c>
      <c r="O145">
        <f t="shared" si="12"/>
        <v>0</v>
      </c>
      <c r="P145" t="str">
        <f t="shared" si="13"/>
        <v>達成</v>
      </c>
    </row>
    <row r="146" spans="1:16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346</v>
      </c>
      <c r="I146" t="s">
        <v>347</v>
      </c>
      <c r="J146">
        <v>0</v>
      </c>
      <c r="K146">
        <f t="shared" si="8"/>
        <v>1</v>
      </c>
      <c r="L146">
        <f t="shared" si="9"/>
        <v>149</v>
      </c>
      <c r="M146">
        <f t="shared" si="10"/>
        <v>4</v>
      </c>
      <c r="N146">
        <f t="shared" si="11"/>
        <v>152</v>
      </c>
      <c r="O146">
        <f t="shared" si="12"/>
        <v>0</v>
      </c>
      <c r="P146" t="str">
        <f t="shared" si="13"/>
        <v>未達成（3）</v>
      </c>
    </row>
    <row r="147" spans="1:16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348</v>
      </c>
      <c r="I147" t="s">
        <v>349</v>
      </c>
      <c r="J147">
        <v>0</v>
      </c>
      <c r="K147">
        <f t="shared" ref="K147:K182" si="14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5">L146+K147</f>
        <v>150</v>
      </c>
      <c r="M147">
        <f t="shared" ref="M147:M182" si="16">2+IF(A147&gt;=DATEVALUE("2025/11/30")+TIMEVALUE("6:00"),1,0)+IF(A147&gt;=DATEVALUE("2025/12/11")+TIMEVALUE("6:00"),1,0)</f>
        <v>4</v>
      </c>
      <c r="N147">
        <f t="shared" ref="N147:N182" si="17">N146+M147*(INT(A147-6/24)-INT(A146-6/24))+O147</f>
        <v>152</v>
      </c>
      <c r="O147">
        <f t="shared" ref="O147:O182" si="18">IF(A147&gt;=DATEVALUE("2025/11/8")+TIMEVALUE("6:00"),1,0)-IF(A146&gt;=DATEVALUE("2025/11/8")+TIMEVALUE("6:00"),1,0)</f>
        <v>0</v>
      </c>
      <c r="P147" t="str">
        <f t="shared" ref="P147:P182" si="19">IF(L147&lt;N147,"未達成（"&amp;N147-L147&amp;"）",IF(L147=N147,"達成","前倒し（"&amp;L147-N147&amp;"）"))</f>
        <v>未達成（2）</v>
      </c>
    </row>
    <row r="148" spans="1:16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350</v>
      </c>
      <c r="I148" t="s">
        <v>351</v>
      </c>
      <c r="J148">
        <v>0</v>
      </c>
      <c r="K148">
        <f t="shared" si="14"/>
        <v>2</v>
      </c>
      <c r="L148">
        <f t="shared" si="15"/>
        <v>152</v>
      </c>
      <c r="M148">
        <f t="shared" si="16"/>
        <v>4</v>
      </c>
      <c r="N148">
        <f t="shared" si="17"/>
        <v>152</v>
      </c>
      <c r="O148">
        <f t="shared" si="18"/>
        <v>0</v>
      </c>
      <c r="P148" t="str">
        <f t="shared" si="19"/>
        <v>達成</v>
      </c>
    </row>
    <row r="149" spans="1:16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352</v>
      </c>
      <c r="I149" t="s">
        <v>353</v>
      </c>
      <c r="J149">
        <v>0</v>
      </c>
      <c r="K149">
        <f t="shared" si="14"/>
        <v>1</v>
      </c>
      <c r="L149">
        <f t="shared" si="15"/>
        <v>153</v>
      </c>
      <c r="M149">
        <f t="shared" si="16"/>
        <v>4</v>
      </c>
      <c r="N149">
        <f t="shared" si="17"/>
        <v>156</v>
      </c>
      <c r="O149">
        <f t="shared" si="18"/>
        <v>0</v>
      </c>
      <c r="P149" t="str">
        <f t="shared" si="19"/>
        <v>未達成（3）</v>
      </c>
    </row>
    <row r="150" spans="1:16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354</v>
      </c>
      <c r="I150" t="s">
        <v>355</v>
      </c>
      <c r="J150">
        <v>0</v>
      </c>
      <c r="K150">
        <f t="shared" si="14"/>
        <v>2</v>
      </c>
      <c r="L150">
        <f t="shared" si="15"/>
        <v>155</v>
      </c>
      <c r="M150">
        <f t="shared" si="16"/>
        <v>4</v>
      </c>
      <c r="N150">
        <f t="shared" si="17"/>
        <v>156</v>
      </c>
      <c r="O150">
        <f t="shared" si="18"/>
        <v>0</v>
      </c>
      <c r="P150" t="str">
        <f t="shared" si="19"/>
        <v>未達成（1）</v>
      </c>
    </row>
    <row r="151" spans="1:16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356</v>
      </c>
      <c r="I151" t="s">
        <v>357</v>
      </c>
      <c r="J151">
        <v>0</v>
      </c>
      <c r="K151">
        <f t="shared" si="14"/>
        <v>1</v>
      </c>
      <c r="L151">
        <f t="shared" si="15"/>
        <v>156</v>
      </c>
      <c r="M151">
        <f t="shared" si="16"/>
        <v>4</v>
      </c>
      <c r="N151">
        <f t="shared" si="17"/>
        <v>156</v>
      </c>
      <c r="O151">
        <f t="shared" si="18"/>
        <v>0</v>
      </c>
      <c r="P151" t="str">
        <f t="shared" si="19"/>
        <v>達成</v>
      </c>
    </row>
    <row r="152" spans="1:16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358</v>
      </c>
      <c r="I152" t="s">
        <v>359</v>
      </c>
      <c r="J152">
        <v>0</v>
      </c>
      <c r="K152">
        <f t="shared" si="14"/>
        <v>2</v>
      </c>
      <c r="L152">
        <f t="shared" si="15"/>
        <v>158</v>
      </c>
      <c r="M152">
        <f t="shared" si="16"/>
        <v>4</v>
      </c>
      <c r="N152">
        <f t="shared" si="17"/>
        <v>160</v>
      </c>
      <c r="O152">
        <f t="shared" si="18"/>
        <v>0</v>
      </c>
      <c r="P152" t="str">
        <f t="shared" si="19"/>
        <v>未達成（2）</v>
      </c>
    </row>
    <row r="153" spans="1:16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360</v>
      </c>
      <c r="I153" t="s">
        <v>361</v>
      </c>
      <c r="J153">
        <v>0</v>
      </c>
      <c r="K153">
        <f t="shared" si="14"/>
        <v>2</v>
      </c>
      <c r="L153">
        <f t="shared" si="15"/>
        <v>160</v>
      </c>
      <c r="M153">
        <f t="shared" si="16"/>
        <v>4</v>
      </c>
      <c r="N153">
        <f t="shared" si="17"/>
        <v>160</v>
      </c>
      <c r="O153">
        <f t="shared" si="18"/>
        <v>0</v>
      </c>
      <c r="P153" t="str">
        <f t="shared" si="19"/>
        <v>達成</v>
      </c>
    </row>
    <row r="154" spans="1:16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362</v>
      </c>
      <c r="I154" t="s">
        <v>363</v>
      </c>
      <c r="J154">
        <v>0</v>
      </c>
      <c r="K154">
        <f t="shared" si="14"/>
        <v>1</v>
      </c>
      <c r="L154">
        <f t="shared" si="15"/>
        <v>161</v>
      </c>
      <c r="M154">
        <f t="shared" si="16"/>
        <v>4</v>
      </c>
      <c r="N154">
        <f t="shared" si="17"/>
        <v>164</v>
      </c>
      <c r="O154">
        <f t="shared" si="18"/>
        <v>0</v>
      </c>
      <c r="P154" t="str">
        <f t="shared" si="19"/>
        <v>未達成（3）</v>
      </c>
    </row>
    <row r="155" spans="1:16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364</v>
      </c>
      <c r="I155" t="s">
        <v>365</v>
      </c>
      <c r="J155">
        <v>0</v>
      </c>
      <c r="K155">
        <f t="shared" si="14"/>
        <v>2</v>
      </c>
      <c r="L155">
        <f t="shared" si="15"/>
        <v>163</v>
      </c>
      <c r="M155">
        <f t="shared" si="16"/>
        <v>4</v>
      </c>
      <c r="N155">
        <f t="shared" si="17"/>
        <v>164</v>
      </c>
      <c r="O155">
        <f t="shared" si="18"/>
        <v>0</v>
      </c>
      <c r="P155" t="str">
        <f t="shared" si="19"/>
        <v>未達成（1）</v>
      </c>
    </row>
    <row r="156" spans="1:16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366</v>
      </c>
      <c r="I156" t="s">
        <v>367</v>
      </c>
      <c r="J156">
        <v>0</v>
      </c>
      <c r="K156">
        <f t="shared" si="14"/>
        <v>2</v>
      </c>
      <c r="L156">
        <f t="shared" si="15"/>
        <v>165</v>
      </c>
      <c r="M156">
        <f t="shared" si="16"/>
        <v>4</v>
      </c>
      <c r="N156">
        <f t="shared" si="17"/>
        <v>164</v>
      </c>
      <c r="O156">
        <f t="shared" si="18"/>
        <v>0</v>
      </c>
      <c r="P156" t="str">
        <f t="shared" si="19"/>
        <v>前倒し（1）</v>
      </c>
    </row>
    <row r="157" spans="1:16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368</v>
      </c>
      <c r="I157" t="s">
        <v>369</v>
      </c>
      <c r="J157">
        <v>0</v>
      </c>
      <c r="K157">
        <f t="shared" si="14"/>
        <v>2</v>
      </c>
      <c r="L157">
        <f t="shared" si="15"/>
        <v>167</v>
      </c>
      <c r="M157">
        <f t="shared" si="16"/>
        <v>4</v>
      </c>
      <c r="N157">
        <f t="shared" si="17"/>
        <v>168</v>
      </c>
      <c r="O157">
        <f t="shared" si="18"/>
        <v>0</v>
      </c>
      <c r="P157" t="str">
        <f t="shared" si="19"/>
        <v>未達成（1）</v>
      </c>
    </row>
    <row r="158" spans="1:16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370</v>
      </c>
      <c r="I158" t="s">
        <v>371</v>
      </c>
      <c r="J158">
        <v>0</v>
      </c>
      <c r="K158">
        <f t="shared" si="14"/>
        <v>1</v>
      </c>
      <c r="L158">
        <f t="shared" si="15"/>
        <v>168</v>
      </c>
      <c r="M158">
        <f t="shared" si="16"/>
        <v>4</v>
      </c>
      <c r="N158">
        <f t="shared" si="17"/>
        <v>168</v>
      </c>
      <c r="O158">
        <f t="shared" si="18"/>
        <v>0</v>
      </c>
      <c r="P158" t="str">
        <f t="shared" si="19"/>
        <v>達成</v>
      </c>
    </row>
    <row r="159" spans="1:16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372</v>
      </c>
      <c r="I159" t="s">
        <v>373</v>
      </c>
      <c r="J159">
        <v>0</v>
      </c>
      <c r="K159">
        <f t="shared" si="14"/>
        <v>1</v>
      </c>
      <c r="L159">
        <f t="shared" si="15"/>
        <v>169</v>
      </c>
      <c r="M159">
        <f t="shared" si="16"/>
        <v>4</v>
      </c>
      <c r="N159">
        <f t="shared" si="17"/>
        <v>172</v>
      </c>
      <c r="O159">
        <f t="shared" si="18"/>
        <v>0</v>
      </c>
      <c r="P159" t="str">
        <f t="shared" si="19"/>
        <v>未達成（3）</v>
      </c>
    </row>
    <row r="160" spans="1:16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374</v>
      </c>
      <c r="I160" t="s">
        <v>375</v>
      </c>
      <c r="J160">
        <v>0</v>
      </c>
      <c r="K160">
        <f t="shared" si="14"/>
        <v>2</v>
      </c>
      <c r="L160">
        <f t="shared" si="15"/>
        <v>171</v>
      </c>
      <c r="M160">
        <f t="shared" si="16"/>
        <v>4</v>
      </c>
      <c r="N160">
        <f t="shared" si="17"/>
        <v>172</v>
      </c>
      <c r="O160">
        <f t="shared" si="18"/>
        <v>0</v>
      </c>
      <c r="P160" t="str">
        <f t="shared" si="19"/>
        <v>未達成（1）</v>
      </c>
    </row>
    <row r="161" spans="1:16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376</v>
      </c>
      <c r="I161" t="s">
        <v>377</v>
      </c>
      <c r="J161">
        <v>0</v>
      </c>
      <c r="K161">
        <f t="shared" si="14"/>
        <v>1</v>
      </c>
      <c r="L161">
        <f t="shared" si="15"/>
        <v>172</v>
      </c>
      <c r="M161">
        <f t="shared" si="16"/>
        <v>4</v>
      </c>
      <c r="N161">
        <f t="shared" si="17"/>
        <v>172</v>
      </c>
      <c r="O161">
        <f t="shared" si="18"/>
        <v>0</v>
      </c>
      <c r="P161" t="str">
        <f t="shared" si="19"/>
        <v>達成</v>
      </c>
    </row>
    <row r="162" spans="1:16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378</v>
      </c>
      <c r="I162" t="s">
        <v>379</v>
      </c>
      <c r="J162">
        <v>0</v>
      </c>
      <c r="K162">
        <f t="shared" si="14"/>
        <v>2</v>
      </c>
      <c r="L162">
        <f t="shared" si="15"/>
        <v>174</v>
      </c>
      <c r="M162">
        <f t="shared" si="16"/>
        <v>4</v>
      </c>
      <c r="N162">
        <f t="shared" si="17"/>
        <v>176</v>
      </c>
      <c r="O162">
        <f t="shared" si="18"/>
        <v>0</v>
      </c>
      <c r="P162" t="str">
        <f t="shared" si="19"/>
        <v>未達成（2）</v>
      </c>
    </row>
    <row r="163" spans="1:16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380</v>
      </c>
      <c r="I163" t="s">
        <v>381</v>
      </c>
      <c r="J163">
        <v>0</v>
      </c>
      <c r="K163">
        <f t="shared" si="14"/>
        <v>1</v>
      </c>
      <c r="L163">
        <f t="shared" si="15"/>
        <v>175</v>
      </c>
      <c r="M163">
        <f t="shared" si="16"/>
        <v>4</v>
      </c>
      <c r="N163">
        <f t="shared" si="17"/>
        <v>176</v>
      </c>
      <c r="O163">
        <f t="shared" si="18"/>
        <v>0</v>
      </c>
      <c r="P163" t="str">
        <f t="shared" si="19"/>
        <v>未達成（1）</v>
      </c>
    </row>
    <row r="164" spans="1:16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382</v>
      </c>
      <c r="I164" t="s">
        <v>383</v>
      </c>
      <c r="J164">
        <v>0</v>
      </c>
      <c r="K164">
        <f t="shared" si="14"/>
        <v>2</v>
      </c>
      <c r="L164">
        <f t="shared" si="15"/>
        <v>177</v>
      </c>
      <c r="M164">
        <f t="shared" si="16"/>
        <v>4</v>
      </c>
      <c r="N164">
        <f t="shared" si="17"/>
        <v>176</v>
      </c>
      <c r="O164">
        <f t="shared" si="18"/>
        <v>0</v>
      </c>
      <c r="P164" t="str">
        <f t="shared" si="19"/>
        <v>前倒し（1）</v>
      </c>
    </row>
    <row r="165" spans="1:16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384</v>
      </c>
      <c r="I165" t="s">
        <v>385</v>
      </c>
      <c r="J165">
        <v>0</v>
      </c>
      <c r="K165">
        <f t="shared" si="14"/>
        <v>1</v>
      </c>
      <c r="L165">
        <f t="shared" si="15"/>
        <v>178</v>
      </c>
      <c r="M165">
        <f t="shared" si="16"/>
        <v>4</v>
      </c>
      <c r="N165">
        <f t="shared" si="17"/>
        <v>180</v>
      </c>
      <c r="O165">
        <f t="shared" si="18"/>
        <v>0</v>
      </c>
      <c r="P165" t="str">
        <f t="shared" si="19"/>
        <v>未達成（2）</v>
      </c>
    </row>
    <row r="166" spans="1:16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386</v>
      </c>
      <c r="I166" t="s">
        <v>387</v>
      </c>
      <c r="J166">
        <v>0</v>
      </c>
      <c r="K166">
        <f t="shared" si="14"/>
        <v>1</v>
      </c>
      <c r="L166">
        <f t="shared" si="15"/>
        <v>179</v>
      </c>
      <c r="M166">
        <f t="shared" si="16"/>
        <v>4</v>
      </c>
      <c r="N166">
        <f t="shared" si="17"/>
        <v>180</v>
      </c>
      <c r="O166">
        <f t="shared" si="18"/>
        <v>0</v>
      </c>
      <c r="P166" t="str">
        <f t="shared" si="19"/>
        <v>未達成（1）</v>
      </c>
    </row>
    <row r="167" spans="1:16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388</v>
      </c>
      <c r="I167" t="s">
        <v>389</v>
      </c>
      <c r="J167">
        <v>0</v>
      </c>
      <c r="K167">
        <f t="shared" si="14"/>
        <v>2</v>
      </c>
      <c r="L167">
        <f t="shared" si="15"/>
        <v>181</v>
      </c>
      <c r="M167">
        <f t="shared" si="16"/>
        <v>4</v>
      </c>
      <c r="N167">
        <f t="shared" si="17"/>
        <v>180</v>
      </c>
      <c r="O167">
        <f t="shared" si="18"/>
        <v>0</v>
      </c>
      <c r="P167" t="str">
        <f t="shared" si="19"/>
        <v>前倒し（1）</v>
      </c>
    </row>
    <row r="168" spans="1:16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391</v>
      </c>
      <c r="I168" t="s">
        <v>390</v>
      </c>
      <c r="J168">
        <v>0</v>
      </c>
      <c r="K168">
        <f t="shared" si="14"/>
        <v>1</v>
      </c>
      <c r="L168">
        <f t="shared" si="15"/>
        <v>182</v>
      </c>
      <c r="M168">
        <f t="shared" si="16"/>
        <v>4</v>
      </c>
      <c r="N168">
        <f t="shared" si="17"/>
        <v>184</v>
      </c>
      <c r="O168">
        <f t="shared" si="18"/>
        <v>0</v>
      </c>
      <c r="P168" t="str">
        <f t="shared" si="19"/>
        <v>未達成（2）</v>
      </c>
    </row>
    <row r="169" spans="1:16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392</v>
      </c>
      <c r="I169" t="s">
        <v>393</v>
      </c>
      <c r="J169">
        <v>0</v>
      </c>
      <c r="K169">
        <f t="shared" si="14"/>
        <v>2</v>
      </c>
      <c r="L169">
        <f t="shared" si="15"/>
        <v>184</v>
      </c>
      <c r="M169">
        <f t="shared" si="16"/>
        <v>4</v>
      </c>
      <c r="N169">
        <f t="shared" si="17"/>
        <v>184</v>
      </c>
      <c r="O169">
        <f t="shared" si="18"/>
        <v>0</v>
      </c>
      <c r="P169" t="str">
        <f t="shared" si="19"/>
        <v>達成</v>
      </c>
    </row>
    <row r="170" spans="1:16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394</v>
      </c>
      <c r="I170" t="s">
        <v>395</v>
      </c>
      <c r="J170">
        <v>0</v>
      </c>
      <c r="K170">
        <f t="shared" si="14"/>
        <v>2</v>
      </c>
      <c r="L170">
        <f t="shared" si="15"/>
        <v>186</v>
      </c>
      <c r="M170">
        <f t="shared" si="16"/>
        <v>4</v>
      </c>
      <c r="N170">
        <f t="shared" si="17"/>
        <v>188</v>
      </c>
      <c r="O170">
        <f t="shared" si="18"/>
        <v>0</v>
      </c>
      <c r="P170" t="str">
        <f t="shared" si="19"/>
        <v>未達成（2）</v>
      </c>
    </row>
    <row r="171" spans="1:16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396</v>
      </c>
      <c r="I171" t="s">
        <v>397</v>
      </c>
      <c r="J171">
        <v>0</v>
      </c>
      <c r="K171">
        <f t="shared" si="14"/>
        <v>2</v>
      </c>
      <c r="L171">
        <f t="shared" si="15"/>
        <v>188</v>
      </c>
      <c r="M171">
        <f t="shared" si="16"/>
        <v>4</v>
      </c>
      <c r="N171">
        <f t="shared" si="17"/>
        <v>188</v>
      </c>
      <c r="O171">
        <f t="shared" si="18"/>
        <v>0</v>
      </c>
      <c r="P171" t="str">
        <f t="shared" si="19"/>
        <v>達成</v>
      </c>
    </row>
    <row r="172" spans="1:16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398</v>
      </c>
      <c r="I172" t="s">
        <v>399</v>
      </c>
      <c r="J172">
        <v>0</v>
      </c>
      <c r="K172">
        <f t="shared" si="14"/>
        <v>1</v>
      </c>
      <c r="L172">
        <f t="shared" si="15"/>
        <v>189</v>
      </c>
      <c r="M172">
        <f t="shared" si="16"/>
        <v>4</v>
      </c>
      <c r="N172">
        <f t="shared" si="17"/>
        <v>192</v>
      </c>
      <c r="O172">
        <f t="shared" si="18"/>
        <v>0</v>
      </c>
      <c r="P172" t="str">
        <f t="shared" si="19"/>
        <v>未達成（3）</v>
      </c>
    </row>
    <row r="173" spans="1:16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400</v>
      </c>
      <c r="I173" t="s">
        <v>401</v>
      </c>
      <c r="J173">
        <v>0</v>
      </c>
      <c r="K173">
        <f t="shared" si="14"/>
        <v>1</v>
      </c>
      <c r="L173">
        <f t="shared" si="15"/>
        <v>190</v>
      </c>
      <c r="M173">
        <f t="shared" si="16"/>
        <v>4</v>
      </c>
      <c r="N173">
        <f t="shared" si="17"/>
        <v>192</v>
      </c>
      <c r="O173">
        <f t="shared" si="18"/>
        <v>0</v>
      </c>
      <c r="P173" t="str">
        <f t="shared" si="19"/>
        <v>未達成（2）</v>
      </c>
    </row>
    <row r="174" spans="1:16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402</v>
      </c>
      <c r="I174" t="s">
        <v>403</v>
      </c>
      <c r="J174">
        <v>0</v>
      </c>
      <c r="K174">
        <f t="shared" si="14"/>
        <v>2</v>
      </c>
      <c r="L174">
        <f t="shared" si="15"/>
        <v>192</v>
      </c>
      <c r="M174">
        <f t="shared" si="16"/>
        <v>4</v>
      </c>
      <c r="N174">
        <f t="shared" si="17"/>
        <v>192</v>
      </c>
      <c r="O174">
        <f t="shared" si="18"/>
        <v>0</v>
      </c>
      <c r="P174" t="str">
        <f t="shared" si="19"/>
        <v>達成</v>
      </c>
    </row>
    <row r="175" spans="1:16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405</v>
      </c>
      <c r="I175" t="s">
        <v>406</v>
      </c>
      <c r="J175">
        <v>0</v>
      </c>
      <c r="K175">
        <f t="shared" si="14"/>
        <v>2</v>
      </c>
      <c r="L175">
        <f t="shared" si="15"/>
        <v>194</v>
      </c>
      <c r="M175">
        <f t="shared" si="16"/>
        <v>4</v>
      </c>
      <c r="N175">
        <f t="shared" si="17"/>
        <v>196</v>
      </c>
      <c r="O175">
        <f t="shared" si="18"/>
        <v>0</v>
      </c>
      <c r="P175" t="str">
        <f t="shared" si="19"/>
        <v>未達成（2）</v>
      </c>
    </row>
    <row r="176" spans="1:16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408</v>
      </c>
      <c r="I176" t="s">
        <v>407</v>
      </c>
      <c r="J176">
        <v>0</v>
      </c>
      <c r="K176">
        <f t="shared" si="14"/>
        <v>1</v>
      </c>
      <c r="L176">
        <f t="shared" si="15"/>
        <v>195</v>
      </c>
      <c r="M176">
        <f t="shared" si="16"/>
        <v>4</v>
      </c>
      <c r="N176">
        <f t="shared" si="17"/>
        <v>196</v>
      </c>
      <c r="O176">
        <f t="shared" si="18"/>
        <v>0</v>
      </c>
      <c r="P176" t="str">
        <f t="shared" si="19"/>
        <v>未達成（1）</v>
      </c>
    </row>
    <row r="177" spans="1:16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409</v>
      </c>
      <c r="I177" t="s">
        <v>410</v>
      </c>
      <c r="J177">
        <v>0</v>
      </c>
      <c r="K177">
        <f t="shared" si="14"/>
        <v>2</v>
      </c>
      <c r="L177">
        <f t="shared" si="15"/>
        <v>197</v>
      </c>
      <c r="M177">
        <f t="shared" si="16"/>
        <v>4</v>
      </c>
      <c r="N177">
        <f t="shared" si="17"/>
        <v>196</v>
      </c>
      <c r="O177">
        <f t="shared" si="18"/>
        <v>0</v>
      </c>
      <c r="P177" t="str">
        <f t="shared" si="19"/>
        <v>前倒し（1）</v>
      </c>
    </row>
    <row r="178" spans="1:16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411</v>
      </c>
      <c r="I178" t="s">
        <v>412</v>
      </c>
      <c r="J178">
        <v>0</v>
      </c>
      <c r="K178">
        <f t="shared" si="14"/>
        <v>2</v>
      </c>
      <c r="L178">
        <f t="shared" si="15"/>
        <v>199</v>
      </c>
      <c r="M178">
        <f t="shared" si="16"/>
        <v>4</v>
      </c>
      <c r="N178">
        <f t="shared" si="17"/>
        <v>200</v>
      </c>
      <c r="O178">
        <f t="shared" si="18"/>
        <v>0</v>
      </c>
      <c r="P178" t="str">
        <f t="shared" si="19"/>
        <v>未達成（1）</v>
      </c>
    </row>
    <row r="179" spans="1:16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413</v>
      </c>
      <c r="I179" t="s">
        <v>414</v>
      </c>
      <c r="J179">
        <v>0</v>
      </c>
      <c r="K179">
        <f t="shared" si="14"/>
        <v>2</v>
      </c>
      <c r="L179">
        <f t="shared" si="15"/>
        <v>201</v>
      </c>
      <c r="M179">
        <f t="shared" si="16"/>
        <v>4</v>
      </c>
      <c r="N179">
        <f t="shared" si="17"/>
        <v>200</v>
      </c>
      <c r="O179">
        <f t="shared" si="18"/>
        <v>0</v>
      </c>
      <c r="P179" t="str">
        <f t="shared" si="19"/>
        <v>前倒し（1）</v>
      </c>
    </row>
    <row r="180" spans="1:16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416</v>
      </c>
      <c r="I180" t="s">
        <v>415</v>
      </c>
      <c r="J180">
        <v>0</v>
      </c>
      <c r="K180">
        <f t="shared" si="14"/>
        <v>1</v>
      </c>
      <c r="L180">
        <f t="shared" si="15"/>
        <v>202</v>
      </c>
      <c r="M180">
        <f t="shared" si="16"/>
        <v>4</v>
      </c>
      <c r="N180">
        <f t="shared" si="17"/>
        <v>204</v>
      </c>
      <c r="O180">
        <f t="shared" si="18"/>
        <v>0</v>
      </c>
      <c r="P180" t="str">
        <f t="shared" si="19"/>
        <v>未達成（2）</v>
      </c>
    </row>
    <row r="181" spans="1:16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418</v>
      </c>
      <c r="I181" t="s">
        <v>417</v>
      </c>
      <c r="J181">
        <v>0</v>
      </c>
      <c r="K181">
        <f t="shared" si="14"/>
        <v>1</v>
      </c>
      <c r="L181">
        <f t="shared" si="15"/>
        <v>203</v>
      </c>
      <c r="M181">
        <f t="shared" si="16"/>
        <v>4</v>
      </c>
      <c r="N181">
        <f t="shared" si="17"/>
        <v>204</v>
      </c>
      <c r="O181">
        <f t="shared" si="18"/>
        <v>0</v>
      </c>
      <c r="P181" t="str">
        <f t="shared" si="19"/>
        <v>未達成（1）</v>
      </c>
    </row>
    <row r="182" spans="1:16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419</v>
      </c>
      <c r="I182" t="s">
        <v>420</v>
      </c>
      <c r="J182">
        <v>0</v>
      </c>
      <c r="K182">
        <f t="shared" si="14"/>
        <v>2</v>
      </c>
      <c r="L182">
        <f t="shared" si="15"/>
        <v>205</v>
      </c>
      <c r="M182">
        <f t="shared" si="16"/>
        <v>4</v>
      </c>
      <c r="N182">
        <f t="shared" si="17"/>
        <v>204</v>
      </c>
      <c r="O182">
        <f t="shared" si="18"/>
        <v>0</v>
      </c>
      <c r="P182" t="str">
        <f t="shared" si="19"/>
        <v>前倒し（1）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>
      <selection activeCell="A3" sqref="A3"/>
    </sheetView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46030.713622685187</v>
      </c>
      <c r="D3" s="25"/>
    </row>
    <row r="4" spans="1:4">
      <c r="A4" t="s">
        <v>339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2026-01-08T08:17:45Z</dcterms:modified>
</cp:coreProperties>
</file>
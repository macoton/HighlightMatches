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7356465E-7469-424F-B281-4C3AA77086F1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92" i="4" l="1"/>
  <c r="O192" i="4"/>
  <c r="M192" i="4"/>
  <c r="N192" i="4" s="1"/>
  <c r="K192" i="4"/>
  <c r="L192" i="4" s="1"/>
  <c r="Q191" i="4"/>
  <c r="O191" i="4"/>
  <c r="M191" i="4"/>
  <c r="N191" i="4" s="1"/>
  <c r="K191" i="4"/>
  <c r="L191" i="4" s="1"/>
  <c r="P191" i="4" s="1"/>
  <c r="Q190" i="4"/>
  <c r="O190" i="4"/>
  <c r="M190" i="4"/>
  <c r="N190" i="4" s="1"/>
  <c r="K190" i="4"/>
  <c r="L190" i="4" s="1"/>
  <c r="P190" i="4" s="1"/>
  <c r="Q189" i="4"/>
  <c r="O189" i="4"/>
  <c r="M189" i="4"/>
  <c r="N189" i="4" s="1"/>
  <c r="K189" i="4"/>
  <c r="L189" i="4" s="1"/>
  <c r="Q188" i="4"/>
  <c r="O188" i="4"/>
  <c r="M188" i="4"/>
  <c r="N188" i="4" s="1"/>
  <c r="K188" i="4"/>
  <c r="L188" i="4" s="1"/>
  <c r="P188" i="4" s="1"/>
  <c r="Q187" i="4"/>
  <c r="O187" i="4"/>
  <c r="M187" i="4"/>
  <c r="N187" i="4" s="1"/>
  <c r="K187" i="4"/>
  <c r="L187" i="4" s="1"/>
  <c r="Q186" i="4"/>
  <c r="O186" i="4"/>
  <c r="M186" i="4"/>
  <c r="N186" i="4" s="1"/>
  <c r="K186" i="4"/>
  <c r="L186" i="4" s="1"/>
  <c r="P186" i="4" s="1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O185" i="4"/>
  <c r="M185" i="4"/>
  <c r="N185" i="4" s="1"/>
  <c r="K185" i="4"/>
  <c r="L185" i="4" s="1"/>
  <c r="O184" i="4"/>
  <c r="M184" i="4"/>
  <c r="N184" i="4" s="1"/>
  <c r="K184" i="4"/>
  <c r="L184" i="4" s="1"/>
  <c r="P184" i="4" s="1"/>
  <c r="O183" i="4"/>
  <c r="M183" i="4"/>
  <c r="N183" i="4" s="1"/>
  <c r="K183" i="4"/>
  <c r="L183" i="4" s="1"/>
  <c r="O182" i="4"/>
  <c r="M182" i="4"/>
  <c r="K182" i="4"/>
  <c r="O181" i="4"/>
  <c r="M181" i="4"/>
  <c r="K181" i="4"/>
  <c r="O180" i="4"/>
  <c r="M180" i="4"/>
  <c r="K180" i="4"/>
  <c r="O179" i="4"/>
  <c r="M179" i="4"/>
  <c r="K179" i="4"/>
  <c r="O178" i="4"/>
  <c r="M178" i="4"/>
  <c r="K178" i="4"/>
  <c r="O177" i="4"/>
  <c r="M177" i="4"/>
  <c r="K177" i="4"/>
  <c r="O176" i="4"/>
  <c r="M176" i="4"/>
  <c r="K176" i="4"/>
  <c r="O175" i="4"/>
  <c r="M175" i="4"/>
  <c r="K175" i="4"/>
  <c r="O174" i="4"/>
  <c r="M174" i="4"/>
  <c r="K174" i="4"/>
  <c r="O173" i="4"/>
  <c r="M173" i="4"/>
  <c r="K173" i="4"/>
  <c r="O172" i="4"/>
  <c r="M172" i="4"/>
  <c r="K172" i="4"/>
  <c r="O171" i="4"/>
  <c r="M171" i="4"/>
  <c r="K171" i="4"/>
  <c r="O170" i="4"/>
  <c r="M170" i="4"/>
  <c r="K170" i="4"/>
  <c r="O169" i="4"/>
  <c r="M169" i="4"/>
  <c r="K169" i="4"/>
  <c r="O168" i="4"/>
  <c r="M168" i="4"/>
  <c r="K168" i="4"/>
  <c r="O167" i="4"/>
  <c r="M167" i="4"/>
  <c r="K167" i="4"/>
  <c r="O166" i="4"/>
  <c r="M166" i="4"/>
  <c r="K166" i="4"/>
  <c r="O165" i="4"/>
  <c r="M165" i="4"/>
  <c r="K165" i="4"/>
  <c r="O164" i="4"/>
  <c r="M164" i="4"/>
  <c r="K164" i="4"/>
  <c r="O163" i="4"/>
  <c r="M163" i="4"/>
  <c r="K163" i="4"/>
  <c r="O162" i="4"/>
  <c r="M162" i="4"/>
  <c r="K162" i="4"/>
  <c r="O161" i="4"/>
  <c r="M161" i="4"/>
  <c r="K161" i="4"/>
  <c r="O160" i="4"/>
  <c r="M160" i="4"/>
  <c r="K160" i="4"/>
  <c r="O159" i="4"/>
  <c r="M159" i="4"/>
  <c r="K159" i="4"/>
  <c r="O158" i="4"/>
  <c r="M158" i="4"/>
  <c r="K158" i="4"/>
  <c r="O157" i="4"/>
  <c r="M157" i="4"/>
  <c r="K157" i="4"/>
  <c r="O156" i="4"/>
  <c r="M156" i="4"/>
  <c r="K156" i="4"/>
  <c r="O155" i="4"/>
  <c r="M155" i="4"/>
  <c r="K155" i="4"/>
  <c r="O154" i="4"/>
  <c r="M154" i="4"/>
  <c r="K154" i="4"/>
  <c r="O153" i="4"/>
  <c r="M153" i="4"/>
  <c r="K153" i="4"/>
  <c r="O152" i="4"/>
  <c r="M152" i="4"/>
  <c r="K152" i="4"/>
  <c r="O151" i="4"/>
  <c r="M151" i="4"/>
  <c r="K151" i="4"/>
  <c r="O150" i="4"/>
  <c r="M150" i="4"/>
  <c r="K150" i="4"/>
  <c r="O149" i="4"/>
  <c r="M149" i="4"/>
  <c r="K149" i="4"/>
  <c r="O148" i="4"/>
  <c r="M148" i="4"/>
  <c r="K148" i="4"/>
  <c r="O147" i="4"/>
  <c r="M147" i="4"/>
  <c r="K147" i="4"/>
  <c r="O146" i="4"/>
  <c r="M146" i="4"/>
  <c r="K146" i="4"/>
  <c r="O145" i="4"/>
  <c r="M145" i="4"/>
  <c r="K145" i="4"/>
  <c r="O144" i="4"/>
  <c r="M144" i="4"/>
  <c r="K144" i="4"/>
  <c r="O143" i="4"/>
  <c r="M143" i="4"/>
  <c r="K143" i="4"/>
  <c r="O142" i="4"/>
  <c r="M142" i="4"/>
  <c r="K142" i="4"/>
  <c r="O141" i="4"/>
  <c r="M141" i="4"/>
  <c r="K141" i="4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K18" i="4"/>
  <c r="O18" i="4"/>
  <c r="M18" i="4"/>
  <c r="P192" i="4" l="1"/>
  <c r="P189" i="4"/>
  <c r="P187" i="4"/>
  <c r="P185" i="4"/>
  <c r="P183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L20" i="4" l="1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P20" i="4" l="1"/>
  <c r="L21" i="4"/>
  <c r="T2" i="5"/>
  <c r="T3" i="5"/>
  <c r="T4" i="3"/>
  <c r="S5" i="3"/>
  <c r="L22" i="4" l="1"/>
  <c r="P21" i="4"/>
  <c r="T4" i="5"/>
  <c r="S6" i="3"/>
  <c r="T6" i="3" s="1"/>
  <c r="T5" i="3"/>
  <c r="L23" i="4" l="1"/>
  <c r="P22" i="4"/>
  <c r="T6" i="5"/>
  <c r="T5" i="5"/>
  <c r="L24" i="4" l="1"/>
  <c r="P23" i="4"/>
  <c r="P18" i="4"/>
  <c r="P24" i="4" l="1"/>
  <c r="L25" i="4"/>
  <c r="L26" i="4" l="1"/>
  <c r="P25" i="4"/>
  <c r="L27" i="4" l="1"/>
  <c r="P26" i="4"/>
  <c r="L28" i="4" l="1"/>
  <c r="P27" i="4"/>
  <c r="P28" i="4" l="1"/>
  <c r="L29" i="4"/>
  <c r="L30" i="4" l="1"/>
  <c r="P29" i="4"/>
  <c r="L31" i="4" l="1"/>
  <c r="P30" i="4"/>
  <c r="L32" i="4" l="1"/>
  <c r="P31" i="4"/>
  <c r="P32" i="4" l="1"/>
  <c r="L33" i="4"/>
  <c r="L34" i="4" l="1"/>
  <c r="P33" i="4"/>
  <c r="L35" i="4" l="1"/>
  <c r="P34" i="4"/>
  <c r="L36" i="4" l="1"/>
  <c r="P35" i="4"/>
  <c r="P36" i="4" l="1"/>
  <c r="L37" i="4"/>
  <c r="L38" i="4" l="1"/>
  <c r="P37" i="4"/>
  <c r="L39" i="4" l="1"/>
  <c r="P38" i="4"/>
  <c r="L40" i="4" l="1"/>
  <c r="P39" i="4"/>
  <c r="P40" i="4" l="1"/>
  <c r="L41" i="4"/>
  <c r="L42" i="4" l="1"/>
  <c r="P41" i="4"/>
  <c r="L43" i="4" l="1"/>
  <c r="P42" i="4"/>
  <c r="L44" i="4" l="1"/>
  <c r="P43" i="4"/>
  <c r="P44" i="4" l="1"/>
  <c r="L45" i="4"/>
  <c r="L46" i="4" l="1"/>
  <c r="P45" i="4"/>
  <c r="L47" i="4" l="1"/>
  <c r="P46" i="4"/>
  <c r="L48" i="4" l="1"/>
  <c r="P47" i="4"/>
  <c r="P48" i="4" l="1"/>
  <c r="L49" i="4"/>
  <c r="L50" i="4" l="1"/>
  <c r="P49" i="4"/>
  <c r="L51" i="4" l="1"/>
  <c r="P50" i="4"/>
  <c r="L52" i="4" l="1"/>
  <c r="P51" i="4"/>
  <c r="P52" i="4" l="1"/>
  <c r="L53" i="4"/>
  <c r="L54" i="4" l="1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2" i="4" s="1"/>
  <c r="P181" i="4"/>
</calcChain>
</file>

<file path=xl/sharedStrings.xml><?xml version="1.0" encoding="utf-8"?>
<sst xmlns="http://schemas.openxmlformats.org/spreadsheetml/2006/main" count="461" uniqueCount="441">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</sst>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データ!$A$3:$A$192</c:f>
              <c:numCache>
                <c:formatCode>m/d/yyyy\ h:mm</c:formatCode>
                <c:ptCount val="19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</c:numCache>
            </c:numRef>
          </c:xVal>
          <c:yVal>
            <c:numRef>
              <c:f>データ!$B$3:$B$192</c:f>
              <c:numCache>
                <c:formatCode>General</c:formatCode>
                <c:ptCount val="190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6-4048-815A-8810DDC8FEC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21C6-4048-815A-8810DDC8F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083120"/>
        <c:axId val="859090800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データ!$A$3:$A$192</c:f>
              <c:numCache>
                <c:formatCode>m/d/yyyy\ h:mm</c:formatCode>
                <c:ptCount val="19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</c:numCache>
            </c:numRef>
          </c:xVal>
          <c:yVal>
            <c:numRef>
              <c:f>データ!$Q$3:$Q$192</c:f>
              <c:numCache>
                <c:formatCode>[h]:mm</c:formatCode>
                <c:ptCount val="190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C6-4048-815A-8810DDC8F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084560"/>
        <c:axId val="859081200"/>
      </c:scatterChart>
      <c:valAx>
        <c:axId val="859083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9090800"/>
        <c:crosses val="autoZero"/>
        <c:crossBetween val="midCat"/>
      </c:valAx>
      <c:valAx>
        <c:axId val="85909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9083120"/>
        <c:crosses val="autoZero"/>
        <c:crossBetween val="midCat"/>
      </c:valAx>
      <c:valAx>
        <c:axId val="859081200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9084560"/>
        <c:crosses val="max"/>
        <c:crossBetween val="midCat"/>
      </c:valAx>
      <c:valAx>
        <c:axId val="85908456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908120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211931</xdr:colOff>
      <xdr:row>4</xdr:row>
      <xdr:rowOff>178594</xdr:rowOff>
    </xdr:from>
    <xdr:to>
      <xdr:col>8</xdr:col>
      <xdr:colOff>211931</xdr:colOff>
      <xdr:row>10</xdr:row>
      <xdr:rowOff>178594</xdr:rowOff>
    </xdr:to>
    <xdr:cxnSp macro="">
      <xdr:nvCxnSpPr>
        <xdr:cNvPr id="1038" name="Match0">
          <a:extLst>
            <a:ext uri="{FF2B5EF4-FFF2-40B4-BE49-F238E27FC236}">
              <a16:creationId xmlns:a16="http://schemas.microsoft.com/office/drawing/2014/main" id="{AB51DEA3-A142-12E6-1756-D3551C1089D2}"/>
            </a:ext>
          </a:extLst>
        </xdr:cNvPr>
        <xdr:cNvCxnSpPr/>
      </xdr:nvCxnSpPr>
      <xdr:spPr>
        <a:xfrm>
          <a:off x="3602831" y="1607344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8</xdr:col>
      <xdr:colOff>211931</xdr:colOff>
      <xdr:row>3</xdr:row>
      <xdr:rowOff>178593</xdr:rowOff>
    </xdr:to>
    <xdr:cxnSp macro="">
      <xdr:nvCxnSpPr>
        <xdr:cNvPr id="1039" name="Match1">
          <a:extLst>
            <a:ext uri="{FF2B5EF4-FFF2-40B4-BE49-F238E27FC236}">
              <a16:creationId xmlns:a16="http://schemas.microsoft.com/office/drawing/2014/main" id="{628EBE73-3A41-6F24-1BEB-2C494B6CF3EB}"/>
            </a:ext>
          </a:extLst>
        </xdr:cNvPr>
        <xdr:cNvCxnSpPr/>
      </xdr:nvCxnSpPr>
      <xdr:spPr>
        <a:xfrm>
          <a:off x="1059656" y="1250156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5</xdr:col>
      <xdr:colOff>211931</xdr:colOff>
      <xdr:row>1</xdr:row>
      <xdr:rowOff>178593</xdr:rowOff>
    </xdr:to>
    <xdr:cxnSp macro="">
      <xdr:nvCxnSpPr>
        <xdr:cNvPr id="1040" name="Match2">
          <a:extLst>
            <a:ext uri="{FF2B5EF4-FFF2-40B4-BE49-F238E27FC236}">
              <a16:creationId xmlns:a16="http://schemas.microsoft.com/office/drawing/2014/main" id="{6E64D450-D333-34DA-CD4D-B763046F52F7}"/>
            </a:ext>
          </a:extLst>
        </xdr:cNvPr>
        <xdr:cNvCxnSpPr/>
      </xdr:nvCxnSpPr>
      <xdr:spPr>
        <a:xfrm>
          <a:off x="190738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2</xdr:col>
      <xdr:colOff>211931</xdr:colOff>
      <xdr:row>4</xdr:row>
      <xdr:rowOff>178594</xdr:rowOff>
    </xdr:to>
    <xdr:cxnSp macro="">
      <xdr:nvCxnSpPr>
        <xdr:cNvPr id="1041" name="Match3">
          <a:extLst>
            <a:ext uri="{FF2B5EF4-FFF2-40B4-BE49-F238E27FC236}">
              <a16:creationId xmlns:a16="http://schemas.microsoft.com/office/drawing/2014/main" id="{E30AAA45-8748-916E-C697-D6D7E697BBAA}"/>
            </a:ext>
          </a:extLst>
        </xdr:cNvPr>
        <xdr:cNvCxnSpPr/>
      </xdr:nvCxnSpPr>
      <xdr:spPr>
        <a:xfrm>
          <a:off x="63579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3</xdr:row>
      <xdr:rowOff>203993</xdr:rowOff>
    </xdr:from>
    <xdr:to>
      <xdr:col>1</xdr:col>
      <xdr:colOff>237331</xdr:colOff>
      <xdr:row>3</xdr:row>
      <xdr:rowOff>203993</xdr:rowOff>
    </xdr:to>
    <xdr:cxnSp macro="">
      <xdr:nvCxnSpPr>
        <xdr:cNvPr id="1042" name="Match4">
          <a:extLst>
            <a:ext uri="{FF2B5EF4-FFF2-40B4-BE49-F238E27FC236}">
              <a16:creationId xmlns:a16="http://schemas.microsoft.com/office/drawing/2014/main" id="{A6B7EE66-E147-B12C-4632-3F8E967A94C2}"/>
            </a:ext>
          </a:extLst>
        </xdr:cNvPr>
        <xdr:cNvCxnSpPr/>
      </xdr:nvCxnSpPr>
      <xdr:spPr>
        <a:xfrm flipH="1">
          <a:off x="237331" y="127555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2</xdr:row>
      <xdr:rowOff>229394</xdr:rowOff>
    </xdr:from>
    <xdr:to>
      <xdr:col>1</xdr:col>
      <xdr:colOff>262731</xdr:colOff>
      <xdr:row>3</xdr:row>
      <xdr:rowOff>229393</xdr:rowOff>
    </xdr:to>
    <xdr:cxnSp macro="">
      <xdr:nvCxnSpPr>
        <xdr:cNvPr id="1043" name="Match5">
          <a:extLst>
            <a:ext uri="{FF2B5EF4-FFF2-40B4-BE49-F238E27FC236}">
              <a16:creationId xmlns:a16="http://schemas.microsoft.com/office/drawing/2014/main" id="{7B638B6C-F808-B384-FE59-95C9AA0BA55E}"/>
            </a:ext>
          </a:extLst>
        </xdr:cNvPr>
        <xdr:cNvCxnSpPr/>
      </xdr:nvCxnSpPr>
      <xdr:spPr>
        <a:xfrm flipH="1" flipV="1">
          <a:off x="262731" y="94376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2</xdr:col>
      <xdr:colOff>211931</xdr:colOff>
      <xdr:row>5</xdr:row>
      <xdr:rowOff>178593</xdr:rowOff>
    </xdr:to>
    <xdr:cxnSp macro="">
      <xdr:nvCxnSpPr>
        <xdr:cNvPr id="1044" name="Match6">
          <a:extLst>
            <a:ext uri="{FF2B5EF4-FFF2-40B4-BE49-F238E27FC236}">
              <a16:creationId xmlns:a16="http://schemas.microsoft.com/office/drawing/2014/main" id="{730659A6-585F-2374-5005-38D350571E32}"/>
            </a:ext>
          </a:extLst>
        </xdr:cNvPr>
        <xdr:cNvCxnSpPr/>
      </xdr:nvCxnSpPr>
      <xdr:spPr>
        <a:xfrm>
          <a:off x="635794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5</xdr:row>
      <xdr:rowOff>203993</xdr:rowOff>
    </xdr:from>
    <xdr:to>
      <xdr:col>1</xdr:col>
      <xdr:colOff>237331</xdr:colOff>
      <xdr:row>6</xdr:row>
      <xdr:rowOff>203994</xdr:rowOff>
    </xdr:to>
    <xdr:cxnSp macro="">
      <xdr:nvCxnSpPr>
        <xdr:cNvPr id="1045" name="Match7">
          <a:extLst>
            <a:ext uri="{FF2B5EF4-FFF2-40B4-BE49-F238E27FC236}">
              <a16:creationId xmlns:a16="http://schemas.microsoft.com/office/drawing/2014/main" id="{9A011641-EEF8-D47F-323D-8082750F1223}"/>
            </a:ext>
          </a:extLst>
        </xdr:cNvPr>
        <xdr:cNvCxnSpPr/>
      </xdr:nvCxnSpPr>
      <xdr:spPr>
        <a:xfrm>
          <a:off x="661194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4</xdr:row>
      <xdr:rowOff>229394</xdr:rowOff>
    </xdr:from>
    <xdr:to>
      <xdr:col>2</xdr:col>
      <xdr:colOff>262731</xdr:colOff>
      <xdr:row>5</xdr:row>
      <xdr:rowOff>229393</xdr:rowOff>
    </xdr:to>
    <xdr:cxnSp macro="">
      <xdr:nvCxnSpPr>
        <xdr:cNvPr id="1046" name="Match8">
          <a:extLst>
            <a:ext uri="{FF2B5EF4-FFF2-40B4-BE49-F238E27FC236}">
              <a16:creationId xmlns:a16="http://schemas.microsoft.com/office/drawing/2014/main" id="{CD0A019B-EDDC-02F3-1E70-12BB89D6A87D}"/>
            </a:ext>
          </a:extLst>
        </xdr:cNvPr>
        <xdr:cNvCxnSpPr/>
      </xdr:nvCxnSpPr>
      <xdr:spPr>
        <a:xfrm flipV="1">
          <a:off x="686594" y="165814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1047" name="Match9">
          <a:extLst>
            <a:ext uri="{FF2B5EF4-FFF2-40B4-BE49-F238E27FC236}">
              <a16:creationId xmlns:a16="http://schemas.microsoft.com/office/drawing/2014/main" id="{2DB9FA90-E25D-57B2-23CB-D7CB731A029B}"/>
            </a:ext>
          </a:extLst>
        </xdr:cNvPr>
        <xdr:cNvCxnSpPr/>
      </xdr:nvCxnSpPr>
      <xdr:spPr>
        <a:xfrm flipH="1" flipV="1">
          <a:off x="148351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7</xdr:col>
      <xdr:colOff>211931</xdr:colOff>
      <xdr:row>7</xdr:row>
      <xdr:rowOff>178593</xdr:rowOff>
    </xdr:to>
    <xdr:cxnSp macro="">
      <xdr:nvCxnSpPr>
        <xdr:cNvPr id="1048" name="Match10">
          <a:extLst>
            <a:ext uri="{FF2B5EF4-FFF2-40B4-BE49-F238E27FC236}">
              <a16:creationId xmlns:a16="http://schemas.microsoft.com/office/drawing/2014/main" id="{26DC3BDB-BBA6-2427-39AE-7F71F8F4AF6F}"/>
            </a:ext>
          </a:extLst>
        </xdr:cNvPr>
        <xdr:cNvCxnSpPr/>
      </xdr:nvCxnSpPr>
      <xdr:spPr>
        <a:xfrm>
          <a:off x="3178969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7</xdr:row>
      <xdr:rowOff>178593</xdr:rowOff>
    </xdr:from>
    <xdr:to>
      <xdr:col>11</xdr:col>
      <xdr:colOff>211931</xdr:colOff>
      <xdr:row>8</xdr:row>
      <xdr:rowOff>178594</xdr:rowOff>
    </xdr:to>
    <xdr:cxnSp macro="">
      <xdr:nvCxnSpPr>
        <xdr:cNvPr id="1049" name="Match11">
          <a:extLst>
            <a:ext uri="{FF2B5EF4-FFF2-40B4-BE49-F238E27FC236}">
              <a16:creationId xmlns:a16="http://schemas.microsoft.com/office/drawing/2014/main" id="{305B524A-0E93-9436-6093-D68C230A2E29}"/>
            </a:ext>
          </a:extLst>
        </xdr:cNvPr>
        <xdr:cNvCxnSpPr/>
      </xdr:nvCxnSpPr>
      <xdr:spPr>
        <a:xfrm>
          <a:off x="4874419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7</xdr:row>
      <xdr:rowOff>203993</xdr:rowOff>
    </xdr:from>
    <xdr:to>
      <xdr:col>11</xdr:col>
      <xdr:colOff>237331</xdr:colOff>
      <xdr:row>8</xdr:row>
      <xdr:rowOff>203994</xdr:rowOff>
    </xdr:to>
    <xdr:cxnSp macro="">
      <xdr:nvCxnSpPr>
        <xdr:cNvPr id="1055" name="Match12">
          <a:extLst>
            <a:ext uri="{FF2B5EF4-FFF2-40B4-BE49-F238E27FC236}">
              <a16:creationId xmlns:a16="http://schemas.microsoft.com/office/drawing/2014/main" id="{FE2077C5-4787-A139-DBF3-D1AD73C6A421}"/>
            </a:ext>
          </a:extLst>
        </xdr:cNvPr>
        <xdr:cNvCxnSpPr/>
      </xdr:nvCxnSpPr>
      <xdr:spPr>
        <a:xfrm flipH="1">
          <a:off x="4475956" y="270430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6</xdr:row>
      <xdr:rowOff>229394</xdr:rowOff>
    </xdr:from>
    <xdr:to>
      <xdr:col>11</xdr:col>
      <xdr:colOff>262731</xdr:colOff>
      <xdr:row>7</xdr:row>
      <xdr:rowOff>229393</xdr:rowOff>
    </xdr:to>
    <xdr:cxnSp macro="">
      <xdr:nvCxnSpPr>
        <xdr:cNvPr id="1056" name="Match13">
          <a:extLst>
            <a:ext uri="{FF2B5EF4-FFF2-40B4-BE49-F238E27FC236}">
              <a16:creationId xmlns:a16="http://schemas.microsoft.com/office/drawing/2014/main" id="{E1D0DDC2-D587-2967-8D3D-54F88DAABB7A}"/>
            </a:ext>
          </a:extLst>
        </xdr:cNvPr>
        <xdr:cNvCxnSpPr/>
      </xdr:nvCxnSpPr>
      <xdr:spPr>
        <a:xfrm flipH="1" flipV="1">
          <a:off x="4501356" y="237251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1</xdr:col>
      <xdr:colOff>211931</xdr:colOff>
      <xdr:row>9</xdr:row>
      <xdr:rowOff>178593</xdr:rowOff>
    </xdr:to>
    <xdr:cxnSp macro="">
      <xdr:nvCxnSpPr>
        <xdr:cNvPr id="1057" name="Match14">
          <a:extLst>
            <a:ext uri="{FF2B5EF4-FFF2-40B4-BE49-F238E27FC236}">
              <a16:creationId xmlns:a16="http://schemas.microsoft.com/office/drawing/2014/main" id="{3787D429-5ED2-B57F-CE81-289668F0B840}"/>
            </a:ext>
          </a:extLst>
        </xdr:cNvPr>
        <xdr:cNvCxnSpPr/>
      </xdr:nvCxnSpPr>
      <xdr:spPr>
        <a:xfrm>
          <a:off x="21193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8</xdr:row>
      <xdr:rowOff>203994</xdr:rowOff>
    </xdr:from>
    <xdr:to>
      <xdr:col>0</xdr:col>
      <xdr:colOff>237331</xdr:colOff>
      <xdr:row>9</xdr:row>
      <xdr:rowOff>203993</xdr:rowOff>
    </xdr:to>
    <xdr:cxnSp macro="">
      <xdr:nvCxnSpPr>
        <xdr:cNvPr id="1061" name="Match15">
          <a:extLst>
            <a:ext uri="{FF2B5EF4-FFF2-40B4-BE49-F238E27FC236}">
              <a16:creationId xmlns:a16="http://schemas.microsoft.com/office/drawing/2014/main" id="{6B37D9C4-6BCC-DC90-254D-8B4E5B43CBAA}"/>
            </a:ext>
          </a:extLst>
        </xdr:cNvPr>
        <xdr:cNvCxnSpPr/>
      </xdr:nvCxnSpPr>
      <xdr:spPr>
        <a:xfrm flipV="1">
          <a:off x="237331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9</xdr:col>
      <xdr:colOff>211931</xdr:colOff>
      <xdr:row>9</xdr:row>
      <xdr:rowOff>178593</xdr:rowOff>
    </xdr:to>
    <xdr:cxnSp macro="">
      <xdr:nvCxnSpPr>
        <xdr:cNvPr id="1064" name="Match16">
          <a:extLst>
            <a:ext uri="{FF2B5EF4-FFF2-40B4-BE49-F238E27FC236}">
              <a16:creationId xmlns:a16="http://schemas.microsoft.com/office/drawing/2014/main" id="{45FA7E10-9389-3EFB-B6D3-E212B069D34A}"/>
            </a:ext>
          </a:extLst>
        </xdr:cNvPr>
        <xdr:cNvCxnSpPr/>
      </xdr:nvCxnSpPr>
      <xdr:spPr>
        <a:xfrm flipV="1">
          <a:off x="4026694" y="1607344"/>
          <a:ext cx="0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7</xdr:col>
      <xdr:colOff>211931</xdr:colOff>
      <xdr:row>6</xdr:row>
      <xdr:rowOff>178594</xdr:rowOff>
    </xdr:to>
    <xdr:cxnSp macro="">
      <xdr:nvCxnSpPr>
        <xdr:cNvPr id="1065" name="Match17">
          <a:extLst>
            <a:ext uri="{FF2B5EF4-FFF2-40B4-BE49-F238E27FC236}">
              <a16:creationId xmlns:a16="http://schemas.microsoft.com/office/drawing/2014/main" id="{68439DEB-8163-9975-410D-2C8B2DD827D3}"/>
            </a:ext>
          </a:extLst>
        </xdr:cNvPr>
        <xdr:cNvCxnSpPr/>
      </xdr:nvCxnSpPr>
      <xdr:spPr>
        <a:xfrm>
          <a:off x="2331244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4</xdr:col>
      <xdr:colOff>211931</xdr:colOff>
      <xdr:row>11</xdr:row>
      <xdr:rowOff>178593</xdr:rowOff>
    </xdr:to>
    <xdr:cxnSp macro="">
      <xdr:nvCxnSpPr>
        <xdr:cNvPr id="1066" name="Match18">
          <a:extLst>
            <a:ext uri="{FF2B5EF4-FFF2-40B4-BE49-F238E27FC236}">
              <a16:creationId xmlns:a16="http://schemas.microsoft.com/office/drawing/2014/main" id="{301F09D2-BD77-2756-B4BE-5C3E041A8DBC}"/>
            </a:ext>
          </a:extLst>
        </xdr:cNvPr>
        <xdr:cNvCxnSpPr/>
      </xdr:nvCxnSpPr>
      <xdr:spPr>
        <a:xfrm flipH="1">
          <a:off x="635794" y="3036094"/>
          <a:ext cx="1271587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7</xdr:col>
      <xdr:colOff>211931</xdr:colOff>
      <xdr:row>2</xdr:row>
      <xdr:rowOff>178594</xdr:rowOff>
    </xdr:to>
    <xdr:cxnSp macro="">
      <xdr:nvCxnSpPr>
        <xdr:cNvPr id="1067" name="Match19">
          <a:extLst>
            <a:ext uri="{FF2B5EF4-FFF2-40B4-BE49-F238E27FC236}">
              <a16:creationId xmlns:a16="http://schemas.microsoft.com/office/drawing/2014/main" id="{6B07C2B7-BBA9-B7F8-C46B-754FE6785442}"/>
            </a:ext>
          </a:extLst>
        </xdr:cNvPr>
        <xdr:cNvCxnSpPr/>
      </xdr:nvCxnSpPr>
      <xdr:spPr>
        <a:xfrm>
          <a:off x="275510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1</xdr:row>
      <xdr:rowOff>203993</xdr:rowOff>
    </xdr:from>
    <xdr:to>
      <xdr:col>6</xdr:col>
      <xdr:colOff>237331</xdr:colOff>
      <xdr:row>2</xdr:row>
      <xdr:rowOff>203994</xdr:rowOff>
    </xdr:to>
    <xdr:cxnSp macro="">
      <xdr:nvCxnSpPr>
        <xdr:cNvPr id="1068" name="Match20">
          <a:extLst>
            <a:ext uri="{FF2B5EF4-FFF2-40B4-BE49-F238E27FC236}">
              <a16:creationId xmlns:a16="http://schemas.microsoft.com/office/drawing/2014/main" id="{F981A244-4F57-D301-DFB3-386765BCBEB6}"/>
            </a:ext>
          </a:extLst>
        </xdr:cNvPr>
        <xdr:cNvCxnSpPr/>
      </xdr:nvCxnSpPr>
      <xdr:spPr>
        <a:xfrm>
          <a:off x="2780506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0</xdr:row>
      <xdr:rowOff>229394</xdr:rowOff>
    </xdr:from>
    <xdr:to>
      <xdr:col>6</xdr:col>
      <xdr:colOff>262731</xdr:colOff>
      <xdr:row>1</xdr:row>
      <xdr:rowOff>229393</xdr:rowOff>
    </xdr:to>
    <xdr:cxnSp macro="">
      <xdr:nvCxnSpPr>
        <xdr:cNvPr id="1069" name="Match21">
          <a:extLst>
            <a:ext uri="{FF2B5EF4-FFF2-40B4-BE49-F238E27FC236}">
              <a16:creationId xmlns:a16="http://schemas.microsoft.com/office/drawing/2014/main" id="{5241BA34-48B9-4446-A074-7FEDF7E7DFE7}"/>
            </a:ext>
          </a:extLst>
        </xdr:cNvPr>
        <xdr:cNvCxnSpPr/>
      </xdr:nvCxnSpPr>
      <xdr:spPr>
        <a:xfrm flipH="1" flipV="1">
          <a:off x="2382044" y="22939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2</xdr:row>
      <xdr:rowOff>178594</xdr:rowOff>
    </xdr:to>
    <xdr:cxnSp macro="">
      <xdr:nvCxnSpPr>
        <xdr:cNvPr id="1070" name="Match22">
          <a:extLst>
            <a:ext uri="{FF2B5EF4-FFF2-40B4-BE49-F238E27FC236}">
              <a16:creationId xmlns:a16="http://schemas.microsoft.com/office/drawing/2014/main" id="{78563AE1-C654-DC01-81C5-F7CA63E2D700}"/>
            </a:ext>
          </a:extLst>
        </xdr:cNvPr>
        <xdr:cNvCxnSpPr/>
      </xdr:nvCxnSpPr>
      <xdr:spPr>
        <a:xfrm>
          <a:off x="635794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10</xdr:col>
      <xdr:colOff>211931</xdr:colOff>
      <xdr:row>4</xdr:row>
      <xdr:rowOff>178594</xdr:rowOff>
    </xdr:to>
    <xdr:cxnSp macro="">
      <xdr:nvCxnSpPr>
        <xdr:cNvPr id="1071" name="Match23">
          <a:extLst>
            <a:ext uri="{FF2B5EF4-FFF2-40B4-BE49-F238E27FC236}">
              <a16:creationId xmlns:a16="http://schemas.microsoft.com/office/drawing/2014/main" id="{0F58F8C0-2FDA-A023-098A-5FB46EC5B743}"/>
            </a:ext>
          </a:extLst>
        </xdr:cNvPr>
        <xdr:cNvCxnSpPr/>
      </xdr:nvCxnSpPr>
      <xdr:spPr>
        <a:xfrm flipH="1">
          <a:off x="4026694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1</xdr:col>
      <xdr:colOff>211931</xdr:colOff>
      <xdr:row>8</xdr:row>
      <xdr:rowOff>178594</xdr:rowOff>
    </xdr:to>
    <xdr:cxnSp macro="">
      <xdr:nvCxnSpPr>
        <xdr:cNvPr id="1072" name="Match24">
          <a:extLst>
            <a:ext uri="{FF2B5EF4-FFF2-40B4-BE49-F238E27FC236}">
              <a16:creationId xmlns:a16="http://schemas.microsoft.com/office/drawing/2014/main" id="{831475F2-2AD2-9859-48E6-1001F876F079}"/>
            </a:ext>
          </a:extLst>
        </xdr:cNvPr>
        <xdr:cNvCxnSpPr/>
      </xdr:nvCxnSpPr>
      <xdr:spPr>
        <a:xfrm flipH="1" flipV="1">
          <a:off x="21193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9</xdr:row>
      <xdr:rowOff>203993</xdr:rowOff>
    </xdr:from>
    <xdr:to>
      <xdr:col>10</xdr:col>
      <xdr:colOff>237331</xdr:colOff>
      <xdr:row>9</xdr:row>
      <xdr:rowOff>203993</xdr:rowOff>
    </xdr:to>
    <xdr:cxnSp macro="">
      <xdr:nvCxnSpPr>
        <xdr:cNvPr id="1073" name="Match25">
          <a:extLst>
            <a:ext uri="{FF2B5EF4-FFF2-40B4-BE49-F238E27FC236}">
              <a16:creationId xmlns:a16="http://schemas.microsoft.com/office/drawing/2014/main" id="{DFF9AC33-C008-0FA2-B80C-185B00816125}"/>
            </a:ext>
          </a:extLst>
        </xdr:cNvPr>
        <xdr:cNvCxnSpPr/>
      </xdr:nvCxnSpPr>
      <xdr:spPr>
        <a:xfrm>
          <a:off x="4052094" y="341868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1074" name="Match26">
          <a:extLst>
            <a:ext uri="{FF2B5EF4-FFF2-40B4-BE49-F238E27FC236}">
              <a16:creationId xmlns:a16="http://schemas.microsoft.com/office/drawing/2014/main" id="{B67388AD-8839-CABD-29F6-203ACE749BE8}"/>
            </a:ext>
          </a:extLst>
        </xdr:cNvPr>
        <xdr:cNvCxnSpPr/>
      </xdr:nvCxnSpPr>
      <xdr:spPr>
        <a:xfrm>
          <a:off x="40266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9</xdr:row>
      <xdr:rowOff>203993</xdr:rowOff>
    </xdr:from>
    <xdr:to>
      <xdr:col>10</xdr:col>
      <xdr:colOff>237331</xdr:colOff>
      <xdr:row>10</xdr:row>
      <xdr:rowOff>203994</xdr:rowOff>
    </xdr:to>
    <xdr:cxnSp macro="">
      <xdr:nvCxnSpPr>
        <xdr:cNvPr id="1075" name="Match27">
          <a:extLst>
            <a:ext uri="{FF2B5EF4-FFF2-40B4-BE49-F238E27FC236}">
              <a16:creationId xmlns:a16="http://schemas.microsoft.com/office/drawing/2014/main" id="{EAF8E68C-825B-46E6-A25D-5BA98BAEB81B}"/>
            </a:ext>
          </a:extLst>
        </xdr:cNvPr>
        <xdr:cNvCxnSpPr/>
      </xdr:nvCxnSpPr>
      <xdr:spPr>
        <a:xfrm flipV="1">
          <a:off x="4052094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3</xdr:col>
      <xdr:colOff>211931</xdr:colOff>
      <xdr:row>1</xdr:row>
      <xdr:rowOff>178593</xdr:rowOff>
    </xdr:to>
    <xdr:cxnSp macro="">
      <xdr:nvCxnSpPr>
        <xdr:cNvPr id="1076" name="Match28">
          <a:extLst>
            <a:ext uri="{FF2B5EF4-FFF2-40B4-BE49-F238E27FC236}">
              <a16:creationId xmlns:a16="http://schemas.microsoft.com/office/drawing/2014/main" id="{1D5D503B-87E5-6D99-A1F8-9C829D74FD02}"/>
            </a:ext>
          </a:extLst>
        </xdr:cNvPr>
        <xdr:cNvCxnSpPr/>
      </xdr:nvCxnSpPr>
      <xdr:spPr>
        <a:xfrm>
          <a:off x="1059656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0</xdr:row>
      <xdr:rowOff>203994</xdr:rowOff>
    </xdr:from>
    <xdr:to>
      <xdr:col>3</xdr:col>
      <xdr:colOff>237331</xdr:colOff>
      <xdr:row>1</xdr:row>
      <xdr:rowOff>203993</xdr:rowOff>
    </xdr:to>
    <xdr:cxnSp macro="">
      <xdr:nvCxnSpPr>
        <xdr:cNvPr id="1077" name="Match29">
          <a:extLst>
            <a:ext uri="{FF2B5EF4-FFF2-40B4-BE49-F238E27FC236}">
              <a16:creationId xmlns:a16="http://schemas.microsoft.com/office/drawing/2014/main" id="{1E26C949-D248-ABEE-776A-2C19001E4511}"/>
            </a:ext>
          </a:extLst>
        </xdr:cNvPr>
        <xdr:cNvCxnSpPr/>
      </xdr:nvCxnSpPr>
      <xdr:spPr>
        <a:xfrm flipV="1">
          <a:off x="1085056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3</xdr:row>
      <xdr:rowOff>178593</xdr:rowOff>
    </xdr:from>
    <xdr:to>
      <xdr:col>8</xdr:col>
      <xdr:colOff>211931</xdr:colOff>
      <xdr:row>4</xdr:row>
      <xdr:rowOff>178594</xdr:rowOff>
    </xdr:to>
    <xdr:cxnSp macro="">
      <xdr:nvCxnSpPr>
        <xdr:cNvPr id="1078" name="Match30">
          <a:extLst>
            <a:ext uri="{FF2B5EF4-FFF2-40B4-BE49-F238E27FC236}">
              <a16:creationId xmlns:a16="http://schemas.microsoft.com/office/drawing/2014/main" id="{835D0963-3AE8-1F79-5D1C-4E6C1AC867A7}"/>
            </a:ext>
          </a:extLst>
        </xdr:cNvPr>
        <xdr:cNvCxnSpPr/>
      </xdr:nvCxnSpPr>
      <xdr:spPr>
        <a:xfrm>
          <a:off x="3178969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9</xdr:col>
      <xdr:colOff>211931</xdr:colOff>
      <xdr:row>5</xdr:row>
      <xdr:rowOff>178593</xdr:rowOff>
    </xdr:to>
    <xdr:cxnSp macro="">
      <xdr:nvCxnSpPr>
        <xdr:cNvPr id="1079" name="Match31">
          <a:extLst>
            <a:ext uri="{FF2B5EF4-FFF2-40B4-BE49-F238E27FC236}">
              <a16:creationId xmlns:a16="http://schemas.microsoft.com/office/drawing/2014/main" id="{ED42ABA7-2814-6FC5-98BA-A5653E2A5FFD}"/>
            </a:ext>
          </a:extLst>
        </xdr:cNvPr>
        <xdr:cNvCxnSpPr/>
      </xdr:nvCxnSpPr>
      <xdr:spPr>
        <a:xfrm flipH="1" flipV="1">
          <a:off x="36028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5</xdr:col>
      <xdr:colOff>211931</xdr:colOff>
      <xdr:row>6</xdr:row>
      <xdr:rowOff>178594</xdr:rowOff>
    </xdr:to>
    <xdr:cxnSp macro="">
      <xdr:nvCxnSpPr>
        <xdr:cNvPr id="1080" name="Match32">
          <a:extLst>
            <a:ext uri="{FF2B5EF4-FFF2-40B4-BE49-F238E27FC236}">
              <a16:creationId xmlns:a16="http://schemas.microsoft.com/office/drawing/2014/main" id="{5C1B342A-476E-159A-3EB2-333B3564B3E8}"/>
            </a:ext>
          </a:extLst>
        </xdr:cNvPr>
        <xdr:cNvCxnSpPr/>
      </xdr:nvCxnSpPr>
      <xdr:spPr>
        <a:xfrm flipH="1">
          <a:off x="190738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1081" name="Match33">
          <a:extLst>
            <a:ext uri="{FF2B5EF4-FFF2-40B4-BE49-F238E27FC236}">
              <a16:creationId xmlns:a16="http://schemas.microsoft.com/office/drawing/2014/main" id="{90ADC202-99B9-A80A-DD40-E1B29C9A1ED3}"/>
            </a:ext>
          </a:extLst>
        </xdr:cNvPr>
        <xdr:cNvCxnSpPr/>
      </xdr:nvCxnSpPr>
      <xdr:spPr>
        <a:xfrm flipV="1">
          <a:off x="1907381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4</xdr:col>
      <xdr:colOff>211931</xdr:colOff>
      <xdr:row>2</xdr:row>
      <xdr:rowOff>178594</xdr:rowOff>
    </xdr:to>
    <xdr:cxnSp macro="">
      <xdr:nvCxnSpPr>
        <xdr:cNvPr id="1082" name="Match34">
          <a:extLst>
            <a:ext uri="{FF2B5EF4-FFF2-40B4-BE49-F238E27FC236}">
              <a16:creationId xmlns:a16="http://schemas.microsoft.com/office/drawing/2014/main" id="{8FC8182D-57ED-DC55-319E-486CACE64B5A}"/>
            </a:ext>
          </a:extLst>
        </xdr:cNvPr>
        <xdr:cNvCxnSpPr/>
      </xdr:nvCxnSpPr>
      <xdr:spPr>
        <a:xfrm flipH="1" flipV="1">
          <a:off x="1059656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11</xdr:row>
      <xdr:rowOff>178593</xdr:rowOff>
    </xdr:from>
    <xdr:to>
      <xdr:col>10</xdr:col>
      <xdr:colOff>211931</xdr:colOff>
      <xdr:row>11</xdr:row>
      <xdr:rowOff>178593</xdr:rowOff>
    </xdr:to>
    <xdr:cxnSp macro="">
      <xdr:nvCxnSpPr>
        <xdr:cNvPr id="1083" name="Match35">
          <a:extLst>
            <a:ext uri="{FF2B5EF4-FFF2-40B4-BE49-F238E27FC236}">
              <a16:creationId xmlns:a16="http://schemas.microsoft.com/office/drawing/2014/main" id="{E05AF5C8-CFA1-B914-6497-9D8F346C042D}"/>
            </a:ext>
          </a:extLst>
        </xdr:cNvPr>
        <xdr:cNvCxnSpPr/>
      </xdr:nvCxnSpPr>
      <xdr:spPr>
        <a:xfrm flipH="1">
          <a:off x="2755106" y="410765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7</xdr:col>
      <xdr:colOff>211931</xdr:colOff>
      <xdr:row>7</xdr:row>
      <xdr:rowOff>178593</xdr:rowOff>
    </xdr:to>
    <xdr:cxnSp macro="">
      <xdr:nvCxnSpPr>
        <xdr:cNvPr id="1084" name="Match36">
          <a:extLst>
            <a:ext uri="{FF2B5EF4-FFF2-40B4-BE49-F238E27FC236}">
              <a16:creationId xmlns:a16="http://schemas.microsoft.com/office/drawing/2014/main" id="{D9306FAC-A44C-28C6-3FE5-D0520DCC8C0F}"/>
            </a:ext>
          </a:extLst>
        </xdr:cNvPr>
        <xdr:cNvCxnSpPr/>
      </xdr:nvCxnSpPr>
      <xdr:spPr>
        <a:xfrm flipH="1">
          <a:off x="2331244" y="267890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10</xdr:col>
      <xdr:colOff>211931</xdr:colOff>
      <xdr:row>10</xdr:row>
      <xdr:rowOff>178594</xdr:rowOff>
    </xdr:to>
    <xdr:cxnSp macro="">
      <xdr:nvCxnSpPr>
        <xdr:cNvPr id="1085" name="Match37">
          <a:extLst>
            <a:ext uri="{FF2B5EF4-FFF2-40B4-BE49-F238E27FC236}">
              <a16:creationId xmlns:a16="http://schemas.microsoft.com/office/drawing/2014/main" id="{D640BB7E-3A61-19A5-A993-0A02DD88CDE4}"/>
            </a:ext>
          </a:extLst>
        </xdr:cNvPr>
        <xdr:cNvCxnSpPr/>
      </xdr:nvCxnSpPr>
      <xdr:spPr>
        <a:xfrm flipH="1">
          <a:off x="3602831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3</xdr:col>
      <xdr:colOff>211931</xdr:colOff>
      <xdr:row>9</xdr:row>
      <xdr:rowOff>178593</xdr:rowOff>
    </xdr:to>
    <xdr:cxnSp macro="">
      <xdr:nvCxnSpPr>
        <xdr:cNvPr id="1086" name="Match38">
          <a:extLst>
            <a:ext uri="{FF2B5EF4-FFF2-40B4-BE49-F238E27FC236}">
              <a16:creationId xmlns:a16="http://schemas.microsoft.com/office/drawing/2014/main" id="{FDFC500E-B23A-B9DE-8359-EF21694B2CBE}"/>
            </a:ext>
          </a:extLst>
        </xdr:cNvPr>
        <xdr:cNvCxnSpPr/>
      </xdr:nvCxnSpPr>
      <xdr:spPr>
        <a:xfrm flipV="1">
          <a:off x="635794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5</xdr:col>
      <xdr:colOff>211931</xdr:colOff>
      <xdr:row>1</xdr:row>
      <xdr:rowOff>178593</xdr:rowOff>
    </xdr:to>
    <xdr:cxnSp macro="">
      <xdr:nvCxnSpPr>
        <xdr:cNvPr id="1087" name="Match39">
          <a:extLst>
            <a:ext uri="{FF2B5EF4-FFF2-40B4-BE49-F238E27FC236}">
              <a16:creationId xmlns:a16="http://schemas.microsoft.com/office/drawing/2014/main" id="{46AE6BF3-73E9-3223-5A22-E288ABD02AEF}"/>
            </a:ext>
          </a:extLst>
        </xdr:cNvPr>
        <xdr:cNvCxnSpPr/>
      </xdr:nvCxnSpPr>
      <xdr:spPr>
        <a:xfrm flipV="1">
          <a:off x="190738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9</xdr:col>
      <xdr:colOff>211931</xdr:colOff>
      <xdr:row>4</xdr:row>
      <xdr:rowOff>178594</xdr:rowOff>
    </xdr:to>
    <xdr:cxnSp macro="">
      <xdr:nvCxnSpPr>
        <xdr:cNvPr id="1536" name="Match40">
          <a:extLst>
            <a:ext uri="{FF2B5EF4-FFF2-40B4-BE49-F238E27FC236}">
              <a16:creationId xmlns:a16="http://schemas.microsoft.com/office/drawing/2014/main" id="{0E18B106-A7D7-C00A-827E-0CC684F7777C}"/>
            </a:ext>
          </a:extLst>
        </xdr:cNvPr>
        <xdr:cNvCxnSpPr/>
      </xdr:nvCxnSpPr>
      <xdr:spPr>
        <a:xfrm>
          <a:off x="360283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3</xdr:row>
      <xdr:rowOff>203993</xdr:rowOff>
    </xdr:from>
    <xdr:to>
      <xdr:col>8</xdr:col>
      <xdr:colOff>237331</xdr:colOff>
      <xdr:row>4</xdr:row>
      <xdr:rowOff>203994</xdr:rowOff>
    </xdr:to>
    <xdr:cxnSp macro="">
      <xdr:nvCxnSpPr>
        <xdr:cNvPr id="1537" name="Match41">
          <a:extLst>
            <a:ext uri="{FF2B5EF4-FFF2-40B4-BE49-F238E27FC236}">
              <a16:creationId xmlns:a16="http://schemas.microsoft.com/office/drawing/2014/main" id="{ABE1F3B6-DD56-DF7F-3FDD-188E3B536051}"/>
            </a:ext>
          </a:extLst>
        </xdr:cNvPr>
        <xdr:cNvCxnSpPr/>
      </xdr:nvCxnSpPr>
      <xdr:spPr>
        <a:xfrm flipH="1">
          <a:off x="3204369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2</xdr:row>
      <xdr:rowOff>229394</xdr:rowOff>
    </xdr:from>
    <xdr:to>
      <xdr:col>8</xdr:col>
      <xdr:colOff>262731</xdr:colOff>
      <xdr:row>3</xdr:row>
      <xdr:rowOff>229393</xdr:rowOff>
    </xdr:to>
    <xdr:cxnSp macro="">
      <xdr:nvCxnSpPr>
        <xdr:cNvPr id="1538" name="Match42">
          <a:extLst>
            <a:ext uri="{FF2B5EF4-FFF2-40B4-BE49-F238E27FC236}">
              <a16:creationId xmlns:a16="http://schemas.microsoft.com/office/drawing/2014/main" id="{C99F01ED-41CC-D524-74AC-698A493CA8D2}"/>
            </a:ext>
          </a:extLst>
        </xdr:cNvPr>
        <xdr:cNvCxnSpPr/>
      </xdr:nvCxnSpPr>
      <xdr:spPr>
        <a:xfrm flipH="1" flipV="1">
          <a:off x="3229769" y="943769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4</xdr:row>
      <xdr:rowOff>203994</xdr:rowOff>
    </xdr:from>
    <xdr:to>
      <xdr:col>6</xdr:col>
      <xdr:colOff>237331</xdr:colOff>
      <xdr:row>4</xdr:row>
      <xdr:rowOff>203994</xdr:rowOff>
    </xdr:to>
    <xdr:cxnSp macro="">
      <xdr:nvCxnSpPr>
        <xdr:cNvPr id="1539" name="Match43">
          <a:extLst>
            <a:ext uri="{FF2B5EF4-FFF2-40B4-BE49-F238E27FC236}">
              <a16:creationId xmlns:a16="http://schemas.microsoft.com/office/drawing/2014/main" id="{08F98056-814E-D3D5-6656-4A9C40C36079}"/>
            </a:ext>
          </a:extLst>
        </xdr:cNvPr>
        <xdr:cNvCxnSpPr/>
      </xdr:nvCxnSpPr>
      <xdr:spPr>
        <a:xfrm>
          <a:off x="2356644" y="163274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4</xdr:row>
      <xdr:rowOff>229394</xdr:rowOff>
    </xdr:from>
    <xdr:to>
      <xdr:col>5</xdr:col>
      <xdr:colOff>262731</xdr:colOff>
      <xdr:row>5</xdr:row>
      <xdr:rowOff>229393</xdr:rowOff>
    </xdr:to>
    <xdr:cxnSp macro="">
      <xdr:nvCxnSpPr>
        <xdr:cNvPr id="1540" name="Match44">
          <a:extLst>
            <a:ext uri="{FF2B5EF4-FFF2-40B4-BE49-F238E27FC236}">
              <a16:creationId xmlns:a16="http://schemas.microsoft.com/office/drawing/2014/main" id="{F5983F1F-5F43-9894-A04E-5778C74B20D8}"/>
            </a:ext>
          </a:extLst>
        </xdr:cNvPr>
        <xdr:cNvCxnSpPr/>
      </xdr:nvCxnSpPr>
      <xdr:spPr>
        <a:xfrm flipH="1">
          <a:off x="1958181" y="165814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6</xdr:col>
      <xdr:colOff>211931</xdr:colOff>
      <xdr:row>11</xdr:row>
      <xdr:rowOff>178593</xdr:rowOff>
    </xdr:to>
    <xdr:cxnSp macro="">
      <xdr:nvCxnSpPr>
        <xdr:cNvPr id="1541" name="Match45">
          <a:extLst>
            <a:ext uri="{FF2B5EF4-FFF2-40B4-BE49-F238E27FC236}">
              <a16:creationId xmlns:a16="http://schemas.microsoft.com/office/drawing/2014/main" id="{E67C090E-AED9-0B6B-13C3-EA793860DC71}"/>
            </a:ext>
          </a:extLst>
        </xdr:cNvPr>
        <xdr:cNvCxnSpPr/>
      </xdr:nvCxnSpPr>
      <xdr:spPr>
        <a:xfrm flipH="1">
          <a:off x="233124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11</xdr:row>
      <xdr:rowOff>178593</xdr:rowOff>
    </xdr:from>
    <xdr:to>
      <xdr:col>3</xdr:col>
      <xdr:colOff>211931</xdr:colOff>
      <xdr:row>11</xdr:row>
      <xdr:rowOff>178593</xdr:rowOff>
    </xdr:to>
    <xdr:cxnSp macro="">
      <xdr:nvCxnSpPr>
        <xdr:cNvPr id="1542" name="Match46">
          <a:extLst>
            <a:ext uri="{FF2B5EF4-FFF2-40B4-BE49-F238E27FC236}">
              <a16:creationId xmlns:a16="http://schemas.microsoft.com/office/drawing/2014/main" id="{34A1B3D2-7BDD-6744-7312-D5A973B1809C}"/>
            </a:ext>
          </a:extLst>
        </xdr:cNvPr>
        <xdr:cNvCxnSpPr/>
      </xdr:nvCxnSpPr>
      <xdr:spPr>
        <a:xfrm>
          <a:off x="1059656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10</xdr:row>
      <xdr:rowOff>203994</xdr:rowOff>
    </xdr:from>
    <xdr:to>
      <xdr:col>3</xdr:col>
      <xdr:colOff>237331</xdr:colOff>
      <xdr:row>11</xdr:row>
      <xdr:rowOff>203993</xdr:rowOff>
    </xdr:to>
    <xdr:cxnSp macro="">
      <xdr:nvCxnSpPr>
        <xdr:cNvPr id="1543" name="Match47">
          <a:extLst>
            <a:ext uri="{FF2B5EF4-FFF2-40B4-BE49-F238E27FC236}">
              <a16:creationId xmlns:a16="http://schemas.microsoft.com/office/drawing/2014/main" id="{614EFC8A-0535-0686-62DF-DD73FAA86D19}"/>
            </a:ext>
          </a:extLst>
        </xdr:cNvPr>
        <xdr:cNvCxnSpPr/>
      </xdr:nvCxnSpPr>
      <xdr:spPr>
        <a:xfrm flipV="1">
          <a:off x="1085056" y="37758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10</xdr:col>
      <xdr:colOff>211931</xdr:colOff>
      <xdr:row>9</xdr:row>
      <xdr:rowOff>178593</xdr:rowOff>
    </xdr:to>
    <xdr:cxnSp macro="">
      <xdr:nvCxnSpPr>
        <xdr:cNvPr id="1544" name="Match48">
          <a:extLst>
            <a:ext uri="{FF2B5EF4-FFF2-40B4-BE49-F238E27FC236}">
              <a16:creationId xmlns:a16="http://schemas.microsoft.com/office/drawing/2014/main" id="{69B43134-3794-43A9-790E-1F0E78A41BE6}"/>
            </a:ext>
          </a:extLst>
        </xdr:cNvPr>
        <xdr:cNvCxnSpPr/>
      </xdr:nvCxnSpPr>
      <xdr:spPr>
        <a:xfrm>
          <a:off x="4450556" y="1964531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3</xdr:row>
      <xdr:rowOff>178593</xdr:rowOff>
    </xdr:from>
    <xdr:to>
      <xdr:col>11</xdr:col>
      <xdr:colOff>211931</xdr:colOff>
      <xdr:row>6</xdr:row>
      <xdr:rowOff>178594</xdr:rowOff>
    </xdr:to>
    <xdr:cxnSp macro="">
      <xdr:nvCxnSpPr>
        <xdr:cNvPr id="1545" name="Match49">
          <a:extLst>
            <a:ext uri="{FF2B5EF4-FFF2-40B4-BE49-F238E27FC236}">
              <a16:creationId xmlns:a16="http://schemas.microsoft.com/office/drawing/2014/main" id="{AE144F06-6C01-1302-D9B1-CFA4734B4581}"/>
            </a:ext>
          </a:extLst>
        </xdr:cNvPr>
        <xdr:cNvCxnSpPr/>
      </xdr:nvCxnSpPr>
      <xdr:spPr>
        <a:xfrm>
          <a:off x="4874419" y="1250156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6</xdr:col>
      <xdr:colOff>211931</xdr:colOff>
      <xdr:row>9</xdr:row>
      <xdr:rowOff>178593</xdr:rowOff>
    </xdr:to>
    <xdr:cxnSp macro="">
      <xdr:nvCxnSpPr>
        <xdr:cNvPr id="1613" name="Match50">
          <a:extLst>
            <a:ext uri="{FF2B5EF4-FFF2-40B4-BE49-F238E27FC236}">
              <a16:creationId xmlns:a16="http://schemas.microsoft.com/office/drawing/2014/main" id="{07BE6C7E-5F34-C818-DC76-2472BDF98FE8}"/>
            </a:ext>
          </a:extLst>
        </xdr:cNvPr>
        <xdr:cNvCxnSpPr/>
      </xdr:nvCxnSpPr>
      <xdr:spPr>
        <a:xfrm>
          <a:off x="1059656" y="1964531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578ED70-D382-7FC5-1C40-ADF6197D53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G10" sqref="G10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5</v>
      </c>
      <c r="B1" s="27">
        <v>2</v>
      </c>
      <c r="C1" s="22">
        <v>3</v>
      </c>
      <c r="D1" s="23">
        <v>7</v>
      </c>
      <c r="E1" s="23">
        <v>7</v>
      </c>
      <c r="F1" s="23">
        <v>8</v>
      </c>
      <c r="G1" s="27">
        <v>6</v>
      </c>
      <c r="H1" s="27">
        <v>2</v>
      </c>
      <c r="I1" s="27">
        <v>5</v>
      </c>
      <c r="J1" s="27">
        <v>3</v>
      </c>
      <c r="K1" s="27">
        <v>8</v>
      </c>
      <c r="L1" s="27">
        <v>3</v>
      </c>
      <c r="N1" s="2">
        <v>7696344</v>
      </c>
      <c r="O1" s="1">
        <v>1</v>
      </c>
    </row>
    <row r="2" spans="1:15" s="2" customFormat="1" ht="28.25" customHeight="1">
      <c r="A2" s="27">
        <v>6</v>
      </c>
      <c r="B2" s="27">
        <v>3</v>
      </c>
      <c r="C2" s="23">
        <v>5</v>
      </c>
      <c r="D2" s="22">
        <v>7</v>
      </c>
      <c r="E2" s="23">
        <v>1</v>
      </c>
      <c r="F2" s="23">
        <v>2</v>
      </c>
      <c r="G2" s="23">
        <v>9</v>
      </c>
      <c r="H2" s="27">
        <v>2</v>
      </c>
      <c r="I2" s="27">
        <v>8</v>
      </c>
      <c r="J2" s="27">
        <v>2</v>
      </c>
      <c r="K2" s="27">
        <v>2</v>
      </c>
      <c r="L2" s="27">
        <v>4</v>
      </c>
      <c r="N2" s="2">
        <v>6864651</v>
      </c>
      <c r="O2" s="2">
        <v>1</v>
      </c>
    </row>
    <row r="3" spans="1:15" ht="28.25" customHeight="1">
      <c r="A3" s="23">
        <v>2</v>
      </c>
      <c r="B3" s="23">
        <v>9</v>
      </c>
      <c r="C3" s="23">
        <v>8</v>
      </c>
      <c r="D3" s="27">
        <v>6</v>
      </c>
      <c r="E3" s="22">
        <v>6</v>
      </c>
      <c r="F3" s="27">
        <v>2</v>
      </c>
      <c r="G3" s="23">
        <v>8</v>
      </c>
      <c r="H3" s="23">
        <v>8</v>
      </c>
      <c r="I3" s="27">
        <v>5</v>
      </c>
      <c r="J3" s="27">
        <v>4</v>
      </c>
      <c r="K3" s="27">
        <v>1</v>
      </c>
      <c r="L3" s="27">
        <v>5</v>
      </c>
      <c r="N3" s="2">
        <v>72</v>
      </c>
      <c r="O3" s="1">
        <v>14</v>
      </c>
    </row>
    <row r="4" spans="1:15" ht="28.25" customHeight="1">
      <c r="A4" s="23">
        <v>2</v>
      </c>
      <c r="B4" s="23">
        <v>7</v>
      </c>
      <c r="C4" s="22">
        <v>6</v>
      </c>
      <c r="D4" s="22">
        <v>8</v>
      </c>
      <c r="E4" s="22">
        <v>6</v>
      </c>
      <c r="F4" s="22">
        <v>4</v>
      </c>
      <c r="G4" s="22">
        <v>6</v>
      </c>
      <c r="H4" s="22">
        <v>5</v>
      </c>
      <c r="I4" s="22">
        <v>1</v>
      </c>
      <c r="J4" s="27">
        <v>3</v>
      </c>
      <c r="K4" s="27">
        <v>4</v>
      </c>
      <c r="L4" s="22">
        <v>3</v>
      </c>
      <c r="N4" s="2">
        <v>965658</v>
      </c>
      <c r="O4" s="1">
        <v>1</v>
      </c>
    </row>
    <row r="5" spans="1:15" ht="28.25" customHeight="1">
      <c r="A5" s="27">
        <v>4</v>
      </c>
      <c r="B5" s="27">
        <v>3</v>
      </c>
      <c r="C5" s="23">
        <v>2</v>
      </c>
      <c r="D5" s="27">
        <v>3</v>
      </c>
      <c r="E5" s="27">
        <v>2</v>
      </c>
      <c r="F5" s="22">
        <v>1</v>
      </c>
      <c r="G5" s="23">
        <v>8</v>
      </c>
      <c r="H5" s="23">
        <v>8</v>
      </c>
      <c r="I5" s="22">
        <v>7</v>
      </c>
      <c r="J5" s="22">
        <v>8</v>
      </c>
      <c r="K5" s="23">
        <v>9</v>
      </c>
      <c r="L5" s="22">
        <v>7</v>
      </c>
      <c r="N5" s="2">
        <v>147</v>
      </c>
      <c r="O5" s="1">
        <v>1</v>
      </c>
    </row>
    <row r="6" spans="1:15" ht="28.25" customHeight="1">
      <c r="A6" s="27">
        <v>4</v>
      </c>
      <c r="B6" s="22">
        <v>7</v>
      </c>
      <c r="C6" s="22">
        <v>2</v>
      </c>
      <c r="D6" s="23">
        <v>2</v>
      </c>
      <c r="E6" s="23">
        <v>8</v>
      </c>
      <c r="F6" s="27">
        <v>3</v>
      </c>
      <c r="G6" s="22">
        <v>4</v>
      </c>
      <c r="H6" s="27">
        <v>3</v>
      </c>
      <c r="I6" s="22">
        <v>6</v>
      </c>
      <c r="J6" s="22">
        <v>5</v>
      </c>
      <c r="K6" s="22">
        <v>6</v>
      </c>
      <c r="L6" s="22">
        <v>4</v>
      </c>
      <c r="N6" s="2">
        <v>2353</v>
      </c>
      <c r="O6" s="1">
        <v>1</v>
      </c>
    </row>
    <row r="7" spans="1:15" ht="28.25" customHeight="1">
      <c r="A7" s="27">
        <v>8</v>
      </c>
      <c r="B7" s="22">
        <v>2</v>
      </c>
      <c r="C7" s="27">
        <v>4</v>
      </c>
      <c r="D7" s="22">
        <v>6</v>
      </c>
      <c r="E7" s="23">
        <v>7</v>
      </c>
      <c r="F7" s="23">
        <v>5</v>
      </c>
      <c r="G7" s="27">
        <v>3</v>
      </c>
      <c r="H7" s="22">
        <v>7</v>
      </c>
      <c r="I7" s="22">
        <v>9</v>
      </c>
      <c r="J7" s="22">
        <v>6</v>
      </c>
      <c r="K7" s="22">
        <v>2</v>
      </c>
      <c r="L7" s="22">
        <v>6</v>
      </c>
      <c r="N7" s="2">
        <v>98</v>
      </c>
      <c r="O7" s="1">
        <v>9</v>
      </c>
    </row>
    <row r="8" spans="1:15" ht="28.25" customHeight="1">
      <c r="A8" s="22">
        <v>8</v>
      </c>
      <c r="B8" s="27">
        <v>5</v>
      </c>
      <c r="C8" s="27">
        <v>2</v>
      </c>
      <c r="D8" s="23">
        <v>4</v>
      </c>
      <c r="E8" s="22">
        <v>5</v>
      </c>
      <c r="F8" s="22">
        <v>4</v>
      </c>
      <c r="G8" s="22">
        <v>9</v>
      </c>
      <c r="H8" s="22">
        <v>2</v>
      </c>
      <c r="I8" s="22">
        <v>6</v>
      </c>
      <c r="J8" s="22">
        <v>5</v>
      </c>
      <c r="K8" s="22">
        <v>3</v>
      </c>
      <c r="L8" s="23">
        <v>7</v>
      </c>
      <c r="N8" s="2">
        <v>57</v>
      </c>
      <c r="O8" s="1">
        <v>6</v>
      </c>
    </row>
    <row r="9" spans="1:15" ht="28.25" customHeight="1">
      <c r="A9" s="23">
        <v>2</v>
      </c>
      <c r="B9" s="22">
        <v>9</v>
      </c>
      <c r="C9" s="23">
        <v>9</v>
      </c>
      <c r="D9" s="27">
        <v>6</v>
      </c>
      <c r="E9" s="22">
        <v>2</v>
      </c>
      <c r="F9" s="22">
        <v>1</v>
      </c>
      <c r="G9" s="27">
        <v>5</v>
      </c>
      <c r="H9" s="27">
        <v>5</v>
      </c>
      <c r="I9" s="22">
        <v>3</v>
      </c>
      <c r="J9" s="22">
        <v>6</v>
      </c>
      <c r="K9" s="22">
        <v>2</v>
      </c>
      <c r="L9" s="23">
        <v>2</v>
      </c>
      <c r="N9" s="2">
        <v>673</v>
      </c>
      <c r="O9" s="1">
        <v>1</v>
      </c>
    </row>
    <row r="10" spans="1:15" ht="28.25" customHeight="1">
      <c r="A10" s="23">
        <v>7</v>
      </c>
      <c r="B10" s="23">
        <v>2</v>
      </c>
      <c r="C10" s="27">
        <v>3</v>
      </c>
      <c r="D10" s="22">
        <v>3</v>
      </c>
      <c r="E10" s="27">
        <v>4</v>
      </c>
      <c r="F10" s="27">
        <v>2</v>
      </c>
      <c r="G10" s="22">
        <v>4</v>
      </c>
      <c r="H10" s="27">
        <v>3</v>
      </c>
      <c r="I10" s="22">
        <v>4</v>
      </c>
      <c r="J10" s="22">
        <v>9</v>
      </c>
      <c r="K10" s="22">
        <v>8</v>
      </c>
      <c r="L10" s="27">
        <v>4</v>
      </c>
      <c r="N10" s="2">
        <v>83455</v>
      </c>
      <c r="O10" s="1">
        <v>1</v>
      </c>
    </row>
    <row r="11" spans="1:15" ht="28.25" customHeight="1">
      <c r="A11" s="27">
        <v>4</v>
      </c>
      <c r="B11" s="27">
        <v>6</v>
      </c>
      <c r="C11" s="22">
        <v>5</v>
      </c>
      <c r="D11" s="23">
        <v>8</v>
      </c>
      <c r="E11" s="27">
        <v>4</v>
      </c>
      <c r="F11" s="27">
        <v>6</v>
      </c>
      <c r="G11" s="23">
        <v>1</v>
      </c>
      <c r="H11" s="27">
        <v>1</v>
      </c>
      <c r="I11" s="22">
        <v>4</v>
      </c>
      <c r="J11" s="23">
        <v>9</v>
      </c>
      <c r="K11" s="27">
        <v>6</v>
      </c>
      <c r="L11" s="27">
        <v>3</v>
      </c>
      <c r="N11" s="2">
        <v>294</v>
      </c>
      <c r="O11" s="1">
        <v>3</v>
      </c>
    </row>
    <row r="12" spans="1:15" ht="28.25" customHeight="1">
      <c r="A12" s="27">
        <v>8</v>
      </c>
      <c r="B12" s="22">
        <v>3</v>
      </c>
      <c r="C12" s="22">
        <v>1</v>
      </c>
      <c r="D12" s="22">
        <v>8</v>
      </c>
      <c r="E12" s="27">
        <v>3</v>
      </c>
      <c r="F12" s="23">
        <v>8</v>
      </c>
      <c r="G12" s="22">
        <v>5</v>
      </c>
      <c r="H12" s="22">
        <v>5</v>
      </c>
      <c r="I12" s="22">
        <v>4</v>
      </c>
      <c r="J12" s="22">
        <v>3</v>
      </c>
      <c r="K12" s="22">
        <v>8</v>
      </c>
      <c r="L12" s="27">
        <v>4</v>
      </c>
      <c r="N12" s="2">
        <v>18</v>
      </c>
      <c r="O12" s="1">
        <v>9</v>
      </c>
    </row>
    <row r="13" spans="1:15" ht="28.25" customHeight="1">
      <c r="N13" s="2">
        <v>62328</v>
      </c>
      <c r="O13" s="1">
        <v>1</v>
      </c>
    </row>
    <row r="14" spans="1:15" ht="28.25" customHeight="1">
      <c r="N14" s="2">
        <v>3746</v>
      </c>
      <c r="O14" s="1">
        <v>1</v>
      </c>
    </row>
    <row r="15" spans="1:15" ht="28.25" customHeight="1">
      <c r="N15" s="2">
        <v>26514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192"/>
  <sheetViews>
    <sheetView tabSelected="1" zoomScaleNormal="100" workbookViewId="0">
      <pane ySplit="2" topLeftCell="A184" activePane="bottomLeft" state="frozen"/>
      <selection pane="bottomLeft" activeCell="A192" sqref="A192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438</v>
      </c>
      <c r="L2" s="4" t="s">
        <v>163</v>
      </c>
      <c r="M2" s="4" t="s">
        <v>250</v>
      </c>
      <c r="N2" s="4" t="s">
        <v>178</v>
      </c>
      <c r="O2" s="4" t="s">
        <v>179</v>
      </c>
      <c r="P2" s="4" t="s">
        <v>170</v>
      </c>
      <c r="Q2" s="4" t="s">
        <v>425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180</v>
      </c>
      <c r="I64" t="s">
        <v>181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182</v>
      </c>
      <c r="I65" t="s">
        <v>183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184</v>
      </c>
      <c r="I66" t="s">
        <v>185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186</v>
      </c>
      <c r="I67" t="s">
        <v>187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188</v>
      </c>
      <c r="I68" t="s">
        <v>189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190</v>
      </c>
      <c r="I69" t="s">
        <v>191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192</v>
      </c>
      <c r="I70" t="s">
        <v>193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194</v>
      </c>
      <c r="I71" t="s">
        <v>195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196</v>
      </c>
      <c r="I72" t="s">
        <v>197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198</v>
      </c>
      <c r="I73" t="s">
        <v>199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200</v>
      </c>
      <c r="I74" t="s">
        <v>201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202</v>
      </c>
      <c r="I75" t="s">
        <v>203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204</v>
      </c>
      <c r="I76" t="s">
        <v>205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206</v>
      </c>
      <c r="I77" t="s">
        <v>207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208</v>
      </c>
      <c r="I78" t="s">
        <v>209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210</v>
      </c>
      <c r="I79" t="s">
        <v>211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212</v>
      </c>
      <c r="I80" t="s">
        <v>213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216</v>
      </c>
      <c r="I81" t="s">
        <v>217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214</v>
      </c>
      <c r="I82" t="s">
        <v>215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218</v>
      </c>
      <c r="I83" t="s">
        <v>219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220</v>
      </c>
      <c r="I84" t="s">
        <v>221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222</v>
      </c>
      <c r="I85" t="s">
        <v>223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224</v>
      </c>
      <c r="I86" t="s">
        <v>225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226</v>
      </c>
      <c r="I87" t="s">
        <v>227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228</v>
      </c>
      <c r="I88" t="s">
        <v>229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230</v>
      </c>
      <c r="I89" t="s">
        <v>231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232</v>
      </c>
      <c r="I90" t="s">
        <v>233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234</v>
      </c>
      <c r="I91" t="s">
        <v>235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236</v>
      </c>
      <c r="I92" t="s">
        <v>237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238</v>
      </c>
      <c r="I93" t="s">
        <v>239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240</v>
      </c>
      <c r="I94" t="s">
        <v>241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242</v>
      </c>
      <c r="I95" t="s">
        <v>243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244</v>
      </c>
      <c r="I96" t="s">
        <v>245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246</v>
      </c>
      <c r="I97" t="s">
        <v>247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248</v>
      </c>
      <c r="I98" t="s">
        <v>249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251</v>
      </c>
      <c r="I99" t="s">
        <v>252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253</v>
      </c>
      <c r="I100" t="s">
        <v>254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255</v>
      </c>
      <c r="I101" t="s">
        <v>256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257</v>
      </c>
      <c r="I102" t="s">
        <v>258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259</v>
      </c>
      <c r="I103" t="s">
        <v>260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261</v>
      </c>
      <c r="I104" t="s">
        <v>262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263</v>
      </c>
      <c r="I105" t="s">
        <v>264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265</v>
      </c>
      <c r="I106" t="s">
        <v>266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267</v>
      </c>
      <c r="I107" t="s">
        <v>268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269</v>
      </c>
      <c r="I108" t="s">
        <v>270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271</v>
      </c>
      <c r="I109" t="s">
        <v>272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273</v>
      </c>
      <c r="I110" t="s">
        <v>274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275</v>
      </c>
      <c r="I111" t="s">
        <v>276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277</v>
      </c>
      <c r="I112" t="s">
        <v>278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279</v>
      </c>
      <c r="I113" t="s">
        <v>280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281</v>
      </c>
      <c r="I114" t="s">
        <v>282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283</v>
      </c>
      <c r="I115" t="s">
        <v>284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285</v>
      </c>
      <c r="I116" t="s">
        <v>286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287</v>
      </c>
      <c r="I117" t="s">
        <v>288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289</v>
      </c>
      <c r="I118" t="s">
        <v>290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291</v>
      </c>
      <c r="I119" t="s">
        <v>292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293</v>
      </c>
      <c r="I120" t="s">
        <v>294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295</v>
      </c>
      <c r="I121" t="s">
        <v>296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297</v>
      </c>
      <c r="I122" t="s">
        <v>298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299</v>
      </c>
      <c r="I123" t="s">
        <v>300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301</v>
      </c>
      <c r="I124" t="s">
        <v>302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303</v>
      </c>
      <c r="I125" t="s">
        <v>304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305</v>
      </c>
      <c r="I126" t="s">
        <v>306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307</v>
      </c>
      <c r="I127" t="s">
        <v>308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309</v>
      </c>
      <c r="I128" t="s">
        <v>310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311</v>
      </c>
      <c r="I129" t="s">
        <v>312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313</v>
      </c>
      <c r="I130" t="s">
        <v>314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315</v>
      </c>
      <c r="I131" t="s">
        <v>316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317</v>
      </c>
      <c r="I132" t="s">
        <v>318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319</v>
      </c>
      <c r="I133" t="s">
        <v>320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321</v>
      </c>
      <c r="I134" t="s">
        <v>322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323</v>
      </c>
      <c r="I135" t="s">
        <v>324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325</v>
      </c>
      <c r="I136" t="s">
        <v>326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327</v>
      </c>
      <c r="I137" t="s">
        <v>328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329</v>
      </c>
      <c r="I138" t="s">
        <v>330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331</v>
      </c>
      <c r="I139" t="s">
        <v>332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333</v>
      </c>
      <c r="I140" t="s">
        <v>334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335</v>
      </c>
      <c r="I141" t="s">
        <v>336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337</v>
      </c>
      <c r="I142" t="s">
        <v>338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340</v>
      </c>
      <c r="I143" t="s">
        <v>341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342</v>
      </c>
      <c r="I144" t="s">
        <v>343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344</v>
      </c>
      <c r="I145" t="s">
        <v>345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346</v>
      </c>
      <c r="I146" t="s">
        <v>347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348</v>
      </c>
      <c r="I147" t="s">
        <v>349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182" si="21">IF(A147&gt;=DATEVALUE("2025/11/8")+TIMEVALUE("6:00"),1,0)-IF(A146&gt;=DATEVALUE("2025/11/8")+TIMEVALUE("6:00"),1,0)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350</v>
      </c>
      <c r="I148" t="s">
        <v>351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352</v>
      </c>
      <c r="I149" t="s">
        <v>353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354</v>
      </c>
      <c r="I150" t="s">
        <v>355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356</v>
      </c>
      <c r="I151" t="s">
        <v>357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358</v>
      </c>
      <c r="I152" t="s">
        <v>359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360</v>
      </c>
      <c r="I153" t="s">
        <v>361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362</v>
      </c>
      <c r="I154" t="s">
        <v>363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364</v>
      </c>
      <c r="I155" t="s">
        <v>365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366</v>
      </c>
      <c r="I156" t="s">
        <v>367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368</v>
      </c>
      <c r="I157" t="s">
        <v>369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370</v>
      </c>
      <c r="I158" t="s">
        <v>371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372</v>
      </c>
      <c r="I159" t="s">
        <v>373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374</v>
      </c>
      <c r="I160" t="s">
        <v>375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376</v>
      </c>
      <c r="I161" t="s">
        <v>377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378</v>
      </c>
      <c r="I162" t="s">
        <v>379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380</v>
      </c>
      <c r="I163" t="s">
        <v>381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382</v>
      </c>
      <c r="I164" t="s">
        <v>383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384</v>
      </c>
      <c r="I165" t="s">
        <v>385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386</v>
      </c>
      <c r="I166" t="s">
        <v>387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388</v>
      </c>
      <c r="I167" t="s">
        <v>389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391</v>
      </c>
      <c r="I168" t="s">
        <v>390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392</v>
      </c>
      <c r="I169" t="s">
        <v>393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394</v>
      </c>
      <c r="I170" t="s">
        <v>395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396</v>
      </c>
      <c r="I171" t="s">
        <v>397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398</v>
      </c>
      <c r="I172" t="s">
        <v>399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400</v>
      </c>
      <c r="I173" t="s">
        <v>401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402</v>
      </c>
      <c r="I174" t="s">
        <v>403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404</v>
      </c>
      <c r="I175" t="s">
        <v>405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407</v>
      </c>
      <c r="I176" t="s">
        <v>406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408</v>
      </c>
      <c r="I177" t="s">
        <v>409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410</v>
      </c>
      <c r="I178" t="s">
        <v>411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412</v>
      </c>
      <c r="I179" t="s">
        <v>413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415</v>
      </c>
      <c r="I180" t="s">
        <v>414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417</v>
      </c>
      <c r="I181" t="s">
        <v>416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418</v>
      </c>
      <c r="I182" t="s">
        <v>419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420</v>
      </c>
      <c r="I183" t="s">
        <v>421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ref="O183" si="27">IF(A183&gt;=DATEVALUE("2025/11/8")+TIMEVALUE("6:00"),1,0)-IF(A182&gt;=DATEVALUE("2025/11/8")+TIMEVALUE("6:00"),1,0)</f>
        <v>0</v>
      </c>
      <c r="P183" t="str">
        <f t="shared" ref="P183" si="28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422</v>
      </c>
      <c r="I184" t="s">
        <v>421</v>
      </c>
      <c r="J184">
        <v>0</v>
      </c>
      <c r="K184">
        <f t="shared" ref="K184" si="29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30">L183+K184</f>
        <v>207</v>
      </c>
      <c r="M184">
        <f t="shared" ref="M184" si="31">2+IF(A184&gt;=DATEVALUE("2025/11/30")+TIMEVALUE("6:00"),1,0)+IF(A184&gt;=DATEVALUE("2025/12/11")+TIMEVALUE("6:00"),1,0)</f>
        <v>4</v>
      </c>
      <c r="N184">
        <f t="shared" ref="N184" si="32">N183+M184*(INT(A184-6/24)-INT(A183-6/24))+O184</f>
        <v>208</v>
      </c>
      <c r="O184">
        <f t="shared" ref="O184" si="33">IF(A184&gt;=DATEVALUE("2025/11/8")+TIMEVALUE("6:00"),1,0)-IF(A183&gt;=DATEVALUE("2025/11/8")+TIMEVALUE("6:00"),1,0)</f>
        <v>0</v>
      </c>
      <c r="P184" t="str">
        <f t="shared" ref="P184" si="34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423</v>
      </c>
      <c r="I185" t="s">
        <v>424</v>
      </c>
      <c r="J185">
        <v>0</v>
      </c>
      <c r="K185">
        <f t="shared" ref="K185" si="35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6">L184+K185</f>
        <v>209</v>
      </c>
      <c r="M185">
        <f t="shared" ref="M185" si="37">2+IF(A185&gt;=DATEVALUE("2025/11/30")+TIMEVALUE("6:00"),1,0)+IF(A185&gt;=DATEVALUE("2025/12/11")+TIMEVALUE("6:00"),1,0)</f>
        <v>4</v>
      </c>
      <c r="N185">
        <f t="shared" ref="N185" si="38">N184+M185*(INT(A185-6/24)-INT(A184-6/24))+O185</f>
        <v>208</v>
      </c>
      <c r="O185">
        <f t="shared" ref="O185" si="39">IF(A185&gt;=DATEVALUE("2025/11/8")+TIMEVALUE("6:00"),1,0)-IF(A184&gt;=DATEVALUE("2025/11/8")+TIMEVALUE("6:00"),1,0)</f>
        <v>0</v>
      </c>
      <c r="P185" t="str">
        <f t="shared" ref="P185" si="40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426</v>
      </c>
      <c r="I186" t="s">
        <v>427</v>
      </c>
      <c r="J186">
        <v>0</v>
      </c>
      <c r="K186">
        <f t="shared" ref="K186" si="41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42">L185+K186</f>
        <v>211</v>
      </c>
      <c r="M186">
        <f t="shared" ref="M186" si="43">2+IF(A186&gt;=DATEVALUE("2025/11/30")+TIMEVALUE("6:00"),1,0)+IF(A186&gt;=DATEVALUE("2025/12/11")+TIMEVALUE("6:00"),1,0)</f>
        <v>4</v>
      </c>
      <c r="N186">
        <f t="shared" ref="N186" si="44">N185+M186*(INT(A186-6/24)-INT(A185-6/24))+O186</f>
        <v>212</v>
      </c>
      <c r="O186">
        <f t="shared" ref="O186" si="45">IF(A186&gt;=DATEVALUE("2025/11/8")+TIMEVALUE("6:00"),1,0)-IF(A185&gt;=DATEVALUE("2025/11/8")+TIMEVALUE("6:00"),1,0)</f>
        <v>0</v>
      </c>
      <c r="P186" t="str">
        <f t="shared" ref="P186" si="46">IF(L186&lt;N186,"未達成（"&amp;N186-L186&amp;"）",IF(L186=N186,"達成","前倒し（"&amp;L186-N186&amp;"）"))</f>
        <v>未達成（1）</v>
      </c>
      <c r="Q186" s="5">
        <f t="shared" ref="Q186" si="47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428</v>
      </c>
      <c r="I187" t="s">
        <v>429</v>
      </c>
      <c r="J187">
        <v>0</v>
      </c>
      <c r="K187">
        <f t="shared" ref="K187" si="48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9">L186+K187</f>
        <v>213</v>
      </c>
      <c r="M187">
        <f t="shared" ref="M187" si="50">2+IF(A187&gt;=DATEVALUE("2025/11/30")+TIMEVALUE("6:00"),1,0)+IF(A187&gt;=DATEVALUE("2025/12/11")+TIMEVALUE("6:00"),1,0)</f>
        <v>4</v>
      </c>
      <c r="N187">
        <f t="shared" ref="N187" si="51">N186+M187*(INT(A187-6/24)-INT(A186-6/24))+O187</f>
        <v>212</v>
      </c>
      <c r="O187">
        <f t="shared" ref="O187" si="52">IF(A187&gt;=DATEVALUE("2025/11/8")+TIMEVALUE("6:00"),1,0)-IF(A186&gt;=DATEVALUE("2025/11/8")+TIMEVALUE("6:00"),1,0)</f>
        <v>0</v>
      </c>
      <c r="P187" t="str">
        <f t="shared" ref="P187" si="53">IF(L187&lt;N187,"未達成（"&amp;N187-L187&amp;"）",IF(L187=N187,"達成","前倒し（"&amp;L187-N187&amp;"）"))</f>
        <v>前倒し（1）</v>
      </c>
      <c r="Q187" s="5">
        <f t="shared" ref="Q187" si="54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430</v>
      </c>
      <c r="I188" t="s">
        <v>431</v>
      </c>
      <c r="J188">
        <v>0</v>
      </c>
      <c r="K188">
        <f t="shared" ref="K188" si="55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6">L187+K188</f>
        <v>214</v>
      </c>
      <c r="M188">
        <f t="shared" ref="M188" si="57">2+IF(A188&gt;=DATEVALUE("2025/11/30")+TIMEVALUE("6:00"),1,0)+IF(A188&gt;=DATEVALUE("2025/12/11")+TIMEVALUE("6:00"),1,0)</f>
        <v>4</v>
      </c>
      <c r="N188">
        <f t="shared" ref="N188" si="58">N187+M188*(INT(A188-6/24)-INT(A187-6/24))+O188</f>
        <v>216</v>
      </c>
      <c r="O188">
        <f t="shared" ref="O188" si="59">IF(A188&gt;=DATEVALUE("2025/11/8")+TIMEVALUE("6:00"),1,0)-IF(A187&gt;=DATEVALUE("2025/11/8")+TIMEVALUE("6:00"),1,0)</f>
        <v>0</v>
      </c>
      <c r="P188" t="str">
        <f t="shared" ref="P188" si="60">IF(L188&lt;N188,"未達成（"&amp;N188-L188&amp;"）",IF(L188=N188,"達成","前倒し（"&amp;L188-N188&amp;"）"))</f>
        <v>未達成（2）</v>
      </c>
      <c r="Q188" s="5">
        <f t="shared" ref="Q188" si="61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432</v>
      </c>
      <c r="I189" t="s">
        <v>433</v>
      </c>
      <c r="J189">
        <v>0</v>
      </c>
      <c r="K189">
        <f t="shared" ref="K189" si="62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63">L188+K189</f>
        <v>215</v>
      </c>
      <c r="M189">
        <f t="shared" ref="M189" si="64">2+IF(A189&gt;=DATEVALUE("2025/11/30")+TIMEVALUE("6:00"),1,0)+IF(A189&gt;=DATEVALUE("2025/12/11")+TIMEVALUE("6:00"),1,0)</f>
        <v>4</v>
      </c>
      <c r="N189">
        <f t="shared" ref="N189" si="65">N188+M189*(INT(A189-6/24)-INT(A188-6/24))+O189</f>
        <v>216</v>
      </c>
      <c r="O189">
        <f t="shared" ref="O189" si="66">IF(A189&gt;=DATEVALUE("2025/11/8")+TIMEVALUE("6:00"),1,0)-IF(A188&gt;=DATEVALUE("2025/11/8")+TIMEVALUE("6:00"),1,0)</f>
        <v>0</v>
      </c>
      <c r="P189" t="str">
        <f t="shared" ref="P189" si="67">IF(L189&lt;N189,"未達成（"&amp;N189-L189&amp;"）",IF(L189=N189,"達成","前倒し（"&amp;L189-N189&amp;"）"))</f>
        <v>未達成（1）</v>
      </c>
      <c r="Q189" s="5">
        <f t="shared" ref="Q189" si="68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434</v>
      </c>
      <c r="I190" t="s">
        <v>435</v>
      </c>
      <c r="J190">
        <v>0</v>
      </c>
      <c r="K190">
        <f t="shared" ref="K190" si="69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70">L189+K190</f>
        <v>217</v>
      </c>
      <c r="M190">
        <f t="shared" ref="M190" si="71">2+IF(A190&gt;=DATEVALUE("2025/11/30")+TIMEVALUE("6:00"),1,0)+IF(A190&gt;=DATEVALUE("2025/12/11")+TIMEVALUE("6:00"),1,0)</f>
        <v>4</v>
      </c>
      <c r="N190">
        <f t="shared" ref="N190" si="72">N189+M190*(INT(A190-6/24)-INT(A189-6/24))+O190</f>
        <v>216</v>
      </c>
      <c r="O190">
        <f t="shared" ref="O190" si="73">IF(A190&gt;=DATEVALUE("2025/11/8")+TIMEVALUE("6:00"),1,0)-IF(A189&gt;=DATEVALUE("2025/11/8")+TIMEVALUE("6:00"),1,0)</f>
        <v>0</v>
      </c>
      <c r="P190" t="str">
        <f t="shared" ref="P190" si="74">IF(L190&lt;N190,"未達成（"&amp;N190-L190&amp;"）",IF(L190=N190,"達成","前倒し（"&amp;L190-N190&amp;"）"))</f>
        <v>前倒し（1）</v>
      </c>
      <c r="Q190" s="5">
        <f t="shared" ref="Q190" si="75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436</v>
      </c>
      <c r="I191" t="s">
        <v>437</v>
      </c>
      <c r="J191">
        <v>0</v>
      </c>
      <c r="K191">
        <f t="shared" ref="K191" si="76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77">L190+K191</f>
        <v>219</v>
      </c>
      <c r="M191">
        <f t="shared" ref="M191" si="78">2+IF(A191&gt;=DATEVALUE("2025/11/30")+TIMEVALUE("6:00"),1,0)+IF(A191&gt;=DATEVALUE("2025/12/11")+TIMEVALUE("6:00"),1,0)</f>
        <v>4</v>
      </c>
      <c r="N191">
        <f t="shared" ref="N191" si="79">N190+M191*(INT(A191-6/24)-INT(A190-6/24))+O191</f>
        <v>220</v>
      </c>
      <c r="O191">
        <f t="shared" ref="O191" si="80">IF(A191&gt;=DATEVALUE("2025/11/8")+TIMEVALUE("6:00"),1,0)-IF(A190&gt;=DATEVALUE("2025/11/8")+TIMEVALUE("6:00"),1,0)</f>
        <v>0</v>
      </c>
      <c r="P191" t="str">
        <f t="shared" ref="P191" si="81">IF(L191&lt;N191,"未達成（"&amp;N191-L191&amp;"）",IF(L191=N191,"達成","前倒し（"&amp;L191-N191&amp;"）"))</f>
        <v>未達成（1）</v>
      </c>
      <c r="Q191" s="5">
        <f t="shared" ref="Q191" si="82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439</v>
      </c>
      <c r="I192" t="s">
        <v>440</v>
      </c>
      <c r="J192">
        <v>0</v>
      </c>
      <c r="K192">
        <f t="shared" ref="K192" si="83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84">L191+K192</f>
        <v>220</v>
      </c>
      <c r="M192">
        <f t="shared" ref="M192" si="85">2+IF(A192&gt;=DATEVALUE("2025/11/30")+TIMEVALUE("6:00"),1,0)+IF(A192&gt;=DATEVALUE("2025/12/11")+TIMEVALUE("6:00"),1,0)</f>
        <v>4</v>
      </c>
      <c r="N192">
        <f t="shared" ref="N192" si="86">N191+M192*(INT(A192-6/24)-INT(A191-6/24))+O192</f>
        <v>220</v>
      </c>
      <c r="O192">
        <f t="shared" ref="O192" si="87">IF(A192&gt;=DATEVALUE("2025/11/8")+TIMEVALUE("6:00"),1,0)-IF(A191&gt;=DATEVALUE("2025/11/8")+TIMEVALUE("6:00"),1,0)</f>
        <v>0</v>
      </c>
      <c r="P192" t="str">
        <f t="shared" ref="P192" si="88">IF(L192&lt;N192,"未達成（"&amp;N192-L192&amp;"）",IF(L192=N192,"達成","前倒し（"&amp;L192-N192&amp;"）"))</f>
        <v>達成</v>
      </c>
      <c r="Q192">
        <f t="shared" ref="Q192" si="89">IF(B192="",NA(),G192)</f>
        <v>8.4027777775190771E-3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>
      <selection activeCell="A3" sqref="A3"/>
    </sheetView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46034.302754629629</v>
      </c>
      <c r="D3" s="25"/>
    </row>
    <row r="4" spans="1:4">
      <c r="A4" t="s">
        <v>339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2026-01-11T22:29:05Z</dcterms:modified>
</cp:coreProperties>
</file>
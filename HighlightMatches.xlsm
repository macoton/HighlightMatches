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958C4B77-6BF0-4CAF-978B-F3070A628CBB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nm._FilterDatabase" localSheetId="2" hidden="1">データ!$B$2:$B$254</definedName>
    <definedName name="_xleta.AND" hidden="1" xlm="1">#NAME?</definedName>
    <definedName name="_xleta.CHAR" hidden="1" xlm="1">#NAME?</definedName>
    <definedName name="_xleta.DATEVALUE" hidden="1" xlm="1">#NAME?</definedName>
    <definedName name="_xleta.MAX" hidden="1" xlm="1">#NAME?</definedName>
    <definedName name="_xleta.N" hidden="1" xlm="1">#NAME?</definedName>
    <definedName name="_xleta.NA" hidden="1" xlm="1">#NAME?</definedName>
    <definedName name="_xleta.NOW" hidden="1" xlm="1">#NAME?</definedName>
    <definedName name="_xlpm.A" hidden="1" xlm="1">#NAME?</definedName>
    <definedName name="サーチワードの長さ">設定!$C$5:$C$19</definedName>
    <definedName name="サーチワードの長さに対する加点">設定!$C$21:$C$26</definedName>
    <definedName name="セルを黄色">設定!$C$1</definedName>
    <definedName name="開始時間">設定!$C$3</definedName>
    <definedName name="再開時間">設定!$C$4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33" i="4" l="1"/>
  <c r="O333" i="4"/>
  <c r="M333" i="4"/>
  <c r="N333" i="4" s="1"/>
  <c r="K333" i="4"/>
  <c r="L333" i="4" s="1"/>
  <c r="P333" i="4" s="1"/>
  <c r="Q332" i="4"/>
  <c r="O332" i="4"/>
  <c r="M332" i="4"/>
  <c r="N332" i="4" s="1"/>
  <c r="K332" i="4"/>
  <c r="L332" i="4" s="1"/>
  <c r="Q331" i="4"/>
  <c r="O331" i="4"/>
  <c r="M331" i="4"/>
  <c r="K331" i="4"/>
  <c r="Q330" i="4"/>
  <c r="O330" i="4"/>
  <c r="M330" i="4"/>
  <c r="K330" i="4"/>
  <c r="Q329" i="4"/>
  <c r="O329" i="4"/>
  <c r="M329" i="4"/>
  <c r="K329" i="4"/>
  <c r="Q328" i="4"/>
  <c r="O328" i="4"/>
  <c r="M328" i="4"/>
  <c r="K328" i="4"/>
  <c r="Q327" i="4"/>
  <c r="O327" i="4"/>
  <c r="M327" i="4"/>
  <c r="K327" i="4"/>
  <c r="Q326" i="4"/>
  <c r="O326" i="4"/>
  <c r="M326" i="4"/>
  <c r="K326" i="4"/>
  <c r="Q325" i="4"/>
  <c r="O325" i="4"/>
  <c r="M325" i="4"/>
  <c r="K325" i="4"/>
  <c r="Q324" i="4"/>
  <c r="O324" i="4"/>
  <c r="M324" i="4"/>
  <c r="K324" i="4"/>
  <c r="Q323" i="4"/>
  <c r="O323" i="4"/>
  <c r="M323" i="4"/>
  <c r="K323" i="4"/>
  <c r="Q322" i="4"/>
  <c r="O322" i="4"/>
  <c r="M322" i="4"/>
  <c r="K322" i="4"/>
  <c r="Q321" i="4"/>
  <c r="O321" i="4"/>
  <c r="M321" i="4"/>
  <c r="K321" i="4"/>
  <c r="Q320" i="4"/>
  <c r="O320" i="4"/>
  <c r="M320" i="4"/>
  <c r="K320" i="4"/>
  <c r="Q319" i="4"/>
  <c r="O319" i="4"/>
  <c r="M319" i="4"/>
  <c r="K319" i="4"/>
  <c r="Q318" i="4"/>
  <c r="O318" i="4"/>
  <c r="M318" i="4"/>
  <c r="K318" i="4"/>
  <c r="Q317" i="4"/>
  <c r="O317" i="4"/>
  <c r="M317" i="4"/>
  <c r="K317" i="4"/>
  <c r="Q316" i="4"/>
  <c r="O316" i="4"/>
  <c r="M316" i="4"/>
  <c r="K316" i="4"/>
  <c r="Q315" i="4"/>
  <c r="O315" i="4"/>
  <c r="M315" i="4"/>
  <c r="K315" i="4"/>
  <c r="Q314" i="4"/>
  <c r="O314" i="4"/>
  <c r="M314" i="4"/>
  <c r="K314" i="4"/>
  <c r="Q313" i="4"/>
  <c r="O313" i="4"/>
  <c r="M313" i="4"/>
  <c r="K313" i="4"/>
  <c r="Q312" i="4"/>
  <c r="O312" i="4"/>
  <c r="M312" i="4"/>
  <c r="K312" i="4"/>
  <c r="Q311" i="4"/>
  <c r="O311" i="4"/>
  <c r="M311" i="4"/>
  <c r="K311" i="4"/>
  <c r="O310" i="4"/>
  <c r="O309" i="4"/>
  <c r="O308" i="4"/>
  <c r="O307" i="4"/>
  <c r="O306" i="4"/>
  <c r="O305" i="4"/>
  <c r="O304" i="4"/>
  <c r="O303" i="4"/>
  <c r="O302" i="4"/>
  <c r="O301" i="4"/>
  <c r="O300" i="4"/>
  <c r="O299" i="4"/>
  <c r="O298" i="4"/>
  <c r="O297" i="4"/>
  <c r="O296" i="4"/>
  <c r="O295" i="4"/>
  <c r="O294" i="4"/>
  <c r="O293" i="4"/>
  <c r="O292" i="4"/>
  <c r="O291" i="4"/>
  <c r="O290" i="4"/>
  <c r="O289" i="4"/>
  <c r="O288" i="4"/>
  <c r="O287" i="4"/>
  <c r="O286" i="4"/>
  <c r="O285" i="4"/>
  <c r="O284" i="4"/>
  <c r="O283" i="4"/>
  <c r="O282" i="4"/>
  <c r="O281" i="4"/>
  <c r="O280" i="4"/>
  <c r="O279" i="4"/>
  <c r="O278" i="4"/>
  <c r="O277" i="4"/>
  <c r="O276" i="4"/>
  <c r="O275" i="4"/>
  <c r="O274" i="4"/>
  <c r="O273" i="4"/>
  <c r="O272" i="4"/>
  <c r="O271" i="4"/>
  <c r="O270" i="4"/>
  <c r="O269" i="4"/>
  <c r="O268" i="4"/>
  <c r="O267" i="4"/>
  <c r="O266" i="4"/>
  <c r="O265" i="4"/>
  <c r="O264" i="4"/>
  <c r="O263" i="4"/>
  <c r="O262" i="4"/>
  <c r="O261" i="4"/>
  <c r="O260" i="4"/>
  <c r="O259" i="4"/>
  <c r="O258" i="4"/>
  <c r="O257" i="4"/>
  <c r="O256" i="4"/>
  <c r="O255" i="4"/>
  <c r="O254" i="4"/>
  <c r="O253" i="4"/>
  <c r="O252" i="4"/>
  <c r="O251" i="4"/>
  <c r="O250" i="4"/>
  <c r="O249" i="4"/>
  <c r="O248" i="4"/>
  <c r="O247" i="4"/>
  <c r="O246" i="4"/>
  <c r="O245" i="4"/>
  <c r="O244" i="4"/>
  <c r="O243" i="4"/>
  <c r="O242" i="4"/>
  <c r="O241" i="4"/>
  <c r="O240" i="4"/>
  <c r="O239" i="4"/>
  <c r="O238" i="4"/>
  <c r="O237" i="4"/>
  <c r="O236" i="4"/>
  <c r="O235" i="4"/>
  <c r="O234" i="4"/>
  <c r="O233" i="4"/>
  <c r="O232" i="4"/>
  <c r="O231" i="4"/>
  <c r="O230" i="4"/>
  <c r="O229" i="4"/>
  <c r="O228" i="4"/>
  <c r="O227" i="4"/>
  <c r="O226" i="4"/>
  <c r="O225" i="4"/>
  <c r="O224" i="4"/>
  <c r="O223" i="4"/>
  <c r="O222" i="4"/>
  <c r="O221" i="4"/>
  <c r="O220" i="4"/>
  <c r="O219" i="4"/>
  <c r="O218" i="4"/>
  <c r="O217" i="4"/>
  <c r="O216" i="4"/>
  <c r="O215" i="4"/>
  <c r="O214" i="4"/>
  <c r="O213" i="4"/>
  <c r="O212" i="4"/>
  <c r="O211" i="4"/>
  <c r="O210" i="4"/>
  <c r="O209" i="4"/>
  <c r="O208" i="4"/>
  <c r="O207" i="4"/>
  <c r="O206" i="4"/>
  <c r="O205" i="4"/>
  <c r="O204" i="4"/>
  <c r="O203" i="4"/>
  <c r="O202" i="4"/>
  <c r="O201" i="4"/>
  <c r="O200" i="4"/>
  <c r="O199" i="4"/>
  <c r="O198" i="4"/>
  <c r="O197" i="4"/>
  <c r="O196" i="4"/>
  <c r="O195" i="4"/>
  <c r="O194" i="4"/>
  <c r="O193" i="4"/>
  <c r="O192" i="4"/>
  <c r="O191" i="4"/>
  <c r="O190" i="4"/>
  <c r="O189" i="4"/>
  <c r="O188" i="4"/>
  <c r="O187" i="4"/>
  <c r="O186" i="4"/>
  <c r="O185" i="4"/>
  <c r="O184" i="4"/>
  <c r="O183" i="4"/>
  <c r="O182" i="4"/>
  <c r="O181" i="4"/>
  <c r="O180" i="4"/>
  <c r="O179" i="4"/>
  <c r="O178" i="4"/>
  <c r="O177" i="4"/>
  <c r="O176" i="4"/>
  <c r="O175" i="4"/>
  <c r="O174" i="4"/>
  <c r="O173" i="4"/>
  <c r="O172" i="4"/>
  <c r="O171" i="4"/>
  <c r="O170" i="4"/>
  <c r="O169" i="4"/>
  <c r="O168" i="4"/>
  <c r="O167" i="4"/>
  <c r="O166" i="4"/>
  <c r="O165" i="4"/>
  <c r="O164" i="4"/>
  <c r="O163" i="4"/>
  <c r="O162" i="4"/>
  <c r="O161" i="4"/>
  <c r="O160" i="4"/>
  <c r="O159" i="4"/>
  <c r="O158" i="4"/>
  <c r="O157" i="4"/>
  <c r="O156" i="4"/>
  <c r="O155" i="4"/>
  <c r="O154" i="4"/>
  <c r="O153" i="4"/>
  <c r="O152" i="4"/>
  <c r="O151" i="4"/>
  <c r="O150" i="4"/>
  <c r="O149" i="4"/>
  <c r="O148" i="4"/>
  <c r="O147" i="4"/>
  <c r="O146" i="4"/>
  <c r="O145" i="4"/>
  <c r="O144" i="4"/>
  <c r="O143" i="4"/>
  <c r="O142" i="4"/>
  <c r="O141" i="4"/>
  <c r="O140" i="4"/>
  <c r="O139" i="4"/>
  <c r="O138" i="4"/>
  <c r="O137" i="4"/>
  <c r="O136" i="4"/>
  <c r="O135" i="4"/>
  <c r="O134" i="4"/>
  <c r="O133" i="4"/>
  <c r="O132" i="4"/>
  <c r="O131" i="4"/>
  <c r="O130" i="4"/>
  <c r="O129" i="4"/>
  <c r="O128" i="4"/>
  <c r="O127" i="4"/>
  <c r="O126" i="4"/>
  <c r="O125" i="4"/>
  <c r="O124" i="4"/>
  <c r="O123" i="4"/>
  <c r="O122" i="4"/>
  <c r="O121" i="4"/>
  <c r="O120" i="4"/>
  <c r="O119" i="4"/>
  <c r="O118" i="4"/>
  <c r="O117" i="4"/>
  <c r="O116" i="4"/>
  <c r="O115" i="4"/>
  <c r="O114" i="4"/>
  <c r="O113" i="4"/>
  <c r="O112" i="4"/>
  <c r="O111" i="4"/>
  <c r="O110" i="4"/>
  <c r="O109" i="4"/>
  <c r="O108" i="4"/>
  <c r="O107" i="4"/>
  <c r="O106" i="4"/>
  <c r="O105" i="4"/>
  <c r="O104" i="4"/>
  <c r="O103" i="4"/>
  <c r="O102" i="4"/>
  <c r="O101" i="4"/>
  <c r="O100" i="4"/>
  <c r="O99" i="4"/>
  <c r="O98" i="4"/>
  <c r="O97" i="4"/>
  <c r="O96" i="4"/>
  <c r="O95" i="4"/>
  <c r="O94" i="4"/>
  <c r="O93" i="4"/>
  <c r="O92" i="4"/>
  <c r="O91" i="4"/>
  <c r="O90" i="4"/>
  <c r="O89" i="4"/>
  <c r="O88" i="4"/>
  <c r="O87" i="4"/>
  <c r="O86" i="4"/>
  <c r="O85" i="4"/>
  <c r="O84" i="4"/>
  <c r="O83" i="4"/>
  <c r="O82" i="4"/>
  <c r="O81" i="4"/>
  <c r="O80" i="4"/>
  <c r="O79" i="4"/>
  <c r="O78" i="4"/>
  <c r="O77" i="4"/>
  <c r="O76" i="4"/>
  <c r="O75" i="4"/>
  <c r="O74" i="4"/>
  <c r="O73" i="4"/>
  <c r="O72" i="4"/>
  <c r="O71" i="4"/>
  <c r="O70" i="4"/>
  <c r="O69" i="4"/>
  <c r="O68" i="4"/>
  <c r="O67" i="4"/>
  <c r="O66" i="4"/>
  <c r="O65" i="4"/>
  <c r="O64" i="4"/>
  <c r="O63" i="4"/>
  <c r="O62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Q310" i="4"/>
  <c r="M310" i="4"/>
  <c r="K310" i="4"/>
  <c r="Q309" i="4"/>
  <c r="M309" i="4"/>
  <c r="K309" i="4"/>
  <c r="Q308" i="4"/>
  <c r="M308" i="4"/>
  <c r="K308" i="4"/>
  <c r="Q307" i="4"/>
  <c r="M307" i="4"/>
  <c r="K307" i="4"/>
  <c r="Q306" i="4"/>
  <c r="M306" i="4"/>
  <c r="K306" i="4"/>
  <c r="Q305" i="4"/>
  <c r="M305" i="4"/>
  <c r="K305" i="4"/>
  <c r="Q304" i="4"/>
  <c r="M304" i="4"/>
  <c r="K304" i="4"/>
  <c r="Q303" i="4"/>
  <c r="M303" i="4"/>
  <c r="K303" i="4"/>
  <c r="Q302" i="4"/>
  <c r="M302" i="4"/>
  <c r="K302" i="4"/>
  <c r="Q301" i="4"/>
  <c r="M301" i="4"/>
  <c r="K301" i="4"/>
  <c r="Q300" i="4"/>
  <c r="M300" i="4"/>
  <c r="K300" i="4"/>
  <c r="Q299" i="4"/>
  <c r="M299" i="4"/>
  <c r="K299" i="4"/>
  <c r="Q298" i="4"/>
  <c r="M298" i="4"/>
  <c r="K298" i="4"/>
  <c r="Q297" i="4"/>
  <c r="M297" i="4"/>
  <c r="K297" i="4"/>
  <c r="Q296" i="4"/>
  <c r="M296" i="4"/>
  <c r="K296" i="4"/>
  <c r="Q295" i="4"/>
  <c r="M295" i="4"/>
  <c r="K295" i="4"/>
  <c r="Q294" i="4"/>
  <c r="M294" i="4"/>
  <c r="K294" i="4"/>
  <c r="Q293" i="4"/>
  <c r="M293" i="4"/>
  <c r="K293" i="4"/>
  <c r="Q292" i="4"/>
  <c r="M292" i="4"/>
  <c r="K292" i="4"/>
  <c r="Q291" i="4"/>
  <c r="M291" i="4"/>
  <c r="K291" i="4"/>
  <c r="Q290" i="4"/>
  <c r="M290" i="4"/>
  <c r="K290" i="4"/>
  <c r="Q289" i="4"/>
  <c r="M289" i="4"/>
  <c r="K289" i="4"/>
  <c r="Q288" i="4"/>
  <c r="M288" i="4"/>
  <c r="K288" i="4"/>
  <c r="Q287" i="4"/>
  <c r="M287" i="4"/>
  <c r="K287" i="4"/>
  <c r="Q286" i="4"/>
  <c r="M286" i="4"/>
  <c r="K286" i="4"/>
  <c r="Q285" i="4"/>
  <c r="M285" i="4"/>
  <c r="K285" i="4"/>
  <c r="Q284" i="4"/>
  <c r="M284" i="4"/>
  <c r="K284" i="4"/>
  <c r="Q283" i="4"/>
  <c r="M283" i="4"/>
  <c r="K283" i="4"/>
  <c r="Q282" i="4"/>
  <c r="M282" i="4"/>
  <c r="K282" i="4"/>
  <c r="Q281" i="4"/>
  <c r="M281" i="4"/>
  <c r="K281" i="4"/>
  <c r="Q280" i="4"/>
  <c r="M280" i="4"/>
  <c r="K280" i="4"/>
  <c r="Q279" i="4"/>
  <c r="M279" i="4"/>
  <c r="K279" i="4"/>
  <c r="Q278" i="4"/>
  <c r="M278" i="4"/>
  <c r="K278" i="4"/>
  <c r="Q277" i="4"/>
  <c r="M277" i="4"/>
  <c r="K277" i="4"/>
  <c r="Q276" i="4"/>
  <c r="M276" i="4"/>
  <c r="K276" i="4"/>
  <c r="Q275" i="4"/>
  <c r="M275" i="4"/>
  <c r="K275" i="4"/>
  <c r="Q274" i="4"/>
  <c r="M274" i="4"/>
  <c r="K274" i="4"/>
  <c r="Q273" i="4"/>
  <c r="M273" i="4"/>
  <c r="K273" i="4"/>
  <c r="Q272" i="4"/>
  <c r="M272" i="4"/>
  <c r="K272" i="4"/>
  <c r="Q271" i="4"/>
  <c r="M271" i="4"/>
  <c r="K271" i="4"/>
  <c r="Q270" i="4"/>
  <c r="M270" i="4"/>
  <c r="K270" i="4"/>
  <c r="Q269" i="4"/>
  <c r="M269" i="4"/>
  <c r="K269" i="4"/>
  <c r="Q268" i="4"/>
  <c r="M268" i="4"/>
  <c r="K268" i="4"/>
  <c r="Q267" i="4"/>
  <c r="M267" i="4"/>
  <c r="K267" i="4"/>
  <c r="Q266" i="4"/>
  <c r="M266" i="4"/>
  <c r="K266" i="4"/>
  <c r="Q265" i="4"/>
  <c r="M265" i="4"/>
  <c r="K265" i="4"/>
  <c r="Q264" i="4"/>
  <c r="M264" i="4"/>
  <c r="K264" i="4"/>
  <c r="Q263" i="4"/>
  <c r="M263" i="4"/>
  <c r="K263" i="4"/>
  <c r="Q262" i="4"/>
  <c r="M262" i="4"/>
  <c r="K262" i="4"/>
  <c r="Q261" i="4"/>
  <c r="M261" i="4"/>
  <c r="K261" i="4"/>
  <c r="Q260" i="4"/>
  <c r="M260" i="4"/>
  <c r="K260" i="4"/>
  <c r="Q259" i="4"/>
  <c r="M259" i="4"/>
  <c r="K259" i="4"/>
  <c r="Q258" i="4"/>
  <c r="M258" i="4"/>
  <c r="K258" i="4"/>
  <c r="Q257" i="4"/>
  <c r="M257" i="4"/>
  <c r="K257" i="4"/>
  <c r="Q256" i="4"/>
  <c r="M256" i="4"/>
  <c r="K256" i="4"/>
  <c r="Q255" i="4"/>
  <c r="M255" i="4"/>
  <c r="K255" i="4"/>
  <c r="Q254" i="4"/>
  <c r="M254" i="4"/>
  <c r="K254" i="4"/>
  <c r="Q253" i="4"/>
  <c r="M253" i="4"/>
  <c r="K253" i="4"/>
  <c r="Q252" i="4"/>
  <c r="M252" i="4"/>
  <c r="K252" i="4"/>
  <c r="Q251" i="4"/>
  <c r="M251" i="4"/>
  <c r="K251" i="4"/>
  <c r="Q250" i="4"/>
  <c r="M250" i="4"/>
  <c r="K250" i="4"/>
  <c r="Q249" i="4"/>
  <c r="M249" i="4"/>
  <c r="K249" i="4"/>
  <c r="Q248" i="4"/>
  <c r="M248" i="4"/>
  <c r="K248" i="4"/>
  <c r="Q247" i="4"/>
  <c r="M247" i="4"/>
  <c r="K247" i="4"/>
  <c r="Q246" i="4"/>
  <c r="M246" i="4"/>
  <c r="K246" i="4"/>
  <c r="Q245" i="4"/>
  <c r="M245" i="4"/>
  <c r="K245" i="4"/>
  <c r="Q244" i="4"/>
  <c r="M244" i="4"/>
  <c r="K244" i="4"/>
  <c r="Q243" i="4"/>
  <c r="M243" i="4"/>
  <c r="K243" i="4"/>
  <c r="Q242" i="4"/>
  <c r="M242" i="4"/>
  <c r="K242" i="4"/>
  <c r="Q241" i="4"/>
  <c r="M241" i="4"/>
  <c r="K241" i="4"/>
  <c r="Q240" i="4"/>
  <c r="M240" i="4"/>
  <c r="K240" i="4"/>
  <c r="Q239" i="4"/>
  <c r="M239" i="4"/>
  <c r="K239" i="4"/>
  <c r="Q238" i="4"/>
  <c r="M238" i="4"/>
  <c r="K238" i="4"/>
  <c r="Q237" i="4"/>
  <c r="M237" i="4"/>
  <c r="K237" i="4"/>
  <c r="Q236" i="4"/>
  <c r="M236" i="4"/>
  <c r="K236" i="4"/>
  <c r="Q235" i="4"/>
  <c r="M235" i="4"/>
  <c r="K235" i="4"/>
  <c r="Q234" i="4"/>
  <c r="M234" i="4"/>
  <c r="K234" i="4"/>
  <c r="Q233" i="4"/>
  <c r="M233" i="4"/>
  <c r="K233" i="4"/>
  <c r="Q232" i="4"/>
  <c r="M232" i="4"/>
  <c r="K232" i="4"/>
  <c r="Q231" i="4"/>
  <c r="M231" i="4"/>
  <c r="K231" i="4"/>
  <c r="Q230" i="4"/>
  <c r="M230" i="4"/>
  <c r="K230" i="4"/>
  <c r="Q229" i="4"/>
  <c r="M229" i="4"/>
  <c r="K229" i="4"/>
  <c r="Q228" i="4"/>
  <c r="M228" i="4"/>
  <c r="K228" i="4"/>
  <c r="Q227" i="4"/>
  <c r="M227" i="4"/>
  <c r="K227" i="4"/>
  <c r="Q226" i="4"/>
  <c r="M226" i="4"/>
  <c r="K226" i="4"/>
  <c r="Q225" i="4"/>
  <c r="M225" i="4"/>
  <c r="K225" i="4"/>
  <c r="Q224" i="4"/>
  <c r="M224" i="4"/>
  <c r="K224" i="4"/>
  <c r="Q223" i="4"/>
  <c r="M223" i="4"/>
  <c r="K223" i="4"/>
  <c r="Q222" i="4"/>
  <c r="M222" i="4"/>
  <c r="K222" i="4"/>
  <c r="Q221" i="4"/>
  <c r="M221" i="4"/>
  <c r="K221" i="4"/>
  <c r="Q220" i="4"/>
  <c r="M220" i="4"/>
  <c r="K220" i="4"/>
  <c r="Q219" i="4"/>
  <c r="M219" i="4"/>
  <c r="K219" i="4"/>
  <c r="Q218" i="4"/>
  <c r="M218" i="4"/>
  <c r="K218" i="4"/>
  <c r="Q217" i="4"/>
  <c r="M217" i="4"/>
  <c r="K217" i="4"/>
  <c r="Q216" i="4"/>
  <c r="M216" i="4"/>
  <c r="K216" i="4"/>
  <c r="Q215" i="4"/>
  <c r="M215" i="4"/>
  <c r="K215" i="4"/>
  <c r="Q214" i="4"/>
  <c r="M214" i="4"/>
  <c r="K214" i="4"/>
  <c r="Q213" i="4"/>
  <c r="M213" i="4"/>
  <c r="K213" i="4"/>
  <c r="Q212" i="4"/>
  <c r="M212" i="4"/>
  <c r="K212" i="4"/>
  <c r="Q211" i="4"/>
  <c r="M211" i="4"/>
  <c r="K211" i="4"/>
  <c r="Q210" i="4"/>
  <c r="M210" i="4"/>
  <c r="K210" i="4"/>
  <c r="Q209" i="4"/>
  <c r="M209" i="4"/>
  <c r="K209" i="4"/>
  <c r="Q208" i="4"/>
  <c r="M208" i="4"/>
  <c r="K208" i="4"/>
  <c r="Q207" i="4"/>
  <c r="M207" i="4"/>
  <c r="K207" i="4"/>
  <c r="Q206" i="4"/>
  <c r="M206" i="4"/>
  <c r="K206" i="4"/>
  <c r="Q205" i="4"/>
  <c r="M205" i="4"/>
  <c r="K205" i="4"/>
  <c r="Q204" i="4"/>
  <c r="M204" i="4"/>
  <c r="K204" i="4"/>
  <c r="Q203" i="4"/>
  <c r="M203" i="4"/>
  <c r="K203" i="4"/>
  <c r="Q202" i="4"/>
  <c r="M202" i="4"/>
  <c r="K202" i="4"/>
  <c r="Q201" i="4"/>
  <c r="M201" i="4"/>
  <c r="K201" i="4"/>
  <c r="Q200" i="4"/>
  <c r="M200" i="4"/>
  <c r="K200" i="4"/>
  <c r="Q199" i="4"/>
  <c r="M199" i="4"/>
  <c r="K199" i="4"/>
  <c r="Q198" i="4"/>
  <c r="M198" i="4"/>
  <c r="K198" i="4"/>
  <c r="Q197" i="4"/>
  <c r="M197" i="4"/>
  <c r="K197" i="4"/>
  <c r="Q196" i="4"/>
  <c r="M196" i="4"/>
  <c r="K196" i="4"/>
  <c r="Q195" i="4"/>
  <c r="M195" i="4"/>
  <c r="K195" i="4"/>
  <c r="Q194" i="4"/>
  <c r="M194" i="4"/>
  <c r="K194" i="4"/>
  <c r="Q193" i="4"/>
  <c r="M193" i="4"/>
  <c r="K193" i="4"/>
  <c r="Q192" i="4"/>
  <c r="M192" i="4"/>
  <c r="K192" i="4"/>
  <c r="Q191" i="4"/>
  <c r="M191" i="4"/>
  <c r="K191" i="4"/>
  <c r="Q190" i="4"/>
  <c r="M190" i="4"/>
  <c r="K190" i="4"/>
  <c r="Q189" i="4"/>
  <c r="M189" i="4"/>
  <c r="K189" i="4"/>
  <c r="Q188" i="4"/>
  <c r="M188" i="4"/>
  <c r="K188" i="4"/>
  <c r="Q187" i="4"/>
  <c r="M187" i="4"/>
  <c r="K187" i="4"/>
  <c r="Q186" i="4"/>
  <c r="M186" i="4"/>
  <c r="K186" i="4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M185" i="4"/>
  <c r="K185" i="4"/>
  <c r="M184" i="4"/>
  <c r="K184" i="4"/>
  <c r="M183" i="4"/>
  <c r="K183" i="4"/>
  <c r="M182" i="4"/>
  <c r="K182" i="4"/>
  <c r="M181" i="4"/>
  <c r="K181" i="4"/>
  <c r="M180" i="4"/>
  <c r="K180" i="4"/>
  <c r="M179" i="4"/>
  <c r="K179" i="4"/>
  <c r="M178" i="4"/>
  <c r="K178" i="4"/>
  <c r="M177" i="4"/>
  <c r="K177" i="4"/>
  <c r="M176" i="4"/>
  <c r="K176" i="4"/>
  <c r="M175" i="4"/>
  <c r="K175" i="4"/>
  <c r="M174" i="4"/>
  <c r="K174" i="4"/>
  <c r="M173" i="4"/>
  <c r="K173" i="4"/>
  <c r="M172" i="4"/>
  <c r="K172" i="4"/>
  <c r="M171" i="4"/>
  <c r="K171" i="4"/>
  <c r="M170" i="4"/>
  <c r="K170" i="4"/>
  <c r="M169" i="4"/>
  <c r="K169" i="4"/>
  <c r="M168" i="4"/>
  <c r="K168" i="4"/>
  <c r="M167" i="4"/>
  <c r="K167" i="4"/>
  <c r="M166" i="4"/>
  <c r="K166" i="4"/>
  <c r="M165" i="4"/>
  <c r="K165" i="4"/>
  <c r="M164" i="4"/>
  <c r="K164" i="4"/>
  <c r="M163" i="4"/>
  <c r="K163" i="4"/>
  <c r="M162" i="4"/>
  <c r="K162" i="4"/>
  <c r="M161" i="4"/>
  <c r="K161" i="4"/>
  <c r="M160" i="4"/>
  <c r="K160" i="4"/>
  <c r="M159" i="4"/>
  <c r="K159" i="4"/>
  <c r="M158" i="4"/>
  <c r="K158" i="4"/>
  <c r="M157" i="4"/>
  <c r="K157" i="4"/>
  <c r="M156" i="4"/>
  <c r="K156" i="4"/>
  <c r="M155" i="4"/>
  <c r="K155" i="4"/>
  <c r="M154" i="4"/>
  <c r="K154" i="4"/>
  <c r="M153" i="4"/>
  <c r="K153" i="4"/>
  <c r="M152" i="4"/>
  <c r="K152" i="4"/>
  <c r="M151" i="4"/>
  <c r="K151" i="4"/>
  <c r="M150" i="4"/>
  <c r="K150" i="4"/>
  <c r="M149" i="4"/>
  <c r="K149" i="4"/>
  <c r="M148" i="4"/>
  <c r="K148" i="4"/>
  <c r="M147" i="4"/>
  <c r="K147" i="4"/>
  <c r="M146" i="4"/>
  <c r="K146" i="4"/>
  <c r="M145" i="4"/>
  <c r="K145" i="4"/>
  <c r="M144" i="4"/>
  <c r="K144" i="4"/>
  <c r="M143" i="4"/>
  <c r="K143" i="4"/>
  <c r="M142" i="4"/>
  <c r="K142" i="4"/>
  <c r="M141" i="4"/>
  <c r="K141" i="4"/>
  <c r="M140" i="4"/>
  <c r="K140" i="4"/>
  <c r="M139" i="4"/>
  <c r="K139" i="4"/>
  <c r="M138" i="4"/>
  <c r="K138" i="4"/>
  <c r="M137" i="4"/>
  <c r="K137" i="4"/>
  <c r="M136" i="4"/>
  <c r="K136" i="4"/>
  <c r="M135" i="4"/>
  <c r="K135" i="4"/>
  <c r="M134" i="4"/>
  <c r="K134" i="4"/>
  <c r="M133" i="4"/>
  <c r="K133" i="4"/>
  <c r="M132" i="4"/>
  <c r="K132" i="4"/>
  <c r="M131" i="4"/>
  <c r="K131" i="4"/>
  <c r="M130" i="4"/>
  <c r="K130" i="4"/>
  <c r="M129" i="4"/>
  <c r="K129" i="4"/>
  <c r="M128" i="4"/>
  <c r="K128" i="4"/>
  <c r="M127" i="4"/>
  <c r="K127" i="4"/>
  <c r="M126" i="4"/>
  <c r="K126" i="4"/>
  <c r="M125" i="4"/>
  <c r="K125" i="4"/>
  <c r="M124" i="4"/>
  <c r="K124" i="4"/>
  <c r="M123" i="4"/>
  <c r="K123" i="4"/>
  <c r="M122" i="4"/>
  <c r="K122" i="4"/>
  <c r="M121" i="4"/>
  <c r="K121" i="4"/>
  <c r="M120" i="4"/>
  <c r="K120" i="4"/>
  <c r="M119" i="4"/>
  <c r="K119" i="4"/>
  <c r="M118" i="4"/>
  <c r="K118" i="4"/>
  <c r="M117" i="4"/>
  <c r="K117" i="4"/>
  <c r="M116" i="4"/>
  <c r="K116" i="4"/>
  <c r="M115" i="4"/>
  <c r="K115" i="4"/>
  <c r="M114" i="4"/>
  <c r="K114" i="4"/>
  <c r="M113" i="4"/>
  <c r="K113" i="4"/>
  <c r="M112" i="4"/>
  <c r="K112" i="4"/>
  <c r="M111" i="4"/>
  <c r="K111" i="4"/>
  <c r="M110" i="4"/>
  <c r="K110" i="4"/>
  <c r="M109" i="4"/>
  <c r="K109" i="4"/>
  <c r="M108" i="4"/>
  <c r="K108" i="4"/>
  <c r="M107" i="4"/>
  <c r="K107" i="4"/>
  <c r="M106" i="4"/>
  <c r="K106" i="4"/>
  <c r="M105" i="4"/>
  <c r="K105" i="4"/>
  <c r="M104" i="4"/>
  <c r="K104" i="4"/>
  <c r="M103" i="4"/>
  <c r="K103" i="4"/>
  <c r="M102" i="4"/>
  <c r="K102" i="4"/>
  <c r="M101" i="4"/>
  <c r="K101" i="4"/>
  <c r="M100" i="4"/>
  <c r="K100" i="4"/>
  <c r="M99" i="4"/>
  <c r="K99" i="4"/>
  <c r="M98" i="4"/>
  <c r="K98" i="4"/>
  <c r="M97" i="4"/>
  <c r="K97" i="4"/>
  <c r="M96" i="4"/>
  <c r="K96" i="4"/>
  <c r="M95" i="4"/>
  <c r="K95" i="4"/>
  <c r="M94" i="4"/>
  <c r="K94" i="4"/>
  <c r="M93" i="4"/>
  <c r="K93" i="4"/>
  <c r="M92" i="4"/>
  <c r="K92" i="4"/>
  <c r="M91" i="4"/>
  <c r="K91" i="4"/>
  <c r="M90" i="4"/>
  <c r="K90" i="4"/>
  <c r="M89" i="4"/>
  <c r="K89" i="4"/>
  <c r="M88" i="4"/>
  <c r="K88" i="4"/>
  <c r="M87" i="4"/>
  <c r="K87" i="4"/>
  <c r="M86" i="4"/>
  <c r="K86" i="4"/>
  <c r="M85" i="4"/>
  <c r="K85" i="4"/>
  <c r="M84" i="4"/>
  <c r="K84" i="4"/>
  <c r="M83" i="4"/>
  <c r="K83" i="4"/>
  <c r="M82" i="4"/>
  <c r="K82" i="4"/>
  <c r="M81" i="4"/>
  <c r="K81" i="4"/>
  <c r="M80" i="4"/>
  <c r="K80" i="4"/>
  <c r="M79" i="4"/>
  <c r="K79" i="4"/>
  <c r="M78" i="4"/>
  <c r="K78" i="4"/>
  <c r="M77" i="4"/>
  <c r="K77" i="4"/>
  <c r="M76" i="4"/>
  <c r="K76" i="4"/>
  <c r="M75" i="4"/>
  <c r="K75" i="4"/>
  <c r="M74" i="4"/>
  <c r="K74" i="4"/>
  <c r="M73" i="4"/>
  <c r="K73" i="4"/>
  <c r="M72" i="4"/>
  <c r="K72" i="4"/>
  <c r="M71" i="4"/>
  <c r="K71" i="4"/>
  <c r="M70" i="4"/>
  <c r="K70" i="4"/>
  <c r="M69" i="4"/>
  <c r="K69" i="4"/>
  <c r="M68" i="4"/>
  <c r="K68" i="4"/>
  <c r="M67" i="4"/>
  <c r="K67" i="4"/>
  <c r="M66" i="4"/>
  <c r="K66" i="4"/>
  <c r="M65" i="4"/>
  <c r="K65" i="4"/>
  <c r="M64" i="4"/>
  <c r="K64" i="4"/>
  <c r="M63" i="4"/>
  <c r="K63" i="4"/>
  <c r="M62" i="4"/>
  <c r="K62" i="4"/>
  <c r="M61" i="4"/>
  <c r="K61" i="4"/>
  <c r="M60" i="4"/>
  <c r="K60" i="4"/>
  <c r="M59" i="4"/>
  <c r="K59" i="4"/>
  <c r="M58" i="4"/>
  <c r="K58" i="4"/>
  <c r="M57" i="4"/>
  <c r="K57" i="4"/>
  <c r="M56" i="4"/>
  <c r="K56" i="4"/>
  <c r="M55" i="4"/>
  <c r="K55" i="4"/>
  <c r="M54" i="4"/>
  <c r="K54" i="4"/>
  <c r="M53" i="4"/>
  <c r="K53" i="4"/>
  <c r="M52" i="4"/>
  <c r="K52" i="4"/>
  <c r="M51" i="4"/>
  <c r="K51" i="4"/>
  <c r="M50" i="4"/>
  <c r="K50" i="4"/>
  <c r="M49" i="4"/>
  <c r="K49" i="4"/>
  <c r="M48" i="4"/>
  <c r="K48" i="4"/>
  <c r="M47" i="4"/>
  <c r="K47" i="4"/>
  <c r="M46" i="4"/>
  <c r="K46" i="4"/>
  <c r="M45" i="4"/>
  <c r="K45" i="4"/>
  <c r="M44" i="4"/>
  <c r="K44" i="4"/>
  <c r="M43" i="4"/>
  <c r="K43" i="4"/>
  <c r="M42" i="4"/>
  <c r="K42" i="4"/>
  <c r="M41" i="4"/>
  <c r="K41" i="4"/>
  <c r="M40" i="4"/>
  <c r="K40" i="4"/>
  <c r="M39" i="4"/>
  <c r="K39" i="4"/>
  <c r="M38" i="4"/>
  <c r="K38" i="4"/>
  <c r="M37" i="4"/>
  <c r="K37" i="4"/>
  <c r="M36" i="4"/>
  <c r="K36" i="4"/>
  <c r="M35" i="4"/>
  <c r="K35" i="4"/>
  <c r="M34" i="4"/>
  <c r="K34" i="4"/>
  <c r="M33" i="4"/>
  <c r="K33" i="4"/>
  <c r="M32" i="4"/>
  <c r="K32" i="4"/>
  <c r="M31" i="4"/>
  <c r="K31" i="4"/>
  <c r="M30" i="4"/>
  <c r="K30" i="4"/>
  <c r="M29" i="4"/>
  <c r="K29" i="4"/>
  <c r="M28" i="4"/>
  <c r="K28" i="4"/>
  <c r="M27" i="4"/>
  <c r="K27" i="4"/>
  <c r="M26" i="4"/>
  <c r="K26" i="4"/>
  <c r="M25" i="4"/>
  <c r="K25" i="4"/>
  <c r="M24" i="4"/>
  <c r="K24" i="4"/>
  <c r="M23" i="4"/>
  <c r="K23" i="4"/>
  <c r="M22" i="4"/>
  <c r="K22" i="4"/>
  <c r="M21" i="4"/>
  <c r="K21" i="4"/>
  <c r="M20" i="4"/>
  <c r="K20" i="4"/>
  <c r="M19" i="4"/>
  <c r="K19" i="4"/>
  <c r="K18" i="4"/>
  <c r="M18" i="4"/>
  <c r="P332" i="4" l="1"/>
  <c r="L18" i="4"/>
  <c r="L19" i="4" s="1"/>
  <c r="N18" i="4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l="1"/>
  <c r="L20" i="4"/>
  <c r="P19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N185" i="4" l="1"/>
  <c r="P20" i="4"/>
  <c r="L21" i="4"/>
  <c r="T2" i="5"/>
  <c r="T3" i="5"/>
  <c r="T4" i="3"/>
  <c r="S5" i="3"/>
  <c r="N186" i="4" l="1"/>
  <c r="L22" i="4"/>
  <c r="P21" i="4"/>
  <c r="T4" i="5"/>
  <c r="S6" i="3"/>
  <c r="T6" i="3" s="1"/>
  <c r="T5" i="3"/>
  <c r="N187" i="4" l="1"/>
  <c r="L23" i="4"/>
  <c r="P22" i="4"/>
  <c r="T6" i="5"/>
  <c r="T5" i="5"/>
  <c r="N188" i="4" l="1"/>
  <c r="L24" i="4"/>
  <c r="P23" i="4"/>
  <c r="P18" i="4"/>
  <c r="N189" i="4" l="1"/>
  <c r="P24" i="4"/>
  <c r="L25" i="4"/>
  <c r="N190" i="4" l="1"/>
  <c r="L26" i="4"/>
  <c r="P25" i="4"/>
  <c r="N191" i="4" l="1"/>
  <c r="L27" i="4"/>
  <c r="P26" i="4"/>
  <c r="N192" i="4" l="1"/>
  <c r="L28" i="4"/>
  <c r="P27" i="4"/>
  <c r="N193" i="4" l="1"/>
  <c r="P28" i="4"/>
  <c r="L29" i="4"/>
  <c r="N194" i="4" l="1"/>
  <c r="L30" i="4"/>
  <c r="P29" i="4"/>
  <c r="N195" i="4" l="1"/>
  <c r="L31" i="4"/>
  <c r="P30" i="4"/>
  <c r="N196" i="4" l="1"/>
  <c r="L32" i="4"/>
  <c r="P31" i="4"/>
  <c r="N197" i="4" l="1"/>
  <c r="P32" i="4"/>
  <c r="L33" i="4"/>
  <c r="N198" i="4" l="1"/>
  <c r="L34" i="4"/>
  <c r="P33" i="4"/>
  <c r="N199" i="4" l="1"/>
  <c r="L35" i="4"/>
  <c r="P34" i="4"/>
  <c r="N200" i="4" l="1"/>
  <c r="L36" i="4"/>
  <c r="P35" i="4"/>
  <c r="N201" i="4" l="1"/>
  <c r="P36" i="4"/>
  <c r="L37" i="4"/>
  <c r="N202" i="4" l="1"/>
  <c r="L38" i="4"/>
  <c r="P37" i="4"/>
  <c r="N203" i="4" l="1"/>
  <c r="L39" i="4"/>
  <c r="P38" i="4"/>
  <c r="N204" i="4" l="1"/>
  <c r="L40" i="4"/>
  <c r="P39" i="4"/>
  <c r="N205" i="4" l="1"/>
  <c r="P40" i="4"/>
  <c r="L41" i="4"/>
  <c r="N206" i="4" l="1"/>
  <c r="L42" i="4"/>
  <c r="P41" i="4"/>
  <c r="N207" i="4" l="1"/>
  <c r="L43" i="4"/>
  <c r="P42" i="4"/>
  <c r="N208" i="4" l="1"/>
  <c r="L44" i="4"/>
  <c r="P43" i="4"/>
  <c r="N209" i="4" l="1"/>
  <c r="P44" i="4"/>
  <c r="L45" i="4"/>
  <c r="N210" i="4" l="1"/>
  <c r="L46" i="4"/>
  <c r="P45" i="4"/>
  <c r="N211" i="4" l="1"/>
  <c r="L47" i="4"/>
  <c r="P46" i="4"/>
  <c r="N212" i="4" l="1"/>
  <c r="L48" i="4"/>
  <c r="P47" i="4"/>
  <c r="N213" i="4" l="1"/>
  <c r="P48" i="4"/>
  <c r="L49" i="4"/>
  <c r="N214" i="4" l="1"/>
  <c r="L50" i="4"/>
  <c r="P49" i="4"/>
  <c r="N215" i="4" l="1"/>
  <c r="L51" i="4"/>
  <c r="P50" i="4"/>
  <c r="N216" i="4" l="1"/>
  <c r="L52" i="4"/>
  <c r="P51" i="4"/>
  <c r="N217" i="4" l="1"/>
  <c r="P52" i="4"/>
  <c r="L53" i="4"/>
  <c r="N218" i="4" l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N288" i="4" s="1"/>
  <c r="L54" i="4"/>
  <c r="P53" i="4"/>
  <c r="N289" i="4" l="1"/>
  <c r="L55" i="4"/>
  <c r="P54" i="4"/>
  <c r="N290" i="4" l="1"/>
  <c r="L56" i="4"/>
  <c r="P55" i="4"/>
  <c r="N291" i="4" l="1"/>
  <c r="P56" i="4"/>
  <c r="L57" i="4"/>
  <c r="N292" i="4" l="1"/>
  <c r="L58" i="4"/>
  <c r="P57" i="4"/>
  <c r="N293" i="4" l="1"/>
  <c r="L59" i="4"/>
  <c r="P58" i="4"/>
  <c r="N294" i="4" l="1"/>
  <c r="L60" i="4"/>
  <c r="P59" i="4"/>
  <c r="N295" i="4" l="1"/>
  <c r="P60" i="4"/>
  <c r="L61" i="4"/>
  <c r="N296" i="4" l="1"/>
  <c r="L62" i="4"/>
  <c r="P61" i="4"/>
  <c r="N297" i="4" l="1"/>
  <c r="L63" i="4"/>
  <c r="P62" i="4"/>
  <c r="N298" i="4" l="1"/>
  <c r="L64" i="4"/>
  <c r="P63" i="4"/>
  <c r="N299" i="4" l="1"/>
  <c r="P64" i="4"/>
  <c r="L65" i="4"/>
  <c r="N300" i="4" l="1"/>
  <c r="L66" i="4"/>
  <c r="P65" i="4"/>
  <c r="N301" i="4" l="1"/>
  <c r="L67" i="4"/>
  <c r="P66" i="4"/>
  <c r="N302" i="4" l="1"/>
  <c r="L68" i="4"/>
  <c r="P67" i="4"/>
  <c r="N303" i="4" l="1"/>
  <c r="P68" i="4"/>
  <c r="L69" i="4"/>
  <c r="N304" i="4" l="1"/>
  <c r="L70" i="4"/>
  <c r="P69" i="4"/>
  <c r="N305" i="4" l="1"/>
  <c r="P70" i="4"/>
  <c r="L71" i="4"/>
  <c r="N306" i="4" l="1"/>
  <c r="L72" i="4"/>
  <c r="P71" i="4"/>
  <c r="N307" i="4" l="1"/>
  <c r="L73" i="4"/>
  <c r="P72" i="4"/>
  <c r="N308" i="4" l="1"/>
  <c r="L74" i="4"/>
  <c r="P73" i="4"/>
  <c r="N309" i="4" l="1"/>
  <c r="P74" i="4"/>
  <c r="L75" i="4"/>
  <c r="N310" i="4" l="1"/>
  <c r="L76" i="4"/>
  <c r="P75" i="4"/>
  <c r="N311" i="4" l="1"/>
  <c r="N312" i="4" s="1"/>
  <c r="N313" i="4" s="1"/>
  <c r="N314" i="4" s="1"/>
  <c r="N315" i="4" s="1"/>
  <c r="N316" i="4" s="1"/>
  <c r="N317" i="4" s="1"/>
  <c r="N318" i="4" s="1"/>
  <c r="N319" i="4" s="1"/>
  <c r="N320" i="4" s="1"/>
  <c r="N321" i="4" s="1"/>
  <c r="N322" i="4" s="1"/>
  <c r="N323" i="4" s="1"/>
  <c r="N324" i="4" s="1"/>
  <c r="N325" i="4" s="1"/>
  <c r="N326" i="4" s="1"/>
  <c r="N327" i="4" s="1"/>
  <c r="N328" i="4" s="1"/>
  <c r="N329" i="4" s="1"/>
  <c r="N330" i="4" s="1"/>
  <c r="N331" i="4" s="1"/>
  <c r="L77" i="4"/>
  <c r="P76" i="4"/>
  <c r="L78" i="4" l="1"/>
  <c r="P77" i="4"/>
  <c r="P78" i="4" l="1"/>
  <c r="L79" i="4"/>
  <c r="L80" i="4" l="1"/>
  <c r="P79" i="4"/>
  <c r="L81" i="4" l="1"/>
  <c r="P80" i="4"/>
  <c r="L82" i="4" l="1"/>
  <c r="P81" i="4"/>
  <c r="P82" i="4" l="1"/>
  <c r="L83" i="4"/>
  <c r="L84" i="4" l="1"/>
  <c r="P83" i="4"/>
  <c r="L85" i="4" l="1"/>
  <c r="P84" i="4"/>
  <c r="L86" i="4" l="1"/>
  <c r="P85" i="4"/>
  <c r="P86" i="4" l="1"/>
  <c r="L87" i="4"/>
  <c r="L88" i="4" l="1"/>
  <c r="P87" i="4"/>
  <c r="L89" i="4" l="1"/>
  <c r="P88" i="4"/>
  <c r="L90" i="4" l="1"/>
  <c r="P89" i="4"/>
  <c r="P90" i="4" l="1"/>
  <c r="L91" i="4"/>
  <c r="L92" i="4" l="1"/>
  <c r="P91" i="4"/>
  <c r="L93" i="4" l="1"/>
  <c r="P92" i="4"/>
  <c r="L94" i="4" l="1"/>
  <c r="P93" i="4"/>
  <c r="P94" i="4" l="1"/>
  <c r="L95" i="4"/>
  <c r="L96" i="4" l="1"/>
  <c r="P95" i="4"/>
  <c r="L97" i="4" l="1"/>
  <c r="P96" i="4"/>
  <c r="L98" i="4" l="1"/>
  <c r="P97" i="4"/>
  <c r="P98" i="4" l="1"/>
  <c r="L99" i="4"/>
  <c r="L100" i="4" l="1"/>
  <c r="P99" i="4"/>
  <c r="L101" i="4" l="1"/>
  <c r="P100" i="4"/>
  <c r="L102" i="4" l="1"/>
  <c r="P101" i="4"/>
  <c r="P102" i="4" l="1"/>
  <c r="L103" i="4"/>
  <c r="L104" i="4" l="1"/>
  <c r="P103" i="4"/>
  <c r="L105" i="4" l="1"/>
  <c r="P104" i="4"/>
  <c r="L106" i="4" l="1"/>
  <c r="P105" i="4"/>
  <c r="P106" i="4" l="1"/>
  <c r="L107" i="4"/>
  <c r="L108" i="4" l="1"/>
  <c r="P107" i="4"/>
  <c r="L109" i="4" l="1"/>
  <c r="P108" i="4"/>
  <c r="L110" i="4" l="1"/>
  <c r="P109" i="4"/>
  <c r="P110" i="4" l="1"/>
  <c r="L111" i="4"/>
  <c r="L112" i="4" l="1"/>
  <c r="P111" i="4"/>
  <c r="L113" i="4" l="1"/>
  <c r="P112" i="4"/>
  <c r="L114" i="4" l="1"/>
  <c r="P113" i="4"/>
  <c r="P114" i="4" l="1"/>
  <c r="L115" i="4"/>
  <c r="L116" i="4" l="1"/>
  <c r="P115" i="4"/>
  <c r="L117" i="4" l="1"/>
  <c r="P116" i="4"/>
  <c r="L118" i="4" l="1"/>
  <c r="P117" i="4"/>
  <c r="P118" i="4" l="1"/>
  <c r="L119" i="4"/>
  <c r="L120" i="4" l="1"/>
  <c r="P119" i="4"/>
  <c r="L121" i="4" l="1"/>
  <c r="P120" i="4"/>
  <c r="L122" i="4" l="1"/>
  <c r="P121" i="4"/>
  <c r="P122" i="4" l="1"/>
  <c r="L123" i="4"/>
  <c r="L124" i="4" l="1"/>
  <c r="P123" i="4"/>
  <c r="L125" i="4" l="1"/>
  <c r="P124" i="4"/>
  <c r="L126" i="4" l="1"/>
  <c r="P125" i="4"/>
  <c r="P126" i="4" l="1"/>
  <c r="L127" i="4"/>
  <c r="L128" i="4" l="1"/>
  <c r="P127" i="4"/>
  <c r="L129" i="4" l="1"/>
  <c r="P128" i="4"/>
  <c r="L130" i="4" l="1"/>
  <c r="P129" i="4"/>
  <c r="P130" i="4" l="1"/>
  <c r="L131" i="4"/>
  <c r="L132" i="4" l="1"/>
  <c r="P131" i="4"/>
  <c r="L133" i="4" l="1"/>
  <c r="P132" i="4"/>
  <c r="L134" i="4" l="1"/>
  <c r="P133" i="4"/>
  <c r="P134" i="4" l="1"/>
  <c r="L135" i="4"/>
  <c r="L136" i="4" l="1"/>
  <c r="P135" i="4"/>
  <c r="L137" i="4" l="1"/>
  <c r="P136" i="4"/>
  <c r="L138" i="4" l="1"/>
  <c r="P137" i="4"/>
  <c r="P138" i="4" l="1"/>
  <c r="L139" i="4"/>
  <c r="L140" i="4" l="1"/>
  <c r="P139" i="4"/>
  <c r="L141" i="4" l="1"/>
  <c r="P140" i="4"/>
  <c r="L142" i="4" l="1"/>
  <c r="P141" i="4"/>
  <c r="P142" i="4" l="1"/>
  <c r="L143" i="4"/>
  <c r="L144" i="4" l="1"/>
  <c r="P143" i="4"/>
  <c r="L145" i="4" l="1"/>
  <c r="P144" i="4"/>
  <c r="L146" i="4" l="1"/>
  <c r="P145" i="4"/>
  <c r="P146" i="4" l="1"/>
  <c r="L147" i="4"/>
  <c r="L148" i="4" l="1"/>
  <c r="P147" i="4"/>
  <c r="L149" i="4" l="1"/>
  <c r="P148" i="4"/>
  <c r="L150" i="4" l="1"/>
  <c r="P149" i="4"/>
  <c r="P150" i="4" l="1"/>
  <c r="L151" i="4"/>
  <c r="L152" i="4" l="1"/>
  <c r="P151" i="4"/>
  <c r="L153" i="4" l="1"/>
  <c r="P152" i="4"/>
  <c r="L154" i="4" l="1"/>
  <c r="P153" i="4"/>
  <c r="P154" i="4" l="1"/>
  <c r="L155" i="4"/>
  <c r="L156" i="4" l="1"/>
  <c r="P155" i="4"/>
  <c r="L157" i="4" l="1"/>
  <c r="P156" i="4"/>
  <c r="L158" i="4" l="1"/>
  <c r="P157" i="4"/>
  <c r="P158" i="4" l="1"/>
  <c r="L159" i="4"/>
  <c r="L160" i="4" l="1"/>
  <c r="P159" i="4"/>
  <c r="L161" i="4" l="1"/>
  <c r="P160" i="4"/>
  <c r="L162" i="4" l="1"/>
  <c r="P161" i="4"/>
  <c r="P162" i="4" l="1"/>
  <c r="L163" i="4"/>
  <c r="L164" i="4" l="1"/>
  <c r="P163" i="4"/>
  <c r="L165" i="4" l="1"/>
  <c r="P164" i="4"/>
  <c r="L166" i="4" l="1"/>
  <c r="P165" i="4"/>
  <c r="P166" i="4" l="1"/>
  <c r="L167" i="4"/>
  <c r="L168" i="4" l="1"/>
  <c r="P167" i="4"/>
  <c r="L169" i="4" l="1"/>
  <c r="P168" i="4"/>
  <c r="L170" i="4" l="1"/>
  <c r="P169" i="4"/>
  <c r="P170" i="4" l="1"/>
  <c r="L171" i="4"/>
  <c r="L172" i="4" l="1"/>
  <c r="P171" i="4"/>
  <c r="L173" i="4" l="1"/>
  <c r="P172" i="4"/>
  <c r="L174" i="4" l="1"/>
  <c r="P173" i="4"/>
  <c r="P174" i="4" l="1"/>
  <c r="L175" i="4"/>
  <c r="L176" i="4" l="1"/>
  <c r="P175" i="4"/>
  <c r="L177" i="4" l="1"/>
  <c r="P176" i="4"/>
  <c r="L178" i="4" l="1"/>
  <c r="P177" i="4"/>
  <c r="P178" i="4" l="1"/>
  <c r="L179" i="4"/>
  <c r="L180" i="4" l="1"/>
  <c r="P179" i="4"/>
  <c r="L181" i="4" l="1"/>
  <c r="P180" i="4"/>
  <c r="L182" i="4" l="1"/>
  <c r="P181" i="4"/>
  <c r="P182" i="4" l="1"/>
  <c r="L183" i="4"/>
  <c r="L184" i="4" l="1"/>
  <c r="P183" i="4"/>
  <c r="L185" i="4" l="1"/>
  <c r="P184" i="4"/>
  <c r="L186" i="4" l="1"/>
  <c r="P185" i="4"/>
  <c r="L187" i="4" l="1"/>
  <c r="P186" i="4"/>
  <c r="L188" i="4" l="1"/>
  <c r="P187" i="4"/>
  <c r="L189" i="4" l="1"/>
  <c r="P188" i="4"/>
  <c r="L190" i="4" l="1"/>
  <c r="P189" i="4"/>
  <c r="L191" i="4" l="1"/>
  <c r="P190" i="4"/>
  <c r="L192" i="4" l="1"/>
  <c r="P191" i="4"/>
  <c r="L193" i="4" l="1"/>
  <c r="P192" i="4"/>
  <c r="L194" i="4" l="1"/>
  <c r="P193" i="4"/>
  <c r="L195" i="4" l="1"/>
  <c r="P194" i="4"/>
  <c r="L196" i="4" l="1"/>
  <c r="P195" i="4"/>
  <c r="L197" i="4" l="1"/>
  <c r="P196" i="4"/>
  <c r="L198" i="4" l="1"/>
  <c r="P197" i="4"/>
  <c r="L199" i="4" l="1"/>
  <c r="P198" i="4"/>
  <c r="L200" i="4" l="1"/>
  <c r="P199" i="4"/>
  <c r="L201" i="4" l="1"/>
  <c r="P200" i="4"/>
  <c r="L202" i="4" l="1"/>
  <c r="P201" i="4"/>
  <c r="L203" i="4" l="1"/>
  <c r="P202" i="4"/>
  <c r="L204" i="4" l="1"/>
  <c r="P203" i="4"/>
  <c r="L205" i="4" l="1"/>
  <c r="P204" i="4"/>
  <c r="L206" i="4" l="1"/>
  <c r="P205" i="4"/>
  <c r="L207" i="4" l="1"/>
  <c r="P206" i="4"/>
  <c r="L208" i="4" l="1"/>
  <c r="P207" i="4"/>
  <c r="L209" i="4" l="1"/>
  <c r="P208" i="4"/>
  <c r="L210" i="4" l="1"/>
  <c r="P209" i="4"/>
  <c r="L211" i="4" l="1"/>
  <c r="P210" i="4"/>
  <c r="L212" i="4" l="1"/>
  <c r="P211" i="4"/>
  <c r="L213" i="4" l="1"/>
  <c r="P212" i="4"/>
  <c r="L214" i="4" l="1"/>
  <c r="P213" i="4"/>
  <c r="L215" i="4" l="1"/>
  <c r="P214" i="4"/>
  <c r="L216" i="4" l="1"/>
  <c r="P215" i="4"/>
  <c r="L217" i="4" l="1"/>
  <c r="P216" i="4"/>
  <c r="L218" i="4" l="1"/>
  <c r="P217" i="4"/>
  <c r="P218" i="4" l="1"/>
  <c r="L219" i="4"/>
  <c r="P219" i="4" l="1"/>
  <c r="L220" i="4"/>
  <c r="P220" i="4" l="1"/>
  <c r="L221" i="4"/>
  <c r="P221" i="4" l="1"/>
  <c r="L222" i="4"/>
  <c r="P222" i="4" l="1"/>
  <c r="L223" i="4"/>
  <c r="P223" i="4" l="1"/>
  <c r="L224" i="4"/>
  <c r="P224" i="4" l="1"/>
  <c r="L225" i="4"/>
  <c r="P225" i="4" l="1"/>
  <c r="L226" i="4"/>
  <c r="P226" i="4" l="1"/>
  <c r="L227" i="4"/>
  <c r="L228" i="4" s="1"/>
  <c r="P228" i="4" l="1"/>
  <c r="L229" i="4"/>
  <c r="P227" i="4"/>
  <c r="L230" i="4" l="1"/>
  <c r="P229" i="4"/>
  <c r="L231" i="4" l="1"/>
  <c r="P230" i="4"/>
  <c r="P231" i="4" l="1"/>
  <c r="L232" i="4"/>
  <c r="P232" i="4" l="1"/>
  <c r="L233" i="4"/>
  <c r="P233" i="4" l="1"/>
  <c r="L234" i="4"/>
  <c r="P234" i="4" l="1"/>
  <c r="L235" i="4"/>
  <c r="P235" i="4" l="1"/>
  <c r="L236" i="4"/>
  <c r="P236" i="4" l="1"/>
  <c r="L237" i="4"/>
  <c r="P237" i="4" l="1"/>
  <c r="L238" i="4"/>
  <c r="P238" i="4" l="1"/>
  <c r="L239" i="4"/>
  <c r="L240" i="4" l="1"/>
  <c r="P239" i="4"/>
  <c r="P240" i="4" l="1"/>
  <c r="L241" i="4"/>
  <c r="P241" i="4" l="1"/>
  <c r="L242" i="4"/>
  <c r="L243" i="4" l="1"/>
  <c r="P242" i="4"/>
  <c r="L244" i="4" l="1"/>
  <c r="P243" i="4"/>
  <c r="L245" i="4" l="1"/>
  <c r="P244" i="4"/>
  <c r="P245" i="4" l="1"/>
  <c r="L246" i="4"/>
  <c r="L247" i="4" l="1"/>
  <c r="P246" i="4"/>
  <c r="P247" i="4" l="1"/>
  <c r="L248" i="4"/>
  <c r="P248" i="4" l="1"/>
  <c r="L249" i="4"/>
  <c r="L250" i="4" l="1"/>
  <c r="P249" i="4"/>
  <c r="P250" i="4" l="1"/>
  <c r="L251" i="4"/>
  <c r="P251" i="4" l="1"/>
  <c r="L252" i="4"/>
  <c r="P252" i="4" l="1"/>
  <c r="L253" i="4"/>
  <c r="L254" i="4" s="1"/>
  <c r="P254" i="4" l="1"/>
  <c r="L255" i="4"/>
  <c r="P253" i="4"/>
  <c r="P255" i="4" l="1"/>
  <c r="L256" i="4"/>
  <c r="P256" i="4" l="1"/>
  <c r="L257" i="4"/>
  <c r="L258" i="4" l="1"/>
  <c r="P257" i="4"/>
  <c r="P258" i="4" l="1"/>
  <c r="L259" i="4"/>
  <c r="P259" i="4" l="1"/>
  <c r="L260" i="4"/>
  <c r="P260" i="4" l="1"/>
  <c r="L261" i="4"/>
  <c r="P261" i="4" l="1"/>
  <c r="L262" i="4"/>
  <c r="L263" i="4" l="1"/>
  <c r="P262" i="4"/>
  <c r="L264" i="4" l="1"/>
  <c r="P263" i="4"/>
  <c r="P264" i="4" l="1"/>
  <c r="L265" i="4"/>
  <c r="L266" i="4" l="1"/>
  <c r="P265" i="4"/>
  <c r="P266" i="4" l="1"/>
  <c r="L267" i="4"/>
  <c r="P267" i="4" l="1"/>
  <c r="L268" i="4"/>
  <c r="P268" i="4" l="1"/>
  <c r="L269" i="4"/>
  <c r="P269" i="4" l="1"/>
  <c r="L270" i="4"/>
  <c r="P270" i="4" l="1"/>
  <c r="L271" i="4"/>
  <c r="P271" i="4" l="1"/>
  <c r="L272" i="4"/>
  <c r="P272" i="4" l="1"/>
  <c r="L273" i="4"/>
  <c r="P273" i="4" l="1"/>
  <c r="L274" i="4"/>
  <c r="P274" i="4" l="1"/>
  <c r="L275" i="4"/>
  <c r="L276" i="4" l="1"/>
  <c r="P275" i="4"/>
  <c r="P276" i="4" l="1"/>
  <c r="L277" i="4"/>
  <c r="P277" i="4" l="1"/>
  <c r="L278" i="4"/>
  <c r="L279" i="4" l="1"/>
  <c r="P278" i="4"/>
  <c r="P279" i="4" l="1"/>
  <c r="L280" i="4"/>
  <c r="L281" i="4" l="1"/>
  <c r="P280" i="4"/>
  <c r="P281" i="4" l="1"/>
  <c r="L282" i="4"/>
  <c r="P282" i="4" l="1"/>
  <c r="L283" i="4"/>
  <c r="P283" i="4" l="1"/>
  <c r="L284" i="4"/>
  <c r="P284" i="4" l="1"/>
  <c r="L285" i="4"/>
  <c r="L286" i="4" l="1"/>
  <c r="P285" i="4"/>
  <c r="P286" i="4" l="1"/>
  <c r="L287" i="4"/>
  <c r="P287" i="4" l="1"/>
  <c r="L288" i="4"/>
  <c r="L289" i="4" l="1"/>
  <c r="P288" i="4"/>
  <c r="L290" i="4" l="1"/>
  <c r="P289" i="4"/>
  <c r="L291" i="4" l="1"/>
  <c r="P290" i="4"/>
  <c r="L292" i="4" l="1"/>
  <c r="P291" i="4"/>
  <c r="L293" i="4" l="1"/>
  <c r="P292" i="4"/>
  <c r="L294" i="4" l="1"/>
  <c r="P293" i="4"/>
  <c r="L295" i="4" l="1"/>
  <c r="P294" i="4"/>
  <c r="L296" i="4" l="1"/>
  <c r="P295" i="4"/>
  <c r="L297" i="4" l="1"/>
  <c r="P296" i="4"/>
  <c r="L298" i="4" l="1"/>
  <c r="P297" i="4"/>
  <c r="L299" i="4" l="1"/>
  <c r="P298" i="4"/>
  <c r="L300" i="4" l="1"/>
  <c r="P299" i="4"/>
  <c r="L301" i="4" l="1"/>
  <c r="P300" i="4"/>
  <c r="L302" i="4" l="1"/>
  <c r="P301" i="4"/>
  <c r="L303" i="4" l="1"/>
  <c r="P302" i="4"/>
  <c r="L304" i="4" l="1"/>
  <c r="P303" i="4"/>
  <c r="L305" i="4" l="1"/>
  <c r="P304" i="4"/>
  <c r="L306" i="4" l="1"/>
  <c r="P305" i="4"/>
  <c r="L307" i="4" l="1"/>
  <c r="P306" i="4"/>
  <c r="L308" i="4" l="1"/>
  <c r="P307" i="4"/>
  <c r="L309" i="4" l="1"/>
  <c r="P308" i="4"/>
  <c r="L310" i="4" l="1"/>
  <c r="P309" i="4"/>
  <c r="L311" i="4" l="1"/>
  <c r="P310" i="4"/>
  <c r="L312" i="4" l="1"/>
  <c r="P311" i="4"/>
  <c r="P312" i="4" l="1"/>
  <c r="L313" i="4"/>
  <c r="P313" i="4" l="1"/>
  <c r="L314" i="4"/>
  <c r="L315" i="4" l="1"/>
  <c r="P314" i="4"/>
  <c r="P315" i="4" l="1"/>
  <c r="L316" i="4"/>
  <c r="L317" i="4" l="1"/>
  <c r="P316" i="4"/>
  <c r="L318" i="4" l="1"/>
  <c r="P317" i="4"/>
  <c r="P318" i="4" l="1"/>
  <c r="L319" i="4"/>
  <c r="P319" i="4" l="1"/>
  <c r="L320" i="4"/>
  <c r="P320" i="4" l="1"/>
  <c r="L321" i="4"/>
  <c r="P321" i="4" l="1"/>
  <c r="L322" i="4"/>
  <c r="L323" i="4" l="1"/>
  <c r="P322" i="4"/>
  <c r="L324" i="4" l="1"/>
  <c r="P323" i="4"/>
  <c r="P324" i="4" l="1"/>
  <c r="L325" i="4"/>
  <c r="L326" i="4" l="1"/>
  <c r="P325" i="4"/>
  <c r="P326" i="4" l="1"/>
  <c r="L327" i="4"/>
  <c r="L328" i="4" l="1"/>
  <c r="P327" i="4"/>
  <c r="P328" i="4" l="1"/>
  <c r="L329" i="4"/>
  <c r="P329" i="4" l="1"/>
  <c r="L330" i="4"/>
  <c r="L331" i="4" l="1"/>
  <c r="P330" i="4"/>
  <c r="P331" i="4" l="1"/>
</calcChain>
</file>

<file path=xl/sharedStrings.xml><?xml version="1.0" encoding="utf-8"?>
<sst xmlns="http://schemas.openxmlformats.org/spreadsheetml/2006/main" count="743" uniqueCount="722">
  <si>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</si>
  <si>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</si>
  <si>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</si>
  <si>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</si>
  <si>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</si>
  <si>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</si>
  <si>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</si>
  <si>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</si>
  <si>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</si>
  <si>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</si>
  <si>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</si>
  <si>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</si>
  <si>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</si>
  <si>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</si>
  <si>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</si>
  <si>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</si>
  <si>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</si>
  <si>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</si>
  <si>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</si>
  <si>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</si>
  <si>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</si>
  <si>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</si>
  <si>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</si>
  <si>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</si>
  <si>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</si>
  <si>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</si>
  <si>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</si>
  <si>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</si>
  <si>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</si>
  <si>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</si>
  <si>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</si>
  <si>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</si>
  <si>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</si>
  <si>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</si>
  <si>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</si>
  <si>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</si>
  <si>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</si>
  <si>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</si>
  <si>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</si>
  <si>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</si>
  <si>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</si>
  <si>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</si>
  <si>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</si>
  <si>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</si>
  <si>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</si>
  <si>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</si>
  <si>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</si>
  <si>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</si>
  <si>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</si>
  <si>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</si>
  <si>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</si>
  <si>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</si>
  <si>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</si>
  <si>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</si>
  <si>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</si>
  <si>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</si>
  <si>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</si>
  <si>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</si>
  <si>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</si>
  <si>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</si>
  <si>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</si>
  <si>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</si>
  <si>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</si>
  <si>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</si>
  <si>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</si>
  <si>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</si>
  <si>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</si>
  <si>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</si>
  <si>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</si>
  <si>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</si>
  <si>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</si>
  <si>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</si>
  <si>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</si>
  <si>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</si>
  <si>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</si>
  <si>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</si>
  <si>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</si>
  <si>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</si>
  <si>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</si>
  <si>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</si>
  <si>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</si>
  <si>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</si>
  <si>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</si>
  <si>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</si>
  <si>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</si>
  <si>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</si>
  <si>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</si>
  <si>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</si>
  <si>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</si>
  <si>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</si>
  <si>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</si>
  <si>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</si>
  <si>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</si>
  <si>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</si>
  <si>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</si>
  <si>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</si>
  <si>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</si>
  <si>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</si>
  <si>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</si>
  <si>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</si>
  <si>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</si>
  <si>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</si>
  <si>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</si>
  <si>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</si>
  <si>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</si>
  <si>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</si>
  <si>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</si>
  <si>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</si>
  <si>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</si>
  <si>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</si>
  <si>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</si>
  <si>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</si>
  <si>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</si>
  <si>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</si>
  <si>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</si>
  <si>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</si>
  <si>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</si>
  <si>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</si>
  <si>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</si>
  <si>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</si>
  <si>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</si>
  <si>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</si>
  <si>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</si>
  <si>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</si>
  <si>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</si>
  <si>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</si>
  <si>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</si>
  <si>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</si>
  <si>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</si>
  <si>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</si>
  <si>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</si>
  <si>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</si>
  <si>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</si>
  <si>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</si>
  <si>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</si>
  <si>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</si>
  <si>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</si>
  <si>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</si>
  <si>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</si>
  <si>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</si>
  <si>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</si>
  <si>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</si>
  <si>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</si>
  <si>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</si>
  <si>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</si>
  <si>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</si>
  <si>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</si>
  <si>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</si>
  <si>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</si>
  <si>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</si>
  <si>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</si>
  <si>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</si>
  <si>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</si>
  <si>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</si>
  <si>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</si>
  <si>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</si>
  <si>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</si>
  <si>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</si>
  <si>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</si>
  <si>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</si>
  <si>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</si>
  <si>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</si>
  <si>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</si>
  <si>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</si>
  <si>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</si>
  <si>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</si>
  <si>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</si>
  <si>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</si>
  <si>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</si>
  <si>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</si>
  <si>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</si>
  <si>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</si>
  <si>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</si>
  <si>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</si>
  <si>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</si>
  <si>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</si>
  <si>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</si>
  <si>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</si>
  <si>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</si>
  <si>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</si>
  <si>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</si>
  <si>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</si>
  <si>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</si>
  <si>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</si>
  <si>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</si>
  <si>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</si>
  <si>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</si>
  <si>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</si>
  <si>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</si>
  <si>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</si>
  <si>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</si>
  <si>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</si>
  <si>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</si>
  <si>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</si>
  <si>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</si>
  <si>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</si>
  <si>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</si>
  <si>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</si>
  <si>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</si>
  <si>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</si>
  <si>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</si>
  <si>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</si>
  <si>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</si>
  <si>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</si>
  <si>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</si>
  <si>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</si>
  <si>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</si>
  <si>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</si>
  <si>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</si>
  <si>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</si>
  <si>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</si>
  <si>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</si>
  <si>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</si>
  <si>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</si>
  <si>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</si>
  <si>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</si>
  <si>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</si>
  <si>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</si>
  <si>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</si>
  <si>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</si>
  <si>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</si>
  <si>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</si>
  <si>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</si>
  <si>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</si>
  <si>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</si>
  <si>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</si>
  <si>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</si>
  <si>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</si>
  <si>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</si>
  <si>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</si>
  <si>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</si>
  <si>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</si>
  <si>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</si>
  <si>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</si>
  <si>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</si>
  <si>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</si>
  <si>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</si>
  <si>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</si>
  <si>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</si>
  <si>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</si>
  <si>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</si>
  <si>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</si>
  <si>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</si>
  <si>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</si>
  <si>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</si>
  <si>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</si>
  <si>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</si>
  <si>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</si>
  <si>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</si>
  <si>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</si>
  <si>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</si>
  <si>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</si>
  <si>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</si>
  <si>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</si>
  <si>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</si>
  <si>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</si>
  <si>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</si>
  <si>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</si>
  <si>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</si>
  <si>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</si>
  <si>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</si>
  <si>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</si>
  <si>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</si>
  <si>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</si>
  <si>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</si>
  <si>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</si>
  <si>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</si>
  <si>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</si>
  <si>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</si>
  <si>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</si>
  <si>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</si>
  <si>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</si>
  <si>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</si>
  <si>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</si>
  <si>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</si>
  <si>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</si>
  <si>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</si>
  <si>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</si>
  <si>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</si>
  <si>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</si>
  <si>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</si>
  <si>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</si>
  <si>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</si>
  <si>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</si>
  <si>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</si>
  <si>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</si>
  <si>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</si>
  <si>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</si>
  <si>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</si>
  <si>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</si>
  <si>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</si>
  <si>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</si>
  <si>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</si>
  <si>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</si>
  <si>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</si>
  <si>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</si>
  <si>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</si>
  <si>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</si>
  <si>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</si>
  <si>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</si>
  <si>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</si>
  <si>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</si>
  <si>
    <t>(*6,1,4,4,5,5,*1,1,6,8,2,9),(*5,8,8,3,2,*5,2,5,3,5,*2,3),(1,4,3,4,*7,*3,*4,1,*4,*6,*2,9),(4,8,8,*9,*5,*9,*6,3,5,8,*7,9),(2,5,7,*7,*8,*1,*3,2,8,5,*9,5),(9,8,*8,4,*9,*9,*2,6,7,6,*6,1),(2,*9,6,5,*4,*3,*9,4,2,3,4,8),(9,9,4,*2,8,*1,9,7,7,6,5,6),(6,8,5,*7,*8,*7,*9,*9,7,*1,*3,*5),(7,4,8,*4,*3,*3,*1,*5,*4,*7,*2,9),(9,4,6,*5,5,4,4,5,6,2,5,8),(7,8,3,*7,*1,*8,*8,*9,*5,*9,9,5)</t>
  </si>
  <si>
    <t>65,894,462,16,92364,3315472,69722,1579,3919317,83,9875,99,959881,75472,531</t>
  </si>
  <si>
    <t>(2,*9,*3,*7,*6,*1,*6,*1,*3,*7,*9,*2),(2,4,8,7,9,4,4,1,4,1,7,*2),(8,7,9,*2,*8,*7,*5,4,4,8,8,*7),(7,1,8,3,6,*7,*9,*9,4,*9,*8,*8),(7,9,3,7,6,2,5,3,9,5,9,*6),(8,*7,*1,*6,*6,*4,*6,8,4,3,3,*3),(*4,*4,*5,*7,*6,*3,*3,3,7,*3,9,*4),(3,*2,9,*5,1,*5,1,*7,9,*5,2,3),(*4,*1,7,2,5,*6,*9,6,5,4,5,9),(*4,*4,3,5,7,*6,2,9,1,9,6,8),(*6,*9,3,4,8,2,3,2,5,*6,*2,9),(*8,*5,1,6,3,9,2,5,3,8,1,3)</t>
  </si>
  <si>
    <t>55,646617,799,697,5782,4457633,65,53,8644,59412,62,4368722,97316,988,16739</t>
  </si>
  <si>
    <t>(6,1,9,8,5,3,4,2,8,5,*8,9),(*7,7,9,1,7,*9,*4,*3,2,*4,9,4),(*3,1,2,2,9,7,3,6,*8,8,1,3),(9,8,*6,*4,*2,*7,*7,*6,7,8,4,4),(2,7,1,*4,*1,*6,*8,7,6,6,6,9),(6,*6,*2,8,7,*1,4,9,8,2,4,*9),(9,*6,*2,*6,8,*5,*7,*2,*7,*2,*4,*7),(1,*5,*7,*5,1,3,9,7,*6,9,*1,*9),(3,*9,*5,*6,5,*3,4,*8,3,*5,5,3),(1,*5,*3,*9,*2,1,*6,8,9,*9,2,5),(1,4,*5,*4,2,*3,7,5,6,*4,9,6),(9,1,*8,4,3,2,7,7,8,4,1,5)</t>
  </si>
  <si>
    <t>6863,65694,7427275,77246,79,12,3248,848681,19,8535722,614,66595,594,349,73</t>
  </si>
  <si>
    <t>(8,8,1,8,3,1,3,5,8,2,7,7),(3,3,3,6,*2,8,6,2,*6,*4,*7,4),(*8,9,7,*3,1,1,8,7,4,*9,*6,6),(*7,*7,*9,4,1,2,*6,*7,2,*6,*4,2),(*3,*7,*4,9,3,*4,1,*8,6,*1,*6,1),(*4,*5,4,2,*9,8,9,*5,5,*5,*9,7),(1,*7,*8,*4,5,1,2,*9,8,*9,*1,7),(6,*8,*3,3,*8,*7,*2,*2,*4,*4,*5,1),(4,*2,6,5,9,*5,9,2,4,1,*2,6),(*1,2,5,8,4,*4,*4,*2,*3,*6,*6,7),(9,9,3,6,7,2,8,2,2,2,1,4),(5,6,7,6,7,4,8,5,1,9,5,3)</t>
  </si>
  <si>
    <t>79,87224,4691526,83,961594,932,8734,1234946,44236,7859,77578,874,45,746,76</t>
  </si>
  <si>
    <t>(*7,7,*4,*7,*8,*7,*5,*3,*6,8,4,8),(2,*9,*6,*6,*7,*7,*7,*7,*4,*2,6,8),(*3,8,*2,*8,*3,*1,*6,*6,*9,2,8,7),(6,2,5,*2,9,4,2,2,3,1,2,*5),(6,6,2,*8,*5,2,*6,9,1,2,2,*7),(6,4,6,1,7,*5,5,*7,3,4,4,*7),(1,4,5,*7,*3,*2,*6,*8,*6,1,3,*1),(6,3,4,6,7,4,2,9,2,7,4,*7),(5,9,2,6,5,5,5,1,5,4,5,2),(4,*7,*6,*7,*9,1,*5,*3,*3,*1,*8,4),(7,6,4,5,6,5,8,7,*4,*1,7,2),(3,2,2,6,2,4,1,2,3,3,6,3)</t>
  </si>
  <si>
    <t>46,71775,552297,85,81335,8623,96613,7679,732,283,676,93,2477776,6357874,14</t>
  </si>
  <si>
    <t>(6,3,2,*6,5,5,7,6,8,8,9,5),(5,9,9,5,*1,2,4,4,*9,4,3,2),(5,5,2,3,4,*6,*3,2,*7,1,*1,9),(7,*9,*1,*3,*4,*1,*4,*8,2,4,*2,5),(5,9,*8,*5,2,*4,7,*5,*1,6,*5,2),(*1,*7,*2,*6,*1,6,*8,6,*6,*5,*1,*8),(5,*4,3,4,7,*1,5,*8,*8,*9,*9,*2),(8,8,*6,9,9,*3,6,7,7,6,*6,*8),(5,4,5,*2,9,*5,7,7,8,3,*4,*4),(6,5,2,6,*6,5,*7,1,8,6,9,*6),(5,1,7,9,4,6,6,*2,*7,*8,5,2),(8,*1,*1,*6,*1,*1,*6,*9,*8,7,8,2)</t>
  </si>
  <si>
    <t>135,488,14319,4626,79,9611611,64828,5183,827,98,17261,85,78,654616,4691521</t>
  </si>
  <si>
    <t>(9,3,4,6,9,3,5,6,2,3,4,4),(1,4,3,6,7,5,2,7,4,4,8,9),(7,8,*6,*3,*3,*8,*4,*2,*9,*3,*6,*7),(7,7,*7,9,7,9,*8,*6,*5,*3,4,*6),(8,7,4,*9,1,8,*3,*6,*4,*2,*2,*7),(9,7,*4,4,*5,*2,*2,3,*9,*2,*2,*1),(7,5,9,*4,*5,*2,1,*4,1,5,7,*8),(9,1,5,*1,*4,*2,*5,4,*4,2,4,*6),(6,3,*7,2,*7,*9,*3,3,*1,8,6,*4),(8,*5,1,*8,*4,6,*5,*8,*9,7,1,*4),(9,8,2,2,*3,4,7,2,*9,3,4,3),(5,9,5,4,4,9,*6,*2,5,*7,6,7)</t>
  </si>
  <si>
    <t>571523,52597,19,8653,922,79832,87,244,7639248,6718644,62,336,44495,2246,43</t>
  </si>
  <si>
    <t>(4,6,9,1,6,*3,*2,*1,*5,*3,1,8),(9,8,*1,*4,*9,*3,*1,*2,*8,*2,2,*2),(2,3,1,*1,6,7,9,6,*1,2,*3,*2),(*4,5,*3,7,7,3,8,*2,4,*5,8,*6),(*7,*1,*8,*2,*1,*7,*9,*5,*1,2,3,8),(*4,*4,*5,*9,*3,*4,*9,*1,2,9,2,7),(*3,7,9,6,*4,*8,*2,1,8,8,3,1),(*1,6,6,*2,4,*9,*8,4,*4,8,5,8),(*1,2,*7,2,*3,8,9,9,*2,2,9,9),(7,*7,4,9,3,4,6,5,*1,6,9,6),(*6,2,8,4,8,5,4,2,*5,7,6,6),(3,7,9,5,8,9,6,8,*5,5,7,5)</t>
  </si>
  <si>
    <t>113474,4593,48,212,35123,91,131,3511293,226,42155,1493128,59712,44,2776,88</t>
  </si>
  <si>
    <t>(*9,*3,*4,*2,*1,*1,*6,1,7,1,3,4),(*5,7,*8,*6,*1,*4,*6,1,1,*1,1,3),(6,*1,7,6,6,4,9,4,*2,*4,6,4),(9,4,*5,4,9,*2,7,*1,1,*7,7,4),(4,6,6,3,3,6,*6,*2,9,*4,*3,3),(5,8,8,8,5,*1,*8,8,4,*9,*6,5),(9,5,5,9,*9,*4,*6,1,*5,*5,*7,2),(2,8,9,*7,*6,*8,3,*5,4,*3,*7,3),(8,6,*7,9,6,6,*6,1,*1,8,*6,3),(6,5,2,3,5,4,6,*9,4,8,*6,3),(5,1,8,3,9,5,*1,2,9,9,*3,1),(4,6,2,8,2,*4,*5,*7,*7,*4,7,7)</t>
  </si>
  <si>
    <t>3191,26,686,4741,96,515,98,284,35,6112439,64168,65593,45774,2161977,366776</t>
  </si>
  <si>
    <t>(8,*4,*8,*9,*5,6,4,9,4,1,2,5),(8,*5,1,1,2,8,*5,*6,*5,6,2,7),(1,5,*4,*4,2,4,7,*3,5,1,4,6),(2,1,8,*3,*7,7,5,*8,*2,9,4,3),(2,1,7,*8,*5,*8,8,2,*1,*3,9,7),(8,7,*2,7,2,*7,*4,6,3,5,*1,2),(9,*9,5,*6,1,*1,*6,*7,6,1,9,5),(9,1,*4,1,*9,2,*4,*4,*4,9,9,2),(*6,4,6,*7,2,*6,7,*7,4,*7,6,2),(*7,*8,2,6,*7,5,*4,8,*9,9,8,7),(3,*2,5,1,9,*7,3,*7,1,*7,8,9),(8,1,*9,8,*4,*5,*9,3,5,8,9,1)</t>
    <phoneticPr fontId="1"/>
  </si>
  <si>
    <t>28,68,4784747,5435764,3231,79741,26913,77749,746962,565,18,12,729,954,5984</t>
    <phoneticPr fontId="1"/>
  </si>
  <si>
    <t>(5,9,4,*6,*6,*5,*9,*7,*1,*6,1,8),(*6,8,2,6,2,4,5,2,6,1,2,3),(*7,2,3,3,*3,3,*5,*5,*8,*1,*5,*4),(*3,2,7,*8,1,2,4,7,6,3,1,*4),(*6,8,*7,7,8,7,7,1,8,5,*4,*7),(*4,*6,4,*4,7,*4,*6,*2,*1,6,*9,*3),(*2,7,2,9,*5,1,9,*4,*9,5,*8,*7),(*6,2,9,*1,*1,*7,*3,5,2,5,*9,8),(7,4,*3,9,2,*6,*3,4,7,*3,*8,7),(4,5,6,*2,*7,*8,8,8,*5,7,4,9),(6,3,8,*5,*4,6,*6,*5,3,3,6,9),(5,8,*7,7,7,6,7,*4,7,6,5,1)</t>
  </si>
  <si>
    <t>553,73744,264,4573,19,468,11,51855,6179566,6736426,757634,3876,48,89894,32</t>
  </si>
  <si>
    <t>(*6,*7,*5,*2,*4,*8,*8,*9,4,3,6,*2),(9,5,2,*5,*6,*7,*5,*6,4,*5,7,*7),(3,7,3,2,8,9,7,*2,4,*4,1,*7),(*5,*9,*2,*9,*6,7,2,*4,2,*3,8,7),(2,*9,5,*9,*1,*8,4,*1,3,*3,7,9),(*7,5,5,2,5,3,*3,7,2,*3,7,3),(4,6,5,1,7,3,6,*4,6,*6,4,1),(2,4,*2,5,*3,6,3,*6,*5,8,1,1),(3,9,3,*8,3,*5,*7,*4,*6,*7,4,1),(7,6,7,*6,*2,*2,*7,2,9,8,*3,6),(6,4,8,2,*3,*2,9,*2,*9,*9,4,*4),(9,1,2,3,9,*8,8,4,*4,5,1,3)</t>
  </si>
  <si>
    <t>42753,91,277,2822,64,69295,79,5765,543336,14269,836,6752488,672,8345734,99</t>
  </si>
  <si>
    <t>(2,6,1,8,4,5,9,3,6,*9,6,7),(2,5,4,3,9,9,3,9,*5,*3,5,4),(*2,*5,*1,*1,*9,7,1,*9,*1,*4,4,4),(*9,*9,*4,*5,9,1,*8,*3,7,*7,7,8),(3,5,3,2,7,2,*7,3,6,*5,4,9),(9,*7,5,3,2,*6,1,8,1,*2,7,8),(2,*3,3,5,*5,5,*6,5,1,*1,5,4),(9,*2,7,*4,3,*3,*9,6,*4,2,8,*2),(1,*3,1,8,7,8,*1,*7,1,*5,*3,*4),(7,*9,4,8,6,8,*7,*5,8,7,9,*7),(9,3,3,9,*6,*1,*9,9,*7,4,1,*5),(*7,*7,*7,*2,*7,*2,*9,6,1,*2,*2,*9)</t>
  </si>
  <si>
    <t>456731,196,22,9945,3157,35,73239,16,895,24759,25119,7772729,79,774,1257439</t>
  </si>
  <si>
    <t>(2,3,2,4,2,*8,5,*8,*4,*6,8,1),(1,3,*9,*6,*9,*2,1,*6,6,8,6,2),(*5,*9,*9,*4,*7,*1,*2,*4,3,7,4,2),(*6,*6,*2,6,4,*5,8,*6,2,8,3,6),(*1,*1,2,9,5,*4,*9,*2,*4,6,2,2),(2,5,8,1,*5,*3,1,*3,6,7,7,2),(7,7,8,*1,4,7,9,*7,9,6,6,3),(8,2,*6,4,5,2,7,*2,5,4,3,9),(9,*5,5,5,6,*6,*1,*7,*6,*7,*7,4),(9,5,7,2,7,2,7,7,1,7,9,3),(1,7,*6,*4,*3,*1,*9,*6,*5,6,4,8),(*2,*3,*7,*1,*3,*3,*1,5,9,2,4,3)</t>
  </si>
  <si>
    <t>2264,646237,969,5165,5691346,76716,82154,266,74995,27,77,2371331,11,93,846</t>
  </si>
  <si>
    <t>(1,7,5,1,1,*4,4,2,8,7,7,7),(6,8,9,6,9,1,*7,6,8,7,*6,2),(8,*3,*5,*8,9,8,7,*3,8,2,*2,3),(*6,*7,*2,*9,*8,*8,*5,6,*3,6,*3,3),(*6,*6,*4,*7,*1,*8,5,7,4,*7,*2,2),(4,7,3,7,3,6,1,*8,2,9,*8,*3),(9,3,4,8,2,3,*3,*1,2,6,*1,4),(2,3,*6,*8,1,*9,6,*9,3,*4,9,1),(1,*4,*2,*7,*3,*7,*5,*4,*1,1,6,4),(6,*5,2,*5,7,6,7,*4,1,*5,*7,*1),(3,5,1,*9,4,3,9,2,7,3,8,1),(6,5,4,3,9,*4,*2,*9,*9,*1,*9,*8)</t>
  </si>
  <si>
    <t>5889276,1413,175,938,82326,54,57372,47337,4299198,59,358,36,1944,817466,86</t>
  </si>
  <si>
    <t>(3,*5,9,6,4,6,7,3,1,3,2,3),(1,*4,*2,5,*8,*9,*5,*5,*9,*1,8,5),(9,*2,*9,6,2,*7,*3,*2,*3,*3,*4,*2),(1,3,*3,4,2,8,3,4,2,7,*5,2),(6,3,*6,7,9,2,4,4,*3,*3,6,*7),(*6,5,6,*5,9,6,6,*2,*8,6,9,*5),(*1,9,2,*1,1,9,*8,*3,4,3,8,*2),(*6,7,*4,*6,2,*1,*7,6,7,2,3,1),(*9,8,1,*9,5,*2,6,*6,4,4,1,4),(*3,3,1,*5,*2,7,*9,*2,8,3,7,6),(1,7,9,*5,3,7,5,*7,*7,*9,*9,*9),(4,3,*1,5,8,5,4,9,6,3,9,5)</t>
    <phoneticPr fontId="1"/>
  </si>
  <si>
    <t>1823,46,99977,59615,792,8372251,245,257,39616,195598,7323342,2936,62,35,78</t>
    <phoneticPr fontId="1"/>
  </si>
  <si>
    <t>(6,4,4,9,7,2,*9,*8,*7,*8,5,*4),(9,8,5,*3,2,*7,2,6,5,7,3,*6),(4,8,3,7,*1,5,*8,*8,2,*5,9,*6),(3,*2,*9,*8,3,*4,3,*7,*9,1,*8,*9),(*7,*7,*5,*7,*3,5,*8,*3,*3,9,5,*4),(2,*1,1,3,7,7,*1,*7,8,*9,*2,*2),(1,5,*4,4,1,*5,1,9,7,5,*6,4),(3,4,4,*6,*4,8,6,5,9,6,8,*3),(1,4,6,*9,*6,3,2,2,4,1,8,7),(8,*9,9,5,8,4,9,1,9,7,*8,7),(1,5,*2,8,3,*9,*6,*6,*5,*6,*7,*4),(1,2,1,*9,5,5,7,7,1,9,3,6)</t>
    <phoneticPr fontId="1"/>
  </si>
  <si>
    <t>9878,4765669,71466,88,584,22,81,298,929,31487,945139,3693787,68,7573,49664</t>
    <phoneticPr fontId="1"/>
  </si>
  <si>
    <t>(4,7,9,7,*3,*8,*6,*9,*2,*7,*9,5),(3,9,*6,*3,6,*8,*6,*3,*1,*9,*1,8),(6,*5,7,*3,*6,3,5,8,4,4,2,2),(*4,2,9,1,*5,*1,3,3,3,*4,1,4),(2,4,3,3,*1,*7,*5,5,6,*8,3,7),(2,8,3,8,3,*4,9,*1,6,*6,7,2),(5,*4,*2,*1,*9,3,*6,1,6,*5,7,4),(8,3,1,7,9,*7,3,*8,1,*6,5,8),(3,1,6,4,*5,*2,2,5,*5,*3,4,9),(6,7,7,7,5,2,*2,*6,*6,*5,*5,3),(7,5,5,2,2,9,9,4,*9,*3,6,*8),(7,9,6,8,9,*4,*7,*9,*5,*3,6,7)</t>
    <phoneticPr fontId="1"/>
  </si>
  <si>
    <t>7536,47953,25,36151,662,456,67,863191,58641,39,9729683,84,3536568,9124,358</t>
    <phoneticPr fontId="1"/>
  </si>
  <si>
    <t>再開時間</t>
    <rPh sb="0" eb="4">
      <t>サイカイジカン</t>
    </rPh>
    <phoneticPr fontId="1"/>
  </si>
  <si>
    <t>(6,5,8,1,2,6,4,6,5,*1,1,9),(*3,*4,*3,*7,*6,*4,*7,7,1,*2,3,4),(9,8,*6,*1,*8,*6,*6,*2,6,*6,*8,6),(*3,*2,*7,*3,*1,2,9,7,9,*7,*4,3),(*7,8,3,5,8,*8,*7,*1,1,*5,*2,7),(8,2,8,7,8,7,1,8,8,2,2,*5),(9,3,2,3,*9,*3,5,9,8,5,6,*4),(*3,9,6,4,2,*7,4,5,3,*6,9,*2),(*7,3,7,6,2,7,*7,5,1,*7,8,*2),(*9,4,3,*8,*8,8,1,*6,1,*6,6,*7),(3,2,4,3,1,2,4,1,*5,*9,1,*8),(3,*8,*3,3,8,5,*5,*2,5,*3,6,*4)</t>
  </si>
  <si>
    <t>12675,88,178,35677,93,4872245,32731,52,7467343,973,248,618662,6769,7627,83</t>
  </si>
  <si>
    <t>(2,*5,5,9,2,*3,5,6,8,7,4,9),(4,*4,7,7,6,*4,8,1,6,3,1,7),(8,*4,8,3,7,*6,3,5,6,*6,*2,*9),(2,*1,2,1,4,*2,8,8,6,6,*9,4),(8,*7,1,3,*9,8,2,*9,*9,4,*4,*8),(4,*7,3,3,4,*6,*7,2,*7,*9,*8,*5),(6,4,5,6,1,*7,*1,*1,*3,*1,*7,*4),(5,5,2,1,8,*3,1,5,*6,*2,*9,*9),(6,1,9,*6,2,*3,8,4,*6,*2,*5,*9),(9,6,6,*3,9,*2,1,5,3,*3,*7,*7),(7,*8,4,*6,6,*6,1,1,1,*8,*3,2),(9,7,*8,*7,5,*3,3,3,9,*1,4,1)</t>
  </si>
  <si>
    <t>896,35,6367,4879573,66379,2643,9122381,36233,88,92,11,169,79945,977,544177</t>
  </si>
  <si>
    <t>(*8,*6,*9,*1,*2,*6,*9,7,6,1,2,8),(1,3,4,6,3,4,*9,4,2,3,1,2),(4,1,2,*4,*7,8,*9,4,6,8,5,4),(3,6,4,*6,*5,*5,*5,*7,*6,*6,2,9),(5,*2,*6,9,*7,4,7,9,5,*7,2,*7),(*9,*8,*9,9,*1,6,7,*1,*3,*3,3,*5),(*3,*4,7,*2,*4,1,2,2,4,*3,2,*7),(5,1,*9,4,*5,9,3,1,8,*4,5,*8),(8,9,6,*3,5,7,4,*8,3,*8,8,*6),(8,8,*7,4,*3,4,*9,9,1,6,1,7),(3,*7,3,5,6,*4,5,5,9,*5,*1,*1),(4,1,*6,*6,*7,*9,*7,8,3,6,8,1)</t>
  </si>
  <si>
    <t>77,45,99,714,13,38667,67555,843376,75786,511,9621968,7433949,9766,894,5292</t>
  </si>
  <si>
    <t>(*7,8,3,3,2,4,8,5,*7,4,2,3),(1,*6,*5,*5,*8,*1,*9,*2,*3,1,6,2),(5,6,*6,3,8,8,4,7,*1,3,5,9),(6,7,6,*4,3,8,5,*1,*4,*4,7,7),(*6,*8,*1,*3,*3,*9,*8,*3,*3,*2,*5,*6),(9,9,*4,*7,*8,*8,*8,*4,9,8,1,3),(8,*4,3,6,9,8,9,2,*3,2,2,8),(2,*9,8,*8,*7,9,6,1,*5,6,1,*8),(3,*2,8,*1,*3,*4,9,8,*7,5,1,*8),(4,4,*4,9,6,*8,3,7,*8,3,7,*5),(4,9,2,1,4,1,*9,2,6,5,7,*7),(4,1,5,5,1,6,4,*1,9,6,9,*4)</t>
  </si>
  <si>
    <t>3291855,294,44,417,134,6523389,488874,47588,8753,73,93,11,83891,4667,68133</t>
  </si>
  <si>
    <t>(8,*3,7,7,7,*7,6,*2,*4,6,8,9),(5,*5,2,8,*4,*4,*9,*6,*8,*4,*6,8),(8,*2,9,*7,*9,1,9,1,3,3,9,1),(9,6,*9,2,*5,*4,8,9,3,*9,5,7),(9,*6,8,8,*2,*7,*7,6,*1,7,6,2),(6,5,3,*6,*5,*9,*6,*1,8,3,*5,7),(1,4,1,*3,*1,*8,*1,6,1,*4,7,7),(1,4,7,*4,*5,*2,*2,2,*6,*1,2,6),(4,2,8,*7,*4,3,*9,*7,8,*2,5,6),(8,6,7,*7,*7,8,*6,7,9,*7,*8,5),(9,9,5,*4,7,*2,1,7,8,*3,9,1),(9,5,8,*6,2,2,3,6,1,7,6,8)</t>
  </si>
  <si>
    <t>38,6347746,119,648694,67645,8974,352,65,82,3721,74796,4515259,24,92167,772</t>
  </si>
  <si>
    <t>(6,7,6,3,1,6,3,2,4,*2,2,*6),(9,5,6,8,*5,*5,5,1,6,*6,1,*8),(8,8,8,9,*7,*8,9,5,4,*4,5,*5),(*1,7,4,*2,4,7,*8,1,8,*8,5,*3),(*7,*7,*7,*3,*8,*1,7,*8,4,6,6,*1),(*1,6,*4,7,*3,*2,3,7,*9,4,7,*4),(9,*3,*2,7,1,*4,7,7,6,*1,6,5),(9,*6,*7,4,1,*8,8,3,7,2,*8,7),(9,1,*4,1,*8,*8,*6,*4,*1,*9,*4,3),(6,7,5,3,*4,*1,*6,*8,*6,4,9,3),(3,1,1,*9,*8,*7,*7,*6,2,6,7,8),(7,*5,*6,3,7,5,*3,*9,9,1,9,7)</t>
  </si>
  <si>
    <t>5888918,93,377,83,47247,1248,8864194,98776,41686,56,413586,275,8462,63,171</t>
  </si>
  <si>
    <t>(9,8,3,6,3,9,9,2,1,1,6,8),(6,*5,*1,*8,2,8,*7,1,*4,*3,*4,*1),(9,8,1,*4,2,7,4,*1,3,9,5,*4),(*7,5,1,*9,*7,*4,8,2,*1,9,2,*8),(*7,5,6,*5,4,9,*5,2,5,*3,7,*3),(*3,3,8,*2,6,3,6,*3,8,2,1,*6),(7,8,3,*6,8,3,3,6,*8,*9,3,*6),(2,*3,*4,*8,*9,*2,*7,*5,7,*1,*5,*2),(9,7,4,*1,*1,*8,*6,*6,*4,4,*8,*5),(1,1,5,3,*1,*6,*3,*8,*6,5,1,9),(5,3,1,4,6,*7,3,2,8,1,5,2),(8,4,8,6,9,4,*8,8,8,4,2,6)</t>
  </si>
  <si>
    <t>4341,67,74,81835,773,3489275,62594,16386,3117,91,466811,78,1483662,518,955</t>
  </si>
  <si>
    <t>(6,7,6,5,1,6,1,4,1,6,9,2),(1,*6,9,5,9,*6,3,*3,5,9,1,9),(3,*4,8,7,3,*1,2,*2,*9,*6,*6,*7),(5,*4,1,5,*1,*3,*2,2,7,5,6,9),(7,*1,6,7,4,*4,7,1,*5,*2,*6,*6),(*8,*9,*4,7,1,4,1,6,*7,*3,6,*6),(*8,*1,*2,6,*4,2,*1,5,*1,*4,8,*1),(2,*3,*5,*1,9,*7,*3,*3,*5,*6,9,*4),(9,3,*2,6,*7,5,5,5,*4,*6,9,7),(1,*2,3,*4,1,9,9,5,8,*7,1,4),(*7,1,*5,9,4,3,5,6,2,*7,2,4),(1,*4,*4,*4,*5,1,7,9,6,*5,8,7)</t>
  </si>
  <si>
    <t>3466775,76692,132,454771,544,3191446,33,45175,6134,425,93,26,88,4166,72214</t>
  </si>
  <si>
    <t>(*3,*6,*8,*1,*7,*6,*6,*3,*6,*3,*4,*8),(7,9,4,*8,*3,6,6,2,4,1,7,3),(4,4,5,*9,9,9,*2,6,9,7,8,2),(*9,7,5,*1,6,*7,1,3,5,6,7,3),(*9,5,*6,*5,8,7,6,9,8,7,7,*6),(*6,2,*1,*1,*5,*4,3,8,4,4,*4,*9),(*8,3,6,4,6,*5,1,3,9,*2,9,*7),(5,7,*4,*6,*7,2,6,3,*4,9,3,*4),(4,4,*8,6,7,8,5,*8,3,4,8,*7),(6,2,*7,5,1,1,*9,6,*4,*1,*7,*9),(4,7,*1,*3,*1,*4,*2,*2,*2,*3,6,8),(3,7,6,7,8,7,3,1,5,4,7,9)</t>
  </si>
  <si>
    <t>639,3222413,27,15198,36817,974796,98424,4871,511,9968,714,8436366,54,67,56</t>
  </si>
  <si>
    <t>(2,6,9,7,1,*3,*5,*6,*8,*2,*2,*7),(*9,5,1,6,2,*9,*7,8,*8,*7,5,3),(9,*6,3,1,4,5,4,8,3,6,5,8),(5,4,*2,9,7,5,6,1,5,8,5,9),(1,7,*2,*2,*2,*9,*8,*8,*5,2,3,3),(3,2,4,5,*1,5,3,2,7,7,2,4),(2,5,5,*2,*4,2,3,*1,*9,*2,*9,4),(5,2,*5,*1,*6,*9,5,1,2,9,6,1),(*8,5,*9,*3,*1,*3,*4,7,*4,3,4,9),(*8,6,2,6,9,3,2,1,*6,*7,4,6),(*2,*2,*5,*8,*5,*8,*6,9,1,*9,3,6),(6,*5,*6,*5,*4,*3,*9,*3,4,3,*9,2)</t>
  </si>
  <si>
    <t>1929,699,24,74,58892,78,222,288,5169,12269,93134,3568227,3934565,258586,79</t>
  </si>
  <si>
    <t>(4,5,5,5,5,3,2,2,7,8,4,7),(*1,*3,*9,*4,*3,*1,*6,7,8,6,9,3),(*5,5,4,4,4,9,1,6,2,4,8,3),(*3,*8,2,3,9,3,6,3,7,6,5,8),(*9,*8,3,1,7,*3,*9,*2,*5,*7,7,3),(3,*7,6,1,8,*3,*6,*4,*7,*4,1,7),(1,*7,2,5,2,*1,1,6,9,*7,6,*9),(7,*6,8,5,*6,*2,5,*5,1,*6,5,*5),(7,*6,9,*4,*9,7,*2,*4,*1,*3,*4,*3),(7,*6,*6,*1,*5,*9,*5,*6,*5,5,7,*3),(8,4,1,2,*5,7,2,9,*1,8,5,*6),(4,1,3,5,*8,6,5,9,*7,7,4,9)</t>
  </si>
  <si>
    <t>4134,36474,58,39257,8877666,42,95336,45,6461,367,539,192,71,159565,1394316</t>
  </si>
  <si>
    <t>(9,4,7,9,8,9,3,4,2,3,3,1),(4,6,8,1,6,9,4,7,9,1,3,9),(6,5,9,6,9,3,3,*2,1,7,*4,4),(7,3,*8,*1,*2,*5,*4,2,*5,*8,3,6),(3,6,*1,*4,1,8,3,4,*9,*6,1,5),(4,*6,*9,3,*9,*6,*7,*3,9,4,*1,4),(*8,*9,*5,9,9,6,*6,2,1,2,2,*9),(5,6,7,*3,3,*4,7,2,6,4,*4,4),(1,8,9,1,*6,*2,9,5,7,*3,4,9),(6,6,*5,*2,*7,*5,*4,*8,*2,5,2,2),(*1,*2,*5,*8,*5,*2,*2,*1,*8,*3,*3,*9),(7,5,4,*7,*7,*7,*9,*8,7,3,2,1)</t>
  </si>
  <si>
    <t>41,845725,91,769,45218,9432,356,598,1258522,26,4893646,77798,1652,93381,24</t>
  </si>
  <si>
    <t>(4,1,6,8,2,8,1,*9,*7,*6,*6,*2),(5,5,4,3,7,2,9,7,4,1,2,3),(5,4,3,1,*5,*1,*7,*4,4,3,4,3),(8,*7,*5,*4,*3,*8,*3,*3,7,3,*9,8),(*5,*1,*7,*6,*3,*3,*1,*7,*1,*8,6,1),(6,7,8,*4,8,8,*9,1,*6,*6,8,9),(6,2,5,7,*4,*5,9,*3,3,6,*3,5),(1,*4,*9,*2,*8,6,*9,2,7,7,9,*8),(*1,*7,*8,*7,*3,*7,*4,*2,*7,*3,*9,1),(6,1,7,*5,8,2,4,6,3,9,7,8),(5,9,3,7,*5,*9,*9,6,*3,6,9,5),(8,5,8,3,6,9,1,9,*2,9,1,8)</t>
  </si>
  <si>
    <t>1336715,937,44,294,7247378,55,83613,5174,99,754383,26679,7958,23,871,93689</t>
  </si>
  <si>
    <t>(*2,*4,*3,*8,*8,*3,*4,5,5,4,2,*6),(5,6,7,1,1,1,8,8,1,3,9,*7),(5,3,4,*4,9,5,*2,3,1,3,8,*7),(5,9,1,*3,*1,4,6,*9,7,9,7,*5),(3,*2,2,*8,5,*4,9,*9,*7,6,*1,*9),(1,*1,8,*9,3,3,*9,9,9,*4,4,*8),(8,*2,5,*2,*3,*6,3,*3,8,2,7,4),(3,*2,*2,*5,5,*7,5,3,*1,3,4,3),(7,*1,*5,*6,9,*5,3,4,6,*7,*3,4),(7,8,*6,*5,6,*6,*3,1,3,8,*5,9),(9,4,*5,*9,5,1,*7,*7,*1,*1,*3,*6),(1,9,2,*8,2,2,9,7,3,3,6,9)</t>
  </si>
  <si>
    <t>4149317,4792,657,12212,983,5652,37,71136,2438834,53,19,699,895776,32,89565</t>
  </si>
  <si>
    <t>(*5,7,5,3,2,2,6,7,6,9,9,*5),(*7,*4,*7,*5,*7,*5,*9,3,4,4,9,*3),(*7,*2,*4,*9,*2,*8,4,3,8,8,1,*8),(6,3,*6,*4,*9,*4,8,*8,8,6,8,*2),(*2,*5,*6,*1,*5,*2,4,*5,4,5,4,*2),(2,3,9,4,2,2,8,5,1,9,1,*8),(8,6,4,9,2,1,7,1,3,5,5,*7),(4,1,7,6,*1,*4,*7,*2,*3,3,*8,2),(7,4,8,*6,6,8,6,7,8,6,*8,1),(6,1,3,*6,5,9,6,4,3,5,6,2),(6,5,5,6,*2,*8,*2,*8,*9,*8,*6,9),(7,3,4,*6,*7,*7,*1,*5,*6,*2,*5,*5)</t>
  </si>
  <si>
    <t>85,7822835,6898282,55265,24928,475,256152,577,66,6771,88,723,41,6494,95757</t>
  </si>
  <si>
    <t>(4,8,*2,*5,*9,*9,*6,9,1,2,1,5),(*8,3,1,9,*8,1,1,1,*5,3,4,8),(*6,*2,8,*7,9,5,3,*2,9,3,2,*6),(*7,*6,5,7,9,8,*5,*5,*3,1,5,*5),(6,*4,7,3,*1,*5,3,9,3,6,*9,*2),(8,*2,*7,*4,*8,*6,*4,*6,4,9,*4,*3),(2,*5,8,*5,6,8,*7,7,5,2,*1,*3),(3,*9,2,5,*1,8,*4,5,3,9,*6,7),(2,*8,*1,3,4,*7,8,*6,4,2,*4,1),(2,8,2,6,6,6,*1,9,*2,9,*2,3),(2,5,1,1,4,5,3,*2,*7,*4,*6,7),(6,5,*5,*4,*3,1,7,9,*7,6,1,2)</t>
  </si>
  <si>
    <t>77,64684,69952,35,87,4624,217157,761,867,5255,18,543,2642598,9416426,65233</t>
  </si>
  <si>
    <t>(7,8,1,1,9,3,*1,*2,1,2,4,2),(4,2,5,7,2,1,*7,*6,3,4,9,8),(7,6,*3,7,5,2,*3,*1,2,9,1,*7),(*1,*6,*4,*2,*3,5,*1,*3,2,*8,1,*8),(7,4,3,2,*3,2,3,*4,*7,*4,2,*3),(1,6,*6,*1,*6,8,3,*5,*5,4,2,*6),(4,8,2,7,7,*8,9,*4,6,2,6,*7),(8,1,6,3,*9,6,3,5,1,2,*4,3),(9,9,2,*7,1,6,6,9,6,*6,9,2),(2,3,*3,*6,*6,*1,*8,*2,*6,2,3,3),(*2,6,4,7,*4,*7,*6,*4,*1,*5,*9,2),(8,*9,3,4,*8,*8,5,*1,*6,*8,*3,*8)</t>
  </si>
  <si>
    <t>75,628166,323,84,616,1731,2613454,8973,746,78367,88,4764159,32461,29,16838</t>
  </si>
  <si>
    <t>(8,7,*4,*6,*3,*8,*5,*5,*5,3,3,3),(1,7,4,9,2,7,6,*7,*5,*8,3,6),(*6,*8,4,8,1,7,*3,1,5,8,4,8),(*6,2,3,3,2,*8,*1,*4,*5,*4,*5,7),(1,*1,6,*1,*7,4,5,2,9,1,6,*7),(1,5,*5,4,8,*5,*6,5,5,6,8,*5),(1,2,3,*2,7,*9,*3,*2,5,5,5,*4),(*1,*8,5,*5,3,*4,*7,*7,*9,*7,*9,*8),(2,5,*4,2,7,*2,*4,*4,2,*7,5,*3),(2,*4,2,8,3,*7,*3,*7,3,*6,4,*9),(*7,7,8,5,9,*9,9,*8,8,3,8,8),(9,9,2,8,5,*3,9,2,8,2,7,9)</t>
  </si>
  <si>
    <t>979,14545,68,5942793,387,7445,27478,81,4638555,6152,754839,17,63743,857,67</t>
  </si>
  <si>
    <t>(8,*4,8,6,1,*5,*7,*8,*7,1,1,3),(2,*5,*9,3,3,*9,*3,*5,*8,*4,6,4),(3,*1,2,*5,9,*5,*6,*4,*5,*6,*6,*8),(8,3,1,8,*7,9,1,*6,5,8,4,1),(3,8,4,2,2,*5,3,*7,*4,2,*6,5),(8,1,3,5,4,6,*1,*4,*6,*9,6,*5),(*9,5,7,9,3,4,5,*1,*4,4,*2,6),(*3,9,1,2,*1,9,5,*1,5,*5,9,6),(*7,2,6,8,*3,5,8,*2,*8,4,7,5),(*3,5,*6,*2,1,1,4,*7,9,*3,4,4),(*5,5,4,7,4,1,5,6,8,8,*7,8),(7,1,5,5,9,*6,*9,*5,*2,*3,*9,*1)</t>
  </si>
  <si>
    <t>6741127,932596,26,53739,31,95751,154,16,5645668,5787,371,93584,5258,44,694</t>
  </si>
  <si>
    <t>(4,8,*9,*6,*4,*2,*6,*1,*6,*1,7,2),(2,6,5,*8,5,*6,*9,*1,*4,*2,1,1),(*3,3,8,*7,*8,7,8,*1,1,8,3,7),(2,*6,7,*5,6,*4,6,1,4,*4,*5,9),(*1,*4,*1,8,7,5,*1,4,1,3,5,4),(*3,7,*3,*6,8,*7,*6,*9,*8,6,*9,8),(*6,*9,2,*9,*7,6,*2,*3,6,4,*7,6),(*2,3,*2,6,*8,*2,7,1,8,3,*3,7),(*7,6,3,*6,7,*1,*4,6,4,5,8,3),(*9,6,6,8,*2,7,*7,*9,3,3,1,5),(1,2,6,2,2,*2,*1,5,7,4,9,3),(2,2,8,7,2,*5,4,1,8,5,2,7)</t>
  </si>
  <si>
    <t>8967,34,54,24196,972631,519,57,291,98841,32,4276163,973,92622,1616246,7189</t>
  </si>
  <si>
    <t>(4,5,5,3,*8,9,8,3,4,2,1,6),(7,*4,4,9,1,*4,2,*5,*3,*2,*1,3),(4,2,*7,9,4,7,*5,1,4,9,2,5),(*8,8,7,*5,4,*1,5,*4,5,7,*7,*3),(5,*4,8,*1,*1,2,*6,3,*1,4,9,*5),(5,3,*8,6,*7,*2,2,*9,7,*3,9,*7),(4,9,5,5,7,*5,*4,4,*7,9,*2,*8),(8,3,8,*8,*1,7,*9,*6,9,3,*1,*4),(7,3,*8,3,6,*6,9,*4,4,5,*3,*6),(5,*9,*1,7,*9,*3,*5,8,7,1,*4,7),(7,*1,3,7,8,*8,5,*5,8,9,*5,1),(*2,1,3,9,2,*3,1,2,*7,6,*8,8)</t>
  </si>
  <si>
    <t>935,1697,75561,85431,81,89,6421574,2314548,848,211,357846,38,37,17594,5321</t>
  </si>
  <si>
    <t>(1,4,3,1,4,*6,*8,*6,*4,*2,1,2),(7,2,7,*5,*1,*6,*6,7,8,3,8,8),(1,*7,8,2,5,*9,*8,*1,*3,*9,*5,6),(2,*1,*3,*1,*4,*8,*7,*4,*4,*9,2,3),(3,*7,*3,6,6,*7,3,6,8,5,*3,5),(2,*9,*5,7,*2,1,*8,6,2,9,3,*2),(5,*4,*4,*2,1,*1,*2,4,7,*9,3,5),(2,1,*3,2,*6,9,*4,6,*8,2,3,2),(6,1,1,*4,1,1,*9,*9,6,*1,*1,7),(5,*8,*1,3,*3,*7,*3,6,4,1,*7,*7),(4,*8,*2,5,6,5,4,2,5,5,3,7),(*6,5,6,*7,6,1,2,2,2,7,7,9)</t>
  </si>
  <si>
    <t>2493,34533,1487449,593189,6814618,227,32,6615,989,73,11,77,24686,49717,728</t>
  </si>
  <si>
    <t>(6,2,9,8,5,1,*6,9,*6,*1,*9,*2),(9,*6,*1,*4,*2,*3,*6,*2,6,3,8,2),(9,7,1,*2,9,6,*9,8,*7,9,7,6),(9,7,*5,*7,*4,5,*5,8,*1,*7,1,5),(7,*8,4,1,7,*8,*2,6,*9,6,*9,4),(2,8,*2,5,1,7,9,7,*6,*3,3,*1),(8,9,*5,*1,*8,9,3,6,*9,2,6,4),(7,6,5,*8,*3,9,8,3,*6,2,9,8),(9,5,*6,9,*9,*6,2,3,*5,8,2,6),(7,9,*5,*7,*5,*7,*7,2,*9,2,*7,5),(9,6,5,9,3,8,9,7,6,6,*1,5),(6,*9,*6,*3,*4,*3,*7,*9,1,6,6,9)</t>
    <phoneticPr fontId="1"/>
  </si>
  <si>
    <t>688,1969659,32416,9734369,821367,27791,5757,48,71,985,66952,93,47,522,6192</t>
    <phoneticPr fontId="1"/>
  </si>
  <si>
    <t>(7,1,7,3,*1,6,6,5,9,*5,2,7),(3,6,1,5,9,*9,2,2,8,*9,3,6),(7,6,3,5,*3,1,*5,9,9,*7,5,3),(*6,1,*5,*7,*4,*7,*1,*6,*6,*3,7,2),(*9,1,*3,9,3,*9,8,6,*6,1,1,6),(*2,1,4,1,6,7,*8,*6,*9,*1,*2,*7),(*8,7,9,6,5,3,8,*2,4,3,3,6),(*1,*1,4,7,5,7,6,8,6,6,*7,*7),(7,*6,*6,*5,*2,*1,9,7,8,7,8,1),(2,*8,*7,*2,*1,*2,*5,*2,6,9,9,5),(5,7,3,*4,*1,*6,*6,*9,*9,8,7,2),(3,9,*3,*3,*2,*5,*2,*5,*8,9,3,9)</t>
  </si>
  <si>
    <t>11,75,12566,66591,795,63,69127,4982,8525233,174,2521278,77,996614,6928,373</t>
  </si>
  <si>
    <t>(1,1,3,7,9,3,*8,*2,*1,*3,2,2),(4,8,8,3,9,3,8,*8,*2,*3,*4,*1),(4,3,2,4,*7,*4,*8,*1,5,7,8,7),(1,6,1,9,3,6,7,1,6,1,1,3),(9,*6,9,3,7,3,8,*9,*8,7,6,3),(*4,*8,*1,*2,*4,7,7,*9,*3,2,9,8),(4,*3,6,7,2,4,*7,*8,*7,3,2,9),(7,3,8,9,1,*6,*2,3,*7,7,7,1),(9,*2,*2,*2,*7,*9,*1,*2,7,3,8,1),(1,7,4,7,*9,*5,*9,*1,*8,*9,*3,6),(6,*8,1,1,6,7,*5,*2,*5,*6,*9,7),(*5,*2,*8,*4,*5,*2,4,1,9,1,3,3)</t>
  </si>
  <si>
    <t>773,7481,26,738,99,78,48124,254825,683,88,14328,52569,3981959,3128,2197222</t>
  </si>
  <si>
    <t>85,24513,6494824,87,7175,418,55,2332973,24125,489,43,79463,938917,972,1742</t>
  </si>
  <si>
    <t>(6,2,8,6,4,9,7,9,6,3,4,1),(9,7,8,4,3,3,8,2,7,5,*9,2),(7,*8,*7,3,8,7,5,1,5,2,*8,6),(8,1,*4,*3,*2,*4,*7,*1,3,4,*4,2),(2,7,*2,*6,*2,*3,*3,*2,*9,*7,*3,7),(*9,1,*8,*4,9,2,3,3,*5,*5,5,1),(*3,*5,*4,*9,6,4,4,*4,9,*8,4,7),(*8,*2,*9,*7,2,4,3,*3,2,8,2,2),(*9,*1,*4,5,5,2,1,2,8,5,4,5),(*1,*4,*6,3,*3,*1,*5,*4,*2,1,9,6),(*7,*2,4,*8,*1,*4,5,9,4,7,6,9),(*5,*7,*1,*7,*2,*7,*9,8,8,9,3,7)</t>
  </si>
  <si>
    <t>(8,3,5,5,1,1,2,4,*7,6,2,8),(5,*9,*5,*7,*7,*1,*9,*4,9,6,4,*8),(9,8,*3,6,5,3,*4,2,2,3,7,*7),(2,6,3,*8,*8,*1,6,6,5,1,8,*3),(7,5,7,1,*9,*2,4,*3,6,*5,3,6),(*9,3,*1,*2,2,7,4,*1,5,*9,6,2),(5,*1,*2,*7,4,4,1,*5,*1,*5,4,3),(*9,2,*7,8,8,6,2,*3,*1,*1,*9,3),(*7,4,5,*8,2,5,*9,1,*8,*6,*1,8),(*6,1,4,2,*1,*9,8,9,*6,7,*6,7),(*5,*5,*1,*9,*8,*3,5,3,*4,1,8,7),(*1,6,4,9,8,2,*3,5,*3,8,1,5)</t>
  </si>
  <si>
    <t>15679,3513,346811,21,72,99,9178133,57719,378,82,938,7441922,916,5198,59516</t>
  </si>
  <si>
    <t>(1,7,8,1,*4,*4,*6,*5,*7,*4,*8,5),(1,5,7,*2,9,3,9,7,8,2,1,7),(*7,1,*5,3,9,8,*6,6,9,9,5,3),(*7,*7,2,9,3,*6,9,7,3,8,3,6),(*6,*2,*7,*8,*1,4,*1,*1,6,*9,2,7),(*3,*6,4,*4,1,9,*9,*1,*6,*5,8,3),(*1,*7,*4,2,8,*1,*8,*4,*4,1,9,7),(*2,*3,9,9,5,2,*8,8,2,*2,9,8),(1,*9,8,1,1,*5,*9,*2,*3,*2,2,5),(*4,8,1,2,6,2,5,3,5,2,7,3),(6,2,9,5,1,4,3,1,5,6,5,2),(5,4,9,*4,*5,*1,*6,*8,*3,*9,5,3)</t>
  </si>
  <si>
    <t>58469,44166,752,72673,191,1142,18,9386154,8475644,9232,49,78,739,95,776312</t>
  </si>
  <si>
    <t>(1,5,8,9,6,3,6,4,5,9,4,1),(*8,9,2,*8,5,2,5,8,8,3,1,*2),(9,*8,7,*1,2,7,2,2,5,7,*1,*3),(6,9,1,*3,1,1,7,3,7,*5,6,*4),(5,5,5,5,*4,5,3,7,*7,2,1,*9),(5,2,9,6,*1,1,3,*1,4,5,3,*2),(1,*4,3,7,*8,*4,*3,8,*2,6,8,*6),(*1,*1,*4,*8,*7,*9,*3,*3,7,9,1,*5),(*9,*1,*7,4,*4,*5,*1,*6,4,5,*5,6),(*1,*6,*8,*1,*3,*4,*9,*1,*4,5,8,*2),(3,*5,*6,9,5,9,6,8,6,*3,5,4),(7,8,6,*7,*5,*1,*4,*4,4,5,*6,6)</t>
  </si>
  <si>
    <t>6874,4187,191,436436,4931751,813,84,41165,231,25,88,19431,75144,53,5629432</t>
  </si>
  <si>
    <t>(9,2,*8,*9,*2,*8,2,6,2,1,1,1),(9,1,6,4,*6,9,2,2,4,8,6,8),(9,9,8,*6,6,9,6,6,8,8,9,7),(8,5,*8,2,5,7,*7,1,3,1,*5,4),(6,*8,*1,8,9,*7,1,9,6,9,*8,9),(4,9,3,*5,*7,*4,*8,*4,*5,*2,*8,1),(1,7,5,*6,*3,5,7,5,9,*6,*1,3),(7,8,*3,1,1,*7,2,2,6,*3,*4,8),(7,*2,*5,*9,*2,9,*2,4,*9,*3,*1,1),(*2,7,1,9,*5,6,7,*7,8,*7,1,3),(4,3,6,*2,*3,*7,*2,*2,*6,*2,2,5),(*8,*7,*8,*3,*8,*9,*5,*4,1,*3,2,7)</t>
  </si>
  <si>
    <t>2273,295,892,33723,12,87838,4845,56,86688,97,52,459,7776322,141885,1537276</t>
  </si>
  <si>
    <t>(8,3,2,4,5,2,*2,5,*5,*5,2,6),(6,*7,*6,*1,7,8,1,*1,*2,9,5,4),(4,9,2,2,9,*1,5,*9,*8,4,3,4),(*5,2,7,6,*4,*4,*3,5,4,*3,3,3),(*6,2,6,3,5,*7,6,9,1,1,*8,8),(*7,6,*6,6,9,2,*7,*8,8,2,*3,1),(*4,2,6,*3,9,6,*3,*8,1,1,*5,*2),(*3,2,2,5,*8,*3,5,4,*2,3,*9,*4),(*7,4,4,5,*2,*2,2,4,1,*5,*4,*8),(*1,5,1,*8,7,2,9,8,9,6,2,*6),(5,5,*3,4,1,6,5,3,9,*7,*9,*3),(1,*5,6,*1,*1,*2,*4,*4,*9,2,5,5)</t>
  </si>
  <si>
    <t>8332835,55,98,2836,3594,41,167,21838,24863,47782,79,592,392,112449,5674371</t>
  </si>
  <si>
    <t>(5,8,1,5,6,2,1,*1,*5,*9,*8,*1),(6,5,*9,*8,*1,*1,*6,1,5,8,7,8),(*2,*4,*8,*3,*2,*6,*2,7,1,9,*9,6),(*8,9,1,*6,*6,*3,*6,*9,*6,*8,*5,*4),(*9,*8,1,8,7,2,2,2,7,5,*2,*2),(*1,4,*9,1,*7,4,7,8,6,2,*3,*2),(*7,4,2,*2,*9,*9,1,3,9,3,*6,3),(4,3,9,3,6,*4,*8,*5,*5,9,*6,6),(3,3,8,8,2,1,6,*1,8,3,7,3),(*5,*1,*7,*9,*1,8,6,7,*7,3,7,6),(2,2,6,5,2,4,9,6,2,*4,3,9),(7,1,3,3,8,5,9,9,*1,*5,*8,9)</t>
  </si>
  <si>
    <t>8892,51791,719,99,94,851,7981,18951,55,224,952366,8696366,2483262,47,98116</t>
  </si>
  <si>
    <t>(6,4,4,2,7,1,6,2,*6,8,5,6),(8,*9,*9,*1,*9,*5,4,*9,9,4,4,5),(2,*8,9,1,1,1,*2,7,5,5,5,9),(*2,*6,9,3,3,*2,*4,*9,7,*1,*4,6),(*7,*7,8,9,*5,2,*7,4,1,1,5,7),(*3,*5,9,*3,*8,*9,*3,*2,*2,*5,*7,*2),(*5,*1,2,8,7,2,9,9,*2,7,3,*6),(*6,8,6,*8,*4,4,5,6,*6,*9,9,*7),(*8,*9,*9,7,2,4,1,5,2,*7,*2,*4),(*8,6,7,3,5,3,4,9,7,9,*7,2),(7,2,*8,*5,7,*1,*2,*6,*1,*1,*2,*7),(2,6,5,6,8,5,6,2,1,2,1,3)</t>
  </si>
  <si>
    <t>99195,94,752,41,86751,899,893,6777,48,352296,2735688,85,4762,1261127,29227</t>
  </si>
  <si>
    <t>21781,92,55521,49,489,6686,4414241,8551,35,6676281,64,881,257,65982,836166</t>
  </si>
  <si>
    <t>(7,*1,9,2,6,*8,3,4,9,8,9,8),(7,3,*8,2,*4,7,*3,2,4,1,4,6),(7,*1,*1,*2,1,*4,9,*6,4,3,*1,1),(4,*8,*2,*1,*6,1,*1,4,*1,*5,6,3),(*8,4,7,*5,*8,*7,5,*4,*5,*6,5,8),(2,8,3,5,*5,*7,*6,*8,*2,*9,*6,4),(8,8,4,6,*2,*5,*1,*6,2,*4,3,9),(9,6,3,1,*5,1,8,*2,5,2,*1,2),(6,9,*6,2,*7,1,2,*4,*8,*9,*3,*5),(4,*4,3,8,9,9,4,9,5,6,8,5),(6,9,4,7,5,8,1,5,*9,*2,3,1),(*6,*8,*6,*6,6,*6,*5,*9,*8,*2,7,8)</t>
  </si>
  <si>
    <t>(*3,*5,8,6,*7,2,1,8,5,6,9,8),(4,*1,*5,4,2,*3,5,8,*5,*2,*7,5),(8,5,*5,*4,1,9,*1,3,3,4,*8,2),(6,9,6,*4,*3,7,7,*9,*6,2,*1,9),(1,6,*9,*3,*3,*4,2,*7,7,7,*8,9),(1,7,8,*2,5,*7,*8,1,5,1,*9,7),(*2,7,8,*6,*8,*3,*3,*8,8,8,1,7),(*8,6,1,6,*2,*3,*2,*8,*9,*8,2,9),(*7,4,9,6,*6,7,*1,3,2,*1,1,7),(*5,8,2,2,7,*8,9,*9,7,9,*1,2),(2,3,*8,*2,*6,*4,*4,*4,*4,8,2,1),(6,6,1,9,5,2,5,9,8,6,3,1)</t>
  </si>
  <si>
    <t>2898,86,23876,782,4913829,88,43455,326,52,119,826444,7319,3154373,78189,57</t>
  </si>
  <si>
    <t>(8,4,3,2,8,*4,*2,*1,4,5,6,3),(7,5,7,9,*5,*8,*3,5,*9,*3,*2,*3),(1,9,9,*9,*9,*7,1,1,2,1,5,9),(7,4,*2,*2,*8,1,*2,*3,*2,4,2,6),(2,*5,*2,*9,1,5,7,6,3,3,3,1),(*3,*6,*4,*5,1,8,*5,*2,*4,*9,*7,7),(*8,*9,3,3,*1,5,5,8,*1,*5,8,2),(*5,5,6,1,2,*6,*6,*5,*3,5,*4,6),(6,1,5,6,3,6,*6,2,*9,*9,*3,5),(1,*4,*1,*1,*7,*7,2,*2,*4,2,*8,9),(6,3,5,9,5,2,1,2,2,7,6,2),(3,6,1,5,6,7,5,3,8,*6,*3,2)</t>
    <phoneticPr fontId="1"/>
  </si>
  <si>
    <t>79425,1378949,4931,77114,459253,99,26615,3239,56,232,2892268,36,58,438,753</t>
    <phoneticPr fontId="1"/>
  </si>
  <si>
    <t>(*6,9,2,6,*7,*8,*5,*4,*2,9,6,6),(*1,8,2,1,1,5,5,2,2,5,4,8),(*2,*6,*2,*5,1,9,8,8,1,7,6,8),(*2,9,7,8,7,8,1,9,3,*4,5,4),(*6,1,*2,2,8,7,2,7,*4,3,4,3),(*8,2,*7,5,*1,8,*4,*9,5,9,4,*5),(*4,7,*1,2,2,*7,3,3,*9,8,1,*3),(4,2,6,3,3,9,*6,3,1,*8,8,*3),(*6,*3,*7,3,4,3,3,*1,*9,7,*7,*2),(7,1,*8,*5,*8,*7,*3,*3,*2,3,3,*8),(5,2,1,*3,*8,*3,*1,*6,*7,*4,7,6),(7,4,7,7,9,*8,*6,*8,*1,*6,8,9)</t>
    <phoneticPr fontId="1"/>
  </si>
  <si>
    <t>4761383,637,49,2335,61868,44,24587,526,8789,271,21671,93,6122684,88,337858</t>
    <phoneticPr fontId="1"/>
  </si>
  <si>
    <t>5511347,13624,83271,488411,322,97,44222,1865,986,5678355,77,82,354,59,5251</t>
  </si>
  <si>
    <t>(6,8,*3,*2,*2,5,1,9,1,*5,5,9),(8,*1,5,1,4,7,7,7,*5,8,8,1),(*4,5,*3,3,7,*9,4,*3,6,*6,8,1),(3,*8,5,*6,*5,5,*8,8,8,*8,7,3),(4,8,*8,*3,*2,*7,*1,9,4,*9,4,5),(9,8,*9,*4,*6,*4,5,2,7,6,2,4),(5,*7,*2,*5,*1,*5,*5,*1,*1,*3,*4,*7),(*7,*7,*8,*2,8,*1,1,*3,2,6,8,9),(4,3,3,5,*2,*5,4,5,4,3,2,1),(8,5,2,5,2,*2,*5,*6,*8,*1,8,5),(2,5,7,1,8,*5,*4,1,4,7,9,8),(9,4,1,9,8,5,1,*4,9,5,8,4)</t>
  </si>
  <si>
    <t>65688,48373,71,76,623127,89,2181,56466,626,5356168,542,4265683,29,937,7733</t>
  </si>
  <si>
    <t>(2,1,6,2,7,6,3,4,8,*8,4,1),(4,6,2,2,5,1,5,1,*8,9,8,2),(*3,3,4,4,3,*1,*7,*6,1,8,9,6),(4,*3,3,5,*3,8,*5,8,4,3,8,8),(*5,2,*7,5,*7,*6,9,4,*9,*6,1,5),(*4,*2,5,*7,*3,*2,9,7,*8,*6,2,*8),(*2,7,*1,2,*8,*9,6,6,4,*4,2,*6),(*6,7,5,*8,*4,8,*9,7,1,*6,2,*1),(*5,9,6,8,*1,4,3,*3,6,*5,2,*6),(*6,*6,1,3,1,3,8,6,*7,7,6,*5),(*8,6,*2,6,*7,*2,*1,*3,*2,*6,1,*3),(*3,7,2,*6,4,5,8,8,3,5,2,*5)</t>
  </si>
  <si>
    <t>(5,2,*2,1,1,4,2,4,*5,*9,*4,*4),(3,1,3,*2,*2,3,7,7,4,*9,6,4),(5,*1,6,1,*3,*9,*5,*9,*8,*5,*7,*4),(6,8,*5,3,7,*3,5,1,2,*6,6,5),(3,4,8,*5,5,3,*7,8,5,5,*3,4),(*2,*8,8,8,*3,7,1,*9,3,*7,9,1),(*7,9,*2,*2,6,*1,*4,9,*2,5,7,9),(*3,3,1,*3,*1,*9,3,*1,*6,6,2,7),(*3,5,2,4,*1,*7,*2,2,*7,5,3,6),(*2,7,*3,3,8,*6,*3,7,1,7,2,3),(*5,8,*6,2,4,6,*5,*2,4,2,9,9),(*6,1,6,8,7,4,8,*5,2,9,7,3)</t>
  </si>
  <si>
    <t>8231655,29,41,956,76,913,475,13551,37212,5985,5944,23712,63,6523372,223379</t>
  </si>
  <si>
    <t>(5,4,4,5,1,8,4,4,4,7,5,5),(6,6,8,7,7,6,9,1,1,3,7,8),(9,8,1,3,*7,*3,*7,*5,*5,3,9,7),(8,5,8,*1,7,2,5,6,8,1,8,6),(1,1,3,4,*5,1,7,3,2,7,9,8),(1,7,1,9,1,7,4,6,5,4,7,5),(2,7,5,*7,*6,*6,3,7,6,*9,*5,7),(4,*4,*9,4,6,4,2,6,1,7,5,8),(7,1,1,8,7,1,8,9,8,5,9,5),(3,7,1,9,7,3,4,9,9,8,4,1),(9,1,4,6,7,2,7,2,7,7,4,5),(4,3,2,3,3,9,4,6,6,1,6,4)</t>
  </si>
  <si>
    <t>766,679816,94,737,57456,27641,95,1477,8186527,55,9332,4379173,15,97237,397</t>
  </si>
  <si>
    <t>(5,4,4,5,1,8,4,4,4,7,5,5),(6,6,8,7,7,6,9,1,1,3,7,8),(9,8,1,3,*7,*3,*7,*5,*5,*3,*9,*7),(8,5,8,*1,*7,*2,*5,*6,*8,*1,*8,6),(1,1,3,4,*5,1,*7,*3,*2,*7,*9,8),(1,*7,1,9,1,7,4,*6,*5,*4,*7,*5),(2,*7,5,*7,*6,*6,3,7,*6,*9,*5,7),(4,*4,*9,4,6,4,2,6,*1,7,5,8),(7,*1,1,8,7,1,8,9,*8,5,9,5),(*3,*7,*1,*9,*7,*3,*4,9,*9,8,4,1),(9,*1,*4,*6,*7,*2,7,2,*7,7,4,5),(4,3,*2,*3,*3,*9,4,6,*6,1,6,4)</t>
  </si>
  <si>
    <t>(9,7,8,2,*3,*4,*9,*9,*1,*2,*9,*6),(8,4,2,*4,8,*9,*9,9,1,3,1,5),(7,4,3,*3,1,9,*9,*7,9,7,2,1),(9,2,4,*4,*2,8,1,*2,*1,3,5,8),(1,*5,6,*1,*9,*4,*1,*5,*5,*3,2,6),(8,7,*3,*4,9,7,*8,*8,*2,*9,*3,9),(6,1,*5,*8,*7,5,3,*9,6,4,*7,*2),(2,*7,*5,7,*3,*1,2,3,*5,9,3,5),(7,2,*7,1,4,*5,*8,2,6,4,3,7),(8,8,4,3,*7,4,*3,*6,3,5,8,9),(8,5,2,*1,*1,8,5,*6,*8,*7,5,3),(3,3,1,5,4,6,9,5,2,5,8,8)</t>
  </si>
  <si>
    <t>92597,86817,15,4341,9457,233179,82,557,5383536,4991296,175,78,59842,11,399</t>
  </si>
  <si>
    <t>グラフ化（経過時間）</t>
    <rPh sb="3" eb="4">
      <t>カ</t>
    </rPh>
    <phoneticPr fontId="1"/>
  </si>
  <si>
    <t>(3,*1,*9,*8,*3,6,4,4,5,7,9,6),(6,4,*3,7,4,*6,*7,*2,*1,*1,*6,*8),(2,4,3,*4,*4,6,2,1,8,1,*9,*7),(*8,6,8,*7,*9,*5,8,9,1,*5,2,*5),(*1,3,7,5,9,*8,*3,2,*3,6,7,*3),(*9,7,7,6,*8,5,*8,*8,9,*2,2,*1),(*8,8,6,*2,1,*3,9,*5,*2,2,*5,*9),(*4,8,*6,*4,1,*8,9,4,*7,1,5,*7),(4,*9,*4,5,7,*3,8,*5,*1,9,2,*6),(*4,8,8,5,2,*3,*7,7,*4,9,3,3),(2,1,3,6,9,*1,*2,*5,2,9,9,5),(6,3,2,8,3,1,2,2,2,5,5,3)</t>
  </si>
  <si>
    <t>44,95,14,325,521,49628,757,3833,8611276,81984,45382,588943,74,1983,7531976</t>
  </si>
  <si>
    <t>(7,8,1,7,9,*9,*8,*6,*3,*9,7,5),(9,1,9,4,3,6,1,6,*7,5,1,3),(*4,*5,*4,*4,*5,*3,*2,*1,2,8,6,3),(1,2,7,3,*3,*7,*9,*4,*1,*6,*4,1),(9,9,2,1,5,5,6,*1,*5,4,2,7),(1,5,*1,2,2,*3,*1,*4,*8,9,*5,7),(4,7,*6,3,*9,9,9,*1,*2,7,*9,8),(9,8,*8,*8,5,4,*1,*8,*8,3,*7,*1),(9,3,*5,4,8,*2,1,*4,*6,4,*5,7),(5,*8,4,3,*9,8,6,*2,1,*7,*6,2),(2,5,7,*4,3,6,6,2,4,3,8,1),(3,7,*1,3,6,9,*6,*5,*3,*5,2,7)</t>
  </si>
  <si>
    <t>17,12941,861,682851,85893,31,6535,2481414,6579,751,59,2354454,379,64,93689</t>
  </si>
  <si>
    <t>(8,6,9,*6,5,*9,*8,*2,*7,*3,*1,*1),(9,1,6,*5,*2,4,4,5,2,4,7,5),(7,8,5,9,*8,*6,2,1,1,2,8,2),(8,3,7,4,*2,*8,*4,3,5,9,5,7),(3,*9,6,4,*3,*7,*3,9,5,7,8,8),(*9,*6,3,9,6,*1,*8,*5,8,3,8,*1),(1,*6,1,6,9,5,*9,*4,6,2,*1,7),(*4,*7,*1,*9,*5,*5,*8,*7,*7,*6,3,2),(*5,*1,*7,7,2,9,1,2,*9,2,7,1),(2,*6,*8,*7,*3,*3,7,*1,1,5,6,7),(5,*1,*2,3,*2,*3,*5,1,*2,3,4,4),(3,3,*5,2,8,5,1,9,7,*2,8,1)</t>
  </si>
  <si>
    <t>74872,785591,11691,6264,58835,22,45,99,1617669,532,12,9827311,913,733,7825</t>
  </si>
  <si>
    <t>(4,6,8,6,4,6,9,2,7,6,9,8),(6,8,1,7,6,*9,*7,*9,*8,*4,*8,*4),(6,8,5,*9,8,5,6,4,*6,8,4,3),(*9,6,5,*4,4,*9,8,7,*2,*7,4,9),(*9,5,5,*8,2,*3,*8,7,3,*7,*8,5),(9,9,1,*3,*7,3,*6,*2,4,5,*7,*6),(4,6,*5,*9,4,*4,5,*8,*5,5,4,*7),(7,1,2,*7,8,5,*3,*3,*9,*1,7,8),(6,3,6,5,*3,5,*9,*4,*8,*7,*4,9),(3,2,3,3,4,1,*6,7,*5,*5,*7,*7),(8,1,6,2,*1,*9,*3,2,8,8,*8,8),(1,4,1,3,5,2,7,*7,*1,*3,1,*3)</t>
  </si>
  <si>
    <t>38583,573,93849,7415289,713,2777,33,6786,391,74345,368977,64,69,99,9798484</t>
  </si>
  <si>
    <t>(2,*8,5,5,5,4,3,5,2,7,4,9),(9,6,*6,9,1,*7,2,3,3,5,7,9),(6,2,1,*2,*8,9,4,9,5,*2,9,7),(4,5,7,*8,*4,*3,*4,*5,5,*5,7,5),(*3,9,*8,9,*2,*6,2,*5,5,*6,6,*7),(*6,3,1,2,3,7,4,2,1,*3,*1,3),(*3,8,6,7,*1,*6,*4,7,9,*6,3,*9),(*1,9,2,*4,6,5,*8,6,3,*7,1,*1),(7,1,*4,9,*4,2,6,*6,9,*2,3,*2),(6,*4,*2,*6,*1,*2,*9,*9,*2,*9,5,*8),(*3,7,3,8,3,9,4,8,8,4,5,*1),(2,2,6,4,2,8,*4,*2,*6,*7,*4,*2)</t>
  </si>
  <si>
    <t>34441,686,64268,6129929,2563672,48,244,261,3631,54,17,218219,32,7888,42674</t>
  </si>
  <si>
    <t>(1,3,6,*5,2,8,4,*3,8,9,2,5),(*7,*4,1,*4,*1,5,3,5,*4,2,5,7),(5,1,6,5,*4,*2,7,9,6,*1,4,6),(2,9,6,6,2,*4,*3,8,3,3,*7,8),(9,9,1,3,*5,1,8,*9,3,8,8,2),(*5,*8,*6,*7,*3,*8,*4,*4,*6,5,2,6),(*9,*6,4,4,8,*2,5,*5,4,7,5,7),(*8,*1,3,4,*4,5,6,8,5,*6,1,3),(*8,*3,6,*6,*2,*2,*1,*7,*6,*7,*8,8),(*1,*7,*2,5,3,8,1,7,2,*5,5,*4),(*9,*5,8,5,3,2,9,6,7,*9,6,5),(*6,*2,5,3,2,*7,*5,*7,*3,*8,8,8)</t>
  </si>
  <si>
    <t>61375,957,684,58,74,512396,2642,444,56,22176,92,83757,4483768,5988196,3417</t>
  </si>
  <si>
    <t>ポイント（2025/11/20未満は１、2025/11/20以上は得点１が６０点以外は０、減点１２３が０点以外は０、経過時間が２０分※１以上は０、１０分台は１、0分台は２）
※１2025/12/28未満は２０分、2025/12/28以上は１８分</t>
    <rPh sb="15" eb="17">
      <t>ミマン</t>
    </rPh>
    <rPh sb="30" eb="32">
      <t>イジョウ</t>
    </rPh>
    <rPh sb="33" eb="35">
      <t>トクテン</t>
    </rPh>
    <rPh sb="39" eb="40">
      <t>テン</t>
    </rPh>
    <rPh sb="40" eb="42">
      <t>イガイ</t>
    </rPh>
    <rPh sb="45" eb="47">
      <t>ゲンテン</t>
    </rPh>
    <rPh sb="52" eb="53">
      <t>テン</t>
    </rPh>
    <rPh sb="53" eb="55">
      <t>イガイ</t>
    </rPh>
    <rPh sb="65" eb="66">
      <t>フン</t>
    </rPh>
    <rPh sb="68" eb="70">
      <t>イジョウ</t>
    </rPh>
    <rPh sb="75" eb="77">
      <t>フンダイ</t>
    </rPh>
    <rPh sb="81" eb="83">
      <t>フンダイ</t>
    </rPh>
    <rPh sb="99" eb="101">
      <t>ミマン</t>
    </rPh>
    <rPh sb="104" eb="105">
      <t>フン</t>
    </rPh>
    <rPh sb="116" eb="118">
      <t>イジョウ</t>
    </rPh>
    <phoneticPr fontId="1"/>
  </si>
  <si>
    <t>(5,2,*3,7,7,8,6,2,5,3,8,3),(6,3,5,*7,1,2,9,2,8,2,2,4),(2,9,8,6,*6,2,8,8,5,4,1,5),(2,7,*6,*8,*6,*4,*6,*5,*1,3,4,*3),(4,3,2,3,2,*1,8,8,*7,*8,9,*7),(4,*7,*2,2,8,3,*4,3,*6,*5,*6,*4),(8,*2,4,*6,7,5,3,*7,*9,*6,*2,*6),(*8,5,2,4,*5,*4,*9,*2,*6,*5,*3,7),(2,*9,9,6,*2,*1,5,5,*3,*6,*2,2),(7,2,3,*3,4,2,*4,3,*4,*9,*8,4),(4,6,*5,8,4,6,1,1,*4,9,6,3),(8,*3,*1,*8,3,8,*5,*5,*4,*3,*8,4)</t>
  </si>
  <si>
    <t>7696344,6864651,72,965658,147,2353,98,57,673,83455,294,18,62328,3746,26514</t>
  </si>
  <si>
    <t>(3,6,6,4,6,1,3,1,7,8,6,*2),(2,7,4,4,8,1,5,4,4,9,8,*3),(8,*5,8,5,*9,*7,*9,*2,*8,*3,*1,*8),(*3,8,6,5,*6,*6,*3,*7,*3,*2,*4,*8),(*1,*3,*4,8,3,6,7,9,*1,3,2,2),(*3,*8,2,2,5,7,8,*8,4,*1,4,6),(6,*1,*5,2,*7,6,*3,7,*9,9,4,3),(8,*7,*7,8,*9,*4,*4,*7,7,9,4,2),(2,*7,2,*2,*9,*6,*2,*4,7,2,6,5),(6,*1,7,*8,2,*2,*1,*8,9,4,2,1),(1,*2,*6,2,5,2,8,*1,8,7,8,4),(6,*7,7,*5,5,8,2,3,*9,9,7,1)</t>
  </si>
  <si>
    <t>96119,19722,8832,134,581,6637324,35,74,48,2713,56,72177,243,894381,9792831</t>
  </si>
  <si>
    <t>(3,*9,5,2,8,5,1,*3,1,2,3,1),(2,*1,6,3,5,*1,*2,9,*5,2,2,7),(5,*6,6,9,2,*3,*4,*4,3,5,8,*8),(5,*4,3,8,*8,9,*9,*1,*7,4,8,*1),(*7,*6,7,*3,6,*7,8,3,*5,8,2,*2),(8,*7,*2,9,*4,8,6,8,7,*7,9,*5),(*4,1,*6,6,1,*6,3,1,6,9,9,*5),(*9,6,6,*3,1,5,*5,9,*1,*1,*3,*4),(*5,5,5,2,4,2,5,*2,*2,*6,6,*2),(*4,6,9,5,3,1,1,*3,1,6,7,4),(*6,9,6,1,7,8,6,*9,*6,6,4,9),(3,3,4,*1,*8,*9,*5,*7,*7,*7,1,9)</t>
  </si>
  <si>
    <t>91646,75141,74,564,635,323832,226,11,93,96,7945,7763,49546,2455218,1895777</t>
  </si>
  <si>
    <t>(1,9,4,4,7,1,1,*7,9,1,6,6),(5,5,3,7,3,8,2,*3,4,9,1,2),(9,5,*1,3,9,1,9,*2,*8,*2,9,2),(6,*1,2,8,4,*9,8,*7,*8,4,*1,4),(4,8,9,8,7,3,*8,6,*1,7,9,*3),(*6,*2,*5,*7,*9,*8,*2,*8,*4,1,5,7),(*2,1,1,9,2,2,6,*5,*4,*9,2,3),(*5,2,*2,5,*7,*7,*5,*2,*2,*9,4,8),(*8,5,*4,1,7,*6,7,6,5,*1,8,1),(*2,8,5,9,*7,5,*8,*5,*1,1,7,9),(*2,3,7,*3,*4,*8,*2,*5,3,3,4,7),(*8,9,*3,*3,*2,*9,*9,*4,9,2,3,4)</t>
  </si>
  <si>
    <t>42,889,11,22577,213,37655,199,499233,8228526,7237,4825,2579828,88144,68,51</t>
  </si>
  <si>
    <t>(3,3,6,1,7,8,3,8,4,8,3,2),(*5,4,9,5,9,*9,4,6,3,5,4,4),(9,*4,2,9,*7,*4,*1,*7,*1,*4,*8,*1),(7,9,*2,*2,8,1,1,*1,2,7,6,*3),(9,*3,*6,7,*6,1,8,4,*2,7,2,*8),(3,*1,6,*5,8,*9,3,4,*4,*9,8,*6),(4,*4,5,9,*5,6,*6,7,*8,*3,*8,3),(7,*6,8,5,*9,*3,5,*1,*4,2,6,3),(6,*6,5,*7,*8,9,*8,1,*2,7,7,*2),(8,*9,*6,*5,*8,2,5,4,*8,3,3,*7),(6,*2,*2,6,*1,6,8,3,*2,6,9,*8),(9,1,*3,8,*7,9,9,8,*1,7,9,*2)</t>
  </si>
  <si>
    <t>326,26961,245,71481,911298,57,65538,95,1282484,2782,3146692,39,7188,386,74</t>
  </si>
  <si>
    <t>(*3,*5,*6,*6,*5,7,4,4,4,3,6,4),(2,5,5,3,4,*1,5,8,1,6,*9,4),(2,7,7,9,5,*9,*9,6,6,3,*7,3),(7,*8,7,8,5,*4,*3,*3,2,1,7,7),(4,*1,7,*8,*4,*2,*6,*4,*7,2,5,3),(4,*1,9,*7,*8,*8,4,7,*2,2,3,2),(3,*1,*8,*5,5,*2,7,1,9,*6,9,5),(8,3,*6,*1,7,*1,1,*8,5,1,*5,5),(6,*6,5,9,6,*7,*3,*1,*7,5,1,3),(*2,3,5,4,3,*6,6,7,9,4,1,8),(*3,*2,*5,*9,*4,1,9,2,3,7,5,8),(9,8,8,9,*4,*6,*5,*6,*4,*5,*3,3)</t>
  </si>
  <si>
    <t>16,36,8111,6712824,26658,4656453,49523,56653,97,38,562439,1937,874,713,578</t>
  </si>
  <si>
    <t>(6,4,*3,1,4,*7,3,6,9,7,5,3),(1,6,*7,8,8,*7,3,*7,*4,6,7,6),(8,*8,*9,6,2,*6,*1,5,*1,*6,3,3),(3,*1,*1,7,5,*9,5,*6,4,*1,*8,4),(8,*7,*4,6,*3,9,7,*5,3,4,*6,8),(5,*5,5,*2,2,*6,2,*9,8,9,9,*3),(9,2,*3,4,1,*5,4,*4,6,1,4,*7),(*5,*7,8,9,9,*9,9,*4,*8,1,*1,8),(6,*6,*7,3,3,*3,5,*2,9,*6,6,3),(8,5,*5,*2,5,*1,8,*1,*4,8,8,2),(5,9,2,*5,*7,*5,*3,*7,*7,*3,*9,*7),(4,8,3,6,5,5,1,3,6,2,4,1)</t>
  </si>
  <si>
    <t>65931,6594421,5565,15,732391,468,71163,41973,84,4617,57,677,5377397,81,727</t>
  </si>
  <si>
    <t>(3,7,*9,*2,*4,*7,*7,6,5,8,9,4),(1,7,5,8,6,*6,*6,*4,*6,4,9,4),(4,*4,*3,*9,*2,*5,*6,*4,1,9,6,6),(2,7,*2,*2,8,5,4,*3,6,4,1,2),(6,6,2,1,*8,6,1,2,*6,2,5,4),(7,5,4,*4,*6,6,*8,*9,*9,*3,*4,*9),(4,5,3,*9,*4,*9,*8,*1,1,*4,4,5),(8,6,3,*1,*1,3,*3,*6,8,*7,1,4),(8,9,7,*7,*5,1,*7,*7,8,*3,4,5),(1,9,9,6,*1,3,*4,4,*3,5,7,8),(6,8,7,1,*4,8,*4,7,4,*5,1,5),(*5,*4,*7,*7,*6,4,7,1,3,6,*4,7)</t>
  </si>
  <si>
    <t>899349,447,45373,92477,6646,4652934,4151468,61,22,7194,57,981,473,67745,63</t>
  </si>
  <si>
    <t>(5,4,8,7,1,7,*8,6,7,6,*7,4),(2,5,*2,5,4,5,*7,5,5,5,*5,*1),(8,4,*4,*1,4,9,*1,7,3,1,*7,*6),(9,4,*4,*2,7,6,*1,9,*2,*2,*7,*9),(4,5,*6,*1,1,7,*5,*7,8,*4,*5,*5),(8,3,*9,5,7,5,*4,*2,9,*4,*6,*2),(3,1,*7,*2,*5,*1,7,*9,4,*6,*8,7),(5,2,*1,*2,*5,8,6,*2,*8,*8,5,6),(7,9,9,*4,6,*2,3,5,2,*6,7,6),(5,8,*5,*5,*6,5,*3,1,6,8,9,1),(7,9,7,*3,4,9,6,*7,8,4,4,2),(1,5,*9,4,6,3,5,8,*3,8,4,3)</t>
  </si>
  <si>
    <t>1472,686442,1796442,8657757,251,89,51178,28,936,25961,52373,5422,55,121,29</t>
  </si>
  <si>
    <t>(*4,2,9,2,*6,*5,*4,3,1,4,2,*9),(*9,8,8,9,*5,7,3,1,7,6,*8,*6),(*8,1,9,7,*5,8,7,7,*8,*7,*6,6),(*9,5,1,5,*7,6,*5,*5,9,*1,7,2),(*7,3,2,7,*9,*3,3,3,*5,7,1,5),(*7,3,7,9,*2,*4,8,*9,3,7,*3,8),(*8,3,7,1,7,6,*1,6,2,*8,4,2),(*4,*8,*1,*9,*9,*7,*7,7,*2,*2,2,*6),(*6,*6,*2,*2,*1,*8,4,*7,*7,9,*1,2),(*3,5,5,2,6,7,*4,*6,5,*1,6,7),(8,4,1,6,6,*7,*2,1,*5,2,*7,4),(5,8,3,8,3,5,7,*6,7,1,6,8)</t>
  </si>
  <si>
    <t>7556,66159,382747,63,81226,235,941,2762,58,45,4989778,789,71,61156,7799184</t>
  </si>
  <si>
    <t>(6,3,*2,*9,*2,*5,*1,9,1,9,4,9),(9,7,7,4,3,2,1,*6,*6,3,5,7),(3,9,5,9,3,4,*5,6,6,*4,9,1),(7,*3,4,3,5,*6,5,9,7,8,*4,2),(9,*3,9,5,*8,*3,*8,2,5,*3,8,*5),(7,*5,*9,*6,*4,*1,*3,*7,*4,4,*9,*5),(8,*6,*8,*8,3,9,1,2,5,4,9,9),(5,*2,*5,8,*9,*3,*1,*9,*2,*8,*2,*3),(*2,*3,*7,7,*9,2,3,4,*6,4,8,7),(*1,*6,*8,8,*9,2,7,1,*9,7,9,5),(*8,5,*4,8,*6,1,3,8,*1,2,7,3),(2,6,*8,7,3,8,9,6,*4,8,4,7)</t>
  </si>
  <si>
    <t>65686,989,812,41374,38,699,95,4196,857848,3192823,39,5446,15292,67,6326533</t>
  </si>
  <si>
    <t>(5,5,8,4,5,6,*2,*5,*2,*8,*8,*4),(*3,6,5,3,*3,7,2,9,6,9,6,4),(8,*1,7,1,8,*2,7,9,9,2,1,2),(4,3,*5,3,2,8,*8,*1,*6,*6,*8,4),(6,*5,3,*9,9,2,6,*3,*9,3,3,3),(1,9,*2,7,*3,7,5,*4,*7,5,*4,2),(*3,*6,6,*5,*1,*7,9,4,3,*2,7,*6),(*2,9,7,*4,3,*2,*1,8,*8,7,6,*3),(*3,8,7,8,*2,*1,8,*2,6,9,4,5),(*3,2,1,*9,7,*9,*9,2,2,6,8,3),(*7,5,*9,6,9,*5,5,2,*3,*5,7,9),(*3,*2,*2,*2,*7,*2,*2,5,1,3,4,7)</t>
  </si>
  <si>
    <t>525,488252,5912,35,42829,32837,629,36,73323,2272223,1739513,992,14,94,8661</t>
  </si>
  <si>
    <t>(4,6,4,5,*6,3,*9,*4,*2,*2,4,1),(1,8,9,2,6,*7,*6,*6,*6,*5,*2,5),(6,6,5,6,*5,2,*9,6,5,6,4,7),(*1,*6,*5,*4,*9,*4,4,5,4,4,*7,8),(5,*4,*1,5,6,8,*5,3,9,6,*8,1),(5,6,3,3,*8,7,6,*8,6,5,*6,2),(3,2,6,2,1,*2,7,2,*4,3,*3,8),(*4,*9,*1,*6,*6,*9,*8,5,4,*7,*8,7),(1,6,*4,*7,*1,*6,*1,*5,3,6,*5,2),(8,8,*6,5,*2,*3,*5,*2,*3,8,*9,*9),(5,1,1,1,*4,3,1,*6,5,*7,2,5),(7,1,7,5,*2,2,8,3,3,9,*4,6)</t>
  </si>
  <si>
    <t>41,66652,83687,1617,242,5748545,491669,8285374,235,94561,99,2249,62,976,64</t>
  </si>
  <si>
    <t>(4,*6,6,5,6,*3,*3,*7,*7,7,8,9),(5,*6,*3,5,6,*1,4,*8,5,9,2,2),(7,*2,8,2,5,8,*2,9,*2,8,6,2),(7,*9,4,7,6,4,8,*5,4,*3,6,7),(8,*7,4,8,1,*9,3,3,*8,*5,*4,2),(1,*9,6,3,*6,*4,*3,*4,*5,*2,*9,*4),(2,*7,*8,*6,1,7,2,4,9,6,*6,*9),(1,1,*2,*7,1,5,2,7,7,1,4,*7),(7,*7,8,*8,*7,3,*8,*2,*9,*7,*6,*5),(9,5,*5,1,1,*7,5,5,5,2,5,*5),(1,*7,3,5,1,5,*2,1,2,9,6,*1),(*1,4,8,6,6,6,2,7,9,2,8,*7)</t>
  </si>
  <si>
    <t>33,567928,8571,89,6629797,7628521,48,96627,87772,517,5434,44328,377,63,599</t>
  </si>
  <si>
    <t>(*5,4,5,5,6,*5,*2,*5,*4,*4,4,8),(*5,*5,*9,*1,*6,*6,*5,8,6,3,9,4),(8,9,*1,7,7,6,*8,5,3,5,7,5),(6,3,7,2,8,*5,2,*9,1,*5,9,4),(1,9,6,3,*4,6,*1,9,1,1,*2,1),(4,5,5,*8,6,*5,1,9,3,4,1,*3),(3,*1,*8,9,*8,1,7,2,5,2,8,8),(*4,*3,*8,*4,*9,7,5,2,8,1,3,6),(8,8,*1,*3,*6,*9,*6,*4,*7,7,6,9),(5,9,6,*3,*6,*3,*2,*7,*2,5,6,2),(2,3,7,5,3,*8,3,2,6,5,*1,*1),(3,4,3,2,*1,*6,*1,*8,7,4,4,5)</t>
  </si>
  <si>
    <t>14,94834,523,9158,85488,363272,98,8161,551,7469631,44525,5591665,62,11,683</t>
  </si>
  <si>
    <t>(1,3,8,8,2,6,1,*6,3,9,7,1),(8,*8,7,*5,2,6,*4,2,8,9,2,3),(3,7,*1,6,*1,*3,6,*5,8,1,2,6),(1,1,8,*1,6,*2,*5,2,5,2,4,9),(4,1,5,4,*2,*8,*7,1,9,8,*5,6),(6,8,2,*5,*1,*2,8,*6,8,5,*8,*9),(2,6,*7,*4,*7,2,*2,8,4,1,*6,*8),(5,7,*6,*7,*5,3,3,3,1,4,*5,*4),(3,*8,7,6,*5,*6,5,*2,6,9,*9,*3),(6,4,*9,*9,2,*9,*8,8,*3,1,9,*8),(*5,*5,*2,*2,3,*8,3,*5,1,*1,2,*5),(4,3,5,8,*3,3,8,7,*2,4,5,*8)</t>
  </si>
  <si>
    <t>54,82,132,99,8641855,95685,346,222118,25865,8583489,17,7759,67215,388,2255</t>
  </si>
  <si>
    <t>(7,7,*1,*1,*4,*3,3,*1,7,1,*8,7),(9,*4,9,6,*6,*5,4,*2,6,9,*4,1),(*8,7,*3,*4,1,4,*4,*7,9,4,*7,6),(1,*3,*5,*4,5,8,5,*9,7,6,*4,6),(*2,*6,*3,9,*7,5,8,*9,8,*2,*8,1),(2,*8,8,*8,4,*8,4,*4,*1,*9,5,9),(9,8,*4,7,*3,*1,*9,*3,*4,*4,1,7),(6,5,*1,*3,*5,4,8,*5,*9,*6,4,3),(1,9,5,3,*7,9,1,8,*8,*4,7,6),(3,3,4,3,7,*2,5,5,4,5,4,8),(8,5,1,8,7,3,9,1,*5,7,2,9),(*9,*5,*2,*8,8,4,5,*7,4,1,9,2)</t>
  </si>
  <si>
    <t>273482,4347895,29464,3499721,13,51,463,8259,84748,454,114,8941,57,56,38338</t>
  </si>
  <si>
    <t>(6,9,9,6,9,4,8,2,1,2,3,8),(3,*8,*3,1,4,8,1,2,4,*7,1,9),(1,7,*4,*4,4,6,6,1,4,*1,9,6),(9,6,*2,*9,8,3,9,8,1,*8,4,*8),(6,3,*2,*4,7,3,9,3,5,*3,8,*4),(1,*9,5,3,*7,1,*8,*3,8,*3,3,*7),(9,*4,*8,8,*9,6,8,*9,7,*5,9,*6),(4,*2,*2,5,*6,2,3,1,4,*6,9,*8),(2,8,*8,3,*7,3,1,2,1,9,6,*5),(4,7,*8,8,*4,3,*2,*5,*3,*4,*2,7),(7,*2,*7,*8,*3,*4,*3,*3,4,4,7,8),(6,6,5,7,*2,*5,*5,*4,*5,*4,*6,6)</t>
  </si>
  <si>
    <t>2783433,93,6533817,25342,8288,849,47697,89,54552,249,64,23,3422,494,586748</t>
  </si>
  <si>
    <t>(*4,*7,2,6,5,*5,*3,*7,*6,*6,*5,*4),(3,3,6,9,*2,6,*8,9,2,8,1,4),(*3,1,4,*2,7,*3,*3,*1,*3,*5,*9,7),(*3,*2,*9,7,6,*8,*8,4,1,5,4,7),(*8,9,*5,8,8,*1,*3,9,9,4,4,6),(*3,3,2,*9,*7,*3,*3,8,*4,5,6,4),(*3,2,8,*7,*3,*6,*2,9,*4,7,8,9),(*6,2,6,7,4,2,*3,2,*4,8,8,1),(*3,8,3,*1,2,7,*8,*2,7,*9,1,2),(*6,5,*4,9,1,2,*1,*9,*5,2,6,7),(2,*1,2,9,6,4,6,*2,*3,*3,*8,*1),(3,3,2,8,4,1,1,8,7,5,1,3)</t>
  </si>
  <si>
    <t>47,141,32593,82,49,63183,8383323,1359,18332,195,456673,9225,44,771,3833636</t>
  </si>
  <si>
    <t>(*2,8,7,1,3,4,2,4,3,5,*5,*1),(*2,8,6,2,4,6,7,*5,8,9,*9,8),(*4,4,6,7,5,*2,*3,*2,*7,8,*3,8),(*3,*9,*5,4,4,1,2,8,*8,5,*5,8),(*8,3,4,8,5,1,9,*3,9,5,*8,1),(*6,1,5,9,7,9,*3,*8,4,*7,*3,4),(*5,6,9,*8,7,*8,*7,4,*7,6,*4,1),(6,2,5,*9,*5,4,2,*6,*9,6,4,6),(3,7,8,*8,2,5,*6,*2,8,4,4,*1),(9,3,*4,9,2,*5,*3,7,6,5,8,*7),(7,9,*2,*9,*9,*4,2,3,7,1,2,*5),(3,5,2,5,*7,8,*6,*5,*5,*8,*1,*8)</t>
    <phoneticPr fontId="1"/>
  </si>
  <si>
    <t>5683422,8338584,74329,52,935834,1758,73,56677,898,992,15,87,395,65581,7232</t>
    <phoneticPr fontId="1"/>
  </si>
  <si>
    <t>(9,2,4,*1,*2,*9,*1,7,8,2,3,6),(5,6,5,6,9,4,1,9,4,*9,*8,2),(*1,*4,7,9,*9,*1,*7,*3,*2,*4,*7,2),(3,*3,5,9,9,7,*6,5,*6,*1,8,*3),(*8,5,*3,6,5,*9,*7,*6,*3,5,*6,2),(*1,4,2,*3,*3,9,*9,*5,8,*7,6,6),(3,9,1,*2,*6,*1,4,6,*4,7,1,8),(1,1,*3,*2,9,1,7,3,5,1,1,8),(5,*7,8,*8,*4,7,5,3,3,4,3,7),(*2,5,4,*5,*5,7,8,2,8,5,5,4),(4,2,6,*9,3,*4,*9,*5,*2,*7,4,1),(6,*5,*6,*6,*4,*3,*3,*7,1,1,8,3)</t>
  </si>
  <si>
    <t>75,13336,2859,91732,14,531,7334665,6932372,846691,476,18,973,45,1291,72594</t>
  </si>
  <si>
    <t>(4,*4,*9,*2,*9,*2,4,4,*6,1,2,*7),(3,4,2,*7,9,1,3,*7,8,8,8,*6),(5,6,*7,4,4,7,*3,9,3,8,2,*6),(*2,*2,2,4,6,*2,1,8,*5,*9,9,*6),(*4,4,2,5,*6,4,1,4,*6,*5,6,*7),(*7,8,6,*3,3,1,5,*7,5,7,1,*9),(6,9,5,8,6,4,*8,4,4,4,4,*3),(*9,7,8,6,2,*6,8,9,6,8,7,2),(*6,*2,9,8,*8,7,*1,*2,*4,*9,*7,1),(*2,1,*5,*7,8,*6,*8,*7,*4,*7,*4,*9),(*4,9,*6,5,1,9,4,8,*6,*4,*3,*2),(3,7,*6,3,8,7,2,2,6,7,8,9)</t>
  </si>
  <si>
    <t>55,76667,673263,7868769,742,4269,9474786,432,566,4277,49292,93,52,12497,64</t>
  </si>
  <si>
    <t>(*9,*5,*6,*6,*8,*4,8,7,2,*8,1,7),(6,2,*3,*4,1,3,8,6,1,*5,4,9),(*7,7,8,6,2,*6,8,6,8,*7,1,2),(6,*1,2,8,2,*6,*7,3,8,*8,7,6),(1,*2,*8,2,4,*6,*1,8,5,*1,4,2),(1,*4,*8,*9,2,*6,*5,7,1,*9,7,4),(6,8,*8,*6,*1,*4,*9,4,9,*6,1,2),(*6,*5,*6,*8,*8,*8,*2,8,4,*9,1,9),(7,8,4,7,4,*9,*9,4,8,*7,7,5),(9,*5,*7,*2,*7,5,*6,8,6,3,5,2),(5,3,*9,*1,*8,*1,*4,*1,1,9,2,5),(3,8,1,6,3,9,7,7,3,6,2,9)</t>
  </si>
  <si>
    <t>918141,85,98682,715,34,6568,7819697,92,16,46666,95668,9819817,884,7275,684</t>
  </si>
  <si>
    <t>(5,7,4,2,2,8,9,5,2,3,4,1),(5,5,2,4,2,9,4,3,7,6,5,8),(9,9,4,7,8,4,6,4,1,4,2,5),(6,4,8,5,*6,8,4,2,5,7,4,3),(3,3,1,7,*4,9,8,7,1,3,2,2),(9,7,7,4,*2,4,*7,*7,1,4,3,3),(*9,*9,3,8,5,3,3,7,7,6,1,2),(1,*1,6,6,2,9,3,6,6,9,*1,*2),(6,*5,7,4,7,4,7,7,1,6,6,3),(4,*3,3,9,4,6,9,7,7,2,4,5),(*2,*2,9,1,6,2,4,*8,*5,*2,*4,*7),(9,4,6,4,1,3,3,7,8,4,8,1)</t>
  </si>
  <si>
    <t>77,85247,2476766,2962,351,72524,78481,22,553,8943,424817,7486491,642,21,99</t>
  </si>
  <si>
    <t>(5,7,*4,2,*2,8,9,5,2,*3,4,1),(5,5,*2,4,2,*9,4,3,7,6,*5,8),(9,9,*4,7,8,4,*6,4,1,4,2,*5),(6,4,*8,5,*6,*8,4,*2,5,7,4,3),(3,3,*1,*7,*4,*9,8,7,1,3,*2,2),(9,7,*7,*4,*2,*4,*7,*7,1,*4,3,3),(*9,*9,3,*8,*5,*3,3,7,*7,6,1,2),(1,*1,6,*6,*2,9,3,*6,6,9,*1,*2),(6,*5,7,*4,*7,4,*7,7,1,6,6,3),(4,*3,3,*9,4,*6,9,7,7,2,4,5),(*2,*2,9,*1,*6,2,4,*8,*5,*2,*4,*7),(9,4,6,4,1,3,3,*7,*8,*4,*8,*1)</t>
  </si>
  <si>
    <t>(7,4,9,*5,*4,*3,1,4,3,8,6,4),(1,*2,*8,*3,*8,*1,*7,*4,2,8,9,8),(1,*6,4,*4,3,7,5,*1,*1,6,4,5),(3,2,*7,9,1,*6,*6,*6,*5,1,4,8),(2,4,*7,*1,9,4,5,*8,*2,6,5,8),(1,5,7,5,*1,1,4,*8,1,*9,5,4),(2,9,7,7,3,*9,7,*3,*6,7,9,9),(2,*8,*6,*9,*6,*8,1,*1,2,6,2,8),(5,3,8,*6,2,3,*7,*2,*9,*9,3,6),(3,6,8,*2,*6,*7,*1,*7,*8,*3,*5,1),(4,9,3,*2,3,6,*8,*9,*8,*2,*3,*5),(5,8,7,*8,1,6,2,6,7,9,*2,*4)</t>
  </si>
  <si>
    <t>7169,8226,4718382,91176,66,48,77,42,152,992,6717835,86968,543,16883,898235</t>
  </si>
  <si>
    <t>(1,*6,*7,*1,8,*9,7,4,4,6,7,9),(5,5,*8,*5,*7,*4,8,*7,6,1,9,1),(7,4,1,7,2,3,*5,*3,*3,*1,*9,2),(*4,2,1,6,9,*5,5,2,3,6,1,3),(6,*8,2,7,1,2,5,6,3,1,9,7),(*7,3,*8,3,5,7,6,*5,*3,*2,*4,*8),(8,*3,9,*6,3,6,8,3,8,6,5,5),(2,1,*6,5,*7,5,*6,*1,*7,*3,*8,*9),(4,4,6,*7,6,*8,*8,*7,*4,*6,*4,*3),(6,4,4,1,*9,5,*3,2,3,9,7,9),(*9,*3,2,6,*6,*5,*3,*6,2,9,9,2),(*5,*3,*7,*1,*4,*6,*9,8,2,9,3,9)</t>
  </si>
  <si>
    <t>15,857,4886783,39,98371,874643,9133,6536,61,49,73679,53248,557,5371469,176</t>
  </si>
  <si>
    <t>(*8,2,5,*9,8,*1,*2,*3,1,3,9,*2),(*6,9,9,*2,*1,7,8,1,3,2,*7,9),(*8,2,*2,*9,9,*4,8,9,7,*2,8,9),(*7,8,*7,*5,*5,5,*1,1,*7,3,2,3),(*2,5,*6,*9,*1,*5,4,*2,3,5,3,*2),(8,8,*7,*5,*6,*8,*3,1,9,6,9,*7),(7,*2,6,*2,*6,4,3,8,3,*7,3,*7),(8,4,*6,1,1,*9,2,9,3,*6,7,*3),(6,*2,5,*9,*9,6,*4,*3,*5,*1,8,*7),(*8,1,2,1,6,9,*3,*5,7,*5,3,4),(4,9,8,9,6,*5,1,*4,*9,9,9,1),(8,9,4,2,9,*7,6,8,*7,6,3,8)</t>
  </si>
  <si>
    <t>53,27868,29,5167,99,272723,27954,75,6569459,743,1562628,73772,197,321,8152</t>
  </si>
  <si>
    <t>(4,5,9,9,9,4,7,1,9,2,6,1),(3,6,4,7,5,6,*6,5,*1,*5,*5,*3),(6,7,3,5,5,*9,3,6,9,*6,*5,7),(5,7,4,5,*8,*3,*4,*7,*3,*7,*3,3),(8,3,7,*7,*4,*9,*6,*3,*3,*3,*4,5),(6,8,*8,*9,*6,*8,*7,*9,6,*2,*9,6),(3,7,*5,*7,*2,*2,2,1,2,*4,*1,6),(7,*1,*6,2,*9,1,9,7,8,*2,*1,7),(8,8,6,*3,2,*2,2,9,*7,*7,*7,4),(3,3,4,9,*8,*3,1,2,6,*2,7,6),(6,7,5,*7,5,7,6,5,4,3,4,8),(5,2,*5,*5,*5,6,6,6,7,1,6,3)</t>
  </si>
  <si>
    <t>87896,49676,84,38,7119435,272423,555,7682,1553,77,782,15943,937,3927336,56</t>
  </si>
  <si>
    <t>(9,9,1,5,*9,3,7,9,*7,4,7,3),(6,9,6,*2,3,*5,8,*8,7,*9,*4,*8),(2,3,*9,*7,1,*4,*9,9,1,2,5,2),(*5,*5,8,6,7,*5,3,1,5,4,*4,*2),(*1,4,*5,2,7,*5,6,5,5,3,*4,8),(*3,8,*7,4,8,*4,3,6,7,5,*3,3),(*8,1,*5,1,1,*8,*7,*5,*5,*8,*5,4),(*8,1,*2,1,7,*7,3,*3,*6,*5,*6,*6),(*8,3,*2,2,*3,8,4,9,7,4,2,5),(9,9,4,5,*1,6,5,*1,*6,5,6,4),(2,6,6,6,*8,7,2,1,9,1,1,9),(*1,*4,*9,*1,6,*8,*6,*9,*5,*7,*9,*6)</t>
  </si>
  <si>
    <t>66563,72,789,42,1491,5929,43,6975968,318,5455487,888315,22575,948,61,58557</t>
  </si>
  <si>
    <t>(*1,3,5,6,1,4,8,4,*8,1,2,7),(*3,9,4,4,6,3,9,8,*8,2,4,*5),(*3,6,1,*1,*9,*8,*6,*3,*4,2,3,*3),(7,3,6,3,9,9,4,8,*1,8,7,*5),(4,*5,*1,4,8,4,8,4,*2,7,1,*6),(7,*4,*3,*1,*9,*2,*1,*2,*9,6,7,*7),(6,4,*4,2,*3,8,1,1,*2,4,*9,*6),(6,2,*1,*9,5,4,9,*3,2,*9,*6,8),(8,3,1,*1,*6,7,5,6,*2,2,*2,6),(5,9,9,5,*6,*7,5,*6,5,3,5,9),(*9,*4,*8,*9,*4,*1,*1,9,5,1,8,4),(1,5,*1,*7,*2,*9,2,*9,4,1,9,8)</t>
  </si>
  <si>
    <t>19863,1729,9212913,22,15,4496719,962,535676,1611,21488,926,39,133,32,94894</t>
  </si>
  <si>
    <t>(7,*7,*9,*6,*1,*9,*6,*8,7,1,9,4),(7,5,*6,3,5,3,7,*3,4,8,6,4),(9,6,8,*7,6,7,*1,*3,9,1,6,5),(*6,1,1,8,*3,*6,5,*3,8,9,9,4),(6,*4,7,3,*1,*4,*9,*7,*4,9,8,1),(5,2,*7,*3,8,1,*1,*2,*4,9,6,1),(3,9,*9,4,8,7,4,*2,8,*4,3,8),(2,4,*9,*1,*5,*8,5,4,*5,*7,*1,2),(6,*9,*7,*6,3,*4,*8,9,8,8,3,*5),(2,9,*5,*5,5,*9,*4,*3,*2,*7,4,6),(6,8,7,*6,*1,*3,*3,*4,*2,*2,7,1),(1,3,8,5,1,7,6,3,3,8,9,6)</t>
  </si>
  <si>
    <t>6133422,961968,647,55,16139,4415,479,27333,75,94327,976,48,8519,99,2143767</t>
  </si>
  <si>
    <t>(2,2,9,2,6,4,8,6,5,*9,2,7),(9,4,5,2,6,*5,*9,3,*2,*7,5,8),(1,5,4,9,*5,*7,*4,7,*8,*2,6,8),(7,8,6,*2,*6,*6,1,2,*7,*8,8,4),(8,4,*8,*9,*6,6,*5,2,*4,*2,4,*8),(6,*8,9,*1,7,2,2,9,*3,*3,5,*6),(1,1,*6,*8,7,*3,1,3,*6,*1,*8,*6),(2,*3,2,*3,1,*7,3,3,*7,9,*3,5),(*6,8,7,*6,7,*4,2,6,9,6,*9,2),(1,8,3,*1,*1,*6,*6,2,4,6,*3,2),(7,6,5,*7,3,*9,*1,9,3,1,*2,5),(4,5,5,3,2,3,*9,*4,*5,2,*2,7)</t>
  </si>
  <si>
    <t>619,2874,65,29,4661636,54,71638,9728231,9769,839322,88255,37469,41,866,367</t>
  </si>
  <si>
    <t>(*4,*6,*2,*6,*6,*5,2,*4,*6,*6,4,7),(*5,*9,*4,*3,5,*1,3,3,1,9,3,4),(6,5,1,7,8,*3,3,4,1,*4,7,7),(8,9,2,3,8,9,7,4,*6,8,3,2),(6,*7,*4,*9,*8,*9,*6,*2,9,4,3,8),(5,8,8,7,3,6,*5,*2,8,2,7,2),(9,3,2,9,*1,*2,*8,8,*6,1,8,*3),(2,5,5,*4,*5,3,6,*7,3,*9,3,*6),(4,9,*5,*5,*3,6,7,4,*5,6,*2,*7),(6,*7,*2,1,*8,7,4,9,9,*6,6,*3),(*9,2,*1,*5,*1,*6,*7,*4,*6,5,5,*5),(7,6,9,5,2,2,6,6,8,9,4,1)</t>
  </si>
  <si>
    <t>74989,1516746,5525264,3495,657,72,29626,566264,38,664,5376,31,367,58,97541</t>
  </si>
  <si>
    <t>(*2,*8,*8,1,3,3,1,2,7,4,*3,3),(7,4,*3,*7,*1,8,9,2,6,*8,3,4),(1,2,5,9,*7,2,8,5,*3,1,9,8),(6,2,*4,*8,*9,*8,5,*6,4,4,2,*1),(4,9,2,8,2,3,*8,2,2,*2,9,*6),(*9,*4,8,5,9,2,*5,*9,3,8,*1,*5),(5,2,9,7,6,9,*1,*2,*8,7,8,*3),(9,5,7,8,3,1,*7,*9,*7,*7,2,*4),(*5,*1,*5,*4,*8,*1,*7,*4,5,1,*5,3),(9,6,6,1,5,1,*1,6,7,7,3,4),(9,8,9,4,9,*5,*1,*1,*8,*6,*1,5),(6,9,2,6,*2,*5,*3,*5,*9,*5,*3,*9)</t>
  </si>
  <si>
    <t>21,16811,882,6383,173,7715,94,515481,74152,16534,7889875,79,29,5359539,984</t>
  </si>
  <si>
    <t>(2,2,9,3,9,9,9,2,*3,4,3,5),(4,5,7,*2,4,6,9,8,*6,1,5,2),(5,*1,5,*2,8,6,4,8,5,3,9,1),(3,*6,1,*9,2,6,7,7,4,5,5,4),(7,*8,9,7,*3,5,4,7,4,4,2,6),(3,*3,4,*5,4,*4,6,2,8,*6,*8,3),(8,7,3,2,*5,4,8,1,1,8,*9,8),(6,1,8,5,7,8,9,7,2,6,*7,*6),(1,7,8,8,9,7,2,9,1,4,7,7),(1,6,3,2,8,9,8,5,8,4,8,4),(7,7,*2,7,3,9,1,4,6,1,5,3),(6,6,*1,9,1,2,6,3,9,8,3,9)</t>
  </si>
  <si>
    <t>4687542,897,8964275,98824,22,7819,55,3861,154819,21,64847,696,439,78889,63</t>
  </si>
  <si>
    <t>766,*679816,94,737,57456,27641,95,1477,8186527,55,9332,4379173,15,97237,397</t>
    <phoneticPr fontId="1"/>
  </si>
  <si>
    <t>77,85247,*2476766,2962,351,72524,78481,22,553,8943,424817,7486491,642,21,99</t>
    <phoneticPr fontId="1"/>
  </si>
  <si>
    <t>*4687542,897,8964275,98824,22,7819,55,3861,154819,21,64847,696,439,78889,63</t>
    <phoneticPr fontId="1"/>
  </si>
  <si>
    <t>(2,2,9,3,9,9,9,2,*3,*4,3,5),(4,*5,*7,*2,*4,*6,*9,*8,*6,1,5,2),(5,*1,5,*2,8,6,4,*8,5,3,9,*1),(3,*6,1,*9,2,6,*7,7,4,5,*5,4),(7,*8,9,7,*3,*5,4,7,*4,*4,2,6),(3,*3,4,*5,*4,*4,6,*2,*8,*6,*8,3),(8,*7,3,*2,*5,4,*8,*1,1,8,*9,8),(6,1,*8,5,7,*8,*9,7,2,6,*7,*6),(1,7,8,*8,*9,7,2,9,1,*4,7,*7),(1,6,3,2,*8,9,8,5,*8,4,*8,4),(7,7,*2,7,3,*9,1,*4,6,*1,5,3),(6,6,*1,9,1,2,*6,3,*9,8,3,9)</t>
  </si>
  <si>
    <t>(8,2,*4,6,5,8,2,6,6,2,5,2),(3,7,*9,*2,*1,*3,9,*6,*6,*3,7,7),(*2,*3,*2,*5,*4,*8,*9,9,4,2,7,*3),(1,6,*9,2,9,*1,*2,*3,3,2,*6,2),(8,3,*3,2,1,4,*7,*2,*6,*1,5,3),(3,4,*5,6,*3,*1,*6,*7,*9,*8,1,*4),(*6,5,*7,*9,*4,*2,*4,*8,*8,*6,*4,*2),(9,*5,*2,7,*5,1,3,8,1,1,8,*2),(7,2,*3,*5,7,3,5,3,7,9,8,4),(1,5,8,*6,2,4,2,1,4,8,3,1),(6,5,4,9,*8,6,5,6,4,3,5,8),(1,2,*2,*9,*5,*8,5,2,4,3,2,2)</t>
  </si>
  <si>
    <t>3167,366,422,55,8592,9424886,9293572,32,393684,361,65368,92281,42417,51,52</t>
  </si>
  <si>
    <t>(3,5,7,5,4,9,1,*5,7,8,4,5),(8,4,5,3,7,3,4,*6,3,9,*2,*2),(*2,*9,*7,*8,*2,*2,*6,*5,9,5,*5,*9),(7,3,9,2,*7,4,7,*7,6,4,*4,*1),(5,4,8,1,*8,*4,3,6,8,3,*7,*4),(5,*6,*4,*7,8,5,*8,*2,2,9,5,*3),(9,9,*8,4,*8,*9,1,*7,*3,9,2,*7),(6,*6,5,*7,9,*1,3,7,*7,*5,2,1),(*5,9,*7,1,2,*9,*9,*8,*9,*2,*5,3),(4,*3,4,3,5,*1,*5,3,*1,7,*1,*3),(*1,6,4,1,*9,7,3,7,7,8,4,8),(3,3,1,9,8,5,1,*8,*2,*6,4,4)</t>
  </si>
  <si>
    <t>5657,87731,46,1277847,2547,6228792,81,919,56878,734192,791,23553,628,95,98</t>
  </si>
  <si>
    <t>(4,9,8,4,2,2,9,2,2,2,9,4),(7,7,*2,*1,*7,*4,*9,*4,7,6,3,7),(7,*9,6,2,7,*5,*1,*7,*1,5,8,*5),(*5,3,*8,5,9,3,*6,1,9,7,*6,7),(*7,9,1,*2,*1,*6,*7,1,5,*3,5,1),(*7,9,5,2,*6,8,3,3,*3,*8,*5,*5),(*7,*5,3,5,2,*7,2,*3,9,9,7,*6),(*2,1,*9,7,*2,*4,*8,9,5,9,3,*2),(4,3,*4,*6,3,*4,6,2,4,6,6,*7),(6,4,*8,5,3,*2,2,8,8,7,8,*7),(7,9,*8,*9,7,*5,3,7,6,6,8,*7),(2,1,*6,*9,*6,*4,*7,*1,*3,4,6,*2)</t>
  </si>
  <si>
    <t>52,5633384,4886,76289,667,99,494712,24,85,761,5627772,64713,5171,57772,695</t>
  </si>
  <si>
    <t>(1,7,7,5,5,9,6,*7,2,8,1,5),(8,4,9,9,2,9,9,*4,*9,2,6,7),(1,2,3,6,8,*6,*4,*5,*5,*1,4,5),(*3,4,6,1,*3,*9,3,*3,4,*6,4,*8),(*7,4,5,*1,*1,5,6,*4,3,*1,*2,*9),(*2,4,*6,1,4,6,2,*7,4,*6,*8,6),(*7,*3,*1,*4,*7,*7,9,*9,2,7,3,9),(*9,*1,*6,*1,*4,*8,*7,*5,9,5,5,*6),(*6,1,4,*7,*9,*9,*6,*6,2,8,*6,5),(*2,*6,6,6,5,7,3,8,1,*4,*3,8),(*4,*7,5,9,2,1,1,1,*4,4,*9,7),(4,*4,5,4,5,7,4,*4,5,8,3,4)</t>
  </si>
  <si>
    <t>936,59,7453479,89,79966,44466,82,77413,372796,24,1614875,194,1616,6136,674</t>
  </si>
  <si>
    <t>(7,1,9,7,*1,*5,2,*8,8,1,6,4),(6,7,6,5,*7,8,1,4,*8,6,2,5),(5,9,8,*6,*4,*2,3,2,9,*1,5,9),(7,*2,*2,7,*5,*9,*7,8,2,2,*2,1),(1,5,4,6,*1,*8,3,3,1,8,5,*1),(7,7,4,*4,*2,*9,4,2,4,8,6,*9),(6,*8,*9,2,*8,*3,5,5,3,5,4,*3),(7,*2,*4,*5,*3,*6,*7,*6,*5,*6,6,*9),(6,8,1,*1,7,4,*3,*2,*9,*7,*3,*8),(9,8,9,4,*3,9,*8,4,4,*8,6,5),(3,7,1,1,2,*1,*7,1,2,*5,9,5),(9,5,7,*6,*2,2,*5,*4,*5,*6,*9,*5)</t>
  </si>
  <si>
    <t>84131,72,22,12188,2973,6567635,294,39892,26,1745128,8939,545695,85,675,387</t>
  </si>
  <si>
    <t>(8,6,2,2,6,9,*3,7,*6,2,5,5),(*9,*4,7,4,9,*2,9,*2,1,3,1,5),(*9,*7,*1,6,*6,4,*5,2,*8,8,4,8),(5,*1,*7,*2,*9,*9,7,*3,*4,4,4,6),(5,6,*4,*7,*3,*6,4,*8,*7,*8,*9,*9),(2,6,1,*5,*8,*7,*4,*1,*1,*4,9,5),(6,7,3,*6,*9,9,*8,1,*7,*5,1,9),(1,1,4,1,*9,6,6,*5,*1,*8,1,4),(6,*6,3,2,5,*3,2,1,3,*1,4,1),(4,8,*7,*8,*8,9,*5,9,5,*7,8,2),(3,7,3,*4,5,4,1,*4,3,*8,3,9),(8,5,7,5,*7,4,9,8,3,3,9,9)</t>
  </si>
  <si>
    <t>381,8458178,75,69354,6259,95419,4123785,847171,7476,87779,88,94,99,964,326</t>
  </si>
  <si>
    <t>(*1,3,6,1,8,4,2,5,*3,5,5,*4),(5,*8,6,8,3,2,*6,1,3,*2,*2,2),(6,2,*6,4,8,*7,5,5,9,*2,*6,8),(8,5,8,*7,*1,3,6,*4,*2,2,7,2),(3,*6,*6,*3,*2,8,*9,*2,*1,8,1,*6),(2,1,*7,5,8,*5,*5,*1,7,*7,*3,4),(5,7,8,3,1,*2,9,8,*8,*7,*3,4),(*4,9,2,5,5,4,9,2,*8,*9,1,*9),(*2,6,1,7,3,*4,9,9,1,1,8,5),(*6,*8,*3,1,6,*5,2,6,3,1,4,3),(*9,9,4,9,7,1,8,3,5,1,4,4),(*5,6,1,1,2,4,9,5,*7,*9,*1,9)</t>
  </si>
  <si>
    <t>186725,534,42695,67137,93714,9819,2522224,791,38,326,45,66,8736,94,3618425</t>
  </si>
  <si>
    <t>(*8,*3,*1,*1,*8,*8,6,8,9,1,6,1),(6,*4,*4,7,4,5,8,3,8,*3,5,5),(6,2,*1,*8,3,7,6,1,9,*2,*9,7),(*3,*8,2,*2,*5,7,7,8,5,4,*8,7),(*7,*1,6,1,*6,*4,4,6,8,7,*9,3),(*3,*8,2,7,*7,*2,*1,1,3,6,*1,2),(*5,*5,3,8,9,1,6,2,2,9,7,8),(*5,*6,*9,*8,*3,*6,*4,8,*8,7,6,*3),(*6,*2,7,3,*8,4,6,*5,2,3,9,*7),(*6,*1,*4,3,7,*2,*1,8,5,5,2,*4),(1,3,5,*9,5,4,4,4,7,1,7,*9),(5,7,5,5,*8,9,8,9,4,2,8,7)</t>
  </si>
  <si>
    <t>46389,9891,158,262148,31188,67,3749,894,86,71,32,6655373,1265818,882,48541</t>
  </si>
  <si>
    <t>(2,9,*8,6,4,*2,9,9,2,1,2,9),(7,3,*5,7,9,*7,*9,*5,*5,*2,*7,*2),(4,9,*9,9,6,*6,6,6,2,*5,5,*2),(5,4,*8,6,9,*6,8,9,*9,1,2,*4),(7,2,*1,6,4,*2,2,*4,6,7,*5,*7),(3,*1,*9,3,7,*6,*4,2,2,*7,9,4),(3,8,*2,4,3,*1,9,7,*7,5,1,8),(3,9,2,7,*4,*9,*1,*4,1,7,4,9),(6,2,*9,*9,9,8,*6,1,8,6,1,9),(8,8,8,1,*3,*1,1,9,9,5,1,7),(7,3,8,4,*3,1,2,1,*5,*3,*9,*1),(1,5,5,7,*2,*9,*6,*4,*7,7,8,2)</t>
  </si>
  <si>
    <t>99,1935,21,2766261,33,272,598192,1647754,194,26152,44957,7422,559,85,29647</t>
  </si>
  <si>
    <t>(6,5,3,7,5,8,4,7,6,4,4,7),(8,3,7,7,3,4,4,4,1,5,6,9),(*7,*3,*9,*1,*3,*7,*1,*1,4,*4,9,3),(3,5,8,3,8,2,1,9,9,*2,*5,7),(*6,*8,*5,*2,*3,3,3,9,8,*5,*2,3),(3,*9,7,3,*5,7,5,3,5,*5,*2,8),(7,*4,7,*4,6,6,*4,5,3,*3,*9,7),(4,*3,5,4,5,8,*4,2,4,*2,8,1),(*9,9,3,*7,5,3,*2,*6,*5,*3,*9,5),(*8,1,6,3,*4,5,8,*1,8,4,5,8),(*8,3,9,5,6,*7,*4,*9,*6,*6,*3,5),(*6,7,*7,*6,*1,*6,*2,*9,*6,6,9,2)</t>
  </si>
  <si>
    <t>54,739,3913711,95,93562,44,14,6926167,49663,5229,32586,235524,943,747,6889</t>
  </si>
  <si>
    <t>(8,4,4,8,*4,8,7,5,9,*1,8,9),(3,7,2,*2,9,9,3,8,8,*8,4,*2),(9,8,*4,*8,7,9,3,*8,*3,*5,2,*1),(7,*7,*8,*5,*4,8,1,*1,*3,*6,1,*4),(4,6,4,2,2,3,3,*8,*2,*3,4,*3),(5,6,2,*2,*9,*9,6,5,*4,*5,*7,*8),(5,6,7,7,*7,4,*5,2,*1,*4,*7,*6),(8,4,1,2,*9,*3,3,*5,*7,7,*1,*4),(7,9,4,*2,5,5,*6,1,*1,5,*7,4),(9,8,*6,*5,*1,*9,9,*1,1,*8,1,5),(9,8,4,*7,*7,*7,*8,*5,8,9,*7,3),(1,1,2,1,5,7,7,1,5,8,1,3)</t>
  </si>
  <si>
    <t>55187,1856354,7717,58777,7424,93,26,854,27361,818,99,332417,2143864,84,915</t>
  </si>
  <si>
    <t>(9,1,3,9,8,5,6,5,6,6,4,1),(9,*8,4,7,7,*1,5,6,*4,1,4,8),(6,*8,9,8,*5,5,7,8,*1,4,*7,*9),(1,*8,*9,*7,2,8,2,3,*1,*4,*3,9),(5,*2,*7,*8,5,*5,*2,5,*7,*2,2,3),(2,*2,1,8,*7,2,5,8,*2,*7,5,8),(*3,6,5,3,2,*7,5,3,*4,8,6,*6),(8,6,9,*2,*4,9,*2,*6,4,2,1,*4),(*4,*7,*9,*3,*7,9,*6,*5,4,6,9,*3),(*9,*1,*3,*6,*9,*8,8,6,*8,6,4,8),(7,5,7,2,*4,8,5,7,7,1,1,6),(6,6,8,*3,*7,*9,*9,*5,*7,*1,*6,3)</t>
  </si>
  <si>
    <t>52,2888,327751,114,747,96319,3486647,2239,346,85,67,47937,42,6175997,27789</t>
  </si>
  <si>
    <t>(8,*8,7,9,5,5,*9,3,9,8,2,*7),(1,*4,3,1,4,9,*3,*4,*5,4,9,*9),(6,*7,1,8,2,5,*1,*9,7,*6,*6,*2),(8,*1,2,4,3,9,*9,*2,3,*3,4,3),(6,*4,*6,3,6,7,9,*4,8,5,7,3),(1,*7,9,6,8,4,*8,*7,7,5,*3,6),(7,*1,1,8,*9,*8,4,*3,*1,1,*2,7),(5,3,8,*5,*4,5,2,*7,*2,1,*4,5),(8,8,*5,*4,6,9,4,*8,*8,*1,*9,1),(1,*7,9,7,9,7,*3,2,6,5,*3,4),(*3,5,8,*3,*1,*5,*4,*1,1,7,6,5),(4,8,5,8,6,4,*6,*1,*4,*8,*3,*3)</t>
  </si>
  <si>
    <t>4924737,64,65,614833,881,63,4488,9139,31541,37559,1741748,792,21,413,39423</t>
  </si>
  <si>
    <t>(7,4,8,6,7,8,7,4,6,1,4,9),(6,4,3,6,8,4,5,5,7,5,1,*2),(7,3,1,2,*4,9,2,3,2,9,3,*5),(5,7,9,*6,*6,3,*3,*2,*2,*7,*9,*2),(5,4,1,*3,*8,5,9,*6,1,*9,3,*6),(*1,6,*7,*6,*8,6,2,3,*5,1,*3,*3),(*9,3,8,*6,*4,1,9,*7,2,*1,8,*8),(*9,6,9,*9,*6,5,8,*8,5,6,*3,3),(*8,*5,9,7,*6,5,8,*4,8,3,*2,2),(*1,*7,*3,*1,7,7,5,3,3,*4,*3,2),(*3,*5,*4,6,7,7,9,9,9,4,*3,2),(*8,8,1,*9,*4,*8,*9,*3,2,4,5,2)</t>
  </si>
  <si>
    <t>6648864,75,768,784,94893,3156,8392,42,32279,33,853,96636,14,836252,8318991</t>
  </si>
  <si>
    <t>(2,8,1,8,1,5,3,7,4,3,1,3),(1,*3,5,2,2,2,5,9,2,4,4,6),(*3,7,4,6,5,4,*6,*2,*4,*7,*6,2),(7,2,8,4,2,8,4,8,9,6,2,6),(2,4,7,*5,5,5,6,4,8,2,6,4),(7,5,7,*4,1,3,2,3,1,5,6,7),(2,3,4,*9,2,7,8,4,9,9,6,1),(*2,6,4,*1,1,9,2,4,*2,3,4,3),(*1,1,5,*8,1,9,1,*5,6,1,9,8),(*1,4,5,*8,5,3,*3,2,8,1,3,7),(5,7,7,*4,*9,*6,6,3,7,4,9,2),(*3,*1,3,*6,*9,*6,4,4,9,9,5,3)</t>
  </si>
  <si>
    <t>4881945,963,67426,64,52,4719,211,33,28181,31,81926,7416354,896,5447,399735</t>
  </si>
  <si>
    <t>4881945,963,67426,64,52,*4719,211,33,28181,31,81926,7416354,896,5447,399735</t>
    <phoneticPr fontId="1"/>
  </si>
  <si>
    <t>(*2,*8,*1,*8,*1,5,3,7,4,3,1,3),(1,*3,5,2,2,2,5,9,2,4,4,6),(*3,7,4,6,5,4,*6,*2,*4,*7,*6,2),(7,2,8,4,2,8,4,8,9,6,2,6),(2,*4,7,*5,5,*5,6,4,*8,2,6,4),(7,*5,*7,*4,1,*3,2,3,*1,5,6,7),(2,*3,*4,*9,2,*7,8,4,*9,9,6,1),(*2,*6,*4,*1,1,*9,2,4,*2,3,4,3),(*1,*1,*5,*8,1,*9,1,*5,*6,1,*9,8),(*1,*4,5,*8,5,*3,*3,2,8,*1,3,7),(5,*7,7,*4,*9,*6,6,3,*7,4,9,2),(*3,*1,3,*6,*9,*6,4,*4,9,9,5,3)</t>
  </si>
  <si>
    <t>(3,*3,*7,*2,*1,*4,*2,8,6,3,9,8),(5,6,7,7,1,7,2,3,2,1,*8,7),(1,7,8,1,*9,1,4,8,3,1,*8,8),(*3,*1,*8,1,*5,9,8,4,6,2,*9,2),(*3,*9,*5,7,*5,*4,8,8,*8,1,*3,1),(8,*3,*5,*6,4,7,*6,*6,6,6,*8,4),(5,*8,*3,*4,6,4,*5,*8,*1,*4,*6,4),(6,*7,*4,*6,*3,*8,7,9,4,*7,*1,6),(1,*3,*4,*4,5,4,1,6,4,7,*3,4),(8,3,9,*5,*8,6,7,3,1,7,2,*4),(7,*1,*6,*2,*9,*8,*8,*4,7,7,3,1),(3,9,5,2,2,1,7,5,2,1,3,9)</t>
  </si>
  <si>
    <t>559,54646,1734,318,28,468,37839,8658,4889261,33,74,372142,1683988,36,55344</t>
  </si>
  <si>
    <t>(*5,6,4,3,2,8,8,2,8,9,9,7),(7,*3,4,6,*9,7,8,9,4,7,2,3),(7,9,*7,9,*2,9,4,*3,*7,1,*9,3),(3,*4,5,7,*2,7,8,*8,*8,9,8,*5),(7,7,*1,5,*1,*6,*7,*4,*7,*1,4,*2),(*3,1,3,*2,*9,*4,*3,*1,*7,*1,*9,*8),(*6,2,2,8,*6,4,1,*2,5,*9,*9,7),(*7,*3,*2,7,4,*5,1,9,*4,*8,7,*1),(*4,7,7,1,1,5,6,*4,*6,4,9,*9),(*1,1,6,3,1,8,*5,*6,8,5,4,*4),(*1,7,3,6,5,*7,*8,7,2,1,2,*6),(6,1,3,4,5,*1,3,4,2,4,8,6)</t>
  </si>
  <si>
    <t>56214,92219,38,78,59,134,23,2994457,1946,172,1866898,67471,367411,537,1713</t>
  </si>
  <si>
    <t>(7,8,2,6,*9,5,4,1,4,1,4,8),(6,3,1,2,8,*7,8,*2,2,8,3,7),(3,8,5,4,*5,*6,*2,*1,*2,1,3,6),(7,3,6,9,5,5,3,*6,*2,*4,7,*7),(3,2,*1,*9,*2,5,4,*2,*2,*5,8,*5),(8,1,9,2,2,4,4,*4,*2,*1,1,*9),(3,4,6,7,*5,3,8,*7,8,*9,6,*3),(4,7,3,6,9,*5,8,7,*2,*8,*3,*4),(*4,*2,*9,*4,*4,*8,*7,*9,*8,*1,*2,*8),(*5,3,6,4,7,1,*9,5,*3,5,*6,*7),(9,6,4,1,7,7,5,4,*6,8,*2,8),(9,1,2,6,*5,*8,*4,*6,*5,7,*4,7)</t>
  </si>
  <si>
    <t>291,55,32624,28365,45198,7844924,562,7843957,5846,972,13,99,52,216247,2222</t>
  </si>
  <si>
    <t>(2,3,4,9,*7,3,4,3,1,7,4,2),(8,6,6,8,*5,*3,*1,1,5,4,3,2),(2,9,9,6,*1,9,1,*8,*7,*1,*8,2),(9,2,*2,*5,*7,4,2,5,5,2,8,5),(4,1,*2,*9,*9,8,8,*5,*8,*7,*8,*2),(2,4,*9,*6,*2,3,3,*7,7,*1,8,3),(4,4,*3,*9,*2,4,4,*2,*9,5,6,1),(6,1,*5,*9,3,8,4,*9,3,9,4,6),(9,9,*3,8,*7,2,*9,7,8,1,7,1),(6,8,*8,9,*6,5,1,*8,*2,*9,*2,*6),(5,*1,5,3,*9,5,*4,*7,*4,*6,*9,*6),(4,*1,8,2,1,*9,*1,*5,*7,7,2,6)</t>
  </si>
  <si>
    <t>7519,58,59699,2297157,81999,82926,11,13,474696,2293538,967,275,49,8178,287</t>
  </si>
  <si>
    <t>(2,7,*6,4,2,3,3,*8,8,5,3,9),(2,9,*9,1,1,7,4,*1,2,6,3,4),(4,2,*4,8,6,4,5,*6,6,4,1,*2),(1,6,*3,7,4,*1,9,*9,1,5,2,*8),(2,6,*9,9,*9,5,*4,*7,*6,*8,7,*8),(6,2,*7,*3,9,9,*2,*8,*5,5,2,*9),(2,*6,*4,*5,*6,*7,*6,*3,4,*7,7,*1),(7,3,*8,*5,6,*6,*2,*3,7,6,*5,5),(*1,*4,*9,9,*5,*3,*6,4,6,5,3,*8),(5,5,*7,3,7,9,*7,6,5,5,4,6),(6,8,*2,5,9,9,*3,4,4,9,3,5),(3,1,9,9,3,*8,*9,*4,*7,*3,5,6)</t>
  </si>
  <si>
    <t>55,2798,28891,68,4262673,3879618,8575,391,14,64567,666,536,37498,33,694397</t>
  </si>
  <si>
    <t>(*4,*7,*7,*9,*5,*5,*2,3,6,1,4,4),(*6,*8,*4,*1,*3,*1,*2,1,9,*3,9,3),(4,6,3,2,3,*1,*9,3,3,*2,6,3),(1,8,8,2,4,*3,*7,*5,*3,*2,3,3),(4,8,4,3,*7,4,5,9,3,*5,7,2),(3,4,5,*9,5,8,3,*1,9,*2,8,6),(*6,3,*1,*2,5,7,2,3,*3,*8,5,3),(*2,4,8,*8,*7,*5,*5,*4,*8,*9,*8,4),(*5,*2,*4,*3,2,2,9,8,7,*1,*4,3),(4,*9,8,1,5,7,3,4,*1,7,1,*4),(1,5,*8,1,7,1,9,2,7,4,8,3),(4,8,4,*9,8,2,3,*1,*9,*9,*1,5)</t>
  </si>
  <si>
    <t>92,17,283,19739,75548,26,6841312,322528,44931,24,811,2559774,1991,9895,235</t>
  </si>
  <si>
    <t>(5,8,3,8,2,8,5,7,7,8,6,7),(2,7,3,2,2,9,9,*5,*2,2,1,4),(5,7,1,6,8,3,*4,*7,*4,6,2,6),(8,9,7,7,7,1,9,6,*1,8,3,7),(1,8,1,3,4,8,3,4,7,4,4,1),(6,7,1,1,9,1,9,9,7,5,8,2),(1,9,4,3,9,5,5,7,4,1,2,5),(4,6,2,7,9,8,1,4,7,5,5,8),(6,8,5,8,7,5,6,1,4,2,5,8),(2,1,9,5,5,3,2,9,6,9,9,7),(9,2,2,6,9,7,5,3,4,1,9,7),(9,6,4,9,6,8,2,3,3,9,4,7)</t>
  </si>
  <si>
    <t>(5,8,3,8,2,8,5,7,7,8,6,7),(*2,7,3,2,2,9,9,*5,*2,2,1,4),(*5,7,1,*6,8,3,*4,*7,*4,6,2,6),(*8,9,7,*7,7,1,9,6,*1,8,3,7),(1,8,1,3,4,8,3,4,7,4,4,1),(6,7,1,1,9,1,9,9,7,5,8,2),(1,9,4,3,9,5,5,7,4,1,2,5),(4,6,2,7,9,8,1,*4,7,5,5,8),(6,8,5,8,*7,5,6,1,*4,2,5,8),(2,1,9,*5,5,3,2,9,6,9,9,7),(9,2,*2,6,9,7,5,3,4,1,9,7),(9,6,4,9,6,8,2,3,3,9,4,7)</t>
  </si>
  <si>
    <t>241,47,*382857,45,27981,67,2813,73194,9552,79919,257,44,258,3328694,7217181</t>
    <phoneticPr fontId="1"/>
  </si>
  <si>
    <t>241,47,382857,45,27981,*67,2813,73194,9552,79919,257,44,258,3328694,7217181</t>
    <phoneticPr fontId="1"/>
  </si>
  <si>
    <t>(5,8,*3,*8,*2,*8,*5,*7,7,8,6,7),(*2,7,3,*2,2,9,9,*5,*2,2,1,4),(*5,7,1,*6,*8,3,*4,*7,*4,6,2,6),(*8,9,7,*7,*7,*1,9,6,*1,8,3,7),(1,8,1,*3,4,8,*3,4,7,4,4,*1),(6,7,*1,1,*9,*1,*9,*9,*7,5,*8,2),(1,*9,4,3,9,5,5,7,4,*1,*2,5),(*4,6,*2,*7,*9,*8,*1,*4,*7,5,*5,8),(6,8,5,8,*7,5,6,*1,*4,2,*5,8),(2,1,9,*5,5,3,*2,9,6,9,*9,7),(9,2,*2,6,9,*7,5,3,4,1,9,7),(9,6,*4,*9,*6,*8,*2,*3,*3,9,4,7)</t>
    <phoneticPr fontId="1"/>
  </si>
  <si>
    <t>241,47,382857,45,27981,67,2813,73194,9552,79919,257,44,258,3328694,7217181</t>
    <phoneticPr fontId="1"/>
  </si>
  <si>
    <t>(*3,6,9,5,9,*3,*6,*3,*1,9,3,5),(2,*4,9,*5,5,*2,8,*7,1,1,5,1),(4,4,*7,*4,4,*8,5,3,1,2,9,*9),(4,5,*1,*4,3,*7,*9,*1,*6,*4,5,*1),(8,*6,4,7,*9,*2,*7,4,8,4,*2,*3),(4,5,6,9,*4,*7,*5,7,3,5,*6,*8),(1,8,5,6,5,*8,*7,3,*2,9,*9,*6),(5,8,6,4,2,*1,*1,1,*6,5,*3,6),(4,9,2,4,5,*6,*2,9,*1,*1,*3,7),(8,2,8,4,8,9,*2,9,*1,7,*5,9),(9,6,8,3,3,1,*2,5,*9,3,*1,9),(7,8,*6,*2,*3,3,4,6,3,8,6,8)</t>
  </si>
  <si>
    <t>76,9164,54,82,1533962,94743,68319,2221757,618727,26119,416,623,3631,113,48</t>
  </si>
  <si>
    <t>(6,9,*5,*2,*5,*4,*5,*2,*5,6,3,2),(*3,*8,*4,*4,*3,*6,*1,6,3,4,4,5),(7,4,*3,*3,*6,7,7,7,7,1,3,*2),(6,1,7,7,*6,2,7,8,9,5,*3,*1),(*3,6,9,5,*5,*5,*8,*6,*1,*4,6,*2),(*8,*1,9,8,*3,8,*5,*7,*6,7,*9,*8),(*8,*8,7,7,*9,6,3,*1,*3,*9,2,*9),(6,9,3,1,*4,6,6,*5,*5,2,9,*7),(2,9,9,3,*9,*7,*6,4,*7,*5,2,*2),(2,8,5,1,*4,2,9,6,2,*2,5,2),(7,2,2,8,*2,1,5,7,8,5,*9,3),(7,4,2,9,*5,4,2,4,3,5,6,3)</t>
  </si>
  <si>
    <t>52494,5254525,33,55155,93566,6432,388,9275,128972,76,614,99,378,18,1634483</t>
  </si>
  <si>
    <t>(3,2,3,6,*6,7,*5,8,*1,4,1,7),(*1,9,2,*6,2,2,*7,2,*6,8,3,3),(5,*3,*9,*3,*7,*6,*8,*7,*8,8,8,7),(5,*8,*1,*3,*6,*4,*3,*1,9,6,1,8),(*8,*7,7,*4,*4,*1,*5,*2,*3,6,*9,3),(5,5,*6,7,6,4,4,*8,6,*2,*9,9),(*7,*1,*6,*3,1,6,9,7,*3,*7,8,7),(4,2,1,2,*2,6,8,*4,*3,4,7,6),(6,5,8,1,1,1,*9,*6,1,1,4,6),(2,*1,*6,*6,*9,*2,*7,2,7,2,6,7),(3,*1,6,4,*6,*7,8,4,4,1,8,7),(7,3,9,3,*2,6,9,*5,*9,2,4,8)</t>
  </si>
  <si>
    <t>441523,75,9736772,37687,6294329,168,11,9661,66988,13463,83,7632,59,131,617</t>
  </si>
  <si>
    <t>(5,8,1,8,8,5,3,3,8,7,2,8),(8,5,8,5,7,6,4,7,5,3,8,9),(1,8,3,7,3,7,7,2,2,6,5,3),(2,4,8,8,3,1,9,6,2,*7,2,4),(6,4,9,*7,*8,*1,6,7,*4,3,9,1),(1,*5,7,7,3,2,4,*4,3,5,8,2),(1,4,*7,4,2,1,1,3,8,9,4,9),(6,5,3,*4,5,1,2,6,1,6,4,3),(9,1,1,2,*1,1,1,9,3,8,9,7),(6,4,9,*7,6,4,6,9,2,5,3,8),(3,7,6,4,9,9,8,3,1,1,9,2),(1,3,3,7,2,5,6,1,3,5,8,7)</t>
  </si>
  <si>
    <t>447,42377,31192,71,187,574,7941685,3562,7973,88,969198,64,7392143,83,13587</t>
  </si>
  <si>
    <t>447,42377,31192,71,187,574,7941685,*3562,7973,88,969198,64,7392143,83,13587</t>
    <phoneticPr fontId="1"/>
  </si>
  <si>
    <t>(5,8,1,8,8,5,3,3,8,7,2,8),(8,5,8,5,7,6,4,7,5,3,8,9),(1,8,3,7,3,*7,7,2,*2,*6,*5,*3),(2,4,*8,*8,3,1,*9,6,2,*7,2,*4),(6,4,9,*7,*8,*1,6,*7,*4,3,9,*1),(1,*5,*7,*7,*3,*2,*4,*4,*3,*5,*8,*2),(1,4,*7,4,2,1,1,3,*8,*9,4,*9),(6,5,3,*4,5,1,2,*6,*1,*6,*4,*3),(9,1,1,2,*1,1,*1,*9,3,8,9,*7),(6,4,9,*7,6,*4,*6,9,2,5,3,8),(3,7,6,4,*9,*9,*8,*3,*1,*1,*9,*2),(1,3,3,*7,2,5,6,*1,*3,*5,*8,*7)</t>
  </si>
  <si>
    <t>(3,9,9,4,6,8,2,6,2,2,7,8),(6,*8,*7,*8,*2,*7,*6,*7,6,2,4,4),(3,5,5,8,*6,6,8,9,7,*6,*5,5),(8,9,5,*8,*9,*8,*6,7,5,4,7,5),(5,3,*2,7,2,8,*1,*9,5,2,7,9),(4,6,1,7,7,4,8,*4,*9,*6,4,3),(3,3,9,2,3,*3,1,3,*5,*2,4,6),(6,*4,*2,*6,*2,*6,*9,*7,8,*2,*1,1),(2,*9,9,6,8,*3,*5,*3,*7,*7,*2,*5),(1,4,2,2,5,*5,*4,*3,*1,*8,7,4),(9,4,8,*6,*1,*4,*6,*1,*4,5,4,9),(4,9,1,2,2,7,8,*2,7,2,7,8)</t>
  </si>
  <si>
    <t>3537,61461,65,98,22541,81345,286,512996,2842,7672878,7962624,226,49,527,36</t>
  </si>
  <si>
    <t>(8,*6,5,*6,*1,*6,*7,*3,3,7,3,2),(5,*7,4,1,5,3,3,4,*2,*2,5,6),(2,*8,7,*2,*7,5,4,6,*6,*5,2,3),(1,*4,9,9,2,4,8,*8,5,8,*1,9),(1,*2,*8,*7,*7,*1,*6,6,2,*4,7,*2),(3,*4,*3,5,1,*2,8,9,*9,7,1,5),(2,*8,1,*4,*5,6,*3,*6,7,8,6,*6),(1,4,*1,6,5,8,*4,*2,8,5,6,*4),(9,8,*6,7,*7,*8,3,1,1,8,3,*6),(*1,*4,*3,9,*5,2,*3,9,3,3,5,*9),(6,6,2,*5,*6,3,8,*5,4,9,7,*9),(3,2,2,8,*1,*3,*7,*1,*2,7,3,8)</t>
  </si>
  <si>
    <t>232,72,64699,43,361,32512,6784248,53,5584694,14,7616,1778,21731,526862,756</t>
  </si>
  <si>
    <t>(8,*9,*2,8,4,1,9,8,3,3,2,1),(1,*1,*9,9,2,5,2,9,*5,*1,*6,*1),(4,*5,*9,5,5,7,*4,9,4,6,6,*1),(7,*6,*3,2,3,*6,2,4,*5,4,8,*2),(9,*2,*8,6,*9,5,*3,*4,6,*1,8,*3),(5,1,*4,*9,7,4,1,4,*8,1,*2,*6),(9,9,*4,*4,*1,*5,*1,*5,*8,1,3,*8),(6,*2,7,8,9,1,2,5,*6,2,3,8),(*2,*1,*8,*1,*7,*4,*9,*5,*1,9,2,5),(4,*2,4,*8,*8,*4,3,1,*2,9,8,2),(9,*5,1,1,5,2,1,9,6,*7,8,3),(8,4,2,5,6,*6,*9,*2,3,4,9,5)</t>
  </si>
  <si>
    <t>483992,1615,1688,1817495,27,512,45,41515,43,26519,296,4699422,86321,884,52</t>
  </si>
  <si>
    <t>(1,3,5,8,5,3,5,6,3,*1,8,7),(4,8,*5,1,7,3,5,6,8,*2,6,3),(6,2,*5,7,7,6,*6,4,8,*6,9,6),(7,6,*8,6,*1,*5,6,1,7,*7,6,2),(*6,3,*7,4,*4,*6,*2,*9,*3,*5,*8,*4),(*3,6,*3,*2,6,3,*8,7,*9,4,7,*7),(*3,5,*7,2,7,*8,*9,1,6,*3,8,*7),(9,*1,6,4,*7,2,*9,2,2,*9,*1,*3),(*9,4,3,*9,2,9,*9,4,*8,5,5,*5),(*9,6,*6,7,*8,*6,*6,*4,*2,3,2,*3),(8,*7,3,*8,7,1,*9,5,*5,2,8,*9),(1,9,*4,*1,3,*8,3,7,2,7,1,3)</t>
  </si>
  <si>
    <t>89996,633,7621,14,853926,98498,8796,6542719,18,4773539,37855,974,139,68,52</t>
  </si>
  <si>
    <t>(*7,*5,*9,1,4,3,4,8,8,9,5,5),(3,6,2,5,4,9,2,*1,5,2,1,*4),(6,9,1,*5,*7,*5,*4,*3,1,*3,*8,9),(4,9,8,4,2,8,6,3,4,*8,*1,4),(5,*6,*5,*6,*7,*9,1,7,*7,4,3,*7),(6,*2,*8,9,5,8,*5,*6,7,*9,2,9),(3,6,4,8,3,8,*2,*3,*5,9,5,2),(*4,*2,*5,*8,8,*6,9,*8,*1,1,1,*5),(8,5,*8,1,3,3,*5,1,9,*9,*7,6),(9,*4,8,2,9,*8,2,6,6,*1,*6,7),(*4,*5,*1,3,*9,7,8,8,*8,3,3,*8),(2,8,5,*8,1,4,*3,*7,*8,*9,*6,2)</t>
  </si>
  <si>
    <t>41,34575,6267884,9585898,83,28,65679,448,15,4258,37896,713,957,5718,531968</t>
  </si>
  <si>
    <t>(1,4,7,1,4,8,7,6,1,7,5,*9),(*1,3,7,8,3,1,5,3,5,8,*3,7),(8,*8,9,2,8,3,2,3,2,*8,*4,5),(6,*2,*1,9,3,4,3,*8,*4,*3,4,2),(4,*3,*8,*2,2,1,*2,*9,*4,7,4,2),(*5,*8,8,*5,*6,*6,*8,*9,*3,*2,*2,9),(*6,*8,1,4,*9,*3,*1,*4,*4,4,9,2),(*3,5,3,*5,7,*9,8,*5,9,*2,8,6),(*9,*1,*6,8,5,*1,9,8,*5,*2,6,3),(*8,*6,1,7,9,1,*8,4,*2,*8,9,3),(9,6,5,*1,*3,5,6,*9,*3,*2,5,3),(1,2,7,4,7,7,1,7,*5,*4,1,3)</t>
  </si>
  <si>
    <t>981,62181,89365,223,5325,919434,6659628,42822,285,15,44,16,31,2388,3894839</t>
  </si>
  <si>
    <t>(8,8,2,6,8,9,4,6,7,3,7,8),(8,*4,*4,*5,*3,*5,*9,*7,1,7,3,5),(2,2,3,9,7,2,8,7,6,5,6,8),(4,4,7,8,6,8,*2,8,8,8,5,1),(2,9,9,7,5,*3,*6,*3,*5,*7,*7,*9),(4,1,*8,9,3,8,*4,*5,*9,*8,*2,2),(3,1,*4,1,4,*9,*1,*3,*1,*3,*3,9),(7,9,*8,*1,9,*7,*4,6,6,3,*2,6),(1,6,*2,4,*4,*7,*7,*9,3,3,*9,2),(*5,*5,*7,*6,9,*7,*4,*2,5,8,*1,1),(7,9,*3,1,4,*1,*2,4,*4,6,*1,9),(6,*8,3,7,2,3,*2,3,2,*6,5,8)</t>
  </si>
  <si>
    <t>17779,9775363,8364,239,72848,32911,313,12,55,4453597,94,5982,246,22,414742</t>
  </si>
  <si>
    <t>(6,4,5,*4,*3,*7,2,6,6,*7,7,*5),(*4,*2,*3,*8,*7,*1,*3,9,*2,7,*9,9),(8,3,9,3,9,8,4,*1,*9,*8,7,5),(3,8,6,8,6,*3,5,2,*9,*6,1,7),(*1,*5,*8,*4,*3,*6,*8,*8,7,9,*7,9),(3,4,4,4,4,5,*2,*2,6,5,6,*3),(1,5,5,3,*5,6,7,5,*9,*3,*2,*8),(1,8,8,8,*5,8,8,*3,*9,*1,4,7),(2,2,1,*2,*4,*3,*2,*9,*1,*4,*7,3),(1,6,4,3,7,6,7,1,3,5,7,*3),(1,9,3,5,4,4,*6,*1,3,2,1,2),(2,7,8,9,1,*1,*2,*8,*2,*8,1,7)</t>
  </si>
  <si>
    <t>3829173,61,86,598982,34851,8324,3769,437,328,82821,721,2432914,39,31783,55</t>
  </si>
  <si>
    <t>(2,2,8,*6,1,8,4,8,1,*7,5,9),(9,9,8,*1,*2,5,3,6,1,*7,7,*8),(1,6,2,*3,6,*3,1,2,4,*6,8,*8),(2,*7,8,*5,*5,*1,*1,7,6,3,8,*1),(5,*2,1,2,*6,*8,*9,*1,9,3,2,*6),(3,*8,5,3,*4,6,7,*3,*7,9,6,*4),(9,*1,9,7,*8,5,9,*6,*5,*9,8,*5),(*7,*2,4,*4,*2,8,*7,9,3,*2,*8,*1),(*4,*8,6,6,*7,*4,5,6,7,2,4,4),(*3,*1,9,6,*4,5,8,5,6,2,9,1),(6,4,*3,*9,3,9,6,2,5,9,2,3),(1,6,5,*3,1,*1,*6,*6,*6,5,6,8)</t>
  </si>
  <si>
    <t>21827,8816451,5316,776,86,67449,2311798,347,564827,19352,83,24,6661,413,33</t>
  </si>
  <si>
    <t>(8,8,8,8,3,*7,*7,*2,*8,*9,*1,4),(1,6,6,1,*3,3,8,*5,*6,*8,5,5),(4,4,5,*9,4,*1,3,*2,3,2,8,9),(2,9,*4,9,2,*4,6,*3,3,1,2,6),(6,*8,2,5,8,*1,3,*1,6,8,6,6),(*2,3,8,6,6,*5,3,*1,9,1,2,7),(4,*2,8,7,*4,*1,*7,*5,8,4,8,3),(4,4,*6,5,4,*8,*2,*2,*4,9,3,6),(*9,3,*3,*4,9,*9,*8,*6,*8,2,7,2),(*9,2,*7,*3,5,4,*3,*6,*1,4,7,6),(*3,8,*3,9,2,6,*9,5,*6,8,8,8),(7,7,*2,5,*9,*2,*8,*9,*8,6,8,4)</t>
  </si>
  <si>
    <t>568,399,462,45,9289,78,3732,89382,2511325,33,66,86184,9815141,39482,772891</t>
  </si>
  <si>
    <t>(9,4,8,*3,5,8,2,4,*7,*7,2,2),(3,*3,8,1,*1,1,6,*3,8,*8,1,4),(6,*9,4,*7,4,*7,*7,9,3,*5,7,8),(*3,5,3,*4,3,*2,*7,6,8,2,4,1),(*3,2,1,*4,*1,*5,*8,*8,8,5,5,8),(*2,5,7,*4,4,6,6,*3,*1,5,3,4),(*6,2,6,*4,7,*4,3,3,*2,*9,5,5),(*1,8,*4,*6,*8,*8,*9,*8,*1,*9,6,*9),(3,8,2,*3,1,8,7,6,8,6,*6,*7),(7,1,1,9,*7,*9,*6,*7,*3,6,4,*7),(7,7,2,*2,*1,*7,8,4,4,9,2,*3),(3,7,4,6,*5,*5,*8,6,2,2,5,*3)</t>
  </si>
  <si>
    <t>55,283296,8773,48,74444,737,39,51,9673,4688981,712,33261,3177819,785,97733</t>
  </si>
  <si>
    <t>(7,9,7,9,6,6,*1,*3,*4,*8,*3,*1),(3,7,9,6,5,6,*1,6,8,9,5,6),(8,6,9,3,8,6,*9,3,*7,5,2,5),(4,3,4,*9,*6,2,*4,3,*9,*7,9,4),(2,1,9,7,*3,*5,*3,8,*2,8,*1,*8),(7,8,2,*8,*1,*3,*2,6,*5,1,9,*2),(5,3,*7,*9,5,9,*4,*4,*2,4,7,*7),(*8,6,7,2,9,*6,5,*7,*5,6,8,*5),(6,*4,5,7,2,3,*9,*1,*3,*2,4,*7),(5,2,*1,5,9,*5,9,*9,9,*6,*6,*4),(8,9,6,*6,4,3,*5,4,*2,9,*6,*9),(5,2,3,3,9,2,4,*1,4,*7,4,3)</t>
  </si>
  <si>
    <t>34911,6374339,97,155,174,66,76,177,81,8416,8275749,13843,69927,254256,9252</t>
  </si>
  <si>
    <t>(6,4,1,6,*8,*3,*1,*5,*3,*8,*1,1),(8,2,7,7,9,6,5,9,*2,4,2,1),(2,*7,8,5,3,3,9,*8,1,1,2,2),(9,*5,5,6,4,7,*3,3,6,7,6,*9),(*8,*1,9,2,3,*9,1,6,2,1,6,*9),(*3,*6,*5,4,*7,*1,4,1,8,2,*2,*5),(*2,3,4,*1,5,*9,*1,9,5,*8,*2,*4),(*9,2,5,3,*4,*5,1,*2,5,*7,*7,*8),(*8,5,7,5,9,*4,3,8,*4,*1,*8,*5),(5,*1,*1,*5,6,9,8,8,9,*9,*5,*3),(3,9,*3,*5,*8,*8,9,3,2,*6,*3,4),(4,*7,*6,7,5,7,8,5,8,9,6,6)</t>
  </si>
  <si>
    <t>735,65,88,124,3584599,1514,28397,115,75,1835138,69178,68,358722,1954,83298</t>
  </si>
  <si>
    <t>(5,7,1,8,7,*1,1,8,*5,*9,*7,*1),(*1,*5,*4,7,7,*2,3,2,9,7,5,4),(*5,5,8,8,3,*1,5,5,4,1,*8,3),(*8,2,3,8,6,3,2,*8,1,*8,9,9),(*5,6,3,3,2,2,*6,*2,*3,4,5,7),(*1,*4,1,6,9,*3,1,*8,9,2,6,2),(*1,*3,7,3,*3,9,*7,*5,*6,*8,*9,*4),(*1,*5,6,*6,6,8,6,1,7,6,4,6),(*7,*5,*1,6,3,5,4,7,5,6,3,4),(*4,*1,1,9,4,*6,3,3,1,2,7,5),(*4,*9,*5,*2,*2,*6,*5,*1,*3,*5,*2,9),(*6,*9,2,*5,3,8,3,7,5,*9,*1,9)</t>
  </si>
  <si>
    <t>32,5111744,78388,49865,69,863361,526,45,15534,121,1795,1352,1562259,19,851</t>
  </si>
  <si>
    <t>(5,*5,*4,*1,*9,*4,*7,*6,4,4,3,6),(6,8,1,*7,*7,*7,3,1,2,9,7,7),(1,3,8,9,*6,*5,2,9,1,6,*2,*8),(*5,2,3,7,*1,*9,*7,9,8,*5,*5,2),(7,*3,4,7,*1,*9,1,*5,*5,*6,7,5),(3,6,*4,6,*2,*3,4,*8,*7,9,*2,3),(*4,1,6,*7,*3,7,*3,*4,1,*8,*3,2),(2,*2,*8,5,*8,*1,*3,6,*1,6,*2,6),(*6,1,9,7,*5,6,4,*3,8,5,3,1),(2,*7,3,7,8,2,*6,7,8,3,4,2),(4,5,*4,1,8,*5,5,3,1,4,*9,2),(6,6,6,*5,*7,5,7,7,9,8,*6,9)</t>
  </si>
  <si>
    <t>2558315,79,578,5419476,53478,856743,24,777,13657,232,28,6745,3995,61123,96</t>
  </si>
  <si>
    <t>(5,8,2,7,4,7,3,6,4,5,5,8),(5,4,1,6,1,8,9,*8,*5,*9,6,6),(4,6,6,3,3,2,7,9,7,9,6,4),(4,1,*5,*4,3,7,4,6,2,4,9,9),(9,8,3,*4,*4,2,4,*3,2,*1,*7,*4),(4,1,*5,*5,*6,*4,4,*6,7,1,*6,*8),(6,6,9,1,5,8,*7,9,4,8,9,7),(2,7,8,*5,1,9,9,*6,1,7,9,1),(4,7,4,*7,3,3,1,1,1,9,6,6),(8,8,3,8,1,6,6,5,6,9,6,3),(8,7,*9,*9,*5,*2,*4,*2,*2,3,4,7),(5,2,8,3,6,4,1,1,9,1,8,3)</t>
  </si>
  <si>
    <t>174,36,859,55,2242599,67444,68,*9849,546,8426,19183,75,42331,279796,3816656</t>
  </si>
  <si>
    <t>(5,8,2,7,4,7,3,6,4,5,5,8),(5,4,*1,6,1,8,9,*8,*5,*9,6,6),(4,6,6,*3,3,*2,*7,*9,*7,*9,*6,4),(4,1,*5,*4,*3,7,4,6,2,4,9,9),(9,8,3,*4,*4,*2,4,*3,2,*1,*7,*4),(4,1,*5,*5,*6,*4,*4,*6,7,1,*6,*8),(*6,6,9,1,5,8,*7,*9,*4,*8,*9,7),(*2,7,8,*5,1,9,9,*6,1,7,9,1),(*4,7,4,*7,3,3,1,1,1,9,6,6),(*8,8,*3,*8,*1,*6,*6,*5,*6,9,6,3),(8,7,*9,*9,*5,*2,*4,*2,*2,3,4,7),(5,2,8,3,6,4,1,*1,*9,*1,*8,*3)</t>
  </si>
  <si>
    <t>174,36,859,55,2242599,67444,68,9849,546,8426,19183,75,42331,279796,3816656</t>
  </si>
  <si>
    <t>(1,1,5,2,8,1,*7,*9,*7,*7,*9,4),(*1,*5,*5,*8,*9,*6,*5,*9,3,9,2,2),(*2,7,6,*4,9,6,2,5,9,6,7,1),(*6,*2,6,*9,*6,6,8,9,5,8,9,6),(*4,3,*4,3,*9,*5,1,9,6,7,6,1),(*3,3,4,*7,4,6,1,6,3,8,1,2),(*2,4,*9,*3,*6,*1,*6,*8,*4,*4,*2,1),(*1,5,*9,*7,*2,2,6,2,9,4,*8,9),(5,*9,*1,*4,*3,*2,*7,1,8,6,1,7),(4,9,9,4,*7,*3,*7,*8,*8,3,9,5),(9,9,1,3,8,2,*6,*7,*1,5,4,4),(*7,*3,*1,*6,1,4,*1,3,7,6,9,7)</t>
  </si>
  <si>
    <t>99,2476,465,39,97797,723419,972,44861,9569855,761,88737,1264321,82,6137,17</t>
  </si>
  <si>
    <t>(5,3,5,*7,*9,*9,*7,*5,*2,*9,1,3),(8,5,9,8,4,*3,4,3,2,2,*3,5),(6,4,5,4,6,*8,2,6,1,*6,1,9),(6,2,9,1,*9,*8,*9,*3,*9,4,5,9),(5,8,*9,1,*1,*6,5,*9,9,9,4,5),(4,9,*5,*1,*6,7,*6,*4,1,6,*9,5),(*9,9,*9,7,*2,*5,1,8,1,1,*5,2),(*1,1,*5,*1,8,6,2,2,3,5,*3,2),(*9,8,*4,5,9,2,8,*1,4,9,*9,5),(5,6,6,5,7,*8,8,*1,8,7,*6,7),(5,6,8,6,2,*2,*2,*3,*6,*8,*5,7),(*8,*7,*9,*6,*3,*7,*5,9,5,6,1,1)</t>
  </si>
  <si>
    <t>5736978,51,23685,6883,45959,219,98,95396,493,919,9162,369965,11,28,9257997</t>
  </si>
  <si>
    <t>(8,7,3,5,2,6,1,5,9,4,7,1),(9,2,9,9,9,2,3,2,4,2,5,*1),(2,9,1,*7,5,7,1,*1,1,2,*6,9),(6,6,4,*8,2,1,*6,7,1,*7,3,*7),(8,2,4,*4,7,*9,8,9,*2,4,3,*2),(8,9,2,*2,*4,7,8,*9,9,9,9,*2),(4,8,*6,*5,7,*9,*3,4,1,6,8,*8),(2,*3,*6,*8,3,*5,5,4,6,6,4,*3),(4,*6,*2,8,4,*2,7,9,6,*4,5,*7),(5,*7,*4,*6,5,5,2,9,5,*7,1,*6),(8,*6,*5,*9,*1,3,*9,*7,*5,*2,*1,*4),(3,*1,6,*6,8,3,3,6,8,*3,8,9)</t>
  </si>
  <si>
    <t>1672935,19,259,6738227,4266,16763,542,4961,15437,41,12579,74,696,784258,32</t>
  </si>
  <si>
    <t>(4,1,9,4,2,*4,*5,*8,*7,2,2,6),(5,*9,*2,*7,*8,*7,5,3,1,3,1,1),(6,8,6,*5,*7,*4,*2,*3,*7,*9,*6,3),(9,4,*8,*1,7,*1,1,1,*4,*9,4,8),(5,*5,*7,2,4,6,*7,6,1,*2,7,6),(4,*8,8,*2,3,6,1,*7,*8,4,4,3),(*1,2,*9,*5,*2,4,1,*7,*1,7,8,7),(3,*5,5,5,6,5,*8,1,*6,*4,1,7),(*3,2,8,6,3,*2,7,*5,1,5,*2,2),(4,3,1,9,*4,*2,*9,*9,*3,8,5,*2),(3,8,3,*4,9,4,2,8,9,3,1,1),(3,5,9,8,5,3,*1,*3,*1,*3,*9,*9)</t>
  </si>
  <si>
    <t>187177,52,65,3592,97324,1771422,3992,49,131,2878244,96,48585,587,927,99313</t>
  </si>
  <si>
    <t>(8,4,9,8,*9,1,7,*1,4,9,5,2),(8,1,6,*1,2,1,*2,4,*2,3,8,8),(9,1,*9,7,6,*9,2,5,2,*8,*6,2),(4,*6,*6,8,*6,9,6,3,5,4,*7,7),(*2,8,*8,*4,*8,*8,*7,*6,*2,*4,*4,4),(4,7,*3,*4,*7,*2,*2,*5,*5,*4,*8,4),(3,3,4,*2,*5,*2,*4,8,9,3,*8,1),(6,6,1,*4,*9,*2,*3,*4,*3,*5,*6,5),(3,1,4,*6,*6,*6,2,7,8,*3,9,9),(9,7,*9,*5,6,8,1,9,*9,4,7,5),(*9,*9,*8,6,8,6,1,*4,3,8,3,7),(4,*7,*1,4,2,1,*9,8,2,8,7,8)</t>
  </si>
  <si>
    <t>9493,34692,128,68,189,4552274,88476,99,66,6534329,4252,564,426788,17,26919</t>
  </si>
  <si>
    <t>(3,*1,*5,2,6,3,9,9,8,4,5,1),(9,*5,2,*2,4,*9,6,2,5,7,7,*7),(8,*6,9,8,*8,*1,*2,5,6,3,*4,*3),(8,*3,9,2,6,*1,4,2,9,*1,*6,5),(*9,*5,*9,*3,*5,*5,*6,9,*4,*8,8,2),(9,*6,*6,*8,2,1,1,*7,*4,7,8,3),(3,7,*7,7,5,2,1,*5,8,5,9,1),(8,*4,*4,4,3,7,8,4,6,3,4,7),(3,3,*3,*2,*5,*6,*8,*5,4,6,7,*4),(8,1,*6,5,7,7,1,1,3,7,4,*8),(2,2,*1,7,*7,*2,*2,*8,*1,*7,4,*1),(1,9,*6,*1,*5,*4,*4,*2,*4,*9,3,6)</t>
  </si>
  <si>
    <t>66,4863,9424451,29,43616,11,825,722817,1563,6553959,874,184,74147,25685,57</t>
  </si>
  <si>
    <t>(5,3,6,2,7,*7,9,8,7,5,5,2),(7,*9,*3,*5,8,*6,3,4,7,8,6,9),(*2,3,7,5,5,*1,5,8,7,*1,8,8),(*6,3,*8,3,3,*5,1,5,4,*1,1,*5),(*6,3,*9,9,2,*6,4,6,1,*4,2,*1),(*6,4,*2,2,9,*1,4,*1,*2,*8,7,*3),(*1,9,*9,3,9,*1,*1,*8,*1,5,6,*5),(*4,9,8,5,9,*1,4,5,*6,3,2,*5),(*7,5,*1,1,*9,*4,*3,7,*1,8,6,9),(6,4,*4,*7,4,7,3,2,*2,6,4,4),(2,8,*2,7,2,*9,7,*6,*3,2,1,6),(2,*9,*4,*6,*9,*1,*3,*3,2,7,4,5)</t>
  </si>
  <si>
    <t>1165167,8411,8929,21612,36,416662,51355,79111,241,147,99,3319649,34,86,539</t>
  </si>
  <si>
    <t>(9,2,6,*1,4,*6,2,8,7,1,5,7),(8,7,*2,4,*7,*8,*4,7,8,9,6,3),(6,4,4,*3,*3,*9,3,*6,6,*6,9,*9),(3,6,9,*3,*5,7,*7,3,4,*6,9,*7),(5,4,*4,7,9,*9,8,*1,*8,*2,1,*6),(3,*9,*1,9,*6,3,*3,*7,2,*1,*6,*7),(*7,7,*9,4,*3,5,3,*6,8,*6,*2,5),(*2,6,9,5,*8,9,8,8,*4,9,*2,2),(2,*3,*1,*2,*1,*6,4,5,8,7,*4,6),(3,9,8,6,*8,*7,*6,*1,*8,*3,*2,*5),(9,7,2,9,7,4,7,8,5,3,7,9),(8,6,9,4,2,5,9,1,4,2,6,5)</t>
  </si>
  <si>
    <t>61213,4639532,419,836,7679,73,646,68,5238167,833497,27,4226,17971,78,66216</t>
  </si>
  <si>
    <t>(4,5,1,1,*6,*5,*6,*1,*3,9,6,6),(3,8,8,2,2,5,*9,*5,*3,*6,4,8),(*4,*7,*6,*6,*1,*2,*5,*6,5,2,5,2),(*6,4,4,3,*4,*7,*9,4,4,8,1,7),(*7,4,8,4,2,5,*8,6,9,6,1,*7),(*8,9,2,*2,8,5,*2,4,*6,6,8,*6),(*1,*7,8,*1,*8,1,4,*3,*3,1,7,*8),(*9,*4,*7,*6,*1,2,*2,*8,*9,1,7,9),(7,*1,9,*6,*1,5,2,8,*2,4,7,4),(8,*4,5,*7,*1,5,2,7,*1,1,4,4),(3,3,1,*5,*4,3,3,2,7,*1,*9,*5),(9,2,6,*1,1,4,6,1,4,9,9,8)</t>
  </si>
  <si>
    <t>31656,7661256,768,6359,41118,63921,4147,1576612,479,28,195,38,918764,23,17</t>
  </si>
  <si>
    <t>(4,*6,8,8,*8,5,4,5,5,6,4,7),(8,*5,6,9,7,*9,*6,6,*1,6,5,7),(5,*4,1,3,6,3,*1,*3,6,*2,3,8),(*3,*8,*5,*2,*7,*7,*5,*9,*8,5,*5,1),(5,4,4,6,*3,*8,9,2,*4,*9,*4,6),(7,4,1,1,*5,*6,9,4,2,4,*4,1),(*9,3,2,1,*3,7,*6,9,4,1,*8,8),(1,*4,3,6,*6,7,5,*6,9,3,5,5),(1,8,*3,9,*5,6,*3,4,*5,5,3,5),(5,4,9,*7,*4,*1,*1,*5,*5,*9,*7,8),(2,1,7,2,*1,8,5,7,1,9,2,1),(5,3,2,2,3,*9,*4,*5,*9,*8,*3,4)</t>
  </si>
  <si>
    <t>917349,4115597,654,549,31,49198,48,5365,5983,3852775,44,86,56663,63894,125</t>
  </si>
  <si>
    <t>(4,5,9,2,6,4,7,2,3,4,5,7),(*1,4,3,3,9,3,2,7,5,4,6,2),(*5,*7,*4,*2,*2,*9,*1,*4,*4,*5,*9,9),(2,5,*8,*7,*3,8,7,*7,*7,*5,*3,1),(5,*5,*2,*3,*7,*7,*3,*1,9,*7,4,4),(*2,6,8,1,9,*8,1,7,*9,*3,4,7),(8,*7,2,3,7,*4,9,9,9,*6,*1,1),(2,2,*9,9,*7,*8,*6,*6,6,*1,*2,7),(5,8,2,*1,8,*6,6,3,1,*8,*8,1),(7,3,6,6,*4,9,6,7,1,1,*6,3),(7,3,3,9,7,4,*8,*6,*3,8,2,3),(8,6,7,3,2,*2,*6,*3,*4,*7,*7,*8)</t>
  </si>
  <si>
    <t>41972,76,1286,848,66,14459,93,8774362,5237731,922475,7753,73618,368,15,378</t>
  </si>
  <si>
    <t>(3,*2,*6,*8,*9,*4,*4,*7,6,3,4,6),(6,3,7,2,*5,*4,8,4,2,9,6,1),(5,*4,*4,*1,*3,8,7,9,8,5,3,8),(8,9,1,*9,8,*4,*2,*4,*2,*5,1,5),(5,9,2,*6,*5,6,4,8,9,5,8,7),(5,3,*3,*6,*4,*2,*7,*2,*4,*4,2,*1),(7,*6,7,*2,4,3,9,6,*6,7,5,*2),(7,6,6,*4,5,3,7,*1,8,9,3,*9),(1,6,6,*1,4,8,*6,7,1,7,7,*4),(1,4,3,*6,*4,*2,7,8,7,*8,8,*7),(6,9,*5,*7,2,*3,*9,*7,9,*7,9,8),(4,4,*6,*7,*1,*2,*2,*3,*2,*8,8,4)</t>
  </si>
  <si>
    <t>62416,442724,95,74921,636,3144,6712232,6162,75,52424,97,34,254,7449862,878</t>
  </si>
  <si>
    <t>(*4,*2,*8,*6,*3,*8,*8,3,6,3,4,7),(6,2,1,4,6,7,5,5,1,8,2,*1),(2,*5,*2,3,5,7,3,*6,9,2,2,*4),(5,9,4,2,8,7,*3,*7,1,9,2,*2),(7,7,1,2,3,*1,8,1,6,6,4,*4),(9,*4,*2,4,*5,1,2,2,9,*7,*7,*2),(6,*6,*9,*5,9,5,1,5,*9,*5,*9,*2),(*8,7,*1,*2,*7,*7,*1,*1,8,9,*3,1),(6,6,*1,1,*7,5,*2,5,4,5,*3,*7),(5,4,*5,8,5,*6,2,9,5,1,*2,*4),(9,6,*7,1,*1,9,5,2,5,4,6,*4),(4,8,7,*1,2,8,2,4,7,1,9,9)</t>
  </si>
  <si>
    <t>224241,744,52,862,73,63155,59,46,79332,1162197,771,4286388,35782,1157,4927</t>
  </si>
  <si>
    <t>(9,2,2,7,*6,*6,*7,*7,*9,*4,*7,*7),(4,3,*6,*3,*9,4,4,6,4,7,4,*3),(5,7,*1,*8,*5,3,1,5,5,6,2,*9),(5,5,9,4,*1,*5,*4,*5,6,*5,8,*4),(5,4,*8,6,1,9,6,3,*1,9,2,*5),(2,*3,*5,*7,*5,8,2,*4,*8,4,9,*8),(3,7,2,*2,*5,4,*3,*9,4,*9,7,7),(7,8,2,*2,*9,*2,*7,7,7,*5,*7,1),(4,8,7,*7,3,*1,9,4,9,*6,*3,9),(1,7,*9,7,*9,9,7,1,5,*4,*6,5),(9,*9,8,*9,1,8,3,7,7,*8,8,1),(*5,1,*4,*6,3,7,5,7,1,8,4,9)</t>
  </si>
  <si>
    <t>739458,23415,84659,639,87,5451,6677947,59979,185,3575,4991798,55,22,69,637</t>
  </si>
  <si>
    <t>(7,6,2,1,6,7,7,5,6,6,3,2),(7,4,9,6,1,2,4,3,7,8,7,5),(3,3,8,6,2,5,9,6,9,9,9,5),(3,3,7,7,*1,*6,8,1,9,8,1,2),(9,7,2,6,2,*8,6,3,9,6,2,4),(*5,*5,*5,4,*4,1,9,5,9,8,2,4),(6,7,2,9,4,*7,8,2,2,3,8,4),(1,8,3,9,*2,2,6,7,7,6,7,5),(4,4,1,*8,5,4,4,3,9,2,5,8),(6,1,3,6,8,*9,3,5,2,8,5,6),(4,9,4,5,5,4,*6,4,7,6,4,7),(9,4,6,5,8,7,1,6,8,2,5,4)</t>
  </si>
  <si>
    <t>81,84,*4674645,987,8739385,61,827,57873,36746,6632,332442,555,52729,5414,96</t>
  </si>
  <si>
    <t>(7,6,2,1,6,7,7,5,*6,*6,*3,*2),(7,4,*9,6,1,2,4,*3,*7,*8,*7,*5),(*3,3,*8,6,2,*5,9,6,9,9,9,5),(3,*3,*7,7,*1,*6,*8,1,9,8,1,2),(9,7,*2,*6,2,*8,6,*3,9,6,2,4),(*5,*5,*5,*4,*4,1,*9,5,*9,8,2,4),(6,7,2,9,*4,*7,8,*2,2,*3,8,4),(1,8,3,9,*2,*2,*6,7,*7,6,*7,5),(*4,4,1,*8,5,4,4,*3,9,*2,5,*8),(6,*1,3,6,8,*9,3,5,2,8,*5,6),(4,9,*4,5,*5,*4,*6,*4,*7,*6,*4,7),(9,4,6,*5,8,7,1,6,8,2,5,4)</t>
  </si>
  <si>
    <t>81,84,4674645,987,8739385,61,827,57873,36746,6632,332442,555,52729,5414,96</t>
  </si>
  <si>
    <t>(*5,1,8,3,4,6,4,4,9,4,8,1),(5,*2,7,*3,*9,*4,*9,*6,*5,*7,2,7),(2,4,*7,1,9,*6,8,4,9,2,8,9),(7,9,4,*1,*9,8,6,1,5,7,*9,*2),(8,*9,3,*7,*9,4,1,3,*6,*2,*6,3),(*2,*4,*5,3,*3,*4,*6,*7,*6,*6,*9,*8),(*1,*3,4,7,*3,7,*3,5,6,8,*8,2),(*3,*7,2,7,*6,4,1,*8,*1,7,4,4),(*5,*5,3,1,*7,6,*2,*4,*1,8,7,8),(*3,5,7,6,*1,4,9,6,*5,1,3,3),(*4,8,3,3,*3,4,2,1,5,9,5,2),(*4,6,8,9,*9,*1,*2,*1,*3,1,2,8)</t>
  </si>
  <si>
    <t>866,6975,317633,29,62,83,3949657,511,91725,24,91213,2135344,896,4676,94375</t>
  </si>
  <si>
    <t>(*7,*4,*4,5,1,8,6,2,8,8,7,2),(3,2,8,*4,5,9,3,9,2,5,8,4),(*4,*7,*9,*1,1,6,*2,4,1,3,8,9),(2,9,7,*9,7,2,*6,*3,*1,*3,*8,*6),(9,7,9,*5,8,*2,9,*6,*1,5,7,3),(6,4,8,*2,*4,*2,3,3,*5,*1,8,1),(9,*9,*1,*7,*7,*7,*5,*1,6,*6,*6,6),(3,6,6,6,*1,*3,*2,*6,*1,*1,*1,9),(2,9,9,8,8,7,4,6,5,2,9,7),(1,3,9,2,1,5,3,3,9,2,6,1),(9,8,3,4,5,*7,*8,*5,*6,*6,*7,*3),(*3,*3,*4,1,4,5,*9,*5,*9,*1,4,8)</t>
  </si>
  <si>
    <t>334,6831,1577719,479,66561,27,54,22,3766587,42,744,25914,9591,23116,116231</t>
  </si>
  <si>
    <t>(3,9,2,2,6,5,3,6,8,2,1,*9),(2,*1,*4,2,*1,*8,2,5,8,*3,*8,9),(5,1,4,*6,*6,8,*4,9,*6,*9,5,4),(8,5,*1,*9,*1,*5,9,*8,*8,3,8,7),(4,*8,*2,5,5,3,*2,*3,*7,2,9,5),(*9,5,*6,6,*8,2,*5,*7,*1,*2,*4,*3),(4,*8,*5,6,3,*3,3,2,*2,7,7,9),(3,*8,*7,*2,2,3,*5,6,*8,5,7,5),(5,*1,*5,*3,9,*5,3,*1,*3,5,5,4),(2,3,*7,*8,7,8,6,3,*1,5,8,3),(7,7,*5,*9,6,8,1,8,9,*5,5,8),(5,*6,*4,*3,*3,*3,4,3,9,7,*1,3)</t>
  </si>
  <si>
    <t>848,243,64333,71283,91,6527,2389,5757562,14,188,36,538989,98161,55,1511538</t>
  </si>
  <si>
    <t>(6,7,*7,5,1,*6,2,6,8,1,5,7),(5,4,*8,4,*7,2,8,1,3,1,1,3),(6,5,*2,*2,*5,*6,*1,*1,*6,*6,7,1),(*1,5,*6,*1,3,3,6,*2,*5,*9,*1,*2),(*2,5,*9,*1,3,*7,2,1,8,1,*4,*1),(*3,9,*2,*3,4,2,*1,2,9,3,*7,*4),(*5,9,*8,*6,*4,2,2,2,9,6,8,*2),(*5,5,2,*7,1,*8,*2,*2,*2,3,9,7),(*2,1,8,8,*2,2,*9,8,1,7,9,3),(*9,3,7,3,2,*9,2,*6,5,9,2,4),(*1,*3,*9,*1,*2,1,*9,6,7,8,3,4),(2,*1,*5,*3,7,4,5,7,5,4,3,9)</t>
  </si>
  <si>
    <t>38,71,4896,21952,1136,67,1235529,21931,99278,241,6611652,74,782692,153,222</t>
  </si>
  <si>
    <t>(5,9,3,7,3,8,*3,*1,8,3,*8,8),(2,1,*5,5,8,*9,*8,3,8,*6,*6,7),(*2,*2,*6,5,*3,*8,4,5,*2,8,*5,8),(2,4,*9,*8,5,6,5,*7,*7,1,*1,2),(8,6,*9,5,6,8,*7,*9,5,*6,*4,*3),(5,2,*8,6,*7,4,2,5,*4,6,*5,*3),(9,9,5,7,*8,1,*3,*1,*5,9,*6,*7),(6,7,8,7,3,3,*4,*3,1,3,1,*1),(6,3,1,7,2,*7,*2,*1,5,4,1,*4),(9,3,9,1,*7,*8,*6,5,3,1,2,*1),(6,7,4,*1,9,*9,3,1,3,1,6,*7),(7,5,4,3,9,2,*9,*9,*8,*9,*9,9)</t>
  </si>
  <si>
    <t>961,87,31,22,3938,8235,188,97,567,6414771,99899,77268,7141733,89965,654156</t>
  </si>
  <si>
    <t>(3,4,1,2,4,2,1,*6,6,1,*4,1),(9,8,8,1,1,1,*5,*4,9,7,*8,*9),(4,9,3,1,2,*6,5,*8,9,1,*8,*7),(6,*9,8,8,*5,5,1,*7,*1,2,*2,*5),(*9,7,*4,*7,9,1,6,*8,*2,2,6,8),(*1,*1,*3,*8,1,2,2,*4,*4,7,6,6),(*5,1,8,5,*2,5,*2,*2,*9,*6,9,9),(8,2,1,3,4,*4,4,8,*1,6,7,6),(7,9,2,8,*6,*2,*6,*6,*1,*5,*4,*8),(4,1,6,*8,6,*1,*6,5,1,3,9,2),(4,4,*7,3,9,6,*1,8,*9,*4,*9,1),(3,*6,*6,*8,*3,*3,*7,*8,8,3,9,8)</t>
  </si>
  <si>
    <t>24687,975,661548,2849,13,19421,56573,96,949,915,4882,11,26,6683378,6487842</t>
  </si>
  <si>
    <t>(4,8,7,3,5,7,*3,*3,3,8,2,2),(2,4,*3,5,5,8,6,7,4,7,7,1),(2,6,*8,*8,*4,*6,*5,*2,*2,*8,4,6),(6,5,*2,*3,*5,*1,*5,*6,*4,1,4,6),(4,3,2,7,*2,*9,*7,*5,*4,*1,*9,3),(*8,3,*7,*1,*4,*7,*5,5,4,2,4,*9),(7,*4,7,8,*3,*6,*7,*1,*9,1,*6,6),(8,4,*7,*5,*8,*9,5,*2,7,*4,1,9),(*7,*2,*1,*4,*8,4,*9,4,*9,4,5,6),(7,2,1,*9,4,3,1,*6,2,4,2,1),(*8,*7,*9,9,8,5,*7,3,9,4,2,6),(4,2,9,2,2,1,4,9,8,9,9,2)</t>
  </si>
  <si>
    <t>964967,2975419,589,8225648,71475,84127,38,9989,3671,51564,33,847,23,929,87</t>
  </si>
  <si>
    <t>(9,*1,*6,*5,1,9,6,*8,*2,*2,*6,*2),(5,3,6,*5,7,7,9,3,*6,*1,*9,*3),(1,*7,*1,5,1,6,5,9,4,2,3,1),(8,*8,*4,*2,*8,*6,7,1,9,7,4,9),(*6,*1,*5,*5,4,9,*2,2,2,2,8,6),(7,*9,*1,5,5,4,*5,*7,*7,3,3,4),(7,*7,*8,3,8,*7,9,*6,*2,5,4,4),(4,*4,*9,4,*6,*1,*5,4,4,*6,8,4),(2,*1,9,*2,7,*9,5,7,9,7,*1,6),(4,9,*4,*7,*2,8,*5,7,5,3,2,*6),(1,2,5,*1,*3,4,7,1,7,3,4,8),(9,9,*9,4,8,*5,2,3,6,6,3,8)</t>
  </si>
  <si>
    <t>6193,87,695,7659219,17,6272616,82262,981541,561,25,537,58,57624,14791,5186</t>
  </si>
  <si>
    <t>(1,8,9,2,6,3,6,4,*6,*4,1,6),(*8,1,7,1,2,6,2,7,*4,*7,7,5),(*8,6,8,2,8,*4,6,6,*2,*7,6,8),(*5,1,4,8,5,*4,*2,8,*7,*1,4,2),(*8,5,5,3,2,1,1,*9,*6,*2,5,3),(*6,8,7,9,8,1,7,2,*1,*6,*4,7),(7,4,*1,9,7,*3,9,*8,6,3,*5,7),(*5,*3,*8,8,*2,*1,*6,*1,*4,*5,*8,1),(*1,7,*6,6,7,4,*9,*5,5,9,*1,5),(*5,5,*7,8,9,4,1,5,3,5,*8,1),(2,9,*6,*1,*8,*2,*2,*6,*1,*4,*4,9),(1,6,*8,9,3,8,8,8,3,3,*2,9)</t>
  </si>
  <si>
    <t>31,44,86768,477126,4581842,4162281,64276,8858,32,16145,6858,515,924,218,95</t>
  </si>
  <si>
    <t>(6,9,*5,*3,*8,*4,4,9,*3,9,2,5),(4,1,*8,7,5,8,2,6,*7,*1,6,7),(4,9,*1,5,3,6,6,*9,4,9,*2,*5),(5,3,*1,1,3,*1,*9,9,6,9,4,*4),(5,9,8,*4,*7,*9,8,3,7,6,2,1),(*4,5,3,*9,*7,7,*2,*3,*9,*6,*5,8),(*4,8,*5,*1,*5,*3,2,5,8,*5,9,3),(5,*6,*4,3,3,2,4,7,6,*7,1,5),(4,1,8,1,3,6,2,3,5,*4,1,8),(9,4,6,5,2,5,3,5,3,5,9,8),(*3,*4,*3,*7,*4,*2,*3,*7,*9,*7,*8,*6),(*1,*9,*9,*5,4,3,7,9,1,2,8,1)</t>
  </si>
  <si>
    <t>94,23965,4179997,475,5991,44,35,213,384,54,3437423,79786,821973,17956,5811</t>
  </si>
  <si>
    <t>(5,9,3,1,8,8,8,7,5,6,2,5),(7,5,*6,*9,*3,*1,*2,*5,*3,5,*8,9),(3,2,7,*4,*3,*4,*9,7,4,*1,5,7),(9,*2,8,4,4,8,*3,*8,*6,*8,*6,*1),(9,*1,5,4,*3,7,*7,8,9,6,*1,8),(8,*5,4,*7,*2,1,*5,7,5,*7,6,7),(5,*6,*3,*8,9,3,9,*4,*9,*4,*3,*5),(1,*9,*8,5,7,4,*5,6,*1,5,9,4),(*2,*9,7,8,3,7,2,*4,3,7,3,5),(*8,6,8,6,7,7,7,3,*2,*8,3,7),(*8,*4,*9,*6,*7,*2,*4,9,*2,*1,8,8),(4,3,8,2,7,8,4,*5,2,7,*6,1)</t>
  </si>
  <si>
    <t>28898,8496724,17,75,54216,9434,825,373,29,816,21569,41,9435,6931253,386861</t>
  </si>
  <si>
    <t>(5,5,8,*2,*9,*1,*2,*9,*9,*1,5,6),(5,4,*6,*5,*8,*3,*1,*8,*3,3,3,5),(7,*9,1,3,3,7,5,7,2,3,8,4),(9,*7,1,*2,*4,*5,4,5,4,*7,5,7),(5,*3,4,8,1,*2,*5,*2,*2,*4,2,6),(9,*6,*7,*1,*8,*3,*6,8,*2,1,5,1),(6,*8,2,1,7,4,2,4,*2,5,6,8),(*4,*2,8,5,6,5,4,7,*3,5,9,*4),(*4,1,3,*3,*4,*5,*2,1,*6,9,3,*8),(*2,9,3,1,4,*7,*2,7,*9,8,7,*3),(*6,6,6,*5,2,*9,*9,1,6,1,2,*7),(*1,3,1,*3,3,4,*5,2,4,7,3,9)</t>
  </si>
  <si>
    <t>34,5922,22369,245,3813856,71,286379,25224,7384,2912991,836,47,579,44261,53</t>
  </si>
  <si>
    <t>(3,*3,3,8,2,9,1,3,8,8,4,7),(5,*2,7,9,2,6,*7,1,9,3,4,9),(4,*4,5,1,2,1,5,*4,5,7,6,6),(7,*8,8,*5,7,8,2,4,*3,*6,*1,*5),(9,*8,*2,*1,2,9,1,6,4,*8,*6,*8),(3,9,*2,*2,8,2,*9,*6,*1,*6,*6,*7),(7,6,*6,7,5,1,1,7,3,*1,*9,*4),(9,*5,*2,2,6,4,6,8,*6,*4,*3,*7),(1,*6,*2,5,8,*8,*9,*1,*1,7,*3,*6),(4,*4,9,*2,*8,3,*1,*4,3,*2,*1,*2),(4,*7,2,6,4,*5,*5,2,*7,4,2,5),(*6,*3,9,1,*1,8,6,*7,7,8,3,9)</t>
  </si>
  <si>
    <t>86,215,2674785,772,22622,9616,5414,82,37465,151161,89,1669331,32488,63,743</t>
  </si>
  <si>
    <t>(1,5,7,7,7,*5,*9,*5,*5,*3,9,6),(5,*4,*5,*6,*4,*6,*7,1,1,3,3,4),(6,6,9,1,2,1,*7,5,2,*9,*2,*7),(6,*7,8,1,7,*1,*8,6,6,8,5,*9),(1,8,*5,3,3,*5,*4,4,9,1,2,*1),(*4,8,3,*7,*2,*4,*9,4,*6,6,7,*5),(1,*1,1,4,*2,3,*1,3,8,*9,1,*8),(6,9,*7,1,8,*7,*2,*8,*1,8,*3,*4),(9,2,3,*9,1,*4,4,2,*2,5,5,9),(1,3,9,4,*1,6,1,5,2,*7,6,8),(1,6,1,3,7,*7,*9,*4,*2,1,*2,1),(1,8,4,8,*8,*9,*8,*6,*5,*3,*8,4)</t>
  </si>
  <si>
    <t>45646,396,29,25,59553,451,81,19714,7572,74,2497,485197,2194877,8356898,272</t>
  </si>
  <si>
    <t>(*9,2,7,9,7,7,8,9,5,*4,2,1),(7,*1,1,*1,*3,*9,3,6,9,*8,1,3),(*1,9,*9,*3,4,7,5,1,7,*4,*5,6),(*4,5,1,*2,2,8,9,5,*6,*5,*4,9),(*7,*6,7,9,*8,2,7,*5,7,*7,*6,3),(*3,5,*2,9,7,*2,*9,1,9,7,*6,2),(*5,1,*1,*4,1,*2,*9,1,5,5,8,4),(*1,3,7,*4,*7,8,*8,*9,8,1,7,9),(*8,9,3,*6,*1,*5,4,*5,3,1,*5,2),(2,7,4,1,*3,*6,6,*2,9,7,*2,*3),(3,9,1,*4,*9,*2,*2,*9,3,4,*3,4),(5,7,4,9,9,9,6,*5,5,4,*5,4)</t>
  </si>
  <si>
    <t>1473518,95295,75484,426,39,853,31,5466,33,672956,9192829,14162,492,17,5325</t>
  </si>
  <si>
    <t>(*2,1,8,5,7,6,*2,1,9,5,1,9),(*3,5,*8,*4,*1,*1,*6,*8,5,9,7,4),(*1,*6,*7,4,5,*6,5,1,*6,9,5,2),(*8,6,*3,*2,3,9,*4,3,9,*8,9,8),(*9,7,5,*9,*3,6,1,*5,9,7,*6,5),(*4,3,6,*5,*2,*7,3,6,*5,8,8,*5),(*1,3,7,7,*7,8,*9,7,2,*3,7,3),(*6,4,1,*3,9,*8,*6,*4,5,*1,*6,2),(*9,*7,*8,2,8,2,1,2,*3,6,6,*2),(*3,*6,6,8,2,9,6,*3,2,1,4,6),(1,9,*4,*4,7,1,1,8,4,5,9,9),(*6,*2,*1,*2,*9,*1,1,6,4,8,7,2)</t>
  </si>
  <si>
    <t>28,44,192126,864,7386,6392,56868,231,95,331,61148,6455362,3961498,97327,76</t>
  </si>
  <si>
    <t>(9,1,9,*4,*1,*3,*9,*7,2,5,5,1),(7,9,7,2,2,*9,6,9,5,6,2,3),(9,9,*4,*4,*2,2,7,6,3,6,2,5),(5,3,*4,1,*2,*7,3,*7,*7,*1,*6,3),(8,6,*5,2,5,*4,5,*5,*8,*8,*9,*8),(7,4,3,1,*4,5,*6,1,9,9,8,6),(*5,*6,*9,*7,*9,*1,*1,*3,8,3,4,7),(2,7,5,9,2,4,2,3,*4,3,*5,9),(8,4,*2,9,5,7,5,*5,8,*7,*5,4),(3,*7,5,*2,7,4,*9,*1,*9,*3,*5,2),(7,*8,8,6,2,2,1,4,6,*6,*8,8),(4,8,*1,*8,*5,*7,*5,*7,9,2,*5,1)</t>
  </si>
  <si>
    <t>6177,55585,299,72,49,9193,596,5697911,89885,185757,22,4246347,79314,87,445</t>
  </si>
  <si>
    <t>(3,7,1,9,6,1,6,1,4,2,8,4),(5,*1,*8,*8,*1,*3,2,2,8,8,5,3),(3,6,4,4,7,*6,*7,*6,*3,4,6,6),(*3,6,1,9,*4,*2,*4,*1,*9,*3,*1,*1),(9,*7,3,4,6,*6,*1,7,4,9,1,*5),(9,2,*1,6,3,8,*5,*3,*3,1,7,*5),(4,8,8,*3,1,9,*9,*4,*9,6,2,*6),(4,1,6,9,*8,9,*2,*9,*6,3,3,*6),(9,3,*8,*5,*9,*3,9,*1,3,3,5,*4),(5,8,*4,*6,*3,*3,*1,*9,3,4,6,*8),(7,8,3,7,5,1,7,*7,7,9,3,*2),(1,7,9,3,8,5,4,*1,3,1,8,9)</t>
  </si>
  <si>
    <t>3958,62,179194,46331,61,34,31881,1391424,693,37138,35,3676,295,284,1556648</t>
  </si>
  <si>
    <t>罰（2025/11/8は１、2026/1/22は３、2026/2/21は１）</t>
    <phoneticPr fontId="1"/>
  </si>
  <si>
    <t>(6,*5,1,7,5,2,7,3,9,8,2,3),(1,*4,2,*1,*8,7,*6,3,8,1,6,3),(1,*3,*6,*9,2,*8,4,*8,1,2,8,6),(9,*5,*7,*5,3,5,*4,5,*1,6,3,4),(4,*1,*9,*2,1,*4,5,*5,5,*2,1,8),(8,2,*9,*4,*5,1,1,5,3,3,3,*2),(2,9,*9,*6,1,1,*4,*6,*3,*9,*4,*2),(9,5,*5,1,7,1,6,*1,*5,*7,4,5),(7,6,*9,2,*2,*7,*9,*3,*8,*6,8,7),(5,9,5,2,4,8,3,6,6,3,4,6),(*5,*5,4,7,7,9,7,9,3,*8,*7,4),(5,8,3,*4,*7,*5,*9,*5,*7,*6,4,6)</t>
  </si>
  <si>
    <t>79386,654,249364,2186,42591,5488,742,751,85,27,6799959,15345,6759574,55,87</t>
  </si>
  <si>
    <t>(*4,*2,3,*7,*5,*1,*5,*6,6,5,1,1),(*6,*6,7,4,5,4,2,1,8,6,9,7),(*8,*8,5,*7,2,4,1,2,7,6,3,3),(*1,6,*8,4,*6,*9,4,*8,6,9,5,4),(*1,1,7,*1,*1,*3,8,*3,9,*3,2,5),(*7,1,1,*1,6,6,*6,*7,9,*1,7,9),(*5,8,*9,*4,*1,1,9,*5,2,*8,3,8),(*3,*1,*3,*9,*8,9,5,*4,6,*5,7,8),(*1,8,7,7,6,5,3,*5,*3,*9,5,1),(2,*3,*9,*3,*7,*9,4,*1,5,1,4,8),(*4,*4,9,7,5,7,*1,5,4,1,8,4),(4,3,3,8,9,2,*2,*8,1,5,4,6)</t>
  </si>
  <si>
    <t>44,1545738,95813,918,31398,188,268,3937,119119,6367,41,53,28,5711864,75156</t>
  </si>
  <si>
    <t>(4,2,5,8,7,*2,*1,*5,*5,*7,*8,3),(3,*2,9,6,7,7,3,*8,9,8,2,8),(1,*5,9,*6,1,2,*2,3,5,2,6,2),(8,*1,4,2,*4,*4,*3,5,5,9,1,2),(7,*5,5,*9,*8,*5,1,*6,4,7,1,*4),(2,*1,5,*3,*1,1,*2,7,*3,4,1,*8),(4,3,7,*3,7,*4,3,*3,*5,*9,6,*1),(*9,9,7,2,7,*5,*3,3,1,*6,3,*9),(*7,*7,*7,*2,*9,*9,8,*1,*2,*7,*2,8),(*3,9,1,1,2,9,8,2,*4,3,9,5),(5,5,5,2,6,4,3,4,3,*2,5,4),(5,7,*3,*7,*4,*3,*6,*8,*6,3,7,3)</t>
  </si>
  <si>
    <t>32546,33,35,272,77299,15152,59,9184,96,3743686,2413419,875512,363,379,8428</t>
  </si>
  <si>
    <t>(1,6,8,7,*9,4,*4,*6,1,9,*3,4),(1,8,9,*5,3,*5,5,4,*3,*5,3,2),(7,3,*8,8,*4,1,4,5,*7,*6,*6,3),(9,*6,2,*4,3,9,7,*9,8,*7,*7,6),(*8,9,*5,6,*8,4,3,5,*7,5,3,7),(9,*5,4,7,*7,8,6,*8,2,8,1,7),(*7,8,3,7,*2,5,*9,2,*6,2,2,8),(9,*8,2,*2,1,*6,9,*7,5,8,6,8),(9,*5,4,*5,*5,*6,*2,9,5,4,7,3),(2,*8,6,2,2,*5,*4,*7,*3,*6,6,1),(8,*2,3,9,*7,4,1,3,*8,*7,*5,4),(4,*3,9,3,*1,*7,*3,*2,*1,*9,*1,8)</t>
  </si>
  <si>
    <t>4544557,95868,32858,672,7636,25,732191,6778965,26,71,278,63745,875,3579,15</t>
  </si>
  <si>
    <t>(3,*8,*6,6,6,*2,6,2,1,6,8,4),(6,*7,*1,*9,*9,*3,*4,*4,9,6,1,2),(3,*7,*1,7,*7,8,3,*1,*5,2,1,2),(*7,*2,*3,7,4,*3,*8,2,1,6,*2,3),(*8,*8,*8,5,9,*5,*5,2,4,1,*2,7),(*2,3,6,3,*4,1,6,*9,2,9,*7,4),(*7,4,1,*3,9,*1,8,7,*1,9,2,8),(*7,7,*8,8,8,9,*3,3,1,*6,7,2),(*2,*9,2,2,7,9,4,*1,3,2,2,6),(*6,3,1,8,*4,*2,*7,9,*3,2,5,9),(6,2,3,4,*8,*6,2,7,4,*7,6,4),(1,4,8,*9,*6,6,*7,*3,*4,*3,5,5)</t>
  </si>
  <si>
    <t>289,722,9834581,766,62,73131,6195379,782772,51,82778,23,9344,3437,24,83116</t>
  </si>
  <si>
    <t>(*1,1,9,2,3,1,1,*8,6,2,6,7),(*1,3,8,4,3,4,*4,8,1,6,*7,*1),(*1,9,2,3,1,*5,*2,9,7,8,*6,*9),(*2,5,1,4,*3,2,5,2,*8,*6,*2,*1),(*8,5,7,*5,*7,3,*7,*1,*3,*3,*9,*6),(*5,4,*2,3,*4,1,*7,8,7,*5,*8,*3),(*7,*1,9,4,1,*9,3,6,*8,*1,*2,*1),(5,2,*8,*9,*9,*4,*4,5,8,2,*3,5),(7,4,7,9,3,5,9,9,7,2,*6,1),(*3,*7,*3,*3,9,1,2,9,6,8,*7,4),(4,4,2,5,3,1,4,3,4,1,*7,7),(5,2,8,6,4,6,2,6,8,3,*5,4)</t>
  </si>
  <si>
    <t>76298,19163,86,8453521,42,971,51,577632,381,3733,8591,89944,74,1112857,317</t>
  </si>
  <si>
    <t>(4,7,3,2,1,6,*9,9,*7,*9,8,*8),(7,*8,8,5,6,7,*5,6,1,6,*1,*8),(7,9,*2,*5,*3,*5,*4,*9,9,*1,*4,2),(3,6,9,*2,8,2,*6,9,*5,*1,6,*5),(1,5,8,5,*6,4,*6,9,*2,6,*4,*7),(5,9,8,*8,4,*3,*5,3,1,8,*3,*4),(8,2,1,8,*4,9,*8,8,8,*7,*8,*6),(9,*2,*6,*6,7,*4,*1,*9,*2,8,*3,*8),(6,*1,5,6,8,6,*5,*5,1,4,*5,2),(9,*7,6,6,6,9,*6,*3,*9,7,*8,5),(9,7,7,5,1,*8,4,7,*3,5,*2,4),(5,1,2,6,2,2,1,1,*8,*8,6,2)</t>
  </si>
  <si>
    <t>72568,57468,71,662,8412,938,91,8115,566,8445338,79,836228,95,94535,4383582</t>
  </si>
  <si>
    <t>(3,7,7,5,5,3,7,2,9,7,*7,3),(4,3,3,3,4,2,1,2,6,*3,7,9),(*2,4,1,6,6,*7,5,6,*3,9,5,*9),(9,*7,*9,9,7,*8,1,*4,*7,1,3,*8),(7,6,*8,8,*2,*8,9,5,4,9,1,*9),(9,4,*2,*5,2,*4,3,*5,1,8,*9,*4),(8,*3,6,1,*7,3,*6,*4,*5,9,*5,*9),(*1,3,*8,9,9,1,7,*8,8,4,*1,*7),(*6,3,8,*9,5,*8,5,2,*3,6,*7,*6),(*4,*2,*1,*9,*8,7,*8,2,8,*3,*8,3),(*1,9,2,5,7,*4,2,*8,5,2,*4,4),(*1,4,8,9,2,9,*4,6,*5,4,8,7)</t>
  </si>
  <si>
    <t>4337,87159,11461,912,75872,8885,65,52,788,2468334,74,448983,982,6794989,45</t>
  </si>
  <si>
    <t>(7,8,6,1,3,7,2,8,2,7,1,2),(9,7,*8,3,*6,*2,*9,*1,*9,5,3,5),(4,9,*8,8,4,5,7,6,4,1,7,4),(8,*2,*1,*6,4,*9,*1,*1,*3,*5,*5,6),(6,4,*4,9,*4,*6,*3,3,4,6,7,8),(2,8,*2,2,7,*1,*6,7,5,9,2,8),(4,8,*5,*6,*2,*7,*7,1,9,4,1,6),(*5,6,7,8,8,*7,*2,*5,4,7,4,5),(9,*3,2,9,1,*3,*6,7,*2,2,2,*6),(9,4,*1,1,9,*9,5,*1,1,3,*1,4),(8,5,5,*8,1,*6,*4,4,5,*3,5,8),(*1,*9,*3,*7,*6,*9,*4,2,*8,7,9,8)</t>
  </si>
  <si>
    <t>28,553119,7146,6937716,1937694,265,88142,613,78,8135,52,38,214,91926,36726</t>
  </si>
  <si>
    <t>(2,*9,*3,*7,*2,*8,*1,*4,3,*8,8,5),(5,6,3,9,6,3,8,4,*7,6,8,7),(7,8,3,2,9,1,1,*6,8,3,7,2),(7,1,5,5,4,2,*2,7,*4,7,*7,8),(*1,7,3,6,8,*5,1,9,*6,6,*8,8),(*5,6,*8,*5,*9,*5,*6,2,*3,5,*2,1),(*4,5,7,5,8,1,*9,2,*3,2,*1,9),(*2,5,*1,2,9,7,*4,*8,*3,*7,6,2),(*3,*6,9,*1,4,1,*6,3,*6,7,6,3),(*5,*8,8,4,*2,7,*2,*4,*9,8,2,4),(*9,5,9,5,8,*2,*9,*3,*6,*1,*9,9),(4,7,8,2,5,9,*6,3,4,4,2,7)</t>
  </si>
  <si>
    <t>56,1542359,876259,92649,7821,14,9633364,84,93728,958,68,11226,639,3619,467</t>
  </si>
  <si>
    <t>(9,6,3,7,1,1,1,6,1,2,6,7),(6,9,9,7,*9,9,5,*2,*1,3,9,5),(8,5,9,*3,4,7,1,3,6,6,2,4),(4,5,*9,6,4,9,1,2,6,8,7,8),(9,*3,8,2,3,9,6,7,8,3,2,*3),(*2,5,9,3,6,5,6,5,6,6,*5,*3),(4,5,5,4,9,3,2,9,7,*2,5,*1),(4,5,4,4,5,4,4,3,*6,3,8,5),(5,3,5,4,7,8,3,*6,3,9,6,9),(*1,9,5,9,5,5,*7,8,6,2,5,3),(8,*4,5,9,*7,*7,7,6,4,*2,*7,*6),(1,3,*4,4,*1,7,7,1,5,3,7,*1)</t>
  </si>
  <si>
    <t>93932,276,7766253,*555394,21,9944432,63863,7996,6948,537,71,31,65736,61,144</t>
  </si>
  <si>
    <t>(9,6,3,7,1,1,1,6,1,2,6,7),(*6,*9,*9,*7,*9,9,5,*2,*1,*3,9,5),(8,5,9,*3,4,7,1,3,6,*6,2,4),(4,5,*9,6,4,9,1,2,6,*8,7,8),(9,*3,8,*2,3,9,6,7,8,*3,2,*3),(*2,*5,9,*3,6,5,6,5,*6,*6,*5,*3),(4,*5,5,*4,9,3,2,*9,7,*2,5,*1),(4,*5,4,*4,5,4,*4,3,*6,3,8,5),(5,*3,5,*4,7,*8,3,*6,3,9,6,9),(*1,*9,5,*9,5,5,*7,8,6,2,5,3),(8,*4,5,*9,*7,*7,7,6,4,*2,*7,*6),(1,3,*4,4,*1,7,7,1,*5,*3,*7,*1)</t>
  </si>
  <si>
    <t>93932,276,7766253,555394,21,9944432,63863,7996,6948,537,71,31,*65736,61,144</t>
  </si>
  <si>
    <t>(9,6,3,7,1,1,1,6,1,2,6,7),(*6,*9,*9,*7,*9,9,5,*2,*1,*3,9,5),(8,5,9,*3,4,7,1,3,6,*6,2,4),(4,5,*9,6,4,9,1,2,6,*8,7,8),(9,*3,8,*2,3,9,*6,7,8,*3,2,*3),(*2,*5,9,*3,6,5,6,*5,*6,*6,*5,*3),(4,*5,5,*4,9,3,2,*9,*7,*2,5,*1),(4,*5,4,*4,5,4,*4,3,*6,*3,8,5),(5,*3,5,*4,7,*8,3,*6,3,9,*6,9),(*1,*9,5,*9,5,5,*7,8,6,2,5,3),(8,*4,5,*9,*7,*7,7,6,4,*2,*7,*6),(1,3,*4,4,*1,7,7,1,*5,*3,*7,*1)</t>
  </si>
  <si>
    <t>93932,276,7766253,555394,21,9944432,63863,7996,6948,537,71,31,65736,61,144</t>
  </si>
  <si>
    <t>(1,4,3,9,2,1,3,2,5,6,2,4),(6,*3,1,1,*4,9,*5,4,9,8,4,1),(*2,9,*2,*7,1,4,2,*8,3,3,4,4),(*4,*7,*6,*4,2,4,6,7,*7,8,7,1),(*5,*1,*9,3,9,8,6,1,*6,*4,3,1),(*1,3,5,*7,*6,*6,*6,*6,7,*6,*8,5),(*7,8,1,8,9,5,*5,*3,8,8,*3,*4),(8,*4,*5,*6,*1,*1,*8,*4,7,3,4,*4),(2,*1,*6,*9,*3,*3,*6,*8,1,4,6,8),(8,2,9,9,5,2,*5,6,9,1,4,5),(7,4,*6,*4,*2,2,5,*8,9,7,4,3),(*1,*1,*3,*1,*2,2,3,3,*8,2,7,5)</t>
  </si>
  <si>
    <t>53,4561184,1674,6634,66667,885,324,1693368,14,19,21311,97,246,587484,24517</t>
  </si>
  <si>
    <t>(9,7,2,6,3,*1,4,*8,2,*7,*8,*8),(3,*3,2,1,4,7,*2,3,*7,5,5,3),(9,*5,*1,1,1,4,4,*4,2,*5,8,4),(1,4,7,*7,2,8,6,7,*4,9,*9,1),(4,1,4,*4,*7,6,9,3,1,*5,5,*2),(2,*8,*5,6,2,*6,4,*2,5,2,*7,7),(2,5,4,3,3,*5,*1,7,*2,1,2,*8),(7,5,5,8,4,4,*4,6,8,*7,6,3),(*7,*9,*4,*6,5,9,6,*8,5,8,*6,4),(4,8,*7,2,*3,*4,*5,*1,*8,*2,*6,*4),(6,*8,7,7,*1,*8,*7,*1,*1,*1,*3,4),(*7,9,7,4,9,*8,*1,*3,*2,*3,1,6)</t>
  </si>
  <si>
    <t>47,53,87592,3111781,58,845,518264,6722,787,34,8754421,16771,7946,81323,788</t>
  </si>
  <si>
    <t>(6,8,9,7,2,*6,*4,*7,*3,*7,*3,*9),(7,6,9,8,4,*8,9,8,3,9,9,*1),(7,9,6,5,*9,8,3,1,9,8,6,*4),(2,1,7,*2,*3,*5,*6,*7,5,5,8,*3),(3,3,*9,*5,6,*9,3,5,7,8,9,*1),(7,*3,*2,7,4,9,*6,8,8,1,1,*4),(7,*8,*9,*4,1,3,*9,1,9,8,6,*1),(*3,3,2,4,3,3,8,3,8,1,8,4),(*2,*1,4,4,5,6,6,3,8,6,2,7),(*8,3,*3,4,*3,*8,*5,*3,*7,*1,*2,9),(*3,9,4,3,*1,*8,*7,*1,*1,3,4,7),(*6,*4,*2,*1,*3,*7,5,7,*3,1,6,2)</t>
  </si>
  <si>
    <t>59,3853712,18,3528,96,713,73124,143141,9373746,1178,32836,567,313,94,89293</t>
  </si>
  <si>
    <t>(*9,*8,*5,*4,*2,*5,*5,8,3,6,8,8),(8,1,3,1,6,6,3,2,3,5,*9,5),(7,2,3,1,6,7,8,8,9,*9,9,3),(5,8,8,7,*9,9,6,2,*2,6,4,*4),(7,9,5,8,7,*4,8,*1,2,6,4,*6),(3,2,6,*3,*1,*4,*8,*3,*3,*5,9,*5),(8,6,*3,2,9,3,9,*5,5,5,4,*1),(5,*7,1,*2,*7,*1,*9,5,*5,9,*8,*6),(*9,8,2,1,4,3,8,9,8,*1,5,*7),(3,*9,*5,*2,*4,*6,*2,*1,*3,1,4,*5),(7,5,6,7,8,7,*6,*2,*9,*7,*8,2),(6,6,*3,*7,*8,*4,*8,1,9,7,3,1)</t>
  </si>
  <si>
    <t>973,38,35,5524589,55849,2719,413,68,4651675,9921,126425,62978,231,95,84873</t>
  </si>
  <si>
    <t>(9,1,5,3,*1,*8,*2,*9,9,4,2,*8),(5,9,*8,*8,7,4,*9,6,2,1,*8,4),(2,1,2,*2,9,3,7,*8,4,*2,7,4),(5,6,8,1,*1,5,9,*4,*2,4,3,3),(6,*1,1,6,*8,*5,*3,*6,9,6,3,1),(4,3,*6,*6,*3,*7,*3,5,*9,2,9,*1),(*3,2,*8,*1,*7,*2,1,2,1,*7,*1,5),(*2,*9,8,*5,*6,2,4,9,7,*2,7,4),(*2,3,9,3,5,*3,1,7,*2,2,*3,1),(*5,7,3,5,7,4,*2,*2,4,8,*9,7),(*9,*6,5,5,5,9,5,5,5,4,*3,5),(2,8,*5,*5,*7,*8,*5,*1,*7,4,*4,7)</t>
  </si>
  <si>
    <t>2362288,83,689,81,829,97,69,4393,161632,95223,11222,5128,43775,289,5578517</t>
  </si>
  <si>
    <t>(*9,*6,*4,*1,*9,*3,*1,2,6,2,4,4),(2,3,2,8,8,2,3,4,2,4,7,6),(6,4,4,3,2,8,6,7,2,*7,6,3),(*9,*2,*1,*2,*7,1,1,*3,*4,1,*7,*5),(*2,*9,*5,5,2,4,*6,*1,*5,5,9,*6),(3,8,6,7,6,*3,*2,9,*3,1,7,9),(*5,*7,*5,*2,*3,*7,5,5,*1,*6,4,8),(*9,*5,*9,*4,*9,8,3,4,*9,*9,4,*1),(*6,*9,*4,*8,5,4,6,3,*4,*8,*7,5),(4,1,3,5,9,1,*4,4,*1,*8,6,7),(5,*8,*6,7,8,6,*4,2,*9,*3,4,2),(8,1,7,3,5,7,3,2,9,*1,3,5)</t>
  </si>
  <si>
    <t>592,5319419,44,94959,68,363,4127,6948,32575,65,677,9641931,72129,17,138896</t>
  </si>
  <si>
    <t>(1,*9,4,6,5,*5,1,3,9,9,5,3),(5,*9,*2,1,*2,4,6,9,3,9,1,1),(*1,*6,5,*3,5,4,9,3,2,5,5,7),(1,*4,6,4,*3,3,4,*6,8,6,5,4),(6,*3,4,8,6,*6,2,*9,3,2,5,*4),(3,*2,5,3,5,*1,*3,*5,2,8,*8,5),(9,9,6,2,*8,3,3,*6,5,*5,7,3),(6,5,8,6,8,9,5,*5,*6,*8,6,6),(*6,3,8,3,3,6,2,*7,5,8,6,1),(*4,7,6,8,*2,4,7,6,3,6,2,3),(*5,9,4,1,*2,3,6,3,3,3,9,2),(5,4,7,4,5,4,7,7,8,7,2,9)</t>
  </si>
  <si>
    <t>48567,923363,96432,18,56596,*9832,5477872,523,421,3674,22,4123633,546,68,16</t>
    <phoneticPr fontId="1"/>
  </si>
  <si>
    <t>(1,*9,4,6,5,*5,1,3,9,9,5,3),(5,*9,*2,1,*2,4,6,9,3,9,1,1),(*1,*6,5,*3,5,4,9,3,2,5,5,7),(1,*4,6,4,*3,3,4,*6,8,6,5,4),(6,*3,4,8,6,*6,2,*9,3,2,5,*4),(3,*2,5,3,5,*1,*3,*5,2,8,*8,5),(9,*9,6,2,*8,3,3,*6,5,*5,7,3),(6,5,*8,6,8,9,5,*5,*6,*8,6,6),(*6,3,8,*3,3,6,2,*7,5,8,6,1),(*4,7,6,8,*2,4,7,6,3,6,2,3),(*5,9,4,1,*2,3,6,3,3,3,9,2),(5,4,7,4,5,4,7,7,8,7,2,9)</t>
  </si>
  <si>
    <t>48567,923363,96432,18,56596,9832,*5477872,523,421,3674,22,4123633,546,68,16</t>
    <phoneticPr fontId="1"/>
  </si>
  <si>
    <t>(1,*9,4,6,5,*5,1,3,9,9,5,3),(5,*9,*2,*1,*2,*4,6,9,3,9,1,1),(*1,*6,5,*3,5,4,9,3,2,5,5,7),(1,*4,6,4,*3,3,4,*6,8,6,5,4),(6,*3,4,8,6,*6,2,*9,3,2,5,*4),(3,*2,5,3,5,*1,*3,*5,2,8,*8,5),(9,*9,6,2,*8,3,3,*6,5,*5,7,3),(6,5,*8,6,8,9,5,*5,*6,*8,6,6),(*6,3,8,*3,3,6,2,*7,5,8,6,1),(*4,7,6,8,*2,*4,*7,*6,*3,6,2,3),(*5,9,*4,*1,*2,*3,*6,*3,*3,3,9,2),(5,4,7,4,*5,*4,*7,*7,*8,*7,*2,9)</t>
    <phoneticPr fontId="1"/>
  </si>
  <si>
    <t>48567,923363,96432,18,56596,9832,5477872,523,421,3674,22,4123633,546,68,16</t>
    <phoneticPr fontId="1"/>
  </si>
  <si>
    <t>(1,6,6,5,1,1,9,5,1,4,4,1),(3,*9,5,5,*4,*5,5,1,5,5,4,8),(1,*9,2,3,*3,*9,8,2,4,2,9,*5),(8,*3,9,3,*8,*3,4,2,3,3,*3,7),(2,8,1,8,*5,*5,2,3,*9,*6,6,*9),(*8,1,7,9,*2,*3,8,*5,*3,4,*3,*6),(9,*8,*4,*1,*5,1,*6,*7,*8,1,*6,*1),(1,6,*2,5,*9,*8,1,*8,*4,9,*9,*1),(4,7,3,2,*1,3,*4,3,6,*5,*4,1),(6,4,9,*8,5,*5,2,8,5,*4,*9,2),(4,5,*1,6,*3,*2,*2,*2,*2,*6,*7,*2),(1,8,9,6,9,7,4,5,5,2,7,6)</t>
  </si>
  <si>
    <t>4385259,35395,762222,78,74592,9568181,41,3635,44,1169,88453,51,399,882,369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</si>
</sst>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32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19" fontId="0" fillId="0" borderId="0" xfId="0" applyNumberFormat="1">
      <alignment vertical="center"/>
    </xf>
    <xf numFmtId="0" fontId="3" fillId="0" borderId="0" xfId="0" applyFont="1" applyFill="1">
      <alignment vertical="center"/>
    </xf>
    <xf numFmtId="0" fontId="0" fillId="0" borderId="0" xfId="0" applyFill="1">
      <alignment vertical="center"/>
    </xf>
    <xf numFmtId="0" fontId="0" fillId="0" borderId="0" xfId="0" applyFill="1" applyAlignment="1">
      <alignment vertical="center" wrapText="1"/>
    </xf>
    <xf numFmtId="22" fontId="0" fillId="0" borderId="0" xfId="0" applyNumberFormat="1" applyFill="1">
      <alignment vertical="center"/>
    </xf>
    <xf numFmtId="176" fontId="0" fillId="0" borderId="0" xfId="0" applyNumberForma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データ!$Q$2:$Q$191</c:f>
              <c:strCache>
                <c:ptCount val="190"/>
                <c:pt idx="0">
                  <c:v>グラフ化（経過時間）</c:v>
                </c:pt>
                <c:pt idx="1">
                  <c:v>0:20</c:v>
                </c:pt>
                <c:pt idx="2">
                  <c:v>0:15</c:v>
                </c:pt>
                <c:pt idx="3">
                  <c:v>0:25</c:v>
                </c:pt>
                <c:pt idx="4">
                  <c:v>0:28</c:v>
                </c:pt>
                <c:pt idx="5">
                  <c:v>0:21</c:v>
                </c:pt>
                <c:pt idx="6">
                  <c:v>0:27</c:v>
                </c:pt>
                <c:pt idx="7">
                  <c:v>0:15</c:v>
                </c:pt>
                <c:pt idx="8">
                  <c:v>0:29</c:v>
                </c:pt>
                <c:pt idx="9">
                  <c:v>0:20</c:v>
                </c:pt>
                <c:pt idx="10">
                  <c:v>0:09</c:v>
                </c:pt>
                <c:pt idx="11">
                  <c:v>0:15</c:v>
                </c:pt>
                <c:pt idx="12">
                  <c:v>0:09</c:v>
                </c:pt>
                <c:pt idx="13">
                  <c:v>0:21</c:v>
                </c:pt>
                <c:pt idx="14">
                  <c:v>0:17</c:v>
                </c:pt>
                <c:pt idx="15">
                  <c:v>0:18</c:v>
                </c:pt>
                <c:pt idx="16">
                  <c:v>0:24</c:v>
                </c:pt>
                <c:pt idx="17">
                  <c:v>0:22</c:v>
                </c:pt>
                <c:pt idx="18">
                  <c:v>0:22</c:v>
                </c:pt>
                <c:pt idx="19">
                  <c:v>0:20</c:v>
                </c:pt>
                <c:pt idx="20">
                  <c:v>0:11</c:v>
                </c:pt>
                <c:pt idx="21">
                  <c:v>0:20</c:v>
                </c:pt>
                <c:pt idx="22">
                  <c:v>0:21</c:v>
                </c:pt>
                <c:pt idx="23">
                  <c:v>0:17</c:v>
                </c:pt>
                <c:pt idx="24">
                  <c:v>0:36</c:v>
                </c:pt>
                <c:pt idx="25">
                  <c:v>0:18</c:v>
                </c:pt>
                <c:pt idx="26">
                  <c:v>0:14</c:v>
                </c:pt>
                <c:pt idx="27">
                  <c:v>0:16</c:v>
                </c:pt>
                <c:pt idx="28">
                  <c:v>0:23</c:v>
                </c:pt>
                <c:pt idx="29">
                  <c:v>0:12</c:v>
                </c:pt>
                <c:pt idx="30">
                  <c:v>0:20</c:v>
                </c:pt>
                <c:pt idx="31">
                  <c:v>0:17</c:v>
                </c:pt>
                <c:pt idx="32">
                  <c:v>0:16</c:v>
                </c:pt>
                <c:pt idx="33">
                  <c:v>0:13</c:v>
                </c:pt>
                <c:pt idx="34">
                  <c:v>0:18</c:v>
                </c:pt>
                <c:pt idx="35">
                  <c:v>0:15</c:v>
                </c:pt>
                <c:pt idx="36">
                  <c:v>0:14</c:v>
                </c:pt>
                <c:pt idx="37">
                  <c:v>0:14</c:v>
                </c:pt>
                <c:pt idx="38">
                  <c:v>0:14</c:v>
                </c:pt>
                <c:pt idx="39">
                  <c:v>0:12</c:v>
                </c:pt>
                <c:pt idx="40">
                  <c:v>0:12</c:v>
                </c:pt>
                <c:pt idx="41">
                  <c:v>0:11</c:v>
                </c:pt>
                <c:pt idx="42">
                  <c:v>0:12</c:v>
                </c:pt>
                <c:pt idx="43">
                  <c:v>0:12</c:v>
                </c:pt>
                <c:pt idx="44">
                  <c:v>0:11</c:v>
                </c:pt>
                <c:pt idx="45">
                  <c:v>0:08</c:v>
                </c:pt>
                <c:pt idx="46">
                  <c:v>0:10</c:v>
                </c:pt>
                <c:pt idx="47">
                  <c:v>0:07</c:v>
                </c:pt>
                <c:pt idx="48">
                  <c:v>0:09</c:v>
                </c:pt>
                <c:pt idx="49">
                  <c:v>0:12</c:v>
                </c:pt>
                <c:pt idx="50">
                  <c:v>0:16</c:v>
                </c:pt>
                <c:pt idx="51">
                  <c:v>0:09</c:v>
                </c:pt>
                <c:pt idx="52">
                  <c:v>0:14</c:v>
                </c:pt>
                <c:pt idx="53">
                  <c:v>0:11</c:v>
                </c:pt>
                <c:pt idx="54">
                  <c:v>0:27</c:v>
                </c:pt>
                <c:pt idx="55">
                  <c:v>0:13</c:v>
                </c:pt>
                <c:pt idx="56">
                  <c:v>0:14</c:v>
                </c:pt>
                <c:pt idx="57">
                  <c:v>0:14</c:v>
                </c:pt>
                <c:pt idx="58">
                  <c:v>0:10</c:v>
                </c:pt>
                <c:pt idx="59">
                  <c:v>0:11</c:v>
                </c:pt>
                <c:pt idx="60">
                  <c:v>0:12</c:v>
                </c:pt>
                <c:pt idx="61">
                  <c:v>0:14</c:v>
                </c:pt>
                <c:pt idx="62">
                  <c:v>0:08</c:v>
                </c:pt>
                <c:pt idx="63">
                  <c:v>0:09</c:v>
                </c:pt>
                <c:pt idx="64">
                  <c:v>0:11</c:v>
                </c:pt>
                <c:pt idx="65">
                  <c:v>0:09</c:v>
                </c:pt>
                <c:pt idx="66">
                  <c:v>0:14</c:v>
                </c:pt>
                <c:pt idx="67">
                  <c:v>0:24</c:v>
                </c:pt>
                <c:pt idx="68">
                  <c:v>0:15</c:v>
                </c:pt>
                <c:pt idx="69">
                  <c:v>0:11</c:v>
                </c:pt>
                <c:pt idx="70">
                  <c:v>0:11</c:v>
                </c:pt>
                <c:pt idx="71">
                  <c:v>0:11</c:v>
                </c:pt>
                <c:pt idx="72">
                  <c:v>0:14</c:v>
                </c:pt>
                <c:pt idx="73">
                  <c:v>0:16</c:v>
                </c:pt>
                <c:pt idx="74">
                  <c:v>0:08</c:v>
                </c:pt>
                <c:pt idx="75">
                  <c:v>0:07</c:v>
                </c:pt>
                <c:pt idx="76">
                  <c:v>0:14</c:v>
                </c:pt>
                <c:pt idx="77">
                  <c:v>0:08</c:v>
                </c:pt>
                <c:pt idx="78">
                  <c:v>0:11</c:v>
                </c:pt>
                <c:pt idx="79">
                  <c:v>0:09</c:v>
                </c:pt>
                <c:pt idx="80">
                  <c:v>0:12</c:v>
                </c:pt>
                <c:pt idx="81">
                  <c:v>0:12</c:v>
                </c:pt>
                <c:pt idx="82">
                  <c:v>0:10</c:v>
                </c:pt>
                <c:pt idx="83">
                  <c:v>0:12</c:v>
                </c:pt>
                <c:pt idx="84">
                  <c:v>0:11</c:v>
                </c:pt>
                <c:pt idx="85">
                  <c:v>0:08</c:v>
                </c:pt>
                <c:pt idx="86">
                  <c:v>0:10</c:v>
                </c:pt>
                <c:pt idx="87">
                  <c:v>0:16</c:v>
                </c:pt>
                <c:pt idx="88">
                  <c:v>0:08</c:v>
                </c:pt>
                <c:pt idx="89">
                  <c:v>0:09</c:v>
                </c:pt>
                <c:pt idx="90">
                  <c:v>0:09</c:v>
                </c:pt>
                <c:pt idx="91">
                  <c:v>0:11</c:v>
                </c:pt>
                <c:pt idx="92">
                  <c:v>0:11</c:v>
                </c:pt>
                <c:pt idx="93">
                  <c:v>0:08</c:v>
                </c:pt>
                <c:pt idx="94">
                  <c:v>0:16</c:v>
                </c:pt>
                <c:pt idx="95">
                  <c:v>0:08</c:v>
                </c:pt>
                <c:pt idx="96">
                  <c:v>0:07</c:v>
                </c:pt>
                <c:pt idx="97">
                  <c:v>0:14</c:v>
                </c:pt>
                <c:pt idx="98">
                  <c:v>0:11</c:v>
                </c:pt>
                <c:pt idx="99">
                  <c:v>0:13</c:v>
                </c:pt>
                <c:pt idx="100">
                  <c:v>0:10</c:v>
                </c:pt>
                <c:pt idx="101">
                  <c:v>0:17</c:v>
                </c:pt>
                <c:pt idx="102">
                  <c:v>0:09</c:v>
                </c:pt>
                <c:pt idx="103">
                  <c:v>0:14</c:v>
                </c:pt>
                <c:pt idx="104">
                  <c:v>0:09</c:v>
                </c:pt>
                <c:pt idx="105">
                  <c:v>0:10</c:v>
                </c:pt>
                <c:pt idx="106">
                  <c:v>0:08</c:v>
                </c:pt>
                <c:pt idx="107">
                  <c:v>0:13</c:v>
                </c:pt>
                <c:pt idx="108">
                  <c:v>0:06</c:v>
                </c:pt>
                <c:pt idx="109">
                  <c:v>0:08</c:v>
                </c:pt>
                <c:pt idx="110">
                  <c:v>0:09</c:v>
                </c:pt>
                <c:pt idx="111">
                  <c:v>0:15</c:v>
                </c:pt>
                <c:pt idx="112">
                  <c:v>0:09</c:v>
                </c:pt>
                <c:pt idx="113">
                  <c:v>0:12</c:v>
                </c:pt>
                <c:pt idx="114">
                  <c:v>0:11</c:v>
                </c:pt>
                <c:pt idx="115">
                  <c:v>0:11</c:v>
                </c:pt>
                <c:pt idx="116">
                  <c:v>0:20</c:v>
                </c:pt>
                <c:pt idx="117">
                  <c:v>0:12</c:v>
                </c:pt>
                <c:pt idx="118">
                  <c:v>0:09</c:v>
                </c:pt>
                <c:pt idx="119">
                  <c:v>0:11</c:v>
                </c:pt>
                <c:pt idx="120">
                  <c:v>0:12</c:v>
                </c:pt>
                <c:pt idx="121">
                  <c:v>0:13</c:v>
                </c:pt>
                <c:pt idx="122">
                  <c:v>0:09</c:v>
                </c:pt>
                <c:pt idx="123">
                  <c:v>0:14</c:v>
                </c:pt>
                <c:pt idx="124">
                  <c:v>0:09</c:v>
                </c:pt>
                <c:pt idx="125">
                  <c:v>0:12</c:v>
                </c:pt>
                <c:pt idx="126">
                  <c:v>0:11</c:v>
                </c:pt>
                <c:pt idx="127">
                  <c:v>0:08</c:v>
                </c:pt>
                <c:pt idx="128">
                  <c:v>0:13</c:v>
                </c:pt>
                <c:pt idx="129">
                  <c:v>0:09</c:v>
                </c:pt>
                <c:pt idx="130">
                  <c:v>0:09</c:v>
                </c:pt>
                <c:pt idx="131">
                  <c:v>0:11</c:v>
                </c:pt>
                <c:pt idx="132">
                  <c:v>0:12</c:v>
                </c:pt>
                <c:pt idx="133">
                  <c:v>0:14</c:v>
                </c:pt>
                <c:pt idx="134">
                  <c:v>0:09</c:v>
                </c:pt>
                <c:pt idx="135">
                  <c:v>0:09</c:v>
                </c:pt>
                <c:pt idx="136">
                  <c:v>0:26</c:v>
                </c:pt>
                <c:pt idx="137">
                  <c:v>0:08</c:v>
                </c:pt>
                <c:pt idx="138">
                  <c:v>0:13</c:v>
                </c:pt>
                <c:pt idx="139">
                  <c:v>0:08</c:v>
                </c:pt>
                <c:pt idx="140">
                  <c:v>0:10</c:v>
                </c:pt>
                <c:pt idx="141">
                  <c:v>0:10</c:v>
                </c:pt>
                <c:pt idx="142">
                  <c:v>0:10</c:v>
                </c:pt>
                <c:pt idx="143">
                  <c:v>0:06</c:v>
                </c:pt>
                <c:pt idx="144">
                  <c:v>0:10</c:v>
                </c:pt>
                <c:pt idx="145">
                  <c:v>0:10</c:v>
                </c:pt>
                <c:pt idx="146">
                  <c:v>0:07</c:v>
                </c:pt>
                <c:pt idx="147">
                  <c:v>0:16</c:v>
                </c:pt>
                <c:pt idx="148">
                  <c:v>0:08</c:v>
                </c:pt>
                <c:pt idx="149">
                  <c:v>0:15</c:v>
                </c:pt>
                <c:pt idx="150">
                  <c:v>0:05</c:v>
                </c:pt>
                <c:pt idx="151">
                  <c:v>0:09</c:v>
                </c:pt>
                <c:pt idx="152">
                  <c:v>0:10</c:v>
                </c:pt>
                <c:pt idx="153">
                  <c:v>0:09</c:v>
                </c:pt>
                <c:pt idx="154">
                  <c:v>0:08</c:v>
                </c:pt>
                <c:pt idx="155">
                  <c:v>0:06</c:v>
                </c:pt>
                <c:pt idx="156">
                  <c:v>0:10</c:v>
                </c:pt>
                <c:pt idx="157">
                  <c:v>0:10</c:v>
                </c:pt>
                <c:pt idx="158">
                  <c:v>0:08</c:v>
                </c:pt>
                <c:pt idx="159">
                  <c:v>0:11</c:v>
                </c:pt>
                <c:pt idx="160">
                  <c:v>0:08</c:v>
                </c:pt>
                <c:pt idx="161">
                  <c:v>0:13</c:v>
                </c:pt>
                <c:pt idx="162">
                  <c:v>0:07</c:v>
                </c:pt>
                <c:pt idx="163">
                  <c:v>0:14</c:v>
                </c:pt>
                <c:pt idx="164">
                  <c:v>0:10</c:v>
                </c:pt>
                <c:pt idx="165">
                  <c:v>0:06</c:v>
                </c:pt>
                <c:pt idx="166">
                  <c:v>0:12</c:v>
                </c:pt>
                <c:pt idx="167">
                  <c:v>0:09</c:v>
                </c:pt>
                <c:pt idx="168">
                  <c:v>0:08</c:v>
                </c:pt>
                <c:pt idx="169">
                  <c:v>0:08</c:v>
                </c:pt>
                <c:pt idx="170">
                  <c:v>0:12</c:v>
                </c:pt>
                <c:pt idx="171">
                  <c:v>0:16</c:v>
                </c:pt>
                <c:pt idx="172">
                  <c:v>0:06</c:v>
                </c:pt>
                <c:pt idx="173">
                  <c:v>0:05</c:v>
                </c:pt>
                <c:pt idx="174">
                  <c:v>0:11</c:v>
                </c:pt>
                <c:pt idx="175">
                  <c:v>0:09</c:v>
                </c:pt>
                <c:pt idx="176">
                  <c:v>0:08</c:v>
                </c:pt>
                <c:pt idx="177">
                  <c:v>0:09</c:v>
                </c:pt>
                <c:pt idx="178">
                  <c:v>0:14</c:v>
                </c:pt>
                <c:pt idx="179">
                  <c:v>0:13</c:v>
                </c:pt>
                <c:pt idx="180">
                  <c:v>0:08</c:v>
                </c:pt>
                <c:pt idx="181">
                  <c:v>#N/A</c:v>
                </c:pt>
                <c:pt idx="182">
                  <c:v>0:07</c:v>
                </c:pt>
                <c:pt idx="183">
                  <c:v>0:07</c:v>
                </c:pt>
                <c:pt idx="184">
                  <c:v>0:08</c:v>
                </c:pt>
                <c:pt idx="185">
                  <c:v>0:09</c:v>
                </c:pt>
                <c:pt idx="186">
                  <c:v>0:16</c:v>
                </c:pt>
                <c:pt idx="187">
                  <c:v>0:11</c:v>
                </c:pt>
                <c:pt idx="188">
                  <c:v>0:08</c:v>
                </c:pt>
                <c:pt idx="189">
                  <c:v>0:08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データ!$A$3:$A$333</c:f>
              <c:numCache>
                <c:formatCode>m/d/yyyy\ h:mm</c:formatCode>
                <c:ptCount val="331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  <c:pt idx="237">
                  <c:v>46051.269594907404</c:v>
                </c:pt>
                <c:pt idx="238">
                  <c:v>46051.275104166663</c:v>
                </c:pt>
                <c:pt idx="239">
                  <c:v>46051.281990740739</c:v>
                </c:pt>
                <c:pt idx="240">
                  <c:v>46052.310162037036</c:v>
                </c:pt>
                <c:pt idx="241">
                  <c:v>46052.638495370367</c:v>
                </c:pt>
                <c:pt idx="242">
                  <c:v>46052.645300925928</c:v>
                </c:pt>
                <c:pt idx="243">
                  <c:v>46052.653009259258</c:v>
                </c:pt>
                <c:pt idx="244">
                  <c:v>46053.287557870368</c:v>
                </c:pt>
                <c:pt idx="245">
                  <c:v>46053.29488425926</c:v>
                </c:pt>
                <c:pt idx="246">
                  <c:v>46054.298888888887</c:v>
                </c:pt>
                <c:pt idx="247">
                  <c:v>46054.306226851855</c:v>
                </c:pt>
                <c:pt idx="248">
                  <c:v>46055.319432870368</c:v>
                </c:pt>
                <c:pt idx="249">
                  <c:v>46055.418067129627</c:v>
                </c:pt>
                <c:pt idx="250">
                  <c:v>46055.420219907406</c:v>
                </c:pt>
                <c:pt idx="251">
                  <c:v>46055.425706018519</c:v>
                </c:pt>
                <c:pt idx="252">
                  <c:v>46056.293865740743</c:v>
                </c:pt>
                <c:pt idx="253">
                  <c:v>46056.301400462966</c:v>
                </c:pt>
                <c:pt idx="254">
                  <c:v>46057.297500000001</c:v>
                </c:pt>
                <c:pt idx="255">
                  <c:v>46057.299641203703</c:v>
                </c:pt>
                <c:pt idx="256">
                  <c:v>46057.36550925926</c:v>
                </c:pt>
                <c:pt idx="257">
                  <c:v>46058.304814814815</c:v>
                </c:pt>
                <c:pt idx="258">
                  <c:v>46058.311574074076</c:v>
                </c:pt>
                <c:pt idx="259">
                  <c:v>46058.318773148145</c:v>
                </c:pt>
                <c:pt idx="260">
                  <c:v>46059.313368055555</c:v>
                </c:pt>
                <c:pt idx="261">
                  <c:v>46059.324537037035</c:v>
                </c:pt>
                <c:pt idx="262">
                  <c:v>46059.887974537036</c:v>
                </c:pt>
                <c:pt idx="263">
                  <c:v>46060.286041666666</c:v>
                </c:pt>
                <c:pt idx="264">
                  <c:v>46060.305289351854</c:v>
                </c:pt>
                <c:pt idx="265">
                  <c:v>46060.31490740741</c:v>
                </c:pt>
                <c:pt idx="266">
                  <c:v>46061.276041666664</c:v>
                </c:pt>
                <c:pt idx="267">
                  <c:v>46061.305439814816</c:v>
                </c:pt>
                <c:pt idx="268">
                  <c:v>46061.313645833332</c:v>
                </c:pt>
                <c:pt idx="269">
                  <c:v>46062.293506944443</c:v>
                </c:pt>
                <c:pt idx="270">
                  <c:v>46062.303078703706</c:v>
                </c:pt>
                <c:pt idx="271">
                  <c:v>46062.310277777775</c:v>
                </c:pt>
                <c:pt idx="272">
                  <c:v>46063.323738425926</c:v>
                </c:pt>
                <c:pt idx="273">
                  <c:v>46063.368935185186</c:v>
                </c:pt>
                <c:pt idx="274">
                  <c:v>46063.476840277777</c:v>
                </c:pt>
                <c:pt idx="275">
                  <c:v>46064.307627314818</c:v>
                </c:pt>
                <c:pt idx="276">
                  <c:v>46064.317152777781</c:v>
                </c:pt>
                <c:pt idx="277">
                  <c:v>46064.323912037034</c:v>
                </c:pt>
                <c:pt idx="278">
                  <c:v>46065.287199074075</c:v>
                </c:pt>
                <c:pt idx="279">
                  <c:v>46065.298506944448</c:v>
                </c:pt>
                <c:pt idx="280">
                  <c:v>46065.31585648148</c:v>
                </c:pt>
                <c:pt idx="281">
                  <c:v>46066.28324074074</c:v>
                </c:pt>
                <c:pt idx="282">
                  <c:v>46066.288854166669</c:v>
                </c:pt>
                <c:pt idx="283">
                  <c:v>46066.301921296297</c:v>
                </c:pt>
                <c:pt idx="284">
                  <c:v>46067.296168981484</c:v>
                </c:pt>
                <c:pt idx="285">
                  <c:v>46067.302523148152</c:v>
                </c:pt>
                <c:pt idx="286">
                  <c:v>46067.313206018516</c:v>
                </c:pt>
                <c:pt idx="287">
                  <c:v>46067.319328703707</c:v>
                </c:pt>
                <c:pt idx="288">
                  <c:v>46067.367638888885</c:v>
                </c:pt>
                <c:pt idx="289">
                  <c:v>46067.445856481485</c:v>
                </c:pt>
                <c:pt idx="290">
                  <c:v>46068.290046296293</c:v>
                </c:pt>
                <c:pt idx="291">
                  <c:v>46068.297442129631</c:v>
                </c:pt>
                <c:pt idx="292">
                  <c:v>46069.282627314817</c:v>
                </c:pt>
                <c:pt idx="293">
                  <c:v>46069.288171296299</c:v>
                </c:pt>
                <c:pt idx="294">
                  <c:v>46069.296064814815</c:v>
                </c:pt>
                <c:pt idx="295">
                  <c:v>46070.285833333335</c:v>
                </c:pt>
                <c:pt idx="296">
                  <c:v>46070.29115740741</c:v>
                </c:pt>
                <c:pt idx="297">
                  <c:v>46071.285358796296</c:v>
                </c:pt>
                <c:pt idx="298">
                  <c:v>46071.29247685185</c:v>
                </c:pt>
                <c:pt idx="299">
                  <c:v>46071.301759259259</c:v>
                </c:pt>
                <c:pt idx="300">
                  <c:v>46071.309282407405</c:v>
                </c:pt>
                <c:pt idx="301">
                  <c:v>46072.296064814815</c:v>
                </c:pt>
                <c:pt idx="302">
                  <c:v>46072.303217592591</c:v>
                </c:pt>
                <c:pt idx="303">
                  <c:v>46073.294212962966</c:v>
                </c:pt>
                <c:pt idx="304">
                  <c:v>46073.303460648145</c:v>
                </c:pt>
                <c:pt idx="305">
                  <c:v>46073.309305555558</c:v>
                </c:pt>
                <c:pt idx="306">
                  <c:v>46074.309247685182</c:v>
                </c:pt>
                <c:pt idx="307">
                  <c:v>46074.316076388888</c:v>
                </c:pt>
                <c:pt idx="308">
                  <c:v>46075.278703703705</c:v>
                </c:pt>
                <c:pt idx="309">
                  <c:v>46075.28570601852</c:v>
                </c:pt>
                <c:pt idx="310">
                  <c:v>46075.294641203705</c:v>
                </c:pt>
                <c:pt idx="311">
                  <c:v>46076.28765046296</c:v>
                </c:pt>
                <c:pt idx="312">
                  <c:v>46076.295347222222</c:v>
                </c:pt>
                <c:pt idx="313">
                  <c:v>46076.311805555553</c:v>
                </c:pt>
                <c:pt idx="314">
                  <c:v>46077.300196759257</c:v>
                </c:pt>
                <c:pt idx="315">
                  <c:v>46077.307708333334</c:v>
                </c:pt>
                <c:pt idx="316">
                  <c:v>46078.310289351852</c:v>
                </c:pt>
                <c:pt idx="317">
                  <c:v>46078.321273148147</c:v>
                </c:pt>
                <c:pt idx="318">
                  <c:v>46078.324699074074</c:v>
                </c:pt>
                <c:pt idx="319">
                  <c:v>46078.347905092596</c:v>
                </c:pt>
                <c:pt idx="320">
                  <c:v>46078.356527777774</c:v>
                </c:pt>
                <c:pt idx="321">
                  <c:v>46078.363668981481</c:v>
                </c:pt>
                <c:pt idx="322">
                  <c:v>46079.309930555559</c:v>
                </c:pt>
                <c:pt idx="323">
                  <c:v>46079.314895833333</c:v>
                </c:pt>
                <c:pt idx="324">
                  <c:v>46080.836446759262</c:v>
                </c:pt>
                <c:pt idx="325">
                  <c:v>46080.843726851854</c:v>
                </c:pt>
                <c:pt idx="326">
                  <c:v>46081.65824074074</c:v>
                </c:pt>
                <c:pt idx="327">
                  <c:v>46081.662407407406</c:v>
                </c:pt>
                <c:pt idx="328">
                  <c:v>46081.668229166666</c:v>
                </c:pt>
                <c:pt idx="329">
                  <c:v>46081.675543981481</c:v>
                </c:pt>
                <c:pt idx="330">
                  <c:v>46081.683912037035</c:v>
                </c:pt>
              </c:numCache>
            </c:numRef>
          </c:xVal>
          <c:yVal>
            <c:numRef>
              <c:f>データ!$B$3:$B$333</c:f>
              <c:numCache>
                <c:formatCode>General</c:formatCode>
                <c:ptCount val="331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55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50</c:v>
                </c:pt>
                <c:pt idx="234">
                  <c:v>60</c:v>
                </c:pt>
                <c:pt idx="235">
                  <c:v>55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60</c:v>
                </c:pt>
                <c:pt idx="251">
                  <c:v>60</c:v>
                </c:pt>
                <c:pt idx="252">
                  <c:v>60</c:v>
                </c:pt>
                <c:pt idx="253">
                  <c:v>60</c:v>
                </c:pt>
                <c:pt idx="254">
                  <c:v>60</c:v>
                </c:pt>
                <c:pt idx="256">
                  <c:v>60</c:v>
                </c:pt>
                <c:pt idx="257">
                  <c:v>60</c:v>
                </c:pt>
                <c:pt idx="258">
                  <c:v>60</c:v>
                </c:pt>
                <c:pt idx="259">
                  <c:v>60</c:v>
                </c:pt>
                <c:pt idx="260">
                  <c:v>60</c:v>
                </c:pt>
                <c:pt idx="261">
                  <c:v>60</c:v>
                </c:pt>
                <c:pt idx="262">
                  <c:v>60</c:v>
                </c:pt>
                <c:pt idx="263">
                  <c:v>60</c:v>
                </c:pt>
                <c:pt idx="264">
                  <c:v>60</c:v>
                </c:pt>
                <c:pt idx="265">
                  <c:v>60</c:v>
                </c:pt>
                <c:pt idx="266">
                  <c:v>60</c:v>
                </c:pt>
                <c:pt idx="267">
                  <c:v>60</c:v>
                </c:pt>
                <c:pt idx="268">
                  <c:v>60</c:v>
                </c:pt>
                <c:pt idx="269">
                  <c:v>60</c:v>
                </c:pt>
                <c:pt idx="270">
                  <c:v>60</c:v>
                </c:pt>
                <c:pt idx="271">
                  <c:v>60</c:v>
                </c:pt>
                <c:pt idx="273">
                  <c:v>60</c:v>
                </c:pt>
                <c:pt idx="274">
                  <c:v>60</c:v>
                </c:pt>
                <c:pt idx="275">
                  <c:v>60</c:v>
                </c:pt>
                <c:pt idx="276">
                  <c:v>55</c:v>
                </c:pt>
                <c:pt idx="277">
                  <c:v>60</c:v>
                </c:pt>
                <c:pt idx="278">
                  <c:v>60</c:v>
                </c:pt>
                <c:pt idx="279">
                  <c:v>60</c:v>
                </c:pt>
                <c:pt idx="280">
                  <c:v>60</c:v>
                </c:pt>
                <c:pt idx="281">
                  <c:v>60</c:v>
                </c:pt>
                <c:pt idx="282">
                  <c:v>60</c:v>
                </c:pt>
                <c:pt idx="283">
                  <c:v>60</c:v>
                </c:pt>
                <c:pt idx="284">
                  <c:v>60</c:v>
                </c:pt>
                <c:pt idx="285">
                  <c:v>57</c:v>
                </c:pt>
                <c:pt idx="286">
                  <c:v>55</c:v>
                </c:pt>
                <c:pt idx="287">
                  <c:v>60</c:v>
                </c:pt>
                <c:pt idx="289">
                  <c:v>60</c:v>
                </c:pt>
                <c:pt idx="290">
                  <c:v>60</c:v>
                </c:pt>
                <c:pt idx="291">
                  <c:v>60</c:v>
                </c:pt>
                <c:pt idx="292">
                  <c:v>60</c:v>
                </c:pt>
                <c:pt idx="293">
                  <c:v>60</c:v>
                </c:pt>
                <c:pt idx="294">
                  <c:v>60</c:v>
                </c:pt>
                <c:pt idx="295">
                  <c:v>60</c:v>
                </c:pt>
                <c:pt idx="296">
                  <c:v>60</c:v>
                </c:pt>
                <c:pt idx="297">
                  <c:v>60</c:v>
                </c:pt>
                <c:pt idx="298">
                  <c:v>60</c:v>
                </c:pt>
                <c:pt idx="299">
                  <c:v>54</c:v>
                </c:pt>
                <c:pt idx="300">
                  <c:v>60</c:v>
                </c:pt>
                <c:pt idx="301">
                  <c:v>60</c:v>
                </c:pt>
                <c:pt idx="302">
                  <c:v>60</c:v>
                </c:pt>
                <c:pt idx="303">
                  <c:v>60</c:v>
                </c:pt>
                <c:pt idx="304">
                  <c:v>60</c:v>
                </c:pt>
                <c:pt idx="305">
                  <c:v>60</c:v>
                </c:pt>
                <c:pt idx="306">
                  <c:v>60</c:v>
                </c:pt>
                <c:pt idx="307">
                  <c:v>60</c:v>
                </c:pt>
                <c:pt idx="308">
                  <c:v>60</c:v>
                </c:pt>
                <c:pt idx="309">
                  <c:v>60</c:v>
                </c:pt>
                <c:pt idx="310">
                  <c:v>60</c:v>
                </c:pt>
                <c:pt idx="311">
                  <c:v>60</c:v>
                </c:pt>
                <c:pt idx="312">
                  <c:v>60</c:v>
                </c:pt>
                <c:pt idx="313">
                  <c:v>60</c:v>
                </c:pt>
                <c:pt idx="314">
                  <c:v>60</c:v>
                </c:pt>
                <c:pt idx="315">
                  <c:v>60</c:v>
                </c:pt>
                <c:pt idx="316">
                  <c:v>60</c:v>
                </c:pt>
                <c:pt idx="317">
                  <c:v>60</c:v>
                </c:pt>
                <c:pt idx="320">
                  <c:v>60</c:v>
                </c:pt>
                <c:pt idx="321">
                  <c:v>60</c:v>
                </c:pt>
                <c:pt idx="322">
                  <c:v>60</c:v>
                </c:pt>
                <c:pt idx="323">
                  <c:v>60</c:v>
                </c:pt>
                <c:pt idx="324">
                  <c:v>60</c:v>
                </c:pt>
                <c:pt idx="325">
                  <c:v>60</c:v>
                </c:pt>
                <c:pt idx="326">
                  <c:v>60</c:v>
                </c:pt>
                <c:pt idx="329">
                  <c:v>60</c:v>
                </c:pt>
                <c:pt idx="330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E9-4462-9E1E-9BD03CD9BDFA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33E9-4462-9E1E-9BD03CD9BD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4494799"/>
        <c:axId val="1824481359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データ!$A$3:$A$333</c:f>
              <c:numCache>
                <c:formatCode>m/d/yyyy\ h:mm</c:formatCode>
                <c:ptCount val="331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  <c:pt idx="237">
                  <c:v>46051.269594907404</c:v>
                </c:pt>
                <c:pt idx="238">
                  <c:v>46051.275104166663</c:v>
                </c:pt>
                <c:pt idx="239">
                  <c:v>46051.281990740739</c:v>
                </c:pt>
                <c:pt idx="240">
                  <c:v>46052.310162037036</c:v>
                </c:pt>
                <c:pt idx="241">
                  <c:v>46052.638495370367</c:v>
                </c:pt>
                <c:pt idx="242">
                  <c:v>46052.645300925928</c:v>
                </c:pt>
                <c:pt idx="243">
                  <c:v>46052.653009259258</c:v>
                </c:pt>
                <c:pt idx="244">
                  <c:v>46053.287557870368</c:v>
                </c:pt>
                <c:pt idx="245">
                  <c:v>46053.29488425926</c:v>
                </c:pt>
                <c:pt idx="246">
                  <c:v>46054.298888888887</c:v>
                </c:pt>
                <c:pt idx="247">
                  <c:v>46054.306226851855</c:v>
                </c:pt>
                <c:pt idx="248">
                  <c:v>46055.319432870368</c:v>
                </c:pt>
                <c:pt idx="249">
                  <c:v>46055.418067129627</c:v>
                </c:pt>
                <c:pt idx="250">
                  <c:v>46055.420219907406</c:v>
                </c:pt>
                <c:pt idx="251">
                  <c:v>46055.425706018519</c:v>
                </c:pt>
                <c:pt idx="252">
                  <c:v>46056.293865740743</c:v>
                </c:pt>
                <c:pt idx="253">
                  <c:v>46056.301400462966</c:v>
                </c:pt>
                <c:pt idx="254">
                  <c:v>46057.297500000001</c:v>
                </c:pt>
                <c:pt idx="255">
                  <c:v>46057.299641203703</c:v>
                </c:pt>
                <c:pt idx="256">
                  <c:v>46057.36550925926</c:v>
                </c:pt>
                <c:pt idx="257">
                  <c:v>46058.304814814815</c:v>
                </c:pt>
                <c:pt idx="258">
                  <c:v>46058.311574074076</c:v>
                </c:pt>
                <c:pt idx="259">
                  <c:v>46058.318773148145</c:v>
                </c:pt>
                <c:pt idx="260">
                  <c:v>46059.313368055555</c:v>
                </c:pt>
                <c:pt idx="261">
                  <c:v>46059.324537037035</c:v>
                </c:pt>
                <c:pt idx="262">
                  <c:v>46059.887974537036</c:v>
                </c:pt>
                <c:pt idx="263">
                  <c:v>46060.286041666666</c:v>
                </c:pt>
                <c:pt idx="264">
                  <c:v>46060.305289351854</c:v>
                </c:pt>
                <c:pt idx="265">
                  <c:v>46060.31490740741</c:v>
                </c:pt>
                <c:pt idx="266">
                  <c:v>46061.276041666664</c:v>
                </c:pt>
                <c:pt idx="267">
                  <c:v>46061.305439814816</c:v>
                </c:pt>
                <c:pt idx="268">
                  <c:v>46061.313645833332</c:v>
                </c:pt>
                <c:pt idx="269">
                  <c:v>46062.293506944443</c:v>
                </c:pt>
                <c:pt idx="270">
                  <c:v>46062.303078703706</c:v>
                </c:pt>
                <c:pt idx="271">
                  <c:v>46062.310277777775</c:v>
                </c:pt>
                <c:pt idx="272">
                  <c:v>46063.323738425926</c:v>
                </c:pt>
                <c:pt idx="273">
                  <c:v>46063.368935185186</c:v>
                </c:pt>
                <c:pt idx="274">
                  <c:v>46063.476840277777</c:v>
                </c:pt>
                <c:pt idx="275">
                  <c:v>46064.307627314818</c:v>
                </c:pt>
                <c:pt idx="276">
                  <c:v>46064.317152777781</c:v>
                </c:pt>
                <c:pt idx="277">
                  <c:v>46064.323912037034</c:v>
                </c:pt>
                <c:pt idx="278">
                  <c:v>46065.287199074075</c:v>
                </c:pt>
                <c:pt idx="279">
                  <c:v>46065.298506944448</c:v>
                </c:pt>
                <c:pt idx="280">
                  <c:v>46065.31585648148</c:v>
                </c:pt>
                <c:pt idx="281">
                  <c:v>46066.28324074074</c:v>
                </c:pt>
                <c:pt idx="282">
                  <c:v>46066.288854166669</c:v>
                </c:pt>
                <c:pt idx="283">
                  <c:v>46066.301921296297</c:v>
                </c:pt>
                <c:pt idx="284">
                  <c:v>46067.296168981484</c:v>
                </c:pt>
                <c:pt idx="285">
                  <c:v>46067.302523148152</c:v>
                </c:pt>
                <c:pt idx="286">
                  <c:v>46067.313206018516</c:v>
                </c:pt>
                <c:pt idx="287">
                  <c:v>46067.319328703707</c:v>
                </c:pt>
                <c:pt idx="288">
                  <c:v>46067.367638888885</c:v>
                </c:pt>
                <c:pt idx="289">
                  <c:v>46067.445856481485</c:v>
                </c:pt>
                <c:pt idx="290">
                  <c:v>46068.290046296293</c:v>
                </c:pt>
                <c:pt idx="291">
                  <c:v>46068.297442129631</c:v>
                </c:pt>
                <c:pt idx="292">
                  <c:v>46069.282627314817</c:v>
                </c:pt>
                <c:pt idx="293">
                  <c:v>46069.288171296299</c:v>
                </c:pt>
                <c:pt idx="294">
                  <c:v>46069.296064814815</c:v>
                </c:pt>
                <c:pt idx="295">
                  <c:v>46070.285833333335</c:v>
                </c:pt>
                <c:pt idx="296">
                  <c:v>46070.29115740741</c:v>
                </c:pt>
                <c:pt idx="297">
                  <c:v>46071.285358796296</c:v>
                </c:pt>
                <c:pt idx="298">
                  <c:v>46071.29247685185</c:v>
                </c:pt>
                <c:pt idx="299">
                  <c:v>46071.301759259259</c:v>
                </c:pt>
                <c:pt idx="300">
                  <c:v>46071.309282407405</c:v>
                </c:pt>
                <c:pt idx="301">
                  <c:v>46072.296064814815</c:v>
                </c:pt>
                <c:pt idx="302">
                  <c:v>46072.303217592591</c:v>
                </c:pt>
                <c:pt idx="303">
                  <c:v>46073.294212962966</c:v>
                </c:pt>
                <c:pt idx="304">
                  <c:v>46073.303460648145</c:v>
                </c:pt>
                <c:pt idx="305">
                  <c:v>46073.309305555558</c:v>
                </c:pt>
                <c:pt idx="306">
                  <c:v>46074.309247685182</c:v>
                </c:pt>
                <c:pt idx="307">
                  <c:v>46074.316076388888</c:v>
                </c:pt>
                <c:pt idx="308">
                  <c:v>46075.278703703705</c:v>
                </c:pt>
                <c:pt idx="309">
                  <c:v>46075.28570601852</c:v>
                </c:pt>
                <c:pt idx="310">
                  <c:v>46075.294641203705</c:v>
                </c:pt>
                <c:pt idx="311">
                  <c:v>46076.28765046296</c:v>
                </c:pt>
                <c:pt idx="312">
                  <c:v>46076.295347222222</c:v>
                </c:pt>
                <c:pt idx="313">
                  <c:v>46076.311805555553</c:v>
                </c:pt>
                <c:pt idx="314">
                  <c:v>46077.300196759257</c:v>
                </c:pt>
                <c:pt idx="315">
                  <c:v>46077.307708333334</c:v>
                </c:pt>
                <c:pt idx="316">
                  <c:v>46078.310289351852</c:v>
                </c:pt>
                <c:pt idx="317">
                  <c:v>46078.321273148147</c:v>
                </c:pt>
                <c:pt idx="318">
                  <c:v>46078.324699074074</c:v>
                </c:pt>
                <c:pt idx="319">
                  <c:v>46078.347905092596</c:v>
                </c:pt>
                <c:pt idx="320">
                  <c:v>46078.356527777774</c:v>
                </c:pt>
                <c:pt idx="321">
                  <c:v>46078.363668981481</c:v>
                </c:pt>
                <c:pt idx="322">
                  <c:v>46079.309930555559</c:v>
                </c:pt>
                <c:pt idx="323">
                  <c:v>46079.314895833333</c:v>
                </c:pt>
                <c:pt idx="324">
                  <c:v>46080.836446759262</c:v>
                </c:pt>
                <c:pt idx="325">
                  <c:v>46080.843726851854</c:v>
                </c:pt>
                <c:pt idx="326">
                  <c:v>46081.65824074074</c:v>
                </c:pt>
                <c:pt idx="327">
                  <c:v>46081.662407407406</c:v>
                </c:pt>
                <c:pt idx="328">
                  <c:v>46081.668229166666</c:v>
                </c:pt>
                <c:pt idx="329">
                  <c:v>46081.675543981481</c:v>
                </c:pt>
                <c:pt idx="330">
                  <c:v>46081.683912037035</c:v>
                </c:pt>
              </c:numCache>
            </c:numRef>
          </c:xVal>
          <c:yVal>
            <c:numRef>
              <c:f>データ!$Q$3:$Q$333</c:f>
              <c:numCache>
                <c:formatCode>[h]:mm</c:formatCode>
                <c:ptCount val="331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  <c:pt idx="122">
                  <c:v>1.0011574071540963E-2</c:v>
                </c:pt>
                <c:pt idx="123">
                  <c:v>6.7361111141508445E-3</c:v>
                </c:pt>
                <c:pt idx="124">
                  <c:v>8.4606481468654238E-3</c:v>
                </c:pt>
                <c:pt idx="125">
                  <c:v>8.0208333383779973E-3</c:v>
                </c:pt>
                <c:pt idx="126">
                  <c:v>5.9722222213167697E-3</c:v>
                </c:pt>
                <c:pt idx="127">
                  <c:v>9.0625000011641532E-3</c:v>
                </c:pt>
                <c:pt idx="128">
                  <c:v>6.5162036989931948E-3</c:v>
                </c:pt>
                <c:pt idx="129">
                  <c:v>6.8634259223472327E-3</c:v>
                </c:pt>
                <c:pt idx="130">
                  <c:v>7.6967592613073066E-3</c:v>
                </c:pt>
                <c:pt idx="131">
                  <c:v>8.599537039117422E-3</c:v>
                </c:pt>
                <c:pt idx="132">
                  <c:v>1.0312500002328306E-2</c:v>
                </c:pt>
                <c:pt idx="133">
                  <c:v>6.2731481448281556E-3</c:v>
                </c:pt>
                <c:pt idx="134">
                  <c:v>6.5624999988358468E-3</c:v>
                </c:pt>
                <c:pt idx="135">
                  <c:v>1.8229166664241347E-2</c:v>
                </c:pt>
                <c:pt idx="136">
                  <c:v>6.0532407369464636E-3</c:v>
                </c:pt>
                <c:pt idx="137">
                  <c:v>9.6527777786832303E-3</c:v>
                </c:pt>
                <c:pt idx="138">
                  <c:v>6.0069444443797693E-3</c:v>
                </c:pt>
                <c:pt idx="139">
                  <c:v>7.3379629611736163E-3</c:v>
                </c:pt>
                <c:pt idx="140">
                  <c:v>7.2337962919846177E-3</c:v>
                </c:pt>
                <c:pt idx="141">
                  <c:v>7.0601851839455776E-3</c:v>
                </c:pt>
                <c:pt idx="142">
                  <c:v>4.8379629661212675E-3</c:v>
                </c:pt>
                <c:pt idx="143">
                  <c:v>7.4537036998663098E-3</c:v>
                </c:pt>
                <c:pt idx="144">
                  <c:v>7.1296296300715767E-3</c:v>
                </c:pt>
                <c:pt idx="145">
                  <c:v>5.1967592589790002E-3</c:v>
                </c:pt>
                <c:pt idx="146">
                  <c:v>1.1215277780138422E-2</c:v>
                </c:pt>
                <c:pt idx="147">
                  <c:v>5.9374999982537702E-3</c:v>
                </c:pt>
                <c:pt idx="148">
                  <c:v>1.0752314818091691E-2</c:v>
                </c:pt>
                <c:pt idx="149">
                  <c:v>3.9467592578148469E-3</c:v>
                </c:pt>
                <c:pt idx="150">
                  <c:v>6.3773148140171543E-3</c:v>
                </c:pt>
                <c:pt idx="151">
                  <c:v>7.0601851839455776E-3</c:v>
                </c:pt>
                <c:pt idx="152">
                  <c:v>6.33101852145046E-3</c:v>
                </c:pt>
                <c:pt idx="153">
                  <c:v>6.0416666674427688E-3</c:v>
                </c:pt>
                <c:pt idx="154">
                  <c:v>4.4097222198615782E-3</c:v>
                </c:pt>
                <c:pt idx="155">
                  <c:v>7.1296296300715767E-3</c:v>
                </c:pt>
                <c:pt idx="156">
                  <c:v>7.175925922638271E-3</c:v>
                </c:pt>
                <c:pt idx="157">
                  <c:v>5.8217592595610768E-3</c:v>
                </c:pt>
                <c:pt idx="158">
                  <c:v>8.2754629620467313E-3</c:v>
                </c:pt>
                <c:pt idx="159">
                  <c:v>6.0763888905057684E-3</c:v>
                </c:pt>
                <c:pt idx="160">
                  <c:v>9.5254629632108845E-3</c:v>
                </c:pt>
                <c:pt idx="161">
                  <c:v>4.9421296280343086E-3</c:v>
                </c:pt>
                <c:pt idx="162">
                  <c:v>1.0231481479422655E-2</c:v>
                </c:pt>
                <c:pt idx="163">
                  <c:v>7.2569444455439225E-3</c:v>
                </c:pt>
                <c:pt idx="164">
                  <c:v>4.8148148125619628E-3</c:v>
                </c:pt>
                <c:pt idx="165">
                  <c:v>8.5185185162117705E-3</c:v>
                </c:pt>
                <c:pt idx="166">
                  <c:v>6.8981481454102322E-3</c:v>
                </c:pt>
                <c:pt idx="167">
                  <c:v>6.1921296291984618E-3</c:v>
                </c:pt>
                <c:pt idx="168">
                  <c:v>5.6365740747423843E-3</c:v>
                </c:pt>
                <c:pt idx="169">
                  <c:v>8.3564814849523827E-3</c:v>
                </c:pt>
                <c:pt idx="170">
                  <c:v>1.1145833334012423E-2</c:v>
                </c:pt>
                <c:pt idx="171">
                  <c:v>4.6296296350192279E-3</c:v>
                </c:pt>
                <c:pt idx="172">
                  <c:v>4.0740740732871927E-3</c:v>
                </c:pt>
                <c:pt idx="173">
                  <c:v>8.0439814773853868E-3</c:v>
                </c:pt>
                <c:pt idx="174">
                  <c:v>6.4236111138598062E-3</c:v>
                </c:pt>
                <c:pt idx="175">
                  <c:v>5.6250000052386895E-3</c:v>
                </c:pt>
                <c:pt idx="176">
                  <c:v>6.5972222218988463E-3</c:v>
                </c:pt>
                <c:pt idx="177">
                  <c:v>1.008101852494292E-2</c:v>
                </c:pt>
                <c:pt idx="178">
                  <c:v>9.5833333325572312E-3</c:v>
                </c:pt>
                <c:pt idx="179">
                  <c:v>5.5787036981200799E-3</c:v>
                </c:pt>
                <c:pt idx="180">
                  <c:v>#N/A</c:v>
                </c:pt>
                <c:pt idx="181">
                  <c:v>5.4513888899236917E-3</c:v>
                </c:pt>
                <c:pt idx="182">
                  <c:v>5.5092592592700385E-3</c:v>
                </c:pt>
                <c:pt idx="183">
                  <c:v>6.0532407442224212E-3</c:v>
                </c:pt>
                <c:pt idx="184">
                  <c:v>6.2962962983874604E-3</c:v>
                </c:pt>
                <c:pt idx="185">
                  <c:v>1.1608796296059154E-2</c:v>
                </c:pt>
                <c:pt idx="186">
                  <c:v>8.1018518540076911E-3</c:v>
                </c:pt>
                <c:pt idx="187">
                  <c:v>6.0763888905057684E-3</c:v>
                </c:pt>
                <c:pt idx="188">
                  <c:v>6.1574074061354622E-3</c:v>
                </c:pt>
                <c:pt idx="189" formatCode="General">
                  <c:v>8.4027777775190771E-3</c:v>
                </c:pt>
                <c:pt idx="190" formatCode="General">
                  <c:v>9.3750000014551915E-3</c:v>
                </c:pt>
                <c:pt idx="191" formatCode="General">
                  <c:v>5.1736111054196954E-3</c:v>
                </c:pt>
                <c:pt idx="192" formatCode="General">
                  <c:v>6.0879629600094631E-3</c:v>
                </c:pt>
                <c:pt idx="193" formatCode="General">
                  <c:v>5.6712962978053838E-3</c:v>
                </c:pt>
                <c:pt idx="194" formatCode="General">
                  <c:v>6.8287036992842332E-3</c:v>
                </c:pt>
                <c:pt idx="195" formatCode="General">
                  <c:v>1.1712962965248153E-2</c:v>
                </c:pt>
                <c:pt idx="196" formatCode="General">
                  <c:v>6.9907407378195785E-3</c:v>
                </c:pt>
                <c:pt idx="197" formatCode="General">
                  <c:v>5.3472222207346931E-3</c:v>
                </c:pt>
                <c:pt idx="198" formatCode="General">
                  <c:v>7.5578703690553084E-3</c:v>
                </c:pt>
                <c:pt idx="199" formatCode="General">
                  <c:v>7.1180555532919243E-3</c:v>
                </c:pt>
                <c:pt idx="200" formatCode="General">
                  <c:v>6.6550925985211506E-3</c:v>
                </c:pt>
                <c:pt idx="201" formatCode="General">
                  <c:v>5.8564814753481187E-3</c:v>
                </c:pt>
                <c:pt idx="202" formatCode="General">
                  <c:v>6.3194444446708076E-3</c:v>
                </c:pt>
                <c:pt idx="203" formatCode="General">
                  <c:v>5.4629629667033441E-3</c:v>
                </c:pt>
                <c:pt idx="204" formatCode="General">
                  <c:v>5.8449074058444239E-3</c:v>
                </c:pt>
                <c:pt idx="205" formatCode="General">
                  <c:v>7.9861111080390401E-3</c:v>
                </c:pt>
                <c:pt idx="206" formatCode="General">
                  <c:v>4.3865740808541887E-3</c:v>
                </c:pt>
                <c:pt idx="207" formatCode="General">
                  <c:v>5.7407407439313829E-3</c:v>
                </c:pt>
                <c:pt idx="208" formatCode="General">
                  <c:v>7.1527777836308815E-3</c:v>
                </c:pt>
                <c:pt idx="209" formatCode="General">
                  <c:v>8.078703707724344E-3</c:v>
                </c:pt>
                <c:pt idx="210" formatCode="General">
                  <c:v>5.543981482333038E-3</c:v>
                </c:pt>
                <c:pt idx="211" formatCode="General">
                  <c:v>5.3587962975143455E-3</c:v>
                </c:pt>
                <c:pt idx="212" formatCode="General">
                  <c:v>#N/A</c:v>
                </c:pt>
                <c:pt idx="213" formatCode="General">
                  <c:v>#N/A</c:v>
                </c:pt>
                <c:pt idx="214" formatCode="General">
                  <c:v>9.0393518476048484E-3</c:v>
                </c:pt>
                <c:pt idx="215" formatCode="General">
                  <c:v>5.6249999979627319E-3</c:v>
                </c:pt>
                <c:pt idx="216" formatCode="General">
                  <c:v>6.8518518528435379E-3</c:v>
                </c:pt>
                <c:pt idx="217" formatCode="General">
                  <c:v>5.0462962972233072E-3</c:v>
                </c:pt>
                <c:pt idx="218" formatCode="General">
                  <c:v>6.7476851836545393E-3</c:v>
                </c:pt>
                <c:pt idx="219" formatCode="General">
                  <c:v>4.4791666659875773E-3</c:v>
                </c:pt>
                <c:pt idx="220" formatCode="General">
                  <c:v>7.025462960882578E-3</c:v>
                </c:pt>
                <c:pt idx="221" formatCode="General">
                  <c:v>4.9768518510973081E-3</c:v>
                </c:pt>
                <c:pt idx="222" formatCode="General">
                  <c:v>7.2106481529772282E-3</c:v>
                </c:pt>
                <c:pt idx="223" formatCode="General">
                  <c:v>8.6921296315267682E-3</c:v>
                </c:pt>
                <c:pt idx="224" formatCode="General">
                  <c:v>6.2731481521041133E-3</c:v>
                </c:pt>
                <c:pt idx="225" formatCode="General">
                  <c:v>#N/A</c:v>
                </c:pt>
                <c:pt idx="226" formatCode="General">
                  <c:v>7.2685185223235749E-3</c:v>
                </c:pt>
                <c:pt idx="227" formatCode="General">
                  <c:v>8.8773148163454607E-3</c:v>
                </c:pt>
                <c:pt idx="228" formatCode="General">
                  <c:v>6.3425925909541547E-3</c:v>
                </c:pt>
                <c:pt idx="229" formatCode="General">
                  <c:v>4.7337962969322689E-3</c:v>
                </c:pt>
                <c:pt idx="230" formatCode="General">
                  <c:v>5.3819444437976927E-3</c:v>
                </c:pt>
                <c:pt idx="231" formatCode="General">
                  <c:v>9.0393518476048484E-3</c:v>
                </c:pt>
                <c:pt idx="232" formatCode="General">
                  <c:v>8.3796296312357299E-3</c:v>
                </c:pt>
                <c:pt idx="233" formatCode="General">
                  <c:v>8.3564814849523827E-3</c:v>
                </c:pt>
                <c:pt idx="234" formatCode="General">
                  <c:v>1.1747685188311152E-2</c:v>
                </c:pt>
                <c:pt idx="235" formatCode="General">
                  <c:v>7.1412037068512291E-3</c:v>
                </c:pt>
                <c:pt idx="236" formatCode="General">
                  <c:v>5.2314814820419997E-3</c:v>
                </c:pt>
                <c:pt idx="237" formatCode="General">
                  <c:v>9.0393518476048484E-3</c:v>
                </c:pt>
                <c:pt idx="238" formatCode="General">
                  <c:v>4.6180555509636179E-3</c:v>
                </c:pt>
                <c:pt idx="239" formatCode="General">
                  <c:v>5.6365740747423843E-3</c:v>
                </c:pt>
                <c:pt idx="240" formatCode="General">
                  <c:v>1.2511574073869269E-2</c:v>
                </c:pt>
                <c:pt idx="241" formatCode="General">
                  <c:v>#N/A</c:v>
                </c:pt>
                <c:pt idx="242" formatCode="General">
                  <c:v>6.1111111135687679E-3</c:v>
                </c:pt>
                <c:pt idx="243" formatCode="General">
                  <c:v>6.7824074067175388E-3</c:v>
                </c:pt>
                <c:pt idx="244" formatCode="General">
                  <c:v>6.8402777760638855E-3</c:v>
                </c:pt>
                <c:pt idx="245" formatCode="General">
                  <c:v>6.1458333366317675E-3</c:v>
                </c:pt>
                <c:pt idx="246" formatCode="General">
                  <c:v>9.0856481474475004E-3</c:v>
                </c:pt>
                <c:pt idx="247" formatCode="General">
                  <c:v>6.3888888907968067E-3</c:v>
                </c:pt>
                <c:pt idx="248" formatCode="General">
                  <c:v>6.0879629600094631E-3</c:v>
                </c:pt>
                <c:pt idx="249" formatCode="General">
                  <c:v>#N/A</c:v>
                </c:pt>
                <c:pt idx="250" formatCode="General">
                  <c:v>#N/A</c:v>
                </c:pt>
                <c:pt idx="251" formatCode="General">
                  <c:v>6.6203703681821935E-3</c:v>
                </c:pt>
                <c:pt idx="252" formatCode="General">
                  <c:v>5.8680555594037287E-3</c:v>
                </c:pt>
                <c:pt idx="253" formatCode="General">
                  <c:v>6.1574074134114198E-3</c:v>
                </c:pt>
                <c:pt idx="254" formatCode="General">
                  <c:v>5.7291666671517305E-3</c:v>
                </c:pt>
                <c:pt idx="255" formatCode="General">
                  <c:v>#N/A</c:v>
                </c:pt>
                <c:pt idx="256" formatCode="General">
                  <c:v>4.4907407354912721E-3</c:v>
                </c:pt>
                <c:pt idx="257" formatCode="General">
                  <c:v>7.3495370379532687E-3</c:v>
                </c:pt>
                <c:pt idx="258" formatCode="General">
                  <c:v>5.9490740750334226E-3</c:v>
                </c:pt>
                <c:pt idx="259" formatCode="General">
                  <c:v>6.5856481451191939E-3</c:v>
                </c:pt>
                <c:pt idx="260" formatCode="General">
                  <c:v>7.2337962919846177E-3</c:v>
                </c:pt>
                <c:pt idx="261" formatCode="General">
                  <c:v>1.0648148148902692E-2</c:v>
                </c:pt>
                <c:pt idx="262" formatCode="General">
                  <c:v>9.1203703705104999E-3</c:v>
                </c:pt>
                <c:pt idx="263" formatCode="General">
                  <c:v>5.173611112695653E-3</c:v>
                </c:pt>
                <c:pt idx="264" formatCode="General">
                  <c:v>9.4675925938645378E-3</c:v>
                </c:pt>
                <c:pt idx="265" formatCode="General">
                  <c:v>8.1134259307873435E-3</c:v>
                </c:pt>
                <c:pt idx="266" formatCode="General">
                  <c:v>1.0937499995634425E-2</c:v>
                </c:pt>
                <c:pt idx="267" formatCode="General">
                  <c:v>5.6828703745850362E-3</c:v>
                </c:pt>
                <c:pt idx="268" formatCode="General">
                  <c:v>7.6851851845276542E-3</c:v>
                </c:pt>
                <c:pt idx="269" formatCode="General">
                  <c:v>6.6666666680248454E-3</c:v>
                </c:pt>
                <c:pt idx="270" formatCode="General">
                  <c:v>8.9236111161881126E-3</c:v>
                </c:pt>
                <c:pt idx="271" formatCode="General">
                  <c:v>6.7245370373711921E-3</c:v>
                </c:pt>
                <c:pt idx="272" formatCode="General">
                  <c:v>#N/A</c:v>
                </c:pt>
                <c:pt idx="273" formatCode="General">
                  <c:v>4.7916666735545732E-3</c:v>
                </c:pt>
                <c:pt idx="274" formatCode="General">
                  <c:v>3.8888888884685002E-3</c:v>
                </c:pt>
                <c:pt idx="275" formatCode="General">
                  <c:v>9.9652777789742686E-3</c:v>
                </c:pt>
                <c:pt idx="276" formatCode="General">
                  <c:v>8.7384259313694201E-3</c:v>
                </c:pt>
                <c:pt idx="277" formatCode="General">
                  <c:v>5.7175925903720781E-3</c:v>
                </c:pt>
                <c:pt idx="278" formatCode="General">
                  <c:v>1.1863425927003846E-2</c:v>
                </c:pt>
                <c:pt idx="279" formatCode="General">
                  <c:v>1.0497685187146999E-2</c:v>
                </c:pt>
                <c:pt idx="280" formatCode="General">
                  <c:v>4.9537037048139609E-3</c:v>
                </c:pt>
                <c:pt idx="281" formatCode="General">
                  <c:v>6.9907407378195785E-3</c:v>
                </c:pt>
                <c:pt idx="282" formatCode="General">
                  <c:v>4.8611111124046147E-3</c:v>
                </c:pt>
                <c:pt idx="283" formatCode="General">
                  <c:v>1.2199074073578231E-2</c:v>
                </c:pt>
                <c:pt idx="284" formatCode="General">
                  <c:v>8.1250000002910383E-3</c:v>
                </c:pt>
                <c:pt idx="285" formatCode="General">
                  <c:v>5.0810185202863067E-3</c:v>
                </c:pt>
                <c:pt idx="286" formatCode="General">
                  <c:v>1.003472221782431E-2</c:v>
                </c:pt>
                <c:pt idx="287" formatCode="General">
                  <c:v>5.6828703745850362E-3</c:v>
                </c:pt>
                <c:pt idx="288" formatCode="General">
                  <c:v>#N/A</c:v>
                </c:pt>
                <c:pt idx="289" formatCode="General">
                  <c:v>7.928240745968651E-3</c:v>
                </c:pt>
                <c:pt idx="290" formatCode="General">
                  <c:v>4.2476851813262329E-3</c:v>
                </c:pt>
                <c:pt idx="291" formatCode="General">
                  <c:v>6.7476851836545393E-3</c:v>
                </c:pt>
                <c:pt idx="292" formatCode="General">
                  <c:v>8.1712963001336902E-3</c:v>
                </c:pt>
                <c:pt idx="293" formatCode="General">
                  <c:v>4.4444444502005354E-3</c:v>
                </c:pt>
                <c:pt idx="294" formatCode="General">
                  <c:v>7.3148148148902692E-3</c:v>
                </c:pt>
                <c:pt idx="295" formatCode="General">
                  <c:v>6.0416666674427688E-3</c:v>
                </c:pt>
                <c:pt idx="296" formatCode="General">
                  <c:v>4.4212962966412306E-3</c:v>
                </c:pt>
                <c:pt idx="297" formatCode="General">
                  <c:v>8.2175925927003846E-3</c:v>
                </c:pt>
                <c:pt idx="298" formatCode="General">
                  <c:v>6.5393518525524996E-3</c:v>
                </c:pt>
                <c:pt idx="299" formatCode="General">
                  <c:v>6.9097222221898846E-3</c:v>
                </c:pt>
                <c:pt idx="300" formatCode="General">
                  <c:v>6.8287036992842332E-3</c:v>
                </c:pt>
                <c:pt idx="301" formatCode="General">
                  <c:v>8.0555555541650392E-3</c:v>
                </c:pt>
                <c:pt idx="302" formatCode="General">
                  <c:v>6.4930555527098477E-3</c:v>
                </c:pt>
                <c:pt idx="303" formatCode="General">
                  <c:v>5.3472222280106507E-3</c:v>
                </c:pt>
                <c:pt idx="304" formatCode="General">
                  <c:v>8.4606481468654238E-3</c:v>
                </c:pt>
                <c:pt idx="305" formatCode="General">
                  <c:v>5.2546296356013045E-3</c:v>
                </c:pt>
                <c:pt idx="306" formatCode="General">
                  <c:v>5.8912036984111182E-3</c:v>
                </c:pt>
                <c:pt idx="307" formatCode="General">
                  <c:v>6.2152777754818089E-3</c:v>
                </c:pt>
                <c:pt idx="308" formatCode="General">
                  <c:v>9.1203703705104999E-3</c:v>
                </c:pt>
                <c:pt idx="309" formatCode="General">
                  <c:v>6.2615740753244609E-3</c:v>
                </c:pt>
                <c:pt idx="310" formatCode="General">
                  <c:v>8.2175925927003846E-3</c:v>
                </c:pt>
                <c:pt idx="311" formatCode="General">
                  <c:v>1.6284722216369119E-2</c:v>
                </c:pt>
                <c:pt idx="312" formatCode="General">
                  <c:v>6.5509259220561944E-3</c:v>
                </c:pt>
                <c:pt idx="313" formatCode="General">
                  <c:v>5.428240736364387E-3</c:v>
                </c:pt>
                <c:pt idx="314" formatCode="General">
                  <c:v>4.4907407354912721E-3</c:v>
                </c:pt>
                <c:pt idx="315" formatCode="General">
                  <c:v>6.921296298969537E-3</c:v>
                </c:pt>
                <c:pt idx="316" formatCode="General">
                  <c:v>8.5648148160544224E-3</c:v>
                </c:pt>
                <c:pt idx="317" formatCode="General">
                  <c:v>1.0578703702776693E-2</c:v>
                </c:pt>
                <c:pt idx="318" formatCode="General">
                  <c:v>#N/A</c:v>
                </c:pt>
                <c:pt idx="319" formatCode="General">
                  <c:v>#N/A</c:v>
                </c:pt>
                <c:pt idx="320" formatCode="General">
                  <c:v>1.0937499995634425E-2</c:v>
                </c:pt>
                <c:pt idx="321" formatCode="General">
                  <c:v>5.1388888896326534E-3</c:v>
                </c:pt>
                <c:pt idx="322" formatCode="General">
                  <c:v>6.5162037062691525E-3</c:v>
                </c:pt>
                <c:pt idx="323" formatCode="General">
                  <c:v>4.5486111121135764E-3</c:v>
                </c:pt>
                <c:pt idx="324" formatCode="General">
                  <c:v>7.6736111150239594E-3</c:v>
                </c:pt>
                <c:pt idx="325" formatCode="General">
                  <c:v>6.7824074067175388E-3</c:v>
                </c:pt>
                <c:pt idx="326" formatCode="General">
                  <c:v>7.4652777766459621E-3</c:v>
                </c:pt>
                <c:pt idx="327" formatCode="General">
                  <c:v>#N/A</c:v>
                </c:pt>
                <c:pt idx="328" formatCode="General">
                  <c:v>#N/A</c:v>
                </c:pt>
                <c:pt idx="329" formatCode="General">
                  <c:v>5.9259259214741178E-3</c:v>
                </c:pt>
                <c:pt idx="330" formatCode="General">
                  <c:v>5.5555555518367328E-3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E9-4462-9E1E-9BD03CD9BD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4486159"/>
        <c:axId val="1824491439"/>
      </c:scatterChart>
      <c:valAx>
        <c:axId val="18244947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24481359"/>
        <c:crosses val="autoZero"/>
        <c:crossBetween val="midCat"/>
      </c:valAx>
      <c:valAx>
        <c:axId val="1824481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24494799"/>
        <c:crosses val="autoZero"/>
        <c:crossBetween val="midCat"/>
      </c:valAx>
      <c:valAx>
        <c:axId val="1824491439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24486159"/>
        <c:crosses val="max"/>
        <c:crossBetween val="midCat"/>
      </c:valAx>
      <c:valAx>
        <c:axId val="1824486159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24491439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fmlaLink="セルを黄色" lockText="1" noThreeD="1"/>
</file>

<file path=xl/ctrlProps/ctrlProp16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4763</xdr:rowOff>
        </xdr:from>
        <xdr:to>
          <xdr:col>17</xdr:col>
          <xdr:colOff>676275</xdr:colOff>
          <xdr:row>1</xdr:row>
          <xdr:rowOff>0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4763</xdr:rowOff>
        </xdr:from>
        <xdr:to>
          <xdr:col>17</xdr:col>
          <xdr:colOff>676275</xdr:colOff>
          <xdr:row>3</xdr:row>
          <xdr:rowOff>0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</xdr:row>
          <xdr:rowOff>4763</xdr:rowOff>
        </xdr:from>
        <xdr:to>
          <xdr:col>20</xdr:col>
          <xdr:colOff>676275</xdr:colOff>
          <xdr:row>3</xdr:row>
          <xdr:rowOff>0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4763</xdr:rowOff>
        </xdr:from>
        <xdr:to>
          <xdr:col>17</xdr:col>
          <xdr:colOff>676275</xdr:colOff>
          <xdr:row>4</xdr:row>
          <xdr:rowOff>0</xdr:rowOff>
        </xdr:to>
        <xdr:sp macro="" textlink="">
          <xdr:nvSpPr>
            <xdr:cNvPr id="1063" name="PauseQues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211931</xdr:colOff>
      <xdr:row>1</xdr:row>
      <xdr:rowOff>178593</xdr:rowOff>
    </xdr:from>
    <xdr:to>
      <xdr:col>4</xdr:col>
      <xdr:colOff>211931</xdr:colOff>
      <xdr:row>7</xdr:row>
      <xdr:rowOff>178593</xdr:rowOff>
    </xdr:to>
    <xdr:cxnSp macro="">
      <xdr:nvCxnSpPr>
        <xdr:cNvPr id="2305" name="Match0">
          <a:extLst>
            <a:ext uri="{FF2B5EF4-FFF2-40B4-BE49-F238E27FC236}">
              <a16:creationId xmlns:a16="http://schemas.microsoft.com/office/drawing/2014/main" id="{29D3E729-C326-E539-E320-0A7D136C3FFB}"/>
            </a:ext>
          </a:extLst>
        </xdr:cNvPr>
        <xdr:cNvCxnSpPr/>
      </xdr:nvCxnSpPr>
      <xdr:spPr>
        <a:xfrm>
          <a:off x="1907381" y="535781"/>
          <a:ext cx="0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</xdr:row>
      <xdr:rowOff>178593</xdr:rowOff>
    </xdr:from>
    <xdr:to>
      <xdr:col>5</xdr:col>
      <xdr:colOff>211931</xdr:colOff>
      <xdr:row>5</xdr:row>
      <xdr:rowOff>178593</xdr:rowOff>
    </xdr:to>
    <xdr:cxnSp macro="">
      <xdr:nvCxnSpPr>
        <xdr:cNvPr id="2306" name="Match1">
          <a:extLst>
            <a:ext uri="{FF2B5EF4-FFF2-40B4-BE49-F238E27FC236}">
              <a16:creationId xmlns:a16="http://schemas.microsoft.com/office/drawing/2014/main" id="{6DE57835-DD96-2DDF-C018-55DC269E5F9C}"/>
            </a:ext>
          </a:extLst>
        </xdr:cNvPr>
        <xdr:cNvCxnSpPr/>
      </xdr:nvCxnSpPr>
      <xdr:spPr>
        <a:xfrm flipV="1">
          <a:off x="2331244" y="535781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10</xdr:row>
      <xdr:rowOff>178594</xdr:rowOff>
    </xdr:from>
    <xdr:to>
      <xdr:col>10</xdr:col>
      <xdr:colOff>211931</xdr:colOff>
      <xdr:row>10</xdr:row>
      <xdr:rowOff>178594</xdr:rowOff>
    </xdr:to>
    <xdr:cxnSp macro="">
      <xdr:nvCxnSpPr>
        <xdr:cNvPr id="2307" name="Match2">
          <a:extLst>
            <a:ext uri="{FF2B5EF4-FFF2-40B4-BE49-F238E27FC236}">
              <a16:creationId xmlns:a16="http://schemas.microsoft.com/office/drawing/2014/main" id="{19E1082B-5137-ECB3-3D2B-590828CCEAEB}"/>
            </a:ext>
          </a:extLst>
        </xdr:cNvPr>
        <xdr:cNvCxnSpPr/>
      </xdr:nvCxnSpPr>
      <xdr:spPr>
        <a:xfrm flipH="1">
          <a:off x="2331244" y="3750469"/>
          <a:ext cx="211931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5</xdr:row>
      <xdr:rowOff>178593</xdr:rowOff>
    </xdr:from>
    <xdr:to>
      <xdr:col>2</xdr:col>
      <xdr:colOff>211931</xdr:colOff>
      <xdr:row>6</xdr:row>
      <xdr:rowOff>178594</xdr:rowOff>
    </xdr:to>
    <xdr:cxnSp macro="">
      <xdr:nvCxnSpPr>
        <xdr:cNvPr id="2308" name="Match3">
          <a:extLst>
            <a:ext uri="{FF2B5EF4-FFF2-40B4-BE49-F238E27FC236}">
              <a16:creationId xmlns:a16="http://schemas.microsoft.com/office/drawing/2014/main" id="{3B25317C-A0D2-EFFA-FA32-2DFD63CD6C02}"/>
            </a:ext>
          </a:extLst>
        </xdr:cNvPr>
        <xdr:cNvCxnSpPr/>
      </xdr:nvCxnSpPr>
      <xdr:spPr>
        <a:xfrm flipH="1">
          <a:off x="635794" y="196453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4</xdr:row>
      <xdr:rowOff>203994</xdr:rowOff>
    </xdr:from>
    <xdr:to>
      <xdr:col>2</xdr:col>
      <xdr:colOff>237331</xdr:colOff>
      <xdr:row>5</xdr:row>
      <xdr:rowOff>203993</xdr:rowOff>
    </xdr:to>
    <xdr:cxnSp macro="">
      <xdr:nvCxnSpPr>
        <xdr:cNvPr id="2309" name="Match4">
          <a:extLst>
            <a:ext uri="{FF2B5EF4-FFF2-40B4-BE49-F238E27FC236}">
              <a16:creationId xmlns:a16="http://schemas.microsoft.com/office/drawing/2014/main" id="{AD6379F6-781F-603F-81B3-F597FECAE366}"/>
            </a:ext>
          </a:extLst>
        </xdr:cNvPr>
        <xdr:cNvCxnSpPr/>
      </xdr:nvCxnSpPr>
      <xdr:spPr>
        <a:xfrm flipH="1" flipV="1">
          <a:off x="661194" y="163274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262731</xdr:colOff>
      <xdr:row>4</xdr:row>
      <xdr:rowOff>229394</xdr:rowOff>
    </xdr:from>
    <xdr:to>
      <xdr:col>3</xdr:col>
      <xdr:colOff>262731</xdr:colOff>
      <xdr:row>5</xdr:row>
      <xdr:rowOff>229393</xdr:rowOff>
    </xdr:to>
    <xdr:cxnSp macro="">
      <xdr:nvCxnSpPr>
        <xdr:cNvPr id="2310" name="Match5">
          <a:extLst>
            <a:ext uri="{FF2B5EF4-FFF2-40B4-BE49-F238E27FC236}">
              <a16:creationId xmlns:a16="http://schemas.microsoft.com/office/drawing/2014/main" id="{13A8F49B-FE41-719C-23CD-1998B57A9F49}"/>
            </a:ext>
          </a:extLst>
        </xdr:cNvPr>
        <xdr:cNvCxnSpPr/>
      </xdr:nvCxnSpPr>
      <xdr:spPr>
        <a:xfrm flipV="1">
          <a:off x="1110456" y="1658144"/>
          <a:ext cx="423863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6</xdr:row>
      <xdr:rowOff>178594</xdr:rowOff>
    </xdr:from>
    <xdr:to>
      <xdr:col>8</xdr:col>
      <xdr:colOff>211931</xdr:colOff>
      <xdr:row>6</xdr:row>
      <xdr:rowOff>178594</xdr:rowOff>
    </xdr:to>
    <xdr:cxnSp macro="">
      <xdr:nvCxnSpPr>
        <xdr:cNvPr id="2311" name="Match6">
          <a:extLst>
            <a:ext uri="{FF2B5EF4-FFF2-40B4-BE49-F238E27FC236}">
              <a16:creationId xmlns:a16="http://schemas.microsoft.com/office/drawing/2014/main" id="{7F00C242-E4A4-4D07-9D3A-D7441374E6FB}"/>
            </a:ext>
          </a:extLst>
        </xdr:cNvPr>
        <xdr:cNvCxnSpPr/>
      </xdr:nvCxnSpPr>
      <xdr:spPr>
        <a:xfrm>
          <a:off x="3178969" y="232171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6</xdr:row>
      <xdr:rowOff>203994</xdr:rowOff>
    </xdr:from>
    <xdr:to>
      <xdr:col>7</xdr:col>
      <xdr:colOff>237331</xdr:colOff>
      <xdr:row>7</xdr:row>
      <xdr:rowOff>203993</xdr:rowOff>
    </xdr:to>
    <xdr:cxnSp macro="">
      <xdr:nvCxnSpPr>
        <xdr:cNvPr id="2312" name="Match7">
          <a:extLst>
            <a:ext uri="{FF2B5EF4-FFF2-40B4-BE49-F238E27FC236}">
              <a16:creationId xmlns:a16="http://schemas.microsoft.com/office/drawing/2014/main" id="{71C29C64-6A9B-A22F-7E29-9D63EEBAD9D9}"/>
            </a:ext>
          </a:extLst>
        </xdr:cNvPr>
        <xdr:cNvCxnSpPr/>
      </xdr:nvCxnSpPr>
      <xdr:spPr>
        <a:xfrm>
          <a:off x="3204369" y="234711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262731</xdr:colOff>
      <xdr:row>5</xdr:row>
      <xdr:rowOff>229393</xdr:rowOff>
    </xdr:from>
    <xdr:to>
      <xdr:col>7</xdr:col>
      <xdr:colOff>262731</xdr:colOff>
      <xdr:row>6</xdr:row>
      <xdr:rowOff>229394</xdr:rowOff>
    </xdr:to>
    <xdr:cxnSp macro="">
      <xdr:nvCxnSpPr>
        <xdr:cNvPr id="2313" name="Match8">
          <a:extLst>
            <a:ext uri="{FF2B5EF4-FFF2-40B4-BE49-F238E27FC236}">
              <a16:creationId xmlns:a16="http://schemas.microsoft.com/office/drawing/2014/main" id="{23C403BC-69E8-CA19-5D91-E6DD01F34A4A}"/>
            </a:ext>
          </a:extLst>
        </xdr:cNvPr>
        <xdr:cNvCxnSpPr/>
      </xdr:nvCxnSpPr>
      <xdr:spPr>
        <a:xfrm flipH="1" flipV="1">
          <a:off x="2805906" y="2015331"/>
          <a:ext cx="423863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288131</xdr:colOff>
      <xdr:row>6</xdr:row>
      <xdr:rowOff>254794</xdr:rowOff>
    </xdr:from>
    <xdr:to>
      <xdr:col>11</xdr:col>
      <xdr:colOff>288131</xdr:colOff>
      <xdr:row>10</xdr:row>
      <xdr:rowOff>254794</xdr:rowOff>
    </xdr:to>
    <xdr:cxnSp macro="">
      <xdr:nvCxnSpPr>
        <xdr:cNvPr id="2314" name="Match9">
          <a:extLst>
            <a:ext uri="{FF2B5EF4-FFF2-40B4-BE49-F238E27FC236}">
              <a16:creationId xmlns:a16="http://schemas.microsoft.com/office/drawing/2014/main" id="{1C594A08-40FA-B1C4-754D-FC1048AFE638}"/>
            </a:ext>
          </a:extLst>
        </xdr:cNvPr>
        <xdr:cNvCxnSpPr/>
      </xdr:nvCxnSpPr>
      <xdr:spPr>
        <a:xfrm>
          <a:off x="3255169" y="2397919"/>
          <a:ext cx="1695450" cy="1428750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4</xdr:row>
      <xdr:rowOff>178594</xdr:rowOff>
    </xdr:from>
    <xdr:to>
      <xdr:col>8</xdr:col>
      <xdr:colOff>211931</xdr:colOff>
      <xdr:row>10</xdr:row>
      <xdr:rowOff>178594</xdr:rowOff>
    </xdr:to>
    <xdr:cxnSp macro="">
      <xdr:nvCxnSpPr>
        <xdr:cNvPr id="2315" name="Match10">
          <a:extLst>
            <a:ext uri="{FF2B5EF4-FFF2-40B4-BE49-F238E27FC236}">
              <a16:creationId xmlns:a16="http://schemas.microsoft.com/office/drawing/2014/main" id="{2F70A45A-AD1A-06FC-59AE-671CC647CC25}"/>
            </a:ext>
          </a:extLst>
        </xdr:cNvPr>
        <xdr:cNvCxnSpPr/>
      </xdr:nvCxnSpPr>
      <xdr:spPr>
        <a:xfrm flipH="1">
          <a:off x="1059656" y="1607344"/>
          <a:ext cx="2543175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0</xdr:row>
      <xdr:rowOff>178594</xdr:rowOff>
    </xdr:from>
    <xdr:to>
      <xdr:col>9</xdr:col>
      <xdr:colOff>211931</xdr:colOff>
      <xdr:row>0</xdr:row>
      <xdr:rowOff>178594</xdr:rowOff>
    </xdr:to>
    <xdr:cxnSp macro="">
      <xdr:nvCxnSpPr>
        <xdr:cNvPr id="2316" name="Match11">
          <a:extLst>
            <a:ext uri="{FF2B5EF4-FFF2-40B4-BE49-F238E27FC236}">
              <a16:creationId xmlns:a16="http://schemas.microsoft.com/office/drawing/2014/main" id="{DB94DC88-910B-8F5C-62A2-578E35F27D59}"/>
            </a:ext>
          </a:extLst>
        </xdr:cNvPr>
        <xdr:cNvCxnSpPr/>
      </xdr:nvCxnSpPr>
      <xdr:spPr>
        <a:xfrm flipH="1">
          <a:off x="3602831" y="1785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0</xdr:row>
      <xdr:rowOff>178594</xdr:rowOff>
    </xdr:from>
    <xdr:to>
      <xdr:col>11</xdr:col>
      <xdr:colOff>211931</xdr:colOff>
      <xdr:row>0</xdr:row>
      <xdr:rowOff>178594</xdr:rowOff>
    </xdr:to>
    <xdr:cxnSp macro="">
      <xdr:nvCxnSpPr>
        <xdr:cNvPr id="2317" name="Match12">
          <a:extLst>
            <a:ext uri="{FF2B5EF4-FFF2-40B4-BE49-F238E27FC236}">
              <a16:creationId xmlns:a16="http://schemas.microsoft.com/office/drawing/2014/main" id="{9F759232-75E2-C1B3-AA56-E6FBE490F130}"/>
            </a:ext>
          </a:extLst>
        </xdr:cNvPr>
        <xdr:cNvCxnSpPr/>
      </xdr:nvCxnSpPr>
      <xdr:spPr>
        <a:xfrm>
          <a:off x="4450556" y="1785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0</xdr:row>
      <xdr:rowOff>203994</xdr:rowOff>
    </xdr:from>
    <xdr:to>
      <xdr:col>4</xdr:col>
      <xdr:colOff>237331</xdr:colOff>
      <xdr:row>1</xdr:row>
      <xdr:rowOff>203993</xdr:rowOff>
    </xdr:to>
    <xdr:cxnSp macro="">
      <xdr:nvCxnSpPr>
        <xdr:cNvPr id="2318" name="Match13">
          <a:extLst>
            <a:ext uri="{FF2B5EF4-FFF2-40B4-BE49-F238E27FC236}">
              <a16:creationId xmlns:a16="http://schemas.microsoft.com/office/drawing/2014/main" id="{7EE70D4D-1926-2D17-AD12-C3520E5E210F}"/>
            </a:ext>
          </a:extLst>
        </xdr:cNvPr>
        <xdr:cNvCxnSpPr/>
      </xdr:nvCxnSpPr>
      <xdr:spPr>
        <a:xfrm flipV="1">
          <a:off x="1932781" y="2039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262731</xdr:colOff>
      <xdr:row>0</xdr:row>
      <xdr:rowOff>229394</xdr:rowOff>
    </xdr:from>
    <xdr:to>
      <xdr:col>5</xdr:col>
      <xdr:colOff>262731</xdr:colOff>
      <xdr:row>1</xdr:row>
      <xdr:rowOff>229393</xdr:rowOff>
    </xdr:to>
    <xdr:cxnSp macro="">
      <xdr:nvCxnSpPr>
        <xdr:cNvPr id="2319" name="Match14">
          <a:extLst>
            <a:ext uri="{FF2B5EF4-FFF2-40B4-BE49-F238E27FC236}">
              <a16:creationId xmlns:a16="http://schemas.microsoft.com/office/drawing/2014/main" id="{DB1687BD-D0CA-768D-52D1-4F1135BCF6D6}"/>
            </a:ext>
          </a:extLst>
        </xdr:cNvPr>
        <xdr:cNvCxnSpPr/>
      </xdr:nvCxnSpPr>
      <xdr:spPr>
        <a:xfrm flipV="1">
          <a:off x="1958181" y="229394"/>
          <a:ext cx="423863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0</xdr:row>
      <xdr:rowOff>178594</xdr:rowOff>
    </xdr:from>
    <xdr:to>
      <xdr:col>11</xdr:col>
      <xdr:colOff>211931</xdr:colOff>
      <xdr:row>1</xdr:row>
      <xdr:rowOff>178593</xdr:rowOff>
    </xdr:to>
    <xdr:cxnSp macro="">
      <xdr:nvCxnSpPr>
        <xdr:cNvPr id="2320" name="Match15">
          <a:extLst>
            <a:ext uri="{FF2B5EF4-FFF2-40B4-BE49-F238E27FC236}">
              <a16:creationId xmlns:a16="http://schemas.microsoft.com/office/drawing/2014/main" id="{19C6ABE0-E690-E1E1-1154-2FE72AE30B46}"/>
            </a:ext>
          </a:extLst>
        </xdr:cNvPr>
        <xdr:cNvCxnSpPr/>
      </xdr:nvCxnSpPr>
      <xdr:spPr>
        <a:xfrm flipV="1">
          <a:off x="4450556" y="1785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1</xdr:row>
      <xdr:rowOff>178593</xdr:rowOff>
    </xdr:from>
    <xdr:to>
      <xdr:col>8</xdr:col>
      <xdr:colOff>211931</xdr:colOff>
      <xdr:row>2</xdr:row>
      <xdr:rowOff>178594</xdr:rowOff>
    </xdr:to>
    <xdr:cxnSp macro="">
      <xdr:nvCxnSpPr>
        <xdr:cNvPr id="2321" name="Match16">
          <a:extLst>
            <a:ext uri="{FF2B5EF4-FFF2-40B4-BE49-F238E27FC236}">
              <a16:creationId xmlns:a16="http://schemas.microsoft.com/office/drawing/2014/main" id="{6185DFE5-6B6F-F710-9ED2-39B78CF04E50}"/>
            </a:ext>
          </a:extLst>
        </xdr:cNvPr>
        <xdr:cNvCxnSpPr/>
      </xdr:nvCxnSpPr>
      <xdr:spPr>
        <a:xfrm flipH="1" flipV="1">
          <a:off x="3178969" y="5357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5</xdr:row>
      <xdr:rowOff>178593</xdr:rowOff>
    </xdr:from>
    <xdr:to>
      <xdr:col>9</xdr:col>
      <xdr:colOff>211931</xdr:colOff>
      <xdr:row>6</xdr:row>
      <xdr:rowOff>178594</xdr:rowOff>
    </xdr:to>
    <xdr:cxnSp macro="">
      <xdr:nvCxnSpPr>
        <xdr:cNvPr id="2322" name="Match17">
          <a:extLst>
            <a:ext uri="{FF2B5EF4-FFF2-40B4-BE49-F238E27FC236}">
              <a16:creationId xmlns:a16="http://schemas.microsoft.com/office/drawing/2014/main" id="{2FF19A58-8FE0-4E47-B30A-F472230F29E3}"/>
            </a:ext>
          </a:extLst>
        </xdr:cNvPr>
        <xdr:cNvCxnSpPr/>
      </xdr:nvCxnSpPr>
      <xdr:spPr>
        <a:xfrm>
          <a:off x="4026694" y="196453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6</xdr:row>
      <xdr:rowOff>178594</xdr:rowOff>
    </xdr:from>
    <xdr:to>
      <xdr:col>3</xdr:col>
      <xdr:colOff>211931</xdr:colOff>
      <xdr:row>6</xdr:row>
      <xdr:rowOff>178594</xdr:rowOff>
    </xdr:to>
    <xdr:cxnSp macro="">
      <xdr:nvCxnSpPr>
        <xdr:cNvPr id="2323" name="Match18">
          <a:extLst>
            <a:ext uri="{FF2B5EF4-FFF2-40B4-BE49-F238E27FC236}">
              <a16:creationId xmlns:a16="http://schemas.microsoft.com/office/drawing/2014/main" id="{BC4E0906-0000-0021-7138-EDDB2BA4DB01}"/>
            </a:ext>
          </a:extLst>
        </xdr:cNvPr>
        <xdr:cNvCxnSpPr/>
      </xdr:nvCxnSpPr>
      <xdr:spPr>
        <a:xfrm>
          <a:off x="1059656" y="232171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5</xdr:row>
      <xdr:rowOff>203993</xdr:rowOff>
    </xdr:from>
    <xdr:to>
      <xdr:col>2</xdr:col>
      <xdr:colOff>237331</xdr:colOff>
      <xdr:row>6</xdr:row>
      <xdr:rowOff>203994</xdr:rowOff>
    </xdr:to>
    <xdr:cxnSp macro="">
      <xdr:nvCxnSpPr>
        <xdr:cNvPr id="2324" name="Match19">
          <a:extLst>
            <a:ext uri="{FF2B5EF4-FFF2-40B4-BE49-F238E27FC236}">
              <a16:creationId xmlns:a16="http://schemas.microsoft.com/office/drawing/2014/main" id="{3C6F9930-1D14-676D-47FE-F4B8BC89FF40}"/>
            </a:ext>
          </a:extLst>
        </xdr:cNvPr>
        <xdr:cNvCxnSpPr/>
      </xdr:nvCxnSpPr>
      <xdr:spPr>
        <a:xfrm flipH="1" flipV="1">
          <a:off x="661194" y="198993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6</xdr:row>
      <xdr:rowOff>178594</xdr:rowOff>
    </xdr:from>
    <xdr:to>
      <xdr:col>9</xdr:col>
      <xdr:colOff>211931</xdr:colOff>
      <xdr:row>7</xdr:row>
      <xdr:rowOff>178593</xdr:rowOff>
    </xdr:to>
    <xdr:cxnSp macro="">
      <xdr:nvCxnSpPr>
        <xdr:cNvPr id="2325" name="Match20">
          <a:extLst>
            <a:ext uri="{FF2B5EF4-FFF2-40B4-BE49-F238E27FC236}">
              <a16:creationId xmlns:a16="http://schemas.microsoft.com/office/drawing/2014/main" id="{102A516B-E6EB-1BD6-88BF-1F2A8F09A735}"/>
            </a:ext>
          </a:extLst>
        </xdr:cNvPr>
        <xdr:cNvCxnSpPr/>
      </xdr:nvCxnSpPr>
      <xdr:spPr>
        <a:xfrm flipV="1">
          <a:off x="3602831" y="232171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7</xdr:row>
      <xdr:rowOff>178593</xdr:rowOff>
    </xdr:from>
    <xdr:to>
      <xdr:col>0</xdr:col>
      <xdr:colOff>211931</xdr:colOff>
      <xdr:row>8</xdr:row>
      <xdr:rowOff>178594</xdr:rowOff>
    </xdr:to>
    <xdr:cxnSp macro="">
      <xdr:nvCxnSpPr>
        <xdr:cNvPr id="2326" name="Match21">
          <a:extLst>
            <a:ext uri="{FF2B5EF4-FFF2-40B4-BE49-F238E27FC236}">
              <a16:creationId xmlns:a16="http://schemas.microsoft.com/office/drawing/2014/main" id="{09457D83-406F-2EB7-539B-56D170FF26F0}"/>
            </a:ext>
          </a:extLst>
        </xdr:cNvPr>
        <xdr:cNvCxnSpPr/>
      </xdr:nvCxnSpPr>
      <xdr:spPr>
        <a:xfrm flipV="1">
          <a:off x="211931" y="267890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7</xdr:row>
      <xdr:rowOff>178593</xdr:rowOff>
    </xdr:from>
    <xdr:to>
      <xdr:col>6</xdr:col>
      <xdr:colOff>211931</xdr:colOff>
      <xdr:row>8</xdr:row>
      <xdr:rowOff>178594</xdr:rowOff>
    </xdr:to>
    <xdr:cxnSp macro="">
      <xdr:nvCxnSpPr>
        <xdr:cNvPr id="2327" name="Match22">
          <a:extLst>
            <a:ext uri="{FF2B5EF4-FFF2-40B4-BE49-F238E27FC236}">
              <a16:creationId xmlns:a16="http://schemas.microsoft.com/office/drawing/2014/main" id="{AF714E06-D245-E6F3-80A9-5AEFD49FAFC2}"/>
            </a:ext>
          </a:extLst>
        </xdr:cNvPr>
        <xdr:cNvCxnSpPr/>
      </xdr:nvCxnSpPr>
      <xdr:spPr>
        <a:xfrm flipV="1">
          <a:off x="2755106" y="267890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8</xdr:row>
      <xdr:rowOff>178594</xdr:rowOff>
    </xdr:from>
    <xdr:to>
      <xdr:col>11</xdr:col>
      <xdr:colOff>211931</xdr:colOff>
      <xdr:row>8</xdr:row>
      <xdr:rowOff>178594</xdr:rowOff>
    </xdr:to>
    <xdr:cxnSp macro="">
      <xdr:nvCxnSpPr>
        <xdr:cNvPr id="2328" name="Match23">
          <a:extLst>
            <a:ext uri="{FF2B5EF4-FFF2-40B4-BE49-F238E27FC236}">
              <a16:creationId xmlns:a16="http://schemas.microsoft.com/office/drawing/2014/main" id="{44F1DDBB-7BB1-A43D-FA4D-906D3EC3D7CF}"/>
            </a:ext>
          </a:extLst>
        </xdr:cNvPr>
        <xdr:cNvCxnSpPr/>
      </xdr:nvCxnSpPr>
      <xdr:spPr>
        <a:xfrm>
          <a:off x="4450556" y="30360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7</xdr:row>
      <xdr:rowOff>203993</xdr:rowOff>
    </xdr:from>
    <xdr:to>
      <xdr:col>11</xdr:col>
      <xdr:colOff>237331</xdr:colOff>
      <xdr:row>8</xdr:row>
      <xdr:rowOff>203994</xdr:rowOff>
    </xdr:to>
    <xdr:cxnSp macro="">
      <xdr:nvCxnSpPr>
        <xdr:cNvPr id="2329" name="Match24">
          <a:extLst>
            <a:ext uri="{FF2B5EF4-FFF2-40B4-BE49-F238E27FC236}">
              <a16:creationId xmlns:a16="http://schemas.microsoft.com/office/drawing/2014/main" id="{609ABAD3-EC7F-A89A-D02B-89097733ED7A}"/>
            </a:ext>
          </a:extLst>
        </xdr:cNvPr>
        <xdr:cNvCxnSpPr/>
      </xdr:nvCxnSpPr>
      <xdr:spPr>
        <a:xfrm flipV="1">
          <a:off x="4475956" y="2704306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9</xdr:row>
      <xdr:rowOff>178593</xdr:rowOff>
    </xdr:from>
    <xdr:to>
      <xdr:col>2</xdr:col>
      <xdr:colOff>211931</xdr:colOff>
      <xdr:row>10</xdr:row>
      <xdr:rowOff>178594</xdr:rowOff>
    </xdr:to>
    <xdr:cxnSp macro="">
      <xdr:nvCxnSpPr>
        <xdr:cNvPr id="2330" name="Match25">
          <a:extLst>
            <a:ext uri="{FF2B5EF4-FFF2-40B4-BE49-F238E27FC236}">
              <a16:creationId xmlns:a16="http://schemas.microsoft.com/office/drawing/2014/main" id="{91C47250-84A1-5D2B-5DC6-535400ADB723}"/>
            </a:ext>
          </a:extLst>
        </xdr:cNvPr>
        <xdr:cNvCxnSpPr/>
      </xdr:nvCxnSpPr>
      <xdr:spPr>
        <a:xfrm>
          <a:off x="635794" y="33932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10</xdr:row>
      <xdr:rowOff>178594</xdr:rowOff>
    </xdr:from>
    <xdr:to>
      <xdr:col>0</xdr:col>
      <xdr:colOff>211931</xdr:colOff>
      <xdr:row>11</xdr:row>
      <xdr:rowOff>178593</xdr:rowOff>
    </xdr:to>
    <xdr:cxnSp macro="">
      <xdr:nvCxnSpPr>
        <xdr:cNvPr id="2331" name="Match26">
          <a:extLst>
            <a:ext uri="{FF2B5EF4-FFF2-40B4-BE49-F238E27FC236}">
              <a16:creationId xmlns:a16="http://schemas.microsoft.com/office/drawing/2014/main" id="{857A8A16-59BA-D1C9-4416-52242F7561DF}"/>
            </a:ext>
          </a:extLst>
        </xdr:cNvPr>
        <xdr:cNvCxnSpPr/>
      </xdr:nvCxnSpPr>
      <xdr:spPr>
        <a:xfrm>
          <a:off x="211931" y="37504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2</xdr:row>
      <xdr:rowOff>178594</xdr:rowOff>
    </xdr:from>
    <xdr:to>
      <xdr:col>11</xdr:col>
      <xdr:colOff>211931</xdr:colOff>
      <xdr:row>5</xdr:row>
      <xdr:rowOff>178593</xdr:rowOff>
    </xdr:to>
    <xdr:cxnSp macro="">
      <xdr:nvCxnSpPr>
        <xdr:cNvPr id="2332" name="Match27">
          <a:extLst>
            <a:ext uri="{FF2B5EF4-FFF2-40B4-BE49-F238E27FC236}">
              <a16:creationId xmlns:a16="http://schemas.microsoft.com/office/drawing/2014/main" id="{F7621726-CEB3-5959-B465-086A18CEA44E}"/>
            </a:ext>
          </a:extLst>
        </xdr:cNvPr>
        <xdr:cNvCxnSpPr/>
      </xdr:nvCxnSpPr>
      <xdr:spPr>
        <a:xfrm flipV="1">
          <a:off x="3602831" y="892969"/>
          <a:ext cx="1271588" cy="1071562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0</xdr:row>
      <xdr:rowOff>203994</xdr:rowOff>
    </xdr:from>
    <xdr:to>
      <xdr:col>10</xdr:col>
      <xdr:colOff>237331</xdr:colOff>
      <xdr:row>0</xdr:row>
      <xdr:rowOff>203994</xdr:rowOff>
    </xdr:to>
    <xdr:cxnSp macro="">
      <xdr:nvCxnSpPr>
        <xdr:cNvPr id="2333" name="Match28">
          <a:extLst>
            <a:ext uri="{FF2B5EF4-FFF2-40B4-BE49-F238E27FC236}">
              <a16:creationId xmlns:a16="http://schemas.microsoft.com/office/drawing/2014/main" id="{693A244E-3E4F-BD59-01E3-D481FD844C27}"/>
            </a:ext>
          </a:extLst>
        </xdr:cNvPr>
        <xdr:cNvCxnSpPr/>
      </xdr:nvCxnSpPr>
      <xdr:spPr>
        <a:xfrm>
          <a:off x="4052094" y="203994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262731</xdr:colOff>
      <xdr:row>0</xdr:row>
      <xdr:rowOff>229394</xdr:rowOff>
    </xdr:from>
    <xdr:to>
      <xdr:col>10</xdr:col>
      <xdr:colOff>262731</xdr:colOff>
      <xdr:row>1</xdr:row>
      <xdr:rowOff>229393</xdr:rowOff>
    </xdr:to>
    <xdr:cxnSp macro="">
      <xdr:nvCxnSpPr>
        <xdr:cNvPr id="2334" name="Match29">
          <a:extLst>
            <a:ext uri="{FF2B5EF4-FFF2-40B4-BE49-F238E27FC236}">
              <a16:creationId xmlns:a16="http://schemas.microsoft.com/office/drawing/2014/main" id="{0EEA1A99-6F5D-0AE1-71CD-9002FB0442C6}"/>
            </a:ext>
          </a:extLst>
        </xdr:cNvPr>
        <xdr:cNvCxnSpPr/>
      </xdr:nvCxnSpPr>
      <xdr:spPr>
        <a:xfrm>
          <a:off x="4077494" y="229394"/>
          <a:ext cx="423862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0</xdr:row>
      <xdr:rowOff>203994</xdr:rowOff>
    </xdr:from>
    <xdr:to>
      <xdr:col>10</xdr:col>
      <xdr:colOff>237331</xdr:colOff>
      <xdr:row>1</xdr:row>
      <xdr:rowOff>203993</xdr:rowOff>
    </xdr:to>
    <xdr:cxnSp macro="">
      <xdr:nvCxnSpPr>
        <xdr:cNvPr id="2335" name="Match30">
          <a:extLst>
            <a:ext uri="{FF2B5EF4-FFF2-40B4-BE49-F238E27FC236}">
              <a16:creationId xmlns:a16="http://schemas.microsoft.com/office/drawing/2014/main" id="{86938159-6ABB-0F03-BE36-E42A6B019AAE}"/>
            </a:ext>
          </a:extLst>
        </xdr:cNvPr>
        <xdr:cNvCxnSpPr/>
      </xdr:nvCxnSpPr>
      <xdr:spPr>
        <a:xfrm>
          <a:off x="4475956" y="2039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262731</xdr:colOff>
      <xdr:row>0</xdr:row>
      <xdr:rowOff>229394</xdr:rowOff>
    </xdr:from>
    <xdr:to>
      <xdr:col>10</xdr:col>
      <xdr:colOff>262731</xdr:colOff>
      <xdr:row>0</xdr:row>
      <xdr:rowOff>229394</xdr:rowOff>
    </xdr:to>
    <xdr:cxnSp macro="">
      <xdr:nvCxnSpPr>
        <xdr:cNvPr id="2336" name="Match31">
          <a:extLst>
            <a:ext uri="{FF2B5EF4-FFF2-40B4-BE49-F238E27FC236}">
              <a16:creationId xmlns:a16="http://schemas.microsoft.com/office/drawing/2014/main" id="{1CCBF1F5-E599-07F1-4025-50F32DB2ED30}"/>
            </a:ext>
          </a:extLst>
        </xdr:cNvPr>
        <xdr:cNvCxnSpPr/>
      </xdr:nvCxnSpPr>
      <xdr:spPr>
        <a:xfrm flipH="1">
          <a:off x="4077494" y="229394"/>
          <a:ext cx="423862" cy="0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0</xdr:row>
      <xdr:rowOff>203994</xdr:rowOff>
    </xdr:from>
    <xdr:to>
      <xdr:col>10</xdr:col>
      <xdr:colOff>237331</xdr:colOff>
      <xdr:row>1</xdr:row>
      <xdr:rowOff>203993</xdr:rowOff>
    </xdr:to>
    <xdr:cxnSp macro="">
      <xdr:nvCxnSpPr>
        <xdr:cNvPr id="2337" name="Match32">
          <a:extLst>
            <a:ext uri="{FF2B5EF4-FFF2-40B4-BE49-F238E27FC236}">
              <a16:creationId xmlns:a16="http://schemas.microsoft.com/office/drawing/2014/main" id="{8FBC0A93-1840-6578-2EC3-94836DA77489}"/>
            </a:ext>
          </a:extLst>
        </xdr:cNvPr>
        <xdr:cNvCxnSpPr/>
      </xdr:nvCxnSpPr>
      <xdr:spPr>
        <a:xfrm flipH="1" flipV="1">
          <a:off x="4052094" y="20399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262731</xdr:colOff>
      <xdr:row>0</xdr:row>
      <xdr:rowOff>229394</xdr:rowOff>
    </xdr:from>
    <xdr:to>
      <xdr:col>10</xdr:col>
      <xdr:colOff>262731</xdr:colOff>
      <xdr:row>1</xdr:row>
      <xdr:rowOff>229393</xdr:rowOff>
    </xdr:to>
    <xdr:cxnSp macro="">
      <xdr:nvCxnSpPr>
        <xdr:cNvPr id="2338" name="Match33">
          <a:extLst>
            <a:ext uri="{FF2B5EF4-FFF2-40B4-BE49-F238E27FC236}">
              <a16:creationId xmlns:a16="http://schemas.microsoft.com/office/drawing/2014/main" id="{E82B99C2-A525-73DD-DC90-A494AADB6D52}"/>
            </a:ext>
          </a:extLst>
        </xdr:cNvPr>
        <xdr:cNvCxnSpPr/>
      </xdr:nvCxnSpPr>
      <xdr:spPr>
        <a:xfrm flipV="1">
          <a:off x="4501356" y="229394"/>
          <a:ext cx="0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8</xdr:row>
      <xdr:rowOff>203994</xdr:rowOff>
    </xdr:from>
    <xdr:to>
      <xdr:col>1</xdr:col>
      <xdr:colOff>237331</xdr:colOff>
      <xdr:row>9</xdr:row>
      <xdr:rowOff>203993</xdr:rowOff>
    </xdr:to>
    <xdr:cxnSp macro="">
      <xdr:nvCxnSpPr>
        <xdr:cNvPr id="2339" name="Match34">
          <a:extLst>
            <a:ext uri="{FF2B5EF4-FFF2-40B4-BE49-F238E27FC236}">
              <a16:creationId xmlns:a16="http://schemas.microsoft.com/office/drawing/2014/main" id="{C0B46509-CC8A-E7A7-5B90-5BA85A34F21B}"/>
            </a:ext>
          </a:extLst>
        </xdr:cNvPr>
        <xdr:cNvCxnSpPr/>
      </xdr:nvCxnSpPr>
      <xdr:spPr>
        <a:xfrm>
          <a:off x="237331" y="306149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262731</xdr:colOff>
      <xdr:row>8</xdr:row>
      <xdr:rowOff>229394</xdr:rowOff>
    </xdr:from>
    <xdr:to>
      <xdr:col>10</xdr:col>
      <xdr:colOff>262731</xdr:colOff>
      <xdr:row>9</xdr:row>
      <xdr:rowOff>229393</xdr:rowOff>
    </xdr:to>
    <xdr:cxnSp macro="">
      <xdr:nvCxnSpPr>
        <xdr:cNvPr id="2340" name="Match35">
          <a:extLst>
            <a:ext uri="{FF2B5EF4-FFF2-40B4-BE49-F238E27FC236}">
              <a16:creationId xmlns:a16="http://schemas.microsoft.com/office/drawing/2014/main" id="{835A57C6-1574-0963-8EA5-5D3666DDE7BB}"/>
            </a:ext>
          </a:extLst>
        </xdr:cNvPr>
        <xdr:cNvCxnSpPr/>
      </xdr:nvCxnSpPr>
      <xdr:spPr>
        <a:xfrm flipH="1">
          <a:off x="4077494" y="3086894"/>
          <a:ext cx="423862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9</xdr:row>
      <xdr:rowOff>203993</xdr:rowOff>
    </xdr:from>
    <xdr:to>
      <xdr:col>1</xdr:col>
      <xdr:colOff>237331</xdr:colOff>
      <xdr:row>10</xdr:row>
      <xdr:rowOff>203994</xdr:rowOff>
    </xdr:to>
    <xdr:cxnSp macro="">
      <xdr:nvCxnSpPr>
        <xdr:cNvPr id="2341" name="Match36">
          <a:extLst>
            <a:ext uri="{FF2B5EF4-FFF2-40B4-BE49-F238E27FC236}">
              <a16:creationId xmlns:a16="http://schemas.microsoft.com/office/drawing/2014/main" id="{EF9FDBE0-25D9-260A-9ED8-8C669B864B40}"/>
            </a:ext>
          </a:extLst>
        </xdr:cNvPr>
        <xdr:cNvCxnSpPr/>
      </xdr:nvCxnSpPr>
      <xdr:spPr>
        <a:xfrm flipH="1">
          <a:off x="237331" y="341868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262731</xdr:colOff>
      <xdr:row>8</xdr:row>
      <xdr:rowOff>229394</xdr:rowOff>
    </xdr:from>
    <xdr:to>
      <xdr:col>1</xdr:col>
      <xdr:colOff>262731</xdr:colOff>
      <xdr:row>9</xdr:row>
      <xdr:rowOff>229393</xdr:rowOff>
    </xdr:to>
    <xdr:cxnSp macro="">
      <xdr:nvCxnSpPr>
        <xdr:cNvPr id="2342" name="Match37">
          <a:extLst>
            <a:ext uri="{FF2B5EF4-FFF2-40B4-BE49-F238E27FC236}">
              <a16:creationId xmlns:a16="http://schemas.microsoft.com/office/drawing/2014/main" id="{F3E9BCAC-DBF3-405E-D857-50E52BB577DF}"/>
            </a:ext>
          </a:extLst>
        </xdr:cNvPr>
        <xdr:cNvCxnSpPr/>
      </xdr:nvCxnSpPr>
      <xdr:spPr>
        <a:xfrm flipH="1" flipV="1">
          <a:off x="262731" y="3086894"/>
          <a:ext cx="423863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8</xdr:row>
      <xdr:rowOff>178594</xdr:rowOff>
    </xdr:from>
    <xdr:to>
      <xdr:col>10</xdr:col>
      <xdr:colOff>211931</xdr:colOff>
      <xdr:row>9</xdr:row>
      <xdr:rowOff>178593</xdr:rowOff>
    </xdr:to>
    <xdr:cxnSp macro="">
      <xdr:nvCxnSpPr>
        <xdr:cNvPr id="2343" name="Match38">
          <a:extLst>
            <a:ext uri="{FF2B5EF4-FFF2-40B4-BE49-F238E27FC236}">
              <a16:creationId xmlns:a16="http://schemas.microsoft.com/office/drawing/2014/main" id="{40F65723-6D1A-EDD5-8709-4FD6B497BC89}"/>
            </a:ext>
          </a:extLst>
        </xdr:cNvPr>
        <xdr:cNvCxnSpPr/>
      </xdr:nvCxnSpPr>
      <xdr:spPr>
        <a:xfrm flipV="1">
          <a:off x="4026694" y="30360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9</xdr:row>
      <xdr:rowOff>203993</xdr:rowOff>
    </xdr:from>
    <xdr:to>
      <xdr:col>1</xdr:col>
      <xdr:colOff>237331</xdr:colOff>
      <xdr:row>10</xdr:row>
      <xdr:rowOff>203994</xdr:rowOff>
    </xdr:to>
    <xdr:cxnSp macro="">
      <xdr:nvCxnSpPr>
        <xdr:cNvPr id="2344" name="Match39">
          <a:extLst>
            <a:ext uri="{FF2B5EF4-FFF2-40B4-BE49-F238E27FC236}">
              <a16:creationId xmlns:a16="http://schemas.microsoft.com/office/drawing/2014/main" id="{896D03CB-1143-1F88-B259-5611867D591C}"/>
            </a:ext>
          </a:extLst>
        </xdr:cNvPr>
        <xdr:cNvCxnSpPr/>
      </xdr:nvCxnSpPr>
      <xdr:spPr>
        <a:xfrm flipV="1">
          <a:off x="237331" y="341868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4</xdr:row>
      <xdr:rowOff>178594</xdr:rowOff>
    </xdr:from>
    <xdr:to>
      <xdr:col>11</xdr:col>
      <xdr:colOff>211931</xdr:colOff>
      <xdr:row>7</xdr:row>
      <xdr:rowOff>178593</xdr:rowOff>
    </xdr:to>
    <xdr:cxnSp macro="">
      <xdr:nvCxnSpPr>
        <xdr:cNvPr id="2345" name="Match40">
          <a:extLst>
            <a:ext uri="{FF2B5EF4-FFF2-40B4-BE49-F238E27FC236}">
              <a16:creationId xmlns:a16="http://schemas.microsoft.com/office/drawing/2014/main" id="{19FC38AB-62BE-A7E5-2319-154B28C60F85}"/>
            </a:ext>
          </a:extLst>
        </xdr:cNvPr>
        <xdr:cNvCxnSpPr/>
      </xdr:nvCxnSpPr>
      <xdr:spPr>
        <a:xfrm flipV="1">
          <a:off x="4874419" y="1607344"/>
          <a:ext cx="0" cy="1071562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6</xdr:row>
      <xdr:rowOff>178594</xdr:rowOff>
    </xdr:from>
    <xdr:to>
      <xdr:col>8</xdr:col>
      <xdr:colOff>211931</xdr:colOff>
      <xdr:row>10</xdr:row>
      <xdr:rowOff>178594</xdr:rowOff>
    </xdr:to>
    <xdr:cxnSp macro="">
      <xdr:nvCxnSpPr>
        <xdr:cNvPr id="2346" name="Match41">
          <a:extLst>
            <a:ext uri="{FF2B5EF4-FFF2-40B4-BE49-F238E27FC236}">
              <a16:creationId xmlns:a16="http://schemas.microsoft.com/office/drawing/2014/main" id="{CD40C0F7-A097-7587-183C-142D33A9DB04}"/>
            </a:ext>
          </a:extLst>
        </xdr:cNvPr>
        <xdr:cNvCxnSpPr/>
      </xdr:nvCxnSpPr>
      <xdr:spPr>
        <a:xfrm flipH="1">
          <a:off x="1907381" y="2321719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0</xdr:row>
      <xdr:rowOff>178594</xdr:rowOff>
    </xdr:from>
    <xdr:to>
      <xdr:col>4</xdr:col>
      <xdr:colOff>211931</xdr:colOff>
      <xdr:row>0</xdr:row>
      <xdr:rowOff>178594</xdr:rowOff>
    </xdr:to>
    <xdr:cxnSp macro="">
      <xdr:nvCxnSpPr>
        <xdr:cNvPr id="2347" name="Match42">
          <a:extLst>
            <a:ext uri="{FF2B5EF4-FFF2-40B4-BE49-F238E27FC236}">
              <a16:creationId xmlns:a16="http://schemas.microsoft.com/office/drawing/2014/main" id="{FDA0FFD1-6DC6-CDDD-0D61-E4FE97CCE758}"/>
            </a:ext>
          </a:extLst>
        </xdr:cNvPr>
        <xdr:cNvCxnSpPr/>
      </xdr:nvCxnSpPr>
      <xdr:spPr>
        <a:xfrm>
          <a:off x="1483519" y="17859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0</xdr:row>
      <xdr:rowOff>178594</xdr:rowOff>
    </xdr:from>
    <xdr:to>
      <xdr:col>8</xdr:col>
      <xdr:colOff>211931</xdr:colOff>
      <xdr:row>0</xdr:row>
      <xdr:rowOff>178594</xdr:rowOff>
    </xdr:to>
    <xdr:cxnSp macro="">
      <xdr:nvCxnSpPr>
        <xdr:cNvPr id="2348" name="Match43">
          <a:extLst>
            <a:ext uri="{FF2B5EF4-FFF2-40B4-BE49-F238E27FC236}">
              <a16:creationId xmlns:a16="http://schemas.microsoft.com/office/drawing/2014/main" id="{BE233F2A-55F3-61AE-4391-FA928A20F78E}"/>
            </a:ext>
          </a:extLst>
        </xdr:cNvPr>
        <xdr:cNvCxnSpPr/>
      </xdr:nvCxnSpPr>
      <xdr:spPr>
        <a:xfrm>
          <a:off x="3178969" y="17859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0</xdr:row>
      <xdr:rowOff>203994</xdr:rowOff>
    </xdr:from>
    <xdr:to>
      <xdr:col>7</xdr:col>
      <xdr:colOff>237331</xdr:colOff>
      <xdr:row>1</xdr:row>
      <xdr:rowOff>203993</xdr:rowOff>
    </xdr:to>
    <xdr:cxnSp macro="">
      <xdr:nvCxnSpPr>
        <xdr:cNvPr id="2349" name="Match44">
          <a:extLst>
            <a:ext uri="{FF2B5EF4-FFF2-40B4-BE49-F238E27FC236}">
              <a16:creationId xmlns:a16="http://schemas.microsoft.com/office/drawing/2014/main" id="{F47A6868-C32D-F004-8079-6ECA73337482}"/>
            </a:ext>
          </a:extLst>
        </xdr:cNvPr>
        <xdr:cNvCxnSpPr/>
      </xdr:nvCxnSpPr>
      <xdr:spPr>
        <a:xfrm>
          <a:off x="3204369" y="2039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0</xdr:row>
      <xdr:rowOff>178594</xdr:rowOff>
    </xdr:from>
    <xdr:to>
      <xdr:col>4</xdr:col>
      <xdr:colOff>211931</xdr:colOff>
      <xdr:row>1</xdr:row>
      <xdr:rowOff>178593</xdr:rowOff>
    </xdr:to>
    <xdr:cxnSp macro="">
      <xdr:nvCxnSpPr>
        <xdr:cNvPr id="2350" name="Match45">
          <a:extLst>
            <a:ext uri="{FF2B5EF4-FFF2-40B4-BE49-F238E27FC236}">
              <a16:creationId xmlns:a16="http://schemas.microsoft.com/office/drawing/2014/main" id="{1F2E26B3-2FDE-9A78-95E1-F93FC80B2E74}"/>
            </a:ext>
          </a:extLst>
        </xdr:cNvPr>
        <xdr:cNvCxnSpPr/>
      </xdr:nvCxnSpPr>
      <xdr:spPr>
        <a:xfrm flipV="1">
          <a:off x="1483519" y="1785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0</xdr:row>
      <xdr:rowOff>178594</xdr:rowOff>
    </xdr:from>
    <xdr:to>
      <xdr:col>5</xdr:col>
      <xdr:colOff>211931</xdr:colOff>
      <xdr:row>1</xdr:row>
      <xdr:rowOff>178593</xdr:rowOff>
    </xdr:to>
    <xdr:cxnSp macro="">
      <xdr:nvCxnSpPr>
        <xdr:cNvPr id="2351" name="Match46">
          <a:extLst>
            <a:ext uri="{FF2B5EF4-FFF2-40B4-BE49-F238E27FC236}">
              <a16:creationId xmlns:a16="http://schemas.microsoft.com/office/drawing/2014/main" id="{489558C8-510E-3B81-E556-084929502FC0}"/>
            </a:ext>
          </a:extLst>
        </xdr:cNvPr>
        <xdr:cNvCxnSpPr/>
      </xdr:nvCxnSpPr>
      <xdr:spPr>
        <a:xfrm flipH="1" flipV="1">
          <a:off x="1907381" y="1785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0</xdr:row>
      <xdr:rowOff>203994</xdr:rowOff>
    </xdr:from>
    <xdr:to>
      <xdr:col>5</xdr:col>
      <xdr:colOff>237331</xdr:colOff>
      <xdr:row>1</xdr:row>
      <xdr:rowOff>203993</xdr:rowOff>
    </xdr:to>
    <xdr:cxnSp macro="">
      <xdr:nvCxnSpPr>
        <xdr:cNvPr id="2352" name="Match47">
          <a:extLst>
            <a:ext uri="{FF2B5EF4-FFF2-40B4-BE49-F238E27FC236}">
              <a16:creationId xmlns:a16="http://schemas.microsoft.com/office/drawing/2014/main" id="{1A64A156-A1EF-7EC7-0038-356B66F5CEDA}"/>
            </a:ext>
          </a:extLst>
        </xdr:cNvPr>
        <xdr:cNvCxnSpPr/>
      </xdr:nvCxnSpPr>
      <xdr:spPr>
        <a:xfrm flipV="1">
          <a:off x="2356644" y="2039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1</xdr:row>
      <xdr:rowOff>178593</xdr:rowOff>
    </xdr:from>
    <xdr:to>
      <xdr:col>7</xdr:col>
      <xdr:colOff>211931</xdr:colOff>
      <xdr:row>1</xdr:row>
      <xdr:rowOff>178593</xdr:rowOff>
    </xdr:to>
    <xdr:cxnSp macro="">
      <xdr:nvCxnSpPr>
        <xdr:cNvPr id="2353" name="Match48">
          <a:extLst>
            <a:ext uri="{FF2B5EF4-FFF2-40B4-BE49-F238E27FC236}">
              <a16:creationId xmlns:a16="http://schemas.microsoft.com/office/drawing/2014/main" id="{446F8F33-F9A1-6DCB-BB85-1D1F6BA76C96}"/>
            </a:ext>
          </a:extLst>
        </xdr:cNvPr>
        <xdr:cNvCxnSpPr/>
      </xdr:nvCxnSpPr>
      <xdr:spPr>
        <a:xfrm>
          <a:off x="2755106" y="5357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0</xdr:row>
      <xdr:rowOff>203994</xdr:rowOff>
    </xdr:from>
    <xdr:to>
      <xdr:col>6</xdr:col>
      <xdr:colOff>237331</xdr:colOff>
      <xdr:row>1</xdr:row>
      <xdr:rowOff>203993</xdr:rowOff>
    </xdr:to>
    <xdr:cxnSp macro="">
      <xdr:nvCxnSpPr>
        <xdr:cNvPr id="2354" name="Match49">
          <a:extLst>
            <a:ext uri="{FF2B5EF4-FFF2-40B4-BE49-F238E27FC236}">
              <a16:creationId xmlns:a16="http://schemas.microsoft.com/office/drawing/2014/main" id="{095E79B3-969F-FA8D-418F-E0701E76C9DB}"/>
            </a:ext>
          </a:extLst>
        </xdr:cNvPr>
        <xdr:cNvCxnSpPr/>
      </xdr:nvCxnSpPr>
      <xdr:spPr>
        <a:xfrm flipH="1" flipV="1">
          <a:off x="2356644" y="20399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1</xdr:row>
      <xdr:rowOff>178593</xdr:rowOff>
    </xdr:from>
    <xdr:to>
      <xdr:col>8</xdr:col>
      <xdr:colOff>211931</xdr:colOff>
      <xdr:row>1</xdr:row>
      <xdr:rowOff>178593</xdr:rowOff>
    </xdr:to>
    <xdr:cxnSp macro="">
      <xdr:nvCxnSpPr>
        <xdr:cNvPr id="2355" name="Match50">
          <a:extLst>
            <a:ext uri="{FF2B5EF4-FFF2-40B4-BE49-F238E27FC236}">
              <a16:creationId xmlns:a16="http://schemas.microsoft.com/office/drawing/2014/main" id="{F5ABB65A-E36F-2A8E-66EB-253BE89C3BD9}"/>
            </a:ext>
          </a:extLst>
        </xdr:cNvPr>
        <xdr:cNvCxnSpPr/>
      </xdr:nvCxnSpPr>
      <xdr:spPr>
        <a:xfrm flipH="1">
          <a:off x="3178969" y="53578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0</xdr:row>
      <xdr:rowOff>203994</xdr:rowOff>
    </xdr:from>
    <xdr:to>
      <xdr:col>8</xdr:col>
      <xdr:colOff>237331</xdr:colOff>
      <xdr:row>1</xdr:row>
      <xdr:rowOff>203993</xdr:rowOff>
    </xdr:to>
    <xdr:cxnSp macro="">
      <xdr:nvCxnSpPr>
        <xdr:cNvPr id="2356" name="Match51">
          <a:extLst>
            <a:ext uri="{FF2B5EF4-FFF2-40B4-BE49-F238E27FC236}">
              <a16:creationId xmlns:a16="http://schemas.microsoft.com/office/drawing/2014/main" id="{82F939B4-8EEC-FDF5-6F18-D41663245A79}"/>
            </a:ext>
          </a:extLst>
        </xdr:cNvPr>
        <xdr:cNvCxnSpPr/>
      </xdr:nvCxnSpPr>
      <xdr:spPr>
        <a:xfrm flipV="1">
          <a:off x="3628231" y="2039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0</xdr:row>
      <xdr:rowOff>178594</xdr:rowOff>
    </xdr:from>
    <xdr:to>
      <xdr:col>9</xdr:col>
      <xdr:colOff>211931</xdr:colOff>
      <xdr:row>1</xdr:row>
      <xdr:rowOff>178593</xdr:rowOff>
    </xdr:to>
    <xdr:cxnSp macro="">
      <xdr:nvCxnSpPr>
        <xdr:cNvPr id="2357" name="Match52">
          <a:extLst>
            <a:ext uri="{FF2B5EF4-FFF2-40B4-BE49-F238E27FC236}">
              <a16:creationId xmlns:a16="http://schemas.microsoft.com/office/drawing/2014/main" id="{C564EFDB-BD98-BA77-1E39-C840117D4964}"/>
            </a:ext>
          </a:extLst>
        </xdr:cNvPr>
        <xdr:cNvCxnSpPr/>
      </xdr:nvCxnSpPr>
      <xdr:spPr>
        <a:xfrm flipH="1" flipV="1">
          <a:off x="3602831" y="1785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6</xdr:row>
      <xdr:rowOff>178594</xdr:rowOff>
    </xdr:from>
    <xdr:to>
      <xdr:col>5</xdr:col>
      <xdr:colOff>211931</xdr:colOff>
      <xdr:row>6</xdr:row>
      <xdr:rowOff>178594</xdr:rowOff>
    </xdr:to>
    <xdr:cxnSp macro="">
      <xdr:nvCxnSpPr>
        <xdr:cNvPr id="2358" name="Match53">
          <a:extLst>
            <a:ext uri="{FF2B5EF4-FFF2-40B4-BE49-F238E27FC236}">
              <a16:creationId xmlns:a16="http://schemas.microsoft.com/office/drawing/2014/main" id="{DDFA36F2-D298-C8EE-B8A3-066D6CD49F8B}"/>
            </a:ext>
          </a:extLst>
        </xdr:cNvPr>
        <xdr:cNvCxnSpPr/>
      </xdr:nvCxnSpPr>
      <xdr:spPr>
        <a:xfrm>
          <a:off x="1907381" y="232171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6</xdr:row>
      <xdr:rowOff>203994</xdr:rowOff>
    </xdr:from>
    <xdr:to>
      <xdr:col>4</xdr:col>
      <xdr:colOff>237331</xdr:colOff>
      <xdr:row>6</xdr:row>
      <xdr:rowOff>203994</xdr:rowOff>
    </xdr:to>
    <xdr:cxnSp macro="">
      <xdr:nvCxnSpPr>
        <xdr:cNvPr id="2359" name="Match54">
          <a:extLst>
            <a:ext uri="{FF2B5EF4-FFF2-40B4-BE49-F238E27FC236}">
              <a16:creationId xmlns:a16="http://schemas.microsoft.com/office/drawing/2014/main" id="{3FA6CFF1-9114-2D89-0B9B-BC3A94702DBB}"/>
            </a:ext>
          </a:extLst>
        </xdr:cNvPr>
        <xdr:cNvCxnSpPr/>
      </xdr:nvCxnSpPr>
      <xdr:spPr>
        <a:xfrm flipH="1">
          <a:off x="1508919" y="2347119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7</xdr:row>
      <xdr:rowOff>178593</xdr:rowOff>
    </xdr:from>
    <xdr:to>
      <xdr:col>4</xdr:col>
      <xdr:colOff>211931</xdr:colOff>
      <xdr:row>8</xdr:row>
      <xdr:rowOff>178594</xdr:rowOff>
    </xdr:to>
    <xdr:cxnSp macro="">
      <xdr:nvCxnSpPr>
        <xdr:cNvPr id="2360" name="Match55">
          <a:extLst>
            <a:ext uri="{FF2B5EF4-FFF2-40B4-BE49-F238E27FC236}">
              <a16:creationId xmlns:a16="http://schemas.microsoft.com/office/drawing/2014/main" id="{0B6EE0D2-9B16-F39E-422A-1D1EBAA8BFD4}"/>
            </a:ext>
          </a:extLst>
        </xdr:cNvPr>
        <xdr:cNvCxnSpPr/>
      </xdr:nvCxnSpPr>
      <xdr:spPr>
        <a:xfrm>
          <a:off x="1483519" y="267890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6</xdr:row>
      <xdr:rowOff>203994</xdr:rowOff>
    </xdr:from>
    <xdr:to>
      <xdr:col>3</xdr:col>
      <xdr:colOff>237331</xdr:colOff>
      <xdr:row>7</xdr:row>
      <xdr:rowOff>203993</xdr:rowOff>
    </xdr:to>
    <xdr:cxnSp macro="">
      <xdr:nvCxnSpPr>
        <xdr:cNvPr id="2361" name="Match56">
          <a:extLst>
            <a:ext uri="{FF2B5EF4-FFF2-40B4-BE49-F238E27FC236}">
              <a16:creationId xmlns:a16="http://schemas.microsoft.com/office/drawing/2014/main" id="{81D7C668-F1ED-43D3-3731-0E230F788817}"/>
            </a:ext>
          </a:extLst>
        </xdr:cNvPr>
        <xdr:cNvCxnSpPr/>
      </xdr:nvCxnSpPr>
      <xdr:spPr>
        <a:xfrm flipV="1">
          <a:off x="1508919" y="234711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8</xdr:row>
      <xdr:rowOff>178594</xdr:rowOff>
    </xdr:from>
    <xdr:to>
      <xdr:col>4</xdr:col>
      <xdr:colOff>211931</xdr:colOff>
      <xdr:row>9</xdr:row>
      <xdr:rowOff>178593</xdr:rowOff>
    </xdr:to>
    <xdr:cxnSp macro="">
      <xdr:nvCxnSpPr>
        <xdr:cNvPr id="2362" name="Match57">
          <a:extLst>
            <a:ext uri="{FF2B5EF4-FFF2-40B4-BE49-F238E27FC236}">
              <a16:creationId xmlns:a16="http://schemas.microsoft.com/office/drawing/2014/main" id="{5C10E2D5-10AA-2F41-559A-8129F9CC1D6F}"/>
            </a:ext>
          </a:extLst>
        </xdr:cNvPr>
        <xdr:cNvCxnSpPr/>
      </xdr:nvCxnSpPr>
      <xdr:spPr>
        <a:xfrm flipV="1">
          <a:off x="1907381" y="30360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8</xdr:row>
      <xdr:rowOff>178594</xdr:rowOff>
    </xdr:from>
    <xdr:to>
      <xdr:col>5</xdr:col>
      <xdr:colOff>211931</xdr:colOff>
      <xdr:row>9</xdr:row>
      <xdr:rowOff>178593</xdr:rowOff>
    </xdr:to>
    <xdr:cxnSp macro="">
      <xdr:nvCxnSpPr>
        <xdr:cNvPr id="2363" name="Match58">
          <a:extLst>
            <a:ext uri="{FF2B5EF4-FFF2-40B4-BE49-F238E27FC236}">
              <a16:creationId xmlns:a16="http://schemas.microsoft.com/office/drawing/2014/main" id="{BD3651C1-B6E0-537E-E65E-964497E2FE91}"/>
            </a:ext>
          </a:extLst>
        </xdr:cNvPr>
        <xdr:cNvCxnSpPr/>
      </xdr:nvCxnSpPr>
      <xdr:spPr>
        <a:xfrm flipH="1" flipV="1">
          <a:off x="1907381" y="30360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10</xdr:row>
      <xdr:rowOff>178594</xdr:rowOff>
    </xdr:from>
    <xdr:to>
      <xdr:col>2</xdr:col>
      <xdr:colOff>211931</xdr:colOff>
      <xdr:row>10</xdr:row>
      <xdr:rowOff>178594</xdr:rowOff>
    </xdr:to>
    <xdr:cxnSp macro="">
      <xdr:nvCxnSpPr>
        <xdr:cNvPr id="2364" name="Match59">
          <a:extLst>
            <a:ext uri="{FF2B5EF4-FFF2-40B4-BE49-F238E27FC236}">
              <a16:creationId xmlns:a16="http://schemas.microsoft.com/office/drawing/2014/main" id="{EC22072D-4357-4FBC-3C55-778D81B2200E}"/>
            </a:ext>
          </a:extLst>
        </xdr:cNvPr>
        <xdr:cNvCxnSpPr/>
      </xdr:nvCxnSpPr>
      <xdr:spPr>
        <a:xfrm>
          <a:off x="635794" y="375046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10</xdr:row>
      <xdr:rowOff>203994</xdr:rowOff>
    </xdr:from>
    <xdr:to>
      <xdr:col>1</xdr:col>
      <xdr:colOff>237331</xdr:colOff>
      <xdr:row>11</xdr:row>
      <xdr:rowOff>203993</xdr:rowOff>
    </xdr:to>
    <xdr:cxnSp macro="">
      <xdr:nvCxnSpPr>
        <xdr:cNvPr id="2365" name="Match60">
          <a:extLst>
            <a:ext uri="{FF2B5EF4-FFF2-40B4-BE49-F238E27FC236}">
              <a16:creationId xmlns:a16="http://schemas.microsoft.com/office/drawing/2014/main" id="{95A1B7A4-B5A3-F9C2-52D2-0BBBB31CE6C4}"/>
            </a:ext>
          </a:extLst>
        </xdr:cNvPr>
        <xdr:cNvCxnSpPr/>
      </xdr:nvCxnSpPr>
      <xdr:spPr>
        <a:xfrm flipH="1">
          <a:off x="237331" y="377586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</xdr:row>
      <xdr:rowOff>178593</xdr:rowOff>
    </xdr:from>
    <xdr:to>
      <xdr:col>2</xdr:col>
      <xdr:colOff>211931</xdr:colOff>
      <xdr:row>3</xdr:row>
      <xdr:rowOff>178593</xdr:rowOff>
    </xdr:to>
    <xdr:cxnSp macro="">
      <xdr:nvCxnSpPr>
        <xdr:cNvPr id="2366" name="Match61">
          <a:extLst>
            <a:ext uri="{FF2B5EF4-FFF2-40B4-BE49-F238E27FC236}">
              <a16:creationId xmlns:a16="http://schemas.microsoft.com/office/drawing/2014/main" id="{89B892A6-1571-4C57-175B-5D2EC7AB304D}"/>
            </a:ext>
          </a:extLst>
        </xdr:cNvPr>
        <xdr:cNvCxnSpPr/>
      </xdr:nvCxnSpPr>
      <xdr:spPr>
        <a:xfrm>
          <a:off x="211931" y="53578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1</xdr:row>
      <xdr:rowOff>178593</xdr:rowOff>
    </xdr:from>
    <xdr:to>
      <xdr:col>1</xdr:col>
      <xdr:colOff>211931</xdr:colOff>
      <xdr:row>3</xdr:row>
      <xdr:rowOff>178593</xdr:rowOff>
    </xdr:to>
    <xdr:cxnSp macro="">
      <xdr:nvCxnSpPr>
        <xdr:cNvPr id="2367" name="Match62">
          <a:extLst>
            <a:ext uri="{FF2B5EF4-FFF2-40B4-BE49-F238E27FC236}">
              <a16:creationId xmlns:a16="http://schemas.microsoft.com/office/drawing/2014/main" id="{04BF5DEE-BBBD-09E7-ADB4-DA7424A14F4C}"/>
            </a:ext>
          </a:extLst>
        </xdr:cNvPr>
        <xdr:cNvCxnSpPr/>
      </xdr:nvCxnSpPr>
      <xdr:spPr>
        <a:xfrm flipV="1">
          <a:off x="635794" y="535781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5</xdr:row>
      <xdr:rowOff>178593</xdr:rowOff>
    </xdr:from>
    <xdr:to>
      <xdr:col>2</xdr:col>
      <xdr:colOff>211931</xdr:colOff>
      <xdr:row>7</xdr:row>
      <xdr:rowOff>178593</xdr:rowOff>
    </xdr:to>
    <xdr:cxnSp macro="">
      <xdr:nvCxnSpPr>
        <xdr:cNvPr id="2368" name="Match63">
          <a:extLst>
            <a:ext uri="{FF2B5EF4-FFF2-40B4-BE49-F238E27FC236}">
              <a16:creationId xmlns:a16="http://schemas.microsoft.com/office/drawing/2014/main" id="{2ADE5C5B-ACA2-3B4D-601D-DB7841A5B508}"/>
            </a:ext>
          </a:extLst>
        </xdr:cNvPr>
        <xdr:cNvCxnSpPr/>
      </xdr:nvCxnSpPr>
      <xdr:spPr>
        <a:xfrm>
          <a:off x="211931" y="196453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5</xdr:row>
      <xdr:rowOff>178593</xdr:rowOff>
    </xdr:from>
    <xdr:to>
      <xdr:col>10</xdr:col>
      <xdr:colOff>211931</xdr:colOff>
      <xdr:row>7</xdr:row>
      <xdr:rowOff>178593</xdr:rowOff>
    </xdr:to>
    <xdr:cxnSp macro="">
      <xdr:nvCxnSpPr>
        <xdr:cNvPr id="2369" name="Match64">
          <a:extLst>
            <a:ext uri="{FF2B5EF4-FFF2-40B4-BE49-F238E27FC236}">
              <a16:creationId xmlns:a16="http://schemas.microsoft.com/office/drawing/2014/main" id="{1830FFDB-9483-EAF5-C2AA-515E49601631}"/>
            </a:ext>
          </a:extLst>
        </xdr:cNvPr>
        <xdr:cNvCxnSpPr/>
      </xdr:nvCxnSpPr>
      <xdr:spPr>
        <a:xfrm>
          <a:off x="4450556" y="1964531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6</xdr:row>
      <xdr:rowOff>178594</xdr:rowOff>
    </xdr:from>
    <xdr:to>
      <xdr:col>2</xdr:col>
      <xdr:colOff>211931</xdr:colOff>
      <xdr:row>8</xdr:row>
      <xdr:rowOff>178594</xdr:rowOff>
    </xdr:to>
    <xdr:cxnSp macro="">
      <xdr:nvCxnSpPr>
        <xdr:cNvPr id="2370" name="Match65">
          <a:extLst>
            <a:ext uri="{FF2B5EF4-FFF2-40B4-BE49-F238E27FC236}">
              <a16:creationId xmlns:a16="http://schemas.microsoft.com/office/drawing/2014/main" id="{EF3E9102-4402-B80A-C1AE-A9DE17CF44C8}"/>
            </a:ext>
          </a:extLst>
        </xdr:cNvPr>
        <xdr:cNvCxnSpPr/>
      </xdr:nvCxnSpPr>
      <xdr:spPr>
        <a:xfrm flipH="1" flipV="1">
          <a:off x="211931" y="2321719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1223963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0</xdr:row>
      <xdr:rowOff>0</xdr:rowOff>
    </xdr:from>
    <xdr:to>
      <xdr:col>9</xdr:col>
      <xdr:colOff>338138</xdr:colOff>
      <xdr:row>1</xdr:row>
      <xdr:rowOff>2519362</xdr:rowOff>
    </xdr:to>
    <xdr:graphicFrame macro="">
      <xdr:nvGraphicFramePr>
        <xdr:cNvPr id="6" name="Chart 3">
          <a:extLst>
            <a:ext uri="{FF2B5EF4-FFF2-40B4-BE49-F238E27FC236}">
              <a16:creationId xmlns:a16="http://schemas.microsoft.com/office/drawing/2014/main" id="{31337584-2590-6910-3134-6587A00773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A6" sqref="A6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7">
        <v>1</v>
      </c>
      <c r="B1" s="27">
        <v>6</v>
      </c>
      <c r="C1" s="27">
        <v>6</v>
      </c>
      <c r="D1" s="23">
        <v>5</v>
      </c>
      <c r="E1" s="23">
        <v>1</v>
      </c>
      <c r="F1" s="23">
        <v>1</v>
      </c>
      <c r="G1" s="27">
        <v>9</v>
      </c>
      <c r="H1" s="23">
        <v>5</v>
      </c>
      <c r="I1" s="23">
        <v>1</v>
      </c>
      <c r="J1" s="23">
        <v>4</v>
      </c>
      <c r="K1" s="23">
        <v>4</v>
      </c>
      <c r="L1" s="23">
        <v>1</v>
      </c>
      <c r="N1" s="2">
        <v>4385259</v>
      </c>
      <c r="O1" s="1">
        <v>1</v>
      </c>
    </row>
    <row r="2" spans="1:15" s="2" customFormat="1" ht="28.25" customHeight="1">
      <c r="A2" s="23">
        <v>3</v>
      </c>
      <c r="B2" s="22">
        <v>9</v>
      </c>
      <c r="C2" s="27">
        <v>5</v>
      </c>
      <c r="D2" s="23">
        <v>5</v>
      </c>
      <c r="E2" s="22">
        <v>4</v>
      </c>
      <c r="F2" s="22">
        <v>5</v>
      </c>
      <c r="G2" s="23">
        <v>5</v>
      </c>
      <c r="H2" s="23">
        <v>1</v>
      </c>
      <c r="I2" s="23">
        <v>5</v>
      </c>
      <c r="J2" s="23">
        <v>5</v>
      </c>
      <c r="K2" s="23">
        <v>4</v>
      </c>
      <c r="L2" s="27">
        <v>8</v>
      </c>
      <c r="N2" s="2">
        <v>35395</v>
      </c>
      <c r="O2" s="2">
        <v>1</v>
      </c>
    </row>
    <row r="3" spans="1:15" ht="28.25" customHeight="1">
      <c r="A3" s="27">
        <v>1</v>
      </c>
      <c r="B3" s="22">
        <v>9</v>
      </c>
      <c r="C3" s="27">
        <v>2</v>
      </c>
      <c r="D3" s="27">
        <v>3</v>
      </c>
      <c r="E3" s="22">
        <v>3</v>
      </c>
      <c r="F3" s="22">
        <v>9</v>
      </c>
      <c r="G3" s="27">
        <v>8</v>
      </c>
      <c r="H3" s="27">
        <v>2</v>
      </c>
      <c r="I3" s="23">
        <v>4</v>
      </c>
      <c r="J3" s="27">
        <v>2</v>
      </c>
      <c r="K3" s="27">
        <v>9</v>
      </c>
      <c r="L3" s="22">
        <v>5</v>
      </c>
      <c r="N3" s="2">
        <v>762222</v>
      </c>
      <c r="O3" s="1">
        <v>1</v>
      </c>
    </row>
    <row r="4" spans="1:15" ht="28.25" customHeight="1">
      <c r="A4" s="27">
        <v>8</v>
      </c>
      <c r="B4" s="22">
        <v>3</v>
      </c>
      <c r="C4" s="23">
        <v>9</v>
      </c>
      <c r="D4" s="27">
        <v>3</v>
      </c>
      <c r="E4" s="22">
        <v>8</v>
      </c>
      <c r="F4" s="22">
        <v>3</v>
      </c>
      <c r="G4" s="27">
        <v>4</v>
      </c>
      <c r="H4" s="27">
        <v>2</v>
      </c>
      <c r="I4" s="27">
        <v>3</v>
      </c>
      <c r="J4" s="27">
        <v>3</v>
      </c>
      <c r="K4" s="22">
        <v>3</v>
      </c>
      <c r="L4" s="27">
        <v>7</v>
      </c>
      <c r="N4" s="2">
        <v>78</v>
      </c>
      <c r="O4" s="1">
        <v>6</v>
      </c>
    </row>
    <row r="5" spans="1:15" ht="28.25" customHeight="1">
      <c r="A5" s="27">
        <v>2</v>
      </c>
      <c r="B5" s="23">
        <v>8</v>
      </c>
      <c r="C5" s="27">
        <v>1</v>
      </c>
      <c r="D5" s="23">
        <v>8</v>
      </c>
      <c r="E5" s="22">
        <v>5</v>
      </c>
      <c r="F5" s="22">
        <v>5</v>
      </c>
      <c r="G5" s="27">
        <v>2</v>
      </c>
      <c r="H5" s="27">
        <v>3</v>
      </c>
      <c r="I5" s="22">
        <v>9</v>
      </c>
      <c r="J5" s="22">
        <v>6</v>
      </c>
      <c r="K5" s="27">
        <v>6</v>
      </c>
      <c r="L5" s="22">
        <v>9</v>
      </c>
      <c r="N5" s="2">
        <v>74592</v>
      </c>
      <c r="O5" s="1">
        <v>1</v>
      </c>
    </row>
    <row r="6" spans="1:15" ht="28.25" customHeight="1">
      <c r="A6" s="22">
        <v>8</v>
      </c>
      <c r="B6" s="23">
        <v>1</v>
      </c>
      <c r="C6" s="23">
        <v>7</v>
      </c>
      <c r="D6" s="27">
        <v>9</v>
      </c>
      <c r="E6" s="22">
        <v>2</v>
      </c>
      <c r="F6" s="22">
        <v>3</v>
      </c>
      <c r="G6" s="23">
        <v>8</v>
      </c>
      <c r="H6" s="22">
        <v>5</v>
      </c>
      <c r="I6" s="22">
        <v>3</v>
      </c>
      <c r="J6" s="23">
        <v>4</v>
      </c>
      <c r="K6" s="22">
        <v>3</v>
      </c>
      <c r="L6" s="22">
        <v>6</v>
      </c>
      <c r="N6" s="2">
        <v>9568181</v>
      </c>
      <c r="O6" s="1">
        <v>1</v>
      </c>
    </row>
    <row r="7" spans="1:15" ht="28.25" customHeight="1">
      <c r="A7" s="23">
        <v>9</v>
      </c>
      <c r="B7" s="22">
        <v>8</v>
      </c>
      <c r="C7" s="22">
        <v>4</v>
      </c>
      <c r="D7" s="22">
        <v>1</v>
      </c>
      <c r="E7" s="22">
        <v>5</v>
      </c>
      <c r="F7" s="23">
        <v>1</v>
      </c>
      <c r="G7" s="22">
        <v>6</v>
      </c>
      <c r="H7" s="22">
        <v>7</v>
      </c>
      <c r="I7" s="22">
        <v>8</v>
      </c>
      <c r="J7" s="23">
        <v>1</v>
      </c>
      <c r="K7" s="22">
        <v>6</v>
      </c>
      <c r="L7" s="22">
        <v>1</v>
      </c>
      <c r="N7" s="2">
        <v>41</v>
      </c>
      <c r="O7" s="1">
        <v>16</v>
      </c>
    </row>
    <row r="8" spans="1:15" ht="28.25" customHeight="1">
      <c r="A8" s="23">
        <v>1</v>
      </c>
      <c r="B8" s="23">
        <v>6</v>
      </c>
      <c r="C8" s="22">
        <v>2</v>
      </c>
      <c r="D8" s="23">
        <v>5</v>
      </c>
      <c r="E8" s="22">
        <v>9</v>
      </c>
      <c r="F8" s="22">
        <v>8</v>
      </c>
      <c r="G8" s="23">
        <v>1</v>
      </c>
      <c r="H8" s="22">
        <v>8</v>
      </c>
      <c r="I8" s="22">
        <v>4</v>
      </c>
      <c r="J8" s="27">
        <v>9</v>
      </c>
      <c r="K8" s="22">
        <v>9</v>
      </c>
      <c r="L8" s="22">
        <v>1</v>
      </c>
      <c r="N8" s="2">
        <v>3635</v>
      </c>
      <c r="O8" s="1">
        <v>1</v>
      </c>
    </row>
    <row r="9" spans="1:15" ht="28.25" customHeight="1">
      <c r="A9" s="23">
        <v>4</v>
      </c>
      <c r="B9" s="27">
        <v>7</v>
      </c>
      <c r="C9" s="23">
        <v>3</v>
      </c>
      <c r="D9" s="27">
        <v>2</v>
      </c>
      <c r="E9" s="22">
        <v>1</v>
      </c>
      <c r="F9" s="27">
        <v>3</v>
      </c>
      <c r="G9" s="22">
        <v>4</v>
      </c>
      <c r="H9" s="27">
        <v>3</v>
      </c>
      <c r="I9" s="27">
        <v>6</v>
      </c>
      <c r="J9" s="22">
        <v>5</v>
      </c>
      <c r="K9" s="22">
        <v>4</v>
      </c>
      <c r="L9" s="23">
        <v>1</v>
      </c>
      <c r="N9" s="2">
        <v>44</v>
      </c>
      <c r="O9" s="1">
        <v>12</v>
      </c>
    </row>
    <row r="10" spans="1:15" ht="28.25" customHeight="1">
      <c r="A10" s="27">
        <v>6</v>
      </c>
      <c r="B10" s="23">
        <v>4</v>
      </c>
      <c r="C10" s="27">
        <v>9</v>
      </c>
      <c r="D10" s="22">
        <v>8</v>
      </c>
      <c r="E10" s="23">
        <v>5</v>
      </c>
      <c r="F10" s="22">
        <v>5</v>
      </c>
      <c r="G10" s="27">
        <v>2</v>
      </c>
      <c r="H10" s="27">
        <v>8</v>
      </c>
      <c r="I10" s="27">
        <v>5</v>
      </c>
      <c r="J10" s="22">
        <v>4</v>
      </c>
      <c r="K10" s="22">
        <v>9</v>
      </c>
      <c r="L10" s="27">
        <v>2</v>
      </c>
      <c r="N10" s="2">
        <v>1169</v>
      </c>
      <c r="O10" s="1">
        <v>1</v>
      </c>
    </row>
    <row r="11" spans="1:15" ht="28.25" customHeight="1">
      <c r="A11" s="23">
        <v>4</v>
      </c>
      <c r="B11" s="23">
        <v>5</v>
      </c>
      <c r="C11" s="22">
        <v>1</v>
      </c>
      <c r="D11" s="27">
        <v>6</v>
      </c>
      <c r="E11" s="22">
        <v>3</v>
      </c>
      <c r="F11" s="22">
        <v>2</v>
      </c>
      <c r="G11" s="22">
        <v>2</v>
      </c>
      <c r="H11" s="22">
        <v>2</v>
      </c>
      <c r="I11" s="22">
        <v>2</v>
      </c>
      <c r="J11" s="22">
        <v>6</v>
      </c>
      <c r="K11" s="22">
        <v>7</v>
      </c>
      <c r="L11" s="22">
        <v>2</v>
      </c>
      <c r="N11" s="2">
        <v>88453</v>
      </c>
      <c r="O11" s="1">
        <v>1</v>
      </c>
    </row>
    <row r="12" spans="1:15" ht="28.25" customHeight="1">
      <c r="A12" s="23">
        <v>1</v>
      </c>
      <c r="B12" s="27">
        <v>8</v>
      </c>
      <c r="C12" s="27">
        <v>9</v>
      </c>
      <c r="D12" s="27">
        <v>6</v>
      </c>
      <c r="E12" s="27">
        <v>9</v>
      </c>
      <c r="F12" s="27">
        <v>7</v>
      </c>
      <c r="G12" s="27">
        <v>4</v>
      </c>
      <c r="H12" s="27">
        <v>5</v>
      </c>
      <c r="I12" s="27">
        <v>5</v>
      </c>
      <c r="J12" s="27">
        <v>2</v>
      </c>
      <c r="K12" s="27">
        <v>7</v>
      </c>
      <c r="L12" s="27">
        <v>6</v>
      </c>
      <c r="N12" s="2">
        <v>51</v>
      </c>
      <c r="O12" s="1">
        <v>19</v>
      </c>
    </row>
    <row r="13" spans="1:15" ht="28.25" customHeight="1">
      <c r="N13" s="2">
        <v>399</v>
      </c>
      <c r="O13" s="1">
        <v>2</v>
      </c>
    </row>
    <row r="14" spans="1:15" ht="28.25" customHeight="1">
      <c r="N14" s="2">
        <v>882</v>
      </c>
      <c r="O14" s="1">
        <v>1</v>
      </c>
    </row>
    <row r="15" spans="1:15" ht="28.25" customHeight="1">
      <c r="N15" s="2">
        <v>369</v>
      </c>
      <c r="O15" s="1">
        <v>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0</xdr:colOff>
                    <xdr:row>0</xdr:row>
                    <xdr:rowOff>4763</xdr:rowOff>
                  </from>
                  <to>
                    <xdr:col>17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0</xdr:colOff>
                    <xdr:row>2</xdr:row>
                    <xdr:rowOff>4763</xdr:rowOff>
                  </from>
                  <to>
                    <xdr:col>17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0</xdr:colOff>
                    <xdr:row>2</xdr:row>
                    <xdr:rowOff>4763</xdr:rowOff>
                  </from>
                  <to>
                    <xdr:col>20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3" name="PauseQuestion">
              <controlPr defaultSize="0" print="0" autoFill="0" autoPict="0" macro="[0]!PauseQuestion">
                <anchor moveWithCells="1">
                  <from>
                    <xdr:col>16</xdr:col>
                    <xdr:colOff>0</xdr:colOff>
                    <xdr:row>3</xdr:row>
                    <xdr:rowOff>4763</xdr:rowOff>
                  </from>
                  <to>
                    <xdr:col>17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1:AI333"/>
  <sheetViews>
    <sheetView tabSelected="1" zoomScaleNormal="100" workbookViewId="0">
      <pane ySplit="2" topLeftCell="A329" activePane="bottomLeft" state="frozen"/>
      <selection pane="bottomLeft" activeCell="A333" sqref="A333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11" max="11" width="17.4375" customWidth="1"/>
    <col min="27" max="27" width="16.0625" bestFit="1" customWidth="1"/>
  </cols>
  <sheetData>
    <row r="1" spans="1:35">
      <c r="A1" s="28"/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</row>
    <row r="2" spans="1:35" ht="246.75">
      <c r="A2" s="28" t="s">
        <v>0</v>
      </c>
      <c r="B2" s="29" t="s">
        <v>171</v>
      </c>
      <c r="C2" s="29" t="s">
        <v>172</v>
      </c>
      <c r="D2" s="29" t="s">
        <v>173</v>
      </c>
      <c r="E2" s="29" t="s">
        <v>174</v>
      </c>
      <c r="F2" s="29" t="s">
        <v>175</v>
      </c>
      <c r="G2" s="29" t="s">
        <v>10</v>
      </c>
      <c r="H2" s="29" t="s">
        <v>16</v>
      </c>
      <c r="I2" s="29" t="s">
        <v>15</v>
      </c>
      <c r="J2" s="29" t="s">
        <v>11</v>
      </c>
      <c r="K2" s="29" t="s">
        <v>437</v>
      </c>
      <c r="L2" s="29" t="s">
        <v>163</v>
      </c>
      <c r="M2" s="4" t="s">
        <v>249</v>
      </c>
      <c r="N2" s="4" t="s">
        <v>178</v>
      </c>
      <c r="O2" s="4" t="s">
        <v>675</v>
      </c>
      <c r="P2" s="4" t="s">
        <v>170</v>
      </c>
      <c r="Q2" s="4" t="s">
        <v>424</v>
      </c>
      <c r="AA2" t="s">
        <v>0</v>
      </c>
      <c r="AB2" s="4" t="s">
        <v>49</v>
      </c>
      <c r="AC2" s="4" t="s">
        <v>1</v>
      </c>
      <c r="AD2" s="4" t="s">
        <v>2</v>
      </c>
      <c r="AE2" s="4" t="s">
        <v>3</v>
      </c>
      <c r="AF2" s="4" t="s">
        <v>10</v>
      </c>
      <c r="AG2" s="4" t="s">
        <v>16</v>
      </c>
      <c r="AH2" s="4" t="s">
        <v>15</v>
      </c>
      <c r="AI2" s="4" t="s">
        <v>11</v>
      </c>
    </row>
    <row r="3" spans="1:35">
      <c r="A3" s="30">
        <v>45951.701574074075</v>
      </c>
      <c r="B3" s="28">
        <v>61</v>
      </c>
      <c r="C3" s="28">
        <v>16</v>
      </c>
      <c r="D3" s="28">
        <v>0</v>
      </c>
      <c r="E3" s="28">
        <v>17</v>
      </c>
      <c r="F3" s="28">
        <v>0</v>
      </c>
      <c r="G3" s="31">
        <v>1.4050925929041114E-2</v>
      </c>
      <c r="H3" s="28" t="s">
        <v>66</v>
      </c>
      <c r="I3" s="28" t="s">
        <v>48</v>
      </c>
      <c r="J3" s="28">
        <v>0</v>
      </c>
      <c r="K3" s="28"/>
      <c r="L3" s="28"/>
      <c r="Q3" s="5">
        <f>IF(B3="",NA(),G3)</f>
        <v>1.4050925929041114E-2</v>
      </c>
      <c r="AA3" s="3">
        <v>45951.701574074075</v>
      </c>
      <c r="AB3">
        <v>20</v>
      </c>
      <c r="AC3">
        <v>0</v>
      </c>
      <c r="AD3">
        <v>3</v>
      </c>
      <c r="AE3">
        <v>0</v>
      </c>
      <c r="AF3" s="5">
        <v>1.4050925929041114E-2</v>
      </c>
      <c r="AG3" t="s">
        <v>17</v>
      </c>
      <c r="AH3" t="s">
        <v>48</v>
      </c>
      <c r="AI3">
        <v>0</v>
      </c>
    </row>
    <row r="4" spans="1:35">
      <c r="A4" s="30">
        <v>45951.867650462962</v>
      </c>
      <c r="B4" s="28">
        <v>74</v>
      </c>
      <c r="C4" s="28">
        <v>10</v>
      </c>
      <c r="D4" s="28">
        <v>0</v>
      </c>
      <c r="E4" s="28">
        <v>0</v>
      </c>
      <c r="F4" s="28">
        <v>0</v>
      </c>
      <c r="G4" s="31">
        <v>1.0868055556784384E-2</v>
      </c>
      <c r="H4" s="28" t="s">
        <v>64</v>
      </c>
      <c r="I4" s="28" t="s">
        <v>65</v>
      </c>
      <c r="J4" s="28">
        <v>0</v>
      </c>
      <c r="K4" s="28"/>
      <c r="L4" s="28"/>
      <c r="Q4" s="5">
        <f t="shared" ref="Q4:Q67" si="0">IF(B4="",NA(),G4)</f>
        <v>1.0868055556784384E-2</v>
      </c>
      <c r="AA4" s="3">
        <v>45951.867650462962</v>
      </c>
      <c r="AB4">
        <v>19</v>
      </c>
      <c r="AC4">
        <v>0</v>
      </c>
      <c r="AD4">
        <v>0</v>
      </c>
      <c r="AE4">
        <v>0</v>
      </c>
      <c r="AF4" s="5">
        <v>1.0868055556784384E-2</v>
      </c>
      <c r="AG4" t="s">
        <v>18</v>
      </c>
      <c r="AH4" t="s">
        <v>19</v>
      </c>
      <c r="AI4">
        <v>0</v>
      </c>
    </row>
    <row r="5" spans="1:35">
      <c r="A5" s="30">
        <v>45952.483495370368</v>
      </c>
      <c r="B5" s="28">
        <v>42</v>
      </c>
      <c r="C5" s="28">
        <v>10</v>
      </c>
      <c r="D5" s="28">
        <v>0</v>
      </c>
      <c r="E5" s="28">
        <v>27</v>
      </c>
      <c r="F5" s="28">
        <v>0</v>
      </c>
      <c r="G5" s="31">
        <v>1.7534722217533272E-2</v>
      </c>
      <c r="H5" s="28" t="s">
        <v>62</v>
      </c>
      <c r="I5" s="28" t="s">
        <v>63</v>
      </c>
      <c r="J5" s="28">
        <v>0</v>
      </c>
      <c r="K5" s="28"/>
      <c r="L5" s="28"/>
      <c r="Q5" s="5">
        <f t="shared" si="0"/>
        <v>1.7534722217533272E-2</v>
      </c>
      <c r="AA5" s="3">
        <v>45952.483495370368</v>
      </c>
      <c r="AB5">
        <v>15</v>
      </c>
      <c r="AC5">
        <v>0</v>
      </c>
      <c r="AD5">
        <v>5</v>
      </c>
      <c r="AE5">
        <v>0</v>
      </c>
      <c r="AF5" s="5">
        <v>1.7534722217533272E-2</v>
      </c>
      <c r="AG5" t="s">
        <v>20</v>
      </c>
      <c r="AH5" t="s">
        <v>21</v>
      </c>
      <c r="AI5">
        <v>0</v>
      </c>
    </row>
    <row r="6" spans="1:35">
      <c r="A6" s="30">
        <v>45952.864699074074</v>
      </c>
      <c r="B6" s="28">
        <v>70</v>
      </c>
      <c r="C6" s="28">
        <v>32</v>
      </c>
      <c r="D6" s="28">
        <v>0</v>
      </c>
      <c r="E6" s="28">
        <v>4</v>
      </c>
      <c r="F6" s="28">
        <v>0</v>
      </c>
      <c r="G6" s="31">
        <v>1.9606481480877846E-2</v>
      </c>
      <c r="H6" s="28" t="s">
        <v>60</v>
      </c>
      <c r="I6" s="28" t="s">
        <v>61</v>
      </c>
      <c r="J6" s="28">
        <v>0</v>
      </c>
      <c r="K6" s="28"/>
      <c r="L6" s="28"/>
      <c r="Q6" s="5">
        <f t="shared" si="0"/>
        <v>1.9606481480877846E-2</v>
      </c>
      <c r="AA6" s="3">
        <v>45952.864699074074</v>
      </c>
      <c r="AB6">
        <v>29</v>
      </c>
      <c r="AC6">
        <v>0</v>
      </c>
      <c r="AD6">
        <v>1</v>
      </c>
      <c r="AE6">
        <v>0</v>
      </c>
      <c r="AF6" s="5">
        <v>1.9606481480877846E-2</v>
      </c>
      <c r="AG6" t="s">
        <v>22</v>
      </c>
      <c r="AH6" t="s">
        <v>23</v>
      </c>
      <c r="AI6">
        <v>0</v>
      </c>
    </row>
    <row r="7" spans="1:35">
      <c r="A7" s="30">
        <v>45953.849791666667</v>
      </c>
      <c r="B7" s="28">
        <v>53</v>
      </c>
      <c r="C7" s="28">
        <v>105</v>
      </c>
      <c r="D7" s="28">
        <v>0</v>
      </c>
      <c r="E7" s="28">
        <v>4</v>
      </c>
      <c r="F7" s="28">
        <v>0</v>
      </c>
      <c r="G7" s="31">
        <v>1.4953703706851229E-2</v>
      </c>
      <c r="H7" s="28" t="s">
        <v>58</v>
      </c>
      <c r="I7" s="28" t="s">
        <v>59</v>
      </c>
      <c r="J7" s="28">
        <v>0</v>
      </c>
      <c r="K7" s="28"/>
      <c r="L7" s="28"/>
      <c r="Q7" s="5">
        <f t="shared" si="0"/>
        <v>1.4953703706851229E-2</v>
      </c>
      <c r="AA7" s="3">
        <v>45953.849791666667</v>
      </c>
      <c r="AB7">
        <v>65</v>
      </c>
      <c r="AC7">
        <v>0</v>
      </c>
      <c r="AD7">
        <v>1</v>
      </c>
      <c r="AE7">
        <v>0</v>
      </c>
      <c r="AF7" s="5">
        <v>1.4953703706851229E-2</v>
      </c>
      <c r="AG7" t="s">
        <v>32</v>
      </c>
      <c r="AH7" t="s">
        <v>33</v>
      </c>
      <c r="AI7">
        <v>0</v>
      </c>
    </row>
    <row r="8" spans="1:35">
      <c r="A8" s="30">
        <v>45953.869490740741</v>
      </c>
      <c r="B8" s="28">
        <v>58</v>
      </c>
      <c r="C8" s="28">
        <v>82</v>
      </c>
      <c r="D8" s="28">
        <v>0</v>
      </c>
      <c r="E8" s="28">
        <v>3</v>
      </c>
      <c r="F8" s="28">
        <v>0</v>
      </c>
      <c r="G8" s="31">
        <v>1.8831018518540077E-2</v>
      </c>
      <c r="H8" s="28" t="s">
        <v>56</v>
      </c>
      <c r="I8" s="28" t="s">
        <v>57</v>
      </c>
      <c r="J8" s="28">
        <v>0</v>
      </c>
      <c r="K8" s="28"/>
      <c r="L8" s="28"/>
      <c r="Q8" s="5">
        <f t="shared" si="0"/>
        <v>1.8831018518540077E-2</v>
      </c>
      <c r="AA8" s="3">
        <v>45953.869490740741</v>
      </c>
      <c r="AB8">
        <v>54</v>
      </c>
      <c r="AC8">
        <v>0</v>
      </c>
      <c r="AD8">
        <v>1</v>
      </c>
      <c r="AE8">
        <v>0</v>
      </c>
      <c r="AF8" s="5">
        <v>1.8831018518540077E-2</v>
      </c>
      <c r="AG8" t="s">
        <v>34</v>
      </c>
      <c r="AH8" t="s">
        <v>35</v>
      </c>
      <c r="AI8">
        <v>0</v>
      </c>
    </row>
    <row r="9" spans="1:35">
      <c r="A9" s="30">
        <v>45954.406076388892</v>
      </c>
      <c r="B9" s="28">
        <v>50</v>
      </c>
      <c r="C9" s="28">
        <v>67</v>
      </c>
      <c r="D9" s="28">
        <v>0</v>
      </c>
      <c r="E9" s="28">
        <v>13</v>
      </c>
      <c r="F9" s="28">
        <v>0</v>
      </c>
      <c r="G9" s="31">
        <v>1.0740740741312038E-2</v>
      </c>
      <c r="H9" s="28" t="s">
        <v>54</v>
      </c>
      <c r="I9" s="28" t="s">
        <v>55</v>
      </c>
      <c r="J9" s="28">
        <v>0</v>
      </c>
      <c r="K9" s="28"/>
      <c r="L9" s="28"/>
      <c r="Q9" s="5">
        <f t="shared" si="0"/>
        <v>1.0740740741312038E-2</v>
      </c>
      <c r="AA9" s="3">
        <v>45954.406076388892</v>
      </c>
      <c r="AB9">
        <v>45</v>
      </c>
      <c r="AC9">
        <v>0</v>
      </c>
      <c r="AD9">
        <v>3</v>
      </c>
      <c r="AE9">
        <v>0</v>
      </c>
      <c r="AF9" s="5">
        <v>1.0740740741312038E-2</v>
      </c>
      <c r="AG9" t="s">
        <v>36</v>
      </c>
      <c r="AH9" t="s">
        <v>37</v>
      </c>
      <c r="AI9">
        <v>0</v>
      </c>
    </row>
    <row r="10" spans="1:35">
      <c r="A10" s="30">
        <v>45954.875092592592</v>
      </c>
      <c r="B10" s="28">
        <v>57</v>
      </c>
      <c r="C10" s="28">
        <v>66</v>
      </c>
      <c r="D10" s="28">
        <v>0</v>
      </c>
      <c r="E10" s="28">
        <v>7</v>
      </c>
      <c r="F10" s="28">
        <v>0</v>
      </c>
      <c r="G10" s="31">
        <v>2.0335648150648922E-2</v>
      </c>
      <c r="H10" s="28" t="s">
        <v>52</v>
      </c>
      <c r="I10" s="28" t="s">
        <v>53</v>
      </c>
      <c r="J10" s="28">
        <v>0</v>
      </c>
      <c r="K10" s="28"/>
      <c r="L10" s="28"/>
      <c r="Q10" s="5">
        <f t="shared" si="0"/>
        <v>2.0335648150648922E-2</v>
      </c>
      <c r="AA10" s="3">
        <v>45954.875092592592</v>
      </c>
      <c r="AB10">
        <v>43</v>
      </c>
      <c r="AC10">
        <v>0</v>
      </c>
      <c r="AD10">
        <v>2</v>
      </c>
      <c r="AE10">
        <v>0</v>
      </c>
      <c r="AF10" s="5">
        <v>2.0335648150648922E-2</v>
      </c>
      <c r="AG10" t="s">
        <v>38</v>
      </c>
      <c r="AH10" t="s">
        <v>39</v>
      </c>
      <c r="AI10">
        <v>0</v>
      </c>
    </row>
    <row r="11" spans="1:35">
      <c r="A11" s="30">
        <v>45956.6015625</v>
      </c>
      <c r="B11" s="28">
        <v>31</v>
      </c>
      <c r="C11" s="28">
        <v>14</v>
      </c>
      <c r="D11" s="28">
        <v>0</v>
      </c>
      <c r="E11" s="28">
        <v>29</v>
      </c>
      <c r="F11" s="28">
        <v>0</v>
      </c>
      <c r="G11" s="31">
        <v>1.4293981483206153E-2</v>
      </c>
      <c r="H11" s="28" t="s">
        <v>50</v>
      </c>
      <c r="I11" s="28" t="s">
        <v>51</v>
      </c>
      <c r="J11" s="28">
        <v>0</v>
      </c>
      <c r="K11" s="28"/>
      <c r="L11" s="28"/>
      <c r="Q11" s="5">
        <f t="shared" si="0"/>
        <v>1.4293981483206153E-2</v>
      </c>
    </row>
    <row r="12" spans="1:35">
      <c r="A12" s="30">
        <v>45958.470810185187</v>
      </c>
      <c r="B12" s="28">
        <v>60</v>
      </c>
      <c r="C12" s="28">
        <v>16</v>
      </c>
      <c r="D12" s="28">
        <v>0</v>
      </c>
      <c r="E12" s="28">
        <v>0</v>
      </c>
      <c r="F12" s="28">
        <v>0</v>
      </c>
      <c r="G12" s="31">
        <v>6.7708333372138441E-3</v>
      </c>
      <c r="H12" s="28" t="s">
        <v>67</v>
      </c>
      <c r="I12" s="28" t="s">
        <v>68</v>
      </c>
      <c r="J12" s="28">
        <v>0</v>
      </c>
      <c r="K12" s="28"/>
      <c r="L12" s="28"/>
      <c r="Q12" s="5">
        <f t="shared" si="0"/>
        <v>6.7708333372138441E-3</v>
      </c>
    </row>
    <row r="13" spans="1:35">
      <c r="A13" s="3">
        <v>45958.877384259256</v>
      </c>
      <c r="B13">
        <v>60</v>
      </c>
      <c r="C13">
        <v>10</v>
      </c>
      <c r="D13">
        <v>0</v>
      </c>
      <c r="E13">
        <v>0</v>
      </c>
      <c r="F13">
        <v>0</v>
      </c>
      <c r="G13" s="5">
        <v>1.0983796295477077E-2</v>
      </c>
      <c r="H13" t="s">
        <v>69</v>
      </c>
      <c r="I13" t="s">
        <v>70</v>
      </c>
      <c r="J13">
        <v>0</v>
      </c>
      <c r="Q13" s="5">
        <f t="shared" si="0"/>
        <v>1.0983796295477077E-2</v>
      </c>
    </row>
    <row r="14" spans="1:35">
      <c r="A14" s="3">
        <v>45960.297789351855</v>
      </c>
      <c r="B14">
        <v>60</v>
      </c>
      <c r="C14">
        <v>22</v>
      </c>
      <c r="D14">
        <v>0</v>
      </c>
      <c r="E14">
        <v>0</v>
      </c>
      <c r="F14">
        <v>0</v>
      </c>
      <c r="G14" s="5">
        <v>6.7592592604341917E-3</v>
      </c>
      <c r="H14" t="s">
        <v>71</v>
      </c>
      <c r="I14" t="s">
        <v>72</v>
      </c>
      <c r="J14">
        <v>0</v>
      </c>
      <c r="Q14" s="5">
        <f t="shared" si="0"/>
        <v>6.7592592604341917E-3</v>
      </c>
    </row>
    <row r="15" spans="1:35">
      <c r="A15" s="3">
        <v>45960.313784722224</v>
      </c>
      <c r="B15">
        <v>53</v>
      </c>
      <c r="C15">
        <v>26</v>
      </c>
      <c r="D15">
        <v>0</v>
      </c>
      <c r="E15">
        <v>7</v>
      </c>
      <c r="F15">
        <v>0</v>
      </c>
      <c r="G15" s="5">
        <v>1.5023148152977228E-2</v>
      </c>
      <c r="H15" t="s">
        <v>73</v>
      </c>
      <c r="I15" t="s">
        <v>74</v>
      </c>
      <c r="J15">
        <v>0</v>
      </c>
      <c r="Q15" s="5">
        <f t="shared" si="0"/>
        <v>1.5023148152977228E-2</v>
      </c>
    </row>
    <row r="16" spans="1:35">
      <c r="A16" s="3">
        <v>45963.852662037039</v>
      </c>
      <c r="B16">
        <v>60</v>
      </c>
      <c r="C16">
        <v>14</v>
      </c>
      <c r="D16">
        <v>0</v>
      </c>
      <c r="E16">
        <v>0</v>
      </c>
      <c r="F16">
        <v>0</v>
      </c>
      <c r="G16" s="5">
        <v>1.2187500004074536E-2</v>
      </c>
      <c r="H16" t="s">
        <v>75</v>
      </c>
      <c r="I16" t="s">
        <v>76</v>
      </c>
      <c r="J16">
        <v>0</v>
      </c>
      <c r="Q16" s="5">
        <f t="shared" si="0"/>
        <v>1.2187500004074536E-2</v>
      </c>
    </row>
    <row r="17" spans="1:17">
      <c r="A17" s="3">
        <v>45963.866400462961</v>
      </c>
      <c r="B17">
        <v>60</v>
      </c>
      <c r="C17">
        <v>34</v>
      </c>
      <c r="D17">
        <v>1</v>
      </c>
      <c r="E17">
        <v>0</v>
      </c>
      <c r="F17">
        <v>0</v>
      </c>
      <c r="G17" s="5">
        <v>1.2881944443506654E-2</v>
      </c>
      <c r="H17" t="s">
        <v>77</v>
      </c>
      <c r="I17" t="s">
        <v>78</v>
      </c>
      <c r="J17">
        <v>0</v>
      </c>
      <c r="Q17" s="5">
        <f t="shared" si="0"/>
        <v>1.2881944443506654E-2</v>
      </c>
    </row>
    <row r="18" spans="1:17">
      <c r="A18" s="3">
        <v>45964.374537037038</v>
      </c>
      <c r="B18">
        <v>55</v>
      </c>
      <c r="C18">
        <v>22</v>
      </c>
      <c r="D18">
        <v>1</v>
      </c>
      <c r="E18">
        <v>5</v>
      </c>
      <c r="F18">
        <v>0</v>
      </c>
      <c r="G18" s="5">
        <v>1.7210648147738539E-2</v>
      </c>
      <c r="H18" t="s">
        <v>79</v>
      </c>
      <c r="I18" t="s">
        <v>80</v>
      </c>
      <c r="J18">
        <v>0</v>
      </c>
      <c r="K18">
        <f>IF(A18&lt;DATEVALUE("2025/11/20")+TIMEVALUE("6:00"),1,IF(OR(B18&lt;&gt;60,SUM(D18:F18)&lt;&gt;0,G18&gt;=IF(A18&lt;DATEVALUE("2025/12/28")+TIMEVALUE("6:00"),20,18)/24/60),0,2-INT(G18*24*60/10)))</f>
        <v>1</v>
      </c>
      <c r="L18">
        <f>L17+K18</f>
        <v>1</v>
      </c>
      <c r="M18">
        <f t="shared" ref="M18" si="1">2+IF(A18&gt;=DATEVALUE("2025/11/30")+TIMEVALUE("6:00"),1,0)+IF(A18&gt;=DATEVALUE("2025/12/11")+TIMEVALUE("6:00"),1,0)</f>
        <v>2</v>
      </c>
      <c r="N18">
        <f t="shared" ref="N18" si="2">N17+M18*(INT(A18-6/24)-INT(A17-6/24))+O18</f>
        <v>2</v>
      </c>
      <c r="O18">
        <f>IF(A18&gt;=DATEVALUE("2025/11/8")+TIMEVALUE("6:00"),1,0)-IF(A17&gt;=DATEVALUE("2025/11/8")+TIMEVALUE("6:00"),1,0)
+IF(A18&gt;=DATEVALUE("2026/1/22")+TIMEVALUE("6:00"),3,0)-IF(A17&gt;=DATEVALUE("2026/1/22")+TIMEVALUE("6:00"),3,0)
+IF(A18&gt;=DATEVALUE("2026/2/21")+TIMEVALUE("6:00"),1,0)-IF(A17&gt;=DATEVALUE("2026/2/21")+TIMEVALUE("6:00"),1,0)</f>
        <v>0</v>
      </c>
      <c r="P18" t="str">
        <f>IF(L18&lt;N18,"未達成（"&amp;N18-L18&amp;"）",IF(L18=N18,"達成","前倒し（"&amp;L18-N18&amp;"）"))</f>
        <v>未達成（1）</v>
      </c>
      <c r="Q18" s="5">
        <f t="shared" si="0"/>
        <v>1.7210648147738539E-2</v>
      </c>
    </row>
    <row r="19" spans="1:17">
      <c r="A19" s="3">
        <v>45964.485486111109</v>
      </c>
      <c r="B19">
        <v>53</v>
      </c>
      <c r="C19">
        <v>20</v>
      </c>
      <c r="D19">
        <v>0</v>
      </c>
      <c r="E19">
        <v>7</v>
      </c>
      <c r="F19">
        <v>0</v>
      </c>
      <c r="G19" s="5">
        <v>1.5312499999708962E-2</v>
      </c>
      <c r="H19" t="s">
        <v>81</v>
      </c>
      <c r="I19" t="s">
        <v>82</v>
      </c>
      <c r="J19">
        <v>0</v>
      </c>
      <c r="K19">
        <f t="shared" ref="K19:K82" si="3">IF(A19&lt;DATEVALUE("2025/11/20")+TIMEVALUE("6:00"),1,IF(OR(B19&lt;&gt;60,SUM(D19:F19)&lt;&gt;0,G19&gt;=IF(A19&lt;DATEVALUE("2025/12/28")+TIMEVALUE("6:00"),20,18)/24/60),0,2-INT(G19*24*60/10)))</f>
        <v>1</v>
      </c>
      <c r="L19">
        <f t="shared" ref="L19:L82" si="4">L18+K19</f>
        <v>2</v>
      </c>
      <c r="M19">
        <f t="shared" ref="M19:M82" si="5">2+IF(A19&gt;=DATEVALUE("2025/11/30")+TIMEVALUE("6:00"),1,0)+IF(A19&gt;=DATEVALUE("2025/12/11")+TIMEVALUE("6:00"),1,0)</f>
        <v>2</v>
      </c>
      <c r="N19">
        <f t="shared" ref="N19:N82" si="6">N18+M19*(INT(A19-6/24)-INT(A18-6/24))+O19</f>
        <v>2</v>
      </c>
      <c r="O19">
        <f t="shared" ref="O19:O82" si="7">IF(A19&gt;=DATEVALUE("2025/11/8")+TIMEVALUE("6:00"),1,0)-IF(A18&gt;=DATEVALUE("2025/11/8")+TIMEVALUE("6:00"),1,0)
+IF(A19&gt;=DATEVALUE("2026/1/22")+TIMEVALUE("6:00"),3,0)-IF(A18&gt;=DATEVALUE("2026/1/22")+TIMEVALUE("6:00"),3,0)
+IF(A19&gt;=DATEVALUE("2026/2/21")+TIMEVALUE("6:00"),1,0)-IF(A18&gt;=DATEVALUE("2026/2/21")+TIMEVALUE("6:00"),1,0)</f>
        <v>0</v>
      </c>
      <c r="P19" t="str">
        <f t="shared" ref="P19:P82" si="8">IF(L19&lt;N19,"未達成（"&amp;N19-L19&amp;"）",IF(L19=N19,"達成","前倒し（"&amp;L19-N19&amp;"）"))</f>
        <v>達成</v>
      </c>
      <c r="Q19" s="5">
        <f t="shared" si="0"/>
        <v>1.5312499999708962E-2</v>
      </c>
    </row>
    <row r="20" spans="1:17">
      <c r="A20" s="3">
        <v>45965.688217592593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1.5277777776645962E-2</v>
      </c>
      <c r="H20" t="s">
        <v>83</v>
      </c>
      <c r="I20" t="s">
        <v>84</v>
      </c>
      <c r="J20">
        <v>0</v>
      </c>
      <c r="K20">
        <f t="shared" si="3"/>
        <v>1</v>
      </c>
      <c r="L20">
        <f t="shared" si="4"/>
        <v>3</v>
      </c>
      <c r="M20">
        <f t="shared" si="5"/>
        <v>2</v>
      </c>
      <c r="N20">
        <f t="shared" si="6"/>
        <v>4</v>
      </c>
      <c r="O20">
        <f t="shared" si="7"/>
        <v>0</v>
      </c>
      <c r="P20" t="str">
        <f t="shared" si="8"/>
        <v>未達成（1）</v>
      </c>
      <c r="Q20" s="5">
        <f t="shared" si="0"/>
        <v>1.5277777776645962E-2</v>
      </c>
    </row>
    <row r="21" spans="1:17">
      <c r="A21" s="3">
        <v>45965.84888888889</v>
      </c>
      <c r="B21">
        <v>60</v>
      </c>
      <c r="C21">
        <v>23</v>
      </c>
      <c r="D21">
        <v>0</v>
      </c>
      <c r="E21">
        <v>0</v>
      </c>
      <c r="F21">
        <v>0</v>
      </c>
      <c r="G21" s="5">
        <v>1.4004629629198462E-2</v>
      </c>
      <c r="H21" t="s">
        <v>85</v>
      </c>
      <c r="I21" t="s">
        <v>86</v>
      </c>
      <c r="J21">
        <v>0</v>
      </c>
      <c r="K21">
        <f t="shared" si="3"/>
        <v>1</v>
      </c>
      <c r="L21">
        <f t="shared" si="4"/>
        <v>4</v>
      </c>
      <c r="M21">
        <f t="shared" si="5"/>
        <v>2</v>
      </c>
      <c r="N21">
        <f t="shared" si="6"/>
        <v>4</v>
      </c>
      <c r="O21">
        <f t="shared" si="7"/>
        <v>0</v>
      </c>
      <c r="P21" t="str">
        <f t="shared" si="8"/>
        <v>達成</v>
      </c>
      <c r="Q21" s="5">
        <f t="shared" si="0"/>
        <v>1.4004629629198462E-2</v>
      </c>
    </row>
    <row r="22" spans="1:17">
      <c r="A22" s="3">
        <v>45966.436736111114</v>
      </c>
      <c r="B22">
        <v>56</v>
      </c>
      <c r="C22">
        <v>61</v>
      </c>
      <c r="D22">
        <v>0</v>
      </c>
      <c r="E22">
        <v>4</v>
      </c>
      <c r="F22">
        <v>0</v>
      </c>
      <c r="G22" s="5">
        <v>7.9398148154723458E-3</v>
      </c>
      <c r="H22" t="s">
        <v>87</v>
      </c>
      <c r="I22" t="s">
        <v>88</v>
      </c>
      <c r="J22">
        <v>0</v>
      </c>
      <c r="K22">
        <f t="shared" si="3"/>
        <v>1</v>
      </c>
      <c r="L22">
        <f t="shared" si="4"/>
        <v>5</v>
      </c>
      <c r="M22">
        <f t="shared" si="5"/>
        <v>2</v>
      </c>
      <c r="N22">
        <f t="shared" si="6"/>
        <v>6</v>
      </c>
      <c r="O22">
        <f t="shared" si="7"/>
        <v>0</v>
      </c>
      <c r="P22" t="str">
        <f t="shared" si="8"/>
        <v>未達成（1）</v>
      </c>
      <c r="Q22" s="5">
        <f t="shared" si="0"/>
        <v>7.9398148154723458E-3</v>
      </c>
    </row>
    <row r="23" spans="1:17">
      <c r="A23" s="3">
        <v>45966.85869212963</v>
      </c>
      <c r="B23">
        <v>60</v>
      </c>
      <c r="C23">
        <v>80</v>
      </c>
      <c r="D23">
        <v>0</v>
      </c>
      <c r="E23">
        <v>0</v>
      </c>
      <c r="F23">
        <v>0</v>
      </c>
      <c r="G23" s="5">
        <v>1.4085648152104113E-2</v>
      </c>
      <c r="H23" t="s">
        <v>89</v>
      </c>
      <c r="I23" t="s">
        <v>90</v>
      </c>
      <c r="J23">
        <v>0</v>
      </c>
      <c r="K23">
        <f t="shared" si="3"/>
        <v>1</v>
      </c>
      <c r="L23">
        <f t="shared" si="4"/>
        <v>6</v>
      </c>
      <c r="M23">
        <f t="shared" si="5"/>
        <v>2</v>
      </c>
      <c r="N23">
        <f t="shared" si="6"/>
        <v>6</v>
      </c>
      <c r="O23">
        <f t="shared" si="7"/>
        <v>0</v>
      </c>
      <c r="P23" t="str">
        <f t="shared" si="8"/>
        <v>達成</v>
      </c>
      <c r="Q23" s="5">
        <f t="shared" si="0"/>
        <v>1.4085648152104113E-2</v>
      </c>
    </row>
    <row r="24" spans="1:17">
      <c r="A24" s="3">
        <v>45967.811736111114</v>
      </c>
      <c r="B24">
        <v>60</v>
      </c>
      <c r="C24">
        <v>104</v>
      </c>
      <c r="D24">
        <v>0</v>
      </c>
      <c r="E24">
        <v>0</v>
      </c>
      <c r="F24">
        <v>0</v>
      </c>
      <c r="G24" s="5">
        <v>1.5046296299260575E-2</v>
      </c>
      <c r="H24" t="s">
        <v>91</v>
      </c>
      <c r="I24" t="s">
        <v>92</v>
      </c>
      <c r="J24">
        <v>0</v>
      </c>
      <c r="K24">
        <f t="shared" si="3"/>
        <v>1</v>
      </c>
      <c r="L24">
        <f t="shared" si="4"/>
        <v>7</v>
      </c>
      <c r="M24">
        <f t="shared" si="5"/>
        <v>2</v>
      </c>
      <c r="N24">
        <f t="shared" si="6"/>
        <v>8</v>
      </c>
      <c r="O24">
        <f t="shared" si="7"/>
        <v>0</v>
      </c>
      <c r="P24" t="str">
        <f t="shared" si="8"/>
        <v>未達成（1）</v>
      </c>
      <c r="Q24" s="5">
        <f t="shared" si="0"/>
        <v>1.5046296299260575E-2</v>
      </c>
    </row>
    <row r="25" spans="1:17">
      <c r="A25" s="3">
        <v>45967.82545138889</v>
      </c>
      <c r="B25">
        <v>60</v>
      </c>
      <c r="C25">
        <v>92</v>
      </c>
      <c r="D25">
        <v>0</v>
      </c>
      <c r="E25">
        <v>0</v>
      </c>
      <c r="F25">
        <v>0</v>
      </c>
      <c r="G25" s="5">
        <v>1.226851851970423E-2</v>
      </c>
      <c r="H25" t="s">
        <v>93</v>
      </c>
      <c r="I25" t="s">
        <v>94</v>
      </c>
      <c r="J25">
        <v>0</v>
      </c>
      <c r="K25">
        <f t="shared" si="3"/>
        <v>1</v>
      </c>
      <c r="L25">
        <f t="shared" si="4"/>
        <v>8</v>
      </c>
      <c r="M25">
        <f t="shared" si="5"/>
        <v>2</v>
      </c>
      <c r="N25">
        <f t="shared" si="6"/>
        <v>8</v>
      </c>
      <c r="O25">
        <f t="shared" si="7"/>
        <v>0</v>
      </c>
      <c r="P25" t="str">
        <f t="shared" si="8"/>
        <v>達成</v>
      </c>
      <c r="Q25" s="5">
        <f t="shared" si="0"/>
        <v>1.226851851970423E-2</v>
      </c>
    </row>
    <row r="26" spans="1:17">
      <c r="A26" s="3">
        <v>45968.850543981483</v>
      </c>
      <c r="B26">
        <v>60</v>
      </c>
      <c r="C26">
        <v>102</v>
      </c>
      <c r="D26">
        <v>0</v>
      </c>
      <c r="E26">
        <v>0</v>
      </c>
      <c r="F26">
        <v>0</v>
      </c>
      <c r="G26" s="5">
        <v>2.5509259263344575E-2</v>
      </c>
      <c r="H26" t="s">
        <v>95</v>
      </c>
      <c r="I26" t="s">
        <v>96</v>
      </c>
      <c r="J26">
        <v>0</v>
      </c>
      <c r="K26">
        <f t="shared" si="3"/>
        <v>1</v>
      </c>
      <c r="L26">
        <f t="shared" si="4"/>
        <v>9</v>
      </c>
      <c r="M26">
        <f t="shared" si="5"/>
        <v>2</v>
      </c>
      <c r="N26">
        <f t="shared" si="6"/>
        <v>10</v>
      </c>
      <c r="O26">
        <f t="shared" si="7"/>
        <v>0</v>
      </c>
      <c r="P26" t="str">
        <f t="shared" si="8"/>
        <v>未達成（1）</v>
      </c>
      <c r="Q26" s="5">
        <f t="shared" si="0"/>
        <v>2.5509259263344575E-2</v>
      </c>
    </row>
    <row r="27" spans="1:17">
      <c r="A27" s="3">
        <v>45968.864317129628</v>
      </c>
      <c r="B27">
        <v>60</v>
      </c>
      <c r="C27">
        <v>115</v>
      </c>
      <c r="D27">
        <v>0</v>
      </c>
      <c r="E27">
        <v>0</v>
      </c>
      <c r="F27">
        <v>0</v>
      </c>
      <c r="G27" s="5">
        <v>1.2974537035916001E-2</v>
      </c>
      <c r="H27" t="s">
        <v>97</v>
      </c>
      <c r="I27" t="s">
        <v>98</v>
      </c>
      <c r="J27">
        <v>0</v>
      </c>
      <c r="K27">
        <f t="shared" si="3"/>
        <v>1</v>
      </c>
      <c r="L27">
        <f t="shared" si="4"/>
        <v>10</v>
      </c>
      <c r="M27">
        <f t="shared" si="5"/>
        <v>2</v>
      </c>
      <c r="N27">
        <f t="shared" si="6"/>
        <v>10</v>
      </c>
      <c r="O27">
        <f t="shared" si="7"/>
        <v>0</v>
      </c>
      <c r="P27" t="str">
        <f t="shared" si="8"/>
        <v>達成</v>
      </c>
      <c r="Q27" s="5">
        <f t="shared" si="0"/>
        <v>1.2974537035916001E-2</v>
      </c>
    </row>
    <row r="28" spans="1:17">
      <c r="A28" s="3">
        <v>45969.555104166669</v>
      </c>
      <c r="B28">
        <v>55</v>
      </c>
      <c r="C28">
        <v>72</v>
      </c>
      <c r="D28">
        <v>0</v>
      </c>
      <c r="E28">
        <v>5</v>
      </c>
      <c r="F28">
        <v>0</v>
      </c>
      <c r="G28" s="5">
        <v>1.0231481486698613E-2</v>
      </c>
      <c r="H28" t="s">
        <v>99</v>
      </c>
      <c r="I28" t="s">
        <v>100</v>
      </c>
      <c r="J28">
        <v>0</v>
      </c>
      <c r="K28">
        <f t="shared" si="3"/>
        <v>1</v>
      </c>
      <c r="L28">
        <f t="shared" si="4"/>
        <v>11</v>
      </c>
      <c r="M28">
        <f t="shared" si="5"/>
        <v>2</v>
      </c>
      <c r="N28">
        <f t="shared" si="6"/>
        <v>13</v>
      </c>
      <c r="O28">
        <f t="shared" si="7"/>
        <v>1</v>
      </c>
      <c r="P28" t="str">
        <f t="shared" si="8"/>
        <v>未達成（2）</v>
      </c>
      <c r="Q28" s="5">
        <f t="shared" si="0"/>
        <v>1.0231481486698613E-2</v>
      </c>
    </row>
    <row r="29" spans="1:17">
      <c r="A29" s="3">
        <v>45969.845405092594</v>
      </c>
      <c r="B29">
        <v>60</v>
      </c>
      <c r="C29">
        <v>25</v>
      </c>
      <c r="D29">
        <v>0</v>
      </c>
      <c r="E29">
        <v>0</v>
      </c>
      <c r="F29">
        <v>0</v>
      </c>
      <c r="G29" s="5">
        <v>1.1145833334012423E-2</v>
      </c>
      <c r="H29" t="s">
        <v>101</v>
      </c>
      <c r="I29" t="s">
        <v>102</v>
      </c>
      <c r="J29">
        <v>0</v>
      </c>
      <c r="K29">
        <f t="shared" si="3"/>
        <v>1</v>
      </c>
      <c r="L29">
        <f t="shared" si="4"/>
        <v>12</v>
      </c>
      <c r="M29">
        <f t="shared" si="5"/>
        <v>2</v>
      </c>
      <c r="N29">
        <f t="shared" si="6"/>
        <v>13</v>
      </c>
      <c r="O29">
        <f t="shared" si="7"/>
        <v>0</v>
      </c>
      <c r="P29" t="str">
        <f t="shared" si="8"/>
        <v>未達成（1）</v>
      </c>
      <c r="Q29" s="5">
        <f t="shared" si="0"/>
        <v>1.1145833334012423E-2</v>
      </c>
    </row>
    <row r="30" spans="1:17">
      <c r="A30" s="3">
        <v>45969.862083333333</v>
      </c>
      <c r="B30">
        <v>60</v>
      </c>
      <c r="C30">
        <v>32</v>
      </c>
      <c r="D30">
        <v>0</v>
      </c>
      <c r="E30">
        <v>0</v>
      </c>
      <c r="F30">
        <v>0</v>
      </c>
      <c r="G30" s="5">
        <v>1.6215277777519077E-2</v>
      </c>
      <c r="H30" t="s">
        <v>103</v>
      </c>
      <c r="I30" t="s">
        <v>104</v>
      </c>
      <c r="J30">
        <v>0</v>
      </c>
      <c r="K30">
        <f t="shared" si="3"/>
        <v>1</v>
      </c>
      <c r="L30">
        <f t="shared" si="4"/>
        <v>13</v>
      </c>
      <c r="M30">
        <f t="shared" si="5"/>
        <v>2</v>
      </c>
      <c r="N30">
        <f t="shared" si="6"/>
        <v>13</v>
      </c>
      <c r="O30">
        <f t="shared" si="7"/>
        <v>0</v>
      </c>
      <c r="P30" t="str">
        <f t="shared" si="8"/>
        <v>達成</v>
      </c>
      <c r="Q30" s="5">
        <f t="shared" si="0"/>
        <v>1.6215277777519077E-2</v>
      </c>
    </row>
    <row r="31" spans="1:17">
      <c r="A31" s="3">
        <v>45970.704884259256</v>
      </c>
      <c r="B31">
        <v>60</v>
      </c>
      <c r="C31">
        <v>30</v>
      </c>
      <c r="D31">
        <v>0</v>
      </c>
      <c r="E31">
        <v>0</v>
      </c>
      <c r="F31">
        <v>0</v>
      </c>
      <c r="G31" s="5">
        <v>8.5648148087784648E-3</v>
      </c>
      <c r="H31" t="s">
        <v>105</v>
      </c>
      <c r="I31" t="s">
        <v>106</v>
      </c>
      <c r="J31">
        <v>0</v>
      </c>
      <c r="K31">
        <f t="shared" si="3"/>
        <v>1</v>
      </c>
      <c r="L31">
        <f t="shared" si="4"/>
        <v>14</v>
      </c>
      <c r="M31">
        <f t="shared" si="5"/>
        <v>2</v>
      </c>
      <c r="N31">
        <f t="shared" si="6"/>
        <v>15</v>
      </c>
      <c r="O31">
        <f t="shared" si="7"/>
        <v>0</v>
      </c>
      <c r="P31" t="str">
        <f t="shared" si="8"/>
        <v>未達成（1）</v>
      </c>
      <c r="Q31" s="5">
        <f t="shared" si="0"/>
        <v>8.5648148087784648E-3</v>
      </c>
    </row>
    <row r="32" spans="1:17">
      <c r="A32" s="3">
        <v>45970.721099537041</v>
      </c>
      <c r="B32">
        <v>60</v>
      </c>
      <c r="C32">
        <v>33</v>
      </c>
      <c r="D32">
        <v>0</v>
      </c>
      <c r="E32">
        <v>0</v>
      </c>
      <c r="F32">
        <v>0</v>
      </c>
      <c r="G32" s="5">
        <v>1.4189814821293112E-2</v>
      </c>
      <c r="H32" t="s">
        <v>107</v>
      </c>
      <c r="I32" t="s">
        <v>108</v>
      </c>
      <c r="J32">
        <v>0</v>
      </c>
      <c r="K32">
        <f t="shared" si="3"/>
        <v>1</v>
      </c>
      <c r="L32">
        <f t="shared" si="4"/>
        <v>15</v>
      </c>
      <c r="M32">
        <f t="shared" si="5"/>
        <v>2</v>
      </c>
      <c r="N32">
        <f t="shared" si="6"/>
        <v>15</v>
      </c>
      <c r="O32">
        <f t="shared" si="7"/>
        <v>0</v>
      </c>
      <c r="P32" t="str">
        <f t="shared" si="8"/>
        <v>達成</v>
      </c>
      <c r="Q32" s="5">
        <f t="shared" si="0"/>
        <v>1.4189814821293112E-2</v>
      </c>
    </row>
    <row r="33" spans="1:17">
      <c r="A33" s="3">
        <v>45971.832638888889</v>
      </c>
      <c r="B33">
        <v>56</v>
      </c>
      <c r="C33">
        <v>26</v>
      </c>
      <c r="D33">
        <v>0</v>
      </c>
      <c r="E33">
        <v>4</v>
      </c>
      <c r="F33">
        <v>0</v>
      </c>
      <c r="G33" s="5">
        <v>1.2141203704231884E-2</v>
      </c>
      <c r="H33" t="s">
        <v>109</v>
      </c>
      <c r="I33" t="s">
        <v>110</v>
      </c>
      <c r="J33">
        <v>0</v>
      </c>
      <c r="K33">
        <f t="shared" si="3"/>
        <v>1</v>
      </c>
      <c r="L33">
        <f t="shared" si="4"/>
        <v>16</v>
      </c>
      <c r="M33">
        <f t="shared" si="5"/>
        <v>2</v>
      </c>
      <c r="N33">
        <f t="shared" si="6"/>
        <v>17</v>
      </c>
      <c r="O33">
        <f t="shared" si="7"/>
        <v>0</v>
      </c>
      <c r="P33" t="str">
        <f t="shared" si="8"/>
        <v>未達成（1）</v>
      </c>
      <c r="Q33" s="5">
        <f t="shared" si="0"/>
        <v>1.2141203704231884E-2</v>
      </c>
    </row>
    <row r="34" spans="1:17">
      <c r="A34" s="3">
        <v>45971.844918981478</v>
      </c>
      <c r="B34">
        <v>60</v>
      </c>
      <c r="C34">
        <v>16</v>
      </c>
      <c r="D34">
        <v>0</v>
      </c>
      <c r="E34">
        <v>0</v>
      </c>
      <c r="F34">
        <v>0</v>
      </c>
      <c r="G34" s="5">
        <v>1.1770833327318542E-2</v>
      </c>
      <c r="H34" t="s">
        <v>111</v>
      </c>
      <c r="I34" t="s">
        <v>112</v>
      </c>
      <c r="J34">
        <v>0</v>
      </c>
      <c r="K34">
        <f t="shared" si="3"/>
        <v>1</v>
      </c>
      <c r="L34">
        <f t="shared" si="4"/>
        <v>17</v>
      </c>
      <c r="M34">
        <f t="shared" si="5"/>
        <v>2</v>
      </c>
      <c r="N34">
        <f t="shared" si="6"/>
        <v>17</v>
      </c>
      <c r="O34">
        <f t="shared" si="7"/>
        <v>0</v>
      </c>
      <c r="P34" t="str">
        <f t="shared" si="8"/>
        <v>達成</v>
      </c>
      <c r="Q34" s="5">
        <f t="shared" si="0"/>
        <v>1.1770833327318542E-2</v>
      </c>
    </row>
    <row r="35" spans="1:17">
      <c r="A35" s="3">
        <v>45972.780532407407</v>
      </c>
      <c r="B35">
        <v>60</v>
      </c>
      <c r="C35">
        <v>29</v>
      </c>
      <c r="D35">
        <v>0</v>
      </c>
      <c r="E35">
        <v>0</v>
      </c>
      <c r="F35">
        <v>0</v>
      </c>
      <c r="G35" s="5">
        <v>9.3750000014551915E-3</v>
      </c>
      <c r="H35" t="s">
        <v>113</v>
      </c>
      <c r="I35" t="s">
        <v>114</v>
      </c>
      <c r="J35">
        <v>0</v>
      </c>
      <c r="K35">
        <f t="shared" si="3"/>
        <v>1</v>
      </c>
      <c r="L35">
        <f t="shared" si="4"/>
        <v>18</v>
      </c>
      <c r="M35">
        <f t="shared" si="5"/>
        <v>2</v>
      </c>
      <c r="N35">
        <f t="shared" si="6"/>
        <v>19</v>
      </c>
      <c r="O35">
        <f t="shared" si="7"/>
        <v>0</v>
      </c>
      <c r="P35" t="str">
        <f t="shared" si="8"/>
        <v>未達成（1）</v>
      </c>
      <c r="Q35" s="5">
        <f t="shared" si="0"/>
        <v>9.3750000014551915E-3</v>
      </c>
    </row>
    <row r="36" spans="1:17">
      <c r="A36" s="3">
        <v>45972.793865740743</v>
      </c>
      <c r="B36">
        <v>60</v>
      </c>
      <c r="C36">
        <v>25</v>
      </c>
      <c r="D36">
        <v>0</v>
      </c>
      <c r="E36">
        <v>0</v>
      </c>
      <c r="F36">
        <v>0</v>
      </c>
      <c r="G36" s="5">
        <v>1.2557870373711921E-2</v>
      </c>
      <c r="H36" t="s">
        <v>115</v>
      </c>
      <c r="I36" t="s">
        <v>116</v>
      </c>
      <c r="J36">
        <v>0</v>
      </c>
      <c r="K36">
        <f t="shared" si="3"/>
        <v>1</v>
      </c>
      <c r="L36">
        <f t="shared" si="4"/>
        <v>19</v>
      </c>
      <c r="M36">
        <f t="shared" si="5"/>
        <v>2</v>
      </c>
      <c r="N36">
        <f t="shared" si="6"/>
        <v>19</v>
      </c>
      <c r="O36">
        <f t="shared" si="7"/>
        <v>0</v>
      </c>
      <c r="P36" t="str">
        <f t="shared" si="8"/>
        <v>達成</v>
      </c>
      <c r="Q36" s="5">
        <f t="shared" si="0"/>
        <v>1.2557870373711921E-2</v>
      </c>
    </row>
    <row r="37" spans="1:17">
      <c r="A37" s="3">
        <v>45973.843310185184</v>
      </c>
      <c r="B37">
        <v>55</v>
      </c>
      <c r="C37">
        <v>21</v>
      </c>
      <c r="D37">
        <v>0</v>
      </c>
      <c r="E37">
        <v>5</v>
      </c>
      <c r="F37">
        <v>3</v>
      </c>
      <c r="G37" s="5">
        <v>1.0891203703067731E-2</v>
      </c>
      <c r="H37" t="s">
        <v>119</v>
      </c>
      <c r="I37" t="s">
        <v>120</v>
      </c>
      <c r="J37">
        <v>0</v>
      </c>
      <c r="K37">
        <f t="shared" si="3"/>
        <v>1</v>
      </c>
      <c r="L37">
        <f t="shared" si="4"/>
        <v>20</v>
      </c>
      <c r="M37">
        <f t="shared" si="5"/>
        <v>2</v>
      </c>
      <c r="N37">
        <f t="shared" si="6"/>
        <v>21</v>
      </c>
      <c r="O37">
        <f t="shared" si="7"/>
        <v>0</v>
      </c>
      <c r="P37" t="str">
        <f t="shared" si="8"/>
        <v>未達成（1）</v>
      </c>
      <c r="Q37" s="5">
        <f t="shared" si="0"/>
        <v>1.0891203703067731E-2</v>
      </c>
    </row>
    <row r="38" spans="1:17">
      <c r="A38" s="3">
        <v>45973.856666666667</v>
      </c>
      <c r="B38">
        <v>60</v>
      </c>
      <c r="C38">
        <v>27</v>
      </c>
      <c r="D38">
        <v>0</v>
      </c>
      <c r="E38">
        <v>0</v>
      </c>
      <c r="F38">
        <v>0</v>
      </c>
      <c r="G38" s="5">
        <v>1.0324074071832001E-2</v>
      </c>
      <c r="H38" t="s">
        <v>117</v>
      </c>
      <c r="I38" t="s">
        <v>118</v>
      </c>
      <c r="J38">
        <v>0</v>
      </c>
      <c r="K38">
        <f t="shared" si="3"/>
        <v>1</v>
      </c>
      <c r="L38">
        <f t="shared" si="4"/>
        <v>21</v>
      </c>
      <c r="M38">
        <f t="shared" si="5"/>
        <v>2</v>
      </c>
      <c r="N38">
        <f t="shared" si="6"/>
        <v>21</v>
      </c>
      <c r="O38">
        <f t="shared" si="7"/>
        <v>0</v>
      </c>
      <c r="P38" t="str">
        <f t="shared" si="8"/>
        <v>達成</v>
      </c>
      <c r="Q38" s="5">
        <f t="shared" si="0"/>
        <v>1.0324074071832001E-2</v>
      </c>
    </row>
    <row r="39" spans="1:17">
      <c r="A39" s="3">
        <v>45975.317916666667</v>
      </c>
      <c r="B39">
        <v>60</v>
      </c>
      <c r="C39">
        <v>14</v>
      </c>
      <c r="D39">
        <v>0</v>
      </c>
      <c r="E39">
        <v>0</v>
      </c>
      <c r="F39">
        <v>0</v>
      </c>
      <c r="G39" s="5">
        <v>1.0081018517666962E-2</v>
      </c>
      <c r="H39" t="s">
        <v>121</v>
      </c>
      <c r="I39" t="s">
        <v>122</v>
      </c>
      <c r="J39">
        <v>0</v>
      </c>
      <c r="K39">
        <f t="shared" si="3"/>
        <v>1</v>
      </c>
      <c r="L39">
        <f t="shared" si="4"/>
        <v>22</v>
      </c>
      <c r="M39">
        <f t="shared" si="5"/>
        <v>2</v>
      </c>
      <c r="N39">
        <f t="shared" si="6"/>
        <v>25</v>
      </c>
      <c r="O39">
        <f t="shared" si="7"/>
        <v>0</v>
      </c>
      <c r="P39" t="str">
        <f t="shared" si="8"/>
        <v>未達成（3）</v>
      </c>
      <c r="Q39" s="5">
        <f t="shared" si="0"/>
        <v>1.0081018517666962E-2</v>
      </c>
    </row>
    <row r="40" spans="1:17">
      <c r="A40" s="3">
        <v>45975.32885416667</v>
      </c>
      <c r="B40">
        <v>60</v>
      </c>
      <c r="C40">
        <v>21</v>
      </c>
      <c r="D40">
        <v>0</v>
      </c>
      <c r="E40">
        <v>0</v>
      </c>
      <c r="F40">
        <v>0</v>
      </c>
      <c r="G40" s="5">
        <v>1.0335648148611654E-2</v>
      </c>
      <c r="H40" t="s">
        <v>123</v>
      </c>
      <c r="I40" t="s">
        <v>124</v>
      </c>
      <c r="J40">
        <v>0</v>
      </c>
      <c r="K40">
        <f t="shared" si="3"/>
        <v>1</v>
      </c>
      <c r="L40">
        <f t="shared" si="4"/>
        <v>23</v>
      </c>
      <c r="M40">
        <f t="shared" si="5"/>
        <v>2</v>
      </c>
      <c r="N40">
        <f t="shared" si="6"/>
        <v>25</v>
      </c>
      <c r="O40">
        <f t="shared" si="7"/>
        <v>0</v>
      </c>
      <c r="P40" t="str">
        <f t="shared" si="8"/>
        <v>未達成（2）</v>
      </c>
      <c r="Q40" s="5">
        <f t="shared" si="0"/>
        <v>1.0335648148611654E-2</v>
      </c>
    </row>
    <row r="41" spans="1:17">
      <c r="A41" s="3">
        <v>45976.853715277779</v>
      </c>
      <c r="B41">
        <v>60</v>
      </c>
      <c r="C41">
        <v>33</v>
      </c>
      <c r="D41">
        <v>0</v>
      </c>
      <c r="E41">
        <v>0</v>
      </c>
      <c r="F41">
        <v>0</v>
      </c>
      <c r="G41" s="5">
        <v>8.3912037080153823E-3</v>
      </c>
      <c r="H41" t="s">
        <v>125</v>
      </c>
      <c r="I41" t="s">
        <v>126</v>
      </c>
      <c r="J41">
        <v>0</v>
      </c>
      <c r="K41">
        <f t="shared" si="3"/>
        <v>1</v>
      </c>
      <c r="L41">
        <f t="shared" si="4"/>
        <v>24</v>
      </c>
      <c r="M41">
        <f t="shared" si="5"/>
        <v>2</v>
      </c>
      <c r="N41">
        <f t="shared" si="6"/>
        <v>27</v>
      </c>
      <c r="O41">
        <f t="shared" si="7"/>
        <v>0</v>
      </c>
      <c r="P41" t="str">
        <f t="shared" si="8"/>
        <v>未達成（3）</v>
      </c>
      <c r="Q41" s="5">
        <f t="shared" si="0"/>
        <v>8.3912037080153823E-3</v>
      </c>
    </row>
    <row r="42" spans="1:17">
      <c r="A42" s="3">
        <v>45976.862627314818</v>
      </c>
      <c r="B42">
        <v>60</v>
      </c>
      <c r="C42">
        <v>11</v>
      </c>
      <c r="D42">
        <v>0</v>
      </c>
      <c r="E42">
        <v>0</v>
      </c>
      <c r="F42">
        <v>0</v>
      </c>
      <c r="G42" s="5">
        <v>8.4722222236450762E-3</v>
      </c>
      <c r="H42" t="s">
        <v>127</v>
      </c>
      <c r="I42" t="s">
        <v>128</v>
      </c>
      <c r="J42">
        <v>0</v>
      </c>
      <c r="K42">
        <f t="shared" si="3"/>
        <v>1</v>
      </c>
      <c r="L42">
        <f t="shared" si="4"/>
        <v>25</v>
      </c>
      <c r="M42">
        <f t="shared" si="5"/>
        <v>2</v>
      </c>
      <c r="N42">
        <f t="shared" si="6"/>
        <v>27</v>
      </c>
      <c r="O42">
        <f t="shared" si="7"/>
        <v>0</v>
      </c>
      <c r="P42" t="str">
        <f t="shared" si="8"/>
        <v>未達成（2）</v>
      </c>
      <c r="Q42" s="5">
        <f t="shared" si="0"/>
        <v>8.4722222236450762E-3</v>
      </c>
    </row>
    <row r="43" spans="1:17">
      <c r="A43" s="3">
        <v>45977.309733796297</v>
      </c>
      <c r="B43">
        <v>60</v>
      </c>
      <c r="C43">
        <v>19</v>
      </c>
      <c r="D43">
        <v>0</v>
      </c>
      <c r="E43">
        <v>0</v>
      </c>
      <c r="F43">
        <v>0</v>
      </c>
      <c r="G43" s="5">
        <v>7.7546296306536533E-3</v>
      </c>
      <c r="H43" t="s">
        <v>129</v>
      </c>
      <c r="I43" t="s">
        <v>130</v>
      </c>
      <c r="J43">
        <v>0</v>
      </c>
      <c r="K43">
        <f t="shared" si="3"/>
        <v>1</v>
      </c>
      <c r="L43">
        <f t="shared" si="4"/>
        <v>26</v>
      </c>
      <c r="M43">
        <f t="shared" si="5"/>
        <v>2</v>
      </c>
      <c r="N43">
        <f t="shared" si="6"/>
        <v>29</v>
      </c>
      <c r="O43">
        <f t="shared" si="7"/>
        <v>0</v>
      </c>
      <c r="P43" t="str">
        <f t="shared" si="8"/>
        <v>未達成（3）</v>
      </c>
      <c r="Q43" s="5">
        <f t="shared" si="0"/>
        <v>7.7546296306536533E-3</v>
      </c>
    </row>
    <row r="44" spans="1:17">
      <c r="A44" s="3">
        <v>45977.319560185184</v>
      </c>
      <c r="B44">
        <v>60</v>
      </c>
      <c r="C44">
        <v>24</v>
      </c>
      <c r="D44">
        <v>0</v>
      </c>
      <c r="E44">
        <v>0</v>
      </c>
      <c r="F44">
        <v>0</v>
      </c>
      <c r="G44" s="5">
        <v>8.5300925929914229E-3</v>
      </c>
      <c r="H44" t="s">
        <v>131</v>
      </c>
      <c r="I44" t="s">
        <v>132</v>
      </c>
      <c r="J44">
        <v>0</v>
      </c>
      <c r="K44">
        <f t="shared" si="3"/>
        <v>1</v>
      </c>
      <c r="L44">
        <f t="shared" si="4"/>
        <v>27</v>
      </c>
      <c r="M44">
        <f t="shared" si="5"/>
        <v>2</v>
      </c>
      <c r="N44">
        <f t="shared" si="6"/>
        <v>29</v>
      </c>
      <c r="O44">
        <f t="shared" si="7"/>
        <v>0</v>
      </c>
      <c r="P44" t="str">
        <f t="shared" si="8"/>
        <v>未達成（2）</v>
      </c>
      <c r="Q44" s="5">
        <f t="shared" si="0"/>
        <v>8.5300925929914229E-3</v>
      </c>
    </row>
    <row r="45" spans="1:17">
      <c r="A45" s="3">
        <v>45977.560624999998</v>
      </c>
      <c r="B45">
        <v>60</v>
      </c>
      <c r="C45">
        <v>32</v>
      </c>
      <c r="D45">
        <v>0</v>
      </c>
      <c r="E45">
        <v>0</v>
      </c>
      <c r="F45">
        <v>0</v>
      </c>
      <c r="G45" s="5">
        <v>8.9004629626288079E-3</v>
      </c>
      <c r="H45" t="s">
        <v>133</v>
      </c>
      <c r="I45" t="s">
        <v>134</v>
      </c>
      <c r="J45">
        <v>0</v>
      </c>
      <c r="K45">
        <f t="shared" si="3"/>
        <v>1</v>
      </c>
      <c r="L45">
        <f t="shared" si="4"/>
        <v>28</v>
      </c>
      <c r="M45">
        <f t="shared" si="5"/>
        <v>2</v>
      </c>
      <c r="N45">
        <f t="shared" si="6"/>
        <v>29</v>
      </c>
      <c r="O45">
        <f t="shared" si="7"/>
        <v>0</v>
      </c>
      <c r="P45" t="str">
        <f t="shared" si="8"/>
        <v>未達成（1）</v>
      </c>
      <c r="Q45" s="5">
        <f t="shared" si="0"/>
        <v>8.9004629626288079E-3</v>
      </c>
    </row>
    <row r="46" spans="1:17">
      <c r="A46" s="3">
        <v>45977.569733796299</v>
      </c>
      <c r="B46">
        <v>60</v>
      </c>
      <c r="C46">
        <v>12</v>
      </c>
      <c r="D46">
        <v>0</v>
      </c>
      <c r="E46">
        <v>0</v>
      </c>
      <c r="F46">
        <v>0</v>
      </c>
      <c r="G46" s="5">
        <v>7.6967592613073066E-3</v>
      </c>
      <c r="H46" t="s">
        <v>135</v>
      </c>
      <c r="I46" t="s">
        <v>136</v>
      </c>
      <c r="J46">
        <v>0</v>
      </c>
      <c r="K46">
        <f t="shared" si="3"/>
        <v>1</v>
      </c>
      <c r="L46">
        <f t="shared" si="4"/>
        <v>29</v>
      </c>
      <c r="M46">
        <f t="shared" si="5"/>
        <v>2</v>
      </c>
      <c r="N46">
        <f t="shared" si="6"/>
        <v>29</v>
      </c>
      <c r="O46">
        <f t="shared" si="7"/>
        <v>0</v>
      </c>
      <c r="P46" t="str">
        <f t="shared" si="8"/>
        <v>達成</v>
      </c>
      <c r="Q46" s="5">
        <f t="shared" si="0"/>
        <v>7.6967592613073066E-3</v>
      </c>
    </row>
    <row r="47" spans="1:17">
      <c r="A47" s="3">
        <v>45977.856840277775</v>
      </c>
      <c r="B47">
        <v>60</v>
      </c>
      <c r="C47">
        <v>31</v>
      </c>
      <c r="D47">
        <v>0</v>
      </c>
      <c r="E47">
        <v>0</v>
      </c>
      <c r="F47">
        <v>0</v>
      </c>
      <c r="G47" s="5">
        <v>5.7870370364980772E-3</v>
      </c>
      <c r="H47" t="s">
        <v>137</v>
      </c>
      <c r="I47" t="s">
        <v>138</v>
      </c>
      <c r="J47">
        <v>0</v>
      </c>
      <c r="K47">
        <f t="shared" si="3"/>
        <v>1</v>
      </c>
      <c r="L47">
        <f t="shared" si="4"/>
        <v>30</v>
      </c>
      <c r="M47">
        <f t="shared" si="5"/>
        <v>2</v>
      </c>
      <c r="N47">
        <f t="shared" si="6"/>
        <v>29</v>
      </c>
      <c r="O47">
        <f t="shared" si="7"/>
        <v>0</v>
      </c>
      <c r="P47" t="str">
        <f t="shared" si="8"/>
        <v>前倒し（1）</v>
      </c>
      <c r="Q47" s="5">
        <f t="shared" si="0"/>
        <v>5.7870370364980772E-3</v>
      </c>
    </row>
    <row r="48" spans="1:17">
      <c r="A48" s="3">
        <v>45977.87672453704</v>
      </c>
      <c r="B48">
        <v>60</v>
      </c>
      <c r="C48">
        <v>28</v>
      </c>
      <c r="D48">
        <v>0</v>
      </c>
      <c r="E48">
        <v>0</v>
      </c>
      <c r="F48">
        <v>0</v>
      </c>
      <c r="G48" s="5">
        <v>7.291666668606922E-3</v>
      </c>
      <c r="H48" t="s">
        <v>139</v>
      </c>
      <c r="I48" t="s">
        <v>140</v>
      </c>
      <c r="J48">
        <v>0</v>
      </c>
      <c r="K48">
        <f t="shared" si="3"/>
        <v>1</v>
      </c>
      <c r="L48">
        <f t="shared" si="4"/>
        <v>31</v>
      </c>
      <c r="M48">
        <f t="shared" si="5"/>
        <v>2</v>
      </c>
      <c r="N48">
        <f t="shared" si="6"/>
        <v>29</v>
      </c>
      <c r="O48">
        <f t="shared" si="7"/>
        <v>0</v>
      </c>
      <c r="P48" t="str">
        <f t="shared" si="8"/>
        <v>前倒し（2）</v>
      </c>
      <c r="Q48" s="5">
        <f t="shared" si="0"/>
        <v>7.291666668606922E-3</v>
      </c>
    </row>
    <row r="49" spans="1:17">
      <c r="A49" s="3">
        <v>45978.468275462961</v>
      </c>
      <c r="B49">
        <v>60</v>
      </c>
      <c r="C49">
        <v>23</v>
      </c>
      <c r="D49">
        <v>0</v>
      </c>
      <c r="E49">
        <v>0</v>
      </c>
      <c r="F49">
        <v>0</v>
      </c>
      <c r="G49" s="5">
        <v>5.277777774608694E-3</v>
      </c>
      <c r="H49" t="s">
        <v>141</v>
      </c>
      <c r="I49" t="s">
        <v>142</v>
      </c>
      <c r="J49">
        <v>0</v>
      </c>
      <c r="K49">
        <f t="shared" si="3"/>
        <v>1</v>
      </c>
      <c r="L49">
        <f t="shared" si="4"/>
        <v>32</v>
      </c>
      <c r="M49">
        <f t="shared" si="5"/>
        <v>2</v>
      </c>
      <c r="N49">
        <f t="shared" si="6"/>
        <v>31</v>
      </c>
      <c r="O49">
        <f t="shared" si="7"/>
        <v>0</v>
      </c>
      <c r="P49" t="str">
        <f t="shared" si="8"/>
        <v>前倒し（1）</v>
      </c>
      <c r="Q49" s="5">
        <f t="shared" si="0"/>
        <v>5.277777774608694E-3</v>
      </c>
    </row>
    <row r="50" spans="1:17">
      <c r="A50" s="3">
        <v>45978.476666666669</v>
      </c>
      <c r="B50">
        <v>60</v>
      </c>
      <c r="C50">
        <v>18</v>
      </c>
      <c r="D50">
        <v>0</v>
      </c>
      <c r="E50">
        <v>0</v>
      </c>
      <c r="F50">
        <v>0</v>
      </c>
      <c r="G50" s="5">
        <v>6.8518518528435379E-3</v>
      </c>
      <c r="H50" t="s">
        <v>143</v>
      </c>
      <c r="I50" t="s">
        <v>144</v>
      </c>
      <c r="J50">
        <v>0</v>
      </c>
      <c r="K50">
        <f t="shared" si="3"/>
        <v>1</v>
      </c>
      <c r="L50">
        <f t="shared" si="4"/>
        <v>33</v>
      </c>
      <c r="M50">
        <f t="shared" si="5"/>
        <v>2</v>
      </c>
      <c r="N50">
        <f t="shared" si="6"/>
        <v>31</v>
      </c>
      <c r="O50">
        <f t="shared" si="7"/>
        <v>0</v>
      </c>
      <c r="P50" t="str">
        <f t="shared" si="8"/>
        <v>前倒し（2）</v>
      </c>
      <c r="Q50" s="5">
        <f t="shared" si="0"/>
        <v>6.8518518528435379E-3</v>
      </c>
    </row>
    <row r="51" spans="1:17">
      <c r="A51" s="3">
        <v>45978.71597222222</v>
      </c>
      <c r="B51">
        <v>60</v>
      </c>
      <c r="C51">
        <v>25</v>
      </c>
      <c r="D51">
        <v>0</v>
      </c>
      <c r="E51">
        <v>0</v>
      </c>
      <c r="F51">
        <v>0</v>
      </c>
      <c r="G51" s="5">
        <v>8.4027777775190771E-3</v>
      </c>
      <c r="H51" t="s">
        <v>145</v>
      </c>
      <c r="I51" t="s">
        <v>146</v>
      </c>
      <c r="J51">
        <v>0</v>
      </c>
      <c r="K51">
        <f t="shared" si="3"/>
        <v>1</v>
      </c>
      <c r="L51">
        <f t="shared" si="4"/>
        <v>34</v>
      </c>
      <c r="M51">
        <f t="shared" si="5"/>
        <v>2</v>
      </c>
      <c r="N51">
        <f t="shared" si="6"/>
        <v>31</v>
      </c>
      <c r="O51">
        <f t="shared" si="7"/>
        <v>0</v>
      </c>
      <c r="P51" t="str">
        <f t="shared" si="8"/>
        <v>前倒し（3）</v>
      </c>
      <c r="Q51" s="5">
        <f t="shared" si="0"/>
        <v>8.4027777775190771E-3</v>
      </c>
    </row>
    <row r="52" spans="1:17">
      <c r="A52" s="3">
        <v>45978.727893518517</v>
      </c>
      <c r="B52">
        <v>60</v>
      </c>
      <c r="C52">
        <v>28</v>
      </c>
      <c r="D52">
        <v>0</v>
      </c>
      <c r="E52">
        <v>0</v>
      </c>
      <c r="F52">
        <v>0</v>
      </c>
      <c r="G52" s="5">
        <v>1.1284722218988463E-2</v>
      </c>
      <c r="H52" t="s">
        <v>147</v>
      </c>
      <c r="I52" t="s">
        <v>148</v>
      </c>
      <c r="J52">
        <v>0</v>
      </c>
      <c r="K52">
        <f t="shared" si="3"/>
        <v>1</v>
      </c>
      <c r="L52">
        <f t="shared" si="4"/>
        <v>35</v>
      </c>
      <c r="M52">
        <f t="shared" si="5"/>
        <v>2</v>
      </c>
      <c r="N52">
        <f t="shared" si="6"/>
        <v>31</v>
      </c>
      <c r="O52">
        <f t="shared" si="7"/>
        <v>0</v>
      </c>
      <c r="P52" t="str">
        <f t="shared" si="8"/>
        <v>前倒し（4）</v>
      </c>
      <c r="Q52" s="5">
        <f t="shared" si="0"/>
        <v>1.1284722218988463E-2</v>
      </c>
    </row>
    <row r="53" spans="1:17">
      <c r="A53" s="3">
        <v>45980.706655092596</v>
      </c>
      <c r="B53">
        <v>60</v>
      </c>
      <c r="C53">
        <v>17</v>
      </c>
      <c r="D53">
        <v>0</v>
      </c>
      <c r="E53">
        <v>0</v>
      </c>
      <c r="F53">
        <v>0</v>
      </c>
      <c r="G53" s="5">
        <v>6.4004629675764591E-3</v>
      </c>
      <c r="H53" t="s">
        <v>149</v>
      </c>
      <c r="I53" t="s">
        <v>150</v>
      </c>
      <c r="J53">
        <v>0</v>
      </c>
      <c r="K53">
        <f t="shared" si="3"/>
        <v>1</v>
      </c>
      <c r="L53">
        <f t="shared" si="4"/>
        <v>36</v>
      </c>
      <c r="M53">
        <f t="shared" si="5"/>
        <v>2</v>
      </c>
      <c r="N53">
        <f t="shared" si="6"/>
        <v>35</v>
      </c>
      <c r="O53">
        <f t="shared" si="7"/>
        <v>0</v>
      </c>
      <c r="P53" t="str">
        <f t="shared" si="8"/>
        <v>前倒し（1）</v>
      </c>
      <c r="Q53" s="5">
        <f t="shared" si="0"/>
        <v>6.4004629675764591E-3</v>
      </c>
    </row>
    <row r="54" spans="1:17">
      <c r="A54" s="3">
        <v>45980.717303240737</v>
      </c>
      <c r="B54">
        <v>60</v>
      </c>
      <c r="C54">
        <v>18</v>
      </c>
      <c r="D54">
        <v>0</v>
      </c>
      <c r="E54">
        <v>0</v>
      </c>
      <c r="F54">
        <v>0</v>
      </c>
      <c r="G54" s="5">
        <v>1.0150462956517003E-2</v>
      </c>
      <c r="H54" t="s">
        <v>151</v>
      </c>
      <c r="I54" t="s">
        <v>152</v>
      </c>
      <c r="J54">
        <v>0</v>
      </c>
      <c r="K54">
        <f t="shared" si="3"/>
        <v>1</v>
      </c>
      <c r="L54">
        <f t="shared" si="4"/>
        <v>37</v>
      </c>
      <c r="M54">
        <f t="shared" si="5"/>
        <v>2</v>
      </c>
      <c r="N54">
        <f t="shared" si="6"/>
        <v>35</v>
      </c>
      <c r="O54">
        <f t="shared" si="7"/>
        <v>0</v>
      </c>
      <c r="P54" t="str">
        <f t="shared" si="8"/>
        <v>前倒し（2）</v>
      </c>
      <c r="Q54" s="5">
        <f t="shared" si="0"/>
        <v>1.0150462956517003E-2</v>
      </c>
    </row>
    <row r="55" spans="1:17">
      <c r="A55" s="3">
        <v>45981.721944444442</v>
      </c>
      <c r="B55">
        <v>60</v>
      </c>
      <c r="C55">
        <v>10</v>
      </c>
      <c r="D55">
        <v>0</v>
      </c>
      <c r="E55">
        <v>0</v>
      </c>
      <c r="F55">
        <v>0</v>
      </c>
      <c r="G55" s="5">
        <v>7.8125E-3</v>
      </c>
      <c r="H55" t="s">
        <v>153</v>
      </c>
      <c r="I55" t="s">
        <v>154</v>
      </c>
      <c r="J55">
        <v>0</v>
      </c>
      <c r="K55">
        <f t="shared" si="3"/>
        <v>1</v>
      </c>
      <c r="L55">
        <f t="shared" si="4"/>
        <v>38</v>
      </c>
      <c r="M55">
        <f t="shared" si="5"/>
        <v>2</v>
      </c>
      <c r="N55">
        <f t="shared" si="6"/>
        <v>37</v>
      </c>
      <c r="O55">
        <f t="shared" si="7"/>
        <v>0</v>
      </c>
      <c r="P55" t="str">
        <f t="shared" si="8"/>
        <v>前倒し（1）</v>
      </c>
      <c r="Q55" s="5">
        <f t="shared" si="0"/>
        <v>7.8125E-3</v>
      </c>
    </row>
    <row r="56" spans="1:17">
      <c r="A56" s="3">
        <v>45981.741168981483</v>
      </c>
      <c r="B56">
        <v>60</v>
      </c>
      <c r="C56">
        <v>16</v>
      </c>
      <c r="D56">
        <v>0</v>
      </c>
      <c r="E56">
        <v>0</v>
      </c>
      <c r="F56">
        <v>0</v>
      </c>
      <c r="G56" s="5">
        <v>1.8877314818382729E-2</v>
      </c>
      <c r="H56" t="s">
        <v>155</v>
      </c>
      <c r="I56" t="s">
        <v>156</v>
      </c>
      <c r="J56">
        <v>0</v>
      </c>
      <c r="K56">
        <f t="shared" si="3"/>
        <v>0</v>
      </c>
      <c r="L56">
        <f t="shared" si="4"/>
        <v>38</v>
      </c>
      <c r="M56">
        <f t="shared" si="5"/>
        <v>2</v>
      </c>
      <c r="N56">
        <f t="shared" si="6"/>
        <v>37</v>
      </c>
      <c r="O56">
        <f t="shared" si="7"/>
        <v>0</v>
      </c>
      <c r="P56" t="str">
        <f t="shared" si="8"/>
        <v>前倒し（1）</v>
      </c>
      <c r="Q56" s="5">
        <f t="shared" si="0"/>
        <v>1.8877314818382729E-2</v>
      </c>
    </row>
    <row r="57" spans="1:17">
      <c r="A57" s="3">
        <v>45982.730763888889</v>
      </c>
      <c r="B57">
        <v>60</v>
      </c>
      <c r="C57">
        <v>20</v>
      </c>
      <c r="D57">
        <v>0</v>
      </c>
      <c r="E57">
        <v>0</v>
      </c>
      <c r="F57">
        <v>0</v>
      </c>
      <c r="G57" s="5">
        <v>9.29398147854954E-3</v>
      </c>
      <c r="H57" t="s">
        <v>157</v>
      </c>
      <c r="I57" t="s">
        <v>158</v>
      </c>
      <c r="J57">
        <v>0</v>
      </c>
      <c r="K57">
        <f t="shared" si="3"/>
        <v>1</v>
      </c>
      <c r="L57">
        <f t="shared" si="4"/>
        <v>39</v>
      </c>
      <c r="M57">
        <f t="shared" si="5"/>
        <v>2</v>
      </c>
      <c r="N57">
        <f t="shared" si="6"/>
        <v>39</v>
      </c>
      <c r="O57">
        <f t="shared" si="7"/>
        <v>0</v>
      </c>
      <c r="P57" t="str">
        <f t="shared" si="8"/>
        <v>達成</v>
      </c>
      <c r="Q57" s="5">
        <f t="shared" si="0"/>
        <v>9.29398147854954E-3</v>
      </c>
    </row>
    <row r="58" spans="1:17">
      <c r="A58" s="3">
        <v>45983.588194444441</v>
      </c>
      <c r="B58">
        <v>60</v>
      </c>
      <c r="C58">
        <v>15</v>
      </c>
      <c r="D58">
        <v>0</v>
      </c>
      <c r="E58">
        <v>0</v>
      </c>
      <c r="F58">
        <v>0</v>
      </c>
      <c r="G58" s="5">
        <v>9.7453703638166189E-3</v>
      </c>
      <c r="H58" t="s">
        <v>159</v>
      </c>
      <c r="I58" t="s">
        <v>160</v>
      </c>
      <c r="J58">
        <v>0</v>
      </c>
      <c r="K58">
        <f t="shared" si="3"/>
        <v>1</v>
      </c>
      <c r="L58">
        <f t="shared" si="4"/>
        <v>40</v>
      </c>
      <c r="M58">
        <f t="shared" si="5"/>
        <v>2</v>
      </c>
      <c r="N58">
        <f t="shared" si="6"/>
        <v>41</v>
      </c>
      <c r="O58">
        <f t="shared" si="7"/>
        <v>0</v>
      </c>
      <c r="P58" t="str">
        <f t="shared" si="8"/>
        <v>未達成（1）</v>
      </c>
      <c r="Q58" s="5">
        <f t="shared" si="0"/>
        <v>9.7453703638166189E-3</v>
      </c>
    </row>
    <row r="59" spans="1:17">
      <c r="A59" s="3">
        <v>45983.599224537036</v>
      </c>
      <c r="B59">
        <v>60</v>
      </c>
      <c r="C59">
        <v>20</v>
      </c>
      <c r="D59">
        <v>0</v>
      </c>
      <c r="E59">
        <v>0</v>
      </c>
      <c r="F59">
        <v>0</v>
      </c>
      <c r="G59" s="5">
        <v>1.0347222218115348E-2</v>
      </c>
      <c r="H59" t="s">
        <v>161</v>
      </c>
      <c r="I59" t="s">
        <v>162</v>
      </c>
      <c r="J59">
        <v>0</v>
      </c>
      <c r="K59">
        <f t="shared" si="3"/>
        <v>1</v>
      </c>
      <c r="L59">
        <f t="shared" si="4"/>
        <v>41</v>
      </c>
      <c r="M59">
        <f t="shared" si="5"/>
        <v>2</v>
      </c>
      <c r="N59">
        <f t="shared" si="6"/>
        <v>41</v>
      </c>
      <c r="O59">
        <f t="shared" si="7"/>
        <v>0</v>
      </c>
      <c r="P59" t="str">
        <f t="shared" si="8"/>
        <v>達成</v>
      </c>
      <c r="Q59" s="5">
        <f t="shared" si="0"/>
        <v>1.0347222218115348E-2</v>
      </c>
    </row>
    <row r="60" spans="1:17">
      <c r="A60" s="3">
        <v>45985.354814814818</v>
      </c>
      <c r="B60">
        <v>60</v>
      </c>
      <c r="C60">
        <v>7</v>
      </c>
      <c r="D60">
        <v>0</v>
      </c>
      <c r="E60">
        <v>0</v>
      </c>
      <c r="F60">
        <v>0</v>
      </c>
      <c r="G60" s="5">
        <v>7.2453703760402277E-3</v>
      </c>
      <c r="H60" t="s">
        <v>164</v>
      </c>
      <c r="I60" t="s">
        <v>165</v>
      </c>
      <c r="J60">
        <v>0</v>
      </c>
      <c r="K60">
        <f t="shared" si="3"/>
        <v>1</v>
      </c>
      <c r="L60">
        <f t="shared" si="4"/>
        <v>42</v>
      </c>
      <c r="M60">
        <f t="shared" si="5"/>
        <v>2</v>
      </c>
      <c r="N60">
        <f t="shared" si="6"/>
        <v>45</v>
      </c>
      <c r="O60">
        <f t="shared" si="7"/>
        <v>0</v>
      </c>
      <c r="P60" t="str">
        <f t="shared" si="8"/>
        <v>未達成（3）</v>
      </c>
      <c r="Q60" s="5">
        <f t="shared" si="0"/>
        <v>7.2453703760402277E-3</v>
      </c>
    </row>
    <row r="61" spans="1:17">
      <c r="A61" s="3">
        <v>45985.363796296297</v>
      </c>
      <c r="B61">
        <v>54</v>
      </c>
      <c r="C61">
        <v>20</v>
      </c>
      <c r="D61">
        <v>0</v>
      </c>
      <c r="E61">
        <v>6</v>
      </c>
      <c r="F61">
        <v>0</v>
      </c>
      <c r="G61" s="5">
        <v>8.3101851851097308E-3</v>
      </c>
      <c r="H61" t="s">
        <v>166</v>
      </c>
      <c r="I61" t="s">
        <v>167</v>
      </c>
      <c r="J61">
        <v>0</v>
      </c>
      <c r="K61">
        <f t="shared" si="3"/>
        <v>0</v>
      </c>
      <c r="L61">
        <f t="shared" si="4"/>
        <v>42</v>
      </c>
      <c r="M61">
        <f t="shared" si="5"/>
        <v>2</v>
      </c>
      <c r="N61">
        <f t="shared" si="6"/>
        <v>45</v>
      </c>
      <c r="O61">
        <f t="shared" si="7"/>
        <v>0</v>
      </c>
      <c r="P61" t="str">
        <f t="shared" si="8"/>
        <v>未達成（3）</v>
      </c>
      <c r="Q61" s="5">
        <f t="shared" si="0"/>
        <v>8.3101851851097308E-3</v>
      </c>
    </row>
    <row r="62" spans="1:17">
      <c r="A62" s="3">
        <v>45985.538761574076</v>
      </c>
      <c r="B62">
        <v>60</v>
      </c>
      <c r="C62">
        <v>36</v>
      </c>
      <c r="D62">
        <v>1</v>
      </c>
      <c r="E62">
        <v>0</v>
      </c>
      <c r="F62">
        <v>0</v>
      </c>
      <c r="G62" s="5">
        <v>8.5069444467080757E-3</v>
      </c>
      <c r="H62" t="s">
        <v>168</v>
      </c>
      <c r="I62" t="s">
        <v>169</v>
      </c>
      <c r="J62">
        <v>0</v>
      </c>
      <c r="K62">
        <f t="shared" si="3"/>
        <v>0</v>
      </c>
      <c r="L62">
        <f t="shared" si="4"/>
        <v>42</v>
      </c>
      <c r="M62">
        <f t="shared" si="5"/>
        <v>2</v>
      </c>
      <c r="N62">
        <f t="shared" si="6"/>
        <v>45</v>
      </c>
      <c r="O62">
        <f t="shared" si="7"/>
        <v>0</v>
      </c>
      <c r="P62" t="str">
        <f t="shared" si="8"/>
        <v>未達成（3）</v>
      </c>
      <c r="Q62" s="5">
        <f t="shared" si="0"/>
        <v>8.5069444467080757E-3</v>
      </c>
    </row>
    <row r="63" spans="1:17">
      <c r="A63" s="3">
        <v>45985.598680555559</v>
      </c>
      <c r="B63">
        <v>60</v>
      </c>
      <c r="C63">
        <v>6</v>
      </c>
      <c r="D63">
        <v>0</v>
      </c>
      <c r="E63">
        <v>0</v>
      </c>
      <c r="F63">
        <v>0</v>
      </c>
      <c r="G63" s="5">
        <v>1.0196759263635613E-2</v>
      </c>
      <c r="H63" t="s">
        <v>176</v>
      </c>
      <c r="I63" t="s">
        <v>177</v>
      </c>
      <c r="J63">
        <v>0</v>
      </c>
      <c r="K63">
        <f t="shared" si="3"/>
        <v>1</v>
      </c>
      <c r="L63">
        <f t="shared" si="4"/>
        <v>43</v>
      </c>
      <c r="M63">
        <f t="shared" si="5"/>
        <v>2</v>
      </c>
      <c r="N63">
        <f t="shared" si="6"/>
        <v>45</v>
      </c>
      <c r="O63">
        <f t="shared" si="7"/>
        <v>0</v>
      </c>
      <c r="P63" t="str">
        <f t="shared" si="8"/>
        <v>未達成（2）</v>
      </c>
      <c r="Q63" s="5">
        <f t="shared" si="0"/>
        <v>1.0196759263635613E-2</v>
      </c>
    </row>
    <row r="64" spans="1:17">
      <c r="A64" s="3">
        <v>45985.709016203706</v>
      </c>
      <c r="B64">
        <v>60</v>
      </c>
      <c r="C64">
        <v>21</v>
      </c>
      <c r="D64">
        <v>0</v>
      </c>
      <c r="E64">
        <v>0</v>
      </c>
      <c r="F64">
        <v>0</v>
      </c>
      <c r="G64" s="5">
        <v>5.7175925976480357E-3</v>
      </c>
      <c r="H64" t="s">
        <v>179</v>
      </c>
      <c r="I64" t="s">
        <v>180</v>
      </c>
      <c r="J64">
        <v>0</v>
      </c>
      <c r="K64">
        <f t="shared" si="3"/>
        <v>2</v>
      </c>
      <c r="L64">
        <f t="shared" si="4"/>
        <v>45</v>
      </c>
      <c r="M64">
        <f t="shared" si="5"/>
        <v>2</v>
      </c>
      <c r="N64">
        <f t="shared" si="6"/>
        <v>45</v>
      </c>
      <c r="O64">
        <f t="shared" si="7"/>
        <v>0</v>
      </c>
      <c r="P64" t="str">
        <f t="shared" si="8"/>
        <v>達成</v>
      </c>
      <c r="Q64" s="5">
        <f t="shared" si="0"/>
        <v>5.7175925976480357E-3</v>
      </c>
    </row>
    <row r="65" spans="1:17">
      <c r="A65" s="3">
        <v>45986.535011574073</v>
      </c>
      <c r="B65">
        <v>60</v>
      </c>
      <c r="C65">
        <v>41</v>
      </c>
      <c r="D65">
        <v>0</v>
      </c>
      <c r="E65">
        <v>0</v>
      </c>
      <c r="F65">
        <v>0</v>
      </c>
      <c r="G65" s="5">
        <v>6.701388891087845E-3</v>
      </c>
      <c r="H65" t="s">
        <v>181</v>
      </c>
      <c r="I65" t="s">
        <v>182</v>
      </c>
      <c r="J65">
        <v>0</v>
      </c>
      <c r="K65">
        <f t="shared" si="3"/>
        <v>2</v>
      </c>
      <c r="L65">
        <f t="shared" si="4"/>
        <v>47</v>
      </c>
      <c r="M65">
        <f t="shared" si="5"/>
        <v>2</v>
      </c>
      <c r="N65">
        <f t="shared" si="6"/>
        <v>47</v>
      </c>
      <c r="O65">
        <f t="shared" si="7"/>
        <v>0</v>
      </c>
      <c r="P65" t="str">
        <f t="shared" si="8"/>
        <v>達成</v>
      </c>
      <c r="Q65" s="5">
        <f t="shared" si="0"/>
        <v>6.701388891087845E-3</v>
      </c>
    </row>
    <row r="66" spans="1:17">
      <c r="A66" s="3">
        <v>45987.58321759259</v>
      </c>
      <c r="B66">
        <v>57</v>
      </c>
      <c r="C66">
        <v>20</v>
      </c>
      <c r="D66">
        <v>0</v>
      </c>
      <c r="E66">
        <v>3</v>
      </c>
      <c r="F66">
        <v>2</v>
      </c>
      <c r="G66" s="5">
        <v>7.696759254031349E-3</v>
      </c>
      <c r="H66" t="s">
        <v>183</v>
      </c>
      <c r="I66" t="s">
        <v>184</v>
      </c>
      <c r="J66">
        <v>0</v>
      </c>
      <c r="K66">
        <f t="shared" si="3"/>
        <v>0</v>
      </c>
      <c r="L66">
        <f t="shared" si="4"/>
        <v>47</v>
      </c>
      <c r="M66">
        <f t="shared" si="5"/>
        <v>2</v>
      </c>
      <c r="N66">
        <f t="shared" si="6"/>
        <v>49</v>
      </c>
      <c r="O66">
        <f t="shared" si="7"/>
        <v>0</v>
      </c>
      <c r="P66" t="str">
        <f t="shared" si="8"/>
        <v>未達成（2）</v>
      </c>
      <c r="Q66" s="5">
        <f t="shared" si="0"/>
        <v>7.696759254031349E-3</v>
      </c>
    </row>
    <row r="67" spans="1:17">
      <c r="A67" s="3">
        <v>45987.616712962961</v>
      </c>
      <c r="B67">
        <v>60</v>
      </c>
      <c r="C67">
        <v>28</v>
      </c>
      <c r="D67">
        <v>0</v>
      </c>
      <c r="E67">
        <v>0</v>
      </c>
      <c r="F67">
        <v>0</v>
      </c>
      <c r="G67" s="5">
        <v>6.6782407375285402E-3</v>
      </c>
      <c r="H67" t="s">
        <v>185</v>
      </c>
      <c r="I67" t="s">
        <v>186</v>
      </c>
      <c r="J67">
        <v>0</v>
      </c>
      <c r="K67">
        <f t="shared" si="3"/>
        <v>2</v>
      </c>
      <c r="L67">
        <f t="shared" si="4"/>
        <v>49</v>
      </c>
      <c r="M67">
        <f t="shared" si="5"/>
        <v>2</v>
      </c>
      <c r="N67">
        <f t="shared" si="6"/>
        <v>49</v>
      </c>
      <c r="O67">
        <f t="shared" si="7"/>
        <v>0</v>
      </c>
      <c r="P67" t="str">
        <f t="shared" si="8"/>
        <v>達成</v>
      </c>
      <c r="Q67" s="5">
        <f t="shared" si="0"/>
        <v>6.6782407375285402E-3</v>
      </c>
    </row>
    <row r="68" spans="1:17">
      <c r="A68" s="3">
        <v>45988.290625000001</v>
      </c>
      <c r="B68">
        <v>60</v>
      </c>
      <c r="C68">
        <v>25</v>
      </c>
      <c r="D68">
        <v>0</v>
      </c>
      <c r="E68">
        <v>0</v>
      </c>
      <c r="F68">
        <v>0</v>
      </c>
      <c r="G68" s="5">
        <v>1.0150462963792961E-2</v>
      </c>
      <c r="H68" t="s">
        <v>187</v>
      </c>
      <c r="I68" t="s">
        <v>188</v>
      </c>
      <c r="J68">
        <v>0</v>
      </c>
      <c r="K68">
        <f t="shared" si="3"/>
        <v>1</v>
      </c>
      <c r="L68">
        <f t="shared" si="4"/>
        <v>50</v>
      </c>
      <c r="M68">
        <f t="shared" si="5"/>
        <v>2</v>
      </c>
      <c r="N68">
        <f t="shared" si="6"/>
        <v>51</v>
      </c>
      <c r="O68">
        <f t="shared" si="7"/>
        <v>0</v>
      </c>
      <c r="P68" t="str">
        <f t="shared" si="8"/>
        <v>未達成（1）</v>
      </c>
      <c r="Q68" s="5">
        <f t="shared" ref="Q68:Q131" si="9">IF(B68="",NA(),G68)</f>
        <v>1.0150462963792961E-2</v>
      </c>
    </row>
    <row r="69" spans="1:17">
      <c r="A69" s="3">
        <v>45988.529618055552</v>
      </c>
      <c r="B69">
        <v>60</v>
      </c>
      <c r="C69">
        <v>21</v>
      </c>
      <c r="D69">
        <v>0</v>
      </c>
      <c r="E69">
        <v>0</v>
      </c>
      <c r="F69">
        <v>0</v>
      </c>
      <c r="G69" s="5">
        <v>1.7013888886140194E-2</v>
      </c>
      <c r="H69" t="s">
        <v>189</v>
      </c>
      <c r="I69" t="s">
        <v>190</v>
      </c>
      <c r="J69">
        <v>0</v>
      </c>
      <c r="K69">
        <f t="shared" si="3"/>
        <v>0</v>
      </c>
      <c r="L69">
        <f t="shared" si="4"/>
        <v>50</v>
      </c>
      <c r="M69">
        <f t="shared" si="5"/>
        <v>2</v>
      </c>
      <c r="N69">
        <f t="shared" si="6"/>
        <v>51</v>
      </c>
      <c r="O69">
        <f t="shared" si="7"/>
        <v>0</v>
      </c>
      <c r="P69" t="str">
        <f t="shared" si="8"/>
        <v>未達成（1）</v>
      </c>
      <c r="Q69" s="5">
        <f t="shared" si="9"/>
        <v>1.7013888886140194E-2</v>
      </c>
    </row>
    <row r="70" spans="1:17">
      <c r="A70" s="3">
        <v>45988.852812500001</v>
      </c>
      <c r="B70">
        <v>60</v>
      </c>
      <c r="C70">
        <v>31</v>
      </c>
      <c r="D70">
        <v>0</v>
      </c>
      <c r="E70">
        <v>0</v>
      </c>
      <c r="F70">
        <v>0</v>
      </c>
      <c r="G70" s="5">
        <v>1.0983796295477077E-2</v>
      </c>
      <c r="H70" t="s">
        <v>191</v>
      </c>
      <c r="I70" t="s">
        <v>192</v>
      </c>
      <c r="J70">
        <v>0</v>
      </c>
      <c r="K70">
        <f t="shared" si="3"/>
        <v>1</v>
      </c>
      <c r="L70">
        <f t="shared" si="4"/>
        <v>51</v>
      </c>
      <c r="M70">
        <f t="shared" si="5"/>
        <v>2</v>
      </c>
      <c r="N70">
        <f t="shared" si="6"/>
        <v>51</v>
      </c>
      <c r="O70">
        <f t="shared" si="7"/>
        <v>0</v>
      </c>
      <c r="P70" t="str">
        <f t="shared" si="8"/>
        <v>達成</v>
      </c>
      <c r="Q70" s="5">
        <f t="shared" si="9"/>
        <v>1.0983796295477077E-2</v>
      </c>
    </row>
    <row r="71" spans="1:17">
      <c r="A71" s="3">
        <v>45989.291273148148</v>
      </c>
      <c r="B71">
        <v>53</v>
      </c>
      <c r="C71">
        <v>13</v>
      </c>
      <c r="D71">
        <v>0</v>
      </c>
      <c r="E71">
        <v>7</v>
      </c>
      <c r="F71">
        <v>0</v>
      </c>
      <c r="G71" s="5">
        <v>7.9861111080390401E-3</v>
      </c>
      <c r="H71" t="s">
        <v>193</v>
      </c>
      <c r="I71" t="s">
        <v>194</v>
      </c>
      <c r="J71">
        <v>0</v>
      </c>
      <c r="K71">
        <f t="shared" si="3"/>
        <v>0</v>
      </c>
      <c r="L71">
        <f t="shared" si="4"/>
        <v>51</v>
      </c>
      <c r="M71">
        <f t="shared" si="5"/>
        <v>2</v>
      </c>
      <c r="N71">
        <f t="shared" si="6"/>
        <v>53</v>
      </c>
      <c r="O71">
        <f t="shared" si="7"/>
        <v>0</v>
      </c>
      <c r="P71" t="str">
        <f t="shared" si="8"/>
        <v>未達成（2）</v>
      </c>
      <c r="Q71" s="5">
        <f t="shared" si="9"/>
        <v>7.9861111080390401E-3</v>
      </c>
    </row>
    <row r="72" spans="1:17">
      <c r="A72" s="3">
        <v>45989.299722222226</v>
      </c>
      <c r="B72">
        <v>60</v>
      </c>
      <c r="C72">
        <v>42</v>
      </c>
      <c r="D72">
        <v>0</v>
      </c>
      <c r="E72">
        <v>0</v>
      </c>
      <c r="F72">
        <v>0</v>
      </c>
      <c r="G72" s="5">
        <v>7.6967592613073066E-3</v>
      </c>
      <c r="H72" t="s">
        <v>195</v>
      </c>
      <c r="I72" t="s">
        <v>196</v>
      </c>
      <c r="J72">
        <v>0</v>
      </c>
      <c r="K72">
        <f t="shared" si="3"/>
        <v>1</v>
      </c>
      <c r="L72">
        <f t="shared" si="4"/>
        <v>52</v>
      </c>
      <c r="M72">
        <f t="shared" si="5"/>
        <v>2</v>
      </c>
      <c r="N72">
        <f t="shared" si="6"/>
        <v>53</v>
      </c>
      <c r="O72">
        <f t="shared" si="7"/>
        <v>0</v>
      </c>
      <c r="P72" t="str">
        <f t="shared" si="8"/>
        <v>未達成（1）</v>
      </c>
      <c r="Q72" s="5">
        <f t="shared" si="9"/>
        <v>7.6967592613073066E-3</v>
      </c>
    </row>
    <row r="73" spans="1:17">
      <c r="A73" s="3">
        <v>45989.308298611111</v>
      </c>
      <c r="B73">
        <v>60</v>
      </c>
      <c r="C73">
        <v>19</v>
      </c>
      <c r="D73">
        <v>0</v>
      </c>
      <c r="E73">
        <v>0</v>
      </c>
      <c r="F73">
        <v>0</v>
      </c>
      <c r="G73" s="5">
        <v>7.7662037074333057E-3</v>
      </c>
      <c r="H73" t="s">
        <v>197</v>
      </c>
      <c r="I73" t="s">
        <v>198</v>
      </c>
      <c r="J73">
        <v>0</v>
      </c>
      <c r="K73">
        <f t="shared" si="3"/>
        <v>1</v>
      </c>
      <c r="L73">
        <f t="shared" si="4"/>
        <v>53</v>
      </c>
      <c r="M73">
        <f t="shared" si="5"/>
        <v>2</v>
      </c>
      <c r="N73">
        <f t="shared" si="6"/>
        <v>53</v>
      </c>
      <c r="O73">
        <f t="shared" si="7"/>
        <v>0</v>
      </c>
      <c r="P73" t="str">
        <f t="shared" si="8"/>
        <v>達成</v>
      </c>
      <c r="Q73" s="5">
        <f t="shared" si="9"/>
        <v>7.7662037074333057E-3</v>
      </c>
    </row>
    <row r="74" spans="1:17">
      <c r="A74" s="3">
        <v>45990.459027777775</v>
      </c>
      <c r="B74">
        <v>60</v>
      </c>
      <c r="C74">
        <v>13</v>
      </c>
      <c r="D74">
        <v>0</v>
      </c>
      <c r="E74">
        <v>0</v>
      </c>
      <c r="F74">
        <v>0</v>
      </c>
      <c r="G74" s="5">
        <v>9.814814809942618E-3</v>
      </c>
      <c r="H74" t="s">
        <v>199</v>
      </c>
      <c r="I74" t="s">
        <v>200</v>
      </c>
      <c r="J74">
        <v>0</v>
      </c>
      <c r="K74">
        <f t="shared" si="3"/>
        <v>1</v>
      </c>
      <c r="L74">
        <f t="shared" si="4"/>
        <v>54</v>
      </c>
      <c r="M74">
        <f t="shared" si="5"/>
        <v>2</v>
      </c>
      <c r="N74">
        <f t="shared" si="6"/>
        <v>55</v>
      </c>
      <c r="O74">
        <f t="shared" si="7"/>
        <v>0</v>
      </c>
      <c r="P74" t="str">
        <f t="shared" si="8"/>
        <v>未達成（1）</v>
      </c>
      <c r="Q74" s="5">
        <f t="shared" si="9"/>
        <v>9.814814809942618E-3</v>
      </c>
    </row>
    <row r="75" spans="1:17">
      <c r="A75" s="3">
        <v>45990.539907407408</v>
      </c>
      <c r="B75">
        <v>60</v>
      </c>
      <c r="C75">
        <v>10</v>
      </c>
      <c r="D75">
        <v>0</v>
      </c>
      <c r="E75">
        <v>0</v>
      </c>
      <c r="F75">
        <v>0</v>
      </c>
      <c r="G75" s="5">
        <v>1.1226851849642117E-2</v>
      </c>
      <c r="H75" t="s">
        <v>201</v>
      </c>
      <c r="I75" t="s">
        <v>202</v>
      </c>
      <c r="J75">
        <v>0</v>
      </c>
      <c r="K75">
        <f t="shared" si="3"/>
        <v>1</v>
      </c>
      <c r="L75">
        <f t="shared" si="4"/>
        <v>55</v>
      </c>
      <c r="M75">
        <f t="shared" si="5"/>
        <v>2</v>
      </c>
      <c r="N75">
        <f t="shared" si="6"/>
        <v>55</v>
      </c>
      <c r="O75">
        <f t="shared" si="7"/>
        <v>0</v>
      </c>
      <c r="P75" t="str">
        <f t="shared" si="8"/>
        <v>達成</v>
      </c>
      <c r="Q75" s="5">
        <f t="shared" si="9"/>
        <v>1.1226851849642117E-2</v>
      </c>
    </row>
    <row r="76" spans="1:17">
      <c r="A76" s="3">
        <v>45991.563125000001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5.694444444088731E-3</v>
      </c>
      <c r="H76" t="s">
        <v>203</v>
      </c>
      <c r="I76" t="s">
        <v>204</v>
      </c>
      <c r="J76">
        <v>0</v>
      </c>
      <c r="K76">
        <f t="shared" si="3"/>
        <v>2</v>
      </c>
      <c r="L76">
        <f t="shared" si="4"/>
        <v>57</v>
      </c>
      <c r="M76">
        <f t="shared" si="5"/>
        <v>3</v>
      </c>
      <c r="N76">
        <f t="shared" si="6"/>
        <v>58</v>
      </c>
      <c r="O76">
        <f t="shared" si="7"/>
        <v>0</v>
      </c>
      <c r="P76" t="str">
        <f t="shared" si="8"/>
        <v>未達成（1）</v>
      </c>
      <c r="Q76" s="5">
        <f t="shared" si="9"/>
        <v>5.694444444088731E-3</v>
      </c>
    </row>
    <row r="77" spans="1:17">
      <c r="A77" s="3">
        <v>45991.575856481482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5.5324074055533856E-3</v>
      </c>
      <c r="H77" t="s">
        <v>205</v>
      </c>
      <c r="I77" t="s">
        <v>206</v>
      </c>
      <c r="J77">
        <v>0</v>
      </c>
      <c r="K77">
        <f t="shared" si="3"/>
        <v>2</v>
      </c>
      <c r="L77">
        <f t="shared" si="4"/>
        <v>59</v>
      </c>
      <c r="M77">
        <f t="shared" si="5"/>
        <v>3</v>
      </c>
      <c r="N77">
        <f t="shared" si="6"/>
        <v>58</v>
      </c>
      <c r="O77">
        <f t="shared" si="7"/>
        <v>0</v>
      </c>
      <c r="P77" t="str">
        <f t="shared" si="8"/>
        <v>前倒し（1）</v>
      </c>
      <c r="Q77" s="5">
        <f t="shared" si="9"/>
        <v>5.5324074055533856E-3</v>
      </c>
    </row>
    <row r="78" spans="1:17">
      <c r="A78" s="3">
        <v>45992.289467592593</v>
      </c>
      <c r="B78">
        <v>60</v>
      </c>
      <c r="C78">
        <v>14</v>
      </c>
      <c r="D78">
        <v>0</v>
      </c>
      <c r="E78">
        <v>0</v>
      </c>
      <c r="F78">
        <v>0</v>
      </c>
      <c r="G78" s="5">
        <v>1.0162037040572613E-2</v>
      </c>
      <c r="H78" t="s">
        <v>207</v>
      </c>
      <c r="I78" t="s">
        <v>208</v>
      </c>
      <c r="J78">
        <v>0</v>
      </c>
      <c r="K78">
        <f t="shared" si="3"/>
        <v>1</v>
      </c>
      <c r="L78">
        <f t="shared" si="4"/>
        <v>60</v>
      </c>
      <c r="M78">
        <f t="shared" si="5"/>
        <v>3</v>
      </c>
      <c r="N78">
        <f t="shared" si="6"/>
        <v>61</v>
      </c>
      <c r="O78">
        <f t="shared" si="7"/>
        <v>0</v>
      </c>
      <c r="P78" t="str">
        <f t="shared" si="8"/>
        <v>未達成（1）</v>
      </c>
      <c r="Q78" s="5">
        <f t="shared" si="9"/>
        <v>1.0162037040572613E-2</v>
      </c>
    </row>
    <row r="79" spans="1:17">
      <c r="A79" s="3">
        <v>45992.298761574071</v>
      </c>
      <c r="B79">
        <v>60</v>
      </c>
      <c r="C79">
        <v>8</v>
      </c>
      <c r="D79">
        <v>0</v>
      </c>
      <c r="E79">
        <v>0</v>
      </c>
      <c r="F79">
        <v>0</v>
      </c>
      <c r="G79" s="5">
        <v>6.168981475639157E-3</v>
      </c>
      <c r="H79" t="s">
        <v>209</v>
      </c>
      <c r="I79" t="s">
        <v>210</v>
      </c>
      <c r="J79">
        <v>0</v>
      </c>
      <c r="K79">
        <f t="shared" si="3"/>
        <v>2</v>
      </c>
      <c r="L79">
        <f t="shared" si="4"/>
        <v>62</v>
      </c>
      <c r="M79">
        <f t="shared" si="5"/>
        <v>3</v>
      </c>
      <c r="N79">
        <f t="shared" si="6"/>
        <v>61</v>
      </c>
      <c r="O79">
        <f t="shared" si="7"/>
        <v>0</v>
      </c>
      <c r="P79" t="str">
        <f t="shared" si="8"/>
        <v>前倒し（1）</v>
      </c>
      <c r="Q79" s="5">
        <f t="shared" si="9"/>
        <v>6.168981475639157E-3</v>
      </c>
    </row>
    <row r="80" spans="1:17">
      <c r="A80" s="3">
        <v>45993.285081018519</v>
      </c>
      <c r="B80">
        <v>48</v>
      </c>
      <c r="C80">
        <v>7</v>
      </c>
      <c r="D80">
        <v>0</v>
      </c>
      <c r="E80">
        <v>12</v>
      </c>
      <c r="F80">
        <v>0</v>
      </c>
      <c r="G80" s="5">
        <v>7.8703703693463467E-3</v>
      </c>
      <c r="H80" t="s">
        <v>211</v>
      </c>
      <c r="I80" t="s">
        <v>212</v>
      </c>
      <c r="J80">
        <v>0</v>
      </c>
      <c r="K80">
        <f t="shared" si="3"/>
        <v>0</v>
      </c>
      <c r="L80">
        <f t="shared" si="4"/>
        <v>62</v>
      </c>
      <c r="M80">
        <f t="shared" si="5"/>
        <v>3</v>
      </c>
      <c r="N80">
        <f t="shared" si="6"/>
        <v>64</v>
      </c>
      <c r="O80">
        <f t="shared" si="7"/>
        <v>0</v>
      </c>
      <c r="P80" t="str">
        <f t="shared" si="8"/>
        <v>未達成（2）</v>
      </c>
      <c r="Q80" s="5">
        <f t="shared" si="9"/>
        <v>7.8703703693463467E-3</v>
      </c>
    </row>
    <row r="81" spans="1:17">
      <c r="A81" s="3">
        <v>45993.29241898148</v>
      </c>
      <c r="B81">
        <v>60</v>
      </c>
      <c r="C81">
        <v>18</v>
      </c>
      <c r="D81">
        <v>0</v>
      </c>
      <c r="E81">
        <v>0</v>
      </c>
      <c r="F81">
        <v>0</v>
      </c>
      <c r="G81" s="5">
        <v>6.7476851836545393E-3</v>
      </c>
      <c r="H81" t="s">
        <v>215</v>
      </c>
      <c r="I81" t="s">
        <v>216</v>
      </c>
      <c r="J81">
        <v>0</v>
      </c>
      <c r="K81">
        <f t="shared" si="3"/>
        <v>2</v>
      </c>
      <c r="L81">
        <f t="shared" si="4"/>
        <v>64</v>
      </c>
      <c r="M81">
        <f t="shared" si="5"/>
        <v>3</v>
      </c>
      <c r="N81">
        <f t="shared" si="6"/>
        <v>64</v>
      </c>
      <c r="O81">
        <f t="shared" si="7"/>
        <v>0</v>
      </c>
      <c r="P81" t="str">
        <f t="shared" si="8"/>
        <v>達成</v>
      </c>
      <c r="Q81" s="5">
        <f t="shared" si="9"/>
        <v>6.7476851836545393E-3</v>
      </c>
    </row>
    <row r="82" spans="1:17">
      <c r="A82" s="3">
        <v>45994.309050925927</v>
      </c>
      <c r="B82">
        <v>60</v>
      </c>
      <c r="C82">
        <v>10</v>
      </c>
      <c r="D82">
        <v>0</v>
      </c>
      <c r="E82">
        <v>0</v>
      </c>
      <c r="F82">
        <v>0</v>
      </c>
      <c r="G82" s="5">
        <v>8.8773148163454607E-3</v>
      </c>
      <c r="H82" t="s">
        <v>213</v>
      </c>
      <c r="I82" t="s">
        <v>214</v>
      </c>
      <c r="J82">
        <v>0</v>
      </c>
      <c r="K82">
        <f t="shared" si="3"/>
        <v>1</v>
      </c>
      <c r="L82">
        <f t="shared" si="4"/>
        <v>65</v>
      </c>
      <c r="M82">
        <f t="shared" si="5"/>
        <v>3</v>
      </c>
      <c r="N82">
        <f t="shared" si="6"/>
        <v>67</v>
      </c>
      <c r="O82">
        <f t="shared" si="7"/>
        <v>0</v>
      </c>
      <c r="P82" t="str">
        <f t="shared" si="8"/>
        <v>未達成（2）</v>
      </c>
      <c r="Q82" s="5">
        <f t="shared" si="9"/>
        <v>8.8773148163454607E-3</v>
      </c>
    </row>
    <row r="83" spans="1:17">
      <c r="A83" s="3">
        <v>45994.372615740744</v>
      </c>
      <c r="B83">
        <v>60</v>
      </c>
      <c r="C83">
        <v>21</v>
      </c>
      <c r="D83">
        <v>0</v>
      </c>
      <c r="E83">
        <v>0</v>
      </c>
      <c r="F83">
        <v>0</v>
      </c>
      <c r="G83" s="5">
        <v>8.9930555550381541E-3</v>
      </c>
      <c r="H83" t="s">
        <v>217</v>
      </c>
      <c r="I83" t="s">
        <v>218</v>
      </c>
      <c r="J83">
        <v>0</v>
      </c>
      <c r="K83">
        <f t="shared" ref="K83:K146" si="10">IF(A83&lt;DATEVALUE("2025/11/20")+TIMEVALUE("6:00"),1,IF(OR(B83&lt;&gt;60,SUM(D83:F83)&lt;&gt;0,G83&gt;=IF(A83&lt;DATEVALUE("2025/12/28")+TIMEVALUE("6:00"),20,18)/24/60),0,2-INT(G83*24*60/10)))</f>
        <v>1</v>
      </c>
      <c r="L83">
        <f t="shared" ref="L83:L146" si="11">L82+K83</f>
        <v>66</v>
      </c>
      <c r="M83">
        <f t="shared" ref="M83:M146" si="12">2+IF(A83&gt;=DATEVALUE("2025/11/30")+TIMEVALUE("6:00"),1,0)+IF(A83&gt;=DATEVALUE("2025/12/11")+TIMEVALUE("6:00"),1,0)</f>
        <v>3</v>
      </c>
      <c r="N83">
        <f t="shared" ref="N83:N146" si="13">N82+M83*(INT(A83-6/24)-INT(A82-6/24))+O83</f>
        <v>67</v>
      </c>
      <c r="O83">
        <f t="shared" ref="O83:O146" si="14">IF(A83&gt;=DATEVALUE("2025/11/8")+TIMEVALUE("6:00"),1,0)-IF(A82&gt;=DATEVALUE("2025/11/8")+TIMEVALUE("6:00"),1,0)
+IF(A83&gt;=DATEVALUE("2026/1/22")+TIMEVALUE("6:00"),3,0)-IF(A82&gt;=DATEVALUE("2026/1/22")+TIMEVALUE("6:00"),3,0)
+IF(A83&gt;=DATEVALUE("2026/2/21")+TIMEVALUE("6:00"),1,0)-IF(A82&gt;=DATEVALUE("2026/2/21")+TIMEVALUE("6:00"),1,0)</f>
        <v>0</v>
      </c>
      <c r="P83" t="str">
        <f t="shared" ref="P83:P146" si="15">IF(L83&lt;N83,"未達成（"&amp;N83-L83&amp;"）",IF(L83=N83,"達成","前倒し（"&amp;L83-N83&amp;"）"))</f>
        <v>未達成（1）</v>
      </c>
      <c r="Q83" s="5">
        <f t="shared" si="9"/>
        <v>8.9930555550381541E-3</v>
      </c>
    </row>
    <row r="84" spans="1:17">
      <c r="A84" s="3">
        <v>45994.573900462965</v>
      </c>
      <c r="B84">
        <v>60</v>
      </c>
      <c r="C84">
        <v>24</v>
      </c>
      <c r="D84">
        <v>0</v>
      </c>
      <c r="E84">
        <v>0</v>
      </c>
      <c r="F84">
        <v>0</v>
      </c>
      <c r="G84" s="5">
        <v>7.3263888916699216E-3</v>
      </c>
      <c r="H84" t="s">
        <v>219</v>
      </c>
      <c r="I84" t="s">
        <v>220</v>
      </c>
      <c r="J84">
        <v>0</v>
      </c>
      <c r="K84">
        <f t="shared" si="10"/>
        <v>1</v>
      </c>
      <c r="L84">
        <f t="shared" si="11"/>
        <v>67</v>
      </c>
      <c r="M84">
        <f t="shared" si="12"/>
        <v>3</v>
      </c>
      <c r="N84">
        <f t="shared" si="13"/>
        <v>67</v>
      </c>
      <c r="O84">
        <f t="shared" si="14"/>
        <v>0</v>
      </c>
      <c r="P84" t="str">
        <f t="shared" si="15"/>
        <v>達成</v>
      </c>
      <c r="Q84" s="5">
        <f t="shared" si="9"/>
        <v>7.3263888916699216E-3</v>
      </c>
    </row>
    <row r="85" spans="1:17">
      <c r="A85" s="3">
        <v>45995.297349537039</v>
      </c>
      <c r="B85">
        <v>60</v>
      </c>
      <c r="C85">
        <v>13</v>
      </c>
      <c r="D85">
        <v>0</v>
      </c>
      <c r="E85">
        <v>0</v>
      </c>
      <c r="F85">
        <v>0</v>
      </c>
      <c r="G85" s="5">
        <v>8.8888888931251131E-3</v>
      </c>
      <c r="H85" t="s">
        <v>221</v>
      </c>
      <c r="I85" t="s">
        <v>222</v>
      </c>
      <c r="J85">
        <v>0</v>
      </c>
      <c r="K85">
        <f t="shared" si="10"/>
        <v>1</v>
      </c>
      <c r="L85">
        <f t="shared" si="11"/>
        <v>68</v>
      </c>
      <c r="M85">
        <f t="shared" si="12"/>
        <v>3</v>
      </c>
      <c r="N85">
        <f t="shared" si="13"/>
        <v>70</v>
      </c>
      <c r="O85">
        <f t="shared" si="14"/>
        <v>0</v>
      </c>
      <c r="P85" t="str">
        <f t="shared" si="15"/>
        <v>未達成（2）</v>
      </c>
      <c r="Q85" s="5">
        <f t="shared" si="9"/>
        <v>8.8888888931251131E-3</v>
      </c>
    </row>
    <row r="86" spans="1:17">
      <c r="A86" s="3">
        <v>45995.308217592596</v>
      </c>
      <c r="B86">
        <v>60</v>
      </c>
      <c r="C86">
        <v>12</v>
      </c>
      <c r="D86">
        <v>0</v>
      </c>
      <c r="E86">
        <v>0</v>
      </c>
      <c r="F86">
        <v>0</v>
      </c>
      <c r="G86" s="5">
        <v>7.7777777842129581E-3</v>
      </c>
      <c r="H86" t="s">
        <v>223</v>
      </c>
      <c r="I86" t="s">
        <v>224</v>
      </c>
      <c r="J86">
        <v>0</v>
      </c>
      <c r="K86">
        <f t="shared" si="10"/>
        <v>1</v>
      </c>
      <c r="L86">
        <f t="shared" si="11"/>
        <v>69</v>
      </c>
      <c r="M86">
        <f t="shared" si="12"/>
        <v>3</v>
      </c>
      <c r="N86">
        <f t="shared" si="13"/>
        <v>70</v>
      </c>
      <c r="O86">
        <f t="shared" si="14"/>
        <v>0</v>
      </c>
      <c r="P86" t="str">
        <f t="shared" si="15"/>
        <v>未達成（1）</v>
      </c>
      <c r="Q86" s="5">
        <f t="shared" si="9"/>
        <v>7.7777777842129581E-3</v>
      </c>
    </row>
    <row r="87" spans="1:17">
      <c r="A87" s="3">
        <v>45995.571805555555</v>
      </c>
      <c r="B87">
        <v>60</v>
      </c>
      <c r="C87">
        <v>16</v>
      </c>
      <c r="D87">
        <v>0</v>
      </c>
      <c r="E87">
        <v>0</v>
      </c>
      <c r="F87">
        <v>0</v>
      </c>
      <c r="G87" s="5">
        <v>6.1226851830724627E-3</v>
      </c>
      <c r="H87" t="s">
        <v>225</v>
      </c>
      <c r="I87" t="s">
        <v>226</v>
      </c>
      <c r="J87">
        <v>0</v>
      </c>
      <c r="K87">
        <f t="shared" si="10"/>
        <v>2</v>
      </c>
      <c r="L87">
        <f t="shared" si="11"/>
        <v>71</v>
      </c>
      <c r="M87">
        <f t="shared" si="12"/>
        <v>3</v>
      </c>
      <c r="N87">
        <f t="shared" si="13"/>
        <v>70</v>
      </c>
      <c r="O87">
        <f t="shared" si="14"/>
        <v>0</v>
      </c>
      <c r="P87" t="str">
        <f t="shared" si="15"/>
        <v>前倒し（1）</v>
      </c>
      <c r="Q87" s="5">
        <f t="shared" si="9"/>
        <v>6.1226851830724627E-3</v>
      </c>
    </row>
    <row r="88" spans="1:17">
      <c r="A88" s="3">
        <v>45996.284409722219</v>
      </c>
      <c r="B88">
        <v>60</v>
      </c>
      <c r="C88">
        <v>6</v>
      </c>
      <c r="D88">
        <v>0</v>
      </c>
      <c r="E88">
        <v>0</v>
      </c>
      <c r="F88">
        <v>0</v>
      </c>
      <c r="G88" s="5">
        <v>7.3842592537403107E-3</v>
      </c>
      <c r="H88" t="s">
        <v>227</v>
      </c>
      <c r="I88" t="s">
        <v>228</v>
      </c>
      <c r="J88">
        <v>0</v>
      </c>
      <c r="K88">
        <f t="shared" si="10"/>
        <v>1</v>
      </c>
      <c r="L88">
        <f t="shared" si="11"/>
        <v>72</v>
      </c>
      <c r="M88">
        <f t="shared" si="12"/>
        <v>3</v>
      </c>
      <c r="N88">
        <f t="shared" si="13"/>
        <v>73</v>
      </c>
      <c r="O88">
        <f t="shared" si="14"/>
        <v>0</v>
      </c>
      <c r="P88" t="str">
        <f t="shared" si="15"/>
        <v>未達成（1）</v>
      </c>
      <c r="Q88" s="5">
        <f t="shared" si="9"/>
        <v>7.3842592537403107E-3</v>
      </c>
    </row>
    <row r="89" spans="1:17">
      <c r="A89" s="3">
        <v>45996.311747685184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1.17013888884685E-2</v>
      </c>
      <c r="H89" t="s">
        <v>229</v>
      </c>
      <c r="I89" t="s">
        <v>230</v>
      </c>
      <c r="J89">
        <v>0</v>
      </c>
      <c r="K89">
        <f t="shared" si="10"/>
        <v>1</v>
      </c>
      <c r="L89">
        <f t="shared" si="11"/>
        <v>73</v>
      </c>
      <c r="M89">
        <f t="shared" si="12"/>
        <v>3</v>
      </c>
      <c r="N89">
        <f t="shared" si="13"/>
        <v>73</v>
      </c>
      <c r="O89">
        <f t="shared" si="14"/>
        <v>0</v>
      </c>
      <c r="P89" t="str">
        <f t="shared" si="15"/>
        <v>達成</v>
      </c>
      <c r="Q89" s="5">
        <f t="shared" si="9"/>
        <v>1.17013888884685E-2</v>
      </c>
    </row>
    <row r="90" spans="1:17">
      <c r="A90" s="3">
        <v>45997.303113425929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5.7291666671517305E-3</v>
      </c>
      <c r="H90" t="s">
        <v>231</v>
      </c>
      <c r="I90" t="s">
        <v>232</v>
      </c>
      <c r="J90">
        <v>0</v>
      </c>
      <c r="K90">
        <f t="shared" si="10"/>
        <v>2</v>
      </c>
      <c r="L90">
        <f t="shared" si="11"/>
        <v>75</v>
      </c>
      <c r="M90">
        <f t="shared" si="12"/>
        <v>3</v>
      </c>
      <c r="N90">
        <f t="shared" si="13"/>
        <v>76</v>
      </c>
      <c r="O90">
        <f t="shared" si="14"/>
        <v>0</v>
      </c>
      <c r="P90" t="str">
        <f t="shared" si="15"/>
        <v>未達成（1）</v>
      </c>
      <c r="Q90" s="5">
        <f t="shared" si="9"/>
        <v>5.7291666671517305E-3</v>
      </c>
    </row>
    <row r="91" spans="1:17">
      <c r="A91" s="3">
        <v>45997.312106481484</v>
      </c>
      <c r="B91">
        <v>60</v>
      </c>
      <c r="C91">
        <v>16</v>
      </c>
      <c r="D91">
        <v>0</v>
      </c>
      <c r="E91">
        <v>0</v>
      </c>
      <c r="F91">
        <v>0</v>
      </c>
      <c r="G91" s="5">
        <v>6.4699074064265005E-3</v>
      </c>
      <c r="H91" t="s">
        <v>233</v>
      </c>
      <c r="I91" t="s">
        <v>234</v>
      </c>
      <c r="J91">
        <v>0</v>
      </c>
      <c r="K91">
        <f t="shared" si="10"/>
        <v>2</v>
      </c>
      <c r="L91">
        <f t="shared" si="11"/>
        <v>77</v>
      </c>
      <c r="M91">
        <f t="shared" si="12"/>
        <v>3</v>
      </c>
      <c r="N91">
        <f t="shared" si="13"/>
        <v>76</v>
      </c>
      <c r="O91">
        <f t="shared" si="14"/>
        <v>0</v>
      </c>
      <c r="P91" t="str">
        <f t="shared" si="15"/>
        <v>前倒し（1）</v>
      </c>
      <c r="Q91" s="5">
        <f t="shared" si="9"/>
        <v>6.4699074064265005E-3</v>
      </c>
    </row>
    <row r="92" spans="1:17">
      <c r="A92" s="3">
        <v>45998.290590277778</v>
      </c>
      <c r="B92">
        <v>60</v>
      </c>
      <c r="C92">
        <v>4</v>
      </c>
      <c r="D92">
        <v>0</v>
      </c>
      <c r="E92">
        <v>0</v>
      </c>
      <c r="F92">
        <v>0</v>
      </c>
      <c r="G92" s="5">
        <v>6.805555553000886E-3</v>
      </c>
      <c r="H92" t="s">
        <v>235</v>
      </c>
      <c r="I92" t="s">
        <v>236</v>
      </c>
      <c r="J92">
        <v>0</v>
      </c>
      <c r="K92">
        <f t="shared" si="10"/>
        <v>2</v>
      </c>
      <c r="L92">
        <f t="shared" si="11"/>
        <v>79</v>
      </c>
      <c r="M92">
        <f t="shared" si="12"/>
        <v>3</v>
      </c>
      <c r="N92">
        <f t="shared" si="13"/>
        <v>79</v>
      </c>
      <c r="O92">
        <f t="shared" si="14"/>
        <v>0</v>
      </c>
      <c r="P92" t="str">
        <f t="shared" si="15"/>
        <v>達成</v>
      </c>
      <c r="Q92" s="5">
        <f t="shared" si="9"/>
        <v>6.805555553000886E-3</v>
      </c>
    </row>
    <row r="93" spans="1:17">
      <c r="A93" s="3">
        <v>45999.308831018519</v>
      </c>
      <c r="B93">
        <v>60</v>
      </c>
      <c r="C93">
        <v>19</v>
      </c>
      <c r="D93">
        <v>0</v>
      </c>
      <c r="E93">
        <v>0</v>
      </c>
      <c r="F93">
        <v>0</v>
      </c>
      <c r="G93" s="5">
        <v>7.8935185229056515E-3</v>
      </c>
      <c r="H93" t="s">
        <v>237</v>
      </c>
      <c r="I93" t="s">
        <v>238</v>
      </c>
      <c r="J93">
        <v>0</v>
      </c>
      <c r="K93">
        <f t="shared" si="10"/>
        <v>1</v>
      </c>
      <c r="L93">
        <f t="shared" si="11"/>
        <v>80</v>
      </c>
      <c r="M93">
        <f t="shared" si="12"/>
        <v>3</v>
      </c>
      <c r="N93">
        <f t="shared" si="13"/>
        <v>82</v>
      </c>
      <c r="O93">
        <f t="shared" si="14"/>
        <v>0</v>
      </c>
      <c r="P93" t="str">
        <f t="shared" si="15"/>
        <v>未達成（2）</v>
      </c>
      <c r="Q93" s="5">
        <f t="shared" si="9"/>
        <v>7.8935185229056515E-3</v>
      </c>
    </row>
    <row r="94" spans="1:17">
      <c r="A94" s="3">
        <v>45999.538287037038</v>
      </c>
      <c r="B94">
        <v>60</v>
      </c>
      <c r="C94">
        <v>10</v>
      </c>
      <c r="D94">
        <v>0</v>
      </c>
      <c r="E94">
        <v>0</v>
      </c>
      <c r="F94">
        <v>0</v>
      </c>
      <c r="G94" s="5">
        <v>8.2407407389837317E-3</v>
      </c>
      <c r="H94" t="s">
        <v>239</v>
      </c>
      <c r="I94" t="s">
        <v>240</v>
      </c>
      <c r="J94">
        <v>0</v>
      </c>
      <c r="K94">
        <f t="shared" si="10"/>
        <v>1</v>
      </c>
      <c r="L94">
        <f t="shared" si="11"/>
        <v>81</v>
      </c>
      <c r="M94">
        <f t="shared" si="12"/>
        <v>3</v>
      </c>
      <c r="N94">
        <f t="shared" si="13"/>
        <v>82</v>
      </c>
      <c r="O94">
        <f t="shared" si="14"/>
        <v>0</v>
      </c>
      <c r="P94" t="str">
        <f t="shared" si="15"/>
        <v>未達成（1）</v>
      </c>
      <c r="Q94" s="5">
        <f t="shared" si="9"/>
        <v>8.2407407389837317E-3</v>
      </c>
    </row>
    <row r="95" spans="1:17">
      <c r="A95" s="3">
        <v>45999.866469907407</v>
      </c>
      <c r="B95">
        <v>60</v>
      </c>
      <c r="C95">
        <v>12</v>
      </c>
      <c r="D95">
        <v>0</v>
      </c>
      <c r="E95">
        <v>0</v>
      </c>
      <c r="F95">
        <v>0</v>
      </c>
      <c r="G95" s="5">
        <v>5.6134259284590371E-3</v>
      </c>
      <c r="H95" t="s">
        <v>241</v>
      </c>
      <c r="I95" t="s">
        <v>242</v>
      </c>
      <c r="J95">
        <v>0</v>
      </c>
      <c r="K95">
        <f t="shared" si="10"/>
        <v>2</v>
      </c>
      <c r="L95">
        <f t="shared" si="11"/>
        <v>83</v>
      </c>
      <c r="M95">
        <f t="shared" si="12"/>
        <v>3</v>
      </c>
      <c r="N95">
        <f t="shared" si="13"/>
        <v>82</v>
      </c>
      <c r="O95">
        <f t="shared" si="14"/>
        <v>0</v>
      </c>
      <c r="P95" t="str">
        <f t="shared" si="15"/>
        <v>前倒し（1）</v>
      </c>
      <c r="Q95" s="5">
        <f t="shared" si="9"/>
        <v>5.6134259284590371E-3</v>
      </c>
    </row>
    <row r="96" spans="1:17">
      <c r="A96" s="3">
        <v>46000.300081018519</v>
      </c>
      <c r="B96">
        <v>60</v>
      </c>
      <c r="C96">
        <v>13</v>
      </c>
      <c r="D96">
        <v>0</v>
      </c>
      <c r="E96">
        <v>0</v>
      </c>
      <c r="F96">
        <v>0</v>
      </c>
      <c r="G96" s="5">
        <v>1.1423611111240461E-2</v>
      </c>
      <c r="H96" t="s">
        <v>243</v>
      </c>
      <c r="I96" t="s">
        <v>244</v>
      </c>
      <c r="J96">
        <v>0</v>
      </c>
      <c r="K96">
        <f t="shared" si="10"/>
        <v>1</v>
      </c>
      <c r="L96">
        <f t="shared" si="11"/>
        <v>84</v>
      </c>
      <c r="M96">
        <f t="shared" si="12"/>
        <v>3</v>
      </c>
      <c r="N96">
        <f t="shared" si="13"/>
        <v>85</v>
      </c>
      <c r="O96">
        <f t="shared" si="14"/>
        <v>0</v>
      </c>
      <c r="P96" t="str">
        <f t="shared" si="15"/>
        <v>未達成（1）</v>
      </c>
      <c r="Q96" s="5">
        <f t="shared" si="9"/>
        <v>1.1423611111240461E-2</v>
      </c>
    </row>
    <row r="97" spans="1:17">
      <c r="A97" s="3">
        <v>46000.312152777777</v>
      </c>
      <c r="B97">
        <v>60</v>
      </c>
      <c r="C97">
        <v>9</v>
      </c>
      <c r="D97">
        <v>0</v>
      </c>
      <c r="E97">
        <v>0</v>
      </c>
      <c r="F97">
        <v>0</v>
      </c>
      <c r="G97" s="5">
        <v>5.8101851827814244E-3</v>
      </c>
      <c r="H97" t="s">
        <v>245</v>
      </c>
      <c r="I97" t="s">
        <v>246</v>
      </c>
      <c r="J97">
        <v>0</v>
      </c>
      <c r="K97">
        <f t="shared" si="10"/>
        <v>2</v>
      </c>
      <c r="L97">
        <f t="shared" si="11"/>
        <v>86</v>
      </c>
      <c r="M97">
        <f t="shared" si="12"/>
        <v>3</v>
      </c>
      <c r="N97">
        <f t="shared" si="13"/>
        <v>85</v>
      </c>
      <c r="O97">
        <f t="shared" si="14"/>
        <v>0</v>
      </c>
      <c r="P97" t="str">
        <f t="shared" si="15"/>
        <v>前倒し（1）</v>
      </c>
      <c r="Q97" s="5">
        <f t="shared" si="9"/>
        <v>5.8101851827814244E-3</v>
      </c>
    </row>
    <row r="98" spans="1:17">
      <c r="A98" s="3">
        <v>46001.313842592594</v>
      </c>
      <c r="B98">
        <v>60</v>
      </c>
      <c r="C98">
        <v>7</v>
      </c>
      <c r="D98">
        <v>0</v>
      </c>
      <c r="E98">
        <v>0</v>
      </c>
      <c r="F98">
        <v>0</v>
      </c>
      <c r="G98" s="5">
        <v>5.1157407433493063E-3</v>
      </c>
      <c r="H98" t="s">
        <v>247</v>
      </c>
      <c r="I98" t="s">
        <v>248</v>
      </c>
      <c r="J98">
        <v>0</v>
      </c>
      <c r="K98">
        <f t="shared" si="10"/>
        <v>2</v>
      </c>
      <c r="L98">
        <f t="shared" si="11"/>
        <v>88</v>
      </c>
      <c r="M98">
        <f t="shared" si="12"/>
        <v>3</v>
      </c>
      <c r="N98">
        <f t="shared" si="13"/>
        <v>88</v>
      </c>
      <c r="O98">
        <f t="shared" si="14"/>
        <v>0</v>
      </c>
      <c r="P98" t="str">
        <f t="shared" si="15"/>
        <v>達成</v>
      </c>
      <c r="Q98" s="5">
        <f t="shared" si="9"/>
        <v>5.1157407433493063E-3</v>
      </c>
    </row>
    <row r="99" spans="1:17">
      <c r="A99" s="3">
        <v>46002.297708333332</v>
      </c>
      <c r="B99">
        <v>60</v>
      </c>
      <c r="C99">
        <v>11</v>
      </c>
      <c r="D99">
        <v>0</v>
      </c>
      <c r="E99">
        <v>0</v>
      </c>
      <c r="F99">
        <v>0</v>
      </c>
      <c r="G99" s="5">
        <v>1.0185185186855961E-2</v>
      </c>
      <c r="H99" t="s">
        <v>250</v>
      </c>
      <c r="I99" t="s">
        <v>251</v>
      </c>
      <c r="J99">
        <v>0</v>
      </c>
      <c r="K99">
        <f t="shared" si="10"/>
        <v>1</v>
      </c>
      <c r="L99">
        <f t="shared" si="11"/>
        <v>89</v>
      </c>
      <c r="M99">
        <f t="shared" si="12"/>
        <v>4</v>
      </c>
      <c r="N99">
        <f t="shared" si="13"/>
        <v>92</v>
      </c>
      <c r="O99">
        <f t="shared" si="14"/>
        <v>0</v>
      </c>
      <c r="P99" t="str">
        <f t="shared" si="15"/>
        <v>未達成（3）</v>
      </c>
      <c r="Q99" s="5">
        <f t="shared" si="9"/>
        <v>1.0185185186855961E-2</v>
      </c>
    </row>
    <row r="100" spans="1:17">
      <c r="A100" s="3">
        <v>46002.315185185187</v>
      </c>
      <c r="B100">
        <v>53</v>
      </c>
      <c r="C100">
        <v>14</v>
      </c>
      <c r="D100">
        <v>0</v>
      </c>
      <c r="E100">
        <v>7</v>
      </c>
      <c r="F100">
        <v>5</v>
      </c>
      <c r="G100" s="5">
        <v>8.078703707724344E-3</v>
      </c>
      <c r="H100" t="s">
        <v>252</v>
      </c>
      <c r="I100" t="s">
        <v>253</v>
      </c>
      <c r="J100">
        <v>0</v>
      </c>
      <c r="K100">
        <f t="shared" si="10"/>
        <v>0</v>
      </c>
      <c r="L100">
        <f t="shared" si="11"/>
        <v>89</v>
      </c>
      <c r="M100">
        <f t="shared" si="12"/>
        <v>4</v>
      </c>
      <c r="N100">
        <f t="shared" si="13"/>
        <v>92</v>
      </c>
      <c r="O100">
        <f t="shared" si="14"/>
        <v>0</v>
      </c>
      <c r="P100" t="str">
        <f t="shared" si="15"/>
        <v>未達成（3）</v>
      </c>
      <c r="Q100" s="5">
        <f t="shared" si="9"/>
        <v>8.078703707724344E-3</v>
      </c>
    </row>
    <row r="101" spans="1:17">
      <c r="A101" s="3">
        <v>46002.372048611112</v>
      </c>
      <c r="B101">
        <v>60</v>
      </c>
      <c r="C101">
        <v>18</v>
      </c>
      <c r="D101">
        <v>0</v>
      </c>
      <c r="E101">
        <v>0</v>
      </c>
      <c r="F101">
        <v>0</v>
      </c>
      <c r="G101" s="5">
        <v>9.6412037019035779E-3</v>
      </c>
      <c r="H101" t="s">
        <v>254</v>
      </c>
      <c r="I101" t="s">
        <v>255</v>
      </c>
      <c r="J101">
        <v>0</v>
      </c>
      <c r="K101">
        <f t="shared" si="10"/>
        <v>1</v>
      </c>
      <c r="L101">
        <f t="shared" si="11"/>
        <v>90</v>
      </c>
      <c r="M101">
        <f t="shared" si="12"/>
        <v>4</v>
      </c>
      <c r="N101">
        <f t="shared" si="13"/>
        <v>92</v>
      </c>
      <c r="O101">
        <f t="shared" si="14"/>
        <v>0</v>
      </c>
      <c r="P101" t="str">
        <f t="shared" si="15"/>
        <v>未達成（2）</v>
      </c>
      <c r="Q101" s="5">
        <f t="shared" si="9"/>
        <v>9.6412037019035779E-3</v>
      </c>
    </row>
    <row r="102" spans="1:17">
      <c r="A102" s="3">
        <v>46002.381273148145</v>
      </c>
      <c r="B102">
        <v>60</v>
      </c>
      <c r="C102">
        <v>7</v>
      </c>
      <c r="D102">
        <v>0</v>
      </c>
      <c r="E102">
        <v>0</v>
      </c>
      <c r="F102">
        <v>0</v>
      </c>
      <c r="G102" s="5">
        <v>7.0833333302289248E-3</v>
      </c>
      <c r="H102" t="s">
        <v>256</v>
      </c>
      <c r="I102" t="s">
        <v>257</v>
      </c>
      <c r="J102">
        <v>0</v>
      </c>
      <c r="K102">
        <f t="shared" si="10"/>
        <v>1</v>
      </c>
      <c r="L102">
        <f t="shared" si="11"/>
        <v>91</v>
      </c>
      <c r="M102">
        <f t="shared" si="12"/>
        <v>4</v>
      </c>
      <c r="N102">
        <f t="shared" si="13"/>
        <v>92</v>
      </c>
      <c r="O102">
        <f t="shared" si="14"/>
        <v>0</v>
      </c>
      <c r="P102" t="str">
        <f t="shared" si="15"/>
        <v>未達成（1）</v>
      </c>
      <c r="Q102" s="5">
        <f t="shared" si="9"/>
        <v>7.0833333302289248E-3</v>
      </c>
    </row>
    <row r="103" spans="1:17">
      <c r="A103" s="3">
        <v>46002.400023148148</v>
      </c>
      <c r="B103">
        <v>60</v>
      </c>
      <c r="C103">
        <v>12</v>
      </c>
      <c r="D103">
        <v>0</v>
      </c>
      <c r="E103">
        <v>0</v>
      </c>
      <c r="F103">
        <v>0</v>
      </c>
      <c r="G103" s="5">
        <v>1.2152777773735579E-2</v>
      </c>
      <c r="H103" t="s">
        <v>258</v>
      </c>
      <c r="I103" t="s">
        <v>259</v>
      </c>
      <c r="J103">
        <v>0</v>
      </c>
      <c r="K103">
        <f t="shared" si="10"/>
        <v>1</v>
      </c>
      <c r="L103">
        <f t="shared" si="11"/>
        <v>92</v>
      </c>
      <c r="M103">
        <f t="shared" si="12"/>
        <v>4</v>
      </c>
      <c r="N103">
        <f t="shared" si="13"/>
        <v>92</v>
      </c>
      <c r="O103">
        <f t="shared" si="14"/>
        <v>0</v>
      </c>
      <c r="P103" t="str">
        <f t="shared" si="15"/>
        <v>達成</v>
      </c>
      <c r="Q103" s="5">
        <f t="shared" si="9"/>
        <v>1.2152777773735579E-2</v>
      </c>
    </row>
    <row r="104" spans="1:17">
      <c r="A104" s="3">
        <v>46003.272280092591</v>
      </c>
      <c r="B104">
        <v>60</v>
      </c>
      <c r="C104">
        <v>22</v>
      </c>
      <c r="D104">
        <v>0</v>
      </c>
      <c r="E104">
        <v>0</v>
      </c>
      <c r="F104">
        <v>0</v>
      </c>
      <c r="G104" s="5">
        <v>6.655092591245193E-3</v>
      </c>
      <c r="H104" t="s">
        <v>260</v>
      </c>
      <c r="I104" t="s">
        <v>261</v>
      </c>
      <c r="J104">
        <v>0</v>
      </c>
      <c r="K104">
        <f t="shared" si="10"/>
        <v>2</v>
      </c>
      <c r="L104">
        <f t="shared" si="11"/>
        <v>94</v>
      </c>
      <c r="M104">
        <f t="shared" si="12"/>
        <v>4</v>
      </c>
      <c r="N104">
        <f t="shared" si="13"/>
        <v>96</v>
      </c>
      <c r="O104">
        <f t="shared" si="14"/>
        <v>0</v>
      </c>
      <c r="P104" t="str">
        <f t="shared" si="15"/>
        <v>未達成（2）</v>
      </c>
      <c r="Q104" s="5">
        <f t="shared" si="9"/>
        <v>6.655092591245193E-3</v>
      </c>
    </row>
    <row r="105" spans="1:17">
      <c r="A105" s="3">
        <v>46003.28633101852</v>
      </c>
      <c r="B105">
        <v>60</v>
      </c>
      <c r="C105">
        <v>6</v>
      </c>
      <c r="D105">
        <v>0</v>
      </c>
      <c r="E105">
        <v>0</v>
      </c>
      <c r="F105">
        <v>0</v>
      </c>
      <c r="G105" s="5">
        <v>9.9074074096279219E-3</v>
      </c>
      <c r="H105" t="s">
        <v>262</v>
      </c>
      <c r="I105" t="s">
        <v>263</v>
      </c>
      <c r="J105">
        <v>0</v>
      </c>
      <c r="K105">
        <f t="shared" si="10"/>
        <v>1</v>
      </c>
      <c r="L105">
        <f t="shared" si="11"/>
        <v>95</v>
      </c>
      <c r="M105">
        <f t="shared" si="12"/>
        <v>4</v>
      </c>
      <c r="N105">
        <f t="shared" si="13"/>
        <v>96</v>
      </c>
      <c r="O105">
        <f t="shared" si="14"/>
        <v>0</v>
      </c>
      <c r="P105" t="str">
        <f t="shared" si="15"/>
        <v>未達成（1）</v>
      </c>
      <c r="Q105" s="5">
        <f t="shared" si="9"/>
        <v>9.9074074096279219E-3</v>
      </c>
    </row>
    <row r="106" spans="1:17">
      <c r="A106" s="3">
        <v>46003.295949074076</v>
      </c>
      <c r="B106">
        <v>60</v>
      </c>
      <c r="C106">
        <v>27</v>
      </c>
      <c r="D106">
        <v>0</v>
      </c>
      <c r="E106">
        <v>0</v>
      </c>
      <c r="F106">
        <v>0</v>
      </c>
      <c r="G106" s="5">
        <v>6.8981481526861899E-3</v>
      </c>
      <c r="H106" t="s">
        <v>264</v>
      </c>
      <c r="I106" t="s">
        <v>265</v>
      </c>
      <c r="J106">
        <v>0</v>
      </c>
      <c r="K106">
        <f t="shared" si="10"/>
        <v>2</v>
      </c>
      <c r="L106">
        <f t="shared" si="11"/>
        <v>97</v>
      </c>
      <c r="M106">
        <f t="shared" si="12"/>
        <v>4</v>
      </c>
      <c r="N106">
        <f t="shared" si="13"/>
        <v>96</v>
      </c>
      <c r="O106">
        <f t="shared" si="14"/>
        <v>0</v>
      </c>
      <c r="P106" t="str">
        <f t="shared" si="15"/>
        <v>前倒し（1）</v>
      </c>
      <c r="Q106" s="5">
        <f t="shared" si="9"/>
        <v>6.8981481526861899E-3</v>
      </c>
    </row>
    <row r="107" spans="1:17">
      <c r="A107" s="3">
        <v>46004.307025462964</v>
      </c>
      <c r="B107">
        <v>60</v>
      </c>
      <c r="C107">
        <v>20</v>
      </c>
      <c r="D107">
        <v>0</v>
      </c>
      <c r="E107">
        <v>0</v>
      </c>
      <c r="F107">
        <v>0</v>
      </c>
      <c r="G107" s="5">
        <v>7.4884259302052669E-3</v>
      </c>
      <c r="H107" t="s">
        <v>266</v>
      </c>
      <c r="I107" t="s">
        <v>267</v>
      </c>
      <c r="J107">
        <v>0</v>
      </c>
      <c r="K107">
        <f t="shared" si="10"/>
        <v>1</v>
      </c>
      <c r="L107">
        <f t="shared" si="11"/>
        <v>98</v>
      </c>
      <c r="M107">
        <f t="shared" si="12"/>
        <v>4</v>
      </c>
      <c r="N107">
        <f t="shared" si="13"/>
        <v>100</v>
      </c>
      <c r="O107">
        <f t="shared" si="14"/>
        <v>0</v>
      </c>
      <c r="P107" t="str">
        <f t="shared" si="15"/>
        <v>未達成（2）</v>
      </c>
      <c r="Q107" s="5">
        <f t="shared" si="9"/>
        <v>7.4884259302052669E-3</v>
      </c>
    </row>
    <row r="108" spans="1:17">
      <c r="A108" s="3">
        <v>46004.371006944442</v>
      </c>
      <c r="B108">
        <v>60</v>
      </c>
      <c r="C108">
        <v>24</v>
      </c>
      <c r="D108">
        <v>0</v>
      </c>
      <c r="E108">
        <v>0</v>
      </c>
      <c r="F108">
        <v>0</v>
      </c>
      <c r="G108" s="5">
        <v>5.9953703676001169E-3</v>
      </c>
      <c r="H108" t="s">
        <v>268</v>
      </c>
      <c r="I108" t="s">
        <v>269</v>
      </c>
      <c r="J108">
        <v>0</v>
      </c>
      <c r="K108">
        <f t="shared" si="10"/>
        <v>2</v>
      </c>
      <c r="L108">
        <f t="shared" si="11"/>
        <v>100</v>
      </c>
      <c r="M108">
        <f t="shared" si="12"/>
        <v>4</v>
      </c>
      <c r="N108">
        <f t="shared" si="13"/>
        <v>100</v>
      </c>
      <c r="O108">
        <f t="shared" si="14"/>
        <v>0</v>
      </c>
      <c r="P108" t="str">
        <f t="shared" si="15"/>
        <v>達成</v>
      </c>
      <c r="Q108" s="5">
        <f t="shared" si="9"/>
        <v>5.9953703676001169E-3</v>
      </c>
    </row>
    <row r="109" spans="1:17">
      <c r="A109" s="3">
        <v>46005.293657407405</v>
      </c>
      <c r="B109">
        <v>60</v>
      </c>
      <c r="C109">
        <v>9</v>
      </c>
      <c r="D109">
        <v>0</v>
      </c>
      <c r="E109">
        <v>0</v>
      </c>
      <c r="F109">
        <v>0</v>
      </c>
      <c r="G109" s="5">
        <v>9.4097222172422335E-3</v>
      </c>
      <c r="H109" t="s">
        <v>270</v>
      </c>
      <c r="I109" t="s">
        <v>271</v>
      </c>
      <c r="J109">
        <v>0</v>
      </c>
      <c r="K109">
        <f t="shared" si="10"/>
        <v>1</v>
      </c>
      <c r="L109">
        <f t="shared" si="11"/>
        <v>101</v>
      </c>
      <c r="M109">
        <f t="shared" si="12"/>
        <v>4</v>
      </c>
      <c r="N109">
        <f t="shared" si="13"/>
        <v>104</v>
      </c>
      <c r="O109">
        <f t="shared" si="14"/>
        <v>0</v>
      </c>
      <c r="P109" t="str">
        <f t="shared" si="15"/>
        <v>未達成（3）</v>
      </c>
      <c r="Q109" s="5">
        <f t="shared" si="9"/>
        <v>9.4097222172422335E-3</v>
      </c>
    </row>
    <row r="110" spans="1:17">
      <c r="A110" s="3">
        <v>46005.300185185188</v>
      </c>
      <c r="B110">
        <v>60</v>
      </c>
      <c r="C110">
        <v>13</v>
      </c>
      <c r="D110">
        <v>0</v>
      </c>
      <c r="E110">
        <v>0</v>
      </c>
      <c r="F110">
        <v>0</v>
      </c>
      <c r="G110" s="5">
        <v>4.8379629661212675E-3</v>
      </c>
      <c r="H110" t="s">
        <v>272</v>
      </c>
      <c r="I110" t="s">
        <v>273</v>
      </c>
      <c r="J110">
        <v>0</v>
      </c>
      <c r="K110">
        <f t="shared" si="10"/>
        <v>2</v>
      </c>
      <c r="L110">
        <f t="shared" si="11"/>
        <v>103</v>
      </c>
      <c r="M110">
        <f t="shared" si="12"/>
        <v>4</v>
      </c>
      <c r="N110">
        <f t="shared" si="13"/>
        <v>104</v>
      </c>
      <c r="O110">
        <f t="shared" si="14"/>
        <v>0</v>
      </c>
      <c r="P110" t="str">
        <f t="shared" si="15"/>
        <v>未達成（1）</v>
      </c>
      <c r="Q110" s="5">
        <f t="shared" si="9"/>
        <v>4.8379629661212675E-3</v>
      </c>
    </row>
    <row r="111" spans="1:17">
      <c r="A111" s="3">
        <v>46005.307916666665</v>
      </c>
      <c r="B111">
        <v>60</v>
      </c>
      <c r="C111">
        <v>16</v>
      </c>
      <c r="D111">
        <v>0</v>
      </c>
      <c r="E111">
        <v>0</v>
      </c>
      <c r="F111">
        <v>0</v>
      </c>
      <c r="G111" s="5">
        <v>5.9259259214741178E-3</v>
      </c>
      <c r="H111" t="s">
        <v>274</v>
      </c>
      <c r="I111" t="s">
        <v>275</v>
      </c>
      <c r="J111">
        <v>0</v>
      </c>
      <c r="K111">
        <f t="shared" si="10"/>
        <v>2</v>
      </c>
      <c r="L111">
        <f t="shared" si="11"/>
        <v>105</v>
      </c>
      <c r="M111">
        <f t="shared" si="12"/>
        <v>4</v>
      </c>
      <c r="N111">
        <f t="shared" si="13"/>
        <v>104</v>
      </c>
      <c r="O111">
        <f t="shared" si="14"/>
        <v>0</v>
      </c>
      <c r="P111" t="str">
        <f t="shared" si="15"/>
        <v>前倒し（1）</v>
      </c>
      <c r="Q111" s="5">
        <f t="shared" si="9"/>
        <v>5.9259259214741178E-3</v>
      </c>
    </row>
    <row r="112" spans="1:17">
      <c r="A112" s="3">
        <v>46006.28056712963</v>
      </c>
      <c r="B112">
        <v>60</v>
      </c>
      <c r="C112">
        <v>7</v>
      </c>
      <c r="D112">
        <v>0</v>
      </c>
      <c r="E112">
        <v>0</v>
      </c>
      <c r="F112">
        <v>0</v>
      </c>
      <c r="G112" s="5">
        <v>6.2962962983874604E-3</v>
      </c>
      <c r="H112" t="s">
        <v>276</v>
      </c>
      <c r="I112" t="s">
        <v>277</v>
      </c>
      <c r="J112">
        <v>0</v>
      </c>
      <c r="K112">
        <f t="shared" si="10"/>
        <v>2</v>
      </c>
      <c r="L112">
        <f t="shared" si="11"/>
        <v>107</v>
      </c>
      <c r="M112">
        <f t="shared" si="12"/>
        <v>4</v>
      </c>
      <c r="N112">
        <f t="shared" si="13"/>
        <v>108</v>
      </c>
      <c r="O112">
        <f t="shared" si="14"/>
        <v>0</v>
      </c>
      <c r="P112" t="str">
        <f t="shared" si="15"/>
        <v>未達成（1）</v>
      </c>
      <c r="Q112" s="5">
        <f t="shared" si="9"/>
        <v>6.2962962983874604E-3</v>
      </c>
    </row>
    <row r="113" spans="1:17">
      <c r="A113" s="3">
        <v>46006.299976851849</v>
      </c>
      <c r="B113">
        <v>60</v>
      </c>
      <c r="C113">
        <v>22</v>
      </c>
      <c r="D113">
        <v>0</v>
      </c>
      <c r="E113">
        <v>0</v>
      </c>
      <c r="F113">
        <v>0</v>
      </c>
      <c r="G113" s="5">
        <v>1.077546295709908E-2</v>
      </c>
      <c r="H113" t="s">
        <v>278</v>
      </c>
      <c r="I113" t="s">
        <v>279</v>
      </c>
      <c r="J113">
        <v>0</v>
      </c>
      <c r="K113">
        <f t="shared" si="10"/>
        <v>1</v>
      </c>
      <c r="L113">
        <f t="shared" si="11"/>
        <v>108</v>
      </c>
      <c r="M113">
        <f t="shared" si="12"/>
        <v>4</v>
      </c>
      <c r="N113">
        <f t="shared" si="13"/>
        <v>108</v>
      </c>
      <c r="O113">
        <f t="shared" si="14"/>
        <v>0</v>
      </c>
      <c r="P113" t="str">
        <f t="shared" si="15"/>
        <v>達成</v>
      </c>
      <c r="Q113" s="5">
        <f t="shared" si="9"/>
        <v>1.077546295709908E-2</v>
      </c>
    </row>
    <row r="114" spans="1:17">
      <c r="A114" s="3">
        <v>46007.284803240742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6.3425925909541547E-3</v>
      </c>
      <c r="H114" t="s">
        <v>280</v>
      </c>
      <c r="I114" t="s">
        <v>281</v>
      </c>
      <c r="J114">
        <v>0</v>
      </c>
      <c r="K114">
        <f t="shared" si="10"/>
        <v>2</v>
      </c>
      <c r="L114">
        <f t="shared" si="11"/>
        <v>110</v>
      </c>
      <c r="M114">
        <f t="shared" si="12"/>
        <v>4</v>
      </c>
      <c r="N114">
        <f t="shared" si="13"/>
        <v>112</v>
      </c>
      <c r="O114">
        <f t="shared" si="14"/>
        <v>0</v>
      </c>
      <c r="P114" t="str">
        <f t="shared" si="15"/>
        <v>未達成（2）</v>
      </c>
      <c r="Q114" s="5">
        <f t="shared" si="9"/>
        <v>6.3425925909541547E-3</v>
      </c>
    </row>
    <row r="115" spans="1:17">
      <c r="A115" s="3">
        <v>46007.309988425928</v>
      </c>
      <c r="B115">
        <v>60</v>
      </c>
      <c r="C115">
        <v>4</v>
      </c>
      <c r="D115">
        <v>0</v>
      </c>
      <c r="E115">
        <v>0</v>
      </c>
      <c r="F115">
        <v>0</v>
      </c>
      <c r="G115" s="5">
        <v>8.819444446999114E-3</v>
      </c>
      <c r="H115" t="s">
        <v>282</v>
      </c>
      <c r="I115" t="s">
        <v>283</v>
      </c>
      <c r="J115">
        <v>0</v>
      </c>
      <c r="K115">
        <f t="shared" si="10"/>
        <v>1</v>
      </c>
      <c r="L115">
        <f t="shared" si="11"/>
        <v>111</v>
      </c>
      <c r="M115">
        <f t="shared" si="12"/>
        <v>4</v>
      </c>
      <c r="N115">
        <f t="shared" si="13"/>
        <v>112</v>
      </c>
      <c r="O115">
        <f t="shared" si="14"/>
        <v>0</v>
      </c>
      <c r="P115" t="str">
        <f t="shared" si="15"/>
        <v>未達成（1）</v>
      </c>
      <c r="Q115" s="5">
        <f t="shared" si="9"/>
        <v>8.819444446999114E-3</v>
      </c>
    </row>
    <row r="116" spans="1:17">
      <c r="A116" s="3">
        <v>46007.322476851848</v>
      </c>
      <c r="B116">
        <v>60</v>
      </c>
      <c r="C116">
        <v>8</v>
      </c>
      <c r="D116">
        <v>0</v>
      </c>
      <c r="E116">
        <v>0</v>
      </c>
      <c r="F116">
        <v>0</v>
      </c>
      <c r="G116" s="5">
        <v>7.6504629614646547E-3</v>
      </c>
      <c r="H116" t="s">
        <v>284</v>
      </c>
      <c r="I116" t="s">
        <v>285</v>
      </c>
      <c r="J116">
        <v>0</v>
      </c>
      <c r="K116">
        <f t="shared" si="10"/>
        <v>1</v>
      </c>
      <c r="L116">
        <f t="shared" si="11"/>
        <v>112</v>
      </c>
      <c r="M116">
        <f t="shared" si="12"/>
        <v>4</v>
      </c>
      <c r="N116">
        <f t="shared" si="13"/>
        <v>112</v>
      </c>
      <c r="O116">
        <f t="shared" si="14"/>
        <v>0</v>
      </c>
      <c r="P116" t="str">
        <f t="shared" si="15"/>
        <v>達成</v>
      </c>
      <c r="Q116" s="5">
        <f t="shared" si="9"/>
        <v>7.6504629614646547E-3</v>
      </c>
    </row>
    <row r="117" spans="1:17">
      <c r="A117" s="3">
        <v>46008.31181712963</v>
      </c>
      <c r="B117">
        <v>60</v>
      </c>
      <c r="C117">
        <v>13</v>
      </c>
      <c r="D117">
        <v>0</v>
      </c>
      <c r="E117">
        <v>0</v>
      </c>
      <c r="F117">
        <v>0</v>
      </c>
      <c r="G117" s="5">
        <v>7.8472222230629995E-3</v>
      </c>
      <c r="H117" t="s">
        <v>286</v>
      </c>
      <c r="I117" t="s">
        <v>287</v>
      </c>
      <c r="J117">
        <v>0</v>
      </c>
      <c r="K117">
        <f t="shared" si="10"/>
        <v>1</v>
      </c>
      <c r="L117">
        <f t="shared" si="11"/>
        <v>113</v>
      </c>
      <c r="M117">
        <f t="shared" si="12"/>
        <v>4</v>
      </c>
      <c r="N117">
        <f t="shared" si="13"/>
        <v>116</v>
      </c>
      <c r="O117">
        <f t="shared" si="14"/>
        <v>0</v>
      </c>
      <c r="P117" t="str">
        <f t="shared" si="15"/>
        <v>未達成（3）</v>
      </c>
      <c r="Q117" s="5">
        <f t="shared" si="9"/>
        <v>7.8472222230629995E-3</v>
      </c>
    </row>
    <row r="118" spans="1:17">
      <c r="A118" s="3">
        <v>46008.480613425927</v>
      </c>
      <c r="B118">
        <v>60</v>
      </c>
      <c r="C118">
        <v>8</v>
      </c>
      <c r="D118">
        <v>0</v>
      </c>
      <c r="E118">
        <v>0</v>
      </c>
      <c r="F118">
        <v>0</v>
      </c>
      <c r="G118" s="5">
        <v>1.3935185183072463E-2</v>
      </c>
      <c r="H118" t="s">
        <v>288</v>
      </c>
      <c r="I118" t="s">
        <v>289</v>
      </c>
      <c r="J118">
        <v>0</v>
      </c>
      <c r="K118">
        <f t="shared" si="10"/>
        <v>0</v>
      </c>
      <c r="L118">
        <f t="shared" si="11"/>
        <v>113</v>
      </c>
      <c r="M118">
        <f t="shared" si="12"/>
        <v>4</v>
      </c>
      <c r="N118">
        <f t="shared" si="13"/>
        <v>116</v>
      </c>
      <c r="O118">
        <f t="shared" si="14"/>
        <v>0</v>
      </c>
      <c r="P118" t="str">
        <f t="shared" si="15"/>
        <v>未達成（3）</v>
      </c>
      <c r="Q118" s="5">
        <f t="shared" si="9"/>
        <v>1.3935185183072463E-2</v>
      </c>
    </row>
    <row r="119" spans="1:17">
      <c r="A119" s="3">
        <v>46008.556168981479</v>
      </c>
      <c r="B119">
        <v>60</v>
      </c>
      <c r="C119">
        <v>20</v>
      </c>
      <c r="D119">
        <v>0</v>
      </c>
      <c r="E119">
        <v>0</v>
      </c>
      <c r="F119">
        <v>0</v>
      </c>
      <c r="G119" s="5">
        <v>8.8425925932824612E-3</v>
      </c>
      <c r="H119" t="s">
        <v>290</v>
      </c>
      <c r="I119" t="s">
        <v>291</v>
      </c>
      <c r="J119">
        <v>0</v>
      </c>
      <c r="K119">
        <f t="shared" si="10"/>
        <v>1</v>
      </c>
      <c r="L119">
        <f t="shared" si="11"/>
        <v>114</v>
      </c>
      <c r="M119">
        <f t="shared" si="12"/>
        <v>4</v>
      </c>
      <c r="N119">
        <f t="shared" si="13"/>
        <v>116</v>
      </c>
      <c r="O119">
        <f t="shared" si="14"/>
        <v>0</v>
      </c>
      <c r="P119" t="str">
        <f t="shared" si="15"/>
        <v>未達成（2）</v>
      </c>
      <c r="Q119" s="5">
        <f t="shared" si="9"/>
        <v>8.8425925932824612E-3</v>
      </c>
    </row>
    <row r="120" spans="1:17">
      <c r="A120" s="3">
        <v>46008.573888888888</v>
      </c>
      <c r="B120">
        <v>60</v>
      </c>
      <c r="C120">
        <v>8</v>
      </c>
      <c r="D120">
        <v>0</v>
      </c>
      <c r="E120">
        <v>0</v>
      </c>
      <c r="F120">
        <v>0</v>
      </c>
      <c r="G120" s="5">
        <v>6.435185183363501E-3</v>
      </c>
      <c r="H120" t="s">
        <v>292</v>
      </c>
      <c r="I120" t="s">
        <v>293</v>
      </c>
      <c r="J120">
        <v>0</v>
      </c>
      <c r="K120">
        <f t="shared" si="10"/>
        <v>2</v>
      </c>
      <c r="L120">
        <f t="shared" si="11"/>
        <v>116</v>
      </c>
      <c r="M120">
        <f t="shared" si="12"/>
        <v>4</v>
      </c>
      <c r="N120">
        <f t="shared" si="13"/>
        <v>116</v>
      </c>
      <c r="O120">
        <f t="shared" si="14"/>
        <v>0</v>
      </c>
      <c r="P120" t="str">
        <f t="shared" si="15"/>
        <v>達成</v>
      </c>
      <c r="Q120" s="5">
        <f t="shared" si="9"/>
        <v>6.435185183363501E-3</v>
      </c>
    </row>
    <row r="121" spans="1:17">
      <c r="A121" s="3">
        <v>46009.282060185185</v>
      </c>
      <c r="B121">
        <v>60</v>
      </c>
      <c r="C121">
        <v>11</v>
      </c>
      <c r="D121">
        <v>0</v>
      </c>
      <c r="E121">
        <v>0</v>
      </c>
      <c r="F121">
        <v>0</v>
      </c>
      <c r="G121" s="5">
        <v>7.8009259232203476E-3</v>
      </c>
      <c r="H121" t="s">
        <v>294</v>
      </c>
      <c r="I121" t="s">
        <v>295</v>
      </c>
      <c r="J121">
        <v>0</v>
      </c>
      <c r="K121">
        <f t="shared" si="10"/>
        <v>1</v>
      </c>
      <c r="L121">
        <f t="shared" si="11"/>
        <v>117</v>
      </c>
      <c r="M121">
        <f t="shared" si="12"/>
        <v>4</v>
      </c>
      <c r="N121">
        <f t="shared" si="13"/>
        <v>120</v>
      </c>
      <c r="O121">
        <f t="shared" si="14"/>
        <v>0</v>
      </c>
      <c r="P121" t="str">
        <f t="shared" si="15"/>
        <v>未達成（3）</v>
      </c>
      <c r="Q121" s="5">
        <f t="shared" si="9"/>
        <v>7.8009259232203476E-3</v>
      </c>
    </row>
    <row r="122" spans="1:17">
      <c r="A122" s="3">
        <v>46009.293854166666</v>
      </c>
      <c r="B122">
        <v>60</v>
      </c>
      <c r="C122">
        <v>8</v>
      </c>
      <c r="D122">
        <v>0</v>
      </c>
      <c r="E122">
        <v>0</v>
      </c>
      <c r="F122">
        <v>0</v>
      </c>
      <c r="G122" s="5">
        <v>8.3796296312357299E-3</v>
      </c>
      <c r="H122" t="s">
        <v>296</v>
      </c>
      <c r="I122" t="s">
        <v>297</v>
      </c>
      <c r="J122">
        <v>0</v>
      </c>
      <c r="K122">
        <f t="shared" si="10"/>
        <v>1</v>
      </c>
      <c r="L122">
        <f t="shared" si="11"/>
        <v>118</v>
      </c>
      <c r="M122">
        <f t="shared" si="12"/>
        <v>4</v>
      </c>
      <c r="N122">
        <f t="shared" si="13"/>
        <v>120</v>
      </c>
      <c r="O122">
        <f t="shared" si="14"/>
        <v>0</v>
      </c>
      <c r="P122" t="str">
        <f t="shared" si="15"/>
        <v>未達成（2）</v>
      </c>
      <c r="Q122" s="5">
        <f t="shared" si="9"/>
        <v>8.3796296312357299E-3</v>
      </c>
    </row>
    <row r="123" spans="1:17">
      <c r="A123" s="3">
        <v>46009.372372685182</v>
      </c>
      <c r="B123">
        <v>53</v>
      </c>
      <c r="C123">
        <v>4</v>
      </c>
      <c r="D123">
        <v>0</v>
      </c>
      <c r="E123">
        <v>7</v>
      </c>
      <c r="F123">
        <v>5</v>
      </c>
      <c r="G123" s="5">
        <v>9.5717592557775788E-3</v>
      </c>
      <c r="H123" t="s">
        <v>298</v>
      </c>
      <c r="I123" t="s">
        <v>299</v>
      </c>
      <c r="J123">
        <v>0</v>
      </c>
      <c r="K123">
        <f t="shared" si="10"/>
        <v>0</v>
      </c>
      <c r="L123">
        <f t="shared" si="11"/>
        <v>118</v>
      </c>
      <c r="M123">
        <f t="shared" si="12"/>
        <v>4</v>
      </c>
      <c r="N123">
        <f t="shared" si="13"/>
        <v>120</v>
      </c>
      <c r="O123">
        <f t="shared" si="14"/>
        <v>0</v>
      </c>
      <c r="P123" t="str">
        <f t="shared" si="15"/>
        <v>未達成（2）</v>
      </c>
      <c r="Q123" s="5">
        <f t="shared" si="9"/>
        <v>9.5717592557775788E-3</v>
      </c>
    </row>
    <row r="124" spans="1:17">
      <c r="A124" s="3">
        <v>46009.600648148145</v>
      </c>
      <c r="B124">
        <v>60</v>
      </c>
      <c r="C124">
        <v>8</v>
      </c>
      <c r="D124">
        <v>0</v>
      </c>
      <c r="E124">
        <v>0</v>
      </c>
      <c r="F124">
        <v>0</v>
      </c>
      <c r="G124" s="5">
        <v>6.5277777757728472E-3</v>
      </c>
      <c r="H124" t="s">
        <v>300</v>
      </c>
      <c r="I124" t="s">
        <v>301</v>
      </c>
      <c r="J124">
        <v>0</v>
      </c>
      <c r="K124">
        <f t="shared" si="10"/>
        <v>2</v>
      </c>
      <c r="L124">
        <f t="shared" si="11"/>
        <v>120</v>
      </c>
      <c r="M124">
        <f t="shared" si="12"/>
        <v>4</v>
      </c>
      <c r="N124">
        <f t="shared" si="13"/>
        <v>120</v>
      </c>
      <c r="O124">
        <f t="shared" si="14"/>
        <v>0</v>
      </c>
      <c r="P124" t="str">
        <f t="shared" si="15"/>
        <v>達成</v>
      </c>
      <c r="Q124" s="5">
        <f t="shared" si="9"/>
        <v>6.5277777757728472E-3</v>
      </c>
    </row>
    <row r="125" spans="1:17">
      <c r="A125" s="3">
        <v>46010.489201388889</v>
      </c>
      <c r="B125">
        <v>60</v>
      </c>
      <c r="C125">
        <v>15</v>
      </c>
      <c r="D125">
        <v>0</v>
      </c>
      <c r="E125">
        <v>0</v>
      </c>
      <c r="F125">
        <v>0</v>
      </c>
      <c r="G125" s="5">
        <v>1.0011574071540963E-2</v>
      </c>
      <c r="H125" t="s">
        <v>302</v>
      </c>
      <c r="I125" t="s">
        <v>303</v>
      </c>
      <c r="J125">
        <v>0</v>
      </c>
      <c r="K125">
        <f t="shared" si="10"/>
        <v>1</v>
      </c>
      <c r="L125">
        <f t="shared" si="11"/>
        <v>121</v>
      </c>
      <c r="M125">
        <f t="shared" si="12"/>
        <v>4</v>
      </c>
      <c r="N125">
        <f t="shared" si="13"/>
        <v>124</v>
      </c>
      <c r="O125">
        <f t="shared" si="14"/>
        <v>0</v>
      </c>
      <c r="P125" t="str">
        <f t="shared" si="15"/>
        <v>未達成（3）</v>
      </c>
      <c r="Q125" s="5">
        <f t="shared" si="9"/>
        <v>1.0011574071540963E-2</v>
      </c>
    </row>
    <row r="126" spans="1:17">
      <c r="A126" s="3">
        <v>46010.549768518518</v>
      </c>
      <c r="B126">
        <v>60</v>
      </c>
      <c r="C126">
        <v>14</v>
      </c>
      <c r="D126">
        <v>0</v>
      </c>
      <c r="E126">
        <v>0</v>
      </c>
      <c r="F126">
        <v>0</v>
      </c>
      <c r="G126" s="5">
        <v>6.7361111141508445E-3</v>
      </c>
      <c r="H126" t="s">
        <v>304</v>
      </c>
      <c r="I126" t="s">
        <v>305</v>
      </c>
      <c r="J126">
        <v>0</v>
      </c>
      <c r="K126">
        <f t="shared" si="10"/>
        <v>2</v>
      </c>
      <c r="L126">
        <f t="shared" si="11"/>
        <v>123</v>
      </c>
      <c r="M126">
        <f t="shared" si="12"/>
        <v>4</v>
      </c>
      <c r="N126">
        <f t="shared" si="13"/>
        <v>124</v>
      </c>
      <c r="O126">
        <f t="shared" si="14"/>
        <v>0</v>
      </c>
      <c r="P126" t="str">
        <f t="shared" si="15"/>
        <v>未達成（1）</v>
      </c>
      <c r="Q126" s="5">
        <f t="shared" si="9"/>
        <v>6.7361111141508445E-3</v>
      </c>
    </row>
    <row r="127" spans="1:17">
      <c r="A127" s="3">
        <v>46010.559502314813</v>
      </c>
      <c r="B127">
        <v>60</v>
      </c>
      <c r="C127">
        <v>6</v>
      </c>
      <c r="D127">
        <v>0</v>
      </c>
      <c r="E127">
        <v>0</v>
      </c>
      <c r="F127">
        <v>0</v>
      </c>
      <c r="G127" s="5">
        <v>8.4606481468654238E-3</v>
      </c>
      <c r="H127" t="s">
        <v>306</v>
      </c>
      <c r="I127" t="s">
        <v>307</v>
      </c>
      <c r="J127">
        <v>0</v>
      </c>
      <c r="K127">
        <f t="shared" si="10"/>
        <v>1</v>
      </c>
      <c r="L127">
        <f t="shared" si="11"/>
        <v>124</v>
      </c>
      <c r="M127">
        <f t="shared" si="12"/>
        <v>4</v>
      </c>
      <c r="N127">
        <f t="shared" si="13"/>
        <v>124</v>
      </c>
      <c r="O127">
        <f t="shared" si="14"/>
        <v>0</v>
      </c>
      <c r="P127" t="str">
        <f t="shared" si="15"/>
        <v>達成</v>
      </c>
      <c r="Q127" s="5">
        <f t="shared" si="9"/>
        <v>8.4606481468654238E-3</v>
      </c>
    </row>
    <row r="128" spans="1:17">
      <c r="A128" s="3">
        <v>46011.279826388891</v>
      </c>
      <c r="B128">
        <v>60</v>
      </c>
      <c r="C128">
        <v>16</v>
      </c>
      <c r="D128">
        <v>0</v>
      </c>
      <c r="E128">
        <v>0</v>
      </c>
      <c r="F128">
        <v>0</v>
      </c>
      <c r="G128" s="5">
        <v>8.0208333383779973E-3</v>
      </c>
      <c r="H128" t="s">
        <v>308</v>
      </c>
      <c r="I128" t="s">
        <v>309</v>
      </c>
      <c r="J128">
        <v>0</v>
      </c>
      <c r="K128">
        <f t="shared" si="10"/>
        <v>1</v>
      </c>
      <c r="L128">
        <f t="shared" si="11"/>
        <v>125</v>
      </c>
      <c r="M128">
        <f t="shared" si="12"/>
        <v>4</v>
      </c>
      <c r="N128">
        <f t="shared" si="13"/>
        <v>128</v>
      </c>
      <c r="O128">
        <f t="shared" si="14"/>
        <v>0</v>
      </c>
      <c r="P128" t="str">
        <f t="shared" si="15"/>
        <v>未達成（3）</v>
      </c>
      <c r="Q128" s="5">
        <f t="shared" si="9"/>
        <v>8.0208333383779973E-3</v>
      </c>
    </row>
    <row r="129" spans="1:17">
      <c r="A129" s="3">
        <v>46011.312511574077</v>
      </c>
      <c r="B129">
        <v>60</v>
      </c>
      <c r="C129">
        <v>20</v>
      </c>
      <c r="D129">
        <v>0</v>
      </c>
      <c r="E129">
        <v>0</v>
      </c>
      <c r="F129">
        <v>0</v>
      </c>
      <c r="G129" s="5">
        <v>5.9722222213167697E-3</v>
      </c>
      <c r="H129" t="s">
        <v>310</v>
      </c>
      <c r="I129" t="s">
        <v>311</v>
      </c>
      <c r="J129">
        <v>0</v>
      </c>
      <c r="K129">
        <f t="shared" si="10"/>
        <v>2</v>
      </c>
      <c r="L129">
        <f t="shared" si="11"/>
        <v>127</v>
      </c>
      <c r="M129">
        <f t="shared" si="12"/>
        <v>4</v>
      </c>
      <c r="N129">
        <f t="shared" si="13"/>
        <v>128</v>
      </c>
      <c r="O129">
        <f t="shared" si="14"/>
        <v>0</v>
      </c>
      <c r="P129" t="str">
        <f t="shared" si="15"/>
        <v>未達成（1）</v>
      </c>
      <c r="Q129" s="5">
        <f t="shared" si="9"/>
        <v>5.9722222213167697E-3</v>
      </c>
    </row>
    <row r="130" spans="1:17">
      <c r="A130" s="3">
        <v>46011.325300925928</v>
      </c>
      <c r="B130">
        <v>60</v>
      </c>
      <c r="C130">
        <v>24</v>
      </c>
      <c r="D130">
        <v>0</v>
      </c>
      <c r="E130">
        <v>0</v>
      </c>
      <c r="F130">
        <v>0</v>
      </c>
      <c r="G130" s="5">
        <v>9.0625000011641532E-3</v>
      </c>
      <c r="H130" t="s">
        <v>312</v>
      </c>
      <c r="I130" t="s">
        <v>313</v>
      </c>
      <c r="J130">
        <v>0</v>
      </c>
      <c r="K130">
        <f t="shared" si="10"/>
        <v>1</v>
      </c>
      <c r="L130">
        <f t="shared" si="11"/>
        <v>128</v>
      </c>
      <c r="M130">
        <f t="shared" si="12"/>
        <v>4</v>
      </c>
      <c r="N130">
        <f t="shared" si="13"/>
        <v>128</v>
      </c>
      <c r="O130">
        <f t="shared" si="14"/>
        <v>0</v>
      </c>
      <c r="P130" t="str">
        <f t="shared" si="15"/>
        <v>達成</v>
      </c>
      <c r="Q130" s="5">
        <f t="shared" si="9"/>
        <v>9.0625000011641532E-3</v>
      </c>
    </row>
    <row r="131" spans="1:17">
      <c r="A131" s="3">
        <v>46012.306608796294</v>
      </c>
      <c r="B131">
        <v>60</v>
      </c>
      <c r="C131">
        <v>13</v>
      </c>
      <c r="D131">
        <v>0</v>
      </c>
      <c r="E131">
        <v>0</v>
      </c>
      <c r="F131">
        <v>0</v>
      </c>
      <c r="G131" s="5">
        <v>6.5162036989931948E-3</v>
      </c>
      <c r="H131" t="s">
        <v>314</v>
      </c>
      <c r="I131" t="s">
        <v>315</v>
      </c>
      <c r="J131">
        <v>0</v>
      </c>
      <c r="K131">
        <f t="shared" si="10"/>
        <v>2</v>
      </c>
      <c r="L131">
        <f t="shared" si="11"/>
        <v>130</v>
      </c>
      <c r="M131">
        <f t="shared" si="12"/>
        <v>4</v>
      </c>
      <c r="N131">
        <f t="shared" si="13"/>
        <v>132</v>
      </c>
      <c r="O131">
        <f t="shared" si="14"/>
        <v>0</v>
      </c>
      <c r="P131" t="str">
        <f t="shared" si="15"/>
        <v>未達成（2）</v>
      </c>
      <c r="Q131" s="5">
        <f t="shared" si="9"/>
        <v>6.5162036989931948E-3</v>
      </c>
    </row>
    <row r="132" spans="1:17">
      <c r="A132" s="3">
        <v>46012.318067129629</v>
      </c>
      <c r="B132">
        <v>60</v>
      </c>
      <c r="C132">
        <v>24</v>
      </c>
      <c r="D132">
        <v>0</v>
      </c>
      <c r="E132">
        <v>0</v>
      </c>
      <c r="F132">
        <v>0</v>
      </c>
      <c r="G132" s="5">
        <v>6.8634259223472327E-3</v>
      </c>
      <c r="H132" t="s">
        <v>316</v>
      </c>
      <c r="I132" t="s">
        <v>317</v>
      </c>
      <c r="J132">
        <v>0</v>
      </c>
      <c r="K132">
        <f t="shared" si="10"/>
        <v>2</v>
      </c>
      <c r="L132">
        <f t="shared" si="11"/>
        <v>132</v>
      </c>
      <c r="M132">
        <f t="shared" si="12"/>
        <v>4</v>
      </c>
      <c r="N132">
        <f t="shared" si="13"/>
        <v>132</v>
      </c>
      <c r="O132">
        <f t="shared" si="14"/>
        <v>0</v>
      </c>
      <c r="P132" t="str">
        <f t="shared" si="15"/>
        <v>達成</v>
      </c>
      <c r="Q132" s="5">
        <f t="shared" ref="Q132:Q185" si="16">IF(B132="",NA(),G132)</f>
        <v>6.8634259223472327E-3</v>
      </c>
    </row>
    <row r="133" spans="1:17">
      <c r="A133" s="3">
        <v>46013.314039351855</v>
      </c>
      <c r="B133">
        <v>60</v>
      </c>
      <c r="C133">
        <v>18</v>
      </c>
      <c r="D133">
        <v>0</v>
      </c>
      <c r="E133">
        <v>0</v>
      </c>
      <c r="F133">
        <v>0</v>
      </c>
      <c r="G133" s="5">
        <v>7.6967592613073066E-3</v>
      </c>
      <c r="H133" t="s">
        <v>318</v>
      </c>
      <c r="I133" t="s">
        <v>319</v>
      </c>
      <c r="J133">
        <v>0</v>
      </c>
      <c r="K133">
        <f t="shared" si="10"/>
        <v>1</v>
      </c>
      <c r="L133">
        <f t="shared" si="11"/>
        <v>133</v>
      </c>
      <c r="M133">
        <f t="shared" si="12"/>
        <v>4</v>
      </c>
      <c r="N133">
        <f t="shared" si="13"/>
        <v>136</v>
      </c>
      <c r="O133">
        <f t="shared" si="14"/>
        <v>0</v>
      </c>
      <c r="P133" t="str">
        <f t="shared" si="15"/>
        <v>未達成（3）</v>
      </c>
      <c r="Q133" s="5">
        <f t="shared" si="16"/>
        <v>7.6967592613073066E-3</v>
      </c>
    </row>
    <row r="134" spans="1:17">
      <c r="A134" s="3">
        <v>46013.368958333333</v>
      </c>
      <c r="B134">
        <v>55</v>
      </c>
      <c r="C134">
        <v>7</v>
      </c>
      <c r="D134">
        <v>0</v>
      </c>
      <c r="E134">
        <v>5</v>
      </c>
      <c r="F134">
        <v>0</v>
      </c>
      <c r="G134" s="5">
        <v>8.599537039117422E-3</v>
      </c>
      <c r="H134" t="s">
        <v>320</v>
      </c>
      <c r="I134" t="s">
        <v>321</v>
      </c>
      <c r="J134">
        <v>0</v>
      </c>
      <c r="K134">
        <f t="shared" si="10"/>
        <v>0</v>
      </c>
      <c r="L134">
        <f t="shared" si="11"/>
        <v>133</v>
      </c>
      <c r="M134">
        <f t="shared" si="12"/>
        <v>4</v>
      </c>
      <c r="N134">
        <f t="shared" si="13"/>
        <v>136</v>
      </c>
      <c r="O134">
        <f t="shared" si="14"/>
        <v>0</v>
      </c>
      <c r="P134" t="str">
        <f t="shared" si="15"/>
        <v>未達成（3）</v>
      </c>
      <c r="Q134" s="5">
        <f t="shared" si="16"/>
        <v>8.599537039117422E-3</v>
      </c>
    </row>
    <row r="135" spans="1:17">
      <c r="A135" s="3">
        <v>46013.860532407409</v>
      </c>
      <c r="B135">
        <v>60</v>
      </c>
      <c r="C135">
        <v>2</v>
      </c>
      <c r="D135">
        <v>0</v>
      </c>
      <c r="E135">
        <v>0</v>
      </c>
      <c r="F135">
        <v>0</v>
      </c>
      <c r="G135" s="5">
        <v>1.0312500002328306E-2</v>
      </c>
      <c r="H135" t="s">
        <v>322</v>
      </c>
      <c r="I135" t="s">
        <v>323</v>
      </c>
      <c r="J135">
        <v>0</v>
      </c>
      <c r="K135">
        <f t="shared" si="10"/>
        <v>1</v>
      </c>
      <c r="L135">
        <f t="shared" si="11"/>
        <v>134</v>
      </c>
      <c r="M135">
        <f t="shared" si="12"/>
        <v>4</v>
      </c>
      <c r="N135">
        <f t="shared" si="13"/>
        <v>136</v>
      </c>
      <c r="O135">
        <f t="shared" si="14"/>
        <v>0</v>
      </c>
      <c r="P135" t="str">
        <f t="shared" si="15"/>
        <v>未達成（2）</v>
      </c>
      <c r="Q135" s="5">
        <f t="shared" si="16"/>
        <v>1.0312500002328306E-2</v>
      </c>
    </row>
    <row r="136" spans="1:17">
      <c r="A136" s="3">
        <v>46013.8671412037</v>
      </c>
      <c r="B136">
        <v>60</v>
      </c>
      <c r="C136">
        <v>18</v>
      </c>
      <c r="D136">
        <v>0</v>
      </c>
      <c r="E136">
        <v>0</v>
      </c>
      <c r="F136">
        <v>0</v>
      </c>
      <c r="G136" s="5">
        <v>6.2731481448281556E-3</v>
      </c>
      <c r="H136" t="s">
        <v>324</v>
      </c>
      <c r="I136" t="s">
        <v>325</v>
      </c>
      <c r="J136">
        <v>0</v>
      </c>
      <c r="K136">
        <f t="shared" si="10"/>
        <v>2</v>
      </c>
      <c r="L136">
        <f t="shared" si="11"/>
        <v>136</v>
      </c>
      <c r="M136">
        <f t="shared" si="12"/>
        <v>4</v>
      </c>
      <c r="N136">
        <f t="shared" si="13"/>
        <v>136</v>
      </c>
      <c r="O136">
        <f t="shared" si="14"/>
        <v>0</v>
      </c>
      <c r="P136" t="str">
        <f t="shared" si="15"/>
        <v>達成</v>
      </c>
      <c r="Q136" s="5">
        <f t="shared" si="16"/>
        <v>6.2731481448281556E-3</v>
      </c>
    </row>
    <row r="137" spans="1:17">
      <c r="A137" s="3">
        <v>46014.288958333331</v>
      </c>
      <c r="B137">
        <v>60</v>
      </c>
      <c r="C137">
        <v>8</v>
      </c>
      <c r="D137">
        <v>0</v>
      </c>
      <c r="E137">
        <v>0</v>
      </c>
      <c r="F137">
        <v>0</v>
      </c>
      <c r="G137" s="5">
        <v>6.5624999988358468E-3</v>
      </c>
      <c r="H137" t="s">
        <v>326</v>
      </c>
      <c r="I137" t="s">
        <v>327</v>
      </c>
      <c r="J137">
        <v>0</v>
      </c>
      <c r="K137">
        <f t="shared" si="10"/>
        <v>2</v>
      </c>
      <c r="L137">
        <f t="shared" si="11"/>
        <v>138</v>
      </c>
      <c r="M137">
        <f t="shared" si="12"/>
        <v>4</v>
      </c>
      <c r="N137">
        <f t="shared" si="13"/>
        <v>140</v>
      </c>
      <c r="O137">
        <f t="shared" si="14"/>
        <v>0</v>
      </c>
      <c r="P137" t="str">
        <f t="shared" si="15"/>
        <v>未達成（2）</v>
      </c>
      <c r="Q137" s="5">
        <f t="shared" si="16"/>
        <v>6.5624999988358468E-3</v>
      </c>
    </row>
    <row r="138" spans="1:17">
      <c r="A138" s="3">
        <v>46014.308854166666</v>
      </c>
      <c r="B138">
        <v>60</v>
      </c>
      <c r="C138">
        <v>19</v>
      </c>
      <c r="D138">
        <v>0</v>
      </c>
      <c r="E138">
        <v>0</v>
      </c>
      <c r="F138">
        <v>0</v>
      </c>
      <c r="G138" s="5">
        <v>1.8229166664241347E-2</v>
      </c>
      <c r="H138" t="s">
        <v>328</v>
      </c>
      <c r="I138" t="s">
        <v>329</v>
      </c>
      <c r="J138">
        <v>0</v>
      </c>
      <c r="K138">
        <f t="shared" si="10"/>
        <v>0</v>
      </c>
      <c r="L138">
        <f t="shared" si="11"/>
        <v>138</v>
      </c>
      <c r="M138">
        <f t="shared" si="12"/>
        <v>4</v>
      </c>
      <c r="N138">
        <f t="shared" si="13"/>
        <v>140</v>
      </c>
      <c r="O138">
        <f t="shared" si="14"/>
        <v>0</v>
      </c>
      <c r="P138" t="str">
        <f t="shared" si="15"/>
        <v>未達成（2）</v>
      </c>
      <c r="Q138" s="5">
        <f t="shared" si="16"/>
        <v>1.8229166664241347E-2</v>
      </c>
    </row>
    <row r="139" spans="1:17">
      <c r="A139" s="3">
        <v>46014.316064814811</v>
      </c>
      <c r="B139">
        <v>60</v>
      </c>
      <c r="C139">
        <v>13</v>
      </c>
      <c r="D139">
        <v>0</v>
      </c>
      <c r="E139">
        <v>0</v>
      </c>
      <c r="F139">
        <v>0</v>
      </c>
      <c r="G139" s="5">
        <v>6.0532407369464636E-3</v>
      </c>
      <c r="H139" t="s">
        <v>330</v>
      </c>
      <c r="I139" t="s">
        <v>331</v>
      </c>
      <c r="J139">
        <v>0</v>
      </c>
      <c r="K139">
        <f t="shared" si="10"/>
        <v>2</v>
      </c>
      <c r="L139">
        <f t="shared" si="11"/>
        <v>140</v>
      </c>
      <c r="M139">
        <f t="shared" si="12"/>
        <v>4</v>
      </c>
      <c r="N139">
        <f t="shared" si="13"/>
        <v>140</v>
      </c>
      <c r="O139">
        <f t="shared" si="14"/>
        <v>0</v>
      </c>
      <c r="P139" t="str">
        <f t="shared" si="15"/>
        <v>達成</v>
      </c>
      <c r="Q139" s="5">
        <f t="shared" si="16"/>
        <v>6.0532407369464636E-3</v>
      </c>
    </row>
    <row r="140" spans="1:17">
      <c r="A140" s="3">
        <v>46015.292881944442</v>
      </c>
      <c r="B140">
        <v>60</v>
      </c>
      <c r="C140">
        <v>10</v>
      </c>
      <c r="D140">
        <v>0</v>
      </c>
      <c r="E140">
        <v>0</v>
      </c>
      <c r="F140">
        <v>0</v>
      </c>
      <c r="G140" s="5">
        <v>9.6527777786832303E-3</v>
      </c>
      <c r="H140" t="s">
        <v>332</v>
      </c>
      <c r="I140" t="s">
        <v>333</v>
      </c>
      <c r="J140">
        <v>0</v>
      </c>
      <c r="K140">
        <f t="shared" si="10"/>
        <v>1</v>
      </c>
      <c r="L140">
        <f t="shared" si="11"/>
        <v>141</v>
      </c>
      <c r="M140">
        <f t="shared" si="12"/>
        <v>4</v>
      </c>
      <c r="N140">
        <f t="shared" si="13"/>
        <v>144</v>
      </c>
      <c r="O140">
        <f t="shared" si="14"/>
        <v>0</v>
      </c>
      <c r="P140" t="str">
        <f t="shared" si="15"/>
        <v>未達成（3）</v>
      </c>
      <c r="Q140" s="5">
        <f t="shared" si="16"/>
        <v>9.6527777786832303E-3</v>
      </c>
    </row>
    <row r="141" spans="1:17">
      <c r="A141" s="3">
        <v>46015.727083333331</v>
      </c>
      <c r="B141">
        <v>60</v>
      </c>
      <c r="C141">
        <v>11</v>
      </c>
      <c r="D141">
        <v>0</v>
      </c>
      <c r="E141">
        <v>0</v>
      </c>
      <c r="F141">
        <v>0</v>
      </c>
      <c r="G141" s="5">
        <v>6.0069444443797693E-3</v>
      </c>
      <c r="H141" t="s">
        <v>334</v>
      </c>
      <c r="I141" t="s">
        <v>335</v>
      </c>
      <c r="J141">
        <v>0</v>
      </c>
      <c r="K141">
        <f t="shared" si="10"/>
        <v>2</v>
      </c>
      <c r="L141">
        <f t="shared" si="11"/>
        <v>143</v>
      </c>
      <c r="M141">
        <f t="shared" si="12"/>
        <v>4</v>
      </c>
      <c r="N141">
        <f t="shared" si="13"/>
        <v>144</v>
      </c>
      <c r="O141">
        <f t="shared" si="14"/>
        <v>0</v>
      </c>
      <c r="P141" t="str">
        <f t="shared" si="15"/>
        <v>未達成（1）</v>
      </c>
      <c r="Q141" s="5">
        <f t="shared" si="16"/>
        <v>6.0069444443797693E-3</v>
      </c>
    </row>
    <row r="142" spans="1:17">
      <c r="A142" s="3">
        <v>46015.735798611109</v>
      </c>
      <c r="B142">
        <v>60</v>
      </c>
      <c r="C142">
        <v>4</v>
      </c>
      <c r="D142">
        <v>0</v>
      </c>
      <c r="E142">
        <v>0</v>
      </c>
      <c r="F142">
        <v>0</v>
      </c>
      <c r="G142" s="5">
        <v>7.3379629611736163E-3</v>
      </c>
      <c r="H142" t="s">
        <v>336</v>
      </c>
      <c r="I142" t="s">
        <v>337</v>
      </c>
      <c r="J142">
        <v>0</v>
      </c>
      <c r="K142">
        <f t="shared" si="10"/>
        <v>1</v>
      </c>
      <c r="L142">
        <f t="shared" si="11"/>
        <v>144</v>
      </c>
      <c r="M142">
        <f t="shared" si="12"/>
        <v>4</v>
      </c>
      <c r="N142">
        <f t="shared" si="13"/>
        <v>144</v>
      </c>
      <c r="O142">
        <f t="shared" si="14"/>
        <v>0</v>
      </c>
      <c r="P142" t="str">
        <f t="shared" si="15"/>
        <v>達成</v>
      </c>
      <c r="Q142" s="5">
        <f t="shared" si="16"/>
        <v>7.3379629611736163E-3</v>
      </c>
    </row>
    <row r="143" spans="1:17">
      <c r="A143" s="3">
        <v>46016.868796296294</v>
      </c>
      <c r="B143">
        <v>60</v>
      </c>
      <c r="C143">
        <v>12</v>
      </c>
      <c r="D143">
        <v>0</v>
      </c>
      <c r="E143">
        <v>0</v>
      </c>
      <c r="F143">
        <v>0</v>
      </c>
      <c r="G143" s="5">
        <v>7.2337962919846177E-3</v>
      </c>
      <c r="H143" t="s">
        <v>339</v>
      </c>
      <c r="I143" t="s">
        <v>340</v>
      </c>
      <c r="J143">
        <v>0</v>
      </c>
      <c r="K143">
        <f t="shared" si="10"/>
        <v>1</v>
      </c>
      <c r="L143">
        <f t="shared" si="11"/>
        <v>145</v>
      </c>
      <c r="M143">
        <f t="shared" si="12"/>
        <v>4</v>
      </c>
      <c r="N143">
        <f t="shared" si="13"/>
        <v>148</v>
      </c>
      <c r="O143">
        <f t="shared" si="14"/>
        <v>0</v>
      </c>
      <c r="P143" t="str">
        <f t="shared" si="15"/>
        <v>未達成（3）</v>
      </c>
      <c r="Q143" s="5">
        <f t="shared" si="16"/>
        <v>7.2337962919846177E-3</v>
      </c>
    </row>
    <row r="144" spans="1:17">
      <c r="A144" s="3">
        <v>46016.876342592594</v>
      </c>
      <c r="B144">
        <v>60</v>
      </c>
      <c r="C144">
        <v>16</v>
      </c>
      <c r="D144">
        <v>0</v>
      </c>
      <c r="E144">
        <v>0</v>
      </c>
      <c r="F144">
        <v>0</v>
      </c>
      <c r="G144" s="5">
        <v>7.0601851839455776E-3</v>
      </c>
      <c r="H144" t="s">
        <v>341</v>
      </c>
      <c r="I144" t="s">
        <v>342</v>
      </c>
      <c r="J144">
        <v>0</v>
      </c>
      <c r="K144">
        <f t="shared" si="10"/>
        <v>1</v>
      </c>
      <c r="L144">
        <f t="shared" si="11"/>
        <v>146</v>
      </c>
      <c r="M144">
        <f t="shared" si="12"/>
        <v>4</v>
      </c>
      <c r="N144">
        <f t="shared" si="13"/>
        <v>148</v>
      </c>
      <c r="O144">
        <f t="shared" si="14"/>
        <v>0</v>
      </c>
      <c r="P144" t="str">
        <f t="shared" si="15"/>
        <v>未達成（2）</v>
      </c>
      <c r="Q144" s="5">
        <f t="shared" si="16"/>
        <v>7.0601851839455776E-3</v>
      </c>
    </row>
    <row r="145" spans="1:17">
      <c r="A145" s="3">
        <v>46016.882222222222</v>
      </c>
      <c r="B145">
        <v>60</v>
      </c>
      <c r="C145">
        <v>10</v>
      </c>
      <c r="D145">
        <v>0</v>
      </c>
      <c r="E145">
        <v>0</v>
      </c>
      <c r="F145">
        <v>0</v>
      </c>
      <c r="G145" s="5">
        <v>4.8379629661212675E-3</v>
      </c>
      <c r="H145" t="s">
        <v>343</v>
      </c>
      <c r="I145" t="s">
        <v>344</v>
      </c>
      <c r="J145">
        <v>0</v>
      </c>
      <c r="K145">
        <f t="shared" si="10"/>
        <v>2</v>
      </c>
      <c r="L145">
        <f t="shared" si="11"/>
        <v>148</v>
      </c>
      <c r="M145">
        <f t="shared" si="12"/>
        <v>4</v>
      </c>
      <c r="N145">
        <f t="shared" si="13"/>
        <v>148</v>
      </c>
      <c r="O145">
        <f t="shared" si="14"/>
        <v>0</v>
      </c>
      <c r="P145" t="str">
        <f t="shared" si="15"/>
        <v>達成</v>
      </c>
      <c r="Q145" s="5">
        <f t="shared" si="16"/>
        <v>4.8379629661212675E-3</v>
      </c>
    </row>
    <row r="146" spans="1:17">
      <c r="A146" s="3">
        <v>46017.294525462959</v>
      </c>
      <c r="B146">
        <v>60</v>
      </c>
      <c r="C146">
        <v>17</v>
      </c>
      <c r="D146">
        <v>0</v>
      </c>
      <c r="E146">
        <v>0</v>
      </c>
      <c r="F146">
        <v>0</v>
      </c>
      <c r="G146" s="5">
        <v>7.4537036998663098E-3</v>
      </c>
      <c r="H146" t="s">
        <v>345</v>
      </c>
      <c r="I146" t="s">
        <v>346</v>
      </c>
      <c r="J146">
        <v>0</v>
      </c>
      <c r="K146">
        <f t="shared" si="10"/>
        <v>1</v>
      </c>
      <c r="L146">
        <f t="shared" si="11"/>
        <v>149</v>
      </c>
      <c r="M146">
        <f t="shared" si="12"/>
        <v>4</v>
      </c>
      <c r="N146">
        <f t="shared" si="13"/>
        <v>152</v>
      </c>
      <c r="O146">
        <f t="shared" si="14"/>
        <v>0</v>
      </c>
      <c r="P146" t="str">
        <f t="shared" si="15"/>
        <v>未達成（3）</v>
      </c>
      <c r="Q146" s="5">
        <f t="shared" si="16"/>
        <v>7.4537036998663098E-3</v>
      </c>
    </row>
    <row r="147" spans="1:17">
      <c r="A147" s="3">
        <v>46017.303078703706</v>
      </c>
      <c r="B147">
        <v>60</v>
      </c>
      <c r="C147">
        <v>13</v>
      </c>
      <c r="D147">
        <v>0</v>
      </c>
      <c r="E147">
        <v>0</v>
      </c>
      <c r="F147">
        <v>0</v>
      </c>
      <c r="G147" s="5">
        <v>7.1296296300715767E-3</v>
      </c>
      <c r="H147" t="s">
        <v>347</v>
      </c>
      <c r="I147" t="s">
        <v>348</v>
      </c>
      <c r="J147">
        <v>0</v>
      </c>
      <c r="K147">
        <f t="shared" ref="K147:K182" si="17">IF(A147&lt;DATEVALUE("2025/11/20")+TIMEVALUE("6:00"),1,IF(OR(B147&lt;&gt;60,SUM(D147:F147)&lt;&gt;0,G147&gt;=IF(A147&lt;DATEVALUE("2025/12/28")+TIMEVALUE("6:00"),20,18)/24/60),0,2-INT(G147*24*60/10)))</f>
        <v>1</v>
      </c>
      <c r="L147">
        <f t="shared" ref="L147:L182" si="18">L146+K147</f>
        <v>150</v>
      </c>
      <c r="M147">
        <f t="shared" ref="M147:M182" si="19">2+IF(A147&gt;=DATEVALUE("2025/11/30")+TIMEVALUE("6:00"),1,0)+IF(A147&gt;=DATEVALUE("2025/12/11")+TIMEVALUE("6:00"),1,0)</f>
        <v>4</v>
      </c>
      <c r="N147">
        <f t="shared" ref="N147:N182" si="20">N146+M147*(INT(A147-6/24)-INT(A146-6/24))+O147</f>
        <v>152</v>
      </c>
      <c r="O147">
        <f t="shared" ref="O147:O210" si="21">IF(A147&gt;=DATEVALUE("2025/11/8")+TIMEVALUE("6:00"),1,0)-IF(A146&gt;=DATEVALUE("2025/11/8")+TIMEVALUE("6:00"),1,0)
+IF(A147&gt;=DATEVALUE("2026/1/22")+TIMEVALUE("6:00"),3,0)-IF(A146&gt;=DATEVALUE("2026/1/22")+TIMEVALUE("6:00"),3,0)
+IF(A147&gt;=DATEVALUE("2026/2/21")+TIMEVALUE("6:00"),1,0)-IF(A146&gt;=DATEVALUE("2026/2/21")+TIMEVALUE("6:00"),1,0)</f>
        <v>0</v>
      </c>
      <c r="P147" t="str">
        <f t="shared" ref="P147:P182" si="22">IF(L147&lt;N147,"未達成（"&amp;N147-L147&amp;"）",IF(L147=N147,"達成","前倒し（"&amp;L147-N147&amp;"）"))</f>
        <v>未達成（2）</v>
      </c>
      <c r="Q147" s="5">
        <f t="shared" si="16"/>
        <v>7.1296296300715767E-3</v>
      </c>
    </row>
    <row r="148" spans="1:17">
      <c r="A148" s="3">
        <v>46017.314340277779</v>
      </c>
      <c r="B148">
        <v>60</v>
      </c>
      <c r="C148">
        <v>7</v>
      </c>
      <c r="D148">
        <v>0</v>
      </c>
      <c r="E148">
        <v>0</v>
      </c>
      <c r="F148">
        <v>0</v>
      </c>
      <c r="G148" s="5">
        <v>5.1967592589790002E-3</v>
      </c>
      <c r="H148" t="s">
        <v>349</v>
      </c>
      <c r="I148" t="s">
        <v>350</v>
      </c>
      <c r="J148">
        <v>0</v>
      </c>
      <c r="K148">
        <f t="shared" si="17"/>
        <v>2</v>
      </c>
      <c r="L148">
        <f t="shared" si="18"/>
        <v>152</v>
      </c>
      <c r="M148">
        <f t="shared" si="19"/>
        <v>4</v>
      </c>
      <c r="N148">
        <f t="shared" si="20"/>
        <v>152</v>
      </c>
      <c r="O148">
        <f t="shared" si="21"/>
        <v>0</v>
      </c>
      <c r="P148" t="str">
        <f t="shared" si="22"/>
        <v>達成</v>
      </c>
      <c r="Q148" s="5">
        <f t="shared" si="16"/>
        <v>5.1967592589790002E-3</v>
      </c>
    </row>
    <row r="149" spans="1:17">
      <c r="A149" s="3">
        <v>46018.273946759262</v>
      </c>
      <c r="B149">
        <v>60</v>
      </c>
      <c r="C149">
        <v>12</v>
      </c>
      <c r="D149">
        <v>0</v>
      </c>
      <c r="E149">
        <v>0</v>
      </c>
      <c r="F149">
        <v>0</v>
      </c>
      <c r="G149" s="5">
        <v>1.1215277780138422E-2</v>
      </c>
      <c r="H149" t="s">
        <v>351</v>
      </c>
      <c r="I149" t="s">
        <v>352</v>
      </c>
      <c r="J149">
        <v>0</v>
      </c>
      <c r="K149">
        <f t="shared" si="17"/>
        <v>1</v>
      </c>
      <c r="L149">
        <f t="shared" si="18"/>
        <v>153</v>
      </c>
      <c r="M149">
        <f t="shared" si="19"/>
        <v>4</v>
      </c>
      <c r="N149">
        <f t="shared" si="20"/>
        <v>156</v>
      </c>
      <c r="O149">
        <f t="shared" si="21"/>
        <v>0</v>
      </c>
      <c r="P149" t="str">
        <f t="shared" si="22"/>
        <v>未達成（3）</v>
      </c>
      <c r="Q149" s="5">
        <f t="shared" si="16"/>
        <v>1.1215277780138422E-2</v>
      </c>
    </row>
    <row r="150" spans="1:17">
      <c r="A150" s="3">
        <v>46018.2812037037</v>
      </c>
      <c r="B150">
        <v>60</v>
      </c>
      <c r="C150">
        <v>4</v>
      </c>
      <c r="D150">
        <v>0</v>
      </c>
      <c r="E150">
        <v>0</v>
      </c>
      <c r="F150">
        <v>0</v>
      </c>
      <c r="G150" s="5">
        <v>5.9374999982537702E-3</v>
      </c>
      <c r="H150" t="s">
        <v>353</v>
      </c>
      <c r="I150" t="s">
        <v>354</v>
      </c>
      <c r="J150">
        <v>0</v>
      </c>
      <c r="K150">
        <f t="shared" si="17"/>
        <v>2</v>
      </c>
      <c r="L150">
        <f t="shared" si="18"/>
        <v>155</v>
      </c>
      <c r="M150">
        <f t="shared" si="19"/>
        <v>4</v>
      </c>
      <c r="N150">
        <f t="shared" si="20"/>
        <v>156</v>
      </c>
      <c r="O150">
        <f t="shared" si="21"/>
        <v>0</v>
      </c>
      <c r="P150" t="str">
        <f t="shared" si="22"/>
        <v>未達成（1）</v>
      </c>
      <c r="Q150" s="5">
        <f t="shared" si="16"/>
        <v>5.9374999982537702E-3</v>
      </c>
    </row>
    <row r="151" spans="1:17">
      <c r="A151" s="3">
        <v>46018.293090277781</v>
      </c>
      <c r="B151">
        <v>60</v>
      </c>
      <c r="C151">
        <v>4</v>
      </c>
      <c r="D151">
        <v>0</v>
      </c>
      <c r="E151">
        <v>0</v>
      </c>
      <c r="F151">
        <v>0</v>
      </c>
      <c r="G151" s="5">
        <v>1.0752314818091691E-2</v>
      </c>
      <c r="H151" t="s">
        <v>355</v>
      </c>
      <c r="I151" t="s">
        <v>356</v>
      </c>
      <c r="J151">
        <v>0</v>
      </c>
      <c r="K151">
        <f t="shared" si="17"/>
        <v>1</v>
      </c>
      <c r="L151">
        <f t="shared" si="18"/>
        <v>156</v>
      </c>
      <c r="M151">
        <f t="shared" si="19"/>
        <v>4</v>
      </c>
      <c r="N151">
        <f t="shared" si="20"/>
        <v>156</v>
      </c>
      <c r="O151">
        <f t="shared" si="21"/>
        <v>0</v>
      </c>
      <c r="P151" t="str">
        <f t="shared" si="22"/>
        <v>達成</v>
      </c>
      <c r="Q151" s="5">
        <f t="shared" si="16"/>
        <v>1.0752314818091691E-2</v>
      </c>
    </row>
    <row r="152" spans="1:17">
      <c r="A152" s="3">
        <v>46019.289675925924</v>
      </c>
      <c r="B152">
        <v>60</v>
      </c>
      <c r="C152">
        <v>7</v>
      </c>
      <c r="D152">
        <v>0</v>
      </c>
      <c r="E152">
        <v>0</v>
      </c>
      <c r="F152">
        <v>0</v>
      </c>
      <c r="G152" s="5">
        <v>3.9467592578148469E-3</v>
      </c>
      <c r="H152" t="s">
        <v>357</v>
      </c>
      <c r="I152" t="s">
        <v>358</v>
      </c>
      <c r="J152">
        <v>0</v>
      </c>
      <c r="K152">
        <f t="shared" si="17"/>
        <v>2</v>
      </c>
      <c r="L152">
        <f t="shared" si="18"/>
        <v>158</v>
      </c>
      <c r="M152">
        <f t="shared" si="19"/>
        <v>4</v>
      </c>
      <c r="N152">
        <f t="shared" si="20"/>
        <v>160</v>
      </c>
      <c r="O152">
        <f t="shared" si="21"/>
        <v>0</v>
      </c>
      <c r="P152" t="str">
        <f t="shared" si="22"/>
        <v>未達成（2）</v>
      </c>
      <c r="Q152" s="5">
        <f t="shared" si="16"/>
        <v>3.9467592578148469E-3</v>
      </c>
    </row>
    <row r="153" spans="1:17">
      <c r="A153" s="3">
        <v>46019.297442129631</v>
      </c>
      <c r="B153">
        <v>60</v>
      </c>
      <c r="C153">
        <v>16</v>
      </c>
      <c r="D153">
        <v>0</v>
      </c>
      <c r="E153">
        <v>0</v>
      </c>
      <c r="F153">
        <v>0</v>
      </c>
      <c r="G153" s="5">
        <v>6.3773148140171543E-3</v>
      </c>
      <c r="H153" t="s">
        <v>359</v>
      </c>
      <c r="I153" t="s">
        <v>360</v>
      </c>
      <c r="J153">
        <v>0</v>
      </c>
      <c r="K153">
        <f t="shared" si="17"/>
        <v>2</v>
      </c>
      <c r="L153">
        <f t="shared" si="18"/>
        <v>160</v>
      </c>
      <c r="M153">
        <f t="shared" si="19"/>
        <v>4</v>
      </c>
      <c r="N153">
        <f t="shared" si="20"/>
        <v>160</v>
      </c>
      <c r="O153">
        <f t="shared" si="21"/>
        <v>0</v>
      </c>
      <c r="P153" t="str">
        <f t="shared" si="22"/>
        <v>達成</v>
      </c>
      <c r="Q153" s="5">
        <f t="shared" si="16"/>
        <v>6.3773148140171543E-3</v>
      </c>
    </row>
    <row r="154" spans="1:17">
      <c r="A154" s="3">
        <v>46020.29824074074</v>
      </c>
      <c r="B154">
        <v>60</v>
      </c>
      <c r="C154">
        <v>20</v>
      </c>
      <c r="D154">
        <v>0</v>
      </c>
      <c r="E154">
        <v>0</v>
      </c>
      <c r="F154">
        <v>0</v>
      </c>
      <c r="G154" s="5">
        <v>7.0601851839455776E-3</v>
      </c>
      <c r="H154" t="s">
        <v>361</v>
      </c>
      <c r="I154" t="s">
        <v>362</v>
      </c>
      <c r="J154">
        <v>0</v>
      </c>
      <c r="K154">
        <f t="shared" si="17"/>
        <v>1</v>
      </c>
      <c r="L154">
        <f t="shared" si="18"/>
        <v>161</v>
      </c>
      <c r="M154">
        <f t="shared" si="19"/>
        <v>4</v>
      </c>
      <c r="N154">
        <f t="shared" si="20"/>
        <v>164</v>
      </c>
      <c r="O154">
        <f t="shared" si="21"/>
        <v>0</v>
      </c>
      <c r="P154" t="str">
        <f t="shared" si="22"/>
        <v>未達成（3）</v>
      </c>
      <c r="Q154" s="5">
        <f t="shared" si="16"/>
        <v>7.0601851839455776E-3</v>
      </c>
    </row>
    <row r="155" spans="1:17">
      <c r="A155" s="3">
        <v>46020.307708333334</v>
      </c>
      <c r="B155">
        <v>60</v>
      </c>
      <c r="C155">
        <v>8</v>
      </c>
      <c r="D155">
        <v>0</v>
      </c>
      <c r="E155">
        <v>0</v>
      </c>
      <c r="F155">
        <v>0</v>
      </c>
      <c r="G155" s="5">
        <v>6.33101852145046E-3</v>
      </c>
      <c r="H155" t="s">
        <v>363</v>
      </c>
      <c r="I155" t="s">
        <v>364</v>
      </c>
      <c r="J155">
        <v>0</v>
      </c>
      <c r="K155">
        <f t="shared" si="17"/>
        <v>2</v>
      </c>
      <c r="L155">
        <f t="shared" si="18"/>
        <v>163</v>
      </c>
      <c r="M155">
        <f t="shared" si="19"/>
        <v>4</v>
      </c>
      <c r="N155">
        <f t="shared" si="20"/>
        <v>164</v>
      </c>
      <c r="O155">
        <f t="shared" si="21"/>
        <v>0</v>
      </c>
      <c r="P155" t="str">
        <f t="shared" si="22"/>
        <v>未達成（1）</v>
      </c>
      <c r="Q155" s="5">
        <f t="shared" si="16"/>
        <v>6.33101852145046E-3</v>
      </c>
    </row>
    <row r="156" spans="1:17">
      <c r="A156" s="3">
        <v>46020.314953703702</v>
      </c>
      <c r="B156">
        <v>60</v>
      </c>
      <c r="C156">
        <v>19</v>
      </c>
      <c r="D156">
        <v>0</v>
      </c>
      <c r="E156">
        <v>0</v>
      </c>
      <c r="F156">
        <v>0</v>
      </c>
      <c r="G156" s="5">
        <v>6.0416666674427688E-3</v>
      </c>
      <c r="H156" t="s">
        <v>365</v>
      </c>
      <c r="I156" t="s">
        <v>366</v>
      </c>
      <c r="J156">
        <v>0</v>
      </c>
      <c r="K156">
        <f t="shared" si="17"/>
        <v>2</v>
      </c>
      <c r="L156">
        <f t="shared" si="18"/>
        <v>165</v>
      </c>
      <c r="M156">
        <f t="shared" si="19"/>
        <v>4</v>
      </c>
      <c r="N156">
        <f t="shared" si="20"/>
        <v>164</v>
      </c>
      <c r="O156">
        <f t="shared" si="21"/>
        <v>0</v>
      </c>
      <c r="P156" t="str">
        <f t="shared" si="22"/>
        <v>前倒し（1）</v>
      </c>
      <c r="Q156" s="5">
        <f t="shared" si="16"/>
        <v>6.0416666674427688E-3</v>
      </c>
    </row>
    <row r="157" spans="1:17">
      <c r="A157" s="3">
        <v>46021.284074074072</v>
      </c>
      <c r="B157">
        <v>60</v>
      </c>
      <c r="C157">
        <v>16</v>
      </c>
      <c r="D157">
        <v>0</v>
      </c>
      <c r="E157">
        <v>0</v>
      </c>
      <c r="F157">
        <v>0</v>
      </c>
      <c r="G157" s="5">
        <v>4.4097222198615782E-3</v>
      </c>
      <c r="H157" t="s">
        <v>367</v>
      </c>
      <c r="I157" t="s">
        <v>368</v>
      </c>
      <c r="J157">
        <v>0</v>
      </c>
      <c r="K157">
        <f t="shared" si="17"/>
        <v>2</v>
      </c>
      <c r="L157">
        <f t="shared" si="18"/>
        <v>167</v>
      </c>
      <c r="M157">
        <f t="shared" si="19"/>
        <v>4</v>
      </c>
      <c r="N157">
        <f t="shared" si="20"/>
        <v>168</v>
      </c>
      <c r="O157">
        <f t="shared" si="21"/>
        <v>0</v>
      </c>
      <c r="P157" t="str">
        <f t="shared" si="22"/>
        <v>未達成（1）</v>
      </c>
      <c r="Q157" s="5">
        <f t="shared" si="16"/>
        <v>4.4097222198615782E-3</v>
      </c>
    </row>
    <row r="158" spans="1:17">
      <c r="A158" s="3">
        <v>46021.292557870373</v>
      </c>
      <c r="B158">
        <v>60</v>
      </c>
      <c r="C158">
        <v>4</v>
      </c>
      <c r="D158">
        <v>0</v>
      </c>
      <c r="E158">
        <v>0</v>
      </c>
      <c r="F158">
        <v>0</v>
      </c>
      <c r="G158" s="5">
        <v>7.1296296300715767E-3</v>
      </c>
      <c r="H158" t="s">
        <v>369</v>
      </c>
      <c r="I158" t="s">
        <v>370</v>
      </c>
      <c r="J158">
        <v>0</v>
      </c>
      <c r="K158">
        <f t="shared" si="17"/>
        <v>1</v>
      </c>
      <c r="L158">
        <f t="shared" si="18"/>
        <v>168</v>
      </c>
      <c r="M158">
        <f t="shared" si="19"/>
        <v>4</v>
      </c>
      <c r="N158">
        <f t="shared" si="20"/>
        <v>168</v>
      </c>
      <c r="O158">
        <f t="shared" si="21"/>
        <v>0</v>
      </c>
      <c r="P158" t="str">
        <f t="shared" si="22"/>
        <v>達成</v>
      </c>
      <c r="Q158" s="5">
        <f t="shared" si="16"/>
        <v>7.1296296300715767E-3</v>
      </c>
    </row>
    <row r="159" spans="1:17">
      <c r="A159" s="3">
        <v>46022.294930555552</v>
      </c>
      <c r="B159">
        <v>60</v>
      </c>
      <c r="C159">
        <v>22</v>
      </c>
      <c r="D159">
        <v>0</v>
      </c>
      <c r="E159">
        <v>0</v>
      </c>
      <c r="F159">
        <v>0</v>
      </c>
      <c r="G159" s="5">
        <v>7.175925922638271E-3</v>
      </c>
      <c r="H159" t="s">
        <v>371</v>
      </c>
      <c r="I159" t="s">
        <v>372</v>
      </c>
      <c r="J159">
        <v>0</v>
      </c>
      <c r="K159">
        <f t="shared" si="17"/>
        <v>1</v>
      </c>
      <c r="L159">
        <f t="shared" si="18"/>
        <v>169</v>
      </c>
      <c r="M159">
        <f t="shared" si="19"/>
        <v>4</v>
      </c>
      <c r="N159">
        <f t="shared" si="20"/>
        <v>172</v>
      </c>
      <c r="O159">
        <f t="shared" si="21"/>
        <v>0</v>
      </c>
      <c r="P159" t="str">
        <f t="shared" si="22"/>
        <v>未達成（3）</v>
      </c>
      <c r="Q159" s="5">
        <f t="shared" si="16"/>
        <v>7.175925922638271E-3</v>
      </c>
    </row>
    <row r="160" spans="1:17">
      <c r="A160" s="3">
        <v>46022.311481481483</v>
      </c>
      <c r="B160">
        <v>60</v>
      </c>
      <c r="C160">
        <v>7</v>
      </c>
      <c r="D160">
        <v>0</v>
      </c>
      <c r="E160">
        <v>0</v>
      </c>
      <c r="F160">
        <v>0</v>
      </c>
      <c r="G160" s="5">
        <v>5.8217592595610768E-3</v>
      </c>
      <c r="H160" t="s">
        <v>373</v>
      </c>
      <c r="I160" t="s">
        <v>374</v>
      </c>
      <c r="J160">
        <v>0</v>
      </c>
      <c r="K160">
        <f t="shared" si="17"/>
        <v>2</v>
      </c>
      <c r="L160">
        <f t="shared" si="18"/>
        <v>171</v>
      </c>
      <c r="M160">
        <f t="shared" si="19"/>
        <v>4</v>
      </c>
      <c r="N160">
        <f t="shared" si="20"/>
        <v>172</v>
      </c>
      <c r="O160">
        <f t="shared" si="21"/>
        <v>0</v>
      </c>
      <c r="P160" t="str">
        <f t="shared" si="22"/>
        <v>未達成（1）</v>
      </c>
      <c r="Q160" s="5">
        <f t="shared" si="16"/>
        <v>5.8217592595610768E-3</v>
      </c>
    </row>
    <row r="161" spans="1:17">
      <c r="A161" s="3">
        <v>46022.373726851853</v>
      </c>
      <c r="B161">
        <v>60</v>
      </c>
      <c r="C161">
        <v>6</v>
      </c>
      <c r="D161">
        <v>0</v>
      </c>
      <c r="E161">
        <v>0</v>
      </c>
      <c r="F161">
        <v>0</v>
      </c>
      <c r="G161" s="5">
        <v>8.2754629620467313E-3</v>
      </c>
      <c r="H161" t="s">
        <v>375</v>
      </c>
      <c r="I161" t="s">
        <v>376</v>
      </c>
      <c r="J161">
        <v>0</v>
      </c>
      <c r="K161">
        <f t="shared" si="17"/>
        <v>1</v>
      </c>
      <c r="L161">
        <f t="shared" si="18"/>
        <v>172</v>
      </c>
      <c r="M161">
        <f t="shared" si="19"/>
        <v>4</v>
      </c>
      <c r="N161">
        <f t="shared" si="20"/>
        <v>172</v>
      </c>
      <c r="O161">
        <f t="shared" si="21"/>
        <v>0</v>
      </c>
      <c r="P161" t="str">
        <f t="shared" si="22"/>
        <v>達成</v>
      </c>
      <c r="Q161" s="5">
        <f t="shared" si="16"/>
        <v>8.2754629620467313E-3</v>
      </c>
    </row>
    <row r="162" spans="1:17">
      <c r="A162" s="3">
        <v>46023.303807870368</v>
      </c>
      <c r="B162">
        <v>60</v>
      </c>
      <c r="C162">
        <v>2</v>
      </c>
      <c r="D162">
        <v>0</v>
      </c>
      <c r="E162">
        <v>0</v>
      </c>
      <c r="F162">
        <v>0</v>
      </c>
      <c r="G162" s="5">
        <v>6.0763888905057684E-3</v>
      </c>
      <c r="H162" t="s">
        <v>377</v>
      </c>
      <c r="I162" t="s">
        <v>378</v>
      </c>
      <c r="J162">
        <v>0</v>
      </c>
      <c r="K162">
        <f t="shared" si="17"/>
        <v>2</v>
      </c>
      <c r="L162">
        <f t="shared" si="18"/>
        <v>174</v>
      </c>
      <c r="M162">
        <f t="shared" si="19"/>
        <v>4</v>
      </c>
      <c r="N162">
        <f t="shared" si="20"/>
        <v>176</v>
      </c>
      <c r="O162">
        <f t="shared" si="21"/>
        <v>0</v>
      </c>
      <c r="P162" t="str">
        <f t="shared" si="22"/>
        <v>未達成（2）</v>
      </c>
      <c r="Q162" s="5">
        <f t="shared" si="16"/>
        <v>6.0763888905057684E-3</v>
      </c>
    </row>
    <row r="163" spans="1:17">
      <c r="A163" s="3">
        <v>46023.319236111114</v>
      </c>
      <c r="B163">
        <v>60</v>
      </c>
      <c r="C163">
        <v>15</v>
      </c>
      <c r="D163">
        <v>0</v>
      </c>
      <c r="E163">
        <v>0</v>
      </c>
      <c r="F163">
        <v>0</v>
      </c>
      <c r="G163" s="5">
        <v>9.5254629632108845E-3</v>
      </c>
      <c r="H163" t="s">
        <v>379</v>
      </c>
      <c r="I163" t="s">
        <v>380</v>
      </c>
      <c r="J163">
        <v>0</v>
      </c>
      <c r="K163">
        <f t="shared" si="17"/>
        <v>1</v>
      </c>
      <c r="L163">
        <f t="shared" si="18"/>
        <v>175</v>
      </c>
      <c r="M163">
        <f t="shared" si="19"/>
        <v>4</v>
      </c>
      <c r="N163">
        <f t="shared" si="20"/>
        <v>176</v>
      </c>
      <c r="O163">
        <f t="shared" si="21"/>
        <v>0</v>
      </c>
      <c r="P163" t="str">
        <f t="shared" si="22"/>
        <v>未達成（1）</v>
      </c>
      <c r="Q163" s="5">
        <f t="shared" si="16"/>
        <v>9.5254629632108845E-3</v>
      </c>
    </row>
    <row r="164" spans="1:17">
      <c r="A164" s="3">
        <v>46023.452997685185</v>
      </c>
      <c r="B164">
        <v>60</v>
      </c>
      <c r="C164">
        <v>21</v>
      </c>
      <c r="D164">
        <v>0</v>
      </c>
      <c r="E164">
        <v>0</v>
      </c>
      <c r="F164">
        <v>0</v>
      </c>
      <c r="G164" s="5">
        <v>4.9421296280343086E-3</v>
      </c>
      <c r="H164" t="s">
        <v>381</v>
      </c>
      <c r="I164" t="s">
        <v>382</v>
      </c>
      <c r="J164">
        <v>0</v>
      </c>
      <c r="K164">
        <f t="shared" si="17"/>
        <v>2</v>
      </c>
      <c r="L164">
        <f t="shared" si="18"/>
        <v>177</v>
      </c>
      <c r="M164">
        <f t="shared" si="19"/>
        <v>4</v>
      </c>
      <c r="N164">
        <f t="shared" si="20"/>
        <v>176</v>
      </c>
      <c r="O164">
        <f t="shared" si="21"/>
        <v>0</v>
      </c>
      <c r="P164" t="str">
        <f t="shared" si="22"/>
        <v>前倒し（1）</v>
      </c>
      <c r="Q164" s="5">
        <f t="shared" si="16"/>
        <v>4.9421296280343086E-3</v>
      </c>
    </row>
    <row r="165" spans="1:17">
      <c r="A165" s="3">
        <v>46024.299444444441</v>
      </c>
      <c r="B165">
        <v>60</v>
      </c>
      <c r="C165">
        <v>12</v>
      </c>
      <c r="D165">
        <v>0</v>
      </c>
      <c r="E165">
        <v>0</v>
      </c>
      <c r="F165">
        <v>0</v>
      </c>
      <c r="G165" s="5">
        <v>1.0231481479422655E-2</v>
      </c>
      <c r="H165" t="s">
        <v>383</v>
      </c>
      <c r="I165" t="s">
        <v>384</v>
      </c>
      <c r="J165">
        <v>0</v>
      </c>
      <c r="K165">
        <f t="shared" si="17"/>
        <v>1</v>
      </c>
      <c r="L165">
        <f t="shared" si="18"/>
        <v>178</v>
      </c>
      <c r="M165">
        <f t="shared" si="19"/>
        <v>4</v>
      </c>
      <c r="N165">
        <f t="shared" si="20"/>
        <v>180</v>
      </c>
      <c r="O165">
        <f t="shared" si="21"/>
        <v>0</v>
      </c>
      <c r="P165" t="str">
        <f t="shared" si="22"/>
        <v>未達成（2）</v>
      </c>
      <c r="Q165" s="5">
        <f t="shared" si="16"/>
        <v>1.0231481479422655E-2</v>
      </c>
    </row>
    <row r="166" spans="1:17">
      <c r="A166" s="3">
        <v>46024.366701388892</v>
      </c>
      <c r="B166">
        <v>60</v>
      </c>
      <c r="C166">
        <v>21</v>
      </c>
      <c r="D166">
        <v>0</v>
      </c>
      <c r="E166">
        <v>0</v>
      </c>
      <c r="F166">
        <v>0</v>
      </c>
      <c r="G166" s="5">
        <v>7.2569444455439225E-3</v>
      </c>
      <c r="H166" t="s">
        <v>385</v>
      </c>
      <c r="I166" t="s">
        <v>386</v>
      </c>
      <c r="J166">
        <v>0</v>
      </c>
      <c r="K166">
        <f t="shared" si="17"/>
        <v>1</v>
      </c>
      <c r="L166">
        <f t="shared" si="18"/>
        <v>179</v>
      </c>
      <c r="M166">
        <f t="shared" si="19"/>
        <v>4</v>
      </c>
      <c r="N166">
        <f t="shared" si="20"/>
        <v>180</v>
      </c>
      <c r="O166">
        <f t="shared" si="21"/>
        <v>0</v>
      </c>
      <c r="P166" t="str">
        <f t="shared" si="22"/>
        <v>未達成（1）</v>
      </c>
      <c r="Q166" s="5">
        <f t="shared" si="16"/>
        <v>7.2569444455439225E-3</v>
      </c>
    </row>
    <row r="167" spans="1:17">
      <c r="A167" s="3">
        <v>46024.618587962963</v>
      </c>
      <c r="B167">
        <v>60</v>
      </c>
      <c r="C167">
        <v>28</v>
      </c>
      <c r="D167">
        <v>0</v>
      </c>
      <c r="E167">
        <v>0</v>
      </c>
      <c r="F167">
        <v>0</v>
      </c>
      <c r="G167" s="5">
        <v>4.8148148125619628E-3</v>
      </c>
      <c r="H167" t="s">
        <v>387</v>
      </c>
      <c r="I167" t="s">
        <v>388</v>
      </c>
      <c r="J167">
        <v>0</v>
      </c>
      <c r="K167">
        <f t="shared" si="17"/>
        <v>2</v>
      </c>
      <c r="L167">
        <f t="shared" si="18"/>
        <v>181</v>
      </c>
      <c r="M167">
        <f t="shared" si="19"/>
        <v>4</v>
      </c>
      <c r="N167">
        <f t="shared" si="20"/>
        <v>180</v>
      </c>
      <c r="O167">
        <f t="shared" si="21"/>
        <v>0</v>
      </c>
      <c r="P167" t="str">
        <f t="shared" si="22"/>
        <v>前倒し（1）</v>
      </c>
      <c r="Q167" s="5">
        <f t="shared" si="16"/>
        <v>4.8148148125619628E-3</v>
      </c>
    </row>
    <row r="168" spans="1:17">
      <c r="A168" s="3">
        <v>46025.287592592591</v>
      </c>
      <c r="B168">
        <v>60</v>
      </c>
      <c r="C168">
        <v>20</v>
      </c>
      <c r="D168">
        <v>0</v>
      </c>
      <c r="E168">
        <v>0</v>
      </c>
      <c r="F168">
        <v>0</v>
      </c>
      <c r="G168" s="5">
        <v>8.5185185162117705E-3</v>
      </c>
      <c r="H168" t="s">
        <v>390</v>
      </c>
      <c r="I168" t="s">
        <v>389</v>
      </c>
      <c r="J168">
        <v>0</v>
      </c>
      <c r="K168">
        <f t="shared" si="17"/>
        <v>1</v>
      </c>
      <c r="L168">
        <f t="shared" si="18"/>
        <v>182</v>
      </c>
      <c r="M168">
        <f t="shared" si="19"/>
        <v>4</v>
      </c>
      <c r="N168">
        <f t="shared" si="20"/>
        <v>184</v>
      </c>
      <c r="O168">
        <f t="shared" si="21"/>
        <v>0</v>
      </c>
      <c r="P168" t="str">
        <f t="shared" si="22"/>
        <v>未達成（2）</v>
      </c>
      <c r="Q168" s="5">
        <f t="shared" si="16"/>
        <v>8.5185185162117705E-3</v>
      </c>
    </row>
    <row r="169" spans="1:17">
      <c r="A169" s="3">
        <v>46025.61917824074</v>
      </c>
      <c r="B169">
        <v>60</v>
      </c>
      <c r="C169">
        <v>12</v>
      </c>
      <c r="D169">
        <v>0</v>
      </c>
      <c r="E169">
        <v>0</v>
      </c>
      <c r="F169">
        <v>0</v>
      </c>
      <c r="G169" s="5">
        <v>6.8981481454102322E-3</v>
      </c>
      <c r="H169" t="s">
        <v>391</v>
      </c>
      <c r="I169" t="s">
        <v>392</v>
      </c>
      <c r="J169">
        <v>0</v>
      </c>
      <c r="K169">
        <f t="shared" si="17"/>
        <v>2</v>
      </c>
      <c r="L169">
        <f t="shared" si="18"/>
        <v>184</v>
      </c>
      <c r="M169">
        <f t="shared" si="19"/>
        <v>4</v>
      </c>
      <c r="N169">
        <f t="shared" si="20"/>
        <v>184</v>
      </c>
      <c r="O169">
        <f t="shared" si="21"/>
        <v>0</v>
      </c>
      <c r="P169" t="str">
        <f t="shared" si="22"/>
        <v>達成</v>
      </c>
      <c r="Q169" s="5">
        <f t="shared" si="16"/>
        <v>6.8981481454102322E-3</v>
      </c>
    </row>
    <row r="170" spans="1:17">
      <c r="A170" s="3">
        <v>46026.297118055554</v>
      </c>
      <c r="B170">
        <v>60</v>
      </c>
      <c r="C170">
        <v>13</v>
      </c>
      <c r="D170">
        <v>0</v>
      </c>
      <c r="E170">
        <v>0</v>
      </c>
      <c r="F170">
        <v>0</v>
      </c>
      <c r="G170" s="5">
        <v>6.1921296291984618E-3</v>
      </c>
      <c r="H170" t="s">
        <v>393</v>
      </c>
      <c r="I170" t="s">
        <v>394</v>
      </c>
      <c r="J170">
        <v>0</v>
      </c>
      <c r="K170">
        <f t="shared" si="17"/>
        <v>2</v>
      </c>
      <c r="L170">
        <f t="shared" si="18"/>
        <v>186</v>
      </c>
      <c r="M170">
        <f t="shared" si="19"/>
        <v>4</v>
      </c>
      <c r="N170">
        <f t="shared" si="20"/>
        <v>188</v>
      </c>
      <c r="O170">
        <f t="shared" si="21"/>
        <v>0</v>
      </c>
      <c r="P170" t="str">
        <f t="shared" si="22"/>
        <v>未達成（2）</v>
      </c>
      <c r="Q170" s="5">
        <f t="shared" si="16"/>
        <v>6.1921296291984618E-3</v>
      </c>
    </row>
    <row r="171" spans="1:17">
      <c r="A171" s="3">
        <v>46026.712025462963</v>
      </c>
      <c r="B171">
        <v>60</v>
      </c>
      <c r="C171">
        <v>18</v>
      </c>
      <c r="D171">
        <v>0</v>
      </c>
      <c r="E171">
        <v>0</v>
      </c>
      <c r="F171">
        <v>0</v>
      </c>
      <c r="G171" s="5">
        <v>5.6365740747423843E-3</v>
      </c>
      <c r="H171" t="s">
        <v>395</v>
      </c>
      <c r="I171" t="s">
        <v>396</v>
      </c>
      <c r="J171">
        <v>0</v>
      </c>
      <c r="K171">
        <f t="shared" si="17"/>
        <v>2</v>
      </c>
      <c r="L171">
        <f t="shared" si="18"/>
        <v>188</v>
      </c>
      <c r="M171">
        <f t="shared" si="19"/>
        <v>4</v>
      </c>
      <c r="N171">
        <f t="shared" si="20"/>
        <v>188</v>
      </c>
      <c r="O171">
        <f t="shared" si="21"/>
        <v>0</v>
      </c>
      <c r="P171" t="str">
        <f t="shared" si="22"/>
        <v>達成</v>
      </c>
      <c r="Q171" s="5">
        <f t="shared" si="16"/>
        <v>5.6365740747423843E-3</v>
      </c>
    </row>
    <row r="172" spans="1:17">
      <c r="A172" s="3">
        <v>46027.318206018521</v>
      </c>
      <c r="B172">
        <v>60</v>
      </c>
      <c r="C172">
        <v>16</v>
      </c>
      <c r="D172">
        <v>0</v>
      </c>
      <c r="E172">
        <v>0</v>
      </c>
      <c r="F172">
        <v>0</v>
      </c>
      <c r="G172" s="5">
        <v>8.3564814849523827E-3</v>
      </c>
      <c r="H172" t="s">
        <v>397</v>
      </c>
      <c r="I172" t="s">
        <v>398</v>
      </c>
      <c r="J172">
        <v>0</v>
      </c>
      <c r="K172">
        <f t="shared" si="17"/>
        <v>1</v>
      </c>
      <c r="L172">
        <f t="shared" si="18"/>
        <v>189</v>
      </c>
      <c r="M172">
        <f t="shared" si="19"/>
        <v>4</v>
      </c>
      <c r="N172">
        <f t="shared" si="20"/>
        <v>192</v>
      </c>
      <c r="O172">
        <f t="shared" si="21"/>
        <v>0</v>
      </c>
      <c r="P172" t="str">
        <f t="shared" si="22"/>
        <v>未達成（3）</v>
      </c>
      <c r="Q172" s="5">
        <f t="shared" si="16"/>
        <v>8.3564814849523827E-3</v>
      </c>
    </row>
    <row r="173" spans="1:17">
      <c r="A173" s="3">
        <v>46027.455497685187</v>
      </c>
      <c r="B173">
        <v>60</v>
      </c>
      <c r="C173">
        <v>8</v>
      </c>
      <c r="D173">
        <v>0</v>
      </c>
      <c r="E173">
        <v>0</v>
      </c>
      <c r="F173">
        <v>0</v>
      </c>
      <c r="G173" s="5">
        <v>1.1145833334012423E-2</v>
      </c>
      <c r="H173" t="s">
        <v>399</v>
      </c>
      <c r="I173" t="s">
        <v>400</v>
      </c>
      <c r="J173">
        <v>0</v>
      </c>
      <c r="K173">
        <f t="shared" si="17"/>
        <v>1</v>
      </c>
      <c r="L173">
        <f t="shared" si="18"/>
        <v>190</v>
      </c>
      <c r="M173">
        <f t="shared" si="19"/>
        <v>4</v>
      </c>
      <c r="N173">
        <f t="shared" si="20"/>
        <v>192</v>
      </c>
      <c r="O173">
        <f t="shared" si="21"/>
        <v>0</v>
      </c>
      <c r="P173" t="str">
        <f t="shared" si="22"/>
        <v>未達成（2）</v>
      </c>
      <c r="Q173" s="5">
        <f t="shared" si="16"/>
        <v>1.1145833334012423E-2</v>
      </c>
    </row>
    <row r="174" spans="1:17">
      <c r="A174" s="3">
        <v>46027.613530092596</v>
      </c>
      <c r="B174">
        <v>60</v>
      </c>
      <c r="C174">
        <v>10</v>
      </c>
      <c r="D174">
        <v>0</v>
      </c>
      <c r="E174">
        <v>0</v>
      </c>
      <c r="F174">
        <v>0</v>
      </c>
      <c r="G174" s="5">
        <v>4.6296296350192279E-3</v>
      </c>
      <c r="H174" t="s">
        <v>401</v>
      </c>
      <c r="I174" t="s">
        <v>402</v>
      </c>
      <c r="J174">
        <v>0</v>
      </c>
      <c r="K174">
        <f t="shared" si="17"/>
        <v>2</v>
      </c>
      <c r="L174">
        <f t="shared" si="18"/>
        <v>192</v>
      </c>
      <c r="M174">
        <f t="shared" si="19"/>
        <v>4</v>
      </c>
      <c r="N174">
        <f t="shared" si="20"/>
        <v>192</v>
      </c>
      <c r="O174">
        <f t="shared" si="21"/>
        <v>0</v>
      </c>
      <c r="P174" t="str">
        <f t="shared" si="22"/>
        <v>達成</v>
      </c>
      <c r="Q174" s="5">
        <f t="shared" si="16"/>
        <v>4.6296296350192279E-3</v>
      </c>
    </row>
    <row r="175" spans="1:17">
      <c r="A175" s="3">
        <v>46028.362939814811</v>
      </c>
      <c r="B175">
        <v>60</v>
      </c>
      <c r="C175">
        <v>2</v>
      </c>
      <c r="D175">
        <v>0</v>
      </c>
      <c r="E175">
        <v>0</v>
      </c>
      <c r="F175">
        <v>0</v>
      </c>
      <c r="G175" s="5">
        <v>4.0740740732871927E-3</v>
      </c>
      <c r="H175" t="s">
        <v>403</v>
      </c>
      <c r="I175" t="s">
        <v>404</v>
      </c>
      <c r="J175">
        <v>0</v>
      </c>
      <c r="K175">
        <f t="shared" si="17"/>
        <v>2</v>
      </c>
      <c r="L175">
        <f t="shared" si="18"/>
        <v>194</v>
      </c>
      <c r="M175">
        <f t="shared" si="19"/>
        <v>4</v>
      </c>
      <c r="N175">
        <f t="shared" si="20"/>
        <v>196</v>
      </c>
      <c r="O175">
        <f t="shared" si="21"/>
        <v>0</v>
      </c>
      <c r="P175" t="str">
        <f t="shared" si="22"/>
        <v>未達成（2）</v>
      </c>
      <c r="Q175" s="5">
        <f t="shared" si="16"/>
        <v>4.0740740732871927E-3</v>
      </c>
    </row>
    <row r="176" spans="1:17">
      <c r="A176" s="3">
        <v>46028.834803240738</v>
      </c>
      <c r="B176">
        <v>60</v>
      </c>
      <c r="C176">
        <v>10</v>
      </c>
      <c r="D176">
        <v>0</v>
      </c>
      <c r="E176">
        <v>0</v>
      </c>
      <c r="F176">
        <v>0</v>
      </c>
      <c r="G176" s="5">
        <v>8.0439814773853868E-3</v>
      </c>
      <c r="H176" t="s">
        <v>406</v>
      </c>
      <c r="I176" t="s">
        <v>405</v>
      </c>
      <c r="J176">
        <v>0</v>
      </c>
      <c r="K176">
        <f t="shared" si="17"/>
        <v>1</v>
      </c>
      <c r="L176">
        <f t="shared" si="18"/>
        <v>195</v>
      </c>
      <c r="M176">
        <f t="shared" si="19"/>
        <v>4</v>
      </c>
      <c r="N176">
        <f t="shared" si="20"/>
        <v>196</v>
      </c>
      <c r="O176">
        <f t="shared" si="21"/>
        <v>0</v>
      </c>
      <c r="P176" t="str">
        <f t="shared" si="22"/>
        <v>未達成（1）</v>
      </c>
      <c r="Q176" s="5">
        <f t="shared" si="16"/>
        <v>8.0439814773853868E-3</v>
      </c>
    </row>
    <row r="177" spans="1:17">
      <c r="A177" s="3">
        <v>46028.842037037037</v>
      </c>
      <c r="B177">
        <v>60</v>
      </c>
      <c r="C177">
        <v>10</v>
      </c>
      <c r="D177">
        <v>0</v>
      </c>
      <c r="E177">
        <v>0</v>
      </c>
      <c r="F177">
        <v>0</v>
      </c>
      <c r="G177" s="5">
        <v>6.4236111138598062E-3</v>
      </c>
      <c r="H177" t="s">
        <v>407</v>
      </c>
      <c r="I177" t="s">
        <v>408</v>
      </c>
      <c r="J177">
        <v>0</v>
      </c>
      <c r="K177">
        <f t="shared" si="17"/>
        <v>2</v>
      </c>
      <c r="L177">
        <f t="shared" si="18"/>
        <v>197</v>
      </c>
      <c r="M177">
        <f t="shared" si="19"/>
        <v>4</v>
      </c>
      <c r="N177">
        <f t="shared" si="20"/>
        <v>196</v>
      </c>
      <c r="O177">
        <f t="shared" si="21"/>
        <v>0</v>
      </c>
      <c r="P177" t="str">
        <f t="shared" si="22"/>
        <v>前倒し（1）</v>
      </c>
      <c r="Q177" s="5">
        <f t="shared" si="16"/>
        <v>6.4236111138598062E-3</v>
      </c>
    </row>
    <row r="178" spans="1:17">
      <c r="A178" s="3">
        <v>46029.290162037039</v>
      </c>
      <c r="B178">
        <v>60</v>
      </c>
      <c r="C178">
        <v>17</v>
      </c>
      <c r="D178">
        <v>0</v>
      </c>
      <c r="E178">
        <v>0</v>
      </c>
      <c r="F178">
        <v>0</v>
      </c>
      <c r="G178" s="5">
        <v>5.6250000052386895E-3</v>
      </c>
      <c r="H178" t="s">
        <v>409</v>
      </c>
      <c r="I178" t="s">
        <v>410</v>
      </c>
      <c r="J178">
        <v>0</v>
      </c>
      <c r="K178">
        <f t="shared" si="17"/>
        <v>2</v>
      </c>
      <c r="L178">
        <f t="shared" si="18"/>
        <v>199</v>
      </c>
      <c r="M178">
        <f t="shared" si="19"/>
        <v>4</v>
      </c>
      <c r="N178">
        <f t="shared" si="20"/>
        <v>200</v>
      </c>
      <c r="O178">
        <f t="shared" si="21"/>
        <v>0</v>
      </c>
      <c r="P178" t="str">
        <f t="shared" si="22"/>
        <v>未達成（1）</v>
      </c>
      <c r="Q178" s="5">
        <f t="shared" si="16"/>
        <v>5.6250000052386895E-3</v>
      </c>
    </row>
    <row r="179" spans="1:17">
      <c r="A179" s="3">
        <v>46029.661053240743</v>
      </c>
      <c r="B179">
        <v>60</v>
      </c>
      <c r="C179">
        <v>13</v>
      </c>
      <c r="D179">
        <v>0</v>
      </c>
      <c r="E179">
        <v>0</v>
      </c>
      <c r="F179">
        <v>0</v>
      </c>
      <c r="G179" s="5">
        <v>6.5972222218988463E-3</v>
      </c>
      <c r="H179" t="s">
        <v>411</v>
      </c>
      <c r="I179" t="s">
        <v>412</v>
      </c>
      <c r="J179">
        <v>0</v>
      </c>
      <c r="K179">
        <f t="shared" si="17"/>
        <v>2</v>
      </c>
      <c r="L179">
        <f t="shared" si="18"/>
        <v>201</v>
      </c>
      <c r="M179">
        <f t="shared" si="19"/>
        <v>4</v>
      </c>
      <c r="N179">
        <f t="shared" si="20"/>
        <v>200</v>
      </c>
      <c r="O179">
        <f t="shared" si="21"/>
        <v>0</v>
      </c>
      <c r="P179" t="str">
        <f t="shared" si="22"/>
        <v>前倒し（1）</v>
      </c>
      <c r="Q179" s="5">
        <f t="shared" si="16"/>
        <v>6.5972222218988463E-3</v>
      </c>
    </row>
    <row r="180" spans="1:17">
      <c r="A180" s="3">
        <v>46030.370821759258</v>
      </c>
      <c r="B180">
        <v>60</v>
      </c>
      <c r="C180">
        <v>14</v>
      </c>
      <c r="D180">
        <v>0</v>
      </c>
      <c r="E180">
        <v>0</v>
      </c>
      <c r="F180">
        <v>0</v>
      </c>
      <c r="G180" s="5">
        <v>1.008101852494292E-2</v>
      </c>
      <c r="H180" t="s">
        <v>414</v>
      </c>
      <c r="I180" t="s">
        <v>413</v>
      </c>
      <c r="J180">
        <v>0</v>
      </c>
      <c r="K180">
        <f t="shared" si="17"/>
        <v>1</v>
      </c>
      <c r="L180">
        <f t="shared" si="18"/>
        <v>202</v>
      </c>
      <c r="M180">
        <f t="shared" si="19"/>
        <v>4</v>
      </c>
      <c r="N180">
        <f t="shared" si="20"/>
        <v>204</v>
      </c>
      <c r="O180">
        <f t="shared" si="21"/>
        <v>0</v>
      </c>
      <c r="P180" t="str">
        <f t="shared" si="22"/>
        <v>未達成（2）</v>
      </c>
      <c r="Q180" s="5">
        <f t="shared" si="16"/>
        <v>1.008101852494292E-2</v>
      </c>
    </row>
    <row r="181" spans="1:17">
      <c r="A181" s="3">
        <v>46030.712129629632</v>
      </c>
      <c r="B181">
        <v>60</v>
      </c>
      <c r="C181">
        <v>13</v>
      </c>
      <c r="D181">
        <v>0</v>
      </c>
      <c r="E181">
        <v>0</v>
      </c>
      <c r="F181">
        <v>0</v>
      </c>
      <c r="G181" s="5">
        <v>9.5833333325572312E-3</v>
      </c>
      <c r="H181" t="s">
        <v>416</v>
      </c>
      <c r="I181" t="s">
        <v>415</v>
      </c>
      <c r="J181">
        <v>0</v>
      </c>
      <c r="K181">
        <f t="shared" si="17"/>
        <v>1</v>
      </c>
      <c r="L181">
        <f t="shared" si="18"/>
        <v>203</v>
      </c>
      <c r="M181">
        <f t="shared" si="19"/>
        <v>4</v>
      </c>
      <c r="N181">
        <f t="shared" si="20"/>
        <v>204</v>
      </c>
      <c r="O181">
        <f t="shared" si="21"/>
        <v>0</v>
      </c>
      <c r="P181" t="str">
        <f t="shared" si="22"/>
        <v>未達成（1）</v>
      </c>
      <c r="Q181" s="5">
        <f t="shared" si="16"/>
        <v>9.5833333325572312E-3</v>
      </c>
    </row>
    <row r="182" spans="1:17">
      <c r="A182" s="3">
        <v>46030.719201388885</v>
      </c>
      <c r="B182">
        <v>60</v>
      </c>
      <c r="C182">
        <v>14</v>
      </c>
      <c r="D182">
        <v>0</v>
      </c>
      <c r="E182">
        <v>0</v>
      </c>
      <c r="F182">
        <v>0</v>
      </c>
      <c r="G182" s="5">
        <v>5.5787036981200799E-3</v>
      </c>
      <c r="H182" t="s">
        <v>417</v>
      </c>
      <c r="I182" t="s">
        <v>418</v>
      </c>
      <c r="J182">
        <v>0</v>
      </c>
      <c r="K182">
        <f t="shared" si="17"/>
        <v>2</v>
      </c>
      <c r="L182">
        <f t="shared" si="18"/>
        <v>205</v>
      </c>
      <c r="M182">
        <f t="shared" si="19"/>
        <v>4</v>
      </c>
      <c r="N182">
        <f t="shared" si="20"/>
        <v>204</v>
      </c>
      <c r="O182">
        <f t="shared" si="21"/>
        <v>0</v>
      </c>
      <c r="P182" t="str">
        <f t="shared" si="22"/>
        <v>前倒し（1）</v>
      </c>
      <c r="Q182" s="5">
        <f t="shared" si="16"/>
        <v>5.5787036981200799E-3</v>
      </c>
    </row>
    <row r="183" spans="1:17">
      <c r="A183" s="3">
        <v>46031.307129629633</v>
      </c>
      <c r="G183" s="5">
        <v>1.6319444475811906E-3</v>
      </c>
      <c r="H183" t="s">
        <v>419</v>
      </c>
      <c r="I183" t="s">
        <v>509</v>
      </c>
      <c r="J183">
        <v>1</v>
      </c>
      <c r="K183">
        <f t="shared" ref="K183" si="23">IF(A183&lt;DATEVALUE("2025/11/20")+TIMEVALUE("6:00"),1,IF(OR(B183&lt;&gt;60,SUM(D183:F183)&lt;&gt;0,G183&gt;=IF(A183&lt;DATEVALUE("2025/12/28")+TIMEVALUE("6:00"),20,18)/24/60),0,2-INT(G183*24*60/10)))</f>
        <v>0</v>
      </c>
      <c r="L183">
        <f t="shared" ref="L183" si="24">L182+K183</f>
        <v>205</v>
      </c>
      <c r="M183">
        <f t="shared" ref="M183" si="25">2+IF(A183&gt;=DATEVALUE("2025/11/30")+TIMEVALUE("6:00"),1,0)+IF(A183&gt;=DATEVALUE("2025/12/11")+TIMEVALUE("6:00"),1,0)</f>
        <v>4</v>
      </c>
      <c r="N183">
        <f t="shared" ref="N183" si="26">N182+M183*(INT(A183-6/24)-INT(A182-6/24))+O183</f>
        <v>208</v>
      </c>
      <c r="O183">
        <f t="shared" si="21"/>
        <v>0</v>
      </c>
      <c r="P183" t="str">
        <f t="shared" ref="P183" si="27">IF(L183&lt;N183,"未達成（"&amp;N183-L183&amp;"）",IF(L183=N183,"達成","前倒し（"&amp;L183-N183&amp;"）"))</f>
        <v>未達成（3）</v>
      </c>
      <c r="Q183" s="5" t="e">
        <f t="shared" si="16"/>
        <v>#N/A</v>
      </c>
    </row>
    <row r="184" spans="1:17">
      <c r="A184" s="3">
        <v>46031.360243055555</v>
      </c>
      <c r="B184">
        <v>60</v>
      </c>
      <c r="C184">
        <v>28</v>
      </c>
      <c r="D184">
        <v>0</v>
      </c>
      <c r="E184">
        <v>0</v>
      </c>
      <c r="F184">
        <v>0</v>
      </c>
      <c r="G184" s="5">
        <v>5.4513888899236917E-3</v>
      </c>
      <c r="H184" t="s">
        <v>421</v>
      </c>
      <c r="I184" t="s">
        <v>420</v>
      </c>
      <c r="J184">
        <v>0</v>
      </c>
      <c r="K184">
        <f t="shared" ref="K184" si="28">IF(A184&lt;DATEVALUE("2025/11/20")+TIMEVALUE("6:00"),1,IF(OR(B184&lt;&gt;60,SUM(D184:F184)&lt;&gt;0,G184&gt;=IF(A184&lt;DATEVALUE("2025/12/28")+TIMEVALUE("6:00"),20,18)/24/60),0,2-INT(G184*24*60/10)))</f>
        <v>2</v>
      </c>
      <c r="L184">
        <f t="shared" ref="L184" si="29">L183+K184</f>
        <v>207</v>
      </c>
      <c r="M184">
        <f t="shared" ref="M184" si="30">2+IF(A184&gt;=DATEVALUE("2025/11/30")+TIMEVALUE("6:00"),1,0)+IF(A184&gt;=DATEVALUE("2025/12/11")+TIMEVALUE("6:00"),1,0)</f>
        <v>4</v>
      </c>
      <c r="N184">
        <f t="shared" ref="N184" si="31">N183+M184*(INT(A184-6/24)-INT(A183-6/24))+O184</f>
        <v>208</v>
      </c>
      <c r="O184">
        <f t="shared" si="21"/>
        <v>0</v>
      </c>
      <c r="P184" t="str">
        <f t="shared" ref="P184" si="32">IF(L184&lt;N184,"未達成（"&amp;N184-L184&amp;"）",IF(L184=N184,"達成","前倒し（"&amp;L184-N184&amp;"）"))</f>
        <v>未達成（1）</v>
      </c>
      <c r="Q184" s="5">
        <f t="shared" si="16"/>
        <v>5.4513888899236917E-3</v>
      </c>
    </row>
    <row r="185" spans="1:17">
      <c r="A185" s="3">
        <v>46031.446840277778</v>
      </c>
      <c r="B185">
        <v>60</v>
      </c>
      <c r="C185">
        <v>10</v>
      </c>
      <c r="D185">
        <v>0</v>
      </c>
      <c r="E185">
        <v>0</v>
      </c>
      <c r="F185">
        <v>0</v>
      </c>
      <c r="G185" s="5">
        <v>5.5092592592700385E-3</v>
      </c>
      <c r="H185" t="s">
        <v>422</v>
      </c>
      <c r="I185" t="s">
        <v>423</v>
      </c>
      <c r="J185">
        <v>0</v>
      </c>
      <c r="K185">
        <f t="shared" ref="K185" si="33">IF(A185&lt;DATEVALUE("2025/11/20")+TIMEVALUE("6:00"),1,IF(OR(B185&lt;&gt;60,SUM(D185:F185)&lt;&gt;0,G185&gt;=IF(A185&lt;DATEVALUE("2025/12/28")+TIMEVALUE("6:00"),20,18)/24/60),0,2-INT(G185*24*60/10)))</f>
        <v>2</v>
      </c>
      <c r="L185">
        <f t="shared" ref="L185" si="34">L184+K185</f>
        <v>209</v>
      </c>
      <c r="M185">
        <f t="shared" ref="M185" si="35">2+IF(A185&gt;=DATEVALUE("2025/11/30")+TIMEVALUE("6:00"),1,0)+IF(A185&gt;=DATEVALUE("2025/12/11")+TIMEVALUE("6:00"),1,0)</f>
        <v>4</v>
      </c>
      <c r="N185">
        <f t="shared" ref="N185" si="36">N184+M185*(INT(A185-6/24)-INT(A184-6/24))+O185</f>
        <v>208</v>
      </c>
      <c r="O185">
        <f t="shared" si="21"/>
        <v>0</v>
      </c>
      <c r="P185" t="str">
        <f t="shared" ref="P185" si="37">IF(L185&lt;N185,"未達成（"&amp;N185-L185&amp;"）",IF(L185=N185,"達成","前倒し（"&amp;L185-N185&amp;"）"))</f>
        <v>前倒し（1）</v>
      </c>
      <c r="Q185" s="5">
        <f t="shared" si="16"/>
        <v>5.5092592592700385E-3</v>
      </c>
    </row>
    <row r="186" spans="1:17">
      <c r="A186" s="3">
        <v>46032.888819444444</v>
      </c>
      <c r="B186">
        <v>60</v>
      </c>
      <c r="C186">
        <v>17</v>
      </c>
      <c r="D186">
        <v>0</v>
      </c>
      <c r="E186">
        <v>0</v>
      </c>
      <c r="F186">
        <v>0</v>
      </c>
      <c r="G186" s="5">
        <v>6.0532407442224212E-3</v>
      </c>
      <c r="H186" t="s">
        <v>425</v>
      </c>
      <c r="I186" t="s">
        <v>426</v>
      </c>
      <c r="J186">
        <v>0</v>
      </c>
      <c r="K186">
        <f t="shared" ref="K186" si="38">IF(A186&lt;DATEVALUE("2025/11/20")+TIMEVALUE("6:00"),1,IF(OR(B186&lt;&gt;60,SUM(D186:F186)&lt;&gt;0,G186&gt;=IF(A186&lt;DATEVALUE("2025/12/28")+TIMEVALUE("6:00"),20,18)/24/60),0,2-INT(G186*24*60/10)))</f>
        <v>2</v>
      </c>
      <c r="L186">
        <f t="shared" ref="L186" si="39">L185+K186</f>
        <v>211</v>
      </c>
      <c r="M186">
        <f t="shared" ref="M186" si="40">2+IF(A186&gt;=DATEVALUE("2025/11/30")+TIMEVALUE("6:00"),1,0)+IF(A186&gt;=DATEVALUE("2025/12/11")+TIMEVALUE("6:00"),1,0)</f>
        <v>4</v>
      </c>
      <c r="N186">
        <f t="shared" ref="N186" si="41">N185+M186*(INT(A186-6/24)-INT(A185-6/24))+O186</f>
        <v>212</v>
      </c>
      <c r="O186">
        <f t="shared" si="21"/>
        <v>0</v>
      </c>
      <c r="P186" t="str">
        <f t="shared" ref="P186" si="42">IF(L186&lt;N186,"未達成（"&amp;N186-L186&amp;"）",IF(L186=N186,"達成","前倒し（"&amp;L186-N186&amp;"）"))</f>
        <v>未達成（1）</v>
      </c>
      <c r="Q186" s="5">
        <f t="shared" ref="Q186" si="43">IF(B186="",NA(),G186)</f>
        <v>6.0532407442224212E-3</v>
      </c>
    </row>
    <row r="187" spans="1:17">
      <c r="A187" s="3">
        <v>46032.895682870374</v>
      </c>
      <c r="B187">
        <v>60</v>
      </c>
      <c r="C187">
        <v>4</v>
      </c>
      <c r="D187">
        <v>0</v>
      </c>
      <c r="E187">
        <v>0</v>
      </c>
      <c r="F187">
        <v>0</v>
      </c>
      <c r="G187" s="5">
        <v>6.2962962983874604E-3</v>
      </c>
      <c r="H187" t="s">
        <v>427</v>
      </c>
      <c r="I187" t="s">
        <v>428</v>
      </c>
      <c r="J187">
        <v>0</v>
      </c>
      <c r="K187">
        <f t="shared" ref="K187" si="44">IF(A187&lt;DATEVALUE("2025/11/20")+TIMEVALUE("6:00"),1,IF(OR(B187&lt;&gt;60,SUM(D187:F187)&lt;&gt;0,G187&gt;=IF(A187&lt;DATEVALUE("2025/12/28")+TIMEVALUE("6:00"),20,18)/24/60),0,2-INT(G187*24*60/10)))</f>
        <v>2</v>
      </c>
      <c r="L187">
        <f t="shared" ref="L187" si="45">L186+K187</f>
        <v>213</v>
      </c>
      <c r="M187">
        <f t="shared" ref="M187" si="46">2+IF(A187&gt;=DATEVALUE("2025/11/30")+TIMEVALUE("6:00"),1,0)+IF(A187&gt;=DATEVALUE("2025/12/11")+TIMEVALUE("6:00"),1,0)</f>
        <v>4</v>
      </c>
      <c r="N187">
        <f t="shared" ref="N187" si="47">N186+M187*(INT(A187-6/24)-INT(A186-6/24))+O187</f>
        <v>212</v>
      </c>
      <c r="O187">
        <f t="shared" si="21"/>
        <v>0</v>
      </c>
      <c r="P187" t="str">
        <f t="shared" ref="P187" si="48">IF(L187&lt;N187,"未達成（"&amp;N187-L187&amp;"）",IF(L187=N187,"達成","前倒し（"&amp;L187-N187&amp;"）"))</f>
        <v>前倒し（1）</v>
      </c>
      <c r="Q187" s="5">
        <f t="shared" ref="Q187" si="49">IF(B187="",NA(),G187)</f>
        <v>6.2962962983874604E-3</v>
      </c>
    </row>
    <row r="188" spans="1:17">
      <c r="A188" s="3">
        <v>46033.278032407405</v>
      </c>
      <c r="B188">
        <v>60</v>
      </c>
      <c r="C188">
        <v>8</v>
      </c>
      <c r="D188">
        <v>0</v>
      </c>
      <c r="E188">
        <v>0</v>
      </c>
      <c r="F188">
        <v>0</v>
      </c>
      <c r="G188" s="5">
        <v>1.1608796296059154E-2</v>
      </c>
      <c r="H188" t="s">
        <v>429</v>
      </c>
      <c r="I188" t="s">
        <v>430</v>
      </c>
      <c r="J188">
        <v>0</v>
      </c>
      <c r="K188">
        <f t="shared" ref="K188" si="50">IF(A188&lt;DATEVALUE("2025/11/20")+TIMEVALUE("6:00"),1,IF(OR(B188&lt;&gt;60,SUM(D188:F188)&lt;&gt;0,G188&gt;=IF(A188&lt;DATEVALUE("2025/12/28")+TIMEVALUE("6:00"),20,18)/24/60),0,2-INT(G188*24*60/10)))</f>
        <v>1</v>
      </c>
      <c r="L188">
        <f t="shared" ref="L188" si="51">L187+K188</f>
        <v>214</v>
      </c>
      <c r="M188">
        <f t="shared" ref="M188" si="52">2+IF(A188&gt;=DATEVALUE("2025/11/30")+TIMEVALUE("6:00"),1,0)+IF(A188&gt;=DATEVALUE("2025/12/11")+TIMEVALUE("6:00"),1,0)</f>
        <v>4</v>
      </c>
      <c r="N188">
        <f t="shared" ref="N188" si="53">N187+M188*(INT(A188-6/24)-INT(A187-6/24))+O188</f>
        <v>216</v>
      </c>
      <c r="O188">
        <f t="shared" si="21"/>
        <v>0</v>
      </c>
      <c r="P188" t="str">
        <f t="shared" ref="P188" si="54">IF(L188&lt;N188,"未達成（"&amp;N188-L188&amp;"）",IF(L188=N188,"達成","前倒し（"&amp;L188-N188&amp;"）"))</f>
        <v>未達成（2）</v>
      </c>
      <c r="Q188" s="5">
        <f t="shared" ref="Q188" si="55">IF(B188="",NA(),G188)</f>
        <v>1.1608796296059154E-2</v>
      </c>
    </row>
    <row r="189" spans="1:17">
      <c r="A189" s="3">
        <v>46033.302071759259</v>
      </c>
      <c r="B189">
        <v>60</v>
      </c>
      <c r="C189">
        <v>20</v>
      </c>
      <c r="D189">
        <v>0</v>
      </c>
      <c r="E189">
        <v>0</v>
      </c>
      <c r="F189">
        <v>0</v>
      </c>
      <c r="G189" s="5">
        <v>8.1018518540076911E-3</v>
      </c>
      <c r="H189" t="s">
        <v>431</v>
      </c>
      <c r="I189" t="s">
        <v>432</v>
      </c>
      <c r="J189">
        <v>0</v>
      </c>
      <c r="K189">
        <f t="shared" ref="K189" si="56">IF(A189&lt;DATEVALUE("2025/11/20")+TIMEVALUE("6:00"),1,IF(OR(B189&lt;&gt;60,SUM(D189:F189)&lt;&gt;0,G189&gt;=IF(A189&lt;DATEVALUE("2025/12/28")+TIMEVALUE("6:00"),20,18)/24/60),0,2-INT(G189*24*60/10)))</f>
        <v>1</v>
      </c>
      <c r="L189">
        <f t="shared" ref="L189" si="57">L188+K189</f>
        <v>215</v>
      </c>
      <c r="M189">
        <f t="shared" ref="M189" si="58">2+IF(A189&gt;=DATEVALUE("2025/11/30")+TIMEVALUE("6:00"),1,0)+IF(A189&gt;=DATEVALUE("2025/12/11")+TIMEVALUE("6:00"),1,0)</f>
        <v>4</v>
      </c>
      <c r="N189">
        <f t="shared" ref="N189" si="59">N188+M189*(INT(A189-6/24)-INT(A188-6/24))+O189</f>
        <v>216</v>
      </c>
      <c r="O189">
        <f t="shared" si="21"/>
        <v>0</v>
      </c>
      <c r="P189" t="str">
        <f t="shared" ref="P189" si="60">IF(L189&lt;N189,"未達成（"&amp;N189-L189&amp;"）",IF(L189=N189,"達成","前倒し（"&amp;L189-N189&amp;"）"))</f>
        <v>未達成（1）</v>
      </c>
      <c r="Q189" s="5">
        <f t="shared" ref="Q189" si="61">IF(B189="",NA(),G189)</f>
        <v>8.1018518540076911E-3</v>
      </c>
    </row>
    <row r="190" spans="1:17">
      <c r="A190" s="3">
        <v>46033.309340277781</v>
      </c>
      <c r="B190">
        <v>60</v>
      </c>
      <c r="C190">
        <v>9</v>
      </c>
      <c r="D190">
        <v>0</v>
      </c>
      <c r="E190">
        <v>0</v>
      </c>
      <c r="F190">
        <v>0</v>
      </c>
      <c r="G190" s="5">
        <v>6.0763888905057684E-3</v>
      </c>
      <c r="H190" t="s">
        <v>433</v>
      </c>
      <c r="I190" t="s">
        <v>434</v>
      </c>
      <c r="J190">
        <v>0</v>
      </c>
      <c r="K190">
        <f t="shared" ref="K190" si="62">IF(A190&lt;DATEVALUE("2025/11/20")+TIMEVALUE("6:00"),1,IF(OR(B190&lt;&gt;60,SUM(D190:F190)&lt;&gt;0,G190&gt;=IF(A190&lt;DATEVALUE("2025/12/28")+TIMEVALUE("6:00"),20,18)/24/60),0,2-INT(G190*24*60/10)))</f>
        <v>2</v>
      </c>
      <c r="L190">
        <f t="shared" ref="L190" si="63">L189+K190</f>
        <v>217</v>
      </c>
      <c r="M190">
        <f t="shared" ref="M190" si="64">2+IF(A190&gt;=DATEVALUE("2025/11/30")+TIMEVALUE("6:00"),1,0)+IF(A190&gt;=DATEVALUE("2025/12/11")+TIMEVALUE("6:00"),1,0)</f>
        <v>4</v>
      </c>
      <c r="N190">
        <f t="shared" ref="N190" si="65">N189+M190*(INT(A190-6/24)-INT(A189-6/24))+O190</f>
        <v>216</v>
      </c>
      <c r="O190">
        <f t="shared" si="21"/>
        <v>0</v>
      </c>
      <c r="P190" t="str">
        <f t="shared" ref="P190" si="66">IF(L190&lt;N190,"未達成（"&amp;N190-L190&amp;"）",IF(L190=N190,"達成","前倒し（"&amp;L190-N190&amp;"）"))</f>
        <v>前倒し（1）</v>
      </c>
      <c r="Q190" s="5">
        <f t="shared" ref="Q190" si="67">IF(B190="",NA(),G190)</f>
        <v>6.0763888905057684E-3</v>
      </c>
    </row>
    <row r="191" spans="1:17">
      <c r="A191" s="3">
        <v>46034.275648148148</v>
      </c>
      <c r="B191">
        <v>60</v>
      </c>
      <c r="C191">
        <v>13</v>
      </c>
      <c r="D191">
        <v>0</v>
      </c>
      <c r="E191">
        <v>0</v>
      </c>
      <c r="F191">
        <v>0</v>
      </c>
      <c r="G191" s="5">
        <v>6.1574074061354622E-3</v>
      </c>
      <c r="H191" t="s">
        <v>435</v>
      </c>
      <c r="I191" t="s">
        <v>436</v>
      </c>
      <c r="J191">
        <v>0</v>
      </c>
      <c r="K191">
        <f t="shared" ref="K191" si="68">IF(A191&lt;DATEVALUE("2025/11/20")+TIMEVALUE("6:00"),1,IF(OR(B191&lt;&gt;60,SUM(D191:F191)&lt;&gt;0,G191&gt;=IF(A191&lt;DATEVALUE("2025/12/28")+TIMEVALUE("6:00"),20,18)/24/60),0,2-INT(G191*24*60/10)))</f>
        <v>2</v>
      </c>
      <c r="L191">
        <f t="shared" ref="L191" si="69">L190+K191</f>
        <v>219</v>
      </c>
      <c r="M191">
        <f t="shared" ref="M191" si="70">2+IF(A191&gt;=DATEVALUE("2025/11/30")+TIMEVALUE("6:00"),1,0)+IF(A191&gt;=DATEVALUE("2025/12/11")+TIMEVALUE("6:00"),1,0)</f>
        <v>4</v>
      </c>
      <c r="N191">
        <f t="shared" ref="N191" si="71">N190+M191*(INT(A191-6/24)-INT(A190-6/24))+O191</f>
        <v>220</v>
      </c>
      <c r="O191">
        <f t="shared" si="21"/>
        <v>0</v>
      </c>
      <c r="P191" t="str">
        <f t="shared" ref="P191" si="72">IF(L191&lt;N191,"未達成（"&amp;N191-L191&amp;"）",IF(L191=N191,"達成","前倒し（"&amp;L191-N191&amp;"）"))</f>
        <v>未達成（1）</v>
      </c>
      <c r="Q191" s="5">
        <f t="shared" ref="Q191" si="73">IF(B191="",NA(),G191)</f>
        <v>6.1574074061354622E-3</v>
      </c>
    </row>
    <row r="192" spans="1:17">
      <c r="A192" s="3">
        <v>46034.311157407406</v>
      </c>
      <c r="B192">
        <v>60</v>
      </c>
      <c r="C192">
        <v>13</v>
      </c>
      <c r="D192">
        <v>0</v>
      </c>
      <c r="E192">
        <v>0</v>
      </c>
      <c r="F192">
        <v>0</v>
      </c>
      <c r="G192" s="5">
        <v>8.4027777775190771E-3</v>
      </c>
      <c r="H192" t="s">
        <v>438</v>
      </c>
      <c r="I192" t="s">
        <v>439</v>
      </c>
      <c r="J192">
        <v>0</v>
      </c>
      <c r="K192">
        <f t="shared" ref="K192" si="74">IF(A192&lt;DATEVALUE("2025/11/20")+TIMEVALUE("6:00"),1,IF(OR(B192&lt;&gt;60,SUM(D192:F192)&lt;&gt;0,G192&gt;=IF(A192&lt;DATEVALUE("2025/12/28")+TIMEVALUE("6:00"),20,18)/24/60),0,2-INT(G192*24*60/10)))</f>
        <v>1</v>
      </c>
      <c r="L192">
        <f t="shared" ref="L192" si="75">L191+K192</f>
        <v>220</v>
      </c>
      <c r="M192">
        <f t="shared" ref="M192" si="76">2+IF(A192&gt;=DATEVALUE("2025/11/30")+TIMEVALUE("6:00"),1,0)+IF(A192&gt;=DATEVALUE("2025/12/11")+TIMEVALUE("6:00"),1,0)</f>
        <v>4</v>
      </c>
      <c r="N192">
        <f t="shared" ref="N192" si="77">N191+M192*(INT(A192-6/24)-INT(A191-6/24))+O192</f>
        <v>220</v>
      </c>
      <c r="O192">
        <f t="shared" si="21"/>
        <v>0</v>
      </c>
      <c r="P192" t="str">
        <f t="shared" ref="P192" si="78">IF(L192&lt;N192,"未達成（"&amp;N192-L192&amp;"）",IF(L192=N192,"達成","前倒し（"&amp;L192-N192&amp;"）"))</f>
        <v>達成</v>
      </c>
      <c r="Q192">
        <f t="shared" ref="Q192" si="79">IF(B192="",NA(),G192)</f>
        <v>8.4027777775190771E-3</v>
      </c>
    </row>
    <row r="193" spans="1:17">
      <c r="A193" s="3">
        <v>46035.274317129632</v>
      </c>
      <c r="B193">
        <v>60</v>
      </c>
      <c r="C193">
        <v>10</v>
      </c>
      <c r="D193">
        <v>0</v>
      </c>
      <c r="E193">
        <v>0</v>
      </c>
      <c r="F193">
        <v>0</v>
      </c>
      <c r="G193" s="5">
        <v>9.3750000014551915E-3</v>
      </c>
      <c r="H193" t="s">
        <v>440</v>
      </c>
      <c r="I193" t="s">
        <v>441</v>
      </c>
      <c r="J193">
        <v>0</v>
      </c>
      <c r="K193">
        <f t="shared" ref="K193" si="80">IF(A193&lt;DATEVALUE("2025/11/20")+TIMEVALUE("6:00"),1,IF(OR(B193&lt;&gt;60,SUM(D193:F193)&lt;&gt;0,G193&gt;=IF(A193&lt;DATEVALUE("2025/12/28")+TIMEVALUE("6:00"),20,18)/24/60),0,2-INT(G193*24*60/10)))</f>
        <v>1</v>
      </c>
      <c r="L193">
        <f t="shared" ref="L193" si="81">L192+K193</f>
        <v>221</v>
      </c>
      <c r="M193">
        <f t="shared" ref="M193" si="82">2+IF(A193&gt;=DATEVALUE("2025/11/30")+TIMEVALUE("6:00"),1,0)+IF(A193&gt;=DATEVALUE("2025/12/11")+TIMEVALUE("6:00"),1,0)</f>
        <v>4</v>
      </c>
      <c r="N193">
        <f t="shared" ref="N193" si="83">N192+M193*(INT(A193-6/24)-INT(A192-6/24))+O193</f>
        <v>224</v>
      </c>
      <c r="O193">
        <f t="shared" si="21"/>
        <v>0</v>
      </c>
      <c r="P193" t="str">
        <f t="shared" ref="P193" si="84">IF(L193&lt;N193,"未達成（"&amp;N193-L193&amp;"）",IF(L193=N193,"達成","前倒し（"&amp;L193-N193&amp;"）"))</f>
        <v>未達成（3）</v>
      </c>
      <c r="Q193">
        <f t="shared" ref="Q193" si="85">IF(B193="",NA(),G193)</f>
        <v>9.3750000014551915E-3</v>
      </c>
    </row>
    <row r="194" spans="1:17">
      <c r="A194" s="3">
        <v>46035.280925925923</v>
      </c>
      <c r="B194">
        <v>60</v>
      </c>
      <c r="C194">
        <v>10</v>
      </c>
      <c r="D194">
        <v>0</v>
      </c>
      <c r="E194">
        <v>0</v>
      </c>
      <c r="F194">
        <v>0</v>
      </c>
      <c r="G194" s="5">
        <v>5.1736111054196954E-3</v>
      </c>
      <c r="H194" t="s">
        <v>442</v>
      </c>
      <c r="I194" t="s">
        <v>443</v>
      </c>
      <c r="J194">
        <v>0</v>
      </c>
      <c r="K194">
        <f t="shared" ref="K194" si="86">IF(A194&lt;DATEVALUE("2025/11/20")+TIMEVALUE("6:00"),1,IF(OR(B194&lt;&gt;60,SUM(D194:F194)&lt;&gt;0,G194&gt;=IF(A194&lt;DATEVALUE("2025/12/28")+TIMEVALUE("6:00"),20,18)/24/60),0,2-INT(G194*24*60/10)))</f>
        <v>2</v>
      </c>
      <c r="L194">
        <f t="shared" ref="L194" si="87">L193+K194</f>
        <v>223</v>
      </c>
      <c r="M194">
        <f t="shared" ref="M194" si="88">2+IF(A194&gt;=DATEVALUE("2025/11/30")+TIMEVALUE("6:00"),1,0)+IF(A194&gt;=DATEVALUE("2025/12/11")+TIMEVALUE("6:00"),1,0)</f>
        <v>4</v>
      </c>
      <c r="N194">
        <f t="shared" ref="N194" si="89">N193+M194*(INT(A194-6/24)-INT(A193-6/24))+O194</f>
        <v>224</v>
      </c>
      <c r="O194">
        <f t="shared" si="21"/>
        <v>0</v>
      </c>
      <c r="P194" t="str">
        <f t="shared" ref="P194" si="90">IF(L194&lt;N194,"未達成（"&amp;N194-L194&amp;"）",IF(L194=N194,"達成","前倒し（"&amp;L194-N194&amp;"）"))</f>
        <v>未達成（1）</v>
      </c>
      <c r="Q194">
        <f t="shared" ref="Q194" si="91">IF(B194="",NA(),G194)</f>
        <v>5.1736111054196954E-3</v>
      </c>
    </row>
    <row r="195" spans="1:17">
      <c r="A195" s="3">
        <v>46035.30537037037</v>
      </c>
      <c r="B195">
        <v>60</v>
      </c>
      <c r="C195">
        <v>16</v>
      </c>
      <c r="D195">
        <v>0</v>
      </c>
      <c r="E195">
        <v>0</v>
      </c>
      <c r="F195">
        <v>0</v>
      </c>
      <c r="G195" s="5">
        <v>6.0879629600094631E-3</v>
      </c>
      <c r="H195" t="s">
        <v>444</v>
      </c>
      <c r="I195" t="s">
        <v>445</v>
      </c>
      <c r="J195">
        <v>0</v>
      </c>
      <c r="K195">
        <f t="shared" ref="K195" si="92">IF(A195&lt;DATEVALUE("2025/11/20")+TIMEVALUE("6:00"),1,IF(OR(B195&lt;&gt;60,SUM(D195:F195)&lt;&gt;0,G195&gt;=IF(A195&lt;DATEVALUE("2025/12/28")+TIMEVALUE("6:00"),20,18)/24/60),0,2-INT(G195*24*60/10)))</f>
        <v>2</v>
      </c>
      <c r="L195">
        <f t="shared" ref="L195" si="93">L194+K195</f>
        <v>225</v>
      </c>
      <c r="M195">
        <f t="shared" ref="M195" si="94">2+IF(A195&gt;=DATEVALUE("2025/11/30")+TIMEVALUE("6:00"),1,0)+IF(A195&gt;=DATEVALUE("2025/12/11")+TIMEVALUE("6:00"),1,0)</f>
        <v>4</v>
      </c>
      <c r="N195">
        <f t="shared" ref="N195" si="95">N194+M195*(INT(A195-6/24)-INT(A194-6/24))+O195</f>
        <v>224</v>
      </c>
      <c r="O195">
        <f t="shared" si="21"/>
        <v>0</v>
      </c>
      <c r="P195" t="str">
        <f t="shared" ref="P195" si="96">IF(L195&lt;N195,"未達成（"&amp;N195-L195&amp;"）",IF(L195=N195,"達成","前倒し（"&amp;L195-N195&amp;"）"))</f>
        <v>前倒し（1）</v>
      </c>
      <c r="Q195">
        <f t="shared" ref="Q195" si="97">IF(B195="",NA(),G195)</f>
        <v>6.0879629600094631E-3</v>
      </c>
    </row>
    <row r="196" spans="1:17">
      <c r="A196" s="3">
        <v>46036.294687499998</v>
      </c>
      <c r="B196">
        <v>60</v>
      </c>
      <c r="C196">
        <v>4</v>
      </c>
      <c r="D196">
        <v>0</v>
      </c>
      <c r="E196">
        <v>0</v>
      </c>
      <c r="F196">
        <v>0</v>
      </c>
      <c r="G196" s="5">
        <v>5.6712962978053838E-3</v>
      </c>
      <c r="H196" t="s">
        <v>446</v>
      </c>
      <c r="I196" t="s">
        <v>447</v>
      </c>
      <c r="J196">
        <v>0</v>
      </c>
      <c r="K196">
        <f t="shared" ref="K196" si="98">IF(A196&lt;DATEVALUE("2025/11/20")+TIMEVALUE("6:00"),1,IF(OR(B196&lt;&gt;60,SUM(D196:F196)&lt;&gt;0,G196&gt;=IF(A196&lt;DATEVALUE("2025/12/28")+TIMEVALUE("6:00"),20,18)/24/60),0,2-INT(G196*24*60/10)))</f>
        <v>2</v>
      </c>
      <c r="L196">
        <f t="shared" ref="L196" si="99">L195+K196</f>
        <v>227</v>
      </c>
      <c r="M196">
        <f t="shared" ref="M196" si="100">2+IF(A196&gt;=DATEVALUE("2025/11/30")+TIMEVALUE("6:00"),1,0)+IF(A196&gt;=DATEVALUE("2025/12/11")+TIMEVALUE("6:00"),1,0)</f>
        <v>4</v>
      </c>
      <c r="N196">
        <f t="shared" ref="N196" si="101">N195+M196*(INT(A196-6/24)-INT(A195-6/24))+O196</f>
        <v>228</v>
      </c>
      <c r="O196">
        <f t="shared" si="21"/>
        <v>0</v>
      </c>
      <c r="P196" t="str">
        <f t="shared" ref="P196" si="102">IF(L196&lt;N196,"未達成（"&amp;N196-L196&amp;"）",IF(L196=N196,"達成","前倒し（"&amp;L196-N196&amp;"）"))</f>
        <v>未達成（1）</v>
      </c>
      <c r="Q196">
        <f t="shared" ref="Q196" si="103">IF(B196="",NA(),G196)</f>
        <v>5.6712962978053838E-3</v>
      </c>
    </row>
    <row r="197" spans="1:17">
      <c r="A197" s="3">
        <v>46036.3049537037</v>
      </c>
      <c r="B197">
        <v>60</v>
      </c>
      <c r="C197">
        <v>6</v>
      </c>
      <c r="D197">
        <v>0</v>
      </c>
      <c r="E197">
        <v>0</v>
      </c>
      <c r="F197">
        <v>0</v>
      </c>
      <c r="G197" s="5">
        <v>6.8287036992842332E-3</v>
      </c>
      <c r="H197" t="s">
        <v>448</v>
      </c>
      <c r="I197" t="s">
        <v>449</v>
      </c>
      <c r="J197">
        <v>0</v>
      </c>
      <c r="K197">
        <f t="shared" ref="K197" si="104">IF(A197&lt;DATEVALUE("2025/11/20")+TIMEVALUE("6:00"),1,IF(OR(B197&lt;&gt;60,SUM(D197:F197)&lt;&gt;0,G197&gt;=IF(A197&lt;DATEVALUE("2025/12/28")+TIMEVALUE("6:00"),20,18)/24/60),0,2-INT(G197*24*60/10)))</f>
        <v>2</v>
      </c>
      <c r="L197">
        <f t="shared" ref="L197" si="105">L196+K197</f>
        <v>229</v>
      </c>
      <c r="M197">
        <f t="shared" ref="M197" si="106">2+IF(A197&gt;=DATEVALUE("2025/11/30")+TIMEVALUE("6:00"),1,0)+IF(A197&gt;=DATEVALUE("2025/12/11")+TIMEVALUE("6:00"),1,0)</f>
        <v>4</v>
      </c>
      <c r="N197">
        <f t="shared" ref="N197" si="107">N196+M197*(INT(A197-6/24)-INT(A196-6/24))+O197</f>
        <v>228</v>
      </c>
      <c r="O197">
        <f t="shared" si="21"/>
        <v>0</v>
      </c>
      <c r="P197" t="str">
        <f t="shared" ref="P197" si="108">IF(L197&lt;N197,"未達成（"&amp;N197-L197&amp;"）",IF(L197=N197,"達成","前倒し（"&amp;L197-N197&amp;"）"))</f>
        <v>前倒し（1）</v>
      </c>
      <c r="Q197">
        <f t="shared" ref="Q197" si="109">IF(B197="",NA(),G197)</f>
        <v>6.8287036992842332E-3</v>
      </c>
    </row>
    <row r="198" spans="1:17">
      <c r="A198" s="3">
        <v>46037.296423611115</v>
      </c>
      <c r="B198">
        <v>60</v>
      </c>
      <c r="C198">
        <v>17</v>
      </c>
      <c r="D198">
        <v>0</v>
      </c>
      <c r="E198">
        <v>0</v>
      </c>
      <c r="F198">
        <v>0</v>
      </c>
      <c r="G198" s="5">
        <v>1.1712962965248153E-2</v>
      </c>
      <c r="H198" t="s">
        <v>450</v>
      </c>
      <c r="I198" t="s">
        <v>451</v>
      </c>
      <c r="J198">
        <v>0</v>
      </c>
      <c r="K198">
        <f t="shared" ref="K198" si="110">IF(A198&lt;DATEVALUE("2025/11/20")+TIMEVALUE("6:00"),1,IF(OR(B198&lt;&gt;60,SUM(D198:F198)&lt;&gt;0,G198&gt;=IF(A198&lt;DATEVALUE("2025/12/28")+TIMEVALUE("6:00"),20,18)/24/60),0,2-INT(G198*24*60/10)))</f>
        <v>1</v>
      </c>
      <c r="L198">
        <f t="shared" ref="L198" si="111">L197+K198</f>
        <v>230</v>
      </c>
      <c r="M198">
        <f t="shared" ref="M198" si="112">2+IF(A198&gt;=DATEVALUE("2025/11/30")+TIMEVALUE("6:00"),1,0)+IF(A198&gt;=DATEVALUE("2025/12/11")+TIMEVALUE("6:00"),1,0)</f>
        <v>4</v>
      </c>
      <c r="N198">
        <f t="shared" ref="N198" si="113">N197+M198*(INT(A198-6/24)-INT(A197-6/24))+O198</f>
        <v>232</v>
      </c>
      <c r="O198">
        <f t="shared" si="21"/>
        <v>0</v>
      </c>
      <c r="P198" t="str">
        <f t="shared" ref="P198" si="114">IF(L198&lt;N198,"未達成（"&amp;N198-L198&amp;"）",IF(L198=N198,"達成","前倒し（"&amp;L198-N198&amp;"）"))</f>
        <v>未達成（2）</v>
      </c>
      <c r="Q198">
        <f t="shared" ref="Q198" si="115">IF(B198="",NA(),G198)</f>
        <v>1.1712962965248153E-2</v>
      </c>
    </row>
    <row r="199" spans="1:17">
      <c r="A199" s="3">
        <v>46037.307673611111</v>
      </c>
      <c r="B199">
        <v>60</v>
      </c>
      <c r="C199">
        <v>15</v>
      </c>
      <c r="D199">
        <v>0</v>
      </c>
      <c r="E199">
        <v>0</v>
      </c>
      <c r="F199">
        <v>0</v>
      </c>
      <c r="G199" s="5">
        <v>6.9907407378195785E-3</v>
      </c>
      <c r="H199" t="s">
        <v>452</v>
      </c>
      <c r="I199" t="s">
        <v>453</v>
      </c>
      <c r="J199">
        <v>0</v>
      </c>
      <c r="K199">
        <f t="shared" ref="K199" si="116">IF(A199&lt;DATEVALUE("2025/11/20")+TIMEVALUE("6:00"),1,IF(OR(B199&lt;&gt;60,SUM(D199:F199)&lt;&gt;0,G199&gt;=IF(A199&lt;DATEVALUE("2025/12/28")+TIMEVALUE("6:00"),20,18)/24/60),0,2-INT(G199*24*60/10)))</f>
        <v>1</v>
      </c>
      <c r="L199">
        <f t="shared" ref="L199" si="117">L198+K199</f>
        <v>231</v>
      </c>
      <c r="M199">
        <f t="shared" ref="M199" si="118">2+IF(A199&gt;=DATEVALUE("2025/11/30")+TIMEVALUE("6:00"),1,0)+IF(A199&gt;=DATEVALUE("2025/12/11")+TIMEVALUE("6:00"),1,0)</f>
        <v>4</v>
      </c>
      <c r="N199">
        <f t="shared" ref="N199" si="119">N198+M199*(INT(A199-6/24)-INT(A198-6/24))+O199</f>
        <v>232</v>
      </c>
      <c r="O199">
        <f t="shared" si="21"/>
        <v>0</v>
      </c>
      <c r="P199" t="str">
        <f t="shared" ref="P199" si="120">IF(L199&lt;N199,"未達成（"&amp;N199-L199&amp;"）",IF(L199=N199,"達成","前倒し（"&amp;L199-N199&amp;"）"))</f>
        <v>未達成（1）</v>
      </c>
      <c r="Q199">
        <f t="shared" ref="Q199" si="121">IF(B199="",NA(),G199)</f>
        <v>6.9907407378195785E-3</v>
      </c>
    </row>
    <row r="200" spans="1:17">
      <c r="A200" s="3">
        <v>46037.315891203703</v>
      </c>
      <c r="B200">
        <v>60</v>
      </c>
      <c r="C200">
        <v>19</v>
      </c>
      <c r="D200">
        <v>0</v>
      </c>
      <c r="E200">
        <v>0</v>
      </c>
      <c r="F200">
        <v>0</v>
      </c>
      <c r="G200" s="5">
        <v>5.3472222207346931E-3</v>
      </c>
      <c r="H200" t="s">
        <v>454</v>
      </c>
      <c r="I200" t="s">
        <v>455</v>
      </c>
      <c r="J200">
        <v>0</v>
      </c>
      <c r="K200">
        <f t="shared" ref="K200" si="122">IF(A200&lt;DATEVALUE("2025/11/20")+TIMEVALUE("6:00"),1,IF(OR(B200&lt;&gt;60,SUM(D200:F200)&lt;&gt;0,G200&gt;=IF(A200&lt;DATEVALUE("2025/12/28")+TIMEVALUE("6:00"),20,18)/24/60),0,2-INT(G200*24*60/10)))</f>
        <v>2</v>
      </c>
      <c r="L200">
        <f t="shared" ref="L200" si="123">L199+K200</f>
        <v>233</v>
      </c>
      <c r="M200">
        <f t="shared" ref="M200" si="124">2+IF(A200&gt;=DATEVALUE("2025/11/30")+TIMEVALUE("6:00"),1,0)+IF(A200&gt;=DATEVALUE("2025/12/11")+TIMEVALUE("6:00"),1,0)</f>
        <v>4</v>
      </c>
      <c r="N200">
        <f t="shared" ref="N200" si="125">N199+M200*(INT(A200-6/24)-INT(A199-6/24))+O200</f>
        <v>232</v>
      </c>
      <c r="O200">
        <f t="shared" si="21"/>
        <v>0</v>
      </c>
      <c r="P200" t="str">
        <f t="shared" ref="P200" si="126">IF(L200&lt;N200,"未達成（"&amp;N200-L200&amp;"）",IF(L200=N200,"達成","前倒し（"&amp;L200-N200&amp;"）"))</f>
        <v>前倒し（1）</v>
      </c>
      <c r="Q200">
        <f t="shared" ref="Q200" si="127">IF(B200="",NA(),G200)</f>
        <v>5.3472222207346931E-3</v>
      </c>
    </row>
    <row r="201" spans="1:17">
      <c r="A201" s="3">
        <v>46038.299872685187</v>
      </c>
      <c r="B201">
        <v>60</v>
      </c>
      <c r="C201">
        <v>12</v>
      </c>
      <c r="D201">
        <v>0</v>
      </c>
      <c r="E201">
        <v>0</v>
      </c>
      <c r="F201">
        <v>0</v>
      </c>
      <c r="G201" s="5">
        <v>7.5578703690553084E-3</v>
      </c>
      <c r="H201" t="s">
        <v>456</v>
      </c>
      <c r="I201" t="s">
        <v>457</v>
      </c>
      <c r="J201">
        <v>0</v>
      </c>
      <c r="K201">
        <f t="shared" ref="K201" si="128">IF(A201&lt;DATEVALUE("2025/11/20")+TIMEVALUE("6:00"),1,IF(OR(B201&lt;&gt;60,SUM(D201:F201)&lt;&gt;0,G201&gt;=IF(A201&lt;DATEVALUE("2025/12/28")+TIMEVALUE("6:00"),20,18)/24/60),0,2-INT(G201*24*60/10)))</f>
        <v>1</v>
      </c>
      <c r="L201">
        <f t="shared" ref="L201" si="129">L200+K201</f>
        <v>234</v>
      </c>
      <c r="M201">
        <f t="shared" ref="M201" si="130">2+IF(A201&gt;=DATEVALUE("2025/11/30")+TIMEVALUE("6:00"),1,0)+IF(A201&gt;=DATEVALUE("2025/12/11")+TIMEVALUE("6:00"),1,0)</f>
        <v>4</v>
      </c>
      <c r="N201">
        <f t="shared" ref="N201" si="131">N200+M201*(INT(A201-6/24)-INT(A200-6/24))+O201</f>
        <v>236</v>
      </c>
      <c r="O201">
        <f t="shared" si="21"/>
        <v>0</v>
      </c>
      <c r="P201" t="str">
        <f t="shared" ref="P201" si="132">IF(L201&lt;N201,"未達成（"&amp;N201-L201&amp;"）",IF(L201=N201,"達成","前倒し（"&amp;L201-N201&amp;"）"))</f>
        <v>未達成（2）</v>
      </c>
      <c r="Q201">
        <f t="shared" ref="Q201" si="133">IF(B201="",NA(),G201)</f>
        <v>7.5578703690553084E-3</v>
      </c>
    </row>
    <row r="202" spans="1:17">
      <c r="A202" s="3">
        <v>46038.308009259257</v>
      </c>
      <c r="B202">
        <v>60</v>
      </c>
      <c r="C202">
        <v>19</v>
      </c>
      <c r="D202">
        <v>0</v>
      </c>
      <c r="E202">
        <v>0</v>
      </c>
      <c r="F202">
        <v>0</v>
      </c>
      <c r="G202" s="5">
        <v>7.1180555532919243E-3</v>
      </c>
      <c r="H202" t="s">
        <v>458</v>
      </c>
      <c r="I202" t="s">
        <v>459</v>
      </c>
      <c r="J202">
        <v>0</v>
      </c>
      <c r="K202">
        <f t="shared" ref="K202" si="134">IF(A202&lt;DATEVALUE("2025/11/20")+TIMEVALUE("6:00"),1,IF(OR(B202&lt;&gt;60,SUM(D202:F202)&lt;&gt;0,G202&gt;=IF(A202&lt;DATEVALUE("2025/12/28")+TIMEVALUE("6:00"),20,18)/24/60),0,2-INT(G202*24*60/10)))</f>
        <v>1</v>
      </c>
      <c r="L202">
        <f t="shared" ref="L202" si="135">L201+K202</f>
        <v>235</v>
      </c>
      <c r="M202">
        <f t="shared" ref="M202" si="136">2+IF(A202&gt;=DATEVALUE("2025/11/30")+TIMEVALUE("6:00"),1,0)+IF(A202&gt;=DATEVALUE("2025/12/11")+TIMEVALUE("6:00"),1,0)</f>
        <v>4</v>
      </c>
      <c r="N202">
        <f t="shared" ref="N202" si="137">N201+M202*(INT(A202-6/24)-INT(A201-6/24))+O202</f>
        <v>236</v>
      </c>
      <c r="O202">
        <f t="shared" si="21"/>
        <v>0</v>
      </c>
      <c r="P202" t="str">
        <f t="shared" ref="P202" si="138">IF(L202&lt;N202,"未達成（"&amp;N202-L202&amp;"）",IF(L202=N202,"達成","前倒し（"&amp;L202-N202&amp;"）"))</f>
        <v>未達成（1）</v>
      </c>
      <c r="Q202">
        <f t="shared" ref="Q202" si="139">IF(B202="",NA(),G202)</f>
        <v>7.1180555532919243E-3</v>
      </c>
    </row>
    <row r="203" spans="1:17">
      <c r="A203" s="3">
        <v>46038.316030092596</v>
      </c>
      <c r="B203">
        <v>60</v>
      </c>
      <c r="C203">
        <v>12</v>
      </c>
      <c r="D203">
        <v>0</v>
      </c>
      <c r="E203">
        <v>0</v>
      </c>
      <c r="F203">
        <v>0</v>
      </c>
      <c r="G203" s="5">
        <v>6.6550925985211506E-3</v>
      </c>
      <c r="H203" t="s">
        <v>460</v>
      </c>
      <c r="I203" t="s">
        <v>461</v>
      </c>
      <c r="J203">
        <v>0</v>
      </c>
      <c r="K203">
        <f t="shared" ref="K203" si="140">IF(A203&lt;DATEVALUE("2025/11/20")+TIMEVALUE("6:00"),1,IF(OR(B203&lt;&gt;60,SUM(D203:F203)&lt;&gt;0,G203&gt;=IF(A203&lt;DATEVALUE("2025/12/28")+TIMEVALUE("6:00"),20,18)/24/60),0,2-INT(G203*24*60/10)))</f>
        <v>2</v>
      </c>
      <c r="L203">
        <f t="shared" ref="L203" si="141">L202+K203</f>
        <v>237</v>
      </c>
      <c r="M203">
        <f t="shared" ref="M203" si="142">2+IF(A203&gt;=DATEVALUE("2025/11/30")+TIMEVALUE("6:00"),1,0)+IF(A203&gt;=DATEVALUE("2025/12/11")+TIMEVALUE("6:00"),1,0)</f>
        <v>4</v>
      </c>
      <c r="N203">
        <f t="shared" ref="N203" si="143">N202+M203*(INT(A203-6/24)-INT(A202-6/24))+O203</f>
        <v>236</v>
      </c>
      <c r="O203">
        <f t="shared" si="21"/>
        <v>0</v>
      </c>
      <c r="P203" t="str">
        <f t="shared" ref="P203" si="144">IF(L203&lt;N203,"未達成（"&amp;N203-L203&amp;"）",IF(L203=N203,"達成","前倒し（"&amp;L203-N203&amp;"）"))</f>
        <v>前倒し（1）</v>
      </c>
      <c r="Q203">
        <f t="shared" ref="Q203" si="145">IF(B203="",NA(),G203)</f>
        <v>6.6550925985211506E-3</v>
      </c>
    </row>
    <row r="204" spans="1:17">
      <c r="A204" s="3">
        <v>46039.303553240738</v>
      </c>
      <c r="B204">
        <v>60</v>
      </c>
      <c r="C204">
        <v>31</v>
      </c>
      <c r="D204">
        <v>0</v>
      </c>
      <c r="E204">
        <v>0</v>
      </c>
      <c r="F204">
        <v>0</v>
      </c>
      <c r="G204" s="5">
        <v>5.8564814753481187E-3</v>
      </c>
      <c r="H204" t="s">
        <v>462</v>
      </c>
      <c r="I204" t="s">
        <v>463</v>
      </c>
      <c r="J204">
        <v>0</v>
      </c>
      <c r="K204">
        <f t="shared" ref="K204" si="146">IF(A204&lt;DATEVALUE("2025/11/20")+TIMEVALUE("6:00"),1,IF(OR(B204&lt;&gt;60,SUM(D204:F204)&lt;&gt;0,G204&gt;=IF(A204&lt;DATEVALUE("2025/12/28")+TIMEVALUE("6:00"),20,18)/24/60),0,2-INT(G204*24*60/10)))</f>
        <v>2</v>
      </c>
      <c r="L204">
        <f t="shared" ref="L204" si="147">L203+K204</f>
        <v>239</v>
      </c>
      <c r="M204">
        <f t="shared" ref="M204" si="148">2+IF(A204&gt;=DATEVALUE("2025/11/30")+TIMEVALUE("6:00"),1,0)+IF(A204&gt;=DATEVALUE("2025/12/11")+TIMEVALUE("6:00"),1,0)</f>
        <v>4</v>
      </c>
      <c r="N204">
        <f t="shared" ref="N204" si="149">N203+M204*(INT(A204-6/24)-INT(A203-6/24))+O204</f>
        <v>240</v>
      </c>
      <c r="O204">
        <f t="shared" si="21"/>
        <v>0</v>
      </c>
      <c r="P204" t="str">
        <f t="shared" ref="P204" si="150">IF(L204&lt;N204,"未達成（"&amp;N204-L204&amp;"）",IF(L204=N204,"達成","前倒し（"&amp;L204-N204&amp;"）"))</f>
        <v>未達成（1）</v>
      </c>
      <c r="Q204">
        <f t="shared" ref="Q204" si="151">IF(B204="",NA(),G204)</f>
        <v>5.8564814753481187E-3</v>
      </c>
    </row>
    <row r="205" spans="1:17">
      <c r="A205" s="3">
        <v>46039.311296296299</v>
      </c>
      <c r="B205">
        <v>60</v>
      </c>
      <c r="C205">
        <v>4</v>
      </c>
      <c r="D205">
        <v>0</v>
      </c>
      <c r="E205">
        <v>0</v>
      </c>
      <c r="F205">
        <v>0</v>
      </c>
      <c r="G205" s="5">
        <v>6.3194444446708076E-3</v>
      </c>
      <c r="H205" t="s">
        <v>464</v>
      </c>
      <c r="I205" t="s">
        <v>465</v>
      </c>
      <c r="J205">
        <v>0</v>
      </c>
      <c r="K205">
        <f t="shared" ref="K205" si="152">IF(A205&lt;DATEVALUE("2025/11/20")+TIMEVALUE("6:00"),1,IF(OR(B205&lt;&gt;60,SUM(D205:F205)&lt;&gt;0,G205&gt;=IF(A205&lt;DATEVALUE("2025/12/28")+TIMEVALUE("6:00"),20,18)/24/60),0,2-INT(G205*24*60/10)))</f>
        <v>2</v>
      </c>
      <c r="L205">
        <f t="shared" ref="L205" si="153">L204+K205</f>
        <v>241</v>
      </c>
      <c r="M205">
        <f t="shared" ref="M205" si="154">2+IF(A205&gt;=DATEVALUE("2025/11/30")+TIMEVALUE("6:00"),1,0)+IF(A205&gt;=DATEVALUE("2025/12/11")+TIMEVALUE("6:00"),1,0)</f>
        <v>4</v>
      </c>
      <c r="N205">
        <f t="shared" ref="N205" si="155">N204+M205*(INT(A205-6/24)-INT(A204-6/24))+O205</f>
        <v>240</v>
      </c>
      <c r="O205">
        <f t="shared" si="21"/>
        <v>0</v>
      </c>
      <c r="P205" t="str">
        <f t="shared" ref="P205" si="156">IF(L205&lt;N205,"未達成（"&amp;N205-L205&amp;"）",IF(L205=N205,"達成","前倒し（"&amp;L205-N205&amp;"）"))</f>
        <v>前倒し（1）</v>
      </c>
      <c r="Q205">
        <f t="shared" ref="Q205" si="157">IF(B205="",NA(),G205)</f>
        <v>6.3194444446708076E-3</v>
      </c>
    </row>
    <row r="206" spans="1:17">
      <c r="A206" s="3">
        <v>46040.295324074075</v>
      </c>
      <c r="B206">
        <v>60</v>
      </c>
      <c r="C206">
        <v>12</v>
      </c>
      <c r="D206">
        <v>0</v>
      </c>
      <c r="E206">
        <v>0</v>
      </c>
      <c r="F206">
        <v>0</v>
      </c>
      <c r="G206" s="5">
        <v>5.4629629667033441E-3</v>
      </c>
      <c r="H206" t="s">
        <v>466</v>
      </c>
      <c r="I206" t="s">
        <v>467</v>
      </c>
      <c r="J206">
        <v>0</v>
      </c>
      <c r="K206">
        <f t="shared" ref="K206" si="158">IF(A206&lt;DATEVALUE("2025/11/20")+TIMEVALUE("6:00"),1,IF(OR(B206&lt;&gt;60,SUM(D206:F206)&lt;&gt;0,G206&gt;=IF(A206&lt;DATEVALUE("2025/12/28")+TIMEVALUE("6:00"),20,18)/24/60),0,2-INT(G206*24*60/10)))</f>
        <v>2</v>
      </c>
      <c r="L206">
        <f t="shared" ref="L206" si="159">L205+K206</f>
        <v>243</v>
      </c>
      <c r="M206">
        <f t="shared" ref="M206" si="160">2+IF(A206&gt;=DATEVALUE("2025/11/30")+TIMEVALUE("6:00"),1,0)+IF(A206&gt;=DATEVALUE("2025/12/11")+TIMEVALUE("6:00"),1,0)</f>
        <v>4</v>
      </c>
      <c r="N206">
        <f t="shared" ref="N206" si="161">N205+M206*(INT(A206-6/24)-INT(A205-6/24))+O206</f>
        <v>244</v>
      </c>
      <c r="O206">
        <f t="shared" si="21"/>
        <v>0</v>
      </c>
      <c r="P206" t="str">
        <f t="shared" ref="P206" si="162">IF(L206&lt;N206,"未達成（"&amp;N206-L206&amp;"）",IF(L206=N206,"達成","前倒し（"&amp;L206-N206&amp;"）"))</f>
        <v>未達成（1）</v>
      </c>
      <c r="Q206">
        <f t="shared" ref="Q206" si="163">IF(B206="",NA(),G206)</f>
        <v>5.4629629667033441E-3</v>
      </c>
    </row>
    <row r="207" spans="1:17">
      <c r="A207" s="3">
        <v>46040.8359375</v>
      </c>
      <c r="B207">
        <v>60</v>
      </c>
      <c r="C207">
        <v>14</v>
      </c>
      <c r="D207">
        <v>0</v>
      </c>
      <c r="E207">
        <v>0</v>
      </c>
      <c r="F207">
        <v>0</v>
      </c>
      <c r="G207" s="5">
        <v>5.8449074058444239E-3</v>
      </c>
      <c r="H207" t="s">
        <v>468</v>
      </c>
      <c r="I207" t="s">
        <v>469</v>
      </c>
      <c r="J207">
        <v>0</v>
      </c>
      <c r="K207">
        <f t="shared" ref="K207" si="164">IF(A207&lt;DATEVALUE("2025/11/20")+TIMEVALUE("6:00"),1,IF(OR(B207&lt;&gt;60,SUM(D207:F207)&lt;&gt;0,G207&gt;=IF(A207&lt;DATEVALUE("2025/12/28")+TIMEVALUE("6:00"),20,18)/24/60),0,2-INT(G207*24*60/10)))</f>
        <v>2</v>
      </c>
      <c r="L207">
        <f t="shared" ref="L207" si="165">L206+K207</f>
        <v>245</v>
      </c>
      <c r="M207">
        <f t="shared" ref="M207" si="166">2+IF(A207&gt;=DATEVALUE("2025/11/30")+TIMEVALUE("6:00"),1,0)+IF(A207&gt;=DATEVALUE("2025/12/11")+TIMEVALUE("6:00"),1,0)</f>
        <v>4</v>
      </c>
      <c r="N207">
        <f t="shared" ref="N207" si="167">N206+M207*(INT(A207-6/24)-INT(A206-6/24))+O207</f>
        <v>244</v>
      </c>
      <c r="O207">
        <f t="shared" si="21"/>
        <v>0</v>
      </c>
      <c r="P207" t="str">
        <f t="shared" ref="P207" si="168">IF(L207&lt;N207,"未達成（"&amp;N207-L207&amp;"）",IF(L207=N207,"達成","前倒し（"&amp;L207-N207&amp;"）"))</f>
        <v>前倒し（1）</v>
      </c>
      <c r="Q207">
        <f t="shared" ref="Q207" si="169">IF(B207="",NA(),G207)</f>
        <v>5.8449074058444239E-3</v>
      </c>
    </row>
    <row r="208" spans="1:17">
      <c r="A208" s="3">
        <v>46041.269918981481</v>
      </c>
      <c r="B208">
        <v>60</v>
      </c>
      <c r="C208">
        <v>16</v>
      </c>
      <c r="D208">
        <v>0</v>
      </c>
      <c r="E208">
        <v>0</v>
      </c>
      <c r="F208">
        <v>0</v>
      </c>
      <c r="G208" s="5">
        <v>7.9861111080390401E-3</v>
      </c>
      <c r="H208" t="s">
        <v>470</v>
      </c>
      <c r="I208" t="s">
        <v>471</v>
      </c>
      <c r="J208">
        <v>0</v>
      </c>
      <c r="K208">
        <f t="shared" ref="K208" si="170">IF(A208&lt;DATEVALUE("2025/11/20")+TIMEVALUE("6:00"),1,IF(OR(B208&lt;&gt;60,SUM(D208:F208)&lt;&gt;0,G208&gt;=IF(A208&lt;DATEVALUE("2025/12/28")+TIMEVALUE("6:00"),20,18)/24/60),0,2-INT(G208*24*60/10)))</f>
        <v>1</v>
      </c>
      <c r="L208">
        <f t="shared" ref="L208" si="171">L207+K208</f>
        <v>246</v>
      </c>
      <c r="M208">
        <f t="shared" ref="M208" si="172">2+IF(A208&gt;=DATEVALUE("2025/11/30")+TIMEVALUE("6:00"),1,0)+IF(A208&gt;=DATEVALUE("2025/12/11")+TIMEVALUE("6:00"),1,0)</f>
        <v>4</v>
      </c>
      <c r="N208">
        <f t="shared" ref="N208" si="173">N207+M208*(INT(A208-6/24)-INT(A207-6/24))+O208</f>
        <v>248</v>
      </c>
      <c r="O208">
        <f t="shared" si="21"/>
        <v>0</v>
      </c>
      <c r="P208" t="str">
        <f t="shared" ref="P208" si="174">IF(L208&lt;N208,"未達成（"&amp;N208-L208&amp;"）",IF(L208=N208,"達成","前倒し（"&amp;L208-N208&amp;"）"))</f>
        <v>未達成（2）</v>
      </c>
      <c r="Q208">
        <f t="shared" ref="Q208" si="175">IF(B208="",NA(),G208)</f>
        <v>7.9861111080390401E-3</v>
      </c>
    </row>
    <row r="209" spans="1:17">
      <c r="A209" s="3">
        <v>46041.275381944448</v>
      </c>
      <c r="B209">
        <v>60</v>
      </c>
      <c r="C209">
        <v>9</v>
      </c>
      <c r="D209">
        <v>0</v>
      </c>
      <c r="E209">
        <v>0</v>
      </c>
      <c r="F209">
        <v>0</v>
      </c>
      <c r="G209" s="5">
        <v>4.3865740808541887E-3</v>
      </c>
      <c r="H209" t="s">
        <v>472</v>
      </c>
      <c r="I209" t="s">
        <v>473</v>
      </c>
      <c r="J209">
        <v>0</v>
      </c>
      <c r="K209">
        <f t="shared" ref="K209" si="176">IF(A209&lt;DATEVALUE("2025/11/20")+TIMEVALUE("6:00"),1,IF(OR(B209&lt;&gt;60,SUM(D209:F209)&lt;&gt;0,G209&gt;=IF(A209&lt;DATEVALUE("2025/12/28")+TIMEVALUE("6:00"),20,18)/24/60),0,2-INT(G209*24*60/10)))</f>
        <v>2</v>
      </c>
      <c r="L209">
        <f t="shared" ref="L209" si="177">L208+K209</f>
        <v>248</v>
      </c>
      <c r="M209">
        <f t="shared" ref="M209" si="178">2+IF(A209&gt;=DATEVALUE("2025/11/30")+TIMEVALUE("6:00"),1,0)+IF(A209&gt;=DATEVALUE("2025/12/11")+TIMEVALUE("6:00"),1,0)</f>
        <v>4</v>
      </c>
      <c r="N209">
        <f t="shared" ref="N209" si="179">N208+M209*(INT(A209-6/24)-INT(A208-6/24))+O209</f>
        <v>248</v>
      </c>
      <c r="O209">
        <f t="shared" si="21"/>
        <v>0</v>
      </c>
      <c r="P209" t="str">
        <f t="shared" ref="P209" si="180">IF(L209&lt;N209,"未達成（"&amp;N209-L209&amp;"）",IF(L209=N209,"達成","前倒し（"&amp;L209-N209&amp;"）"))</f>
        <v>達成</v>
      </c>
      <c r="Q209">
        <f t="shared" ref="Q209" si="181">IF(B209="",NA(),G209)</f>
        <v>4.3865740808541887E-3</v>
      </c>
    </row>
    <row r="210" spans="1:17">
      <c r="A210" s="3">
        <v>46042.293645833335</v>
      </c>
      <c r="B210">
        <v>60</v>
      </c>
      <c r="C210">
        <v>11</v>
      </c>
      <c r="D210">
        <v>0</v>
      </c>
      <c r="E210">
        <v>0</v>
      </c>
      <c r="F210">
        <v>0</v>
      </c>
      <c r="G210" s="5">
        <v>5.7407407439313829E-3</v>
      </c>
      <c r="H210" t="s">
        <v>474</v>
      </c>
      <c r="I210" t="s">
        <v>475</v>
      </c>
      <c r="J210">
        <v>0</v>
      </c>
      <c r="K210">
        <f t="shared" ref="K210" si="182">IF(A210&lt;DATEVALUE("2025/11/20")+TIMEVALUE("6:00"),1,IF(OR(B210&lt;&gt;60,SUM(D210:F210)&lt;&gt;0,G210&gt;=IF(A210&lt;DATEVALUE("2025/12/28")+TIMEVALUE("6:00"),20,18)/24/60),0,2-INT(G210*24*60/10)))</f>
        <v>2</v>
      </c>
      <c r="L210">
        <f t="shared" ref="L210" si="183">L209+K210</f>
        <v>250</v>
      </c>
      <c r="M210">
        <f t="shared" ref="M210" si="184">2+IF(A210&gt;=DATEVALUE("2025/11/30")+TIMEVALUE("6:00"),1,0)+IF(A210&gt;=DATEVALUE("2025/12/11")+TIMEVALUE("6:00"),1,0)</f>
        <v>4</v>
      </c>
      <c r="N210">
        <f t="shared" ref="N210" si="185">N209+M210*(INT(A210-6/24)-INT(A209-6/24))+O210</f>
        <v>252</v>
      </c>
      <c r="O210">
        <f t="shared" si="21"/>
        <v>0</v>
      </c>
      <c r="P210" t="str">
        <f t="shared" ref="P210" si="186">IF(L210&lt;N210,"未達成（"&amp;N210-L210&amp;"）",IF(L210=N210,"達成","前倒し（"&amp;L210-N210&amp;"）"))</f>
        <v>未達成（2）</v>
      </c>
      <c r="Q210">
        <f t="shared" ref="Q210" si="187">IF(B210="",NA(),G210)</f>
        <v>5.7407407439313829E-3</v>
      </c>
    </row>
    <row r="211" spans="1:17">
      <c r="A211" s="3">
        <v>46042.303611111114</v>
      </c>
      <c r="B211">
        <v>60</v>
      </c>
      <c r="C211">
        <v>18</v>
      </c>
      <c r="D211">
        <v>0</v>
      </c>
      <c r="E211">
        <v>0</v>
      </c>
      <c r="F211">
        <v>0</v>
      </c>
      <c r="G211" s="5">
        <v>7.1527777836308815E-3</v>
      </c>
      <c r="H211" t="s">
        <v>476</v>
      </c>
      <c r="I211" t="s">
        <v>477</v>
      </c>
      <c r="J211">
        <v>0</v>
      </c>
      <c r="K211">
        <f t="shared" ref="K211" si="188">IF(A211&lt;DATEVALUE("2025/11/20")+TIMEVALUE("6:00"),1,IF(OR(B211&lt;&gt;60,SUM(D211:F211)&lt;&gt;0,G211&gt;=IF(A211&lt;DATEVALUE("2025/12/28")+TIMEVALUE("6:00"),20,18)/24/60),0,2-INT(G211*24*60/10)))</f>
        <v>1</v>
      </c>
      <c r="L211">
        <f t="shared" ref="L211" si="189">L210+K211</f>
        <v>251</v>
      </c>
      <c r="M211">
        <f t="shared" ref="M211" si="190">2+IF(A211&gt;=DATEVALUE("2025/11/30")+TIMEVALUE("6:00"),1,0)+IF(A211&gt;=DATEVALUE("2025/12/11")+TIMEVALUE("6:00"),1,0)</f>
        <v>4</v>
      </c>
      <c r="N211">
        <f t="shared" ref="N211" si="191">N210+M211*(INT(A211-6/24)-INT(A210-6/24))+O211</f>
        <v>252</v>
      </c>
      <c r="O211">
        <f t="shared" ref="O211:O274" si="192">IF(A211&gt;=DATEVALUE("2025/11/8")+TIMEVALUE("6:00"),1,0)-IF(A210&gt;=DATEVALUE("2025/11/8")+TIMEVALUE("6:00"),1,0)
+IF(A211&gt;=DATEVALUE("2026/1/22")+TIMEVALUE("6:00"),3,0)-IF(A210&gt;=DATEVALUE("2026/1/22")+TIMEVALUE("6:00"),3,0)
+IF(A211&gt;=DATEVALUE("2026/2/21")+TIMEVALUE("6:00"),1,0)-IF(A210&gt;=DATEVALUE("2026/2/21")+TIMEVALUE("6:00"),1,0)</f>
        <v>0</v>
      </c>
      <c r="P211" t="str">
        <f t="shared" ref="P211" si="193">IF(L211&lt;N211,"未達成（"&amp;N211-L211&amp;"）",IF(L211=N211,"達成","前倒し（"&amp;L211-N211&amp;"）"))</f>
        <v>未達成（1）</v>
      </c>
      <c r="Q211">
        <f t="shared" ref="Q211" si="194">IF(B211="",NA(),G211)</f>
        <v>7.1527777836308815E-3</v>
      </c>
    </row>
    <row r="212" spans="1:17">
      <c r="A212" s="3">
        <v>46042.313726851855</v>
      </c>
      <c r="B212">
        <v>60</v>
      </c>
      <c r="C212">
        <v>10</v>
      </c>
      <c r="D212">
        <v>0</v>
      </c>
      <c r="E212">
        <v>0</v>
      </c>
      <c r="F212">
        <v>0</v>
      </c>
      <c r="G212" s="5">
        <v>8.078703707724344E-3</v>
      </c>
      <c r="H212" t="s">
        <v>478</v>
      </c>
      <c r="I212" t="s">
        <v>479</v>
      </c>
      <c r="J212">
        <v>0</v>
      </c>
      <c r="K212">
        <f t="shared" ref="K212" si="195">IF(A212&lt;DATEVALUE("2025/11/20")+TIMEVALUE("6:00"),1,IF(OR(B212&lt;&gt;60,SUM(D212:F212)&lt;&gt;0,G212&gt;=IF(A212&lt;DATEVALUE("2025/12/28")+TIMEVALUE("6:00"),20,18)/24/60),0,2-INT(G212*24*60/10)))</f>
        <v>1</v>
      </c>
      <c r="L212">
        <f t="shared" ref="L212" si="196">L211+K212</f>
        <v>252</v>
      </c>
      <c r="M212">
        <f t="shared" ref="M212" si="197">2+IF(A212&gt;=DATEVALUE("2025/11/30")+TIMEVALUE("6:00"),1,0)+IF(A212&gt;=DATEVALUE("2025/12/11")+TIMEVALUE("6:00"),1,0)</f>
        <v>4</v>
      </c>
      <c r="N212">
        <f t="shared" ref="N212" si="198">N211+M212*(INT(A212-6/24)-INT(A211-6/24))+O212</f>
        <v>252</v>
      </c>
      <c r="O212">
        <f t="shared" si="192"/>
        <v>0</v>
      </c>
      <c r="P212" t="str">
        <f t="shared" ref="P212" si="199">IF(L212&lt;N212,"未達成（"&amp;N212-L212&amp;"）",IF(L212=N212,"達成","前倒し（"&amp;L212-N212&amp;"）"))</f>
        <v>達成</v>
      </c>
      <c r="Q212">
        <f t="shared" ref="Q212" si="200">IF(B212="",NA(),G212)</f>
        <v>8.078703707724344E-3</v>
      </c>
    </row>
    <row r="213" spans="1:17">
      <c r="A213" s="3">
        <v>46043.2815625</v>
      </c>
      <c r="B213">
        <v>60</v>
      </c>
      <c r="C213">
        <v>11</v>
      </c>
      <c r="D213">
        <v>0</v>
      </c>
      <c r="E213">
        <v>0</v>
      </c>
      <c r="F213">
        <v>0</v>
      </c>
      <c r="G213" s="5">
        <v>5.543981482333038E-3</v>
      </c>
      <c r="H213" t="s">
        <v>480</v>
      </c>
      <c r="I213" t="s">
        <v>481</v>
      </c>
      <c r="J213">
        <v>0</v>
      </c>
      <c r="K213">
        <f t="shared" ref="K213" si="201">IF(A213&lt;DATEVALUE("2025/11/20")+TIMEVALUE("6:00"),1,IF(OR(B213&lt;&gt;60,SUM(D213:F213)&lt;&gt;0,G213&gt;=IF(A213&lt;DATEVALUE("2025/12/28")+TIMEVALUE("6:00"),20,18)/24/60),0,2-INT(G213*24*60/10)))</f>
        <v>2</v>
      </c>
      <c r="L213">
        <f t="shared" ref="L213" si="202">L212+K213</f>
        <v>254</v>
      </c>
      <c r="M213">
        <f t="shared" ref="M213" si="203">2+IF(A213&gt;=DATEVALUE("2025/11/30")+TIMEVALUE("6:00"),1,0)+IF(A213&gt;=DATEVALUE("2025/12/11")+TIMEVALUE("6:00"),1,0)</f>
        <v>4</v>
      </c>
      <c r="N213">
        <f t="shared" ref="N213" si="204">N212+M213*(INT(A213-6/24)-INT(A212-6/24))+O213</f>
        <v>256</v>
      </c>
      <c r="O213">
        <f t="shared" si="192"/>
        <v>0</v>
      </c>
      <c r="P213" t="str">
        <f t="shared" ref="P213" si="205">IF(L213&lt;N213,"未達成（"&amp;N213-L213&amp;"）",IF(L213=N213,"達成","前倒し（"&amp;L213-N213&amp;"）"))</f>
        <v>未達成（2）</v>
      </c>
      <c r="Q213">
        <f t="shared" ref="Q213" si="206">IF(B213="",NA(),G213)</f>
        <v>5.543981482333038E-3</v>
      </c>
    </row>
    <row r="214" spans="1:17">
      <c r="A214" s="3">
        <v>46043.290497685186</v>
      </c>
      <c r="B214">
        <v>60</v>
      </c>
      <c r="C214">
        <v>20</v>
      </c>
      <c r="D214">
        <v>0</v>
      </c>
      <c r="E214">
        <v>0</v>
      </c>
      <c r="F214">
        <v>0</v>
      </c>
      <c r="G214" s="5">
        <v>5.3587962975143455E-3</v>
      </c>
      <c r="H214" t="s">
        <v>482</v>
      </c>
      <c r="I214" t="s">
        <v>483</v>
      </c>
      <c r="J214">
        <v>0</v>
      </c>
      <c r="K214">
        <f t="shared" ref="K214" si="207">IF(A214&lt;DATEVALUE("2025/11/20")+TIMEVALUE("6:00"),1,IF(OR(B214&lt;&gt;60,SUM(D214:F214)&lt;&gt;0,G214&gt;=IF(A214&lt;DATEVALUE("2025/12/28")+TIMEVALUE("6:00"),20,18)/24/60),0,2-INT(G214*24*60/10)))</f>
        <v>2</v>
      </c>
      <c r="L214">
        <f t="shared" ref="L214" si="208">L213+K214</f>
        <v>256</v>
      </c>
      <c r="M214">
        <f t="shared" ref="M214" si="209">2+IF(A214&gt;=DATEVALUE("2025/11/30")+TIMEVALUE("6:00"),1,0)+IF(A214&gt;=DATEVALUE("2025/12/11")+TIMEVALUE("6:00"),1,0)</f>
        <v>4</v>
      </c>
      <c r="N214">
        <f t="shared" ref="N214" si="210">N213+M214*(INT(A214-6/24)-INT(A213-6/24))+O214</f>
        <v>256</v>
      </c>
      <c r="O214">
        <f t="shared" si="192"/>
        <v>0</v>
      </c>
      <c r="P214" t="str">
        <f t="shared" ref="P214" si="211">IF(L214&lt;N214,"未達成（"&amp;N214-L214&amp;"）",IF(L214=N214,"達成","前倒し（"&amp;L214-N214&amp;"）"))</f>
        <v>達成</v>
      </c>
      <c r="Q214">
        <f t="shared" ref="Q214" si="212">IF(B214="",NA(),G214)</f>
        <v>5.3587962975143455E-3</v>
      </c>
    </row>
    <row r="215" spans="1:17">
      <c r="A215" s="3">
        <v>46044.307569444441</v>
      </c>
      <c r="G215" s="5">
        <v>2.1296296254149638E-3</v>
      </c>
      <c r="H215" t="s">
        <v>484</v>
      </c>
      <c r="I215" t="s">
        <v>510</v>
      </c>
      <c r="J215">
        <v>1</v>
      </c>
      <c r="K215">
        <f t="shared" ref="K215" si="213">IF(A215&lt;DATEVALUE("2025/11/20")+TIMEVALUE("6:00"),1,IF(OR(B215&lt;&gt;60,SUM(D215:F215)&lt;&gt;0,G215&gt;=IF(A215&lt;DATEVALUE("2025/12/28")+TIMEVALUE("6:00"),20,18)/24/60),0,2-INT(G215*24*60/10)))</f>
        <v>0</v>
      </c>
      <c r="L215">
        <f t="shared" ref="L215" si="214">L214+K215</f>
        <v>256</v>
      </c>
      <c r="M215">
        <f t="shared" ref="M215" si="215">2+IF(A215&gt;=DATEVALUE("2025/11/30")+TIMEVALUE("6:00"),1,0)+IF(A215&gt;=DATEVALUE("2025/12/11")+TIMEVALUE("6:00"),1,0)</f>
        <v>4</v>
      </c>
      <c r="N215">
        <f t="shared" ref="N215" si="216">N214+M215*(INT(A215-6/24)-INT(A214-6/24))+O215</f>
        <v>263</v>
      </c>
      <c r="O215">
        <f t="shared" si="192"/>
        <v>3</v>
      </c>
      <c r="P215" t="str">
        <f t="shared" ref="P215" si="217">IF(L215&lt;N215,"未達成（"&amp;N215-L215&amp;"）",IF(L215=N215,"達成","前倒し（"&amp;L215-N215&amp;"）"))</f>
        <v>未達成（7）</v>
      </c>
      <c r="Q215" t="e">
        <f t="shared" ref="Q215" si="218">IF(B215="",NA(),G215)</f>
        <v>#N/A</v>
      </c>
    </row>
    <row r="216" spans="1:17">
      <c r="A216" s="3">
        <v>46044.649062500001</v>
      </c>
      <c r="G216" s="5">
        <v>3.1712962954770774E-3</v>
      </c>
      <c r="H216" t="s">
        <v>484</v>
      </c>
      <c r="I216" t="s">
        <v>510</v>
      </c>
      <c r="J216">
        <v>1</v>
      </c>
      <c r="K216">
        <f t="shared" ref="K216" si="219">IF(A216&lt;DATEVALUE("2025/11/20")+TIMEVALUE("6:00"),1,IF(OR(B216&lt;&gt;60,SUM(D216:F216)&lt;&gt;0,G216&gt;=IF(A216&lt;DATEVALUE("2025/12/28")+TIMEVALUE("6:00"),20,18)/24/60),0,2-INT(G216*24*60/10)))</f>
        <v>0</v>
      </c>
      <c r="L216">
        <f t="shared" ref="L216" si="220">L215+K216</f>
        <v>256</v>
      </c>
      <c r="M216">
        <f t="shared" ref="M216" si="221">2+IF(A216&gt;=DATEVALUE("2025/11/30")+TIMEVALUE("6:00"),1,0)+IF(A216&gt;=DATEVALUE("2025/12/11")+TIMEVALUE("6:00"),1,0)</f>
        <v>4</v>
      </c>
      <c r="N216">
        <f t="shared" ref="N216" si="222">N215+M216*(INT(A216-6/24)-INT(A215-6/24))+O216</f>
        <v>263</v>
      </c>
      <c r="O216">
        <f t="shared" si="192"/>
        <v>0</v>
      </c>
      <c r="P216" t="str">
        <f t="shared" ref="P216" si="223">IF(L216&lt;N216,"未達成（"&amp;N216-L216&amp;"）",IF(L216=N216,"達成","前倒し（"&amp;L216-N216&amp;"）"))</f>
        <v>未達成（7）</v>
      </c>
      <c r="Q216" t="e">
        <f t="shared" ref="Q216" si="224">IF(B216="",NA(),G216)</f>
        <v>#N/A</v>
      </c>
    </row>
    <row r="217" spans="1:17">
      <c r="A217" s="3">
        <v>46044.657546296294</v>
      </c>
      <c r="B217">
        <v>60</v>
      </c>
      <c r="C217">
        <v>14</v>
      </c>
      <c r="D217">
        <v>0</v>
      </c>
      <c r="E217">
        <v>0</v>
      </c>
      <c r="F217">
        <v>0</v>
      </c>
      <c r="G217" s="5">
        <v>9.0393518476048484E-3</v>
      </c>
      <c r="H217" t="s">
        <v>486</v>
      </c>
      <c r="I217" t="s">
        <v>485</v>
      </c>
      <c r="J217">
        <v>0</v>
      </c>
      <c r="K217">
        <f t="shared" ref="K217" si="225">IF(A217&lt;DATEVALUE("2025/11/20")+TIMEVALUE("6:00"),1,IF(OR(B217&lt;&gt;60,SUM(D217:F217)&lt;&gt;0,G217&gt;=IF(A217&lt;DATEVALUE("2025/12/28")+TIMEVALUE("6:00"),20,18)/24/60),0,2-INT(G217*24*60/10)))</f>
        <v>1</v>
      </c>
      <c r="L217">
        <f t="shared" ref="L217" si="226">L216+K217</f>
        <v>257</v>
      </c>
      <c r="M217">
        <f t="shared" ref="M217" si="227">2+IF(A217&gt;=DATEVALUE("2025/11/30")+TIMEVALUE("6:00"),1,0)+IF(A217&gt;=DATEVALUE("2025/12/11")+TIMEVALUE("6:00"),1,0)</f>
        <v>4</v>
      </c>
      <c r="N217">
        <f t="shared" ref="N217" si="228">N216+M217*(INT(A217-6/24)-INT(A216-6/24))+O217</f>
        <v>263</v>
      </c>
      <c r="O217">
        <f t="shared" si="192"/>
        <v>0</v>
      </c>
      <c r="P217" t="str">
        <f t="shared" ref="P217" si="229">IF(L217&lt;N217,"未達成（"&amp;N217-L217&amp;"）",IF(L217=N217,"達成","前倒し（"&amp;L217-N217&amp;"）"))</f>
        <v>未達成（6）</v>
      </c>
      <c r="Q217">
        <f t="shared" ref="Q217" si="230">IF(B217="",NA(),G217)</f>
        <v>9.0393518476048484E-3</v>
      </c>
    </row>
    <row r="218" spans="1:17">
      <c r="A218" s="3">
        <v>46044.672025462962</v>
      </c>
      <c r="B218">
        <v>60</v>
      </c>
      <c r="C218">
        <v>37</v>
      </c>
      <c r="D218">
        <v>0</v>
      </c>
      <c r="E218">
        <v>0</v>
      </c>
      <c r="F218">
        <v>0</v>
      </c>
      <c r="G218" s="5">
        <v>5.6249999979627319E-3</v>
      </c>
      <c r="H218" t="s">
        <v>487</v>
      </c>
      <c r="I218" t="s">
        <v>488</v>
      </c>
      <c r="J218">
        <v>0</v>
      </c>
      <c r="K218">
        <f t="shared" ref="K218" si="231">IF(A218&lt;DATEVALUE("2025/11/20")+TIMEVALUE("6:00"),1,IF(OR(B218&lt;&gt;60,SUM(D218:F218)&lt;&gt;0,G218&gt;=IF(A218&lt;DATEVALUE("2025/12/28")+TIMEVALUE("6:00"),20,18)/24/60),0,2-INT(G218*24*60/10)))</f>
        <v>2</v>
      </c>
      <c r="L218">
        <f t="shared" ref="L218" si="232">L217+K218</f>
        <v>259</v>
      </c>
      <c r="M218">
        <f t="shared" ref="M218" si="233">2+IF(A218&gt;=DATEVALUE("2025/11/30")+TIMEVALUE("6:00"),1,0)+IF(A218&gt;=DATEVALUE("2025/12/11")+TIMEVALUE("6:00"),1,0)</f>
        <v>4</v>
      </c>
      <c r="N218">
        <f t="shared" ref="N218" si="234">N217+M218*(INT(A218-6/24)-INT(A217-6/24))+O218</f>
        <v>263</v>
      </c>
      <c r="O218">
        <f t="shared" si="192"/>
        <v>0</v>
      </c>
      <c r="P218" t="str">
        <f t="shared" ref="P218" si="235">IF(L218&lt;N218,"未達成（"&amp;N218-L218&amp;"）",IF(L218=N218,"達成","前倒し（"&amp;L218-N218&amp;"）"))</f>
        <v>未達成（4）</v>
      </c>
      <c r="Q218">
        <f t="shared" ref="Q218" si="236">IF(B218="",NA(),G218)</f>
        <v>5.6249999979627319E-3</v>
      </c>
    </row>
    <row r="219" spans="1:17">
      <c r="A219" s="3">
        <v>46044.679849537039</v>
      </c>
      <c r="B219">
        <v>60</v>
      </c>
      <c r="C219">
        <v>10</v>
      </c>
      <c r="D219">
        <v>0</v>
      </c>
      <c r="E219">
        <v>0</v>
      </c>
      <c r="F219">
        <v>0</v>
      </c>
      <c r="G219" s="5">
        <v>6.8518518528435379E-3</v>
      </c>
      <c r="H219" t="s">
        <v>489</v>
      </c>
      <c r="I219" t="s">
        <v>490</v>
      </c>
      <c r="J219">
        <v>0</v>
      </c>
      <c r="K219">
        <f t="shared" ref="K219" si="237">IF(A219&lt;DATEVALUE("2025/11/20")+TIMEVALUE("6:00"),1,IF(OR(B219&lt;&gt;60,SUM(D219:F219)&lt;&gt;0,G219&gt;=IF(A219&lt;DATEVALUE("2025/12/28")+TIMEVALUE("6:00"),20,18)/24/60),0,2-INT(G219*24*60/10)))</f>
        <v>2</v>
      </c>
      <c r="L219">
        <f t="shared" ref="L219" si="238">L218+K219</f>
        <v>261</v>
      </c>
      <c r="M219">
        <f t="shared" ref="M219" si="239">2+IF(A219&gt;=DATEVALUE("2025/11/30")+TIMEVALUE("6:00"),1,0)+IF(A219&gt;=DATEVALUE("2025/12/11")+TIMEVALUE("6:00"),1,0)</f>
        <v>4</v>
      </c>
      <c r="N219">
        <f t="shared" ref="N219" si="240">N218+M219*(INT(A219-6/24)-INT(A218-6/24))+O219</f>
        <v>263</v>
      </c>
      <c r="O219">
        <f t="shared" si="192"/>
        <v>0</v>
      </c>
      <c r="P219" t="str">
        <f t="shared" ref="P219" si="241">IF(L219&lt;N219,"未達成（"&amp;N219-L219&amp;"）",IF(L219=N219,"達成","前倒し（"&amp;L219-N219&amp;"）"))</f>
        <v>未達成（2）</v>
      </c>
      <c r="Q219">
        <f t="shared" ref="Q219" si="242">IF(B219="",NA(),G219)</f>
        <v>6.8518518528435379E-3</v>
      </c>
    </row>
    <row r="220" spans="1:17">
      <c r="A220" s="3">
        <v>46044.687835648147</v>
      </c>
      <c r="B220">
        <v>60</v>
      </c>
      <c r="C220">
        <v>22</v>
      </c>
      <c r="D220">
        <v>0</v>
      </c>
      <c r="E220">
        <v>0</v>
      </c>
      <c r="F220">
        <v>0</v>
      </c>
      <c r="G220" s="5">
        <v>5.0462962972233072E-3</v>
      </c>
      <c r="H220" t="s">
        <v>491</v>
      </c>
      <c r="I220" t="s">
        <v>492</v>
      </c>
      <c r="J220">
        <v>0</v>
      </c>
      <c r="K220">
        <f t="shared" ref="K220" si="243">IF(A220&lt;DATEVALUE("2025/11/20")+TIMEVALUE("6:00"),1,IF(OR(B220&lt;&gt;60,SUM(D220:F220)&lt;&gt;0,G220&gt;=IF(A220&lt;DATEVALUE("2025/12/28")+TIMEVALUE("6:00"),20,18)/24/60),0,2-INT(G220*24*60/10)))</f>
        <v>2</v>
      </c>
      <c r="L220">
        <f t="shared" ref="L220" si="244">L219+K220</f>
        <v>263</v>
      </c>
      <c r="M220">
        <f t="shared" ref="M220" si="245">2+IF(A220&gt;=DATEVALUE("2025/11/30")+TIMEVALUE("6:00"),1,0)+IF(A220&gt;=DATEVALUE("2025/12/11")+TIMEVALUE("6:00"),1,0)</f>
        <v>4</v>
      </c>
      <c r="N220">
        <f t="shared" ref="N220" si="246">N219+M220*(INT(A220-6/24)-INT(A219-6/24))+O220</f>
        <v>263</v>
      </c>
      <c r="O220">
        <f t="shared" si="192"/>
        <v>0</v>
      </c>
      <c r="P220" t="str">
        <f t="shared" ref="P220" si="247">IF(L220&lt;N220,"未達成（"&amp;N220-L220&amp;"）",IF(L220=N220,"達成","前倒し（"&amp;L220-N220&amp;"）"))</f>
        <v>達成</v>
      </c>
      <c r="Q220">
        <f t="shared" ref="Q220" si="248">IF(B220="",NA(),G220)</f>
        <v>5.0462962972233072E-3</v>
      </c>
    </row>
    <row r="221" spans="1:17">
      <c r="A221" s="3">
        <v>46045.316851851851</v>
      </c>
      <c r="B221">
        <v>60</v>
      </c>
      <c r="C221">
        <v>24</v>
      </c>
      <c r="D221">
        <v>0</v>
      </c>
      <c r="E221">
        <v>0</v>
      </c>
      <c r="F221">
        <v>0</v>
      </c>
      <c r="G221" s="5">
        <v>6.7476851836545393E-3</v>
      </c>
      <c r="H221" t="s">
        <v>493</v>
      </c>
      <c r="I221" t="s">
        <v>494</v>
      </c>
      <c r="J221">
        <v>0</v>
      </c>
      <c r="K221">
        <f t="shared" ref="K221" si="249">IF(A221&lt;DATEVALUE("2025/11/20")+TIMEVALUE("6:00"),1,IF(OR(B221&lt;&gt;60,SUM(D221:F221)&lt;&gt;0,G221&gt;=IF(A221&lt;DATEVALUE("2025/12/28")+TIMEVALUE("6:00"),20,18)/24/60),0,2-INT(G221*24*60/10)))</f>
        <v>2</v>
      </c>
      <c r="L221">
        <f t="shared" ref="L221" si="250">L220+K221</f>
        <v>265</v>
      </c>
      <c r="M221">
        <f t="shared" ref="M221" si="251">2+IF(A221&gt;=DATEVALUE("2025/11/30")+TIMEVALUE("6:00"),1,0)+IF(A221&gt;=DATEVALUE("2025/12/11")+TIMEVALUE("6:00"),1,0)</f>
        <v>4</v>
      </c>
      <c r="N221">
        <f t="shared" ref="N221" si="252">N220+M221*(INT(A221-6/24)-INT(A220-6/24))+O221</f>
        <v>267</v>
      </c>
      <c r="O221">
        <f t="shared" si="192"/>
        <v>0</v>
      </c>
      <c r="P221" t="str">
        <f t="shared" ref="P221" si="253">IF(L221&lt;N221,"未達成（"&amp;N221-L221&amp;"）",IF(L221=N221,"達成","前倒し（"&amp;L221-N221&amp;"）"))</f>
        <v>未達成（2）</v>
      </c>
      <c r="Q221">
        <f t="shared" ref="Q221" si="254">IF(B221="",NA(),G221)</f>
        <v>6.7476851836545393E-3</v>
      </c>
    </row>
    <row r="222" spans="1:17">
      <c r="A222" s="3">
        <v>46045.732557870368</v>
      </c>
      <c r="B222">
        <v>60</v>
      </c>
      <c r="C222">
        <v>2</v>
      </c>
      <c r="D222">
        <v>0</v>
      </c>
      <c r="E222">
        <v>0</v>
      </c>
      <c r="F222">
        <v>0</v>
      </c>
      <c r="G222" s="5">
        <v>4.4791666659875773E-3</v>
      </c>
      <c r="H222" t="s">
        <v>495</v>
      </c>
      <c r="I222" t="s">
        <v>496</v>
      </c>
      <c r="J222">
        <v>0</v>
      </c>
      <c r="K222">
        <f t="shared" ref="K222" si="255">IF(A222&lt;DATEVALUE("2025/11/20")+TIMEVALUE("6:00"),1,IF(OR(B222&lt;&gt;60,SUM(D222:F222)&lt;&gt;0,G222&gt;=IF(A222&lt;DATEVALUE("2025/12/28")+TIMEVALUE("6:00"),20,18)/24/60),0,2-INT(G222*24*60/10)))</f>
        <v>2</v>
      </c>
      <c r="L222">
        <f t="shared" ref="L222" si="256">L221+K222</f>
        <v>267</v>
      </c>
      <c r="M222">
        <f t="shared" ref="M222" si="257">2+IF(A222&gt;=DATEVALUE("2025/11/30")+TIMEVALUE("6:00"),1,0)+IF(A222&gt;=DATEVALUE("2025/12/11")+TIMEVALUE("6:00"),1,0)</f>
        <v>4</v>
      </c>
      <c r="N222">
        <f t="shared" ref="N222" si="258">N221+M222*(INT(A222-6/24)-INT(A221-6/24))+O222</f>
        <v>267</v>
      </c>
      <c r="O222">
        <f t="shared" si="192"/>
        <v>0</v>
      </c>
      <c r="P222" t="str">
        <f t="shared" ref="P222" si="259">IF(L222&lt;N222,"未達成（"&amp;N222-L222&amp;"）",IF(L222=N222,"達成","前倒し（"&amp;L222-N222&amp;"）"))</f>
        <v>達成</v>
      </c>
      <c r="Q222">
        <f t="shared" ref="Q222" si="260">IF(B222="",NA(),G222)</f>
        <v>4.4791666659875773E-3</v>
      </c>
    </row>
    <row r="223" spans="1:17">
      <c r="A223" s="3">
        <v>46046.28696759259</v>
      </c>
      <c r="B223">
        <v>60</v>
      </c>
      <c r="C223">
        <v>12</v>
      </c>
      <c r="D223">
        <v>0</v>
      </c>
      <c r="E223">
        <v>0</v>
      </c>
      <c r="F223">
        <v>0</v>
      </c>
      <c r="G223" s="5">
        <v>7.025462960882578E-3</v>
      </c>
      <c r="H223" t="s">
        <v>497</v>
      </c>
      <c r="I223" t="s">
        <v>498</v>
      </c>
      <c r="J223">
        <v>0</v>
      </c>
      <c r="K223">
        <f t="shared" ref="K223" si="261">IF(A223&lt;DATEVALUE("2025/11/20")+TIMEVALUE("6:00"),1,IF(OR(B223&lt;&gt;60,SUM(D223:F223)&lt;&gt;0,G223&gt;=IF(A223&lt;DATEVALUE("2025/12/28")+TIMEVALUE("6:00"),20,18)/24/60),0,2-INT(G223*24*60/10)))</f>
        <v>1</v>
      </c>
      <c r="L223">
        <f t="shared" ref="L223" si="262">L222+K223</f>
        <v>268</v>
      </c>
      <c r="M223">
        <f t="shared" ref="M223" si="263">2+IF(A223&gt;=DATEVALUE("2025/11/30")+TIMEVALUE("6:00"),1,0)+IF(A223&gt;=DATEVALUE("2025/12/11")+TIMEVALUE("6:00"),1,0)</f>
        <v>4</v>
      </c>
      <c r="N223">
        <f t="shared" ref="N223" si="264">N222+M223*(INT(A223-6/24)-INT(A222-6/24))+O223</f>
        <v>271</v>
      </c>
      <c r="O223">
        <f t="shared" si="192"/>
        <v>0</v>
      </c>
      <c r="P223" t="str">
        <f t="shared" ref="P223" si="265">IF(L223&lt;N223,"未達成（"&amp;N223-L223&amp;"）",IF(L223=N223,"達成","前倒し（"&amp;L223-N223&amp;"）"))</f>
        <v>未達成（3）</v>
      </c>
      <c r="Q223">
        <f t="shared" ref="Q223" si="266">IF(B223="",NA(),G223)</f>
        <v>7.025462960882578E-3</v>
      </c>
    </row>
    <row r="224" spans="1:17">
      <c r="A224" s="3">
        <v>46046.292986111112</v>
      </c>
      <c r="B224">
        <v>60</v>
      </c>
      <c r="C224">
        <v>16</v>
      </c>
      <c r="D224">
        <v>0</v>
      </c>
      <c r="E224">
        <v>0</v>
      </c>
      <c r="F224">
        <v>0</v>
      </c>
      <c r="G224" s="5">
        <v>4.9768518510973081E-3</v>
      </c>
      <c r="H224" t="s">
        <v>499</v>
      </c>
      <c r="I224" t="s">
        <v>500</v>
      </c>
      <c r="J224">
        <v>0</v>
      </c>
      <c r="K224">
        <f t="shared" ref="K224" si="267">IF(A224&lt;DATEVALUE("2025/11/20")+TIMEVALUE("6:00"),1,IF(OR(B224&lt;&gt;60,SUM(D224:F224)&lt;&gt;0,G224&gt;=IF(A224&lt;DATEVALUE("2025/12/28")+TIMEVALUE("6:00"),20,18)/24/60),0,2-INT(G224*24*60/10)))</f>
        <v>2</v>
      </c>
      <c r="L224">
        <f t="shared" ref="L224" si="268">L223+K224</f>
        <v>270</v>
      </c>
      <c r="M224">
        <f t="shared" ref="M224" si="269">2+IF(A224&gt;=DATEVALUE("2025/11/30")+TIMEVALUE("6:00"),1,0)+IF(A224&gt;=DATEVALUE("2025/12/11")+TIMEVALUE("6:00"),1,0)</f>
        <v>4</v>
      </c>
      <c r="N224">
        <f t="shared" ref="N224" si="270">N223+M224*(INT(A224-6/24)-INT(A223-6/24))+O224</f>
        <v>271</v>
      </c>
      <c r="O224">
        <f t="shared" si="192"/>
        <v>0</v>
      </c>
      <c r="P224" t="str">
        <f t="shared" ref="P224" si="271">IF(L224&lt;N224,"未達成（"&amp;N224-L224&amp;"）",IF(L224=N224,"達成","前倒し（"&amp;L224-N224&amp;"）"))</f>
        <v>未達成（1）</v>
      </c>
      <c r="Q224">
        <f t="shared" ref="Q224" si="272">IF(B224="",NA(),G224)</f>
        <v>4.9768518510973081E-3</v>
      </c>
    </row>
    <row r="225" spans="1:17">
      <c r="A225" s="3">
        <v>46046.301990740743</v>
      </c>
      <c r="B225">
        <v>60</v>
      </c>
      <c r="C225">
        <v>13</v>
      </c>
      <c r="D225">
        <v>0</v>
      </c>
      <c r="E225">
        <v>0</v>
      </c>
      <c r="F225">
        <v>0</v>
      </c>
      <c r="G225" s="5">
        <v>7.2106481529772282E-3</v>
      </c>
      <c r="H225" t="s">
        <v>501</v>
      </c>
      <c r="I225" t="s">
        <v>502</v>
      </c>
      <c r="J225">
        <v>0</v>
      </c>
      <c r="K225">
        <f t="shared" ref="K225" si="273">IF(A225&lt;DATEVALUE("2025/11/20")+TIMEVALUE("6:00"),1,IF(OR(B225&lt;&gt;60,SUM(D225:F225)&lt;&gt;0,G225&gt;=IF(A225&lt;DATEVALUE("2025/12/28")+TIMEVALUE("6:00"),20,18)/24/60),0,2-INT(G225*24*60/10)))</f>
        <v>1</v>
      </c>
      <c r="L225">
        <f t="shared" ref="L225" si="274">L224+K225</f>
        <v>271</v>
      </c>
      <c r="M225">
        <f t="shared" ref="M225" si="275">2+IF(A225&gt;=DATEVALUE("2025/11/30")+TIMEVALUE("6:00"),1,0)+IF(A225&gt;=DATEVALUE("2025/12/11")+TIMEVALUE("6:00"),1,0)</f>
        <v>4</v>
      </c>
      <c r="N225">
        <f t="shared" ref="N225" si="276">N224+M225*(INT(A225-6/24)-INT(A224-6/24))+O225</f>
        <v>271</v>
      </c>
      <c r="O225">
        <f t="shared" si="192"/>
        <v>0</v>
      </c>
      <c r="P225" t="str">
        <f t="shared" ref="P225" si="277">IF(L225&lt;N225,"未達成（"&amp;N225-L225&amp;"）",IF(L225=N225,"達成","前倒し（"&amp;L225-N225&amp;"）"))</f>
        <v>達成</v>
      </c>
      <c r="Q225">
        <f t="shared" ref="Q225" si="278">IF(B225="",NA(),G225)</f>
        <v>7.2106481529772282E-3</v>
      </c>
    </row>
    <row r="226" spans="1:17">
      <c r="A226" s="3">
        <v>46047.293356481481</v>
      </c>
      <c r="B226">
        <v>60</v>
      </c>
      <c r="C226">
        <v>6</v>
      </c>
      <c r="D226">
        <v>0</v>
      </c>
      <c r="E226">
        <v>0</v>
      </c>
      <c r="F226">
        <v>0</v>
      </c>
      <c r="G226" s="5">
        <v>8.6921296315267682E-3</v>
      </c>
      <c r="H226" t="s">
        <v>503</v>
      </c>
      <c r="I226" t="s">
        <v>504</v>
      </c>
      <c r="J226">
        <v>0</v>
      </c>
      <c r="K226">
        <f t="shared" ref="K226" si="279">IF(A226&lt;DATEVALUE("2025/11/20")+TIMEVALUE("6:00"),1,IF(OR(B226&lt;&gt;60,SUM(D226:F226)&lt;&gt;0,G226&gt;=IF(A226&lt;DATEVALUE("2025/12/28")+TIMEVALUE("6:00"),20,18)/24/60),0,2-INT(G226*24*60/10)))</f>
        <v>1</v>
      </c>
      <c r="L226">
        <f t="shared" ref="L226" si="280">L225+K226</f>
        <v>272</v>
      </c>
      <c r="M226">
        <f t="shared" ref="M226" si="281">2+IF(A226&gt;=DATEVALUE("2025/11/30")+TIMEVALUE("6:00"),1,0)+IF(A226&gt;=DATEVALUE("2025/12/11")+TIMEVALUE("6:00"),1,0)</f>
        <v>4</v>
      </c>
      <c r="N226">
        <f t="shared" ref="N226" si="282">N225+M226*(INT(A226-6/24)-INT(A225-6/24))+O226</f>
        <v>275</v>
      </c>
      <c r="O226">
        <f t="shared" si="192"/>
        <v>0</v>
      </c>
      <c r="P226" t="str">
        <f t="shared" ref="P226" si="283">IF(L226&lt;N226,"未達成（"&amp;N226-L226&amp;"）",IF(L226=N226,"達成","前倒し（"&amp;L226-N226&amp;"）"))</f>
        <v>未達成（3）</v>
      </c>
      <c r="Q226">
        <f t="shared" ref="Q226" si="284">IF(B226="",NA(),G226)</f>
        <v>8.6921296315267682E-3</v>
      </c>
    </row>
    <row r="227" spans="1:17">
      <c r="A227" s="3">
        <v>46047.300312500003</v>
      </c>
      <c r="B227">
        <v>60</v>
      </c>
      <c r="C227">
        <v>12</v>
      </c>
      <c r="D227">
        <v>0</v>
      </c>
      <c r="E227">
        <v>0</v>
      </c>
      <c r="F227">
        <v>0</v>
      </c>
      <c r="G227" s="5">
        <v>6.2731481521041133E-3</v>
      </c>
      <c r="H227" t="s">
        <v>505</v>
      </c>
      <c r="I227" t="s">
        <v>506</v>
      </c>
      <c r="J227">
        <v>0</v>
      </c>
      <c r="K227">
        <f t="shared" ref="K227" si="285">IF(A227&lt;DATEVALUE("2025/11/20")+TIMEVALUE("6:00"),1,IF(OR(B227&lt;&gt;60,SUM(D227:F227)&lt;&gt;0,G227&gt;=IF(A227&lt;DATEVALUE("2025/12/28")+TIMEVALUE("6:00"),20,18)/24/60),0,2-INT(G227*24*60/10)))</f>
        <v>2</v>
      </c>
      <c r="L227">
        <f t="shared" ref="L227" si="286">L226+K227</f>
        <v>274</v>
      </c>
      <c r="M227">
        <f t="shared" ref="M227" si="287">2+IF(A227&gt;=DATEVALUE("2025/11/30")+TIMEVALUE("6:00"),1,0)+IF(A227&gt;=DATEVALUE("2025/12/11")+TIMEVALUE("6:00"),1,0)</f>
        <v>4</v>
      </c>
      <c r="N227">
        <f t="shared" ref="N227" si="288">N226+M227*(INT(A227-6/24)-INT(A226-6/24))+O227</f>
        <v>275</v>
      </c>
      <c r="O227">
        <f t="shared" si="192"/>
        <v>0</v>
      </c>
      <c r="P227" t="str">
        <f t="shared" ref="P227" si="289">IF(L227&lt;N227,"未達成（"&amp;N227-L227&amp;"）",IF(L227=N227,"達成","前倒し（"&amp;L227-N227&amp;"）"))</f>
        <v>未達成（1）</v>
      </c>
      <c r="Q227">
        <f t="shared" ref="Q227" si="290">IF(B227="",NA(),G227)</f>
        <v>6.2731481521041133E-3</v>
      </c>
    </row>
    <row r="228" spans="1:17">
      <c r="A228" s="3">
        <v>46047.317696759259</v>
      </c>
      <c r="G228" s="5">
        <v>1.6782407401478849E-3</v>
      </c>
      <c r="H228" t="s">
        <v>507</v>
      </c>
      <c r="I228" t="s">
        <v>511</v>
      </c>
      <c r="J228">
        <v>1</v>
      </c>
      <c r="K228">
        <f t="shared" ref="K228" si="291">IF(A228&lt;DATEVALUE("2025/11/20")+TIMEVALUE("6:00"),1,IF(OR(B228&lt;&gt;60,SUM(D228:F228)&lt;&gt;0,G228&gt;=IF(A228&lt;DATEVALUE("2025/12/28")+TIMEVALUE("6:00"),20,18)/24/60),0,2-INT(G228*24*60/10)))</f>
        <v>0</v>
      </c>
      <c r="L228">
        <f t="shared" ref="L228" si="292">L227+K228</f>
        <v>274</v>
      </c>
      <c r="M228">
        <f t="shared" ref="M228" si="293">2+IF(A228&gt;=DATEVALUE("2025/11/30")+TIMEVALUE("6:00"),1,0)+IF(A228&gt;=DATEVALUE("2025/12/11")+TIMEVALUE("6:00"),1,0)</f>
        <v>4</v>
      </c>
      <c r="N228">
        <f t="shared" ref="N228" si="294">N227+M228*(INT(A228-6/24)-INT(A227-6/24))+O228</f>
        <v>275</v>
      </c>
      <c r="O228">
        <f t="shared" si="192"/>
        <v>0</v>
      </c>
      <c r="P228" t="str">
        <f t="shared" ref="P228" si="295">IF(L228&lt;N228,"未達成（"&amp;N228-L228&amp;"）",IF(L228=N228,"達成","前倒し（"&amp;L228-N228&amp;"）"))</f>
        <v>未達成（1）</v>
      </c>
      <c r="Q228" t="e">
        <f t="shared" ref="Q228" si="296">IF(B228="",NA(),G228)</f>
        <v>#N/A</v>
      </c>
    </row>
    <row r="229" spans="1:17">
      <c r="A229" s="3">
        <v>46047.469687500001</v>
      </c>
      <c r="B229">
        <v>60</v>
      </c>
      <c r="C229">
        <v>9</v>
      </c>
      <c r="D229">
        <v>0</v>
      </c>
      <c r="E229">
        <v>0</v>
      </c>
      <c r="F229">
        <v>0</v>
      </c>
      <c r="G229" s="5">
        <v>7.2685185223235749E-3</v>
      </c>
      <c r="H229" t="s">
        <v>512</v>
      </c>
      <c r="I229" t="s">
        <v>508</v>
      </c>
      <c r="J229">
        <v>0</v>
      </c>
      <c r="K229">
        <f t="shared" ref="K229" si="297">IF(A229&lt;DATEVALUE("2025/11/20")+TIMEVALUE("6:00"),1,IF(OR(B229&lt;&gt;60,SUM(D229:F229)&lt;&gt;0,G229&gt;=IF(A229&lt;DATEVALUE("2025/12/28")+TIMEVALUE("6:00"),20,18)/24/60),0,2-INT(G229*24*60/10)))</f>
        <v>1</v>
      </c>
      <c r="L229">
        <f t="shared" ref="L229" si="298">L228+K229</f>
        <v>275</v>
      </c>
      <c r="M229">
        <f t="shared" ref="M229" si="299">2+IF(A229&gt;=DATEVALUE("2025/11/30")+TIMEVALUE("6:00"),1,0)+IF(A229&gt;=DATEVALUE("2025/12/11")+TIMEVALUE("6:00"),1,0)</f>
        <v>4</v>
      </c>
      <c r="N229">
        <f t="shared" ref="N229" si="300">N228+M229*(INT(A229-6/24)-INT(A228-6/24))+O229</f>
        <v>275</v>
      </c>
      <c r="O229">
        <f t="shared" si="192"/>
        <v>0</v>
      </c>
      <c r="P229" t="str">
        <f t="shared" ref="P229" si="301">IF(L229&lt;N229,"未達成（"&amp;N229-L229&amp;"）",IF(L229=N229,"達成","前倒し（"&amp;L229-N229&amp;"）"))</f>
        <v>達成</v>
      </c>
      <c r="Q229">
        <f t="shared" ref="Q229" si="302">IF(B229="",NA(),G229)</f>
        <v>7.2685185223235749E-3</v>
      </c>
    </row>
    <row r="230" spans="1:17">
      <c r="A230" s="3">
        <v>46048.302210648151</v>
      </c>
      <c r="B230">
        <v>60</v>
      </c>
      <c r="C230">
        <v>20</v>
      </c>
      <c r="D230">
        <v>0</v>
      </c>
      <c r="E230">
        <v>0</v>
      </c>
      <c r="F230">
        <v>0</v>
      </c>
      <c r="G230" s="5">
        <v>8.8773148163454607E-3</v>
      </c>
      <c r="H230" t="s">
        <v>513</v>
      </c>
      <c r="I230" t="s">
        <v>514</v>
      </c>
      <c r="J230">
        <v>0</v>
      </c>
      <c r="K230">
        <f t="shared" ref="K230" si="303">IF(A230&lt;DATEVALUE("2025/11/20")+TIMEVALUE("6:00"),1,IF(OR(B230&lt;&gt;60,SUM(D230:F230)&lt;&gt;0,G230&gt;=IF(A230&lt;DATEVALUE("2025/12/28")+TIMEVALUE("6:00"),20,18)/24/60),0,2-INT(G230*24*60/10)))</f>
        <v>1</v>
      </c>
      <c r="L230">
        <f t="shared" ref="L230" si="304">L229+K230</f>
        <v>276</v>
      </c>
      <c r="M230">
        <f t="shared" ref="M230" si="305">2+IF(A230&gt;=DATEVALUE("2025/11/30")+TIMEVALUE("6:00"),1,0)+IF(A230&gt;=DATEVALUE("2025/12/11")+TIMEVALUE("6:00"),1,0)</f>
        <v>4</v>
      </c>
      <c r="N230">
        <f t="shared" ref="N230" si="306">N229+M230*(INT(A230-6/24)-INT(A229-6/24))+O230</f>
        <v>279</v>
      </c>
      <c r="O230">
        <f t="shared" si="192"/>
        <v>0</v>
      </c>
      <c r="P230" t="str">
        <f t="shared" ref="P230" si="307">IF(L230&lt;N230,"未達成（"&amp;N230-L230&amp;"）",IF(L230=N230,"達成","前倒し（"&amp;L230-N230&amp;"）"))</f>
        <v>未達成（3）</v>
      </c>
      <c r="Q230">
        <f t="shared" ref="Q230" si="308">IF(B230="",NA(),G230)</f>
        <v>8.8773148163454607E-3</v>
      </c>
    </row>
    <row r="231" spans="1:17">
      <c r="A231" s="3">
        <v>46048.309108796297</v>
      </c>
      <c r="B231">
        <v>60</v>
      </c>
      <c r="C231">
        <v>23</v>
      </c>
      <c r="D231">
        <v>0</v>
      </c>
      <c r="E231">
        <v>0</v>
      </c>
      <c r="F231">
        <v>0</v>
      </c>
      <c r="G231" s="5">
        <v>6.3425925909541547E-3</v>
      </c>
      <c r="H231" t="s">
        <v>515</v>
      </c>
      <c r="I231" t="s">
        <v>516</v>
      </c>
      <c r="J231">
        <v>0</v>
      </c>
      <c r="K231">
        <f t="shared" ref="K231" si="309">IF(A231&lt;DATEVALUE("2025/11/20")+TIMEVALUE("6:00"),1,IF(OR(B231&lt;&gt;60,SUM(D231:F231)&lt;&gt;0,G231&gt;=IF(A231&lt;DATEVALUE("2025/12/28")+TIMEVALUE("6:00"),20,18)/24/60),0,2-INT(G231*24*60/10)))</f>
        <v>2</v>
      </c>
      <c r="L231">
        <f t="shared" ref="L231" si="310">L230+K231</f>
        <v>278</v>
      </c>
      <c r="M231">
        <f t="shared" ref="M231" si="311">2+IF(A231&gt;=DATEVALUE("2025/11/30")+TIMEVALUE("6:00"),1,0)+IF(A231&gt;=DATEVALUE("2025/12/11")+TIMEVALUE("6:00"),1,0)</f>
        <v>4</v>
      </c>
      <c r="N231">
        <f t="shared" ref="N231" si="312">N230+M231*(INT(A231-6/24)-INT(A230-6/24))+O231</f>
        <v>279</v>
      </c>
      <c r="O231">
        <f t="shared" si="192"/>
        <v>0</v>
      </c>
      <c r="P231" t="str">
        <f t="shared" ref="P231" si="313">IF(L231&lt;N231,"未達成（"&amp;N231-L231&amp;"）",IF(L231=N231,"達成","前倒し（"&amp;L231-N231&amp;"）"))</f>
        <v>未達成（1）</v>
      </c>
      <c r="Q231">
        <f t="shared" ref="Q231" si="314">IF(B231="",NA(),G231)</f>
        <v>6.3425925909541547E-3</v>
      </c>
    </row>
    <row r="232" spans="1:17">
      <c r="A232" s="3">
        <v>46048.314803240741</v>
      </c>
      <c r="B232">
        <v>60</v>
      </c>
      <c r="C232">
        <v>11</v>
      </c>
      <c r="D232">
        <v>0</v>
      </c>
      <c r="E232">
        <v>0</v>
      </c>
      <c r="F232">
        <v>0</v>
      </c>
      <c r="G232" s="5">
        <v>4.7337962969322689E-3</v>
      </c>
      <c r="H232" t="s">
        <v>517</v>
      </c>
      <c r="I232" t="s">
        <v>518</v>
      </c>
      <c r="J232">
        <v>0</v>
      </c>
      <c r="K232">
        <f t="shared" ref="K232" si="315">IF(A232&lt;DATEVALUE("2025/11/20")+TIMEVALUE("6:00"),1,IF(OR(B232&lt;&gt;60,SUM(D232:F232)&lt;&gt;0,G232&gt;=IF(A232&lt;DATEVALUE("2025/12/28")+TIMEVALUE("6:00"),20,18)/24/60),0,2-INT(G232*24*60/10)))</f>
        <v>2</v>
      </c>
      <c r="L232">
        <f t="shared" ref="L232" si="316">L231+K232</f>
        <v>280</v>
      </c>
      <c r="M232">
        <f t="shared" ref="M232" si="317">2+IF(A232&gt;=DATEVALUE("2025/11/30")+TIMEVALUE("6:00"),1,0)+IF(A232&gt;=DATEVALUE("2025/12/11")+TIMEVALUE("6:00"),1,0)</f>
        <v>4</v>
      </c>
      <c r="N232">
        <f t="shared" ref="N232" si="318">N231+M232*(INT(A232-6/24)-INT(A231-6/24))+O232</f>
        <v>279</v>
      </c>
      <c r="O232">
        <f t="shared" si="192"/>
        <v>0</v>
      </c>
      <c r="P232" t="str">
        <f t="shared" ref="P232" si="319">IF(L232&lt;N232,"未達成（"&amp;N232-L232&amp;"）",IF(L232=N232,"達成","前倒し（"&amp;L232-N232&amp;"）"))</f>
        <v>前倒し（1）</v>
      </c>
      <c r="Q232">
        <f t="shared" ref="Q232" si="320">IF(B232="",NA(),G232)</f>
        <v>4.7337962969322689E-3</v>
      </c>
    </row>
    <row r="233" spans="1:17">
      <c r="A233" s="3">
        <v>46049.283483796295</v>
      </c>
      <c r="B233">
        <v>60</v>
      </c>
      <c r="C233">
        <v>15</v>
      </c>
      <c r="D233">
        <v>0</v>
      </c>
      <c r="E233">
        <v>0</v>
      </c>
      <c r="F233">
        <v>0</v>
      </c>
      <c r="G233" s="5">
        <v>5.3819444437976927E-3</v>
      </c>
      <c r="H233" t="s">
        <v>519</v>
      </c>
      <c r="I233" t="s">
        <v>520</v>
      </c>
      <c r="J233">
        <v>0</v>
      </c>
      <c r="K233">
        <f t="shared" ref="K233" si="321">IF(A233&lt;DATEVALUE("2025/11/20")+TIMEVALUE("6:00"),1,IF(OR(B233&lt;&gt;60,SUM(D233:F233)&lt;&gt;0,G233&gt;=IF(A233&lt;DATEVALUE("2025/12/28")+TIMEVALUE("6:00"),20,18)/24/60),0,2-INT(G233*24*60/10)))</f>
        <v>2</v>
      </c>
      <c r="L233">
        <f t="shared" ref="L233" si="322">L232+K233</f>
        <v>282</v>
      </c>
      <c r="M233">
        <f t="shared" ref="M233" si="323">2+IF(A233&gt;=DATEVALUE("2025/11/30")+TIMEVALUE("6:00"),1,0)+IF(A233&gt;=DATEVALUE("2025/12/11")+TIMEVALUE("6:00"),1,0)</f>
        <v>4</v>
      </c>
      <c r="N233">
        <f t="shared" ref="N233" si="324">N232+M233*(INT(A233-6/24)-INT(A232-6/24))+O233</f>
        <v>283</v>
      </c>
      <c r="O233">
        <f t="shared" si="192"/>
        <v>0</v>
      </c>
      <c r="P233" t="str">
        <f t="shared" ref="P233" si="325">IF(L233&lt;N233,"未達成（"&amp;N233-L233&amp;"）",IF(L233=N233,"達成","前倒し（"&amp;L233-N233&amp;"）"))</f>
        <v>未達成（1）</v>
      </c>
      <c r="Q233">
        <f t="shared" ref="Q233" si="326">IF(B233="",NA(),G233)</f>
        <v>5.3819444437976927E-3</v>
      </c>
    </row>
    <row r="234" spans="1:17">
      <c r="A234" s="3">
        <v>46049.293564814812</v>
      </c>
      <c r="B234">
        <v>60</v>
      </c>
      <c r="C234">
        <v>14</v>
      </c>
      <c r="D234">
        <v>0</v>
      </c>
      <c r="E234">
        <v>0</v>
      </c>
      <c r="F234">
        <v>0</v>
      </c>
      <c r="G234" s="5">
        <v>9.0393518476048484E-3</v>
      </c>
      <c r="H234" t="s">
        <v>521</v>
      </c>
      <c r="I234" t="s">
        <v>522</v>
      </c>
      <c r="J234">
        <v>0</v>
      </c>
      <c r="K234">
        <f t="shared" ref="K234" si="327">IF(A234&lt;DATEVALUE("2025/11/20")+TIMEVALUE("6:00"),1,IF(OR(B234&lt;&gt;60,SUM(D234:F234)&lt;&gt;0,G234&gt;=IF(A234&lt;DATEVALUE("2025/12/28")+TIMEVALUE("6:00"),20,18)/24/60),0,2-INT(G234*24*60/10)))</f>
        <v>1</v>
      </c>
      <c r="L234">
        <f t="shared" ref="L234" si="328">L233+K234</f>
        <v>283</v>
      </c>
      <c r="M234">
        <f t="shared" ref="M234" si="329">2+IF(A234&gt;=DATEVALUE("2025/11/30")+TIMEVALUE("6:00"),1,0)+IF(A234&gt;=DATEVALUE("2025/12/11")+TIMEVALUE("6:00"),1,0)</f>
        <v>4</v>
      </c>
      <c r="N234">
        <f t="shared" ref="N234" si="330">N233+M234*(INT(A234-6/24)-INT(A233-6/24))+O234</f>
        <v>283</v>
      </c>
      <c r="O234">
        <f t="shared" si="192"/>
        <v>0</v>
      </c>
      <c r="P234" t="str">
        <f t="shared" ref="P234" si="331">IF(L234&lt;N234,"未達成（"&amp;N234-L234&amp;"）",IF(L234=N234,"達成","前倒し（"&amp;L234-N234&amp;"）"))</f>
        <v>達成</v>
      </c>
      <c r="Q234">
        <f t="shared" ref="Q234" si="332">IF(B234="",NA(),G234)</f>
        <v>9.0393518476048484E-3</v>
      </c>
    </row>
    <row r="235" spans="1:17">
      <c r="A235" s="3">
        <v>46050.283703703702</v>
      </c>
      <c r="B235">
        <v>60</v>
      </c>
      <c r="C235">
        <v>24</v>
      </c>
      <c r="D235">
        <v>0</v>
      </c>
      <c r="E235">
        <v>0</v>
      </c>
      <c r="F235">
        <v>0</v>
      </c>
      <c r="G235" s="5">
        <v>8.3796296312357299E-3</v>
      </c>
      <c r="H235" t="s">
        <v>523</v>
      </c>
      <c r="I235" t="s">
        <v>524</v>
      </c>
      <c r="J235">
        <v>0</v>
      </c>
      <c r="K235">
        <f t="shared" ref="K235" si="333">IF(A235&lt;DATEVALUE("2025/11/20")+TIMEVALUE("6:00"),1,IF(OR(B235&lt;&gt;60,SUM(D235:F235)&lt;&gt;0,G235&gt;=IF(A235&lt;DATEVALUE("2025/12/28")+TIMEVALUE("6:00"),20,18)/24/60),0,2-INT(G235*24*60/10)))</f>
        <v>1</v>
      </c>
      <c r="L235">
        <f t="shared" ref="L235" si="334">L234+K235</f>
        <v>284</v>
      </c>
      <c r="M235">
        <f t="shared" ref="M235" si="335">2+IF(A235&gt;=DATEVALUE("2025/11/30")+TIMEVALUE("6:00"),1,0)+IF(A235&gt;=DATEVALUE("2025/12/11")+TIMEVALUE("6:00"),1,0)</f>
        <v>4</v>
      </c>
      <c r="N235">
        <f t="shared" ref="N235" si="336">N234+M235*(INT(A235-6/24)-INT(A234-6/24))+O235</f>
        <v>287</v>
      </c>
      <c r="O235">
        <f t="shared" si="192"/>
        <v>0</v>
      </c>
      <c r="P235" t="str">
        <f t="shared" ref="P235" si="337">IF(L235&lt;N235,"未達成（"&amp;N235-L235&amp;"）",IF(L235=N235,"達成","前倒し（"&amp;L235-N235&amp;"）"))</f>
        <v>未達成（3）</v>
      </c>
      <c r="Q235">
        <f t="shared" ref="Q235" si="338">IF(B235="",NA(),G235)</f>
        <v>8.3796296312357299E-3</v>
      </c>
    </row>
    <row r="236" spans="1:17">
      <c r="A236" s="3">
        <v>46050.293333333335</v>
      </c>
      <c r="B236">
        <v>50</v>
      </c>
      <c r="C236">
        <v>2</v>
      </c>
      <c r="D236">
        <v>0</v>
      </c>
      <c r="E236">
        <v>10</v>
      </c>
      <c r="F236">
        <v>0</v>
      </c>
      <c r="G236" s="5">
        <v>8.3564814849523827E-3</v>
      </c>
      <c r="H236" t="s">
        <v>525</v>
      </c>
      <c r="I236" t="s">
        <v>526</v>
      </c>
      <c r="J236">
        <v>0</v>
      </c>
      <c r="K236">
        <f t="shared" ref="K236" si="339">IF(A236&lt;DATEVALUE("2025/11/20")+TIMEVALUE("6:00"),1,IF(OR(B236&lt;&gt;60,SUM(D236:F236)&lt;&gt;0,G236&gt;=IF(A236&lt;DATEVALUE("2025/12/28")+TIMEVALUE("6:00"),20,18)/24/60),0,2-INT(G236*24*60/10)))</f>
        <v>0</v>
      </c>
      <c r="L236">
        <f t="shared" ref="L236" si="340">L235+K236</f>
        <v>284</v>
      </c>
      <c r="M236">
        <f t="shared" ref="M236" si="341">2+IF(A236&gt;=DATEVALUE("2025/11/30")+TIMEVALUE("6:00"),1,0)+IF(A236&gt;=DATEVALUE("2025/12/11")+TIMEVALUE("6:00"),1,0)</f>
        <v>4</v>
      </c>
      <c r="N236">
        <f t="shared" ref="N236" si="342">N235+M236*(INT(A236-6/24)-INT(A235-6/24))+O236</f>
        <v>287</v>
      </c>
      <c r="O236">
        <f t="shared" si="192"/>
        <v>0</v>
      </c>
      <c r="P236" t="str">
        <f t="shared" ref="P236" si="343">IF(L236&lt;N236,"未達成（"&amp;N236-L236&amp;"）",IF(L236=N236,"達成","前倒し（"&amp;L236-N236&amp;"）"))</f>
        <v>未達成（3）</v>
      </c>
      <c r="Q236">
        <f t="shared" ref="Q236" si="344">IF(B236="",NA(),G236)</f>
        <v>8.3564814849523827E-3</v>
      </c>
    </row>
    <row r="237" spans="1:17">
      <c r="A237" s="3">
        <v>46050.305752314816</v>
      </c>
      <c r="B237">
        <v>60</v>
      </c>
      <c r="C237">
        <v>0</v>
      </c>
      <c r="D237">
        <v>0</v>
      </c>
      <c r="E237">
        <v>0</v>
      </c>
      <c r="F237">
        <v>0</v>
      </c>
      <c r="G237" s="5">
        <v>1.1747685188311152E-2</v>
      </c>
      <c r="H237" t="s">
        <v>527</v>
      </c>
      <c r="I237" t="s">
        <v>528</v>
      </c>
      <c r="J237">
        <v>0</v>
      </c>
      <c r="K237">
        <f t="shared" ref="K237" si="345">IF(A237&lt;DATEVALUE("2025/11/20")+TIMEVALUE("6:00"),1,IF(OR(B237&lt;&gt;60,SUM(D237:F237)&lt;&gt;0,G237&gt;=IF(A237&lt;DATEVALUE("2025/12/28")+TIMEVALUE("6:00"),20,18)/24/60),0,2-INT(G237*24*60/10)))</f>
        <v>1</v>
      </c>
      <c r="L237">
        <f t="shared" ref="L237" si="346">L236+K237</f>
        <v>285</v>
      </c>
      <c r="M237">
        <f t="shared" ref="M237" si="347">2+IF(A237&gt;=DATEVALUE("2025/11/30")+TIMEVALUE("6:00"),1,0)+IF(A237&gt;=DATEVALUE("2025/12/11")+TIMEVALUE("6:00"),1,0)</f>
        <v>4</v>
      </c>
      <c r="N237">
        <f t="shared" ref="N237" si="348">N236+M237*(INT(A237-6/24)-INT(A236-6/24))+O237</f>
        <v>287</v>
      </c>
      <c r="O237">
        <f t="shared" si="192"/>
        <v>0</v>
      </c>
      <c r="P237" t="str">
        <f t="shared" ref="P237" si="349">IF(L237&lt;N237,"未達成（"&amp;N237-L237&amp;"）",IF(L237=N237,"達成","前倒し（"&amp;L237-N237&amp;"）"))</f>
        <v>未達成（2）</v>
      </c>
      <c r="Q237">
        <f t="shared" ref="Q237" si="350">IF(B237="",NA(),G237)</f>
        <v>1.1747685188311152E-2</v>
      </c>
    </row>
    <row r="238" spans="1:17">
      <c r="A238" s="3">
        <v>46050.313449074078</v>
      </c>
      <c r="B238">
        <v>55</v>
      </c>
      <c r="C238">
        <v>7</v>
      </c>
      <c r="D238">
        <v>0</v>
      </c>
      <c r="E238">
        <v>5</v>
      </c>
      <c r="F238">
        <v>0</v>
      </c>
      <c r="G238" s="5">
        <v>7.1412037068512291E-3</v>
      </c>
      <c r="H238" t="s">
        <v>529</v>
      </c>
      <c r="I238" t="s">
        <v>530</v>
      </c>
      <c r="J238">
        <v>0</v>
      </c>
      <c r="K238">
        <f t="shared" ref="K238" si="351">IF(A238&lt;DATEVALUE("2025/11/20")+TIMEVALUE("6:00"),1,IF(OR(B238&lt;&gt;60,SUM(D238:F238)&lt;&gt;0,G238&gt;=IF(A238&lt;DATEVALUE("2025/12/28")+TIMEVALUE("6:00"),20,18)/24/60),0,2-INT(G238*24*60/10)))</f>
        <v>0</v>
      </c>
      <c r="L238">
        <f t="shared" ref="L238" si="352">L237+K238</f>
        <v>285</v>
      </c>
      <c r="M238">
        <f t="shared" ref="M238" si="353">2+IF(A238&gt;=DATEVALUE("2025/11/30")+TIMEVALUE("6:00"),1,0)+IF(A238&gt;=DATEVALUE("2025/12/11")+TIMEVALUE("6:00"),1,0)</f>
        <v>4</v>
      </c>
      <c r="N238">
        <f t="shared" ref="N238" si="354">N237+M238*(INT(A238-6/24)-INT(A237-6/24))+O238</f>
        <v>287</v>
      </c>
      <c r="O238">
        <f t="shared" si="192"/>
        <v>0</v>
      </c>
      <c r="P238" t="str">
        <f t="shared" ref="P238" si="355">IF(L238&lt;N238,"未達成（"&amp;N238-L238&amp;"）",IF(L238=N238,"達成","前倒し（"&amp;L238-N238&amp;"）"))</f>
        <v>未達成（2）</v>
      </c>
      <c r="Q238">
        <f t="shared" ref="Q238" si="356">IF(B238="",NA(),G238)</f>
        <v>7.1412037068512291E-3</v>
      </c>
    </row>
    <row r="239" spans="1:17">
      <c r="A239" s="3">
        <v>46050.319131944445</v>
      </c>
      <c r="B239">
        <v>60</v>
      </c>
      <c r="C239">
        <v>9</v>
      </c>
      <c r="D239">
        <v>0</v>
      </c>
      <c r="E239">
        <v>0</v>
      </c>
      <c r="F239">
        <v>0</v>
      </c>
      <c r="G239" s="5">
        <v>5.2314814820419997E-3</v>
      </c>
      <c r="H239" t="s">
        <v>531</v>
      </c>
      <c r="I239" t="s">
        <v>532</v>
      </c>
      <c r="J239">
        <v>0</v>
      </c>
      <c r="K239">
        <f t="shared" ref="K239" si="357">IF(A239&lt;DATEVALUE("2025/11/20")+TIMEVALUE("6:00"),1,IF(OR(B239&lt;&gt;60,SUM(D239:F239)&lt;&gt;0,G239&gt;=IF(A239&lt;DATEVALUE("2025/12/28")+TIMEVALUE("6:00"),20,18)/24/60),0,2-INT(G239*24*60/10)))</f>
        <v>2</v>
      </c>
      <c r="L239">
        <f t="shared" ref="L239" si="358">L238+K239</f>
        <v>287</v>
      </c>
      <c r="M239">
        <f t="shared" ref="M239" si="359">2+IF(A239&gt;=DATEVALUE("2025/11/30")+TIMEVALUE("6:00"),1,0)+IF(A239&gt;=DATEVALUE("2025/12/11")+TIMEVALUE("6:00"),1,0)</f>
        <v>4</v>
      </c>
      <c r="N239">
        <f t="shared" ref="N239" si="360">N238+M239*(INT(A239-6/24)-INT(A238-6/24))+O239</f>
        <v>287</v>
      </c>
      <c r="O239">
        <f t="shared" si="192"/>
        <v>0</v>
      </c>
      <c r="P239" t="str">
        <f t="shared" ref="P239" si="361">IF(L239&lt;N239,"未達成（"&amp;N239-L239&amp;"）",IF(L239=N239,"達成","前倒し（"&amp;L239-N239&amp;"）"))</f>
        <v>達成</v>
      </c>
      <c r="Q239">
        <f t="shared" ref="Q239" si="362">IF(B239="",NA(),G239)</f>
        <v>5.2314814820419997E-3</v>
      </c>
    </row>
    <row r="240" spans="1:17">
      <c r="A240" s="3">
        <v>46051.269594907404</v>
      </c>
      <c r="B240">
        <v>60</v>
      </c>
      <c r="C240">
        <v>13</v>
      </c>
      <c r="D240">
        <v>0</v>
      </c>
      <c r="E240">
        <v>0</v>
      </c>
      <c r="F240">
        <v>0</v>
      </c>
      <c r="G240" s="5">
        <v>9.0393518476048484E-3</v>
      </c>
      <c r="H240" t="s">
        <v>533</v>
      </c>
      <c r="I240" t="s">
        <v>534</v>
      </c>
      <c r="J240">
        <v>0</v>
      </c>
      <c r="K240">
        <f t="shared" ref="K240" si="363">IF(A240&lt;DATEVALUE("2025/11/20")+TIMEVALUE("6:00"),1,IF(OR(B240&lt;&gt;60,SUM(D240:F240)&lt;&gt;0,G240&gt;=IF(A240&lt;DATEVALUE("2025/12/28")+TIMEVALUE("6:00"),20,18)/24/60),0,2-INT(G240*24*60/10)))</f>
        <v>1</v>
      </c>
      <c r="L240">
        <f t="shared" ref="L240" si="364">L239+K240</f>
        <v>288</v>
      </c>
      <c r="M240">
        <f t="shared" ref="M240" si="365">2+IF(A240&gt;=DATEVALUE("2025/11/30")+TIMEVALUE("6:00"),1,0)+IF(A240&gt;=DATEVALUE("2025/12/11")+TIMEVALUE("6:00"),1,0)</f>
        <v>4</v>
      </c>
      <c r="N240">
        <f t="shared" ref="N240" si="366">N239+M240*(INT(A240-6/24)-INT(A239-6/24))+O240</f>
        <v>291</v>
      </c>
      <c r="O240">
        <f t="shared" si="192"/>
        <v>0</v>
      </c>
      <c r="P240" t="str">
        <f t="shared" ref="P240" si="367">IF(L240&lt;N240,"未達成（"&amp;N240-L240&amp;"）",IF(L240=N240,"達成","前倒し（"&amp;L240-N240&amp;"）"))</f>
        <v>未達成（3）</v>
      </c>
      <c r="Q240">
        <f t="shared" ref="Q240" si="368">IF(B240="",NA(),G240)</f>
        <v>9.0393518476048484E-3</v>
      </c>
    </row>
    <row r="241" spans="1:17">
      <c r="A241" s="3">
        <v>46051.275104166663</v>
      </c>
      <c r="B241">
        <v>60</v>
      </c>
      <c r="C241">
        <v>9</v>
      </c>
      <c r="D241">
        <v>0</v>
      </c>
      <c r="E241">
        <v>0</v>
      </c>
      <c r="F241">
        <v>0</v>
      </c>
      <c r="G241" s="5">
        <v>4.6180555509636179E-3</v>
      </c>
      <c r="H241" t="s">
        <v>535</v>
      </c>
      <c r="I241" t="s">
        <v>536</v>
      </c>
      <c r="J241">
        <v>0</v>
      </c>
      <c r="K241">
        <f t="shared" ref="K241" si="369">IF(A241&lt;DATEVALUE("2025/11/20")+TIMEVALUE("6:00"),1,IF(OR(B241&lt;&gt;60,SUM(D241:F241)&lt;&gt;0,G241&gt;=IF(A241&lt;DATEVALUE("2025/12/28")+TIMEVALUE("6:00"),20,18)/24/60),0,2-INT(G241*24*60/10)))</f>
        <v>2</v>
      </c>
      <c r="L241">
        <f t="shared" ref="L241" si="370">L240+K241</f>
        <v>290</v>
      </c>
      <c r="M241">
        <f t="shared" ref="M241" si="371">2+IF(A241&gt;=DATEVALUE("2025/11/30")+TIMEVALUE("6:00"),1,0)+IF(A241&gt;=DATEVALUE("2025/12/11")+TIMEVALUE("6:00"),1,0)</f>
        <v>4</v>
      </c>
      <c r="N241">
        <f t="shared" ref="N241" si="372">N240+M241*(INT(A241-6/24)-INT(A240-6/24))+O241</f>
        <v>291</v>
      </c>
      <c r="O241">
        <f t="shared" si="192"/>
        <v>0</v>
      </c>
      <c r="P241" t="str">
        <f t="shared" ref="P241" si="373">IF(L241&lt;N241,"未達成（"&amp;N241-L241&amp;"）",IF(L241=N241,"達成","前倒し（"&amp;L241-N241&amp;"）"))</f>
        <v>未達成（1）</v>
      </c>
      <c r="Q241">
        <f t="shared" ref="Q241" si="374">IF(B241="",NA(),G241)</f>
        <v>4.6180555509636179E-3</v>
      </c>
    </row>
    <row r="242" spans="1:17">
      <c r="A242" s="3">
        <v>46051.281990740739</v>
      </c>
      <c r="B242">
        <v>60</v>
      </c>
      <c r="C242">
        <v>10</v>
      </c>
      <c r="D242">
        <v>0</v>
      </c>
      <c r="E242">
        <v>0</v>
      </c>
      <c r="F242">
        <v>0</v>
      </c>
      <c r="G242" s="5">
        <v>5.6365740747423843E-3</v>
      </c>
      <c r="H242" t="s">
        <v>537</v>
      </c>
      <c r="I242" t="s">
        <v>538</v>
      </c>
      <c r="J242">
        <v>0</v>
      </c>
      <c r="K242">
        <f t="shared" ref="K242" si="375">IF(A242&lt;DATEVALUE("2025/11/20")+TIMEVALUE("6:00"),1,IF(OR(B242&lt;&gt;60,SUM(D242:F242)&lt;&gt;0,G242&gt;=IF(A242&lt;DATEVALUE("2025/12/28")+TIMEVALUE("6:00"),20,18)/24/60),0,2-INT(G242*24*60/10)))</f>
        <v>2</v>
      </c>
      <c r="L242">
        <f t="shared" ref="L242" si="376">L241+K242</f>
        <v>292</v>
      </c>
      <c r="M242">
        <f t="shared" ref="M242" si="377">2+IF(A242&gt;=DATEVALUE("2025/11/30")+TIMEVALUE("6:00"),1,0)+IF(A242&gt;=DATEVALUE("2025/12/11")+TIMEVALUE("6:00"),1,0)</f>
        <v>4</v>
      </c>
      <c r="N242">
        <f t="shared" ref="N242" si="378">N241+M242*(INT(A242-6/24)-INT(A241-6/24))+O242</f>
        <v>291</v>
      </c>
      <c r="O242">
        <f t="shared" si="192"/>
        <v>0</v>
      </c>
      <c r="P242" t="str">
        <f t="shared" ref="P242" si="379">IF(L242&lt;N242,"未達成（"&amp;N242-L242&amp;"）",IF(L242=N242,"達成","前倒し（"&amp;L242-N242&amp;"）"))</f>
        <v>前倒し（1）</v>
      </c>
      <c r="Q242">
        <f t="shared" ref="Q242" si="380">IF(B242="",NA(),G242)</f>
        <v>5.6365740747423843E-3</v>
      </c>
    </row>
    <row r="243" spans="1:17">
      <c r="A243" s="3">
        <v>46052.310162037036</v>
      </c>
      <c r="B243">
        <v>60</v>
      </c>
      <c r="C243">
        <v>10</v>
      </c>
      <c r="D243">
        <v>0</v>
      </c>
      <c r="E243">
        <v>0</v>
      </c>
      <c r="F243">
        <v>0</v>
      </c>
      <c r="G243" s="5">
        <v>1.2511574073869269E-2</v>
      </c>
      <c r="H243" t="s">
        <v>539</v>
      </c>
      <c r="I243" t="s">
        <v>540</v>
      </c>
      <c r="J243">
        <v>0</v>
      </c>
      <c r="K243">
        <f t="shared" ref="K243" si="381">IF(A243&lt;DATEVALUE("2025/11/20")+TIMEVALUE("6:00"),1,IF(OR(B243&lt;&gt;60,SUM(D243:F243)&lt;&gt;0,G243&gt;=IF(A243&lt;DATEVALUE("2025/12/28")+TIMEVALUE("6:00"),20,18)/24/60),0,2-INT(G243*24*60/10)))</f>
        <v>0</v>
      </c>
      <c r="L243">
        <f t="shared" ref="L243" si="382">L242+K243</f>
        <v>292</v>
      </c>
      <c r="M243">
        <f t="shared" ref="M243" si="383">2+IF(A243&gt;=DATEVALUE("2025/11/30")+TIMEVALUE("6:00"),1,0)+IF(A243&gt;=DATEVALUE("2025/12/11")+TIMEVALUE("6:00"),1,0)</f>
        <v>4</v>
      </c>
      <c r="N243">
        <f t="shared" ref="N243" si="384">N242+M243*(INT(A243-6/24)-INT(A242-6/24))+O243</f>
        <v>295</v>
      </c>
      <c r="O243">
        <f t="shared" si="192"/>
        <v>0</v>
      </c>
      <c r="P243" t="str">
        <f t="shared" ref="P243" si="385">IF(L243&lt;N243,"未達成（"&amp;N243-L243&amp;"）",IF(L243=N243,"達成","前倒し（"&amp;L243-N243&amp;"）"))</f>
        <v>未達成（3）</v>
      </c>
      <c r="Q243">
        <f t="shared" ref="Q243" si="386">IF(B243="",NA(),G243)</f>
        <v>1.2511574073869269E-2</v>
      </c>
    </row>
    <row r="244" spans="1:17">
      <c r="A244" s="3">
        <v>46052.638495370367</v>
      </c>
      <c r="G244" s="5">
        <v>3.9467592578148469E-3</v>
      </c>
      <c r="H244" t="s">
        <v>541</v>
      </c>
      <c r="I244" t="s">
        <v>543</v>
      </c>
      <c r="J244">
        <v>1</v>
      </c>
      <c r="K244">
        <f t="shared" ref="K244" si="387">IF(A244&lt;DATEVALUE("2025/11/20")+TIMEVALUE("6:00"),1,IF(OR(B244&lt;&gt;60,SUM(D244:F244)&lt;&gt;0,G244&gt;=IF(A244&lt;DATEVALUE("2025/12/28")+TIMEVALUE("6:00"),20,18)/24/60),0,2-INT(G244*24*60/10)))</f>
        <v>0</v>
      </c>
      <c r="L244">
        <f t="shared" ref="L244" si="388">L243+K244</f>
        <v>292</v>
      </c>
      <c r="M244">
        <f t="shared" ref="M244" si="389">2+IF(A244&gt;=DATEVALUE("2025/11/30")+TIMEVALUE("6:00"),1,0)+IF(A244&gt;=DATEVALUE("2025/12/11")+TIMEVALUE("6:00"),1,0)</f>
        <v>4</v>
      </c>
      <c r="N244">
        <f t="shared" ref="N244" si="390">N243+M244*(INT(A244-6/24)-INT(A243-6/24))+O244</f>
        <v>295</v>
      </c>
      <c r="O244">
        <f t="shared" si="192"/>
        <v>0</v>
      </c>
      <c r="P244" t="str">
        <f t="shared" ref="P244" si="391">IF(L244&lt;N244,"未達成（"&amp;N244-L244&amp;"）",IF(L244=N244,"達成","前倒し（"&amp;L244-N244&amp;"）"))</f>
        <v>未達成（3）</v>
      </c>
      <c r="Q244" t="e">
        <f t="shared" ref="Q244" si="392">IF(B244="",NA(),G244)</f>
        <v>#N/A</v>
      </c>
    </row>
    <row r="245" spans="1:17">
      <c r="A245" s="3">
        <v>46052.645300925928</v>
      </c>
      <c r="B245">
        <v>60</v>
      </c>
      <c r="C245">
        <v>12</v>
      </c>
      <c r="D245">
        <v>0</v>
      </c>
      <c r="E245">
        <v>0</v>
      </c>
      <c r="F245">
        <v>0</v>
      </c>
      <c r="G245" s="5">
        <v>6.1111111135687679E-3</v>
      </c>
      <c r="H245" t="s">
        <v>544</v>
      </c>
      <c r="I245" t="s">
        <v>542</v>
      </c>
      <c r="J245">
        <v>0</v>
      </c>
      <c r="K245">
        <f t="shared" ref="K245" si="393">IF(A245&lt;DATEVALUE("2025/11/20")+TIMEVALUE("6:00"),1,IF(OR(B245&lt;&gt;60,SUM(D245:F245)&lt;&gt;0,G245&gt;=IF(A245&lt;DATEVALUE("2025/12/28")+TIMEVALUE("6:00"),20,18)/24/60),0,2-INT(G245*24*60/10)))</f>
        <v>2</v>
      </c>
      <c r="L245">
        <f t="shared" ref="L245" si="394">L244+K245</f>
        <v>294</v>
      </c>
      <c r="M245">
        <f t="shared" ref="M245" si="395">2+IF(A245&gt;=DATEVALUE("2025/11/30")+TIMEVALUE("6:00"),1,0)+IF(A245&gt;=DATEVALUE("2025/12/11")+TIMEVALUE("6:00"),1,0)</f>
        <v>4</v>
      </c>
      <c r="N245">
        <f t="shared" ref="N245" si="396">N244+M245*(INT(A245-6/24)-INT(A244-6/24))+O245</f>
        <v>295</v>
      </c>
      <c r="O245">
        <f t="shared" si="192"/>
        <v>0</v>
      </c>
      <c r="P245" t="str">
        <f t="shared" ref="P245" si="397">IF(L245&lt;N245,"未達成（"&amp;N245-L245&amp;"）",IF(L245=N245,"達成","前倒し（"&amp;L245-N245&amp;"）"))</f>
        <v>未達成（1）</v>
      </c>
      <c r="Q245">
        <f t="shared" ref="Q245" si="398">IF(B245="",NA(),G245)</f>
        <v>6.1111111135687679E-3</v>
      </c>
    </row>
    <row r="246" spans="1:17">
      <c r="A246" s="3">
        <v>46052.653009259258</v>
      </c>
      <c r="B246">
        <v>60</v>
      </c>
      <c r="C246">
        <v>18</v>
      </c>
      <c r="D246">
        <v>0</v>
      </c>
      <c r="E246">
        <v>0</v>
      </c>
      <c r="F246">
        <v>0</v>
      </c>
      <c r="G246" s="5">
        <v>6.7824074067175388E-3</v>
      </c>
      <c r="H246" t="s">
        <v>545</v>
      </c>
      <c r="I246" t="s">
        <v>546</v>
      </c>
      <c r="J246">
        <v>0</v>
      </c>
      <c r="K246">
        <f t="shared" ref="K246" si="399">IF(A246&lt;DATEVALUE("2025/11/20")+TIMEVALUE("6:00"),1,IF(OR(B246&lt;&gt;60,SUM(D246:F246)&lt;&gt;0,G246&gt;=IF(A246&lt;DATEVALUE("2025/12/28")+TIMEVALUE("6:00"),20,18)/24/60),0,2-INT(G246*24*60/10)))</f>
        <v>2</v>
      </c>
      <c r="L246">
        <f t="shared" ref="L246" si="400">L245+K246</f>
        <v>296</v>
      </c>
      <c r="M246">
        <f t="shared" ref="M246" si="401">2+IF(A246&gt;=DATEVALUE("2025/11/30")+TIMEVALUE("6:00"),1,0)+IF(A246&gt;=DATEVALUE("2025/12/11")+TIMEVALUE("6:00"),1,0)</f>
        <v>4</v>
      </c>
      <c r="N246">
        <f t="shared" ref="N246" si="402">N245+M246*(INT(A246-6/24)-INT(A245-6/24))+O246</f>
        <v>295</v>
      </c>
      <c r="O246">
        <f t="shared" si="192"/>
        <v>0</v>
      </c>
      <c r="P246" t="str">
        <f t="shared" ref="P246" si="403">IF(L246&lt;N246,"未達成（"&amp;N246-L246&amp;"）",IF(L246=N246,"達成","前倒し（"&amp;L246-N246&amp;"）"))</f>
        <v>前倒し（1）</v>
      </c>
      <c r="Q246">
        <f t="shared" ref="Q246" si="404">IF(B246="",NA(),G246)</f>
        <v>6.7824074067175388E-3</v>
      </c>
    </row>
    <row r="247" spans="1:17">
      <c r="A247" s="3">
        <v>46053.287557870368</v>
      </c>
      <c r="B247">
        <v>60</v>
      </c>
      <c r="C247">
        <v>14</v>
      </c>
      <c r="D247">
        <v>0</v>
      </c>
      <c r="E247">
        <v>0</v>
      </c>
      <c r="F247">
        <v>0</v>
      </c>
      <c r="G247" s="5">
        <v>6.8402777760638855E-3</v>
      </c>
      <c r="H247" t="s">
        <v>547</v>
      </c>
      <c r="I247" t="s">
        <v>548</v>
      </c>
      <c r="J247">
        <v>0</v>
      </c>
      <c r="K247">
        <f t="shared" ref="K247" si="405">IF(A247&lt;DATEVALUE("2025/11/20")+TIMEVALUE("6:00"),1,IF(OR(B247&lt;&gt;60,SUM(D247:F247)&lt;&gt;0,G247&gt;=IF(A247&lt;DATEVALUE("2025/12/28")+TIMEVALUE("6:00"),20,18)/24/60),0,2-INT(G247*24*60/10)))</f>
        <v>2</v>
      </c>
      <c r="L247">
        <f t="shared" ref="L247" si="406">L246+K247</f>
        <v>298</v>
      </c>
      <c r="M247">
        <f t="shared" ref="M247" si="407">2+IF(A247&gt;=DATEVALUE("2025/11/30")+TIMEVALUE("6:00"),1,0)+IF(A247&gt;=DATEVALUE("2025/12/11")+TIMEVALUE("6:00"),1,0)</f>
        <v>4</v>
      </c>
      <c r="N247">
        <f t="shared" ref="N247" si="408">N246+M247*(INT(A247-6/24)-INT(A246-6/24))+O247</f>
        <v>299</v>
      </c>
      <c r="O247">
        <f t="shared" si="192"/>
        <v>0</v>
      </c>
      <c r="P247" t="str">
        <f t="shared" ref="P247" si="409">IF(L247&lt;N247,"未達成（"&amp;N247-L247&amp;"）",IF(L247=N247,"達成","前倒し（"&amp;L247-N247&amp;"）"))</f>
        <v>未達成（1）</v>
      </c>
      <c r="Q247">
        <f t="shared" ref="Q247" si="410">IF(B247="",NA(),G247)</f>
        <v>6.8402777760638855E-3</v>
      </c>
    </row>
    <row r="248" spans="1:17">
      <c r="A248" s="3">
        <v>46053.29488425926</v>
      </c>
      <c r="B248">
        <v>60</v>
      </c>
      <c r="C248">
        <v>16</v>
      </c>
      <c r="D248">
        <v>0</v>
      </c>
      <c r="E248">
        <v>0</v>
      </c>
      <c r="F248">
        <v>0</v>
      </c>
      <c r="G248" s="5">
        <v>6.1458333366317675E-3</v>
      </c>
      <c r="H248" t="s">
        <v>549</v>
      </c>
      <c r="I248" t="s">
        <v>550</v>
      </c>
      <c r="J248">
        <v>0</v>
      </c>
      <c r="K248">
        <f t="shared" ref="K248" si="411">IF(A248&lt;DATEVALUE("2025/11/20")+TIMEVALUE("6:00"),1,IF(OR(B248&lt;&gt;60,SUM(D248:F248)&lt;&gt;0,G248&gt;=IF(A248&lt;DATEVALUE("2025/12/28")+TIMEVALUE("6:00"),20,18)/24/60),0,2-INT(G248*24*60/10)))</f>
        <v>2</v>
      </c>
      <c r="L248">
        <f t="shared" ref="L248" si="412">L247+K248</f>
        <v>300</v>
      </c>
      <c r="M248">
        <f t="shared" ref="M248" si="413">2+IF(A248&gt;=DATEVALUE("2025/11/30")+TIMEVALUE("6:00"),1,0)+IF(A248&gt;=DATEVALUE("2025/12/11")+TIMEVALUE("6:00"),1,0)</f>
        <v>4</v>
      </c>
      <c r="N248">
        <f t="shared" ref="N248" si="414">N247+M248*(INT(A248-6/24)-INT(A247-6/24))+O248</f>
        <v>299</v>
      </c>
      <c r="O248">
        <f t="shared" si="192"/>
        <v>0</v>
      </c>
      <c r="P248" t="str">
        <f t="shared" ref="P248" si="415">IF(L248&lt;N248,"未達成（"&amp;N248-L248&amp;"）",IF(L248=N248,"達成","前倒し（"&amp;L248-N248&amp;"）"))</f>
        <v>前倒し（1）</v>
      </c>
      <c r="Q248">
        <f t="shared" ref="Q248" si="416">IF(B248="",NA(),G248)</f>
        <v>6.1458333366317675E-3</v>
      </c>
    </row>
    <row r="249" spans="1:17">
      <c r="A249" s="3">
        <v>46054.298888888887</v>
      </c>
      <c r="B249">
        <v>60</v>
      </c>
      <c r="C249">
        <v>6</v>
      </c>
      <c r="D249">
        <v>0</v>
      </c>
      <c r="E249">
        <v>0</v>
      </c>
      <c r="F249">
        <v>0</v>
      </c>
      <c r="G249" s="5">
        <v>9.0856481474475004E-3</v>
      </c>
      <c r="H249" t="s">
        <v>551</v>
      </c>
      <c r="I249" t="s">
        <v>552</v>
      </c>
      <c r="J249">
        <v>0</v>
      </c>
      <c r="K249">
        <f t="shared" ref="K249" si="417">IF(A249&lt;DATEVALUE("2025/11/20")+TIMEVALUE("6:00"),1,IF(OR(B249&lt;&gt;60,SUM(D249:F249)&lt;&gt;0,G249&gt;=IF(A249&lt;DATEVALUE("2025/12/28")+TIMEVALUE("6:00"),20,18)/24/60),0,2-INT(G249*24*60/10)))</f>
        <v>1</v>
      </c>
      <c r="L249">
        <f t="shared" ref="L249" si="418">L248+K249</f>
        <v>301</v>
      </c>
      <c r="M249">
        <f t="shared" ref="M249" si="419">2+IF(A249&gt;=DATEVALUE("2025/11/30")+TIMEVALUE("6:00"),1,0)+IF(A249&gt;=DATEVALUE("2025/12/11")+TIMEVALUE("6:00"),1,0)</f>
        <v>4</v>
      </c>
      <c r="N249">
        <f t="shared" ref="N249" si="420">N248+M249*(INT(A249-6/24)-INT(A248-6/24))+O249</f>
        <v>303</v>
      </c>
      <c r="O249">
        <f t="shared" si="192"/>
        <v>0</v>
      </c>
      <c r="P249" t="str">
        <f t="shared" ref="P249" si="421">IF(L249&lt;N249,"未達成（"&amp;N249-L249&amp;"）",IF(L249=N249,"達成","前倒し（"&amp;L249-N249&amp;"）"))</f>
        <v>未達成（2）</v>
      </c>
      <c r="Q249">
        <f t="shared" ref="Q249" si="422">IF(B249="",NA(),G249)</f>
        <v>9.0856481474475004E-3</v>
      </c>
    </row>
    <row r="250" spans="1:17">
      <c r="A250" s="3">
        <v>46054.306226851855</v>
      </c>
      <c r="B250">
        <v>60</v>
      </c>
      <c r="C250">
        <v>19</v>
      </c>
      <c r="D250">
        <v>0</v>
      </c>
      <c r="E250">
        <v>0</v>
      </c>
      <c r="F250">
        <v>0</v>
      </c>
      <c r="G250" s="5">
        <v>6.3888888907968067E-3</v>
      </c>
      <c r="H250" t="s">
        <v>553</v>
      </c>
      <c r="I250" t="s">
        <v>554</v>
      </c>
      <c r="J250">
        <v>0</v>
      </c>
      <c r="K250">
        <f t="shared" ref="K250" si="423">IF(A250&lt;DATEVALUE("2025/11/20")+TIMEVALUE("6:00"),1,IF(OR(B250&lt;&gt;60,SUM(D250:F250)&lt;&gt;0,G250&gt;=IF(A250&lt;DATEVALUE("2025/12/28")+TIMEVALUE("6:00"),20,18)/24/60),0,2-INT(G250*24*60/10)))</f>
        <v>2</v>
      </c>
      <c r="L250">
        <f t="shared" ref="L250" si="424">L249+K250</f>
        <v>303</v>
      </c>
      <c r="M250">
        <f t="shared" ref="M250" si="425">2+IF(A250&gt;=DATEVALUE("2025/11/30")+TIMEVALUE("6:00"),1,0)+IF(A250&gt;=DATEVALUE("2025/12/11")+TIMEVALUE("6:00"),1,0)</f>
        <v>4</v>
      </c>
      <c r="N250">
        <f t="shared" ref="N250" si="426">N249+M250*(INT(A250-6/24)-INT(A249-6/24))+O250</f>
        <v>303</v>
      </c>
      <c r="O250">
        <f t="shared" si="192"/>
        <v>0</v>
      </c>
      <c r="P250" t="str">
        <f t="shared" ref="P250" si="427">IF(L250&lt;N250,"未達成（"&amp;N250-L250&amp;"）",IF(L250=N250,"達成","前倒し（"&amp;L250-N250&amp;"）"))</f>
        <v>達成</v>
      </c>
      <c r="Q250">
        <f t="shared" ref="Q250" si="428">IF(B250="",NA(),G250)</f>
        <v>6.3888888907968067E-3</v>
      </c>
    </row>
    <row r="251" spans="1:17">
      <c r="A251" s="3">
        <v>46055.319432870368</v>
      </c>
      <c r="B251">
        <v>60</v>
      </c>
      <c r="C251">
        <v>10</v>
      </c>
      <c r="D251">
        <v>0</v>
      </c>
      <c r="E251">
        <v>0</v>
      </c>
      <c r="F251">
        <v>0</v>
      </c>
      <c r="G251" s="5">
        <v>6.0879629600094631E-3</v>
      </c>
      <c r="H251" t="s">
        <v>555</v>
      </c>
      <c r="I251" t="s">
        <v>556</v>
      </c>
      <c r="J251">
        <v>0</v>
      </c>
      <c r="K251">
        <f t="shared" ref="K251" si="429">IF(A251&lt;DATEVALUE("2025/11/20")+TIMEVALUE("6:00"),1,IF(OR(B251&lt;&gt;60,SUM(D251:F251)&lt;&gt;0,G251&gt;=IF(A251&lt;DATEVALUE("2025/12/28")+TIMEVALUE("6:00"),20,18)/24/60),0,2-INT(G251*24*60/10)))</f>
        <v>2</v>
      </c>
      <c r="L251">
        <f t="shared" ref="L251" si="430">L250+K251</f>
        <v>305</v>
      </c>
      <c r="M251">
        <f t="shared" ref="M251" si="431">2+IF(A251&gt;=DATEVALUE("2025/11/30")+TIMEVALUE("6:00"),1,0)+IF(A251&gt;=DATEVALUE("2025/12/11")+TIMEVALUE("6:00"),1,0)</f>
        <v>4</v>
      </c>
      <c r="N251">
        <f t="shared" ref="N251" si="432">N250+M251*(INT(A251-6/24)-INT(A250-6/24))+O251</f>
        <v>307</v>
      </c>
      <c r="O251">
        <f t="shared" si="192"/>
        <v>0</v>
      </c>
      <c r="P251" t="str">
        <f t="shared" ref="P251" si="433">IF(L251&lt;N251,"未達成（"&amp;N251-L251&amp;"）",IF(L251=N251,"達成","前倒し（"&amp;L251-N251&amp;"）"))</f>
        <v>未達成（2）</v>
      </c>
      <c r="Q251">
        <f t="shared" ref="Q251" si="434">IF(B251="",NA(),G251)</f>
        <v>6.0879629600094631E-3</v>
      </c>
    </row>
    <row r="252" spans="1:17">
      <c r="A252" s="3">
        <v>46055.418067129627</v>
      </c>
      <c r="G252" s="5">
        <v>4.9768518510973081E-4</v>
      </c>
      <c r="H252" t="s">
        <v>557</v>
      </c>
      <c r="I252" t="s">
        <v>560</v>
      </c>
      <c r="J252">
        <v>1</v>
      </c>
      <c r="K252">
        <f t="shared" ref="K252" si="435">IF(A252&lt;DATEVALUE("2025/11/20")+TIMEVALUE("6:00"),1,IF(OR(B252&lt;&gt;60,SUM(D252:F252)&lt;&gt;0,G252&gt;=IF(A252&lt;DATEVALUE("2025/12/28")+TIMEVALUE("6:00"),20,18)/24/60),0,2-INT(G252*24*60/10)))</f>
        <v>0</v>
      </c>
      <c r="L252">
        <f t="shared" ref="L252" si="436">L251+K252</f>
        <v>305</v>
      </c>
      <c r="M252">
        <f t="shared" ref="M252" si="437">2+IF(A252&gt;=DATEVALUE("2025/11/30")+TIMEVALUE("6:00"),1,0)+IF(A252&gt;=DATEVALUE("2025/12/11")+TIMEVALUE("6:00"),1,0)</f>
        <v>4</v>
      </c>
      <c r="N252">
        <f t="shared" ref="N252" si="438">N251+M252*(INT(A252-6/24)-INT(A251-6/24))+O252</f>
        <v>307</v>
      </c>
      <c r="O252">
        <f t="shared" si="192"/>
        <v>0</v>
      </c>
      <c r="P252" t="str">
        <f t="shared" ref="P252" si="439">IF(L252&lt;N252,"未達成（"&amp;N252-L252&amp;"）",IF(L252=N252,"達成","前倒し（"&amp;L252-N252&amp;"）"))</f>
        <v>未達成（2）</v>
      </c>
      <c r="Q252" t="e">
        <f t="shared" ref="Q252" si="440">IF(B252="",NA(),G252)</f>
        <v>#N/A</v>
      </c>
    </row>
    <row r="253" spans="1:17">
      <c r="A253" s="3">
        <v>46055.420219907406</v>
      </c>
      <c r="G253" s="5">
        <v>2.3379629637929611E-3</v>
      </c>
      <c r="H253" t="s">
        <v>558</v>
      </c>
      <c r="I253" t="s">
        <v>559</v>
      </c>
      <c r="J253">
        <v>1</v>
      </c>
      <c r="K253">
        <f t="shared" ref="K253" si="441">IF(A253&lt;DATEVALUE("2025/11/20")+TIMEVALUE("6:00"),1,IF(OR(B253&lt;&gt;60,SUM(D253:F253)&lt;&gt;0,G253&gt;=IF(A253&lt;DATEVALUE("2025/12/28")+TIMEVALUE("6:00"),20,18)/24/60),0,2-INT(G253*24*60/10)))</f>
        <v>0</v>
      </c>
      <c r="L253">
        <f t="shared" ref="L253" si="442">L252+K253</f>
        <v>305</v>
      </c>
      <c r="M253">
        <f t="shared" ref="M253" si="443">2+IF(A253&gt;=DATEVALUE("2025/11/30")+TIMEVALUE("6:00"),1,0)+IF(A253&gt;=DATEVALUE("2025/12/11")+TIMEVALUE("6:00"),1,0)</f>
        <v>4</v>
      </c>
      <c r="N253">
        <f t="shared" ref="N253" si="444">N252+M253*(INT(A253-6/24)-INT(A252-6/24))+O253</f>
        <v>307</v>
      </c>
      <c r="O253">
        <f t="shared" si="192"/>
        <v>0</v>
      </c>
      <c r="P253" t="str">
        <f t="shared" ref="P253" si="445">IF(L253&lt;N253,"未達成（"&amp;N253-L253&amp;"）",IF(L253=N253,"達成","前倒し（"&amp;L253-N253&amp;"）"))</f>
        <v>未達成（2）</v>
      </c>
      <c r="Q253" t="e">
        <f t="shared" ref="Q253" si="446">IF(B253="",NA(),G253)</f>
        <v>#N/A</v>
      </c>
    </row>
    <row r="254" spans="1:17">
      <c r="A254" s="3">
        <v>46055.425706018519</v>
      </c>
      <c r="B254">
        <v>60</v>
      </c>
      <c r="C254">
        <v>14</v>
      </c>
      <c r="D254">
        <v>0</v>
      </c>
      <c r="E254">
        <v>0</v>
      </c>
      <c r="F254">
        <v>0</v>
      </c>
      <c r="G254" s="5">
        <v>6.6203703681821935E-3</v>
      </c>
      <c r="H254" t="s">
        <v>561</v>
      </c>
      <c r="I254" t="s">
        <v>562</v>
      </c>
      <c r="J254">
        <v>0</v>
      </c>
      <c r="K254">
        <f t="shared" ref="K254" si="447">IF(A254&lt;DATEVALUE("2025/11/20")+TIMEVALUE("6:00"),1,IF(OR(B254&lt;&gt;60,SUM(D254:F254)&lt;&gt;0,G254&gt;=IF(A254&lt;DATEVALUE("2025/12/28")+TIMEVALUE("6:00"),20,18)/24/60),0,2-INT(G254*24*60/10)))</f>
        <v>2</v>
      </c>
      <c r="L254">
        <f t="shared" ref="L254" si="448">L253+K254</f>
        <v>307</v>
      </c>
      <c r="M254">
        <f t="shared" ref="M254" si="449">2+IF(A254&gt;=DATEVALUE("2025/11/30")+TIMEVALUE("6:00"),1,0)+IF(A254&gt;=DATEVALUE("2025/12/11")+TIMEVALUE("6:00"),1,0)</f>
        <v>4</v>
      </c>
      <c r="N254">
        <f t="shared" ref="N254" si="450">N253+M254*(INT(A254-6/24)-INT(A253-6/24))+O254</f>
        <v>307</v>
      </c>
      <c r="O254">
        <f t="shared" si="192"/>
        <v>0</v>
      </c>
      <c r="P254" t="str">
        <f t="shared" ref="P254" si="451">IF(L254&lt;N254,"未達成（"&amp;N254-L254&amp;"）",IF(L254=N254,"達成","前倒し（"&amp;L254-N254&amp;"）"))</f>
        <v>達成</v>
      </c>
      <c r="Q254">
        <f t="shared" ref="Q254" si="452">IF(B254="",NA(),G254)</f>
        <v>6.6203703681821935E-3</v>
      </c>
    </row>
    <row r="255" spans="1:17">
      <c r="A255" s="3">
        <v>46056.293865740743</v>
      </c>
      <c r="B255">
        <v>60</v>
      </c>
      <c r="C255">
        <v>5</v>
      </c>
      <c r="D255">
        <v>0</v>
      </c>
      <c r="E255">
        <v>0</v>
      </c>
      <c r="F255">
        <v>0</v>
      </c>
      <c r="G255" s="5">
        <v>5.8680555594037287E-3</v>
      </c>
      <c r="H255" t="s">
        <v>563</v>
      </c>
      <c r="I255" t="s">
        <v>564</v>
      </c>
      <c r="J255">
        <v>0</v>
      </c>
      <c r="K255">
        <f t="shared" ref="K255" si="453">IF(A255&lt;DATEVALUE("2025/11/20")+TIMEVALUE("6:00"),1,IF(OR(B255&lt;&gt;60,SUM(D255:F255)&lt;&gt;0,G255&gt;=IF(A255&lt;DATEVALUE("2025/12/28")+TIMEVALUE("6:00"),20,18)/24/60),0,2-INT(G255*24*60/10)))</f>
        <v>2</v>
      </c>
      <c r="L255">
        <f t="shared" ref="L255" si="454">L254+K255</f>
        <v>309</v>
      </c>
      <c r="M255">
        <f t="shared" ref="M255" si="455">2+IF(A255&gt;=DATEVALUE("2025/11/30")+TIMEVALUE("6:00"),1,0)+IF(A255&gt;=DATEVALUE("2025/12/11")+TIMEVALUE("6:00"),1,0)</f>
        <v>4</v>
      </c>
      <c r="N255">
        <f t="shared" ref="N255" si="456">N254+M255*(INT(A255-6/24)-INT(A254-6/24))+O255</f>
        <v>311</v>
      </c>
      <c r="O255">
        <f t="shared" si="192"/>
        <v>0</v>
      </c>
      <c r="P255" t="str">
        <f t="shared" ref="P255" si="457">IF(L255&lt;N255,"未達成（"&amp;N255-L255&amp;"）",IF(L255=N255,"達成","前倒し（"&amp;L255-N255&amp;"）"))</f>
        <v>未達成（2）</v>
      </c>
      <c r="Q255">
        <f t="shared" ref="Q255" si="458">IF(B255="",NA(),G255)</f>
        <v>5.8680555594037287E-3</v>
      </c>
    </row>
    <row r="256" spans="1:17">
      <c r="A256" s="3">
        <v>46056.301400462966</v>
      </c>
      <c r="B256">
        <v>60</v>
      </c>
      <c r="C256">
        <v>32</v>
      </c>
      <c r="D256">
        <v>0</v>
      </c>
      <c r="E256">
        <v>0</v>
      </c>
      <c r="F256">
        <v>0</v>
      </c>
      <c r="G256" s="5">
        <v>6.1574074134114198E-3</v>
      </c>
      <c r="H256" t="s">
        <v>565</v>
      </c>
      <c r="I256" t="s">
        <v>566</v>
      </c>
      <c r="J256">
        <v>0</v>
      </c>
      <c r="K256">
        <f t="shared" ref="K256" si="459">IF(A256&lt;DATEVALUE("2025/11/20")+TIMEVALUE("6:00"),1,IF(OR(B256&lt;&gt;60,SUM(D256:F256)&lt;&gt;0,G256&gt;=IF(A256&lt;DATEVALUE("2025/12/28")+TIMEVALUE("6:00"),20,18)/24/60),0,2-INT(G256*24*60/10)))</f>
        <v>2</v>
      </c>
      <c r="L256">
        <f t="shared" ref="L256" si="460">L255+K256</f>
        <v>311</v>
      </c>
      <c r="M256">
        <f t="shared" ref="M256" si="461">2+IF(A256&gt;=DATEVALUE("2025/11/30")+TIMEVALUE("6:00"),1,0)+IF(A256&gt;=DATEVALUE("2025/12/11")+TIMEVALUE("6:00"),1,0)</f>
        <v>4</v>
      </c>
      <c r="N256">
        <f t="shared" ref="N256" si="462">N255+M256*(INT(A256-6/24)-INT(A255-6/24))+O256</f>
        <v>311</v>
      </c>
      <c r="O256">
        <f t="shared" si="192"/>
        <v>0</v>
      </c>
      <c r="P256" t="str">
        <f t="shared" ref="P256" si="463">IF(L256&lt;N256,"未達成（"&amp;N256-L256&amp;"）",IF(L256=N256,"達成","前倒し（"&amp;L256-N256&amp;"）"))</f>
        <v>達成</v>
      </c>
      <c r="Q256">
        <f t="shared" ref="Q256" si="464">IF(B256="",NA(),G256)</f>
        <v>6.1574074134114198E-3</v>
      </c>
    </row>
    <row r="257" spans="1:17">
      <c r="A257" s="3">
        <v>46057.297500000001</v>
      </c>
      <c r="B257">
        <v>60</v>
      </c>
      <c r="C257">
        <v>11</v>
      </c>
      <c r="D257">
        <v>0</v>
      </c>
      <c r="E257">
        <v>0</v>
      </c>
      <c r="F257">
        <v>0</v>
      </c>
      <c r="G257" s="5">
        <v>5.7291666671517305E-3</v>
      </c>
      <c r="H257" t="s">
        <v>567</v>
      </c>
      <c r="I257" t="s">
        <v>568</v>
      </c>
      <c r="J257">
        <v>0</v>
      </c>
      <c r="K257">
        <f t="shared" ref="K257" si="465">IF(A257&lt;DATEVALUE("2025/11/20")+TIMEVALUE("6:00"),1,IF(OR(B257&lt;&gt;60,SUM(D257:F257)&lt;&gt;0,G257&gt;=IF(A257&lt;DATEVALUE("2025/12/28")+TIMEVALUE("6:00"),20,18)/24/60),0,2-INT(G257*24*60/10)))</f>
        <v>2</v>
      </c>
      <c r="L257">
        <f t="shared" ref="L257" si="466">L256+K257</f>
        <v>313</v>
      </c>
      <c r="M257">
        <f t="shared" ref="M257" si="467">2+IF(A257&gt;=DATEVALUE("2025/11/30")+TIMEVALUE("6:00"),1,0)+IF(A257&gt;=DATEVALUE("2025/12/11")+TIMEVALUE("6:00"),1,0)</f>
        <v>4</v>
      </c>
      <c r="N257">
        <f t="shared" ref="N257" si="468">N256+M257*(INT(A257-6/24)-INT(A256-6/24))+O257</f>
        <v>315</v>
      </c>
      <c r="O257">
        <f t="shared" si="192"/>
        <v>0</v>
      </c>
      <c r="P257" t="str">
        <f t="shared" ref="P257" si="469">IF(L257&lt;N257,"未達成（"&amp;N257-L257&amp;"）",IF(L257=N257,"達成","前倒し（"&amp;L257-N257&amp;"）"))</f>
        <v>未達成（2）</v>
      </c>
      <c r="Q257">
        <f t="shared" ref="Q257" si="470">IF(B257="",NA(),G257)</f>
        <v>5.7291666671517305E-3</v>
      </c>
    </row>
    <row r="258" spans="1:17">
      <c r="A258" s="3">
        <v>46057.299641203703</v>
      </c>
      <c r="G258" s="5">
        <v>9.4907407037680969E-4</v>
      </c>
      <c r="H258" t="s">
        <v>569</v>
      </c>
      <c r="I258" t="s">
        <v>571</v>
      </c>
      <c r="J258">
        <v>1</v>
      </c>
      <c r="K258">
        <f t="shared" ref="K258" si="471">IF(A258&lt;DATEVALUE("2025/11/20")+TIMEVALUE("6:00"),1,IF(OR(B258&lt;&gt;60,SUM(D258:F258)&lt;&gt;0,G258&gt;=IF(A258&lt;DATEVALUE("2025/12/28")+TIMEVALUE("6:00"),20,18)/24/60),0,2-INT(G258*24*60/10)))</f>
        <v>0</v>
      </c>
      <c r="L258">
        <f t="shared" ref="L258" si="472">L257+K258</f>
        <v>313</v>
      </c>
      <c r="M258">
        <f t="shared" ref="M258" si="473">2+IF(A258&gt;=DATEVALUE("2025/11/30")+TIMEVALUE("6:00"),1,0)+IF(A258&gt;=DATEVALUE("2025/12/11")+TIMEVALUE("6:00"),1,0)</f>
        <v>4</v>
      </c>
      <c r="N258">
        <f t="shared" ref="N258" si="474">N257+M258*(INT(A258-6/24)-INT(A257-6/24))+O258</f>
        <v>315</v>
      </c>
      <c r="O258">
        <f t="shared" si="192"/>
        <v>0</v>
      </c>
      <c r="P258" t="str">
        <f t="shared" ref="P258" si="475">IF(L258&lt;N258,"未達成（"&amp;N258-L258&amp;"）",IF(L258=N258,"達成","前倒し（"&amp;L258-N258&amp;"）"))</f>
        <v>未達成（2）</v>
      </c>
      <c r="Q258" t="e">
        <f t="shared" ref="Q258" si="476">IF(B258="",NA(),G258)</f>
        <v>#N/A</v>
      </c>
    </row>
    <row r="259" spans="1:17">
      <c r="A259" s="3">
        <v>46057.36550925926</v>
      </c>
      <c r="B259">
        <v>60</v>
      </c>
      <c r="C259">
        <v>15</v>
      </c>
      <c r="D259">
        <v>0</v>
      </c>
      <c r="E259">
        <v>0</v>
      </c>
      <c r="F259">
        <v>0</v>
      </c>
      <c r="G259" s="5">
        <v>4.4907407354912721E-3</v>
      </c>
      <c r="H259" t="s">
        <v>572</v>
      </c>
      <c r="I259" t="s">
        <v>570</v>
      </c>
      <c r="J259">
        <v>0</v>
      </c>
      <c r="K259">
        <f t="shared" ref="K259" si="477">IF(A259&lt;DATEVALUE("2025/11/20")+TIMEVALUE("6:00"),1,IF(OR(B259&lt;&gt;60,SUM(D259:F259)&lt;&gt;0,G259&gt;=IF(A259&lt;DATEVALUE("2025/12/28")+TIMEVALUE("6:00"),20,18)/24/60),0,2-INT(G259*24*60/10)))</f>
        <v>2</v>
      </c>
      <c r="L259">
        <f t="shared" ref="L259" si="478">L258+K259</f>
        <v>315</v>
      </c>
      <c r="M259">
        <f t="shared" ref="M259" si="479">2+IF(A259&gt;=DATEVALUE("2025/11/30")+TIMEVALUE("6:00"),1,0)+IF(A259&gt;=DATEVALUE("2025/12/11")+TIMEVALUE("6:00"),1,0)</f>
        <v>4</v>
      </c>
      <c r="N259">
        <f t="shared" ref="N259" si="480">N258+M259*(INT(A259-6/24)-INT(A258-6/24))+O259</f>
        <v>315</v>
      </c>
      <c r="O259">
        <f t="shared" si="192"/>
        <v>0</v>
      </c>
      <c r="P259" t="str">
        <f t="shared" ref="P259" si="481">IF(L259&lt;N259,"未達成（"&amp;N259-L259&amp;"）",IF(L259=N259,"達成","前倒し（"&amp;L259-N259&amp;"）"))</f>
        <v>達成</v>
      </c>
      <c r="Q259">
        <f t="shared" ref="Q259" si="482">IF(B259="",NA(),G259)</f>
        <v>4.4907407354912721E-3</v>
      </c>
    </row>
    <row r="260" spans="1:17">
      <c r="A260" s="3">
        <v>46058.304814814815</v>
      </c>
      <c r="B260">
        <v>60</v>
      </c>
      <c r="C260">
        <v>16</v>
      </c>
      <c r="D260">
        <v>0</v>
      </c>
      <c r="E260">
        <v>0</v>
      </c>
      <c r="F260">
        <v>0</v>
      </c>
      <c r="G260" s="5">
        <v>7.3495370379532687E-3</v>
      </c>
      <c r="H260" t="s">
        <v>573</v>
      </c>
      <c r="I260" t="s">
        <v>574</v>
      </c>
      <c r="J260">
        <v>0</v>
      </c>
      <c r="K260">
        <f t="shared" ref="K260" si="483">IF(A260&lt;DATEVALUE("2025/11/20")+TIMEVALUE("6:00"),1,IF(OR(B260&lt;&gt;60,SUM(D260:F260)&lt;&gt;0,G260&gt;=IF(A260&lt;DATEVALUE("2025/12/28")+TIMEVALUE("6:00"),20,18)/24/60),0,2-INT(G260*24*60/10)))</f>
        <v>1</v>
      </c>
      <c r="L260">
        <f t="shared" ref="L260" si="484">L259+K260</f>
        <v>316</v>
      </c>
      <c r="M260">
        <f t="shared" ref="M260" si="485">2+IF(A260&gt;=DATEVALUE("2025/11/30")+TIMEVALUE("6:00"),1,0)+IF(A260&gt;=DATEVALUE("2025/12/11")+TIMEVALUE("6:00"),1,0)</f>
        <v>4</v>
      </c>
      <c r="N260">
        <f t="shared" ref="N260" si="486">N259+M260*(INT(A260-6/24)-INT(A259-6/24))+O260</f>
        <v>319</v>
      </c>
      <c r="O260">
        <f t="shared" si="192"/>
        <v>0</v>
      </c>
      <c r="P260" t="str">
        <f t="shared" ref="P260" si="487">IF(L260&lt;N260,"未達成（"&amp;N260-L260&amp;"）",IF(L260=N260,"達成","前倒し（"&amp;L260-N260&amp;"）"))</f>
        <v>未達成（3）</v>
      </c>
      <c r="Q260">
        <f t="shared" ref="Q260" si="488">IF(B260="",NA(),G260)</f>
        <v>7.3495370379532687E-3</v>
      </c>
    </row>
    <row r="261" spans="1:17">
      <c r="A261" s="3">
        <v>46058.311574074076</v>
      </c>
      <c r="B261">
        <v>60</v>
      </c>
      <c r="C261">
        <v>17</v>
      </c>
      <c r="D261">
        <v>0</v>
      </c>
      <c r="E261">
        <v>0</v>
      </c>
      <c r="F261">
        <v>0</v>
      </c>
      <c r="G261" s="5">
        <v>5.9490740750334226E-3</v>
      </c>
      <c r="H261" t="s">
        <v>575</v>
      </c>
      <c r="I261" t="s">
        <v>576</v>
      </c>
      <c r="J261">
        <v>0</v>
      </c>
      <c r="K261">
        <f t="shared" ref="K261" si="489">IF(A261&lt;DATEVALUE("2025/11/20")+TIMEVALUE("6:00"),1,IF(OR(B261&lt;&gt;60,SUM(D261:F261)&lt;&gt;0,G261&gt;=IF(A261&lt;DATEVALUE("2025/12/28")+TIMEVALUE("6:00"),20,18)/24/60),0,2-INT(G261*24*60/10)))</f>
        <v>2</v>
      </c>
      <c r="L261">
        <f t="shared" ref="L261" si="490">L260+K261</f>
        <v>318</v>
      </c>
      <c r="M261">
        <f t="shared" ref="M261" si="491">2+IF(A261&gt;=DATEVALUE("2025/11/30")+TIMEVALUE("6:00"),1,0)+IF(A261&gt;=DATEVALUE("2025/12/11")+TIMEVALUE("6:00"),1,0)</f>
        <v>4</v>
      </c>
      <c r="N261">
        <f t="shared" ref="N261" si="492">N260+M261*(INT(A261-6/24)-INT(A260-6/24))+O261</f>
        <v>319</v>
      </c>
      <c r="O261">
        <f t="shared" si="192"/>
        <v>0</v>
      </c>
      <c r="P261" t="str">
        <f t="shared" ref="P261" si="493">IF(L261&lt;N261,"未達成（"&amp;N261-L261&amp;"）",IF(L261=N261,"達成","前倒し（"&amp;L261-N261&amp;"）"))</f>
        <v>未達成（1）</v>
      </c>
      <c r="Q261">
        <f t="shared" ref="Q261" si="494">IF(B261="",NA(),G261)</f>
        <v>5.9490740750334226E-3</v>
      </c>
    </row>
    <row r="262" spans="1:17">
      <c r="A262" s="3">
        <v>46058.318773148145</v>
      </c>
      <c r="B262">
        <v>60</v>
      </c>
      <c r="C262">
        <v>2</v>
      </c>
      <c r="D262">
        <v>0</v>
      </c>
      <c r="E262">
        <v>0</v>
      </c>
      <c r="F262">
        <v>0</v>
      </c>
      <c r="G262" s="5">
        <v>6.5856481451191939E-3</v>
      </c>
      <c r="H262" t="s">
        <v>577</v>
      </c>
      <c r="I262" t="s">
        <v>578</v>
      </c>
      <c r="J262">
        <v>0</v>
      </c>
      <c r="K262">
        <f t="shared" ref="K262" si="495">IF(A262&lt;DATEVALUE("2025/11/20")+TIMEVALUE("6:00"),1,IF(OR(B262&lt;&gt;60,SUM(D262:F262)&lt;&gt;0,G262&gt;=IF(A262&lt;DATEVALUE("2025/12/28")+TIMEVALUE("6:00"),20,18)/24/60),0,2-INT(G262*24*60/10)))</f>
        <v>2</v>
      </c>
      <c r="L262">
        <f t="shared" ref="L262" si="496">L261+K262</f>
        <v>320</v>
      </c>
      <c r="M262">
        <f t="shared" ref="M262" si="497">2+IF(A262&gt;=DATEVALUE("2025/11/30")+TIMEVALUE("6:00"),1,0)+IF(A262&gt;=DATEVALUE("2025/12/11")+TIMEVALUE("6:00"),1,0)</f>
        <v>4</v>
      </c>
      <c r="N262">
        <f t="shared" ref="N262" si="498">N261+M262*(INT(A262-6/24)-INT(A261-6/24))+O262</f>
        <v>319</v>
      </c>
      <c r="O262">
        <f t="shared" si="192"/>
        <v>0</v>
      </c>
      <c r="P262" t="str">
        <f t="shared" ref="P262" si="499">IF(L262&lt;N262,"未達成（"&amp;N262-L262&amp;"）",IF(L262=N262,"達成","前倒し（"&amp;L262-N262&amp;"）"))</f>
        <v>前倒し（1）</v>
      </c>
      <c r="Q262">
        <f t="shared" ref="Q262" si="500">IF(B262="",NA(),G262)</f>
        <v>6.5856481451191939E-3</v>
      </c>
    </row>
    <row r="263" spans="1:17">
      <c r="A263" s="3">
        <v>46059.313368055555</v>
      </c>
      <c r="B263">
        <v>60</v>
      </c>
      <c r="C263">
        <v>8</v>
      </c>
      <c r="D263">
        <v>0</v>
      </c>
      <c r="E263">
        <v>0</v>
      </c>
      <c r="F263">
        <v>0</v>
      </c>
      <c r="G263" s="5">
        <v>7.2337962919846177E-3</v>
      </c>
      <c r="H263" t="s">
        <v>579</v>
      </c>
      <c r="I263" t="s">
        <v>580</v>
      </c>
      <c r="J263">
        <v>0</v>
      </c>
      <c r="K263">
        <f t="shared" ref="K263" si="501">IF(A263&lt;DATEVALUE("2025/11/20")+TIMEVALUE("6:00"),1,IF(OR(B263&lt;&gt;60,SUM(D263:F263)&lt;&gt;0,G263&gt;=IF(A263&lt;DATEVALUE("2025/12/28")+TIMEVALUE("6:00"),20,18)/24/60),0,2-INT(G263*24*60/10)))</f>
        <v>1</v>
      </c>
      <c r="L263">
        <f t="shared" ref="L263" si="502">L262+K263</f>
        <v>321</v>
      </c>
      <c r="M263">
        <f t="shared" ref="M263" si="503">2+IF(A263&gt;=DATEVALUE("2025/11/30")+TIMEVALUE("6:00"),1,0)+IF(A263&gt;=DATEVALUE("2025/12/11")+TIMEVALUE("6:00"),1,0)</f>
        <v>4</v>
      </c>
      <c r="N263">
        <f t="shared" ref="N263" si="504">N262+M263*(INT(A263-6/24)-INT(A262-6/24))+O263</f>
        <v>323</v>
      </c>
      <c r="O263">
        <f t="shared" si="192"/>
        <v>0</v>
      </c>
      <c r="P263" t="str">
        <f t="shared" ref="P263" si="505">IF(L263&lt;N263,"未達成（"&amp;N263-L263&amp;"）",IF(L263=N263,"達成","前倒し（"&amp;L263-N263&amp;"）"))</f>
        <v>未達成（2）</v>
      </c>
      <c r="Q263">
        <f t="shared" ref="Q263" si="506">IF(B263="",NA(),G263)</f>
        <v>7.2337962919846177E-3</v>
      </c>
    </row>
    <row r="264" spans="1:17">
      <c r="A264" s="3">
        <v>46059.324537037035</v>
      </c>
      <c r="B264">
        <v>60</v>
      </c>
      <c r="C264">
        <v>12</v>
      </c>
      <c r="D264">
        <v>0</v>
      </c>
      <c r="E264">
        <v>0</v>
      </c>
      <c r="F264">
        <v>0</v>
      </c>
      <c r="G264" s="5">
        <v>1.0648148148902692E-2</v>
      </c>
      <c r="H264" t="s">
        <v>581</v>
      </c>
      <c r="I264" t="s">
        <v>582</v>
      </c>
      <c r="J264">
        <v>0</v>
      </c>
      <c r="K264">
        <f t="shared" ref="K264" si="507">IF(A264&lt;DATEVALUE("2025/11/20")+TIMEVALUE("6:00"),1,IF(OR(B264&lt;&gt;60,SUM(D264:F264)&lt;&gt;0,G264&gt;=IF(A264&lt;DATEVALUE("2025/12/28")+TIMEVALUE("6:00"),20,18)/24/60),0,2-INT(G264*24*60/10)))</f>
        <v>1</v>
      </c>
      <c r="L264">
        <f t="shared" ref="L264" si="508">L263+K264</f>
        <v>322</v>
      </c>
      <c r="M264">
        <f t="shared" ref="M264" si="509">2+IF(A264&gt;=DATEVALUE("2025/11/30")+TIMEVALUE("6:00"),1,0)+IF(A264&gt;=DATEVALUE("2025/12/11")+TIMEVALUE("6:00"),1,0)</f>
        <v>4</v>
      </c>
      <c r="N264">
        <f t="shared" ref="N264" si="510">N263+M264*(INT(A264-6/24)-INT(A263-6/24))+O264</f>
        <v>323</v>
      </c>
      <c r="O264">
        <f t="shared" si="192"/>
        <v>0</v>
      </c>
      <c r="P264" t="str">
        <f t="shared" ref="P264" si="511">IF(L264&lt;N264,"未達成（"&amp;N264-L264&amp;"）",IF(L264=N264,"達成","前倒し（"&amp;L264-N264&amp;"）"))</f>
        <v>未達成（1）</v>
      </c>
      <c r="Q264">
        <f t="shared" ref="Q264" si="512">IF(B264="",NA(),G264)</f>
        <v>1.0648148148902692E-2</v>
      </c>
    </row>
    <row r="265" spans="1:17">
      <c r="A265" s="3">
        <v>46059.887974537036</v>
      </c>
      <c r="B265">
        <v>60</v>
      </c>
      <c r="C265">
        <v>16</v>
      </c>
      <c r="D265">
        <v>0</v>
      </c>
      <c r="E265">
        <v>0</v>
      </c>
      <c r="F265">
        <v>0</v>
      </c>
      <c r="G265" s="5">
        <v>9.1203703705104999E-3</v>
      </c>
      <c r="H265" t="s">
        <v>583</v>
      </c>
      <c r="I265" t="s">
        <v>584</v>
      </c>
      <c r="J265">
        <v>0</v>
      </c>
      <c r="K265">
        <f t="shared" ref="K265" si="513">IF(A265&lt;DATEVALUE("2025/11/20")+TIMEVALUE("6:00"),1,IF(OR(B265&lt;&gt;60,SUM(D265:F265)&lt;&gt;0,G265&gt;=IF(A265&lt;DATEVALUE("2025/12/28")+TIMEVALUE("6:00"),20,18)/24/60),0,2-INT(G265*24*60/10)))</f>
        <v>1</v>
      </c>
      <c r="L265">
        <f t="shared" ref="L265" si="514">L264+K265</f>
        <v>323</v>
      </c>
      <c r="M265">
        <f t="shared" ref="M265" si="515">2+IF(A265&gt;=DATEVALUE("2025/11/30")+TIMEVALUE("6:00"),1,0)+IF(A265&gt;=DATEVALUE("2025/12/11")+TIMEVALUE("6:00"),1,0)</f>
        <v>4</v>
      </c>
      <c r="N265">
        <f t="shared" ref="N265" si="516">N264+M265*(INT(A265-6/24)-INT(A264-6/24))+O265</f>
        <v>323</v>
      </c>
      <c r="O265">
        <f t="shared" si="192"/>
        <v>0</v>
      </c>
      <c r="P265" t="str">
        <f t="shared" ref="P265" si="517">IF(L265&lt;N265,"未達成（"&amp;N265-L265&amp;"）",IF(L265=N265,"達成","前倒し（"&amp;L265-N265&amp;"）"))</f>
        <v>達成</v>
      </c>
      <c r="Q265">
        <f t="shared" ref="Q265" si="518">IF(B265="",NA(),G265)</f>
        <v>9.1203703705104999E-3</v>
      </c>
    </row>
    <row r="266" spans="1:17">
      <c r="A266" s="3">
        <v>46060.286041666666</v>
      </c>
      <c r="B266">
        <v>60</v>
      </c>
      <c r="C266">
        <v>28</v>
      </c>
      <c r="D266">
        <v>0</v>
      </c>
      <c r="E266">
        <v>0</v>
      </c>
      <c r="F266">
        <v>0</v>
      </c>
      <c r="G266" s="5">
        <v>5.173611112695653E-3</v>
      </c>
      <c r="H266" t="s">
        <v>585</v>
      </c>
      <c r="I266" t="s">
        <v>586</v>
      </c>
      <c r="J266">
        <v>0</v>
      </c>
      <c r="K266">
        <f t="shared" ref="K266" si="519">IF(A266&lt;DATEVALUE("2025/11/20")+TIMEVALUE("6:00"),1,IF(OR(B266&lt;&gt;60,SUM(D266:F266)&lt;&gt;0,G266&gt;=IF(A266&lt;DATEVALUE("2025/12/28")+TIMEVALUE("6:00"),20,18)/24/60),0,2-INT(G266*24*60/10)))</f>
        <v>2</v>
      </c>
      <c r="L266">
        <f t="shared" ref="L266" si="520">L265+K266</f>
        <v>325</v>
      </c>
      <c r="M266">
        <f t="shared" ref="M266" si="521">2+IF(A266&gt;=DATEVALUE("2025/11/30")+TIMEVALUE("6:00"),1,0)+IF(A266&gt;=DATEVALUE("2025/12/11")+TIMEVALUE("6:00"),1,0)</f>
        <v>4</v>
      </c>
      <c r="N266">
        <f t="shared" ref="N266" si="522">N265+M266*(INT(A266-6/24)-INT(A265-6/24))+O266</f>
        <v>327</v>
      </c>
      <c r="O266">
        <f t="shared" si="192"/>
        <v>0</v>
      </c>
      <c r="P266" t="str">
        <f t="shared" ref="P266" si="523">IF(L266&lt;N266,"未達成（"&amp;N266-L266&amp;"）",IF(L266=N266,"達成","前倒し（"&amp;L266-N266&amp;"）"))</f>
        <v>未達成（2）</v>
      </c>
      <c r="Q266">
        <f t="shared" ref="Q266" si="524">IF(B266="",NA(),G266)</f>
        <v>5.173611112695653E-3</v>
      </c>
    </row>
    <row r="267" spans="1:17">
      <c r="A267" s="3">
        <v>46060.305289351854</v>
      </c>
      <c r="B267">
        <v>60</v>
      </c>
      <c r="C267">
        <v>16</v>
      </c>
      <c r="D267">
        <v>0</v>
      </c>
      <c r="E267">
        <v>0</v>
      </c>
      <c r="F267">
        <v>0</v>
      </c>
      <c r="G267" s="5">
        <v>9.4675925938645378E-3</v>
      </c>
      <c r="H267" t="s">
        <v>587</v>
      </c>
      <c r="I267" t="s">
        <v>588</v>
      </c>
      <c r="J267">
        <v>0</v>
      </c>
      <c r="K267">
        <f t="shared" ref="K267" si="525">IF(A267&lt;DATEVALUE("2025/11/20")+TIMEVALUE("6:00"),1,IF(OR(B267&lt;&gt;60,SUM(D267:F267)&lt;&gt;0,G267&gt;=IF(A267&lt;DATEVALUE("2025/12/28")+TIMEVALUE("6:00"),20,18)/24/60),0,2-INT(G267*24*60/10)))</f>
        <v>1</v>
      </c>
      <c r="L267">
        <f t="shared" ref="L267" si="526">L266+K267</f>
        <v>326</v>
      </c>
      <c r="M267">
        <f t="shared" ref="M267" si="527">2+IF(A267&gt;=DATEVALUE("2025/11/30")+TIMEVALUE("6:00"),1,0)+IF(A267&gt;=DATEVALUE("2025/12/11")+TIMEVALUE("6:00"),1,0)</f>
        <v>4</v>
      </c>
      <c r="N267">
        <f t="shared" ref="N267" si="528">N266+M267*(INT(A267-6/24)-INT(A266-6/24))+O267</f>
        <v>327</v>
      </c>
      <c r="O267">
        <f t="shared" si="192"/>
        <v>0</v>
      </c>
      <c r="P267" t="str">
        <f t="shared" ref="P267" si="529">IF(L267&lt;N267,"未達成（"&amp;N267-L267&amp;"）",IF(L267=N267,"達成","前倒し（"&amp;L267-N267&amp;"）"))</f>
        <v>未達成（1）</v>
      </c>
      <c r="Q267">
        <f t="shared" ref="Q267" si="530">IF(B267="",NA(),G267)</f>
        <v>9.4675925938645378E-3</v>
      </c>
    </row>
    <row r="268" spans="1:17">
      <c r="A268" s="3">
        <v>46060.31490740741</v>
      </c>
      <c r="B268">
        <v>60</v>
      </c>
      <c r="C268">
        <v>6</v>
      </c>
      <c r="D268">
        <v>0</v>
      </c>
      <c r="E268">
        <v>0</v>
      </c>
      <c r="F268">
        <v>0</v>
      </c>
      <c r="G268" s="5">
        <v>8.1134259307873435E-3</v>
      </c>
      <c r="H268" t="s">
        <v>589</v>
      </c>
      <c r="I268" t="s">
        <v>590</v>
      </c>
      <c r="J268">
        <v>0</v>
      </c>
      <c r="K268">
        <f t="shared" ref="K268" si="531">IF(A268&lt;DATEVALUE("2025/11/20")+TIMEVALUE("6:00"),1,IF(OR(B268&lt;&gt;60,SUM(D268:F268)&lt;&gt;0,G268&gt;=IF(A268&lt;DATEVALUE("2025/12/28")+TIMEVALUE("6:00"),20,18)/24/60),0,2-INT(G268*24*60/10)))</f>
        <v>1</v>
      </c>
      <c r="L268">
        <f t="shared" ref="L268" si="532">L267+K268</f>
        <v>327</v>
      </c>
      <c r="M268">
        <f t="shared" ref="M268" si="533">2+IF(A268&gt;=DATEVALUE("2025/11/30")+TIMEVALUE("6:00"),1,0)+IF(A268&gt;=DATEVALUE("2025/12/11")+TIMEVALUE("6:00"),1,0)</f>
        <v>4</v>
      </c>
      <c r="N268">
        <f t="shared" ref="N268" si="534">N267+M268*(INT(A268-6/24)-INT(A267-6/24))+O268</f>
        <v>327</v>
      </c>
      <c r="O268">
        <f t="shared" si="192"/>
        <v>0</v>
      </c>
      <c r="P268" t="str">
        <f t="shared" ref="P268" si="535">IF(L268&lt;N268,"未達成（"&amp;N268-L268&amp;"）",IF(L268=N268,"達成","前倒し（"&amp;L268-N268&amp;"）"))</f>
        <v>達成</v>
      </c>
      <c r="Q268">
        <f t="shared" ref="Q268" si="536">IF(B268="",NA(),G268)</f>
        <v>8.1134259307873435E-3</v>
      </c>
    </row>
    <row r="269" spans="1:17">
      <c r="A269" s="3">
        <v>46061.276041666664</v>
      </c>
      <c r="B269">
        <v>60</v>
      </c>
      <c r="C269">
        <v>14</v>
      </c>
      <c r="D269">
        <v>0</v>
      </c>
      <c r="E269">
        <v>0</v>
      </c>
      <c r="F269">
        <v>0</v>
      </c>
      <c r="G269" s="5">
        <v>1.0937499995634425E-2</v>
      </c>
      <c r="H269" t="s">
        <v>591</v>
      </c>
      <c r="I269" t="s">
        <v>592</v>
      </c>
      <c r="J269">
        <v>0</v>
      </c>
      <c r="K269">
        <f t="shared" ref="K269" si="537">IF(A269&lt;DATEVALUE("2025/11/20")+TIMEVALUE("6:00"),1,IF(OR(B269&lt;&gt;60,SUM(D269:F269)&lt;&gt;0,G269&gt;=IF(A269&lt;DATEVALUE("2025/12/28")+TIMEVALUE("6:00"),20,18)/24/60),0,2-INT(G269*24*60/10)))</f>
        <v>1</v>
      </c>
      <c r="L269">
        <f t="shared" ref="L269" si="538">L268+K269</f>
        <v>328</v>
      </c>
      <c r="M269">
        <f t="shared" ref="M269" si="539">2+IF(A269&gt;=DATEVALUE("2025/11/30")+TIMEVALUE("6:00"),1,0)+IF(A269&gt;=DATEVALUE("2025/12/11")+TIMEVALUE("6:00"),1,0)</f>
        <v>4</v>
      </c>
      <c r="N269">
        <f t="shared" ref="N269" si="540">N268+M269*(INT(A269-6/24)-INT(A268-6/24))+O269</f>
        <v>331</v>
      </c>
      <c r="O269">
        <f t="shared" si="192"/>
        <v>0</v>
      </c>
      <c r="P269" t="str">
        <f t="shared" ref="P269" si="541">IF(L269&lt;N269,"未達成（"&amp;N269-L269&amp;"）",IF(L269=N269,"達成","前倒し（"&amp;L269-N269&amp;"）"))</f>
        <v>未達成（3）</v>
      </c>
      <c r="Q269">
        <f t="shared" ref="Q269" si="542">IF(B269="",NA(),G269)</f>
        <v>1.0937499995634425E-2</v>
      </c>
    </row>
    <row r="270" spans="1:17">
      <c r="A270" s="3">
        <v>46061.305439814816</v>
      </c>
      <c r="B270">
        <v>60</v>
      </c>
      <c r="C270">
        <v>15</v>
      </c>
      <c r="D270">
        <v>0</v>
      </c>
      <c r="E270">
        <v>0</v>
      </c>
      <c r="F270">
        <v>0</v>
      </c>
      <c r="G270" s="5">
        <v>5.6828703745850362E-3</v>
      </c>
      <c r="H270" t="s">
        <v>593</v>
      </c>
      <c r="I270" t="s">
        <v>594</v>
      </c>
      <c r="J270">
        <v>0</v>
      </c>
      <c r="K270">
        <f t="shared" ref="K270" si="543">IF(A270&lt;DATEVALUE("2025/11/20")+TIMEVALUE("6:00"),1,IF(OR(B270&lt;&gt;60,SUM(D270:F270)&lt;&gt;0,G270&gt;=IF(A270&lt;DATEVALUE("2025/12/28")+TIMEVALUE("6:00"),20,18)/24/60),0,2-INT(G270*24*60/10)))</f>
        <v>2</v>
      </c>
      <c r="L270">
        <f t="shared" ref="L270" si="544">L269+K270</f>
        <v>330</v>
      </c>
      <c r="M270">
        <f t="shared" ref="M270" si="545">2+IF(A270&gt;=DATEVALUE("2025/11/30")+TIMEVALUE("6:00"),1,0)+IF(A270&gt;=DATEVALUE("2025/12/11")+TIMEVALUE("6:00"),1,0)</f>
        <v>4</v>
      </c>
      <c r="N270">
        <f t="shared" ref="N270" si="546">N269+M270*(INT(A270-6/24)-INT(A269-6/24))+O270</f>
        <v>331</v>
      </c>
      <c r="O270">
        <f t="shared" si="192"/>
        <v>0</v>
      </c>
      <c r="P270" t="str">
        <f t="shared" ref="P270" si="547">IF(L270&lt;N270,"未達成（"&amp;N270-L270&amp;"）",IF(L270=N270,"達成","前倒し（"&amp;L270-N270&amp;"）"))</f>
        <v>未達成（1）</v>
      </c>
      <c r="Q270">
        <f t="shared" ref="Q270" si="548">IF(B270="",NA(),G270)</f>
        <v>5.6828703745850362E-3</v>
      </c>
    </row>
    <row r="271" spans="1:17">
      <c r="A271" s="3">
        <v>46061.313645833332</v>
      </c>
      <c r="B271">
        <v>60</v>
      </c>
      <c r="C271">
        <v>20</v>
      </c>
      <c r="D271">
        <v>0</v>
      </c>
      <c r="E271">
        <v>0</v>
      </c>
      <c r="F271">
        <v>0</v>
      </c>
      <c r="G271" s="5">
        <v>7.6851851845276542E-3</v>
      </c>
      <c r="H271" t="s">
        <v>595</v>
      </c>
      <c r="I271" t="s">
        <v>596</v>
      </c>
      <c r="J271">
        <v>0</v>
      </c>
      <c r="K271">
        <f t="shared" ref="K271" si="549">IF(A271&lt;DATEVALUE("2025/11/20")+TIMEVALUE("6:00"),1,IF(OR(B271&lt;&gt;60,SUM(D271:F271)&lt;&gt;0,G271&gt;=IF(A271&lt;DATEVALUE("2025/12/28")+TIMEVALUE("6:00"),20,18)/24/60),0,2-INT(G271*24*60/10)))</f>
        <v>1</v>
      </c>
      <c r="L271">
        <f t="shared" ref="L271" si="550">L270+K271</f>
        <v>331</v>
      </c>
      <c r="M271">
        <f t="shared" ref="M271" si="551">2+IF(A271&gt;=DATEVALUE("2025/11/30")+TIMEVALUE("6:00"),1,0)+IF(A271&gt;=DATEVALUE("2025/12/11")+TIMEVALUE("6:00"),1,0)</f>
        <v>4</v>
      </c>
      <c r="N271">
        <f t="shared" ref="N271" si="552">N270+M271*(INT(A271-6/24)-INT(A270-6/24))+O271</f>
        <v>331</v>
      </c>
      <c r="O271">
        <f t="shared" si="192"/>
        <v>0</v>
      </c>
      <c r="P271" t="str">
        <f t="shared" ref="P271" si="553">IF(L271&lt;N271,"未達成（"&amp;N271-L271&amp;"）",IF(L271=N271,"達成","前倒し（"&amp;L271-N271&amp;"）"))</f>
        <v>達成</v>
      </c>
      <c r="Q271">
        <f t="shared" ref="Q271" si="554">IF(B271="",NA(),G271)</f>
        <v>7.6851851845276542E-3</v>
      </c>
    </row>
    <row r="272" spans="1:17">
      <c r="A272" s="3">
        <v>46062.293506944443</v>
      </c>
      <c r="B272">
        <v>60</v>
      </c>
      <c r="C272">
        <v>12</v>
      </c>
      <c r="D272">
        <v>0</v>
      </c>
      <c r="E272">
        <v>0</v>
      </c>
      <c r="F272">
        <v>0</v>
      </c>
      <c r="G272" s="5">
        <v>6.6666666680248454E-3</v>
      </c>
      <c r="H272" t="s">
        <v>597</v>
      </c>
      <c r="I272" t="s">
        <v>598</v>
      </c>
      <c r="J272">
        <v>0</v>
      </c>
      <c r="K272">
        <f t="shared" ref="K272" si="555">IF(A272&lt;DATEVALUE("2025/11/20")+TIMEVALUE("6:00"),1,IF(OR(B272&lt;&gt;60,SUM(D272:F272)&lt;&gt;0,G272&gt;=IF(A272&lt;DATEVALUE("2025/12/28")+TIMEVALUE("6:00"),20,18)/24/60),0,2-INT(G272*24*60/10)))</f>
        <v>2</v>
      </c>
      <c r="L272">
        <f t="shared" ref="L272" si="556">L271+K272</f>
        <v>333</v>
      </c>
      <c r="M272">
        <f t="shared" ref="M272" si="557">2+IF(A272&gt;=DATEVALUE("2025/11/30")+TIMEVALUE("6:00"),1,0)+IF(A272&gt;=DATEVALUE("2025/12/11")+TIMEVALUE("6:00"),1,0)</f>
        <v>4</v>
      </c>
      <c r="N272">
        <f t="shared" ref="N272" si="558">N271+M272*(INT(A272-6/24)-INT(A271-6/24))+O272</f>
        <v>335</v>
      </c>
      <c r="O272">
        <f t="shared" si="192"/>
        <v>0</v>
      </c>
      <c r="P272" t="str">
        <f t="shared" ref="P272" si="559">IF(L272&lt;N272,"未達成（"&amp;N272-L272&amp;"）",IF(L272=N272,"達成","前倒し（"&amp;L272-N272&amp;"）"))</f>
        <v>未達成（2）</v>
      </c>
      <c r="Q272">
        <f t="shared" ref="Q272" si="560">IF(B272="",NA(),G272)</f>
        <v>6.6666666680248454E-3</v>
      </c>
    </row>
    <row r="273" spans="1:17">
      <c r="A273" s="3">
        <v>46062.303078703706</v>
      </c>
      <c r="B273">
        <v>60</v>
      </c>
      <c r="C273">
        <v>14</v>
      </c>
      <c r="D273">
        <v>0</v>
      </c>
      <c r="E273">
        <v>0</v>
      </c>
      <c r="F273">
        <v>0</v>
      </c>
      <c r="G273" s="5">
        <v>8.9236111161881126E-3</v>
      </c>
      <c r="H273" t="s">
        <v>599</v>
      </c>
      <c r="I273" t="s">
        <v>600</v>
      </c>
      <c r="J273">
        <v>0</v>
      </c>
      <c r="K273">
        <f t="shared" ref="K273" si="561">IF(A273&lt;DATEVALUE("2025/11/20")+TIMEVALUE("6:00"),1,IF(OR(B273&lt;&gt;60,SUM(D273:F273)&lt;&gt;0,G273&gt;=IF(A273&lt;DATEVALUE("2025/12/28")+TIMEVALUE("6:00"),20,18)/24/60),0,2-INT(G273*24*60/10)))</f>
        <v>1</v>
      </c>
      <c r="L273">
        <f t="shared" ref="L273" si="562">L272+K273</f>
        <v>334</v>
      </c>
      <c r="M273">
        <f t="shared" ref="M273" si="563">2+IF(A273&gt;=DATEVALUE("2025/11/30")+TIMEVALUE("6:00"),1,0)+IF(A273&gt;=DATEVALUE("2025/12/11")+TIMEVALUE("6:00"),1,0)</f>
        <v>4</v>
      </c>
      <c r="N273">
        <f t="shared" ref="N273" si="564">N272+M273*(INT(A273-6/24)-INT(A272-6/24))+O273</f>
        <v>335</v>
      </c>
      <c r="O273">
        <f t="shared" si="192"/>
        <v>0</v>
      </c>
      <c r="P273" t="str">
        <f t="shared" ref="P273" si="565">IF(L273&lt;N273,"未達成（"&amp;N273-L273&amp;"）",IF(L273=N273,"達成","前倒し（"&amp;L273-N273&amp;"）"))</f>
        <v>未達成（1）</v>
      </c>
      <c r="Q273">
        <f t="shared" ref="Q273" si="566">IF(B273="",NA(),G273)</f>
        <v>8.9236111161881126E-3</v>
      </c>
    </row>
    <row r="274" spans="1:17">
      <c r="A274" s="3">
        <v>46062.310277777775</v>
      </c>
      <c r="B274">
        <v>60</v>
      </c>
      <c r="C274">
        <v>22</v>
      </c>
      <c r="D274">
        <v>0</v>
      </c>
      <c r="E274">
        <v>0</v>
      </c>
      <c r="F274">
        <v>0</v>
      </c>
      <c r="G274" s="5">
        <v>6.7245370373711921E-3</v>
      </c>
      <c r="H274" t="s">
        <v>601</v>
      </c>
      <c r="I274" t="s">
        <v>602</v>
      </c>
      <c r="J274">
        <v>0</v>
      </c>
      <c r="K274">
        <f t="shared" ref="K274" si="567">IF(A274&lt;DATEVALUE("2025/11/20")+TIMEVALUE("6:00"),1,IF(OR(B274&lt;&gt;60,SUM(D274:F274)&lt;&gt;0,G274&gt;=IF(A274&lt;DATEVALUE("2025/12/28")+TIMEVALUE("6:00"),20,18)/24/60),0,2-INT(G274*24*60/10)))</f>
        <v>2</v>
      </c>
      <c r="L274">
        <f t="shared" ref="L274" si="568">L273+K274</f>
        <v>336</v>
      </c>
      <c r="M274">
        <f t="shared" ref="M274" si="569">2+IF(A274&gt;=DATEVALUE("2025/11/30")+TIMEVALUE("6:00"),1,0)+IF(A274&gt;=DATEVALUE("2025/12/11")+TIMEVALUE("6:00"),1,0)</f>
        <v>4</v>
      </c>
      <c r="N274">
        <f t="shared" ref="N274" si="570">N273+M274*(INT(A274-6/24)-INT(A273-6/24))+O274</f>
        <v>335</v>
      </c>
      <c r="O274">
        <f t="shared" si="192"/>
        <v>0</v>
      </c>
      <c r="P274" t="str">
        <f t="shared" ref="P274" si="571">IF(L274&lt;N274,"未達成（"&amp;N274-L274&amp;"）",IF(L274=N274,"達成","前倒し（"&amp;L274-N274&amp;"）"))</f>
        <v>前倒し（1）</v>
      </c>
      <c r="Q274">
        <f t="shared" ref="Q274" si="572">IF(B274="",NA(),G274)</f>
        <v>6.7245370373711921E-3</v>
      </c>
    </row>
    <row r="275" spans="1:17">
      <c r="A275" s="3">
        <v>46063.323738425926</v>
      </c>
      <c r="G275" s="5">
        <v>2.2800925944466144E-3</v>
      </c>
      <c r="H275" t="s">
        <v>603</v>
      </c>
      <c r="I275" t="s">
        <v>604</v>
      </c>
      <c r="J275">
        <v>1</v>
      </c>
      <c r="K275">
        <f t="shared" ref="K275" si="573">IF(A275&lt;DATEVALUE("2025/11/20")+TIMEVALUE("6:00"),1,IF(OR(B275&lt;&gt;60,SUM(D275:F275)&lt;&gt;0,G275&gt;=IF(A275&lt;DATEVALUE("2025/12/28")+TIMEVALUE("6:00"),20,18)/24/60),0,2-INT(G275*24*60/10)))</f>
        <v>0</v>
      </c>
      <c r="L275">
        <f t="shared" ref="L275" si="574">L274+K275</f>
        <v>336</v>
      </c>
      <c r="M275">
        <f t="shared" ref="M275" si="575">2+IF(A275&gt;=DATEVALUE("2025/11/30")+TIMEVALUE("6:00"),1,0)+IF(A275&gt;=DATEVALUE("2025/12/11")+TIMEVALUE("6:00"),1,0)</f>
        <v>4</v>
      </c>
      <c r="N275">
        <f t="shared" ref="N275" si="576">N274+M275*(INT(A275-6/24)-INT(A274-6/24))+O275</f>
        <v>339</v>
      </c>
      <c r="O275">
        <f t="shared" ref="O275:O310" si="577">IF(A275&gt;=DATEVALUE("2025/11/8")+TIMEVALUE("6:00"),1,0)-IF(A274&gt;=DATEVALUE("2025/11/8")+TIMEVALUE("6:00"),1,0)
+IF(A275&gt;=DATEVALUE("2026/1/22")+TIMEVALUE("6:00"),3,0)-IF(A274&gt;=DATEVALUE("2026/1/22")+TIMEVALUE("6:00"),3,0)
+IF(A275&gt;=DATEVALUE("2026/2/21")+TIMEVALUE("6:00"),1,0)-IF(A274&gt;=DATEVALUE("2026/2/21")+TIMEVALUE("6:00"),1,0)</f>
        <v>0</v>
      </c>
      <c r="P275" t="str">
        <f t="shared" ref="P275" si="578">IF(L275&lt;N275,"未達成（"&amp;N275-L275&amp;"）",IF(L275=N275,"達成","前倒し（"&amp;L275-N275&amp;"）"))</f>
        <v>未達成（3）</v>
      </c>
      <c r="Q275" t="e">
        <f t="shared" ref="Q275" si="579">IF(B275="",NA(),G275)</f>
        <v>#N/A</v>
      </c>
    </row>
    <row r="276" spans="1:17">
      <c r="A276" s="3">
        <v>46063.368935185186</v>
      </c>
      <c r="B276">
        <v>60</v>
      </c>
      <c r="C276">
        <v>6</v>
      </c>
      <c r="D276">
        <v>0</v>
      </c>
      <c r="E276">
        <v>0</v>
      </c>
      <c r="F276">
        <v>0</v>
      </c>
      <c r="G276" s="5">
        <v>4.7916666735545732E-3</v>
      </c>
      <c r="H276" t="s">
        <v>605</v>
      </c>
      <c r="I276" t="s">
        <v>606</v>
      </c>
      <c r="J276">
        <v>0</v>
      </c>
      <c r="K276">
        <f t="shared" ref="K276" si="580">IF(A276&lt;DATEVALUE("2025/11/20")+TIMEVALUE("6:00"),1,IF(OR(B276&lt;&gt;60,SUM(D276:F276)&lt;&gt;0,G276&gt;=IF(A276&lt;DATEVALUE("2025/12/28")+TIMEVALUE("6:00"),20,18)/24/60),0,2-INT(G276*24*60/10)))</f>
        <v>2</v>
      </c>
      <c r="L276">
        <f t="shared" ref="L276" si="581">L275+K276</f>
        <v>338</v>
      </c>
      <c r="M276">
        <f t="shared" ref="M276" si="582">2+IF(A276&gt;=DATEVALUE("2025/11/30")+TIMEVALUE("6:00"),1,0)+IF(A276&gt;=DATEVALUE("2025/12/11")+TIMEVALUE("6:00"),1,0)</f>
        <v>4</v>
      </c>
      <c r="N276">
        <f t="shared" ref="N276" si="583">N275+M276*(INT(A276-6/24)-INT(A275-6/24))+O276</f>
        <v>339</v>
      </c>
      <c r="O276">
        <f t="shared" si="577"/>
        <v>0</v>
      </c>
      <c r="P276" t="str">
        <f t="shared" ref="P276" si="584">IF(L276&lt;N276,"未達成（"&amp;N276-L276&amp;"）",IF(L276=N276,"達成","前倒し（"&amp;L276-N276&amp;"）"))</f>
        <v>未達成（1）</v>
      </c>
      <c r="Q276">
        <f t="shared" ref="Q276" si="585">IF(B276="",NA(),G276)</f>
        <v>4.7916666735545732E-3</v>
      </c>
    </row>
    <row r="277" spans="1:17">
      <c r="A277" s="3">
        <v>46063.476840277777</v>
      </c>
      <c r="B277">
        <v>60</v>
      </c>
      <c r="C277">
        <v>20</v>
      </c>
      <c r="D277">
        <v>0</v>
      </c>
      <c r="E277">
        <v>0</v>
      </c>
      <c r="F277">
        <v>0</v>
      </c>
      <c r="G277" s="5">
        <v>3.8888888884685002E-3</v>
      </c>
      <c r="H277" t="s">
        <v>607</v>
      </c>
      <c r="I277" t="s">
        <v>608</v>
      </c>
      <c r="J277">
        <v>0</v>
      </c>
      <c r="K277">
        <f t="shared" ref="K277" si="586">IF(A277&lt;DATEVALUE("2025/11/20")+TIMEVALUE("6:00"),1,IF(OR(B277&lt;&gt;60,SUM(D277:F277)&lt;&gt;0,G277&gt;=IF(A277&lt;DATEVALUE("2025/12/28")+TIMEVALUE("6:00"),20,18)/24/60),0,2-INT(G277*24*60/10)))</f>
        <v>2</v>
      </c>
      <c r="L277">
        <f t="shared" ref="L277" si="587">L276+K277</f>
        <v>340</v>
      </c>
      <c r="M277">
        <f t="shared" ref="M277" si="588">2+IF(A277&gt;=DATEVALUE("2025/11/30")+TIMEVALUE("6:00"),1,0)+IF(A277&gt;=DATEVALUE("2025/12/11")+TIMEVALUE("6:00"),1,0)</f>
        <v>4</v>
      </c>
      <c r="N277">
        <f t="shared" ref="N277" si="589">N276+M277*(INT(A277-6/24)-INT(A276-6/24))+O277</f>
        <v>339</v>
      </c>
      <c r="O277">
        <f t="shared" si="577"/>
        <v>0</v>
      </c>
      <c r="P277" t="str">
        <f t="shared" ref="P277" si="590">IF(L277&lt;N277,"未達成（"&amp;N277-L277&amp;"）",IF(L277=N277,"達成","前倒し（"&amp;L277-N277&amp;"）"))</f>
        <v>前倒し（1）</v>
      </c>
      <c r="Q277">
        <f t="shared" ref="Q277" si="591">IF(B277="",NA(),G277)</f>
        <v>3.8888888884685002E-3</v>
      </c>
    </row>
    <row r="278" spans="1:17">
      <c r="A278" s="3">
        <v>46064.307627314818</v>
      </c>
      <c r="B278">
        <v>60</v>
      </c>
      <c r="C278">
        <v>19</v>
      </c>
      <c r="D278">
        <v>0</v>
      </c>
      <c r="E278">
        <v>0</v>
      </c>
      <c r="F278">
        <v>0</v>
      </c>
      <c r="G278" s="5">
        <v>9.9652777789742686E-3</v>
      </c>
      <c r="H278" t="s">
        <v>609</v>
      </c>
      <c r="I278" t="s">
        <v>610</v>
      </c>
      <c r="J278">
        <v>0</v>
      </c>
      <c r="K278">
        <f t="shared" ref="K278" si="592">IF(A278&lt;DATEVALUE("2025/11/20")+TIMEVALUE("6:00"),1,IF(OR(B278&lt;&gt;60,SUM(D278:F278)&lt;&gt;0,G278&gt;=IF(A278&lt;DATEVALUE("2025/12/28")+TIMEVALUE("6:00"),20,18)/24/60),0,2-INT(G278*24*60/10)))</f>
        <v>1</v>
      </c>
      <c r="L278">
        <f t="shared" ref="L278" si="593">L277+K278</f>
        <v>341</v>
      </c>
      <c r="M278">
        <f t="shared" ref="M278" si="594">2+IF(A278&gt;=DATEVALUE("2025/11/30")+TIMEVALUE("6:00"),1,0)+IF(A278&gt;=DATEVALUE("2025/12/11")+TIMEVALUE("6:00"),1,0)</f>
        <v>4</v>
      </c>
      <c r="N278">
        <f t="shared" ref="N278" si="595">N277+M278*(INT(A278-6/24)-INT(A277-6/24))+O278</f>
        <v>343</v>
      </c>
      <c r="O278">
        <f t="shared" si="577"/>
        <v>0</v>
      </c>
      <c r="P278" t="str">
        <f t="shared" ref="P278" si="596">IF(L278&lt;N278,"未達成（"&amp;N278-L278&amp;"）",IF(L278=N278,"達成","前倒し（"&amp;L278-N278&amp;"）"))</f>
        <v>未達成（2）</v>
      </c>
      <c r="Q278">
        <f t="shared" ref="Q278" si="597">IF(B278="",NA(),G278)</f>
        <v>9.9652777789742686E-3</v>
      </c>
    </row>
    <row r="279" spans="1:17">
      <c r="A279" s="3">
        <v>46064.317152777781</v>
      </c>
      <c r="B279">
        <v>55</v>
      </c>
      <c r="C279">
        <v>7</v>
      </c>
      <c r="D279">
        <v>0</v>
      </c>
      <c r="E279">
        <v>5</v>
      </c>
      <c r="F279">
        <v>0</v>
      </c>
      <c r="G279" s="5">
        <v>8.7384259313694201E-3</v>
      </c>
      <c r="H279" t="s">
        <v>611</v>
      </c>
      <c r="I279" t="s">
        <v>612</v>
      </c>
      <c r="J279">
        <v>0</v>
      </c>
      <c r="K279">
        <f t="shared" ref="K279" si="598">IF(A279&lt;DATEVALUE("2025/11/20")+TIMEVALUE("6:00"),1,IF(OR(B279&lt;&gt;60,SUM(D279:F279)&lt;&gt;0,G279&gt;=IF(A279&lt;DATEVALUE("2025/12/28")+TIMEVALUE("6:00"),20,18)/24/60),0,2-INT(G279*24*60/10)))</f>
        <v>0</v>
      </c>
      <c r="L279">
        <f t="shared" ref="L279" si="599">L278+K279</f>
        <v>341</v>
      </c>
      <c r="M279">
        <f t="shared" ref="M279" si="600">2+IF(A279&gt;=DATEVALUE("2025/11/30")+TIMEVALUE("6:00"),1,0)+IF(A279&gt;=DATEVALUE("2025/12/11")+TIMEVALUE("6:00"),1,0)</f>
        <v>4</v>
      </c>
      <c r="N279">
        <f t="shared" ref="N279" si="601">N278+M279*(INT(A279-6/24)-INT(A278-6/24))+O279</f>
        <v>343</v>
      </c>
      <c r="O279">
        <f t="shared" si="577"/>
        <v>0</v>
      </c>
      <c r="P279" t="str">
        <f t="shared" ref="P279" si="602">IF(L279&lt;N279,"未達成（"&amp;N279-L279&amp;"）",IF(L279=N279,"達成","前倒し（"&amp;L279-N279&amp;"）"))</f>
        <v>未達成（2）</v>
      </c>
      <c r="Q279">
        <f t="shared" ref="Q279" si="603">IF(B279="",NA(),G279)</f>
        <v>8.7384259313694201E-3</v>
      </c>
    </row>
    <row r="280" spans="1:17">
      <c r="A280" s="3">
        <v>46064.323912037034</v>
      </c>
      <c r="B280">
        <v>60</v>
      </c>
      <c r="C280">
        <v>11</v>
      </c>
      <c r="D280">
        <v>0</v>
      </c>
      <c r="E280">
        <v>0</v>
      </c>
      <c r="F280">
        <v>0</v>
      </c>
      <c r="G280" s="5">
        <v>5.7175925903720781E-3</v>
      </c>
      <c r="H280" t="s">
        <v>613</v>
      </c>
      <c r="I280" t="s">
        <v>614</v>
      </c>
      <c r="J280">
        <v>0</v>
      </c>
      <c r="K280">
        <f t="shared" ref="K280" si="604">IF(A280&lt;DATEVALUE("2025/11/20")+TIMEVALUE("6:00"),1,IF(OR(B280&lt;&gt;60,SUM(D280:F280)&lt;&gt;0,G280&gt;=IF(A280&lt;DATEVALUE("2025/12/28")+TIMEVALUE("6:00"),20,18)/24/60),0,2-INT(G280*24*60/10)))</f>
        <v>2</v>
      </c>
      <c r="L280">
        <f t="shared" ref="L280" si="605">L279+K280</f>
        <v>343</v>
      </c>
      <c r="M280">
        <f t="shared" ref="M280" si="606">2+IF(A280&gt;=DATEVALUE("2025/11/30")+TIMEVALUE("6:00"),1,0)+IF(A280&gt;=DATEVALUE("2025/12/11")+TIMEVALUE("6:00"),1,0)</f>
        <v>4</v>
      </c>
      <c r="N280">
        <f t="shared" ref="N280" si="607">N279+M280*(INT(A280-6/24)-INT(A279-6/24))+O280</f>
        <v>343</v>
      </c>
      <c r="O280">
        <f t="shared" si="577"/>
        <v>0</v>
      </c>
      <c r="P280" t="str">
        <f t="shared" ref="P280" si="608">IF(L280&lt;N280,"未達成（"&amp;N280-L280&amp;"）",IF(L280=N280,"達成","前倒し（"&amp;L280-N280&amp;"）"))</f>
        <v>達成</v>
      </c>
      <c r="Q280">
        <f t="shared" ref="Q280" si="609">IF(B280="",NA(),G280)</f>
        <v>5.7175925903720781E-3</v>
      </c>
    </row>
    <row r="281" spans="1:17">
      <c r="A281" s="3">
        <v>46065.287199074075</v>
      </c>
      <c r="B281">
        <v>60</v>
      </c>
      <c r="C281">
        <v>26</v>
      </c>
      <c r="D281">
        <v>0</v>
      </c>
      <c r="E281">
        <v>0</v>
      </c>
      <c r="F281">
        <v>0</v>
      </c>
      <c r="G281" s="5">
        <v>1.1863425927003846E-2</v>
      </c>
      <c r="H281" t="s">
        <v>615</v>
      </c>
      <c r="I281" t="s">
        <v>616</v>
      </c>
      <c r="J281">
        <v>0</v>
      </c>
      <c r="K281">
        <f t="shared" ref="K281" si="610">IF(A281&lt;DATEVALUE("2025/11/20")+TIMEVALUE("6:00"),1,IF(OR(B281&lt;&gt;60,SUM(D281:F281)&lt;&gt;0,G281&gt;=IF(A281&lt;DATEVALUE("2025/12/28")+TIMEVALUE("6:00"),20,18)/24/60),0,2-INT(G281*24*60/10)))</f>
        <v>1</v>
      </c>
      <c r="L281">
        <f t="shared" ref="L281" si="611">L280+K281</f>
        <v>344</v>
      </c>
      <c r="M281">
        <f t="shared" ref="M281" si="612">2+IF(A281&gt;=DATEVALUE("2025/11/30")+TIMEVALUE("6:00"),1,0)+IF(A281&gt;=DATEVALUE("2025/12/11")+TIMEVALUE("6:00"),1,0)</f>
        <v>4</v>
      </c>
      <c r="N281">
        <f t="shared" ref="N281" si="613">N280+M281*(INT(A281-6/24)-INT(A280-6/24))+O281</f>
        <v>347</v>
      </c>
      <c r="O281">
        <f t="shared" si="577"/>
        <v>0</v>
      </c>
      <c r="P281" t="str">
        <f t="shared" ref="P281" si="614">IF(L281&lt;N281,"未達成（"&amp;N281-L281&amp;"）",IF(L281=N281,"達成","前倒し（"&amp;L281-N281&amp;"）"))</f>
        <v>未達成（3）</v>
      </c>
      <c r="Q281">
        <f t="shared" ref="Q281" si="615">IF(B281="",NA(),G281)</f>
        <v>1.1863425927003846E-2</v>
      </c>
    </row>
    <row r="282" spans="1:17">
      <c r="A282" s="3">
        <v>46065.298506944448</v>
      </c>
      <c r="B282">
        <v>60</v>
      </c>
      <c r="C282">
        <v>15</v>
      </c>
      <c r="D282">
        <v>0</v>
      </c>
      <c r="E282">
        <v>0</v>
      </c>
      <c r="F282">
        <v>0</v>
      </c>
      <c r="G282" s="5">
        <v>1.0497685187146999E-2</v>
      </c>
      <c r="H282" t="s">
        <v>617</v>
      </c>
      <c r="I282" t="s">
        <v>618</v>
      </c>
      <c r="J282">
        <v>0</v>
      </c>
      <c r="K282">
        <f t="shared" ref="K282" si="616">IF(A282&lt;DATEVALUE("2025/11/20")+TIMEVALUE("6:00"),1,IF(OR(B282&lt;&gt;60,SUM(D282:F282)&lt;&gt;0,G282&gt;=IF(A282&lt;DATEVALUE("2025/12/28")+TIMEVALUE("6:00"),20,18)/24/60),0,2-INT(G282*24*60/10)))</f>
        <v>1</v>
      </c>
      <c r="L282">
        <f t="shared" ref="L282" si="617">L281+K282</f>
        <v>345</v>
      </c>
      <c r="M282">
        <f t="shared" ref="M282" si="618">2+IF(A282&gt;=DATEVALUE("2025/11/30")+TIMEVALUE("6:00"),1,0)+IF(A282&gt;=DATEVALUE("2025/12/11")+TIMEVALUE("6:00"),1,0)</f>
        <v>4</v>
      </c>
      <c r="N282">
        <f t="shared" ref="N282" si="619">N281+M282*(INT(A282-6/24)-INT(A281-6/24))+O282</f>
        <v>347</v>
      </c>
      <c r="O282">
        <f t="shared" si="577"/>
        <v>0</v>
      </c>
      <c r="P282" t="str">
        <f t="shared" ref="P282" si="620">IF(L282&lt;N282,"未達成（"&amp;N282-L282&amp;"）",IF(L282=N282,"達成","前倒し（"&amp;L282-N282&amp;"）"))</f>
        <v>未達成（2）</v>
      </c>
      <c r="Q282">
        <f t="shared" ref="Q282" si="621">IF(B282="",NA(),G282)</f>
        <v>1.0497685187146999E-2</v>
      </c>
    </row>
    <row r="283" spans="1:17">
      <c r="A283" s="3">
        <v>46065.31585648148</v>
      </c>
      <c r="B283">
        <v>60</v>
      </c>
      <c r="C283">
        <v>11</v>
      </c>
      <c r="D283">
        <v>0</v>
      </c>
      <c r="E283">
        <v>0</v>
      </c>
      <c r="F283">
        <v>0</v>
      </c>
      <c r="G283" s="5">
        <v>4.9537037048139609E-3</v>
      </c>
      <c r="H283" t="s">
        <v>619</v>
      </c>
      <c r="I283" t="s">
        <v>620</v>
      </c>
      <c r="J283">
        <v>0</v>
      </c>
      <c r="K283">
        <f t="shared" ref="K283" si="622">IF(A283&lt;DATEVALUE("2025/11/20")+TIMEVALUE("6:00"),1,IF(OR(B283&lt;&gt;60,SUM(D283:F283)&lt;&gt;0,G283&gt;=IF(A283&lt;DATEVALUE("2025/12/28")+TIMEVALUE("6:00"),20,18)/24/60),0,2-INT(G283*24*60/10)))</f>
        <v>2</v>
      </c>
      <c r="L283">
        <f t="shared" ref="L283" si="623">L282+K283</f>
        <v>347</v>
      </c>
      <c r="M283">
        <f t="shared" ref="M283" si="624">2+IF(A283&gt;=DATEVALUE("2025/11/30")+TIMEVALUE("6:00"),1,0)+IF(A283&gt;=DATEVALUE("2025/12/11")+TIMEVALUE("6:00"),1,0)</f>
        <v>4</v>
      </c>
      <c r="N283">
        <f t="shared" ref="N283" si="625">N282+M283*(INT(A283-6/24)-INT(A282-6/24))+O283</f>
        <v>347</v>
      </c>
      <c r="O283">
        <f t="shared" si="577"/>
        <v>0</v>
      </c>
      <c r="P283" t="str">
        <f t="shared" ref="P283" si="626">IF(L283&lt;N283,"未達成（"&amp;N283-L283&amp;"）",IF(L283=N283,"達成","前倒し（"&amp;L283-N283&amp;"）"))</f>
        <v>達成</v>
      </c>
      <c r="Q283">
        <f t="shared" ref="Q283" si="627">IF(B283="",NA(),G283)</f>
        <v>4.9537037048139609E-3</v>
      </c>
    </row>
    <row r="284" spans="1:17">
      <c r="A284" s="3">
        <v>46066.28324074074</v>
      </c>
      <c r="B284">
        <v>60</v>
      </c>
      <c r="C284">
        <v>24</v>
      </c>
      <c r="D284">
        <v>0</v>
      </c>
      <c r="E284">
        <v>0</v>
      </c>
      <c r="F284">
        <v>0</v>
      </c>
      <c r="G284" s="5">
        <v>6.9907407378195785E-3</v>
      </c>
      <c r="H284" t="s">
        <v>621</v>
      </c>
      <c r="I284" t="s">
        <v>622</v>
      </c>
      <c r="J284">
        <v>0</v>
      </c>
      <c r="K284">
        <f t="shared" ref="K284" si="628">IF(A284&lt;DATEVALUE("2025/11/20")+TIMEVALUE("6:00"),1,IF(OR(B284&lt;&gt;60,SUM(D284:F284)&lt;&gt;0,G284&gt;=IF(A284&lt;DATEVALUE("2025/12/28")+TIMEVALUE("6:00"),20,18)/24/60),0,2-INT(G284*24*60/10)))</f>
        <v>1</v>
      </c>
      <c r="L284">
        <f t="shared" ref="L284" si="629">L283+K284</f>
        <v>348</v>
      </c>
      <c r="M284">
        <f t="shared" ref="M284" si="630">2+IF(A284&gt;=DATEVALUE("2025/11/30")+TIMEVALUE("6:00"),1,0)+IF(A284&gt;=DATEVALUE("2025/12/11")+TIMEVALUE("6:00"),1,0)</f>
        <v>4</v>
      </c>
      <c r="N284">
        <f t="shared" ref="N284" si="631">N283+M284*(INT(A284-6/24)-INT(A283-6/24))+O284</f>
        <v>351</v>
      </c>
      <c r="O284">
        <f t="shared" si="577"/>
        <v>0</v>
      </c>
      <c r="P284" t="str">
        <f t="shared" ref="P284" si="632">IF(L284&lt;N284,"未達成（"&amp;N284-L284&amp;"）",IF(L284=N284,"達成","前倒し（"&amp;L284-N284&amp;"）"))</f>
        <v>未達成（3）</v>
      </c>
      <c r="Q284">
        <f t="shared" ref="Q284" si="633">IF(B284="",NA(),G284)</f>
        <v>6.9907407378195785E-3</v>
      </c>
    </row>
    <row r="285" spans="1:17">
      <c r="A285" s="3">
        <v>46066.288854166669</v>
      </c>
      <c r="B285">
        <v>60</v>
      </c>
      <c r="C285">
        <v>20</v>
      </c>
      <c r="D285">
        <v>0</v>
      </c>
      <c r="E285">
        <v>0</v>
      </c>
      <c r="F285">
        <v>0</v>
      </c>
      <c r="G285" s="5">
        <v>4.8611111124046147E-3</v>
      </c>
      <c r="H285" t="s">
        <v>623</v>
      </c>
      <c r="I285" t="s">
        <v>624</v>
      </c>
      <c r="J285">
        <v>0</v>
      </c>
      <c r="K285">
        <f t="shared" ref="K285" si="634">IF(A285&lt;DATEVALUE("2025/11/20")+TIMEVALUE("6:00"),1,IF(OR(B285&lt;&gt;60,SUM(D285:F285)&lt;&gt;0,G285&gt;=IF(A285&lt;DATEVALUE("2025/12/28")+TIMEVALUE("6:00"),20,18)/24/60),0,2-INT(G285*24*60/10)))</f>
        <v>2</v>
      </c>
      <c r="L285">
        <f t="shared" ref="L285" si="635">L284+K285</f>
        <v>350</v>
      </c>
      <c r="M285">
        <f t="shared" ref="M285" si="636">2+IF(A285&gt;=DATEVALUE("2025/11/30")+TIMEVALUE("6:00"),1,0)+IF(A285&gt;=DATEVALUE("2025/12/11")+TIMEVALUE("6:00"),1,0)</f>
        <v>4</v>
      </c>
      <c r="N285">
        <f t="shared" ref="N285" si="637">N284+M285*(INT(A285-6/24)-INT(A284-6/24))+O285</f>
        <v>351</v>
      </c>
      <c r="O285">
        <f t="shared" si="577"/>
        <v>0</v>
      </c>
      <c r="P285" t="str">
        <f t="shared" ref="P285" si="638">IF(L285&lt;N285,"未達成（"&amp;N285-L285&amp;"）",IF(L285=N285,"達成","前倒し（"&amp;L285-N285&amp;"）"))</f>
        <v>未達成（1）</v>
      </c>
      <c r="Q285">
        <f t="shared" ref="Q285" si="639">IF(B285="",NA(),G285)</f>
        <v>4.8611111124046147E-3</v>
      </c>
    </row>
    <row r="286" spans="1:17">
      <c r="A286" s="3">
        <v>46066.301921296297</v>
      </c>
      <c r="B286">
        <v>60</v>
      </c>
      <c r="C286">
        <v>15</v>
      </c>
      <c r="D286">
        <v>0</v>
      </c>
      <c r="E286">
        <v>0</v>
      </c>
      <c r="F286">
        <v>0</v>
      </c>
      <c r="G286" s="5">
        <v>1.2199074073578231E-2</v>
      </c>
      <c r="H286" t="s">
        <v>625</v>
      </c>
      <c r="I286" t="s">
        <v>626</v>
      </c>
      <c r="J286">
        <v>0</v>
      </c>
      <c r="K286">
        <f t="shared" ref="K286" si="640">IF(A286&lt;DATEVALUE("2025/11/20")+TIMEVALUE("6:00"),1,IF(OR(B286&lt;&gt;60,SUM(D286:F286)&lt;&gt;0,G286&gt;=IF(A286&lt;DATEVALUE("2025/12/28")+TIMEVALUE("6:00"),20,18)/24/60),0,2-INT(G286*24*60/10)))</f>
        <v>1</v>
      </c>
      <c r="L286">
        <f t="shared" ref="L286" si="641">L285+K286</f>
        <v>351</v>
      </c>
      <c r="M286">
        <f t="shared" ref="M286" si="642">2+IF(A286&gt;=DATEVALUE("2025/11/30")+TIMEVALUE("6:00"),1,0)+IF(A286&gt;=DATEVALUE("2025/12/11")+TIMEVALUE("6:00"),1,0)</f>
        <v>4</v>
      </c>
      <c r="N286">
        <f t="shared" ref="N286" si="643">N285+M286*(INT(A286-6/24)-INT(A285-6/24))+O286</f>
        <v>351</v>
      </c>
      <c r="O286">
        <f t="shared" si="577"/>
        <v>0</v>
      </c>
      <c r="P286" t="str">
        <f t="shared" ref="P286" si="644">IF(L286&lt;N286,"未達成（"&amp;N286-L286&amp;"）",IF(L286=N286,"達成","前倒し（"&amp;L286-N286&amp;"）"))</f>
        <v>達成</v>
      </c>
      <c r="Q286">
        <f t="shared" ref="Q286" si="645">IF(B286="",NA(),G286)</f>
        <v>1.2199074073578231E-2</v>
      </c>
    </row>
    <row r="287" spans="1:17">
      <c r="A287" s="3">
        <v>46067.296168981484</v>
      </c>
      <c r="B287">
        <v>60</v>
      </c>
      <c r="C287">
        <v>17</v>
      </c>
      <c r="D287">
        <v>0</v>
      </c>
      <c r="E287">
        <v>0</v>
      </c>
      <c r="F287">
        <v>0</v>
      </c>
      <c r="G287" s="5">
        <v>8.1250000002910383E-3</v>
      </c>
      <c r="H287" t="s">
        <v>627</v>
      </c>
      <c r="I287" t="s">
        <v>628</v>
      </c>
      <c r="J287">
        <v>0</v>
      </c>
      <c r="K287">
        <f t="shared" ref="K287" si="646">IF(A287&lt;DATEVALUE("2025/11/20")+TIMEVALUE("6:00"),1,IF(OR(B287&lt;&gt;60,SUM(D287:F287)&lt;&gt;0,G287&gt;=IF(A287&lt;DATEVALUE("2025/12/28")+TIMEVALUE("6:00"),20,18)/24/60),0,2-INT(G287*24*60/10)))</f>
        <v>1</v>
      </c>
      <c r="L287">
        <f t="shared" ref="L287" si="647">L286+K287</f>
        <v>352</v>
      </c>
      <c r="M287">
        <f t="shared" ref="M287" si="648">2+IF(A287&gt;=DATEVALUE("2025/11/30")+TIMEVALUE("6:00"),1,0)+IF(A287&gt;=DATEVALUE("2025/12/11")+TIMEVALUE("6:00"),1,0)</f>
        <v>4</v>
      </c>
      <c r="N287">
        <f t="shared" ref="N287" si="649">N286+M287*(INT(A287-6/24)-INT(A286-6/24))+O287</f>
        <v>355</v>
      </c>
      <c r="O287">
        <f t="shared" si="577"/>
        <v>0</v>
      </c>
      <c r="P287" t="str">
        <f t="shared" ref="P287" si="650">IF(L287&lt;N287,"未達成（"&amp;N287-L287&amp;"）",IF(L287=N287,"達成","前倒し（"&amp;L287-N287&amp;"）"))</f>
        <v>未達成（3）</v>
      </c>
      <c r="Q287">
        <f t="shared" ref="Q287" si="651">IF(B287="",NA(),G287)</f>
        <v>8.1250000002910383E-3</v>
      </c>
    </row>
    <row r="288" spans="1:17">
      <c r="A288" s="3">
        <v>46067.302523148152</v>
      </c>
      <c r="B288">
        <v>57</v>
      </c>
      <c r="C288">
        <v>14</v>
      </c>
      <c r="D288">
        <v>0</v>
      </c>
      <c r="E288">
        <v>3</v>
      </c>
      <c r="F288">
        <v>0</v>
      </c>
      <c r="G288" s="5">
        <v>5.0810185202863067E-3</v>
      </c>
      <c r="H288" t="s">
        <v>629</v>
      </c>
      <c r="I288" t="s">
        <v>630</v>
      </c>
      <c r="J288">
        <v>0</v>
      </c>
      <c r="K288">
        <f t="shared" ref="K288" si="652">IF(A288&lt;DATEVALUE("2025/11/20")+TIMEVALUE("6:00"),1,IF(OR(B288&lt;&gt;60,SUM(D288:F288)&lt;&gt;0,G288&gt;=IF(A288&lt;DATEVALUE("2025/12/28")+TIMEVALUE("6:00"),20,18)/24/60),0,2-INT(G288*24*60/10)))</f>
        <v>0</v>
      </c>
      <c r="L288">
        <f t="shared" ref="L288" si="653">L287+K288</f>
        <v>352</v>
      </c>
      <c r="M288">
        <f t="shared" ref="M288" si="654">2+IF(A288&gt;=DATEVALUE("2025/11/30")+TIMEVALUE("6:00"),1,0)+IF(A288&gt;=DATEVALUE("2025/12/11")+TIMEVALUE("6:00"),1,0)</f>
        <v>4</v>
      </c>
      <c r="N288">
        <f t="shared" ref="N288" si="655">N287+M288*(INT(A288-6/24)-INT(A287-6/24))+O288</f>
        <v>355</v>
      </c>
      <c r="O288">
        <f t="shared" si="577"/>
        <v>0</v>
      </c>
      <c r="P288" t="str">
        <f t="shared" ref="P288" si="656">IF(L288&lt;N288,"未達成（"&amp;N288-L288&amp;"）",IF(L288=N288,"達成","前倒し（"&amp;L288-N288&amp;"）"))</f>
        <v>未達成（3）</v>
      </c>
      <c r="Q288">
        <f t="shared" ref="Q288" si="657">IF(B288="",NA(),G288)</f>
        <v>5.0810185202863067E-3</v>
      </c>
    </row>
    <row r="289" spans="1:17">
      <c r="A289" s="3">
        <v>46067.313206018516</v>
      </c>
      <c r="B289">
        <v>55</v>
      </c>
      <c r="C289">
        <v>12</v>
      </c>
      <c r="D289">
        <v>0</v>
      </c>
      <c r="E289">
        <v>5</v>
      </c>
      <c r="F289">
        <v>0</v>
      </c>
      <c r="G289" s="5">
        <v>1.003472221782431E-2</v>
      </c>
      <c r="H289" t="s">
        <v>631</v>
      </c>
      <c r="I289" t="s">
        <v>632</v>
      </c>
      <c r="J289">
        <v>0</v>
      </c>
      <c r="K289">
        <f t="shared" ref="K289" si="658">IF(A289&lt;DATEVALUE("2025/11/20")+TIMEVALUE("6:00"),1,IF(OR(B289&lt;&gt;60,SUM(D289:F289)&lt;&gt;0,G289&gt;=IF(A289&lt;DATEVALUE("2025/12/28")+TIMEVALUE("6:00"),20,18)/24/60),0,2-INT(G289*24*60/10)))</f>
        <v>0</v>
      </c>
      <c r="L289">
        <f t="shared" ref="L289" si="659">L288+K289</f>
        <v>352</v>
      </c>
      <c r="M289">
        <f t="shared" ref="M289" si="660">2+IF(A289&gt;=DATEVALUE("2025/11/30")+TIMEVALUE("6:00"),1,0)+IF(A289&gt;=DATEVALUE("2025/12/11")+TIMEVALUE("6:00"),1,0)</f>
        <v>4</v>
      </c>
      <c r="N289">
        <f t="shared" ref="N289" si="661">N288+M289*(INT(A289-6/24)-INT(A288-6/24))+O289</f>
        <v>355</v>
      </c>
      <c r="O289">
        <f t="shared" si="577"/>
        <v>0</v>
      </c>
      <c r="P289" t="str">
        <f t="shared" ref="P289" si="662">IF(L289&lt;N289,"未達成（"&amp;N289-L289&amp;"）",IF(L289=N289,"達成","前倒し（"&amp;L289-N289&amp;"）"))</f>
        <v>未達成（3）</v>
      </c>
      <c r="Q289">
        <f t="shared" ref="Q289" si="663">IF(B289="",NA(),G289)</f>
        <v>1.003472221782431E-2</v>
      </c>
    </row>
    <row r="290" spans="1:17">
      <c r="A290" s="3">
        <v>46067.319328703707</v>
      </c>
      <c r="B290">
        <v>60</v>
      </c>
      <c r="C290">
        <v>12</v>
      </c>
      <c r="D290">
        <v>0</v>
      </c>
      <c r="E290">
        <v>0</v>
      </c>
      <c r="F290">
        <v>0</v>
      </c>
      <c r="G290" s="5">
        <v>5.6828703745850362E-3</v>
      </c>
      <c r="H290" t="s">
        <v>633</v>
      </c>
      <c r="I290" t="s">
        <v>634</v>
      </c>
      <c r="J290">
        <v>0</v>
      </c>
      <c r="K290">
        <f t="shared" ref="K290" si="664">IF(A290&lt;DATEVALUE("2025/11/20")+TIMEVALUE("6:00"),1,IF(OR(B290&lt;&gt;60,SUM(D290:F290)&lt;&gt;0,G290&gt;=IF(A290&lt;DATEVALUE("2025/12/28")+TIMEVALUE("6:00"),20,18)/24/60),0,2-INT(G290*24*60/10)))</f>
        <v>2</v>
      </c>
      <c r="L290">
        <f t="shared" ref="L290" si="665">L289+K290</f>
        <v>354</v>
      </c>
      <c r="M290">
        <f t="shared" ref="M290" si="666">2+IF(A290&gt;=DATEVALUE("2025/11/30")+TIMEVALUE("6:00"),1,0)+IF(A290&gt;=DATEVALUE("2025/12/11")+TIMEVALUE("6:00"),1,0)</f>
        <v>4</v>
      </c>
      <c r="N290">
        <f t="shared" ref="N290" si="667">N289+M290*(INT(A290-6/24)-INT(A289-6/24))+O290</f>
        <v>355</v>
      </c>
      <c r="O290">
        <f t="shared" si="577"/>
        <v>0</v>
      </c>
      <c r="P290" t="str">
        <f t="shared" ref="P290" si="668">IF(L290&lt;N290,"未達成（"&amp;N290-L290&amp;"）",IF(L290=N290,"達成","前倒し（"&amp;L290-N290&amp;"）"))</f>
        <v>未達成（1）</v>
      </c>
      <c r="Q290">
        <f t="shared" ref="Q290" si="669">IF(B290="",NA(),G290)</f>
        <v>5.6828703745850362E-3</v>
      </c>
    </row>
    <row r="291" spans="1:17">
      <c r="A291" s="3">
        <v>46067.367638888885</v>
      </c>
      <c r="G291" s="5">
        <v>1.5393518478958867E-3</v>
      </c>
      <c r="H291" t="s">
        <v>635</v>
      </c>
      <c r="I291" t="s">
        <v>636</v>
      </c>
      <c r="J291">
        <v>1</v>
      </c>
      <c r="K291">
        <f t="shared" ref="K291" si="670">IF(A291&lt;DATEVALUE("2025/11/20")+TIMEVALUE("6:00"),1,IF(OR(B291&lt;&gt;60,SUM(D291:F291)&lt;&gt;0,G291&gt;=IF(A291&lt;DATEVALUE("2025/12/28")+TIMEVALUE("6:00"),20,18)/24/60),0,2-INT(G291*24*60/10)))</f>
        <v>0</v>
      </c>
      <c r="L291">
        <f t="shared" ref="L291" si="671">L290+K291</f>
        <v>354</v>
      </c>
      <c r="M291">
        <f t="shared" ref="M291" si="672">2+IF(A291&gt;=DATEVALUE("2025/11/30")+TIMEVALUE("6:00"),1,0)+IF(A291&gt;=DATEVALUE("2025/12/11")+TIMEVALUE("6:00"),1,0)</f>
        <v>4</v>
      </c>
      <c r="N291">
        <f t="shared" ref="N291" si="673">N290+M291*(INT(A291-6/24)-INT(A290-6/24))+O291</f>
        <v>355</v>
      </c>
      <c r="O291">
        <f t="shared" si="577"/>
        <v>0</v>
      </c>
      <c r="P291" t="str">
        <f t="shared" ref="P291" si="674">IF(L291&lt;N291,"未達成（"&amp;N291-L291&amp;"）",IF(L291=N291,"達成","前倒し（"&amp;L291-N291&amp;"）"))</f>
        <v>未達成（1）</v>
      </c>
      <c r="Q291" t="e">
        <f t="shared" ref="Q291" si="675">IF(B291="",NA(),G291)</f>
        <v>#N/A</v>
      </c>
    </row>
    <row r="292" spans="1:17">
      <c r="A292" s="3">
        <v>46067.445856481485</v>
      </c>
      <c r="B292">
        <v>60</v>
      </c>
      <c r="C292">
        <v>5</v>
      </c>
      <c r="D292">
        <v>0</v>
      </c>
      <c r="E292">
        <v>0</v>
      </c>
      <c r="F292">
        <v>0</v>
      </c>
      <c r="G292" s="5">
        <v>7.928240745968651E-3</v>
      </c>
      <c r="H292" t="s">
        <v>637</v>
      </c>
      <c r="I292" t="s">
        <v>638</v>
      </c>
      <c r="J292">
        <v>0</v>
      </c>
      <c r="K292">
        <f t="shared" ref="K292" si="676">IF(A292&lt;DATEVALUE("2025/11/20")+TIMEVALUE("6:00"),1,IF(OR(B292&lt;&gt;60,SUM(D292:F292)&lt;&gt;0,G292&gt;=IF(A292&lt;DATEVALUE("2025/12/28")+TIMEVALUE("6:00"),20,18)/24/60),0,2-INT(G292*24*60/10)))</f>
        <v>1</v>
      </c>
      <c r="L292">
        <f t="shared" ref="L292" si="677">L291+K292</f>
        <v>355</v>
      </c>
      <c r="M292">
        <f t="shared" ref="M292" si="678">2+IF(A292&gt;=DATEVALUE("2025/11/30")+TIMEVALUE("6:00"),1,0)+IF(A292&gt;=DATEVALUE("2025/12/11")+TIMEVALUE("6:00"),1,0)</f>
        <v>4</v>
      </c>
      <c r="N292">
        <f t="shared" ref="N292" si="679">N291+M292*(INT(A292-6/24)-INT(A291-6/24))+O292</f>
        <v>355</v>
      </c>
      <c r="O292">
        <f t="shared" si="577"/>
        <v>0</v>
      </c>
      <c r="P292" t="str">
        <f t="shared" ref="P292" si="680">IF(L292&lt;N292,"未達成（"&amp;N292-L292&amp;"）",IF(L292=N292,"達成","前倒し（"&amp;L292-N292&amp;"）"))</f>
        <v>達成</v>
      </c>
      <c r="Q292">
        <f t="shared" ref="Q292" si="681">IF(B292="",NA(),G292)</f>
        <v>7.928240745968651E-3</v>
      </c>
    </row>
    <row r="293" spans="1:17">
      <c r="A293" s="3">
        <v>46068.290046296293</v>
      </c>
      <c r="B293">
        <v>60</v>
      </c>
      <c r="C293">
        <v>19</v>
      </c>
      <c r="D293">
        <v>0</v>
      </c>
      <c r="E293">
        <v>0</v>
      </c>
      <c r="F293">
        <v>0</v>
      </c>
      <c r="G293" s="5">
        <v>4.2476851813262329E-3</v>
      </c>
      <c r="H293" t="s">
        <v>639</v>
      </c>
      <c r="I293" t="s">
        <v>640</v>
      </c>
      <c r="J293">
        <v>0</v>
      </c>
      <c r="K293">
        <f t="shared" ref="K293" si="682">IF(A293&lt;DATEVALUE("2025/11/20")+TIMEVALUE("6:00"),1,IF(OR(B293&lt;&gt;60,SUM(D293:F293)&lt;&gt;0,G293&gt;=IF(A293&lt;DATEVALUE("2025/12/28")+TIMEVALUE("6:00"),20,18)/24/60),0,2-INT(G293*24*60/10)))</f>
        <v>2</v>
      </c>
      <c r="L293">
        <f t="shared" ref="L293" si="683">L292+K293</f>
        <v>357</v>
      </c>
      <c r="M293">
        <f t="shared" ref="M293" si="684">2+IF(A293&gt;=DATEVALUE("2025/11/30")+TIMEVALUE("6:00"),1,0)+IF(A293&gt;=DATEVALUE("2025/12/11")+TIMEVALUE("6:00"),1,0)</f>
        <v>4</v>
      </c>
      <c r="N293">
        <f t="shared" ref="N293" si="685">N292+M293*(INT(A293-6/24)-INT(A292-6/24))+O293</f>
        <v>359</v>
      </c>
      <c r="O293">
        <f t="shared" si="577"/>
        <v>0</v>
      </c>
      <c r="P293" t="str">
        <f t="shared" ref="P293" si="686">IF(L293&lt;N293,"未達成（"&amp;N293-L293&amp;"）",IF(L293=N293,"達成","前倒し（"&amp;L293-N293&amp;"）"))</f>
        <v>未達成（2）</v>
      </c>
      <c r="Q293">
        <f t="shared" ref="Q293" si="687">IF(B293="",NA(),G293)</f>
        <v>4.2476851813262329E-3</v>
      </c>
    </row>
    <row r="294" spans="1:17">
      <c r="A294" s="3">
        <v>46068.297442129631</v>
      </c>
      <c r="B294">
        <v>60</v>
      </c>
      <c r="C294">
        <v>14</v>
      </c>
      <c r="D294">
        <v>0</v>
      </c>
      <c r="E294">
        <v>0</v>
      </c>
      <c r="F294">
        <v>0</v>
      </c>
      <c r="G294" s="5">
        <v>6.7476851836545393E-3</v>
      </c>
      <c r="H294" t="s">
        <v>641</v>
      </c>
      <c r="I294" t="s">
        <v>642</v>
      </c>
      <c r="J294">
        <v>0</v>
      </c>
      <c r="K294">
        <f t="shared" ref="K294" si="688">IF(A294&lt;DATEVALUE("2025/11/20")+TIMEVALUE("6:00"),1,IF(OR(B294&lt;&gt;60,SUM(D294:F294)&lt;&gt;0,G294&gt;=IF(A294&lt;DATEVALUE("2025/12/28")+TIMEVALUE("6:00"),20,18)/24/60),0,2-INT(G294*24*60/10)))</f>
        <v>2</v>
      </c>
      <c r="L294">
        <f t="shared" ref="L294" si="689">L293+K294</f>
        <v>359</v>
      </c>
      <c r="M294">
        <f t="shared" ref="M294" si="690">2+IF(A294&gt;=DATEVALUE("2025/11/30")+TIMEVALUE("6:00"),1,0)+IF(A294&gt;=DATEVALUE("2025/12/11")+TIMEVALUE("6:00"),1,0)</f>
        <v>4</v>
      </c>
      <c r="N294">
        <f t="shared" ref="N294" si="691">N293+M294*(INT(A294-6/24)-INT(A293-6/24))+O294</f>
        <v>359</v>
      </c>
      <c r="O294">
        <f t="shared" si="577"/>
        <v>0</v>
      </c>
      <c r="P294" t="str">
        <f t="shared" ref="P294" si="692">IF(L294&lt;N294,"未達成（"&amp;N294-L294&amp;"）",IF(L294=N294,"達成","前倒し（"&amp;L294-N294&amp;"）"))</f>
        <v>達成</v>
      </c>
      <c r="Q294">
        <f t="shared" ref="Q294" si="693">IF(B294="",NA(),G294)</f>
        <v>6.7476851836545393E-3</v>
      </c>
    </row>
    <row r="295" spans="1:17">
      <c r="A295" s="3">
        <v>46069.282627314817</v>
      </c>
      <c r="B295">
        <v>60</v>
      </c>
      <c r="C295">
        <v>7</v>
      </c>
      <c r="D295">
        <v>0</v>
      </c>
      <c r="E295">
        <v>0</v>
      </c>
      <c r="F295">
        <v>0</v>
      </c>
      <c r="G295" s="5">
        <v>8.1712963001336902E-3</v>
      </c>
      <c r="H295" t="s">
        <v>643</v>
      </c>
      <c r="I295" t="s">
        <v>644</v>
      </c>
      <c r="J295">
        <v>0</v>
      </c>
      <c r="K295">
        <f t="shared" ref="K295" si="694">IF(A295&lt;DATEVALUE("2025/11/20")+TIMEVALUE("6:00"),1,IF(OR(B295&lt;&gt;60,SUM(D295:F295)&lt;&gt;0,G295&gt;=IF(A295&lt;DATEVALUE("2025/12/28")+TIMEVALUE("6:00"),20,18)/24/60),0,2-INT(G295*24*60/10)))</f>
        <v>1</v>
      </c>
      <c r="L295">
        <f t="shared" ref="L295" si="695">L294+K295</f>
        <v>360</v>
      </c>
      <c r="M295">
        <f t="shared" ref="M295" si="696">2+IF(A295&gt;=DATEVALUE("2025/11/30")+TIMEVALUE("6:00"),1,0)+IF(A295&gt;=DATEVALUE("2025/12/11")+TIMEVALUE("6:00"),1,0)</f>
        <v>4</v>
      </c>
      <c r="N295">
        <f t="shared" ref="N295" si="697">N294+M295*(INT(A295-6/24)-INT(A294-6/24))+O295</f>
        <v>363</v>
      </c>
      <c r="O295">
        <f t="shared" si="577"/>
        <v>0</v>
      </c>
      <c r="P295" t="str">
        <f t="shared" ref="P295" si="698">IF(L295&lt;N295,"未達成（"&amp;N295-L295&amp;"）",IF(L295=N295,"達成","前倒し（"&amp;L295-N295&amp;"）"))</f>
        <v>未達成（3）</v>
      </c>
      <c r="Q295">
        <f t="shared" ref="Q295" si="699">IF(B295="",NA(),G295)</f>
        <v>8.1712963001336902E-3</v>
      </c>
    </row>
    <row r="296" spans="1:17">
      <c r="A296" s="3">
        <v>46069.288171296299</v>
      </c>
      <c r="B296">
        <v>60</v>
      </c>
      <c r="C296">
        <v>13</v>
      </c>
      <c r="D296">
        <v>0</v>
      </c>
      <c r="E296">
        <v>0</v>
      </c>
      <c r="F296">
        <v>0</v>
      </c>
      <c r="G296" s="5">
        <v>4.4444444502005354E-3</v>
      </c>
      <c r="H296" t="s">
        <v>645</v>
      </c>
      <c r="I296" t="s">
        <v>646</v>
      </c>
      <c r="J296">
        <v>0</v>
      </c>
      <c r="K296">
        <f t="shared" ref="K296" si="700">IF(A296&lt;DATEVALUE("2025/11/20")+TIMEVALUE("6:00"),1,IF(OR(B296&lt;&gt;60,SUM(D296:F296)&lt;&gt;0,G296&gt;=IF(A296&lt;DATEVALUE("2025/12/28")+TIMEVALUE("6:00"),20,18)/24/60),0,2-INT(G296*24*60/10)))</f>
        <v>2</v>
      </c>
      <c r="L296">
        <f t="shared" ref="L296" si="701">L295+K296</f>
        <v>362</v>
      </c>
      <c r="M296">
        <f t="shared" ref="M296" si="702">2+IF(A296&gt;=DATEVALUE("2025/11/30")+TIMEVALUE("6:00"),1,0)+IF(A296&gt;=DATEVALUE("2025/12/11")+TIMEVALUE("6:00"),1,0)</f>
        <v>4</v>
      </c>
      <c r="N296">
        <f t="shared" ref="N296" si="703">N295+M296*(INT(A296-6/24)-INT(A295-6/24))+O296</f>
        <v>363</v>
      </c>
      <c r="O296">
        <f t="shared" si="577"/>
        <v>0</v>
      </c>
      <c r="P296" t="str">
        <f t="shared" ref="P296" si="704">IF(L296&lt;N296,"未達成（"&amp;N296-L296&amp;"）",IF(L296=N296,"達成","前倒し（"&amp;L296-N296&amp;"）"))</f>
        <v>未達成（1）</v>
      </c>
      <c r="Q296">
        <f t="shared" ref="Q296" si="705">IF(B296="",NA(),G296)</f>
        <v>4.4444444502005354E-3</v>
      </c>
    </row>
    <row r="297" spans="1:17">
      <c r="A297" s="3">
        <v>46069.296064814815</v>
      </c>
      <c r="B297">
        <v>60</v>
      </c>
      <c r="C297">
        <v>27</v>
      </c>
      <c r="D297">
        <v>0</v>
      </c>
      <c r="E297">
        <v>0</v>
      </c>
      <c r="F297">
        <v>0</v>
      </c>
      <c r="G297" s="5">
        <v>7.3148148148902692E-3</v>
      </c>
      <c r="H297" t="s">
        <v>647</v>
      </c>
      <c r="I297" t="s">
        <v>648</v>
      </c>
      <c r="J297">
        <v>0</v>
      </c>
      <c r="K297">
        <f t="shared" ref="K297" si="706">IF(A297&lt;DATEVALUE("2025/11/20")+TIMEVALUE("6:00"),1,IF(OR(B297&lt;&gt;60,SUM(D297:F297)&lt;&gt;0,G297&gt;=IF(A297&lt;DATEVALUE("2025/12/28")+TIMEVALUE("6:00"),20,18)/24/60),0,2-INT(G297*24*60/10)))</f>
        <v>1</v>
      </c>
      <c r="L297">
        <f t="shared" ref="L297" si="707">L296+K297</f>
        <v>363</v>
      </c>
      <c r="M297">
        <f t="shared" ref="M297" si="708">2+IF(A297&gt;=DATEVALUE("2025/11/30")+TIMEVALUE("6:00"),1,0)+IF(A297&gt;=DATEVALUE("2025/12/11")+TIMEVALUE("6:00"),1,0)</f>
        <v>4</v>
      </c>
      <c r="N297">
        <f t="shared" ref="N297" si="709">N296+M297*(INT(A297-6/24)-INT(A296-6/24))+O297</f>
        <v>363</v>
      </c>
      <c r="O297">
        <f t="shared" si="577"/>
        <v>0</v>
      </c>
      <c r="P297" t="str">
        <f t="shared" ref="P297" si="710">IF(L297&lt;N297,"未達成（"&amp;N297-L297&amp;"）",IF(L297=N297,"達成","前倒し（"&amp;L297-N297&amp;"）"))</f>
        <v>達成</v>
      </c>
      <c r="Q297">
        <f t="shared" ref="Q297" si="711">IF(B297="",NA(),G297)</f>
        <v>7.3148148148902692E-3</v>
      </c>
    </row>
    <row r="298" spans="1:17">
      <c r="A298" s="3">
        <v>46070.285833333335</v>
      </c>
      <c r="B298">
        <v>60</v>
      </c>
      <c r="C298">
        <v>19</v>
      </c>
      <c r="D298">
        <v>0</v>
      </c>
      <c r="E298">
        <v>0</v>
      </c>
      <c r="F298">
        <v>0</v>
      </c>
      <c r="G298" s="5">
        <v>6.0416666674427688E-3</v>
      </c>
      <c r="H298" t="s">
        <v>649</v>
      </c>
      <c r="I298" t="s">
        <v>650</v>
      </c>
      <c r="J298">
        <v>0</v>
      </c>
      <c r="K298">
        <f t="shared" ref="K298" si="712">IF(A298&lt;DATEVALUE("2025/11/20")+TIMEVALUE("6:00"),1,IF(OR(B298&lt;&gt;60,SUM(D298:F298)&lt;&gt;0,G298&gt;=IF(A298&lt;DATEVALUE("2025/12/28")+TIMEVALUE("6:00"),20,18)/24/60),0,2-INT(G298*24*60/10)))</f>
        <v>2</v>
      </c>
      <c r="L298">
        <f t="shared" ref="L298" si="713">L297+K298</f>
        <v>365</v>
      </c>
      <c r="M298">
        <f t="shared" ref="M298" si="714">2+IF(A298&gt;=DATEVALUE("2025/11/30")+TIMEVALUE("6:00"),1,0)+IF(A298&gt;=DATEVALUE("2025/12/11")+TIMEVALUE("6:00"),1,0)</f>
        <v>4</v>
      </c>
      <c r="N298">
        <f t="shared" ref="N298" si="715">N297+M298*(INT(A298-6/24)-INT(A297-6/24))+O298</f>
        <v>367</v>
      </c>
      <c r="O298">
        <f t="shared" si="577"/>
        <v>0</v>
      </c>
      <c r="P298" t="str">
        <f t="shared" ref="P298" si="716">IF(L298&lt;N298,"未達成（"&amp;N298-L298&amp;"）",IF(L298=N298,"達成","前倒し（"&amp;L298-N298&amp;"）"))</f>
        <v>未達成（2）</v>
      </c>
      <c r="Q298">
        <f t="shared" ref="Q298" si="717">IF(B298="",NA(),G298)</f>
        <v>6.0416666674427688E-3</v>
      </c>
    </row>
    <row r="299" spans="1:17">
      <c r="A299" s="3">
        <v>46070.29115740741</v>
      </c>
      <c r="B299">
        <v>60</v>
      </c>
      <c r="C299">
        <v>15</v>
      </c>
      <c r="D299">
        <v>0</v>
      </c>
      <c r="E299">
        <v>0</v>
      </c>
      <c r="F299">
        <v>0</v>
      </c>
      <c r="G299" s="5">
        <v>4.4212962966412306E-3</v>
      </c>
      <c r="H299" t="s">
        <v>651</v>
      </c>
      <c r="I299" t="s">
        <v>652</v>
      </c>
      <c r="J299">
        <v>0</v>
      </c>
      <c r="K299">
        <f t="shared" ref="K299" si="718">IF(A299&lt;DATEVALUE("2025/11/20")+TIMEVALUE("6:00"),1,IF(OR(B299&lt;&gt;60,SUM(D299:F299)&lt;&gt;0,G299&gt;=IF(A299&lt;DATEVALUE("2025/12/28")+TIMEVALUE("6:00"),20,18)/24/60),0,2-INT(G299*24*60/10)))</f>
        <v>2</v>
      </c>
      <c r="L299">
        <f t="shared" ref="L299" si="719">L298+K299</f>
        <v>367</v>
      </c>
      <c r="M299">
        <f t="shared" ref="M299" si="720">2+IF(A299&gt;=DATEVALUE("2025/11/30")+TIMEVALUE("6:00"),1,0)+IF(A299&gt;=DATEVALUE("2025/12/11")+TIMEVALUE("6:00"),1,0)</f>
        <v>4</v>
      </c>
      <c r="N299">
        <f t="shared" ref="N299" si="721">N298+M299*(INT(A299-6/24)-INT(A298-6/24))+O299</f>
        <v>367</v>
      </c>
      <c r="O299">
        <f t="shared" si="577"/>
        <v>0</v>
      </c>
      <c r="P299" t="str">
        <f t="shared" ref="P299" si="722">IF(L299&lt;N299,"未達成（"&amp;N299-L299&amp;"）",IF(L299=N299,"達成","前倒し（"&amp;L299-N299&amp;"）"))</f>
        <v>達成</v>
      </c>
      <c r="Q299">
        <f t="shared" ref="Q299" si="723">IF(B299="",NA(),G299)</f>
        <v>4.4212962966412306E-3</v>
      </c>
    </row>
    <row r="300" spans="1:17">
      <c r="A300" s="3">
        <v>46071.285358796296</v>
      </c>
      <c r="B300">
        <v>60</v>
      </c>
      <c r="C300">
        <v>14</v>
      </c>
      <c r="D300">
        <v>0</v>
      </c>
      <c r="E300">
        <v>0</v>
      </c>
      <c r="F300">
        <v>0</v>
      </c>
      <c r="G300" s="5">
        <v>8.2175925927003846E-3</v>
      </c>
      <c r="H300" t="s">
        <v>653</v>
      </c>
      <c r="I300" t="s">
        <v>654</v>
      </c>
      <c r="J300">
        <v>0</v>
      </c>
      <c r="K300">
        <f t="shared" ref="K300" si="724">IF(A300&lt;DATEVALUE("2025/11/20")+TIMEVALUE("6:00"),1,IF(OR(B300&lt;&gt;60,SUM(D300:F300)&lt;&gt;0,G300&gt;=IF(A300&lt;DATEVALUE("2025/12/28")+TIMEVALUE("6:00"),20,18)/24/60),0,2-INT(G300*24*60/10)))</f>
        <v>1</v>
      </c>
      <c r="L300">
        <f t="shared" ref="L300" si="725">L299+K300</f>
        <v>368</v>
      </c>
      <c r="M300">
        <f t="shared" ref="M300" si="726">2+IF(A300&gt;=DATEVALUE("2025/11/30")+TIMEVALUE("6:00"),1,0)+IF(A300&gt;=DATEVALUE("2025/12/11")+TIMEVALUE("6:00"),1,0)</f>
        <v>4</v>
      </c>
      <c r="N300">
        <f t="shared" ref="N300" si="727">N299+M300*(INT(A300-6/24)-INT(A299-6/24))+O300</f>
        <v>371</v>
      </c>
      <c r="O300">
        <f t="shared" si="577"/>
        <v>0</v>
      </c>
      <c r="P300" t="str">
        <f t="shared" ref="P300" si="728">IF(L300&lt;N300,"未達成（"&amp;N300-L300&amp;"）",IF(L300=N300,"達成","前倒し（"&amp;L300-N300&amp;"）"))</f>
        <v>未達成（3）</v>
      </c>
      <c r="Q300">
        <f t="shared" ref="Q300" si="729">IF(B300="",NA(),G300)</f>
        <v>8.2175925927003846E-3</v>
      </c>
    </row>
    <row r="301" spans="1:17">
      <c r="A301" s="3">
        <v>46071.29247685185</v>
      </c>
      <c r="B301">
        <v>60</v>
      </c>
      <c r="C301">
        <v>22</v>
      </c>
      <c r="D301">
        <v>0</v>
      </c>
      <c r="E301">
        <v>0</v>
      </c>
      <c r="F301">
        <v>0</v>
      </c>
      <c r="G301" s="5">
        <v>6.5393518525524996E-3</v>
      </c>
      <c r="H301" t="s">
        <v>655</v>
      </c>
      <c r="I301" t="s">
        <v>656</v>
      </c>
      <c r="J301">
        <v>0</v>
      </c>
      <c r="K301">
        <f t="shared" ref="K301" si="730">IF(A301&lt;DATEVALUE("2025/11/20")+TIMEVALUE("6:00"),1,IF(OR(B301&lt;&gt;60,SUM(D301:F301)&lt;&gt;0,G301&gt;=IF(A301&lt;DATEVALUE("2025/12/28")+TIMEVALUE("6:00"),20,18)/24/60),0,2-INT(G301*24*60/10)))</f>
        <v>2</v>
      </c>
      <c r="L301">
        <f t="shared" ref="L301" si="731">L300+K301</f>
        <v>370</v>
      </c>
      <c r="M301">
        <f t="shared" ref="M301" si="732">2+IF(A301&gt;=DATEVALUE("2025/11/30")+TIMEVALUE("6:00"),1,0)+IF(A301&gt;=DATEVALUE("2025/12/11")+TIMEVALUE("6:00"),1,0)</f>
        <v>4</v>
      </c>
      <c r="N301">
        <f t="shared" ref="N301" si="733">N300+M301*(INT(A301-6/24)-INT(A300-6/24))+O301</f>
        <v>371</v>
      </c>
      <c r="O301">
        <f t="shared" si="577"/>
        <v>0</v>
      </c>
      <c r="P301" t="str">
        <f t="shared" ref="P301" si="734">IF(L301&lt;N301,"未達成（"&amp;N301-L301&amp;"）",IF(L301=N301,"達成","前倒し（"&amp;L301-N301&amp;"）"))</f>
        <v>未達成（1）</v>
      </c>
      <c r="Q301">
        <f t="shared" ref="Q301" si="735">IF(B301="",NA(),G301)</f>
        <v>6.5393518525524996E-3</v>
      </c>
    </row>
    <row r="302" spans="1:17">
      <c r="A302" s="3">
        <v>46071.301759259259</v>
      </c>
      <c r="B302">
        <v>54</v>
      </c>
      <c r="C302">
        <v>14</v>
      </c>
      <c r="D302">
        <v>0</v>
      </c>
      <c r="E302">
        <v>6</v>
      </c>
      <c r="F302">
        <v>0</v>
      </c>
      <c r="G302" s="5">
        <v>6.9097222221898846E-3</v>
      </c>
      <c r="H302" t="s">
        <v>657</v>
      </c>
      <c r="I302" t="s">
        <v>658</v>
      </c>
      <c r="J302">
        <v>0</v>
      </c>
      <c r="K302">
        <f t="shared" ref="K302" si="736">IF(A302&lt;DATEVALUE("2025/11/20")+TIMEVALUE("6:00"),1,IF(OR(B302&lt;&gt;60,SUM(D302:F302)&lt;&gt;0,G302&gt;=IF(A302&lt;DATEVALUE("2025/12/28")+TIMEVALUE("6:00"),20,18)/24/60),0,2-INT(G302*24*60/10)))</f>
        <v>0</v>
      </c>
      <c r="L302">
        <f t="shared" ref="L302" si="737">L301+K302</f>
        <v>370</v>
      </c>
      <c r="M302">
        <f t="shared" ref="M302" si="738">2+IF(A302&gt;=DATEVALUE("2025/11/30")+TIMEVALUE("6:00"),1,0)+IF(A302&gt;=DATEVALUE("2025/12/11")+TIMEVALUE("6:00"),1,0)</f>
        <v>4</v>
      </c>
      <c r="N302">
        <f t="shared" ref="N302" si="739">N301+M302*(INT(A302-6/24)-INT(A301-6/24))+O302</f>
        <v>371</v>
      </c>
      <c r="O302">
        <f t="shared" si="577"/>
        <v>0</v>
      </c>
      <c r="P302" t="str">
        <f t="shared" ref="P302" si="740">IF(L302&lt;N302,"未達成（"&amp;N302-L302&amp;"）",IF(L302=N302,"達成","前倒し（"&amp;L302-N302&amp;"）"))</f>
        <v>未達成（1）</v>
      </c>
      <c r="Q302">
        <f t="shared" ref="Q302" si="741">IF(B302="",NA(),G302)</f>
        <v>6.9097222221898846E-3</v>
      </c>
    </row>
    <row r="303" spans="1:17">
      <c r="A303" s="3">
        <v>46071.309282407405</v>
      </c>
      <c r="B303">
        <v>60</v>
      </c>
      <c r="C303">
        <v>13</v>
      </c>
      <c r="D303">
        <v>0</v>
      </c>
      <c r="E303">
        <v>0</v>
      </c>
      <c r="F303">
        <v>0</v>
      </c>
      <c r="G303" s="5">
        <v>6.8287036992842332E-3</v>
      </c>
      <c r="H303" t="s">
        <v>659</v>
      </c>
      <c r="I303" t="s">
        <v>660</v>
      </c>
      <c r="J303">
        <v>0</v>
      </c>
      <c r="K303">
        <f t="shared" ref="K303" si="742">IF(A303&lt;DATEVALUE("2025/11/20")+TIMEVALUE("6:00"),1,IF(OR(B303&lt;&gt;60,SUM(D303:F303)&lt;&gt;0,G303&gt;=IF(A303&lt;DATEVALUE("2025/12/28")+TIMEVALUE("6:00"),20,18)/24/60),0,2-INT(G303*24*60/10)))</f>
        <v>2</v>
      </c>
      <c r="L303">
        <f t="shared" ref="L303" si="743">L302+K303</f>
        <v>372</v>
      </c>
      <c r="M303">
        <f t="shared" ref="M303" si="744">2+IF(A303&gt;=DATEVALUE("2025/11/30")+TIMEVALUE("6:00"),1,0)+IF(A303&gt;=DATEVALUE("2025/12/11")+TIMEVALUE("6:00"),1,0)</f>
        <v>4</v>
      </c>
      <c r="N303">
        <f t="shared" ref="N303" si="745">N302+M303*(INT(A303-6/24)-INT(A302-6/24))+O303</f>
        <v>371</v>
      </c>
      <c r="O303">
        <f t="shared" si="577"/>
        <v>0</v>
      </c>
      <c r="P303" t="str">
        <f t="shared" ref="P303" si="746">IF(L303&lt;N303,"未達成（"&amp;N303-L303&amp;"）",IF(L303=N303,"達成","前倒し（"&amp;L303-N303&amp;"）"))</f>
        <v>前倒し（1）</v>
      </c>
      <c r="Q303">
        <f t="shared" ref="Q303" si="747">IF(B303="",NA(),G303)</f>
        <v>6.8287036992842332E-3</v>
      </c>
    </row>
    <row r="304" spans="1:17">
      <c r="A304" s="3">
        <v>46072.296064814815</v>
      </c>
      <c r="B304">
        <v>60</v>
      </c>
      <c r="C304">
        <v>4</v>
      </c>
      <c r="D304">
        <v>0</v>
      </c>
      <c r="E304">
        <v>0</v>
      </c>
      <c r="F304">
        <v>0</v>
      </c>
      <c r="G304" s="5">
        <v>8.0555555541650392E-3</v>
      </c>
      <c r="H304" t="s">
        <v>661</v>
      </c>
      <c r="I304" t="s">
        <v>662</v>
      </c>
      <c r="J304">
        <v>0</v>
      </c>
      <c r="K304">
        <f t="shared" ref="K304" si="748">IF(A304&lt;DATEVALUE("2025/11/20")+TIMEVALUE("6:00"),1,IF(OR(B304&lt;&gt;60,SUM(D304:F304)&lt;&gt;0,G304&gt;=IF(A304&lt;DATEVALUE("2025/12/28")+TIMEVALUE("6:00"),20,18)/24/60),0,2-INT(G304*24*60/10)))</f>
        <v>1</v>
      </c>
      <c r="L304">
        <f t="shared" ref="L304" si="749">L303+K304</f>
        <v>373</v>
      </c>
      <c r="M304">
        <f t="shared" ref="M304" si="750">2+IF(A304&gt;=DATEVALUE("2025/11/30")+TIMEVALUE("6:00"),1,0)+IF(A304&gt;=DATEVALUE("2025/12/11")+TIMEVALUE("6:00"),1,0)</f>
        <v>4</v>
      </c>
      <c r="N304">
        <f t="shared" ref="N304" si="751">N303+M304*(INT(A304-6/24)-INT(A303-6/24))+O304</f>
        <v>375</v>
      </c>
      <c r="O304">
        <f t="shared" si="577"/>
        <v>0</v>
      </c>
      <c r="P304" t="str">
        <f t="shared" ref="P304" si="752">IF(L304&lt;N304,"未達成（"&amp;N304-L304&amp;"）",IF(L304=N304,"達成","前倒し（"&amp;L304-N304&amp;"）"))</f>
        <v>未達成（2）</v>
      </c>
      <c r="Q304">
        <f t="shared" ref="Q304" si="753">IF(B304="",NA(),G304)</f>
        <v>8.0555555541650392E-3</v>
      </c>
    </row>
    <row r="305" spans="1:17">
      <c r="A305" s="3">
        <v>46072.303217592591</v>
      </c>
      <c r="B305">
        <v>60</v>
      </c>
      <c r="C305">
        <v>27</v>
      </c>
      <c r="D305">
        <v>0</v>
      </c>
      <c r="E305">
        <v>0</v>
      </c>
      <c r="F305">
        <v>0</v>
      </c>
      <c r="G305" s="5">
        <v>6.4930555527098477E-3</v>
      </c>
      <c r="H305" t="s">
        <v>663</v>
      </c>
      <c r="I305" t="s">
        <v>664</v>
      </c>
      <c r="J305">
        <v>0</v>
      </c>
      <c r="K305">
        <f t="shared" ref="K305" si="754">IF(A305&lt;DATEVALUE("2025/11/20")+TIMEVALUE("6:00"),1,IF(OR(B305&lt;&gt;60,SUM(D305:F305)&lt;&gt;0,G305&gt;=IF(A305&lt;DATEVALUE("2025/12/28")+TIMEVALUE("6:00"),20,18)/24/60),0,2-INT(G305*24*60/10)))</f>
        <v>2</v>
      </c>
      <c r="L305">
        <f t="shared" ref="L305" si="755">L304+K305</f>
        <v>375</v>
      </c>
      <c r="M305">
        <f t="shared" ref="M305" si="756">2+IF(A305&gt;=DATEVALUE("2025/11/30")+TIMEVALUE("6:00"),1,0)+IF(A305&gt;=DATEVALUE("2025/12/11")+TIMEVALUE("6:00"),1,0)</f>
        <v>4</v>
      </c>
      <c r="N305">
        <f t="shared" ref="N305" si="757">N304+M305*(INT(A305-6/24)-INT(A304-6/24))+O305</f>
        <v>375</v>
      </c>
      <c r="O305">
        <f t="shared" si="577"/>
        <v>0</v>
      </c>
      <c r="P305" t="str">
        <f t="shared" ref="P305" si="758">IF(L305&lt;N305,"未達成（"&amp;N305-L305&amp;"）",IF(L305=N305,"達成","前倒し（"&amp;L305-N305&amp;"）"))</f>
        <v>達成</v>
      </c>
      <c r="Q305">
        <f t="shared" ref="Q305" si="759">IF(B305="",NA(),G305)</f>
        <v>6.4930555527098477E-3</v>
      </c>
    </row>
    <row r="306" spans="1:17">
      <c r="A306" s="3">
        <v>46073.294212962966</v>
      </c>
      <c r="B306">
        <v>60</v>
      </c>
      <c r="C306">
        <v>11</v>
      </c>
      <c r="D306">
        <v>0</v>
      </c>
      <c r="E306">
        <v>0</v>
      </c>
      <c r="F306">
        <v>0</v>
      </c>
      <c r="G306" s="5">
        <v>5.3472222280106507E-3</v>
      </c>
      <c r="H306" t="s">
        <v>665</v>
      </c>
      <c r="I306" t="s">
        <v>666</v>
      </c>
      <c r="J306">
        <v>0</v>
      </c>
      <c r="K306">
        <f t="shared" ref="K306" si="760">IF(A306&lt;DATEVALUE("2025/11/20")+TIMEVALUE("6:00"),1,IF(OR(B306&lt;&gt;60,SUM(D306:F306)&lt;&gt;0,G306&gt;=IF(A306&lt;DATEVALUE("2025/12/28")+TIMEVALUE("6:00"),20,18)/24/60),0,2-INT(G306*24*60/10)))</f>
        <v>2</v>
      </c>
      <c r="L306">
        <f t="shared" ref="L306" si="761">L305+K306</f>
        <v>377</v>
      </c>
      <c r="M306">
        <f t="shared" ref="M306" si="762">2+IF(A306&gt;=DATEVALUE("2025/11/30")+TIMEVALUE("6:00"),1,0)+IF(A306&gt;=DATEVALUE("2025/12/11")+TIMEVALUE("6:00"),1,0)</f>
        <v>4</v>
      </c>
      <c r="N306">
        <f t="shared" ref="N306" si="763">N305+M306*(INT(A306-6/24)-INT(A305-6/24))+O306</f>
        <v>379</v>
      </c>
      <c r="O306">
        <f t="shared" si="577"/>
        <v>0</v>
      </c>
      <c r="P306" t="str">
        <f t="shared" ref="P306" si="764">IF(L306&lt;N306,"未達成（"&amp;N306-L306&amp;"）",IF(L306=N306,"達成","前倒し（"&amp;L306-N306&amp;"）"))</f>
        <v>未達成（2）</v>
      </c>
      <c r="Q306">
        <f t="shared" ref="Q306" si="765">IF(B306="",NA(),G306)</f>
        <v>5.3472222280106507E-3</v>
      </c>
    </row>
    <row r="307" spans="1:17">
      <c r="A307" s="3">
        <v>46073.303460648145</v>
      </c>
      <c r="B307">
        <v>60</v>
      </c>
      <c r="C307">
        <v>14</v>
      </c>
      <c r="D307">
        <v>0</v>
      </c>
      <c r="E307">
        <v>0</v>
      </c>
      <c r="F307">
        <v>0</v>
      </c>
      <c r="G307" s="5">
        <v>8.4606481468654238E-3</v>
      </c>
      <c r="H307" t="s">
        <v>667</v>
      </c>
      <c r="I307" t="s">
        <v>668</v>
      </c>
      <c r="J307">
        <v>0</v>
      </c>
      <c r="K307">
        <f t="shared" ref="K307" si="766">IF(A307&lt;DATEVALUE("2025/11/20")+TIMEVALUE("6:00"),1,IF(OR(B307&lt;&gt;60,SUM(D307:F307)&lt;&gt;0,G307&gt;=IF(A307&lt;DATEVALUE("2025/12/28")+TIMEVALUE("6:00"),20,18)/24/60),0,2-INT(G307*24*60/10)))</f>
        <v>1</v>
      </c>
      <c r="L307">
        <f t="shared" ref="L307" si="767">L306+K307</f>
        <v>378</v>
      </c>
      <c r="M307">
        <f t="shared" ref="M307" si="768">2+IF(A307&gt;=DATEVALUE("2025/11/30")+TIMEVALUE("6:00"),1,0)+IF(A307&gt;=DATEVALUE("2025/12/11")+TIMEVALUE("6:00"),1,0)</f>
        <v>4</v>
      </c>
      <c r="N307">
        <f t="shared" ref="N307" si="769">N306+M307*(INT(A307-6/24)-INT(A306-6/24))+O307</f>
        <v>379</v>
      </c>
      <c r="O307">
        <f t="shared" si="577"/>
        <v>0</v>
      </c>
      <c r="P307" t="str">
        <f t="shared" ref="P307" si="770">IF(L307&lt;N307,"未達成（"&amp;N307-L307&amp;"）",IF(L307=N307,"達成","前倒し（"&amp;L307-N307&amp;"）"))</f>
        <v>未達成（1）</v>
      </c>
      <c r="Q307">
        <f t="shared" ref="Q307" si="771">IF(B307="",NA(),G307)</f>
        <v>8.4606481468654238E-3</v>
      </c>
    </row>
    <row r="308" spans="1:17">
      <c r="A308" s="3">
        <v>46073.309305555558</v>
      </c>
      <c r="B308">
        <v>60</v>
      </c>
      <c r="C308">
        <v>6</v>
      </c>
      <c r="D308">
        <v>0</v>
      </c>
      <c r="E308">
        <v>0</v>
      </c>
      <c r="F308">
        <v>0</v>
      </c>
      <c r="G308" s="5">
        <v>5.2546296356013045E-3</v>
      </c>
      <c r="H308" t="s">
        <v>669</v>
      </c>
      <c r="I308" t="s">
        <v>670</v>
      </c>
      <c r="J308">
        <v>0</v>
      </c>
      <c r="K308">
        <f t="shared" ref="K308" si="772">IF(A308&lt;DATEVALUE("2025/11/20")+TIMEVALUE("6:00"),1,IF(OR(B308&lt;&gt;60,SUM(D308:F308)&lt;&gt;0,G308&gt;=IF(A308&lt;DATEVALUE("2025/12/28")+TIMEVALUE("6:00"),20,18)/24/60),0,2-INT(G308*24*60/10)))</f>
        <v>2</v>
      </c>
      <c r="L308">
        <f t="shared" ref="L308" si="773">L307+K308</f>
        <v>380</v>
      </c>
      <c r="M308">
        <f t="shared" ref="M308" si="774">2+IF(A308&gt;=DATEVALUE("2025/11/30")+TIMEVALUE("6:00"),1,0)+IF(A308&gt;=DATEVALUE("2025/12/11")+TIMEVALUE("6:00"),1,0)</f>
        <v>4</v>
      </c>
      <c r="N308">
        <f t="shared" ref="N308" si="775">N307+M308*(INT(A308-6/24)-INT(A307-6/24))+O308</f>
        <v>379</v>
      </c>
      <c r="O308">
        <f t="shared" si="577"/>
        <v>0</v>
      </c>
      <c r="P308" t="str">
        <f t="shared" ref="P308" si="776">IF(L308&lt;N308,"未達成（"&amp;N308-L308&amp;"）",IF(L308=N308,"達成","前倒し（"&amp;L308-N308&amp;"）"))</f>
        <v>前倒し（1）</v>
      </c>
      <c r="Q308">
        <f t="shared" ref="Q308" si="777">IF(B308="",NA(),G308)</f>
        <v>5.2546296356013045E-3</v>
      </c>
    </row>
    <row r="309" spans="1:17">
      <c r="A309" s="3">
        <v>46074.309247685182</v>
      </c>
      <c r="B309">
        <v>60</v>
      </c>
      <c r="C309">
        <v>16</v>
      </c>
      <c r="D309">
        <v>0</v>
      </c>
      <c r="E309">
        <v>0</v>
      </c>
      <c r="F309">
        <v>0</v>
      </c>
      <c r="G309" s="5">
        <v>5.8912036984111182E-3</v>
      </c>
      <c r="H309" t="s">
        <v>671</v>
      </c>
      <c r="I309" t="s">
        <v>672</v>
      </c>
      <c r="J309">
        <v>0</v>
      </c>
      <c r="K309">
        <f t="shared" ref="K309" si="778">IF(A309&lt;DATEVALUE("2025/11/20")+TIMEVALUE("6:00"),1,IF(OR(B309&lt;&gt;60,SUM(D309:F309)&lt;&gt;0,G309&gt;=IF(A309&lt;DATEVALUE("2025/12/28")+TIMEVALUE("6:00"),20,18)/24/60),0,2-INT(G309*24*60/10)))</f>
        <v>2</v>
      </c>
      <c r="L309">
        <f t="shared" ref="L309" si="779">L308+K309</f>
        <v>382</v>
      </c>
      <c r="M309">
        <f t="shared" ref="M309" si="780">2+IF(A309&gt;=DATEVALUE("2025/11/30")+TIMEVALUE("6:00"),1,0)+IF(A309&gt;=DATEVALUE("2025/12/11")+TIMEVALUE("6:00"),1,0)</f>
        <v>4</v>
      </c>
      <c r="N309">
        <f t="shared" ref="N309" si="781">N308+M309*(INT(A309-6/24)-INT(A308-6/24))+O309</f>
        <v>384</v>
      </c>
      <c r="O309">
        <f t="shared" si="577"/>
        <v>1</v>
      </c>
      <c r="P309" t="str">
        <f t="shared" ref="P309" si="782">IF(L309&lt;N309,"未達成（"&amp;N309-L309&amp;"）",IF(L309=N309,"達成","前倒し（"&amp;L309-N309&amp;"）"))</f>
        <v>未達成（2）</v>
      </c>
      <c r="Q309">
        <f t="shared" ref="Q309" si="783">IF(B309="",NA(),G309)</f>
        <v>5.8912036984111182E-3</v>
      </c>
    </row>
    <row r="310" spans="1:17">
      <c r="A310" s="3">
        <v>46074.316076388888</v>
      </c>
      <c r="B310">
        <v>60</v>
      </c>
      <c r="C310">
        <v>12</v>
      </c>
      <c r="D310">
        <v>0</v>
      </c>
      <c r="E310">
        <v>0</v>
      </c>
      <c r="F310">
        <v>0</v>
      </c>
      <c r="G310" s="5">
        <v>6.2152777754818089E-3</v>
      </c>
      <c r="H310" t="s">
        <v>673</v>
      </c>
      <c r="I310" t="s">
        <v>674</v>
      </c>
      <c r="J310">
        <v>0</v>
      </c>
      <c r="K310">
        <f t="shared" ref="K310" si="784">IF(A310&lt;DATEVALUE("2025/11/20")+TIMEVALUE("6:00"),1,IF(OR(B310&lt;&gt;60,SUM(D310:F310)&lt;&gt;0,G310&gt;=IF(A310&lt;DATEVALUE("2025/12/28")+TIMEVALUE("6:00"),20,18)/24/60),0,2-INT(G310*24*60/10)))</f>
        <v>2</v>
      </c>
      <c r="L310">
        <f t="shared" ref="L310" si="785">L309+K310</f>
        <v>384</v>
      </c>
      <c r="M310">
        <f t="shared" ref="M310" si="786">2+IF(A310&gt;=DATEVALUE("2025/11/30")+TIMEVALUE("6:00"),1,0)+IF(A310&gt;=DATEVALUE("2025/12/11")+TIMEVALUE("6:00"),1,0)</f>
        <v>4</v>
      </c>
      <c r="N310">
        <f t="shared" ref="N310" si="787">N309+M310*(INT(A310-6/24)-INT(A309-6/24))+O310</f>
        <v>384</v>
      </c>
      <c r="O310">
        <f t="shared" si="577"/>
        <v>0</v>
      </c>
      <c r="P310" t="str">
        <f t="shared" ref="P310" si="788">IF(L310&lt;N310,"未達成（"&amp;N310-L310&amp;"）",IF(L310=N310,"達成","前倒し（"&amp;L310-N310&amp;"）"))</f>
        <v>達成</v>
      </c>
      <c r="Q310">
        <f t="shared" ref="Q310" si="789">IF(B310="",NA(),G310)</f>
        <v>6.2152777754818089E-3</v>
      </c>
    </row>
    <row r="311" spans="1:17">
      <c r="A311" s="3">
        <v>46075.278703703705</v>
      </c>
      <c r="B311">
        <v>60</v>
      </c>
      <c r="C311">
        <v>8</v>
      </c>
      <c r="D311">
        <v>0</v>
      </c>
      <c r="E311">
        <v>0</v>
      </c>
      <c r="F311">
        <v>0</v>
      </c>
      <c r="G311" s="5">
        <v>9.1203703705104999E-3</v>
      </c>
      <c r="H311" t="s">
        <v>676</v>
      </c>
      <c r="I311" t="s">
        <v>677</v>
      </c>
      <c r="J311">
        <v>0</v>
      </c>
      <c r="K311">
        <f t="shared" ref="K311" si="790">IF(A311&lt;DATEVALUE("2025/11/20")+TIMEVALUE("6:00"),1,IF(OR(B311&lt;&gt;60,SUM(D311:F311)&lt;&gt;0,G311&gt;=IF(A311&lt;DATEVALUE("2025/12/28")+TIMEVALUE("6:00"),20,18)/24/60),0,2-INT(G311*24*60/10)))</f>
        <v>1</v>
      </c>
      <c r="L311">
        <f t="shared" ref="L311" si="791">L310+K311</f>
        <v>385</v>
      </c>
      <c r="M311">
        <f t="shared" ref="M311" si="792">2+IF(A311&gt;=DATEVALUE("2025/11/30")+TIMEVALUE("6:00"),1,0)+IF(A311&gt;=DATEVALUE("2025/12/11")+TIMEVALUE("6:00"),1,0)</f>
        <v>4</v>
      </c>
      <c r="N311">
        <f t="shared" ref="N311" si="793">N310+M311*(INT(A311-6/24)-INT(A310-6/24))+O311</f>
        <v>388</v>
      </c>
      <c r="O311">
        <f t="shared" ref="O311" si="794">IF(A311&gt;=DATEVALUE("2025/11/8")+TIMEVALUE("6:00"),1,0)-IF(A310&gt;=DATEVALUE("2025/11/8")+TIMEVALUE("6:00"),1,0)
+IF(A311&gt;=DATEVALUE("2026/1/22")+TIMEVALUE("6:00"),3,0)-IF(A310&gt;=DATEVALUE("2026/1/22")+TIMEVALUE("6:00"),3,0)
+IF(A311&gt;=DATEVALUE("2026/2/21")+TIMEVALUE("6:00"),1,0)-IF(A310&gt;=DATEVALUE("2026/2/21")+TIMEVALUE("6:00"),1,0)</f>
        <v>0</v>
      </c>
      <c r="P311" t="str">
        <f t="shared" ref="P311" si="795">IF(L311&lt;N311,"未達成（"&amp;N311-L311&amp;"）",IF(L311=N311,"達成","前倒し（"&amp;L311-N311&amp;"）"))</f>
        <v>未達成（3）</v>
      </c>
      <c r="Q311">
        <f t="shared" ref="Q311" si="796">IF(B311="",NA(),G311)</f>
        <v>9.1203703705104999E-3</v>
      </c>
    </row>
    <row r="312" spans="1:17">
      <c r="A312" s="3">
        <v>46075.28570601852</v>
      </c>
      <c r="B312">
        <v>60</v>
      </c>
      <c r="C312">
        <v>8</v>
      </c>
      <c r="D312">
        <v>0</v>
      </c>
      <c r="E312">
        <v>0</v>
      </c>
      <c r="F312">
        <v>0</v>
      </c>
      <c r="G312" s="5">
        <v>6.2615740753244609E-3</v>
      </c>
      <c r="H312" t="s">
        <v>678</v>
      </c>
      <c r="I312" t="s">
        <v>679</v>
      </c>
      <c r="J312">
        <v>0</v>
      </c>
      <c r="K312">
        <f t="shared" ref="K312" si="797">IF(A312&lt;DATEVALUE("2025/11/20")+TIMEVALUE("6:00"),1,IF(OR(B312&lt;&gt;60,SUM(D312:F312)&lt;&gt;0,G312&gt;=IF(A312&lt;DATEVALUE("2025/12/28")+TIMEVALUE("6:00"),20,18)/24/60),0,2-INT(G312*24*60/10)))</f>
        <v>2</v>
      </c>
      <c r="L312">
        <f t="shared" ref="L312" si="798">L311+K312</f>
        <v>387</v>
      </c>
      <c r="M312">
        <f t="shared" ref="M312" si="799">2+IF(A312&gt;=DATEVALUE("2025/11/30")+TIMEVALUE("6:00"),1,0)+IF(A312&gt;=DATEVALUE("2025/12/11")+TIMEVALUE("6:00"),1,0)</f>
        <v>4</v>
      </c>
      <c r="N312">
        <f t="shared" ref="N312" si="800">N311+M312*(INT(A312-6/24)-INT(A311-6/24))+O312</f>
        <v>388</v>
      </c>
      <c r="O312">
        <f t="shared" ref="O312" si="801">IF(A312&gt;=DATEVALUE("2025/11/8")+TIMEVALUE("6:00"),1,0)-IF(A311&gt;=DATEVALUE("2025/11/8")+TIMEVALUE("6:00"),1,0)
+IF(A312&gt;=DATEVALUE("2026/1/22")+TIMEVALUE("6:00"),3,0)-IF(A311&gt;=DATEVALUE("2026/1/22")+TIMEVALUE("6:00"),3,0)
+IF(A312&gt;=DATEVALUE("2026/2/21")+TIMEVALUE("6:00"),1,0)-IF(A311&gt;=DATEVALUE("2026/2/21")+TIMEVALUE("6:00"),1,0)</f>
        <v>0</v>
      </c>
      <c r="P312" t="str">
        <f t="shared" ref="P312" si="802">IF(L312&lt;N312,"未達成（"&amp;N312-L312&amp;"）",IF(L312=N312,"達成","前倒し（"&amp;L312-N312&amp;"）"))</f>
        <v>未達成（1）</v>
      </c>
      <c r="Q312">
        <f t="shared" ref="Q312" si="803">IF(B312="",NA(),G312)</f>
        <v>6.2615740753244609E-3</v>
      </c>
    </row>
    <row r="313" spans="1:17">
      <c r="A313" s="3">
        <v>46075.294641203705</v>
      </c>
      <c r="B313">
        <v>60</v>
      </c>
      <c r="C313">
        <v>26</v>
      </c>
      <c r="D313">
        <v>0</v>
      </c>
      <c r="E313">
        <v>0</v>
      </c>
      <c r="F313">
        <v>0</v>
      </c>
      <c r="G313" s="5">
        <v>8.2175925927003846E-3</v>
      </c>
      <c r="H313" t="s">
        <v>680</v>
      </c>
      <c r="I313" t="s">
        <v>681</v>
      </c>
      <c r="J313">
        <v>0</v>
      </c>
      <c r="K313">
        <f t="shared" ref="K313" si="804">IF(A313&lt;DATEVALUE("2025/11/20")+TIMEVALUE("6:00"),1,IF(OR(B313&lt;&gt;60,SUM(D313:F313)&lt;&gt;0,G313&gt;=IF(A313&lt;DATEVALUE("2025/12/28")+TIMEVALUE("6:00"),20,18)/24/60),0,2-INT(G313*24*60/10)))</f>
        <v>1</v>
      </c>
      <c r="L313">
        <f t="shared" ref="L313" si="805">L312+K313</f>
        <v>388</v>
      </c>
      <c r="M313">
        <f t="shared" ref="M313" si="806">2+IF(A313&gt;=DATEVALUE("2025/11/30")+TIMEVALUE("6:00"),1,0)+IF(A313&gt;=DATEVALUE("2025/12/11")+TIMEVALUE("6:00"),1,0)</f>
        <v>4</v>
      </c>
      <c r="N313">
        <f t="shared" ref="N313" si="807">N312+M313*(INT(A313-6/24)-INT(A312-6/24))+O313</f>
        <v>388</v>
      </c>
      <c r="O313">
        <f t="shared" ref="O313" si="808">IF(A313&gt;=DATEVALUE("2025/11/8")+TIMEVALUE("6:00"),1,0)-IF(A312&gt;=DATEVALUE("2025/11/8")+TIMEVALUE("6:00"),1,0)
+IF(A313&gt;=DATEVALUE("2026/1/22")+TIMEVALUE("6:00"),3,0)-IF(A312&gt;=DATEVALUE("2026/1/22")+TIMEVALUE("6:00"),3,0)
+IF(A313&gt;=DATEVALUE("2026/2/21")+TIMEVALUE("6:00"),1,0)-IF(A312&gt;=DATEVALUE("2026/2/21")+TIMEVALUE("6:00"),1,0)</f>
        <v>0</v>
      </c>
      <c r="P313" t="str">
        <f t="shared" ref="P313" si="809">IF(L313&lt;N313,"未達成（"&amp;N313-L313&amp;"）",IF(L313=N313,"達成","前倒し（"&amp;L313-N313&amp;"）"))</f>
        <v>達成</v>
      </c>
      <c r="Q313">
        <f t="shared" ref="Q313" si="810">IF(B313="",NA(),G313)</f>
        <v>8.2175925927003846E-3</v>
      </c>
    </row>
    <row r="314" spans="1:17">
      <c r="A314" s="3">
        <v>46076.28765046296</v>
      </c>
      <c r="B314">
        <v>60</v>
      </c>
      <c r="C314">
        <v>17</v>
      </c>
      <c r="D314">
        <v>0</v>
      </c>
      <c r="E314">
        <v>0</v>
      </c>
      <c r="F314">
        <v>0</v>
      </c>
      <c r="G314" s="5">
        <v>1.6284722216369119E-2</v>
      </c>
      <c r="H314" t="s">
        <v>682</v>
      </c>
      <c r="I314" t="s">
        <v>683</v>
      </c>
      <c r="J314">
        <v>0</v>
      </c>
      <c r="K314">
        <f t="shared" ref="K314" si="811">IF(A314&lt;DATEVALUE("2025/11/20")+TIMEVALUE("6:00"),1,IF(OR(B314&lt;&gt;60,SUM(D314:F314)&lt;&gt;0,G314&gt;=IF(A314&lt;DATEVALUE("2025/12/28")+TIMEVALUE("6:00"),20,18)/24/60),0,2-INT(G314*24*60/10)))</f>
        <v>0</v>
      </c>
      <c r="L314">
        <f t="shared" ref="L314" si="812">L313+K314</f>
        <v>388</v>
      </c>
      <c r="M314">
        <f t="shared" ref="M314" si="813">2+IF(A314&gt;=DATEVALUE("2025/11/30")+TIMEVALUE("6:00"),1,0)+IF(A314&gt;=DATEVALUE("2025/12/11")+TIMEVALUE("6:00"),1,0)</f>
        <v>4</v>
      </c>
      <c r="N314">
        <f t="shared" ref="N314" si="814">N313+M314*(INT(A314-6/24)-INT(A313-6/24))+O314</f>
        <v>392</v>
      </c>
      <c r="O314">
        <f t="shared" ref="O314" si="815">IF(A314&gt;=DATEVALUE("2025/11/8")+TIMEVALUE("6:00"),1,0)-IF(A313&gt;=DATEVALUE("2025/11/8")+TIMEVALUE("6:00"),1,0)
+IF(A314&gt;=DATEVALUE("2026/1/22")+TIMEVALUE("6:00"),3,0)-IF(A313&gt;=DATEVALUE("2026/1/22")+TIMEVALUE("6:00"),3,0)
+IF(A314&gt;=DATEVALUE("2026/2/21")+TIMEVALUE("6:00"),1,0)-IF(A313&gt;=DATEVALUE("2026/2/21")+TIMEVALUE("6:00"),1,0)</f>
        <v>0</v>
      </c>
      <c r="P314" t="str">
        <f t="shared" ref="P314" si="816">IF(L314&lt;N314,"未達成（"&amp;N314-L314&amp;"）",IF(L314=N314,"達成","前倒し（"&amp;L314-N314&amp;"）"))</f>
        <v>未達成（4）</v>
      </c>
      <c r="Q314">
        <f t="shared" ref="Q314" si="817">IF(B314="",NA(),G314)</f>
        <v>1.6284722216369119E-2</v>
      </c>
    </row>
    <row r="315" spans="1:17">
      <c r="A315" s="3">
        <v>46076.295347222222</v>
      </c>
      <c r="B315">
        <v>60</v>
      </c>
      <c r="C315">
        <v>6</v>
      </c>
      <c r="D315">
        <v>0</v>
      </c>
      <c r="E315">
        <v>0</v>
      </c>
      <c r="F315">
        <v>0</v>
      </c>
      <c r="G315" s="5">
        <v>6.5509259220561944E-3</v>
      </c>
      <c r="H315" t="s">
        <v>684</v>
      </c>
      <c r="I315" t="s">
        <v>685</v>
      </c>
      <c r="J315">
        <v>0</v>
      </c>
      <c r="K315">
        <f t="shared" ref="K315" si="818">IF(A315&lt;DATEVALUE("2025/11/20")+TIMEVALUE("6:00"),1,IF(OR(B315&lt;&gt;60,SUM(D315:F315)&lt;&gt;0,G315&gt;=IF(A315&lt;DATEVALUE("2025/12/28")+TIMEVALUE("6:00"),20,18)/24/60),0,2-INT(G315*24*60/10)))</f>
        <v>2</v>
      </c>
      <c r="L315">
        <f t="shared" ref="L315" si="819">L314+K315</f>
        <v>390</v>
      </c>
      <c r="M315">
        <f t="shared" ref="M315" si="820">2+IF(A315&gt;=DATEVALUE("2025/11/30")+TIMEVALUE("6:00"),1,0)+IF(A315&gt;=DATEVALUE("2025/12/11")+TIMEVALUE("6:00"),1,0)</f>
        <v>4</v>
      </c>
      <c r="N315">
        <f t="shared" ref="N315" si="821">N314+M315*(INT(A315-6/24)-INT(A314-6/24))+O315</f>
        <v>392</v>
      </c>
      <c r="O315">
        <f t="shared" ref="O315" si="822">IF(A315&gt;=DATEVALUE("2025/11/8")+TIMEVALUE("6:00"),1,0)-IF(A314&gt;=DATEVALUE("2025/11/8")+TIMEVALUE("6:00"),1,0)
+IF(A315&gt;=DATEVALUE("2026/1/22")+TIMEVALUE("6:00"),3,0)-IF(A314&gt;=DATEVALUE("2026/1/22")+TIMEVALUE("6:00"),3,0)
+IF(A315&gt;=DATEVALUE("2026/2/21")+TIMEVALUE("6:00"),1,0)-IF(A314&gt;=DATEVALUE("2026/2/21")+TIMEVALUE("6:00"),1,0)</f>
        <v>0</v>
      </c>
      <c r="P315" t="str">
        <f t="shared" ref="P315" si="823">IF(L315&lt;N315,"未達成（"&amp;N315-L315&amp;"）",IF(L315=N315,"達成","前倒し（"&amp;L315-N315&amp;"）"))</f>
        <v>未達成（2）</v>
      </c>
      <c r="Q315">
        <f t="shared" ref="Q315" si="824">IF(B315="",NA(),G315)</f>
        <v>6.5509259220561944E-3</v>
      </c>
    </row>
    <row r="316" spans="1:17">
      <c r="A316" s="3">
        <v>46076.311805555553</v>
      </c>
      <c r="B316">
        <v>60</v>
      </c>
      <c r="C316">
        <v>4</v>
      </c>
      <c r="D316">
        <v>0</v>
      </c>
      <c r="E316">
        <v>0</v>
      </c>
      <c r="F316">
        <v>0</v>
      </c>
      <c r="G316" s="5">
        <v>5.428240736364387E-3</v>
      </c>
      <c r="H316" t="s">
        <v>686</v>
      </c>
      <c r="I316" t="s">
        <v>687</v>
      </c>
      <c r="J316">
        <v>0</v>
      </c>
      <c r="K316">
        <f t="shared" ref="K316" si="825">IF(A316&lt;DATEVALUE("2025/11/20")+TIMEVALUE("6:00"),1,IF(OR(B316&lt;&gt;60,SUM(D316:F316)&lt;&gt;0,G316&gt;=IF(A316&lt;DATEVALUE("2025/12/28")+TIMEVALUE("6:00"),20,18)/24/60),0,2-INT(G316*24*60/10)))</f>
        <v>2</v>
      </c>
      <c r="L316">
        <f t="shared" ref="L316" si="826">L315+K316</f>
        <v>392</v>
      </c>
      <c r="M316">
        <f t="shared" ref="M316" si="827">2+IF(A316&gt;=DATEVALUE("2025/11/30")+TIMEVALUE("6:00"),1,0)+IF(A316&gt;=DATEVALUE("2025/12/11")+TIMEVALUE("6:00"),1,0)</f>
        <v>4</v>
      </c>
      <c r="N316">
        <f t="shared" ref="N316" si="828">N315+M316*(INT(A316-6/24)-INT(A315-6/24))+O316</f>
        <v>392</v>
      </c>
      <c r="O316">
        <f t="shared" ref="O316" si="829">IF(A316&gt;=DATEVALUE("2025/11/8")+TIMEVALUE("6:00"),1,0)-IF(A315&gt;=DATEVALUE("2025/11/8")+TIMEVALUE("6:00"),1,0)
+IF(A316&gt;=DATEVALUE("2026/1/22")+TIMEVALUE("6:00"),3,0)-IF(A315&gt;=DATEVALUE("2026/1/22")+TIMEVALUE("6:00"),3,0)
+IF(A316&gt;=DATEVALUE("2026/2/21")+TIMEVALUE("6:00"),1,0)-IF(A315&gt;=DATEVALUE("2026/2/21")+TIMEVALUE("6:00"),1,0)</f>
        <v>0</v>
      </c>
      <c r="P316" t="str">
        <f t="shared" ref="P316" si="830">IF(L316&lt;N316,"未達成（"&amp;N316-L316&amp;"）",IF(L316=N316,"達成","前倒し（"&amp;L316-N316&amp;"）"))</f>
        <v>達成</v>
      </c>
      <c r="Q316">
        <f t="shared" ref="Q316" si="831">IF(B316="",NA(),G316)</f>
        <v>5.428240736364387E-3</v>
      </c>
    </row>
    <row r="317" spans="1:17">
      <c r="A317" s="3">
        <v>46077.300196759257</v>
      </c>
      <c r="B317">
        <v>60</v>
      </c>
      <c r="C317">
        <v>12</v>
      </c>
      <c r="D317">
        <v>0</v>
      </c>
      <c r="E317">
        <v>0</v>
      </c>
      <c r="F317">
        <v>0</v>
      </c>
      <c r="G317" s="5">
        <v>4.4907407354912721E-3</v>
      </c>
      <c r="H317" t="s">
        <v>688</v>
      </c>
      <c r="I317" t="s">
        <v>689</v>
      </c>
      <c r="J317">
        <v>0</v>
      </c>
      <c r="K317">
        <f t="shared" ref="K317" si="832">IF(A317&lt;DATEVALUE("2025/11/20")+TIMEVALUE("6:00"),1,IF(OR(B317&lt;&gt;60,SUM(D317:F317)&lt;&gt;0,G317&gt;=IF(A317&lt;DATEVALUE("2025/12/28")+TIMEVALUE("6:00"),20,18)/24/60),0,2-INT(G317*24*60/10)))</f>
        <v>2</v>
      </c>
      <c r="L317">
        <f t="shared" ref="L317" si="833">L316+K317</f>
        <v>394</v>
      </c>
      <c r="M317">
        <f t="shared" ref="M317" si="834">2+IF(A317&gt;=DATEVALUE("2025/11/30")+TIMEVALUE("6:00"),1,0)+IF(A317&gt;=DATEVALUE("2025/12/11")+TIMEVALUE("6:00"),1,0)</f>
        <v>4</v>
      </c>
      <c r="N317">
        <f t="shared" ref="N317" si="835">N316+M317*(INT(A317-6/24)-INT(A316-6/24))+O317</f>
        <v>396</v>
      </c>
      <c r="O317">
        <f t="shared" ref="O317" si="836">IF(A317&gt;=DATEVALUE("2025/11/8")+TIMEVALUE("6:00"),1,0)-IF(A316&gt;=DATEVALUE("2025/11/8")+TIMEVALUE("6:00"),1,0)
+IF(A317&gt;=DATEVALUE("2026/1/22")+TIMEVALUE("6:00"),3,0)-IF(A316&gt;=DATEVALUE("2026/1/22")+TIMEVALUE("6:00"),3,0)
+IF(A317&gt;=DATEVALUE("2026/2/21")+TIMEVALUE("6:00"),1,0)-IF(A316&gt;=DATEVALUE("2026/2/21")+TIMEVALUE("6:00"),1,0)</f>
        <v>0</v>
      </c>
      <c r="P317" t="str">
        <f t="shared" ref="P317" si="837">IF(L317&lt;N317,"未達成（"&amp;N317-L317&amp;"）",IF(L317=N317,"達成","前倒し（"&amp;L317-N317&amp;"）"))</f>
        <v>未達成（2）</v>
      </c>
      <c r="Q317">
        <f t="shared" ref="Q317" si="838">IF(B317="",NA(),G317)</f>
        <v>4.4907407354912721E-3</v>
      </c>
    </row>
    <row r="318" spans="1:17">
      <c r="A318" s="3">
        <v>46077.307708333334</v>
      </c>
      <c r="B318">
        <v>60</v>
      </c>
      <c r="C318">
        <v>8</v>
      </c>
      <c r="D318">
        <v>0</v>
      </c>
      <c r="E318">
        <v>0</v>
      </c>
      <c r="F318">
        <v>0</v>
      </c>
      <c r="G318" s="5">
        <v>6.921296298969537E-3</v>
      </c>
      <c r="H318" t="s">
        <v>690</v>
      </c>
      <c r="I318" t="s">
        <v>691</v>
      </c>
      <c r="J318">
        <v>0</v>
      </c>
      <c r="K318">
        <f t="shared" ref="K318" si="839">IF(A318&lt;DATEVALUE("2025/11/20")+TIMEVALUE("6:00"),1,IF(OR(B318&lt;&gt;60,SUM(D318:F318)&lt;&gt;0,G318&gt;=IF(A318&lt;DATEVALUE("2025/12/28")+TIMEVALUE("6:00"),20,18)/24/60),0,2-INT(G318*24*60/10)))</f>
        <v>2</v>
      </c>
      <c r="L318">
        <f t="shared" ref="L318" si="840">L317+K318</f>
        <v>396</v>
      </c>
      <c r="M318">
        <f t="shared" ref="M318" si="841">2+IF(A318&gt;=DATEVALUE("2025/11/30")+TIMEVALUE("6:00"),1,0)+IF(A318&gt;=DATEVALUE("2025/12/11")+TIMEVALUE("6:00"),1,0)</f>
        <v>4</v>
      </c>
      <c r="N318">
        <f t="shared" ref="N318" si="842">N317+M318*(INT(A318-6/24)-INT(A317-6/24))+O318</f>
        <v>396</v>
      </c>
      <c r="O318">
        <f t="shared" ref="O318" si="843">IF(A318&gt;=DATEVALUE("2025/11/8")+TIMEVALUE("6:00"),1,0)-IF(A317&gt;=DATEVALUE("2025/11/8")+TIMEVALUE("6:00"),1,0)
+IF(A318&gt;=DATEVALUE("2026/1/22")+TIMEVALUE("6:00"),3,0)-IF(A317&gt;=DATEVALUE("2026/1/22")+TIMEVALUE("6:00"),3,0)
+IF(A318&gt;=DATEVALUE("2026/2/21")+TIMEVALUE("6:00"),1,0)-IF(A317&gt;=DATEVALUE("2026/2/21")+TIMEVALUE("6:00"),1,0)</f>
        <v>0</v>
      </c>
      <c r="P318" t="str">
        <f t="shared" ref="P318" si="844">IF(L318&lt;N318,"未達成（"&amp;N318-L318&amp;"）",IF(L318=N318,"達成","前倒し（"&amp;L318-N318&amp;"）"))</f>
        <v>達成</v>
      </c>
      <c r="Q318">
        <f t="shared" ref="Q318" si="845">IF(B318="",NA(),G318)</f>
        <v>6.921296298969537E-3</v>
      </c>
    </row>
    <row r="319" spans="1:17">
      <c r="A319" s="3">
        <v>46078.310289351852</v>
      </c>
      <c r="B319">
        <v>60</v>
      </c>
      <c r="C319">
        <v>6</v>
      </c>
      <c r="D319">
        <v>0</v>
      </c>
      <c r="E319">
        <v>0</v>
      </c>
      <c r="F319">
        <v>0</v>
      </c>
      <c r="G319" s="5">
        <v>8.5648148160544224E-3</v>
      </c>
      <c r="H319" t="s">
        <v>692</v>
      </c>
      <c r="I319" t="s">
        <v>693</v>
      </c>
      <c r="J319">
        <v>0</v>
      </c>
      <c r="K319">
        <f t="shared" ref="K319" si="846">IF(A319&lt;DATEVALUE("2025/11/20")+TIMEVALUE("6:00"),1,IF(OR(B319&lt;&gt;60,SUM(D319:F319)&lt;&gt;0,G319&gt;=IF(A319&lt;DATEVALUE("2025/12/28")+TIMEVALUE("6:00"),20,18)/24/60),0,2-INT(G319*24*60/10)))</f>
        <v>1</v>
      </c>
      <c r="L319">
        <f t="shared" ref="L319" si="847">L318+K319</f>
        <v>397</v>
      </c>
      <c r="M319">
        <f t="shared" ref="M319" si="848">2+IF(A319&gt;=DATEVALUE("2025/11/30")+TIMEVALUE("6:00"),1,0)+IF(A319&gt;=DATEVALUE("2025/12/11")+TIMEVALUE("6:00"),1,0)</f>
        <v>4</v>
      </c>
      <c r="N319">
        <f t="shared" ref="N319" si="849">N318+M319*(INT(A319-6/24)-INT(A318-6/24))+O319</f>
        <v>400</v>
      </c>
      <c r="O319">
        <f t="shared" ref="O319" si="850">IF(A319&gt;=DATEVALUE("2025/11/8")+TIMEVALUE("6:00"),1,0)-IF(A318&gt;=DATEVALUE("2025/11/8")+TIMEVALUE("6:00"),1,0)
+IF(A319&gt;=DATEVALUE("2026/1/22")+TIMEVALUE("6:00"),3,0)-IF(A318&gt;=DATEVALUE("2026/1/22")+TIMEVALUE("6:00"),3,0)
+IF(A319&gt;=DATEVALUE("2026/2/21")+TIMEVALUE("6:00"),1,0)-IF(A318&gt;=DATEVALUE("2026/2/21")+TIMEVALUE("6:00"),1,0)</f>
        <v>0</v>
      </c>
      <c r="P319" t="str">
        <f t="shared" ref="P319" si="851">IF(L319&lt;N319,"未達成（"&amp;N319-L319&amp;"）",IF(L319=N319,"達成","前倒し（"&amp;L319-N319&amp;"）"))</f>
        <v>未達成（3）</v>
      </c>
      <c r="Q319">
        <f t="shared" ref="Q319" si="852">IF(B319="",NA(),G319)</f>
        <v>8.5648148160544224E-3</v>
      </c>
    </row>
    <row r="320" spans="1:17">
      <c r="A320" s="3">
        <v>46078.321273148147</v>
      </c>
      <c r="B320">
        <v>60</v>
      </c>
      <c r="C320">
        <v>11</v>
      </c>
      <c r="D320">
        <v>0</v>
      </c>
      <c r="E320">
        <v>0</v>
      </c>
      <c r="F320">
        <v>0</v>
      </c>
      <c r="G320" s="5">
        <v>1.0578703702776693E-2</v>
      </c>
      <c r="H320" t="s">
        <v>694</v>
      </c>
      <c r="I320" t="s">
        <v>695</v>
      </c>
      <c r="J320">
        <v>0</v>
      </c>
      <c r="K320">
        <f t="shared" ref="K320" si="853">IF(A320&lt;DATEVALUE("2025/11/20")+TIMEVALUE("6:00"),1,IF(OR(B320&lt;&gt;60,SUM(D320:F320)&lt;&gt;0,G320&gt;=IF(A320&lt;DATEVALUE("2025/12/28")+TIMEVALUE("6:00"),20,18)/24/60),0,2-INT(G320*24*60/10)))</f>
        <v>1</v>
      </c>
      <c r="L320">
        <f t="shared" ref="L320" si="854">L319+K320</f>
        <v>398</v>
      </c>
      <c r="M320">
        <f t="shared" ref="M320" si="855">2+IF(A320&gt;=DATEVALUE("2025/11/30")+TIMEVALUE("6:00"),1,0)+IF(A320&gt;=DATEVALUE("2025/12/11")+TIMEVALUE("6:00"),1,0)</f>
        <v>4</v>
      </c>
      <c r="N320">
        <f t="shared" ref="N320" si="856">N319+M320*(INT(A320-6/24)-INT(A319-6/24))+O320</f>
        <v>400</v>
      </c>
      <c r="O320">
        <f t="shared" ref="O320" si="857">IF(A320&gt;=DATEVALUE("2025/11/8")+TIMEVALUE("6:00"),1,0)-IF(A319&gt;=DATEVALUE("2025/11/8")+TIMEVALUE("6:00"),1,0)
+IF(A320&gt;=DATEVALUE("2026/1/22")+TIMEVALUE("6:00"),3,0)-IF(A319&gt;=DATEVALUE("2026/1/22")+TIMEVALUE("6:00"),3,0)
+IF(A320&gt;=DATEVALUE("2026/2/21")+TIMEVALUE("6:00"),1,0)-IF(A319&gt;=DATEVALUE("2026/2/21")+TIMEVALUE("6:00"),1,0)</f>
        <v>0</v>
      </c>
      <c r="P320" t="str">
        <f t="shared" ref="P320" si="858">IF(L320&lt;N320,"未達成（"&amp;N320-L320&amp;"）",IF(L320=N320,"達成","前倒し（"&amp;L320-N320&amp;"）"))</f>
        <v>未達成（2）</v>
      </c>
      <c r="Q320">
        <f t="shared" ref="Q320" si="859">IF(B320="",NA(),G320)</f>
        <v>1.0578703702776693E-2</v>
      </c>
    </row>
    <row r="321" spans="1:17">
      <c r="A321" s="3">
        <v>46078.324699074074</v>
      </c>
      <c r="G321" s="5">
        <v>2.1875000020372681E-3</v>
      </c>
      <c r="H321" t="s">
        <v>696</v>
      </c>
      <c r="I321" t="s">
        <v>697</v>
      </c>
      <c r="J321">
        <v>1</v>
      </c>
      <c r="K321">
        <f t="shared" ref="K321" si="860">IF(A321&lt;DATEVALUE("2025/11/20")+TIMEVALUE("6:00"),1,IF(OR(B321&lt;&gt;60,SUM(D321:F321)&lt;&gt;0,G321&gt;=IF(A321&lt;DATEVALUE("2025/12/28")+TIMEVALUE("6:00"),20,18)/24/60),0,2-INT(G321*24*60/10)))</f>
        <v>0</v>
      </c>
      <c r="L321">
        <f t="shared" ref="L321" si="861">L320+K321</f>
        <v>398</v>
      </c>
      <c r="M321">
        <f t="shared" ref="M321" si="862">2+IF(A321&gt;=DATEVALUE("2025/11/30")+TIMEVALUE("6:00"),1,0)+IF(A321&gt;=DATEVALUE("2025/12/11")+TIMEVALUE("6:00"),1,0)</f>
        <v>4</v>
      </c>
      <c r="N321">
        <f t="shared" ref="N321" si="863">N320+M321*(INT(A321-6/24)-INT(A320-6/24))+O321</f>
        <v>400</v>
      </c>
      <c r="O321">
        <f t="shared" ref="O321" si="864">IF(A321&gt;=DATEVALUE("2025/11/8")+TIMEVALUE("6:00"),1,0)-IF(A320&gt;=DATEVALUE("2025/11/8")+TIMEVALUE("6:00"),1,0)
+IF(A321&gt;=DATEVALUE("2026/1/22")+TIMEVALUE("6:00"),3,0)-IF(A320&gt;=DATEVALUE("2026/1/22")+TIMEVALUE("6:00"),3,0)
+IF(A321&gt;=DATEVALUE("2026/2/21")+TIMEVALUE("6:00"),1,0)-IF(A320&gt;=DATEVALUE("2026/2/21")+TIMEVALUE("6:00"),1,0)</f>
        <v>0</v>
      </c>
      <c r="P321" t="str">
        <f t="shared" ref="P321" si="865">IF(L321&lt;N321,"未達成（"&amp;N321-L321&amp;"）",IF(L321=N321,"達成","前倒し（"&amp;L321-N321&amp;"）"))</f>
        <v>未達成（2）</v>
      </c>
      <c r="Q321" t="e">
        <f t="shared" ref="Q321" si="866">IF(B321="",NA(),G321)</f>
        <v>#N/A</v>
      </c>
    </row>
    <row r="322" spans="1:17">
      <c r="A322" s="3">
        <v>46078.347905092596</v>
      </c>
      <c r="G322" s="5">
        <v>9.1782407471328042E-3</v>
      </c>
      <c r="H322" t="s">
        <v>698</v>
      </c>
      <c r="I322" t="s">
        <v>699</v>
      </c>
      <c r="J322">
        <v>1</v>
      </c>
      <c r="K322">
        <f t="shared" ref="K322" si="867">IF(A322&lt;DATEVALUE("2025/11/20")+TIMEVALUE("6:00"),1,IF(OR(B322&lt;&gt;60,SUM(D322:F322)&lt;&gt;0,G322&gt;=IF(A322&lt;DATEVALUE("2025/12/28")+TIMEVALUE("6:00"),20,18)/24/60),0,2-INT(G322*24*60/10)))</f>
        <v>0</v>
      </c>
      <c r="L322">
        <f t="shared" ref="L322" si="868">L321+K322</f>
        <v>398</v>
      </c>
      <c r="M322">
        <f t="shared" ref="M322" si="869">2+IF(A322&gt;=DATEVALUE("2025/11/30")+TIMEVALUE("6:00"),1,0)+IF(A322&gt;=DATEVALUE("2025/12/11")+TIMEVALUE("6:00"),1,0)</f>
        <v>4</v>
      </c>
      <c r="N322">
        <f t="shared" ref="N322" si="870">N321+M322*(INT(A322-6/24)-INT(A321-6/24))+O322</f>
        <v>400</v>
      </c>
      <c r="O322">
        <f t="shared" ref="O322" si="871">IF(A322&gt;=DATEVALUE("2025/11/8")+TIMEVALUE("6:00"),1,0)-IF(A321&gt;=DATEVALUE("2025/11/8")+TIMEVALUE("6:00"),1,0)
+IF(A322&gt;=DATEVALUE("2026/1/22")+TIMEVALUE("6:00"),3,0)-IF(A321&gt;=DATEVALUE("2026/1/22")+TIMEVALUE("6:00"),3,0)
+IF(A322&gt;=DATEVALUE("2026/2/21")+TIMEVALUE("6:00"),1,0)-IF(A321&gt;=DATEVALUE("2026/2/21")+TIMEVALUE("6:00"),1,0)</f>
        <v>0</v>
      </c>
      <c r="P322" t="str">
        <f t="shared" ref="P322" si="872">IF(L322&lt;N322,"未達成（"&amp;N322-L322&amp;"）",IF(L322=N322,"達成","前倒し（"&amp;L322-N322&amp;"）"))</f>
        <v>未達成（2）</v>
      </c>
      <c r="Q322" t="e">
        <f t="shared" ref="Q322" si="873">IF(B322="",NA(),G322)</f>
        <v>#N/A</v>
      </c>
    </row>
    <row r="323" spans="1:17">
      <c r="A323" s="3">
        <v>46078.356527777774</v>
      </c>
      <c r="B323">
        <v>60</v>
      </c>
      <c r="C323">
        <v>12</v>
      </c>
      <c r="D323">
        <v>0</v>
      </c>
      <c r="E323">
        <v>0</v>
      </c>
      <c r="F323">
        <v>0</v>
      </c>
      <c r="G323" s="5">
        <v>1.0937499995634425E-2</v>
      </c>
      <c r="H323" t="s">
        <v>700</v>
      </c>
      <c r="I323" t="s">
        <v>701</v>
      </c>
      <c r="J323">
        <v>0</v>
      </c>
      <c r="K323">
        <f t="shared" ref="K323" si="874">IF(A323&lt;DATEVALUE("2025/11/20")+TIMEVALUE("6:00"),1,IF(OR(B323&lt;&gt;60,SUM(D323:F323)&lt;&gt;0,G323&gt;=IF(A323&lt;DATEVALUE("2025/12/28")+TIMEVALUE("6:00"),20,18)/24/60),0,2-INT(G323*24*60/10)))</f>
        <v>1</v>
      </c>
      <c r="L323">
        <f t="shared" ref="L323" si="875">L322+K323</f>
        <v>399</v>
      </c>
      <c r="M323">
        <f t="shared" ref="M323" si="876">2+IF(A323&gt;=DATEVALUE("2025/11/30")+TIMEVALUE("6:00"),1,0)+IF(A323&gt;=DATEVALUE("2025/12/11")+TIMEVALUE("6:00"),1,0)</f>
        <v>4</v>
      </c>
      <c r="N323">
        <f t="shared" ref="N323" si="877">N322+M323*(INT(A323-6/24)-INT(A322-6/24))+O323</f>
        <v>400</v>
      </c>
      <c r="O323">
        <f t="shared" ref="O323" si="878">IF(A323&gt;=DATEVALUE("2025/11/8")+TIMEVALUE("6:00"),1,0)-IF(A322&gt;=DATEVALUE("2025/11/8")+TIMEVALUE("6:00"),1,0)
+IF(A323&gt;=DATEVALUE("2026/1/22")+TIMEVALUE("6:00"),3,0)-IF(A322&gt;=DATEVALUE("2026/1/22")+TIMEVALUE("6:00"),3,0)
+IF(A323&gt;=DATEVALUE("2026/2/21")+TIMEVALUE("6:00"),1,0)-IF(A322&gt;=DATEVALUE("2026/2/21")+TIMEVALUE("6:00"),1,0)</f>
        <v>0</v>
      </c>
      <c r="P323" t="str">
        <f t="shared" ref="P323" si="879">IF(L323&lt;N323,"未達成（"&amp;N323-L323&amp;"）",IF(L323=N323,"達成","前倒し（"&amp;L323-N323&amp;"）"))</f>
        <v>未達成（1）</v>
      </c>
      <c r="Q323">
        <f t="shared" ref="Q323" si="880">IF(B323="",NA(),G323)</f>
        <v>1.0937499995634425E-2</v>
      </c>
    </row>
    <row r="324" spans="1:17">
      <c r="A324" s="3">
        <v>46078.363668981481</v>
      </c>
      <c r="B324">
        <v>60</v>
      </c>
      <c r="C324">
        <v>10</v>
      </c>
      <c r="D324">
        <v>0</v>
      </c>
      <c r="E324">
        <v>0</v>
      </c>
      <c r="F324">
        <v>0</v>
      </c>
      <c r="G324" s="5">
        <v>5.1388888896326534E-3</v>
      </c>
      <c r="H324" t="s">
        <v>702</v>
      </c>
      <c r="I324" t="s">
        <v>703</v>
      </c>
      <c r="J324">
        <v>0</v>
      </c>
      <c r="K324">
        <f t="shared" ref="K324" si="881">IF(A324&lt;DATEVALUE("2025/11/20")+TIMEVALUE("6:00"),1,IF(OR(B324&lt;&gt;60,SUM(D324:F324)&lt;&gt;0,G324&gt;=IF(A324&lt;DATEVALUE("2025/12/28")+TIMEVALUE("6:00"),20,18)/24/60),0,2-INT(G324*24*60/10)))</f>
        <v>2</v>
      </c>
      <c r="L324">
        <f t="shared" ref="L324" si="882">L323+K324</f>
        <v>401</v>
      </c>
      <c r="M324">
        <f t="shared" ref="M324" si="883">2+IF(A324&gt;=DATEVALUE("2025/11/30")+TIMEVALUE("6:00"),1,0)+IF(A324&gt;=DATEVALUE("2025/12/11")+TIMEVALUE("6:00"),1,0)</f>
        <v>4</v>
      </c>
      <c r="N324">
        <f t="shared" ref="N324" si="884">N323+M324*(INT(A324-6/24)-INT(A323-6/24))+O324</f>
        <v>400</v>
      </c>
      <c r="O324">
        <f t="shared" ref="O324" si="885">IF(A324&gt;=DATEVALUE("2025/11/8")+TIMEVALUE("6:00"),1,0)-IF(A323&gt;=DATEVALUE("2025/11/8")+TIMEVALUE("6:00"),1,0)
+IF(A324&gt;=DATEVALUE("2026/1/22")+TIMEVALUE("6:00"),3,0)-IF(A323&gt;=DATEVALUE("2026/1/22")+TIMEVALUE("6:00"),3,0)
+IF(A324&gt;=DATEVALUE("2026/2/21")+TIMEVALUE("6:00"),1,0)-IF(A323&gt;=DATEVALUE("2026/2/21")+TIMEVALUE("6:00"),1,0)</f>
        <v>0</v>
      </c>
      <c r="P324" t="str">
        <f t="shared" ref="P324" si="886">IF(L324&lt;N324,"未達成（"&amp;N324-L324&amp;"）",IF(L324=N324,"達成","前倒し（"&amp;L324-N324&amp;"）"))</f>
        <v>前倒し（1）</v>
      </c>
      <c r="Q324">
        <f t="shared" ref="Q324" si="887">IF(B324="",NA(),G324)</f>
        <v>5.1388888896326534E-3</v>
      </c>
    </row>
    <row r="325" spans="1:17">
      <c r="A325" s="3">
        <v>46079.309930555559</v>
      </c>
      <c r="B325">
        <v>60</v>
      </c>
      <c r="C325">
        <v>17</v>
      </c>
      <c r="D325">
        <v>0</v>
      </c>
      <c r="E325">
        <v>0</v>
      </c>
      <c r="F325">
        <v>0</v>
      </c>
      <c r="G325" s="5">
        <v>6.5162037062691525E-3</v>
      </c>
      <c r="H325" t="s">
        <v>704</v>
      </c>
      <c r="I325" t="s">
        <v>705</v>
      </c>
      <c r="J325">
        <v>0</v>
      </c>
      <c r="K325">
        <f t="shared" ref="K325" si="888">IF(A325&lt;DATEVALUE("2025/11/20")+TIMEVALUE("6:00"),1,IF(OR(B325&lt;&gt;60,SUM(D325:F325)&lt;&gt;0,G325&gt;=IF(A325&lt;DATEVALUE("2025/12/28")+TIMEVALUE("6:00"),20,18)/24/60),0,2-INT(G325*24*60/10)))</f>
        <v>2</v>
      </c>
      <c r="L325">
        <f t="shared" ref="L325" si="889">L324+K325</f>
        <v>403</v>
      </c>
      <c r="M325">
        <f t="shared" ref="M325" si="890">2+IF(A325&gt;=DATEVALUE("2025/11/30")+TIMEVALUE("6:00"),1,0)+IF(A325&gt;=DATEVALUE("2025/12/11")+TIMEVALUE("6:00"),1,0)</f>
        <v>4</v>
      </c>
      <c r="N325">
        <f t="shared" ref="N325" si="891">N324+M325*(INT(A325-6/24)-INT(A324-6/24))+O325</f>
        <v>404</v>
      </c>
      <c r="O325">
        <f t="shared" ref="O325" si="892">IF(A325&gt;=DATEVALUE("2025/11/8")+TIMEVALUE("6:00"),1,0)-IF(A324&gt;=DATEVALUE("2025/11/8")+TIMEVALUE("6:00"),1,0)
+IF(A325&gt;=DATEVALUE("2026/1/22")+TIMEVALUE("6:00"),3,0)-IF(A324&gt;=DATEVALUE("2026/1/22")+TIMEVALUE("6:00"),3,0)
+IF(A325&gt;=DATEVALUE("2026/2/21")+TIMEVALUE("6:00"),1,0)-IF(A324&gt;=DATEVALUE("2026/2/21")+TIMEVALUE("6:00"),1,0)</f>
        <v>0</v>
      </c>
      <c r="P325" t="str">
        <f t="shared" ref="P325" si="893">IF(L325&lt;N325,"未達成（"&amp;N325-L325&amp;"）",IF(L325=N325,"達成","前倒し（"&amp;L325-N325&amp;"）"))</f>
        <v>未達成（1）</v>
      </c>
      <c r="Q325">
        <f t="shared" ref="Q325" si="894">IF(B325="",NA(),G325)</f>
        <v>6.5162037062691525E-3</v>
      </c>
    </row>
    <row r="326" spans="1:17">
      <c r="A326" s="3">
        <v>46079.314895833333</v>
      </c>
      <c r="B326">
        <v>60</v>
      </c>
      <c r="C326">
        <v>21</v>
      </c>
      <c r="D326">
        <v>0</v>
      </c>
      <c r="E326">
        <v>0</v>
      </c>
      <c r="F326">
        <v>0</v>
      </c>
      <c r="G326" s="5">
        <v>4.5486111121135764E-3</v>
      </c>
      <c r="H326" t="s">
        <v>706</v>
      </c>
      <c r="I326" t="s">
        <v>707</v>
      </c>
      <c r="J326">
        <v>0</v>
      </c>
      <c r="K326">
        <f t="shared" ref="K326" si="895">IF(A326&lt;DATEVALUE("2025/11/20")+TIMEVALUE("6:00"),1,IF(OR(B326&lt;&gt;60,SUM(D326:F326)&lt;&gt;0,G326&gt;=IF(A326&lt;DATEVALUE("2025/12/28")+TIMEVALUE("6:00"),20,18)/24/60),0,2-INT(G326*24*60/10)))</f>
        <v>2</v>
      </c>
      <c r="L326">
        <f t="shared" ref="L326" si="896">L325+K326</f>
        <v>405</v>
      </c>
      <c r="M326">
        <f t="shared" ref="M326" si="897">2+IF(A326&gt;=DATEVALUE("2025/11/30")+TIMEVALUE("6:00"),1,0)+IF(A326&gt;=DATEVALUE("2025/12/11")+TIMEVALUE("6:00"),1,0)</f>
        <v>4</v>
      </c>
      <c r="N326">
        <f t="shared" ref="N326" si="898">N325+M326*(INT(A326-6/24)-INT(A325-6/24))+O326</f>
        <v>404</v>
      </c>
      <c r="O326">
        <f t="shared" ref="O326" si="899">IF(A326&gt;=DATEVALUE("2025/11/8")+TIMEVALUE("6:00"),1,0)-IF(A325&gt;=DATEVALUE("2025/11/8")+TIMEVALUE("6:00"),1,0)
+IF(A326&gt;=DATEVALUE("2026/1/22")+TIMEVALUE("6:00"),3,0)-IF(A325&gt;=DATEVALUE("2026/1/22")+TIMEVALUE("6:00"),3,0)
+IF(A326&gt;=DATEVALUE("2026/2/21")+TIMEVALUE("6:00"),1,0)-IF(A325&gt;=DATEVALUE("2026/2/21")+TIMEVALUE("6:00"),1,0)</f>
        <v>0</v>
      </c>
      <c r="P326" t="str">
        <f t="shared" ref="P326" si="900">IF(L326&lt;N326,"未達成（"&amp;N326-L326&amp;"）",IF(L326=N326,"達成","前倒し（"&amp;L326-N326&amp;"）"))</f>
        <v>前倒し（1）</v>
      </c>
      <c r="Q326">
        <f t="shared" ref="Q326" si="901">IF(B326="",NA(),G326)</f>
        <v>4.5486111121135764E-3</v>
      </c>
    </row>
    <row r="327" spans="1:17">
      <c r="A327" s="3">
        <v>46080.836446759262</v>
      </c>
      <c r="B327">
        <v>60</v>
      </c>
      <c r="C327">
        <v>8</v>
      </c>
      <c r="D327">
        <v>0</v>
      </c>
      <c r="E327">
        <v>0</v>
      </c>
      <c r="F327">
        <v>0</v>
      </c>
      <c r="G327" s="5">
        <v>7.6736111150239594E-3</v>
      </c>
      <c r="H327" t="s">
        <v>708</v>
      </c>
      <c r="I327" t="s">
        <v>709</v>
      </c>
      <c r="J327">
        <v>0</v>
      </c>
      <c r="K327">
        <f t="shared" ref="K327" si="902">IF(A327&lt;DATEVALUE("2025/11/20")+TIMEVALUE("6:00"),1,IF(OR(B327&lt;&gt;60,SUM(D327:F327)&lt;&gt;0,G327&gt;=IF(A327&lt;DATEVALUE("2025/12/28")+TIMEVALUE("6:00"),20,18)/24/60),0,2-INT(G327*24*60/10)))</f>
        <v>1</v>
      </c>
      <c r="L327">
        <f t="shared" ref="L327" si="903">L326+K327</f>
        <v>406</v>
      </c>
      <c r="M327">
        <f t="shared" ref="M327" si="904">2+IF(A327&gt;=DATEVALUE("2025/11/30")+TIMEVALUE("6:00"),1,0)+IF(A327&gt;=DATEVALUE("2025/12/11")+TIMEVALUE("6:00"),1,0)</f>
        <v>4</v>
      </c>
      <c r="N327">
        <f t="shared" ref="N327" si="905">N326+M327*(INT(A327-6/24)-INT(A326-6/24))+O327</f>
        <v>408</v>
      </c>
      <c r="O327">
        <f t="shared" ref="O327" si="906">IF(A327&gt;=DATEVALUE("2025/11/8")+TIMEVALUE("6:00"),1,0)-IF(A326&gt;=DATEVALUE("2025/11/8")+TIMEVALUE("6:00"),1,0)
+IF(A327&gt;=DATEVALUE("2026/1/22")+TIMEVALUE("6:00"),3,0)-IF(A326&gt;=DATEVALUE("2026/1/22")+TIMEVALUE("6:00"),3,0)
+IF(A327&gt;=DATEVALUE("2026/2/21")+TIMEVALUE("6:00"),1,0)-IF(A326&gt;=DATEVALUE("2026/2/21")+TIMEVALUE("6:00"),1,0)</f>
        <v>0</v>
      </c>
      <c r="P327" t="str">
        <f t="shared" ref="P327" si="907">IF(L327&lt;N327,"未達成（"&amp;N327-L327&amp;"）",IF(L327=N327,"達成","前倒し（"&amp;L327-N327&amp;"）"))</f>
        <v>未達成（2）</v>
      </c>
      <c r="Q327">
        <f t="shared" ref="Q327" si="908">IF(B327="",NA(),G327)</f>
        <v>7.6736111150239594E-3</v>
      </c>
    </row>
    <row r="328" spans="1:17">
      <c r="A328" s="3">
        <v>46080.843726851854</v>
      </c>
      <c r="B328">
        <v>60</v>
      </c>
      <c r="C328">
        <v>8</v>
      </c>
      <c r="D328">
        <v>0</v>
      </c>
      <c r="E328">
        <v>0</v>
      </c>
      <c r="F328">
        <v>0</v>
      </c>
      <c r="G328" s="5">
        <v>6.7824074067175388E-3</v>
      </c>
      <c r="H328" t="s">
        <v>710</v>
      </c>
      <c r="I328" t="s">
        <v>711</v>
      </c>
      <c r="J328">
        <v>0</v>
      </c>
      <c r="K328">
        <f t="shared" ref="K328" si="909">IF(A328&lt;DATEVALUE("2025/11/20")+TIMEVALUE("6:00"),1,IF(OR(B328&lt;&gt;60,SUM(D328:F328)&lt;&gt;0,G328&gt;=IF(A328&lt;DATEVALUE("2025/12/28")+TIMEVALUE("6:00"),20,18)/24/60),0,2-INT(G328*24*60/10)))</f>
        <v>2</v>
      </c>
      <c r="L328">
        <f t="shared" ref="L328" si="910">L327+K328</f>
        <v>408</v>
      </c>
      <c r="M328">
        <f t="shared" ref="M328" si="911">2+IF(A328&gt;=DATEVALUE("2025/11/30")+TIMEVALUE("6:00"),1,0)+IF(A328&gt;=DATEVALUE("2025/12/11")+TIMEVALUE("6:00"),1,0)</f>
        <v>4</v>
      </c>
      <c r="N328">
        <f t="shared" ref="N328" si="912">N327+M328*(INT(A328-6/24)-INT(A327-6/24))+O328</f>
        <v>408</v>
      </c>
      <c r="O328">
        <f t="shared" ref="O328" si="913">IF(A328&gt;=DATEVALUE("2025/11/8")+TIMEVALUE("6:00"),1,0)-IF(A327&gt;=DATEVALUE("2025/11/8")+TIMEVALUE("6:00"),1,0)
+IF(A328&gt;=DATEVALUE("2026/1/22")+TIMEVALUE("6:00"),3,0)-IF(A327&gt;=DATEVALUE("2026/1/22")+TIMEVALUE("6:00"),3,0)
+IF(A328&gt;=DATEVALUE("2026/2/21")+TIMEVALUE("6:00"),1,0)-IF(A327&gt;=DATEVALUE("2026/2/21")+TIMEVALUE("6:00"),1,0)</f>
        <v>0</v>
      </c>
      <c r="P328" t="str">
        <f t="shared" ref="P328" si="914">IF(L328&lt;N328,"未達成（"&amp;N328-L328&amp;"）",IF(L328=N328,"達成","前倒し（"&amp;L328-N328&amp;"）"))</f>
        <v>達成</v>
      </c>
      <c r="Q328">
        <f t="shared" ref="Q328" si="915">IF(B328="",NA(),G328)</f>
        <v>6.7824074067175388E-3</v>
      </c>
    </row>
    <row r="329" spans="1:17">
      <c r="A329" s="3">
        <v>46081.65824074074</v>
      </c>
      <c r="B329">
        <v>60</v>
      </c>
      <c r="C329">
        <v>11</v>
      </c>
      <c r="D329">
        <v>0</v>
      </c>
      <c r="E329">
        <v>0</v>
      </c>
      <c r="F329">
        <v>0</v>
      </c>
      <c r="G329" s="5">
        <v>7.4652777766459621E-3</v>
      </c>
      <c r="H329" t="s">
        <v>712</v>
      </c>
      <c r="I329" t="s">
        <v>713</v>
      </c>
      <c r="J329">
        <v>0</v>
      </c>
      <c r="K329">
        <f t="shared" ref="K329" si="916">IF(A329&lt;DATEVALUE("2025/11/20")+TIMEVALUE("6:00"),1,IF(OR(B329&lt;&gt;60,SUM(D329:F329)&lt;&gt;0,G329&gt;=IF(A329&lt;DATEVALUE("2025/12/28")+TIMEVALUE("6:00"),20,18)/24/60),0,2-INT(G329*24*60/10)))</f>
        <v>1</v>
      </c>
      <c r="L329">
        <f t="shared" ref="L329" si="917">L328+K329</f>
        <v>409</v>
      </c>
      <c r="M329">
        <f t="shared" ref="M329" si="918">2+IF(A329&gt;=DATEVALUE("2025/11/30")+TIMEVALUE("6:00"),1,0)+IF(A329&gt;=DATEVALUE("2025/12/11")+TIMEVALUE("6:00"),1,0)</f>
        <v>4</v>
      </c>
      <c r="N329">
        <f t="shared" ref="N329" si="919">N328+M329*(INT(A329-6/24)-INT(A328-6/24))+O329</f>
        <v>412</v>
      </c>
      <c r="O329">
        <f t="shared" ref="O329" si="920">IF(A329&gt;=DATEVALUE("2025/11/8")+TIMEVALUE("6:00"),1,0)-IF(A328&gt;=DATEVALUE("2025/11/8")+TIMEVALUE("6:00"),1,0)
+IF(A329&gt;=DATEVALUE("2026/1/22")+TIMEVALUE("6:00"),3,0)-IF(A328&gt;=DATEVALUE("2026/1/22")+TIMEVALUE("6:00"),3,0)
+IF(A329&gt;=DATEVALUE("2026/2/21")+TIMEVALUE("6:00"),1,0)-IF(A328&gt;=DATEVALUE("2026/2/21")+TIMEVALUE("6:00"),1,0)</f>
        <v>0</v>
      </c>
      <c r="P329" t="str">
        <f t="shared" ref="P329" si="921">IF(L329&lt;N329,"未達成（"&amp;N329-L329&amp;"）",IF(L329=N329,"達成","前倒し（"&amp;L329-N329&amp;"）"))</f>
        <v>未達成（3）</v>
      </c>
      <c r="Q329">
        <f t="shared" ref="Q329" si="922">IF(B329="",NA(),G329)</f>
        <v>7.4652777766459621E-3</v>
      </c>
    </row>
    <row r="330" spans="1:17">
      <c r="A330" s="3">
        <v>46081.662407407406</v>
      </c>
      <c r="G330" s="5">
        <v>3.7152777731535025E-3</v>
      </c>
      <c r="H330" t="s">
        <v>714</v>
      </c>
      <c r="I330" t="s">
        <v>715</v>
      </c>
      <c r="J330">
        <v>1</v>
      </c>
      <c r="K330">
        <f t="shared" ref="K330" si="923">IF(A330&lt;DATEVALUE("2025/11/20")+TIMEVALUE("6:00"),1,IF(OR(B330&lt;&gt;60,SUM(D330:F330)&lt;&gt;0,G330&gt;=IF(A330&lt;DATEVALUE("2025/12/28")+TIMEVALUE("6:00"),20,18)/24/60),0,2-INT(G330*24*60/10)))</f>
        <v>0</v>
      </c>
      <c r="L330">
        <f t="shared" ref="L330" si="924">L329+K330</f>
        <v>409</v>
      </c>
      <c r="M330">
        <f t="shared" ref="M330" si="925">2+IF(A330&gt;=DATEVALUE("2025/11/30")+TIMEVALUE("6:00"),1,0)+IF(A330&gt;=DATEVALUE("2025/12/11")+TIMEVALUE("6:00"),1,0)</f>
        <v>4</v>
      </c>
      <c r="N330">
        <f t="shared" ref="N330" si="926">N329+M330*(INT(A330-6/24)-INT(A329-6/24))+O330</f>
        <v>412</v>
      </c>
      <c r="O330">
        <f t="shared" ref="O330" si="927">IF(A330&gt;=DATEVALUE("2025/11/8")+TIMEVALUE("6:00"),1,0)-IF(A329&gt;=DATEVALUE("2025/11/8")+TIMEVALUE("6:00"),1,0)
+IF(A330&gt;=DATEVALUE("2026/1/22")+TIMEVALUE("6:00"),3,0)-IF(A329&gt;=DATEVALUE("2026/1/22")+TIMEVALUE("6:00"),3,0)
+IF(A330&gt;=DATEVALUE("2026/2/21")+TIMEVALUE("6:00"),1,0)-IF(A329&gt;=DATEVALUE("2026/2/21")+TIMEVALUE("6:00"),1,0)</f>
        <v>0</v>
      </c>
      <c r="P330" t="str">
        <f t="shared" ref="P330" si="928">IF(L330&lt;N330,"未達成（"&amp;N330-L330&amp;"）",IF(L330=N330,"達成","前倒し（"&amp;L330-N330&amp;"）"))</f>
        <v>未達成（3）</v>
      </c>
      <c r="Q330" t="e">
        <f t="shared" ref="Q330" si="929">IF(B330="",NA(),G330)</f>
        <v>#N/A</v>
      </c>
    </row>
    <row r="331" spans="1:17">
      <c r="A331" s="3">
        <v>46081.668229166666</v>
      </c>
      <c r="G331" s="5">
        <v>3.9699074040981941E-3</v>
      </c>
      <c r="H331" t="s">
        <v>716</v>
      </c>
      <c r="I331" t="s">
        <v>717</v>
      </c>
      <c r="J331">
        <v>1</v>
      </c>
      <c r="K331">
        <f t="shared" ref="K331" si="930">IF(A331&lt;DATEVALUE("2025/11/20")+TIMEVALUE("6:00"),1,IF(OR(B331&lt;&gt;60,SUM(D331:F331)&lt;&gt;0,G331&gt;=IF(A331&lt;DATEVALUE("2025/12/28")+TIMEVALUE("6:00"),20,18)/24/60),0,2-INT(G331*24*60/10)))</f>
        <v>0</v>
      </c>
      <c r="L331">
        <f t="shared" ref="L331" si="931">L330+K331</f>
        <v>409</v>
      </c>
      <c r="M331">
        <f t="shared" ref="M331" si="932">2+IF(A331&gt;=DATEVALUE("2025/11/30")+TIMEVALUE("6:00"),1,0)+IF(A331&gt;=DATEVALUE("2025/12/11")+TIMEVALUE("6:00"),1,0)</f>
        <v>4</v>
      </c>
      <c r="N331">
        <f t="shared" ref="N331" si="933">N330+M331*(INT(A331-6/24)-INT(A330-6/24))+O331</f>
        <v>412</v>
      </c>
      <c r="O331">
        <f t="shared" ref="O331" si="934">IF(A331&gt;=DATEVALUE("2025/11/8")+TIMEVALUE("6:00"),1,0)-IF(A330&gt;=DATEVALUE("2025/11/8")+TIMEVALUE("6:00"),1,0)
+IF(A331&gt;=DATEVALUE("2026/1/22")+TIMEVALUE("6:00"),3,0)-IF(A330&gt;=DATEVALUE("2026/1/22")+TIMEVALUE("6:00"),3,0)
+IF(A331&gt;=DATEVALUE("2026/2/21")+TIMEVALUE("6:00"),1,0)-IF(A330&gt;=DATEVALUE("2026/2/21")+TIMEVALUE("6:00"),1,0)</f>
        <v>0</v>
      </c>
      <c r="P331" t="str">
        <f t="shared" ref="P331" si="935">IF(L331&lt;N331,"未達成（"&amp;N331-L331&amp;"）",IF(L331=N331,"達成","前倒し（"&amp;L331-N331&amp;"）"))</f>
        <v>未達成（3）</v>
      </c>
      <c r="Q331" t="e">
        <f t="shared" ref="Q331" si="936">IF(B331="",NA(),G331)</f>
        <v>#N/A</v>
      </c>
    </row>
    <row r="332" spans="1:17">
      <c r="A332" s="3">
        <v>46081.675543981481</v>
      </c>
      <c r="B332">
        <v>60</v>
      </c>
      <c r="C332">
        <v>4</v>
      </c>
      <c r="D332">
        <v>0</v>
      </c>
      <c r="E332">
        <v>0</v>
      </c>
      <c r="F332">
        <v>0</v>
      </c>
      <c r="G332" s="5">
        <v>5.9259259214741178E-3</v>
      </c>
      <c r="H332" t="s">
        <v>718</v>
      </c>
      <c r="I332" t="s">
        <v>719</v>
      </c>
      <c r="J332">
        <v>0</v>
      </c>
      <c r="K332">
        <f t="shared" ref="K332" si="937">IF(A332&lt;DATEVALUE("2025/11/20")+TIMEVALUE("6:00"),1,IF(OR(B332&lt;&gt;60,SUM(D332:F332)&lt;&gt;0,G332&gt;=IF(A332&lt;DATEVALUE("2025/12/28")+TIMEVALUE("6:00"),20,18)/24/60),0,2-INT(G332*24*60/10)))</f>
        <v>2</v>
      </c>
      <c r="L332">
        <f t="shared" ref="L332" si="938">L331+K332</f>
        <v>411</v>
      </c>
      <c r="M332">
        <f t="shared" ref="M332" si="939">2+IF(A332&gt;=DATEVALUE("2025/11/30")+TIMEVALUE("6:00"),1,0)+IF(A332&gt;=DATEVALUE("2025/12/11")+TIMEVALUE("6:00"),1,0)</f>
        <v>4</v>
      </c>
      <c r="N332">
        <f t="shared" ref="N332" si="940">N331+M332*(INT(A332-6/24)-INT(A331-6/24))+O332</f>
        <v>412</v>
      </c>
      <c r="O332">
        <f t="shared" ref="O332" si="941">IF(A332&gt;=DATEVALUE("2025/11/8")+TIMEVALUE("6:00"),1,0)-IF(A331&gt;=DATEVALUE("2025/11/8")+TIMEVALUE("6:00"),1,0)
+IF(A332&gt;=DATEVALUE("2026/1/22")+TIMEVALUE("6:00"),3,0)-IF(A331&gt;=DATEVALUE("2026/1/22")+TIMEVALUE("6:00"),3,0)
+IF(A332&gt;=DATEVALUE("2026/2/21")+TIMEVALUE("6:00"),1,0)-IF(A331&gt;=DATEVALUE("2026/2/21")+TIMEVALUE("6:00"),1,0)</f>
        <v>0</v>
      </c>
      <c r="P332" t="str">
        <f t="shared" ref="P332" si="942">IF(L332&lt;N332,"未達成（"&amp;N332-L332&amp;"）",IF(L332=N332,"達成","前倒し（"&amp;L332-N332&amp;"）"))</f>
        <v>未達成（1）</v>
      </c>
      <c r="Q332">
        <f t="shared" ref="Q332" si="943">IF(B332="",NA(),G332)</f>
        <v>5.9259259214741178E-3</v>
      </c>
    </row>
    <row r="333" spans="1:17">
      <c r="A333" s="3">
        <v>46081.683912037035</v>
      </c>
      <c r="B333">
        <v>60</v>
      </c>
      <c r="C333">
        <v>8</v>
      </c>
      <c r="D333">
        <v>0</v>
      </c>
      <c r="E333">
        <v>0</v>
      </c>
      <c r="F333">
        <v>0</v>
      </c>
      <c r="G333" s="5">
        <v>5.5555555518367328E-3</v>
      </c>
      <c r="H333" t="s">
        <v>720</v>
      </c>
      <c r="I333" t="s">
        <v>721</v>
      </c>
      <c r="J333">
        <v>0</v>
      </c>
      <c r="K333">
        <f t="shared" ref="K333" si="944">IF(A333&lt;DATEVALUE("2025/11/20")+TIMEVALUE("6:00"),1,IF(OR(B333&lt;&gt;60,SUM(D333:F333)&lt;&gt;0,G333&gt;=IF(A333&lt;DATEVALUE("2025/12/28")+TIMEVALUE("6:00"),20,18)/24/60),0,2-INT(G333*24*60/10)))</f>
        <v>2</v>
      </c>
      <c r="L333">
        <f t="shared" ref="L333" si="945">L332+K333</f>
        <v>413</v>
      </c>
      <c r="M333">
        <f t="shared" ref="M333" si="946">2+IF(A333&gt;=DATEVALUE("2025/11/30")+TIMEVALUE("6:00"),1,0)+IF(A333&gt;=DATEVALUE("2025/12/11")+TIMEVALUE("6:00"),1,0)</f>
        <v>4</v>
      </c>
      <c r="N333">
        <f t="shared" ref="N333" si="947">N332+M333*(INT(A333-6/24)-INT(A332-6/24))+O333</f>
        <v>412</v>
      </c>
      <c r="O333">
        <f t="shared" ref="O333" si="948">IF(A333&gt;=DATEVALUE("2025/11/8")+TIMEVALUE("6:00"),1,0)-IF(A332&gt;=DATEVALUE("2025/11/8")+TIMEVALUE("6:00"),1,0)
+IF(A333&gt;=DATEVALUE("2026/1/22")+TIMEVALUE("6:00"),3,0)-IF(A332&gt;=DATEVALUE("2026/1/22")+TIMEVALUE("6:00"),3,0)
+IF(A333&gt;=DATEVALUE("2026/2/21")+TIMEVALUE("6:00"),1,0)-IF(A332&gt;=DATEVALUE("2026/2/21")+TIMEVALUE("6:00"),1,0)</f>
        <v>0</v>
      </c>
      <c r="P333" t="str">
        <f t="shared" ref="P333" si="949">IF(L333&lt;N333,"未達成（"&amp;N333-L333&amp;"）",IF(L333=N333,"達成","前倒し（"&amp;L333-N333&amp;"）"))</f>
        <v>前倒し（1）</v>
      </c>
      <c r="Q333">
        <f t="shared" ref="Q333" si="950">IF(B333="",NA(),G333)</f>
        <v>5.5555555518367328E-3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1223963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6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46081.678356481483</v>
      </c>
      <c r="D3" s="25"/>
    </row>
    <row r="4" spans="1:4">
      <c r="A4" t="s">
        <v>338</v>
      </c>
      <c r="C4" s="26">
        <v>0</v>
      </c>
      <c r="D4" s="25"/>
    </row>
    <row r="5" spans="1:4">
      <c r="A5" t="s">
        <v>42</v>
      </c>
      <c r="C5" s="6">
        <v>2</v>
      </c>
    </row>
    <row r="6" spans="1:4">
      <c r="C6" s="6">
        <v>3</v>
      </c>
    </row>
    <row r="7" spans="1:4">
      <c r="C7" s="6">
        <v>7</v>
      </c>
    </row>
    <row r="8" spans="1:4">
      <c r="C8" s="6">
        <v>5</v>
      </c>
    </row>
    <row r="9" spans="1:4">
      <c r="C9" s="6">
        <v>2</v>
      </c>
    </row>
    <row r="10" spans="1:4">
      <c r="C10" s="6">
        <v>5</v>
      </c>
    </row>
    <row r="11" spans="1:4">
      <c r="C11" s="6">
        <v>3</v>
      </c>
    </row>
    <row r="12" spans="1:4">
      <c r="C12" s="6">
        <v>4</v>
      </c>
    </row>
    <row r="13" spans="1:4">
      <c r="C13" s="6">
        <v>2</v>
      </c>
    </row>
    <row r="14" spans="1:4">
      <c r="C14" s="6">
        <v>6</v>
      </c>
    </row>
    <row r="15" spans="1:4">
      <c r="C15" s="6">
        <v>2</v>
      </c>
    </row>
    <row r="16" spans="1:4">
      <c r="C16" s="6">
        <v>4</v>
      </c>
    </row>
    <row r="17" spans="1:3">
      <c r="C17" s="6">
        <v>7</v>
      </c>
    </row>
    <row r="18" spans="1:3">
      <c r="C18" s="6">
        <v>3</v>
      </c>
    </row>
    <row r="19" spans="1:3">
      <c r="C19" s="6">
        <v>5</v>
      </c>
    </row>
    <row r="20" spans="1:3">
      <c r="A20" t="s">
        <v>43</v>
      </c>
    </row>
    <row r="21" spans="1:3">
      <c r="B21">
        <v>2</v>
      </c>
      <c r="C21" s="6">
        <v>2</v>
      </c>
    </row>
    <row r="22" spans="1:3">
      <c r="B22">
        <v>3</v>
      </c>
      <c r="C22" s="6">
        <v>3</v>
      </c>
    </row>
    <row r="23" spans="1:3">
      <c r="B23">
        <v>4</v>
      </c>
      <c r="C23" s="6">
        <v>4</v>
      </c>
    </row>
    <row r="24" spans="1:3">
      <c r="B24">
        <v>5</v>
      </c>
      <c r="C24" s="6">
        <v>5</v>
      </c>
    </row>
    <row r="25" spans="1:3">
      <c r="B25">
        <v>6</v>
      </c>
      <c r="C25" s="6">
        <v>6</v>
      </c>
    </row>
    <row r="26" spans="1:3">
      <c r="B26">
        <v>7</v>
      </c>
      <c r="C26" s="6">
        <v>7</v>
      </c>
    </row>
  </sheetData>
  <mergeCells count="2">
    <mergeCell ref="C3:D3"/>
    <mergeCell ref="C4:D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6</vt:i4>
      </vt:variant>
    </vt:vector>
  </HeadingPairs>
  <TitlesOfParts>
    <vt:vector size="12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再開時間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2026-02-28T07:25:00Z</dcterms:modified>
</cp:coreProperties>
</file>
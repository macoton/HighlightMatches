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8AB39BFC-B62D-49D2-9F05-F1960A718560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03" i="4" l="1"/>
  <c r="O203" i="4"/>
  <c r="M203" i="4"/>
  <c r="N203" i="4" s="1"/>
  <c r="K203" i="4"/>
  <c r="L203" i="4" s="1"/>
  <c r="P203" i="4" s="1"/>
  <c r="Q202" i="4"/>
  <c r="O202" i="4"/>
  <c r="M202" i="4"/>
  <c r="N202" i="4" s="1"/>
  <c r="K202" i="4"/>
  <c r="L202" i="4" s="1"/>
  <c r="P202" i="4" s="1"/>
  <c r="Q201" i="4"/>
  <c r="O201" i="4"/>
  <c r="M201" i="4"/>
  <c r="N201" i="4" s="1"/>
  <c r="K201" i="4"/>
  <c r="L201" i="4" s="1"/>
  <c r="Q200" i="4"/>
  <c r="O200" i="4"/>
  <c r="M200" i="4"/>
  <c r="N200" i="4" s="1"/>
  <c r="K200" i="4"/>
  <c r="L200" i="4" s="1"/>
  <c r="Q199" i="4"/>
  <c r="O199" i="4"/>
  <c r="M199" i="4"/>
  <c r="N199" i="4" s="1"/>
  <c r="K199" i="4"/>
  <c r="L199" i="4" s="1"/>
  <c r="P199" i="4" s="1"/>
  <c r="Q198" i="4"/>
  <c r="O198" i="4"/>
  <c r="M198" i="4"/>
  <c r="N198" i="4" s="1"/>
  <c r="K198" i="4"/>
  <c r="L198" i="4" s="1"/>
  <c r="Q197" i="4"/>
  <c r="O197" i="4"/>
  <c r="M197" i="4"/>
  <c r="N197" i="4" s="1"/>
  <c r="K197" i="4"/>
  <c r="L197" i="4" s="1"/>
  <c r="P197" i="4" s="1"/>
  <c r="Q196" i="4"/>
  <c r="O196" i="4"/>
  <c r="M196" i="4"/>
  <c r="N196" i="4" s="1"/>
  <c r="K196" i="4"/>
  <c r="L196" i="4" s="1"/>
  <c r="P196" i="4" s="1"/>
  <c r="Q195" i="4"/>
  <c r="O195" i="4"/>
  <c r="M195" i="4"/>
  <c r="N195" i="4" s="1"/>
  <c r="K195" i="4"/>
  <c r="L195" i="4" s="1"/>
  <c r="P195" i="4" s="1"/>
  <c r="Q194" i="4"/>
  <c r="O194" i="4"/>
  <c r="M194" i="4"/>
  <c r="N194" i="4" s="1"/>
  <c r="K194" i="4"/>
  <c r="L194" i="4" s="1"/>
  <c r="P194" i="4" s="1"/>
  <c r="Q193" i="4"/>
  <c r="O193" i="4"/>
  <c r="M193" i="4"/>
  <c r="N193" i="4" s="1"/>
  <c r="K193" i="4"/>
  <c r="L193" i="4" s="1"/>
  <c r="P193" i="4" s="1"/>
  <c r="Q192" i="4"/>
  <c r="O192" i="4"/>
  <c r="M192" i="4"/>
  <c r="N192" i="4" s="1"/>
  <c r="K192" i="4"/>
  <c r="L192" i="4" s="1"/>
  <c r="Q191" i="4"/>
  <c r="O191" i="4"/>
  <c r="M191" i="4"/>
  <c r="N191" i="4" s="1"/>
  <c r="K191" i="4"/>
  <c r="L191" i="4" s="1"/>
  <c r="P191" i="4" s="1"/>
  <c r="Q190" i="4"/>
  <c r="O190" i="4"/>
  <c r="M190" i="4"/>
  <c r="N190" i="4" s="1"/>
  <c r="K190" i="4"/>
  <c r="L190" i="4" s="1"/>
  <c r="P190" i="4" s="1"/>
  <c r="Q189" i="4"/>
  <c r="O189" i="4"/>
  <c r="M189" i="4"/>
  <c r="N189" i="4" s="1"/>
  <c r="K189" i="4"/>
  <c r="L189" i="4" s="1"/>
  <c r="Q188" i="4"/>
  <c r="O188" i="4"/>
  <c r="M188" i="4"/>
  <c r="N188" i="4" s="1"/>
  <c r="K188" i="4"/>
  <c r="L188" i="4" s="1"/>
  <c r="P188" i="4" s="1"/>
  <c r="Q187" i="4"/>
  <c r="O187" i="4"/>
  <c r="M187" i="4"/>
  <c r="N187" i="4" s="1"/>
  <c r="K187" i="4"/>
  <c r="L187" i="4" s="1"/>
  <c r="Q186" i="4"/>
  <c r="O186" i="4"/>
  <c r="M186" i="4"/>
  <c r="N186" i="4" s="1"/>
  <c r="K186" i="4"/>
  <c r="L186" i="4" s="1"/>
  <c r="P186" i="4" s="1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O185" i="4"/>
  <c r="M185" i="4"/>
  <c r="N185" i="4" s="1"/>
  <c r="K185" i="4"/>
  <c r="L185" i="4" s="1"/>
  <c r="O184" i="4"/>
  <c r="M184" i="4"/>
  <c r="N184" i="4" s="1"/>
  <c r="K184" i="4"/>
  <c r="L184" i="4" s="1"/>
  <c r="P184" i="4" s="1"/>
  <c r="O183" i="4"/>
  <c r="M183" i="4"/>
  <c r="N183" i="4" s="1"/>
  <c r="K183" i="4"/>
  <c r="L183" i="4" s="1"/>
  <c r="O182" i="4"/>
  <c r="M182" i="4"/>
  <c r="K182" i="4"/>
  <c r="O181" i="4"/>
  <c r="M181" i="4"/>
  <c r="K181" i="4"/>
  <c r="O180" i="4"/>
  <c r="M180" i="4"/>
  <c r="K180" i="4"/>
  <c r="O179" i="4"/>
  <c r="M179" i="4"/>
  <c r="K179" i="4"/>
  <c r="O178" i="4"/>
  <c r="M178" i="4"/>
  <c r="K178" i="4"/>
  <c r="O177" i="4"/>
  <c r="M177" i="4"/>
  <c r="K177" i="4"/>
  <c r="O176" i="4"/>
  <c r="M176" i="4"/>
  <c r="K176" i="4"/>
  <c r="O175" i="4"/>
  <c r="M175" i="4"/>
  <c r="K175" i="4"/>
  <c r="O174" i="4"/>
  <c r="M174" i="4"/>
  <c r="K174" i="4"/>
  <c r="O173" i="4"/>
  <c r="M173" i="4"/>
  <c r="K173" i="4"/>
  <c r="O172" i="4"/>
  <c r="M172" i="4"/>
  <c r="K172" i="4"/>
  <c r="O171" i="4"/>
  <c r="M171" i="4"/>
  <c r="K171" i="4"/>
  <c r="O170" i="4"/>
  <c r="M170" i="4"/>
  <c r="K170" i="4"/>
  <c r="O169" i="4"/>
  <c r="M169" i="4"/>
  <c r="K169" i="4"/>
  <c r="O168" i="4"/>
  <c r="M168" i="4"/>
  <c r="K168" i="4"/>
  <c r="O167" i="4"/>
  <c r="M167" i="4"/>
  <c r="K167" i="4"/>
  <c r="O166" i="4"/>
  <c r="M166" i="4"/>
  <c r="K166" i="4"/>
  <c r="O165" i="4"/>
  <c r="M165" i="4"/>
  <c r="K165" i="4"/>
  <c r="O164" i="4"/>
  <c r="M164" i="4"/>
  <c r="K164" i="4"/>
  <c r="O163" i="4"/>
  <c r="M163" i="4"/>
  <c r="K163" i="4"/>
  <c r="O162" i="4"/>
  <c r="M162" i="4"/>
  <c r="K162" i="4"/>
  <c r="O161" i="4"/>
  <c r="M161" i="4"/>
  <c r="K161" i="4"/>
  <c r="O160" i="4"/>
  <c r="M160" i="4"/>
  <c r="K160" i="4"/>
  <c r="O159" i="4"/>
  <c r="M159" i="4"/>
  <c r="K159" i="4"/>
  <c r="O158" i="4"/>
  <c r="M158" i="4"/>
  <c r="K158" i="4"/>
  <c r="O157" i="4"/>
  <c r="M157" i="4"/>
  <c r="K157" i="4"/>
  <c r="O156" i="4"/>
  <c r="M156" i="4"/>
  <c r="K156" i="4"/>
  <c r="O155" i="4"/>
  <c r="M155" i="4"/>
  <c r="K155" i="4"/>
  <c r="O154" i="4"/>
  <c r="M154" i="4"/>
  <c r="K154" i="4"/>
  <c r="O153" i="4"/>
  <c r="M153" i="4"/>
  <c r="K153" i="4"/>
  <c r="O152" i="4"/>
  <c r="M152" i="4"/>
  <c r="K152" i="4"/>
  <c r="O151" i="4"/>
  <c r="M151" i="4"/>
  <c r="K151" i="4"/>
  <c r="O150" i="4"/>
  <c r="M150" i="4"/>
  <c r="K150" i="4"/>
  <c r="O149" i="4"/>
  <c r="M149" i="4"/>
  <c r="K149" i="4"/>
  <c r="O148" i="4"/>
  <c r="M148" i="4"/>
  <c r="K148" i="4"/>
  <c r="O147" i="4"/>
  <c r="M147" i="4"/>
  <c r="K147" i="4"/>
  <c r="O146" i="4"/>
  <c r="M146" i="4"/>
  <c r="K146" i="4"/>
  <c r="O145" i="4"/>
  <c r="M145" i="4"/>
  <c r="K145" i="4"/>
  <c r="O144" i="4"/>
  <c r="M144" i="4"/>
  <c r="K144" i="4"/>
  <c r="O143" i="4"/>
  <c r="M143" i="4"/>
  <c r="K143" i="4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K18" i="4"/>
  <c r="O18" i="4"/>
  <c r="M18" i="4"/>
  <c r="P201" i="4" l="1"/>
  <c r="P200" i="4"/>
  <c r="P198" i="4"/>
  <c r="P192" i="4"/>
  <c r="P189" i="4"/>
  <c r="P187" i="4"/>
  <c r="P185" i="4"/>
  <c r="P183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L20" i="4" l="1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P20" i="4" l="1"/>
  <c r="L21" i="4"/>
  <c r="T2" i="5"/>
  <c r="T3" i="5"/>
  <c r="T4" i="3"/>
  <c r="S5" i="3"/>
  <c r="L22" i="4" l="1"/>
  <c r="P21" i="4"/>
  <c r="T4" i="5"/>
  <c r="S6" i="3"/>
  <c r="T6" i="3" s="1"/>
  <c r="T5" i="3"/>
  <c r="L23" i="4" l="1"/>
  <c r="P22" i="4"/>
  <c r="T6" i="5"/>
  <c r="T5" i="5"/>
  <c r="L24" i="4" l="1"/>
  <c r="P23" i="4"/>
  <c r="P18" i="4"/>
  <c r="P24" i="4" l="1"/>
  <c r="L25" i="4"/>
  <c r="L26" i="4" l="1"/>
  <c r="P25" i="4"/>
  <c r="L27" i="4" l="1"/>
  <c r="P26" i="4"/>
  <c r="L28" i="4" l="1"/>
  <c r="P27" i="4"/>
  <c r="P28" i="4" l="1"/>
  <c r="L29" i="4"/>
  <c r="L30" i="4" l="1"/>
  <c r="P29" i="4"/>
  <c r="L31" i="4" l="1"/>
  <c r="P30" i="4"/>
  <c r="L32" i="4" l="1"/>
  <c r="P31" i="4"/>
  <c r="P32" i="4" l="1"/>
  <c r="L33" i="4"/>
  <c r="L34" i="4" l="1"/>
  <c r="P33" i="4"/>
  <c r="L35" i="4" l="1"/>
  <c r="P34" i="4"/>
  <c r="L36" i="4" l="1"/>
  <c r="P35" i="4"/>
  <c r="P36" i="4" l="1"/>
  <c r="L37" i="4"/>
  <c r="L38" i="4" l="1"/>
  <c r="P37" i="4"/>
  <c r="L39" i="4" l="1"/>
  <c r="P38" i="4"/>
  <c r="L40" i="4" l="1"/>
  <c r="P39" i="4"/>
  <c r="P40" i="4" l="1"/>
  <c r="L41" i="4"/>
  <c r="L42" i="4" l="1"/>
  <c r="P41" i="4"/>
  <c r="L43" i="4" l="1"/>
  <c r="P42" i="4"/>
  <c r="L44" i="4" l="1"/>
  <c r="P43" i="4"/>
  <c r="P44" i="4" l="1"/>
  <c r="L45" i="4"/>
  <c r="L46" i="4" l="1"/>
  <c r="P45" i="4"/>
  <c r="L47" i="4" l="1"/>
  <c r="P46" i="4"/>
  <c r="L48" i="4" l="1"/>
  <c r="P47" i="4"/>
  <c r="P48" i="4" l="1"/>
  <c r="L49" i="4"/>
  <c r="L50" i="4" l="1"/>
  <c r="P49" i="4"/>
  <c r="L51" i="4" l="1"/>
  <c r="P50" i="4"/>
  <c r="L52" i="4" l="1"/>
  <c r="P51" i="4"/>
  <c r="P52" i="4" l="1"/>
  <c r="L53" i="4"/>
  <c r="L54" i="4" l="1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2" i="4" s="1"/>
  <c r="P181" i="4"/>
</calcChain>
</file>

<file path=xl/sharedStrings.xml><?xml version="1.0" encoding="utf-8"?>
<sst xmlns="http://schemas.openxmlformats.org/spreadsheetml/2006/main" count="483" uniqueCount="463">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</sst>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データ!$A$3:$A$203</c:f>
              <c:numCache>
                <c:formatCode>m/d/yyyy\ h:mm</c:formatCode>
                <c:ptCount val="20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</c:numCache>
            </c:numRef>
          </c:xVal>
          <c:yVal>
            <c:numRef>
              <c:f>データ!$B$3:$B$203</c:f>
              <c:numCache>
                <c:formatCode>General</c:formatCode>
                <c:ptCount val="201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4-4C58-B945-33707CD5E94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664-4C58-B945-33707CD5E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982527"/>
        <c:axId val="1174975327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データ!$A$3:$A$203</c:f>
              <c:numCache>
                <c:formatCode>m/d/yyyy\ h:mm</c:formatCode>
                <c:ptCount val="20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</c:numCache>
            </c:numRef>
          </c:xVal>
          <c:yVal>
            <c:numRef>
              <c:f>データ!$Q$3:$Q$203</c:f>
              <c:numCache>
                <c:formatCode>[h]:mm</c:formatCode>
                <c:ptCount val="201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4-4C58-B945-33707CD5E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987807"/>
        <c:axId val="1174963807"/>
      </c:scatterChart>
      <c:valAx>
        <c:axId val="1174982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4975327"/>
        <c:crosses val="autoZero"/>
        <c:crossBetween val="midCat"/>
      </c:valAx>
      <c:valAx>
        <c:axId val="1174975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4982527"/>
        <c:crosses val="autoZero"/>
        <c:crossBetween val="midCat"/>
      </c:valAx>
      <c:valAx>
        <c:axId val="1174963807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4987807"/>
        <c:crosses val="max"/>
        <c:crossBetween val="midCat"/>
      </c:valAx>
      <c:valAx>
        <c:axId val="1174987807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4963807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211931</xdr:colOff>
      <xdr:row>4</xdr:row>
      <xdr:rowOff>178594</xdr:rowOff>
    </xdr:from>
    <xdr:to>
      <xdr:col>3</xdr:col>
      <xdr:colOff>211931</xdr:colOff>
      <xdr:row>6</xdr:row>
      <xdr:rowOff>178594</xdr:rowOff>
    </xdr:to>
    <xdr:cxnSp macro="">
      <xdr:nvCxnSpPr>
        <xdr:cNvPr id="1763" name="Match0">
          <a:extLst>
            <a:ext uri="{FF2B5EF4-FFF2-40B4-BE49-F238E27FC236}">
              <a16:creationId xmlns:a16="http://schemas.microsoft.com/office/drawing/2014/main" id="{5ACECA74-A57B-628C-5E7E-A16573089AE2}"/>
            </a:ext>
          </a:extLst>
        </xdr:cNvPr>
        <xdr:cNvCxnSpPr/>
      </xdr:nvCxnSpPr>
      <xdr:spPr>
        <a:xfrm>
          <a:off x="635794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3</xdr:col>
      <xdr:colOff>211931</xdr:colOff>
      <xdr:row>6</xdr:row>
      <xdr:rowOff>178594</xdr:rowOff>
    </xdr:to>
    <xdr:cxnSp macro="">
      <xdr:nvCxnSpPr>
        <xdr:cNvPr id="1764" name="Match1">
          <a:extLst>
            <a:ext uri="{FF2B5EF4-FFF2-40B4-BE49-F238E27FC236}">
              <a16:creationId xmlns:a16="http://schemas.microsoft.com/office/drawing/2014/main" id="{BA72B0A6-68A1-F4F9-717D-63180A20FF17}"/>
            </a:ext>
          </a:extLst>
        </xdr:cNvPr>
        <xdr:cNvCxnSpPr/>
      </xdr:nvCxnSpPr>
      <xdr:spPr>
        <a:xfrm flipH="1" flipV="1">
          <a:off x="635794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1765" name="Match2">
          <a:extLst>
            <a:ext uri="{FF2B5EF4-FFF2-40B4-BE49-F238E27FC236}">
              <a16:creationId xmlns:a16="http://schemas.microsoft.com/office/drawing/2014/main" id="{DE6B5D15-40E4-ED38-1741-E16809D51221}"/>
            </a:ext>
          </a:extLst>
        </xdr:cNvPr>
        <xdr:cNvCxnSpPr/>
      </xdr:nvCxnSpPr>
      <xdr:spPr>
        <a:xfrm flipH="1">
          <a:off x="2755106" y="178594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766" name="Match3">
          <a:extLst>
            <a:ext uri="{FF2B5EF4-FFF2-40B4-BE49-F238E27FC236}">
              <a16:creationId xmlns:a16="http://schemas.microsoft.com/office/drawing/2014/main" id="{8F3ECF87-8814-FFDE-97F2-D9D4A7CCD1C6}"/>
            </a:ext>
          </a:extLst>
        </xdr:cNvPr>
        <xdr:cNvCxnSpPr/>
      </xdr:nvCxnSpPr>
      <xdr:spPr>
        <a:xfrm flipV="1">
          <a:off x="2331244" y="2678906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0</xdr:col>
      <xdr:colOff>211931</xdr:colOff>
      <xdr:row>1</xdr:row>
      <xdr:rowOff>178593</xdr:rowOff>
    </xdr:to>
    <xdr:cxnSp macro="">
      <xdr:nvCxnSpPr>
        <xdr:cNvPr id="1767" name="Match4">
          <a:extLst>
            <a:ext uri="{FF2B5EF4-FFF2-40B4-BE49-F238E27FC236}">
              <a16:creationId xmlns:a16="http://schemas.microsoft.com/office/drawing/2014/main" id="{D3D7F8AA-BF1C-155B-7A39-8DD7D2BF099B}"/>
            </a:ext>
          </a:extLst>
        </xdr:cNvPr>
        <xdr:cNvCxnSpPr/>
      </xdr:nvCxnSpPr>
      <xdr:spPr>
        <a:xfrm flipV="1">
          <a:off x="21193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0</xdr:row>
      <xdr:rowOff>203994</xdr:rowOff>
    </xdr:from>
    <xdr:to>
      <xdr:col>1</xdr:col>
      <xdr:colOff>237331</xdr:colOff>
      <xdr:row>1</xdr:row>
      <xdr:rowOff>203993</xdr:rowOff>
    </xdr:to>
    <xdr:cxnSp macro="">
      <xdr:nvCxnSpPr>
        <xdr:cNvPr id="1768" name="Match5">
          <a:extLst>
            <a:ext uri="{FF2B5EF4-FFF2-40B4-BE49-F238E27FC236}">
              <a16:creationId xmlns:a16="http://schemas.microsoft.com/office/drawing/2014/main" id="{20FCE944-D908-C7D4-8303-92E7845A9F47}"/>
            </a:ext>
          </a:extLst>
        </xdr:cNvPr>
        <xdr:cNvCxnSpPr/>
      </xdr:nvCxnSpPr>
      <xdr:spPr>
        <a:xfrm flipV="1">
          <a:off x="237331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1</xdr:row>
      <xdr:rowOff>178593</xdr:rowOff>
    </xdr:to>
    <xdr:cxnSp macro="">
      <xdr:nvCxnSpPr>
        <xdr:cNvPr id="1769" name="Match6">
          <a:extLst>
            <a:ext uri="{FF2B5EF4-FFF2-40B4-BE49-F238E27FC236}">
              <a16:creationId xmlns:a16="http://schemas.microsoft.com/office/drawing/2014/main" id="{75B5E6CC-452F-2CA6-205F-017ABF65BBC2}"/>
            </a:ext>
          </a:extLst>
        </xdr:cNvPr>
        <xdr:cNvCxnSpPr/>
      </xdr:nvCxnSpPr>
      <xdr:spPr>
        <a:xfrm flipH="1">
          <a:off x="105965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4</xdr:col>
      <xdr:colOff>237331</xdr:colOff>
      <xdr:row>1</xdr:row>
      <xdr:rowOff>203993</xdr:rowOff>
    </xdr:to>
    <xdr:cxnSp macro="">
      <xdr:nvCxnSpPr>
        <xdr:cNvPr id="1770" name="Match7">
          <a:extLst>
            <a:ext uri="{FF2B5EF4-FFF2-40B4-BE49-F238E27FC236}">
              <a16:creationId xmlns:a16="http://schemas.microsoft.com/office/drawing/2014/main" id="{066B9426-F460-B1A7-433F-392ADD76966D}"/>
            </a:ext>
          </a:extLst>
        </xdr:cNvPr>
        <xdr:cNvCxnSpPr/>
      </xdr:nvCxnSpPr>
      <xdr:spPr>
        <a:xfrm flipV="1">
          <a:off x="1508919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1771" name="Match8">
          <a:extLst>
            <a:ext uri="{FF2B5EF4-FFF2-40B4-BE49-F238E27FC236}">
              <a16:creationId xmlns:a16="http://schemas.microsoft.com/office/drawing/2014/main" id="{21B81705-654C-5615-8649-D34B7816E7B8}"/>
            </a:ext>
          </a:extLst>
        </xdr:cNvPr>
        <xdr:cNvCxnSpPr/>
      </xdr:nvCxnSpPr>
      <xdr:spPr>
        <a:xfrm flipV="1">
          <a:off x="1907381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3</xdr:row>
      <xdr:rowOff>178593</xdr:rowOff>
    </xdr:to>
    <xdr:cxnSp macro="">
      <xdr:nvCxnSpPr>
        <xdr:cNvPr id="1772" name="Match9">
          <a:extLst>
            <a:ext uri="{FF2B5EF4-FFF2-40B4-BE49-F238E27FC236}">
              <a16:creationId xmlns:a16="http://schemas.microsoft.com/office/drawing/2014/main" id="{7239F430-7170-477C-6C14-0ABF38E8BBCE}"/>
            </a:ext>
          </a:extLst>
        </xdr:cNvPr>
        <xdr:cNvCxnSpPr/>
      </xdr:nvCxnSpPr>
      <xdr:spPr>
        <a:xfrm>
          <a:off x="6357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3</xdr:row>
      <xdr:rowOff>203993</xdr:rowOff>
    </xdr:from>
    <xdr:to>
      <xdr:col>1</xdr:col>
      <xdr:colOff>237331</xdr:colOff>
      <xdr:row>4</xdr:row>
      <xdr:rowOff>203994</xdr:rowOff>
    </xdr:to>
    <xdr:cxnSp macro="">
      <xdr:nvCxnSpPr>
        <xdr:cNvPr id="1773" name="Match10">
          <a:extLst>
            <a:ext uri="{FF2B5EF4-FFF2-40B4-BE49-F238E27FC236}">
              <a16:creationId xmlns:a16="http://schemas.microsoft.com/office/drawing/2014/main" id="{1261E41F-3DD8-F4A5-9B6F-6A579D336753}"/>
            </a:ext>
          </a:extLst>
        </xdr:cNvPr>
        <xdr:cNvCxnSpPr/>
      </xdr:nvCxnSpPr>
      <xdr:spPr>
        <a:xfrm>
          <a:off x="661194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3</xdr:row>
      <xdr:rowOff>178593</xdr:rowOff>
    </xdr:to>
    <xdr:cxnSp macro="">
      <xdr:nvCxnSpPr>
        <xdr:cNvPr id="1774" name="Match11">
          <a:extLst>
            <a:ext uri="{FF2B5EF4-FFF2-40B4-BE49-F238E27FC236}">
              <a16:creationId xmlns:a16="http://schemas.microsoft.com/office/drawing/2014/main" id="{E92FEAA4-E839-B6D0-5D7B-FF00752A81A6}"/>
            </a:ext>
          </a:extLst>
        </xdr:cNvPr>
        <xdr:cNvCxnSpPr/>
      </xdr:nvCxnSpPr>
      <xdr:spPr>
        <a:xfrm flipH="1">
          <a:off x="1059656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4</xdr:row>
      <xdr:rowOff>178594</xdr:rowOff>
    </xdr:to>
    <xdr:cxnSp macro="">
      <xdr:nvCxnSpPr>
        <xdr:cNvPr id="1775" name="Match12">
          <a:extLst>
            <a:ext uri="{FF2B5EF4-FFF2-40B4-BE49-F238E27FC236}">
              <a16:creationId xmlns:a16="http://schemas.microsoft.com/office/drawing/2014/main" id="{5C9D3A5D-9865-763A-DDE4-9DF42668DA95}"/>
            </a:ext>
          </a:extLst>
        </xdr:cNvPr>
        <xdr:cNvCxnSpPr/>
      </xdr:nvCxnSpPr>
      <xdr:spPr>
        <a:xfrm flipH="1">
          <a:off x="63579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3</xdr:row>
      <xdr:rowOff>203993</xdr:rowOff>
    </xdr:from>
    <xdr:to>
      <xdr:col>2</xdr:col>
      <xdr:colOff>237331</xdr:colOff>
      <xdr:row>4</xdr:row>
      <xdr:rowOff>203994</xdr:rowOff>
    </xdr:to>
    <xdr:cxnSp macro="">
      <xdr:nvCxnSpPr>
        <xdr:cNvPr id="1776" name="Match13">
          <a:extLst>
            <a:ext uri="{FF2B5EF4-FFF2-40B4-BE49-F238E27FC236}">
              <a16:creationId xmlns:a16="http://schemas.microsoft.com/office/drawing/2014/main" id="{9605D671-8302-2324-3AD4-3448F540945E}"/>
            </a:ext>
          </a:extLst>
        </xdr:cNvPr>
        <xdr:cNvCxnSpPr/>
      </xdr:nvCxnSpPr>
      <xdr:spPr>
        <a:xfrm flipV="1">
          <a:off x="1085056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777" name="Match14">
          <a:extLst>
            <a:ext uri="{FF2B5EF4-FFF2-40B4-BE49-F238E27FC236}">
              <a16:creationId xmlns:a16="http://schemas.microsoft.com/office/drawing/2014/main" id="{47336E4D-AAC2-5A42-BDBB-4B73CAB3E61F}"/>
            </a:ext>
          </a:extLst>
        </xdr:cNvPr>
        <xdr:cNvCxnSpPr/>
      </xdr:nvCxnSpPr>
      <xdr:spPr>
        <a:xfrm flipH="1">
          <a:off x="275510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778" name="Match15">
          <a:extLst>
            <a:ext uri="{FF2B5EF4-FFF2-40B4-BE49-F238E27FC236}">
              <a16:creationId xmlns:a16="http://schemas.microsoft.com/office/drawing/2014/main" id="{92A1F5BF-E59A-8504-9631-DE1AD0E49E7B}"/>
            </a:ext>
          </a:extLst>
        </xdr:cNvPr>
        <xdr:cNvCxnSpPr/>
      </xdr:nvCxnSpPr>
      <xdr:spPr>
        <a:xfrm>
          <a:off x="402669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10</xdr:col>
      <xdr:colOff>211931</xdr:colOff>
      <xdr:row>5</xdr:row>
      <xdr:rowOff>178593</xdr:rowOff>
    </xdr:to>
    <xdr:cxnSp macro="">
      <xdr:nvCxnSpPr>
        <xdr:cNvPr id="1779" name="Match16">
          <a:extLst>
            <a:ext uri="{FF2B5EF4-FFF2-40B4-BE49-F238E27FC236}">
              <a16:creationId xmlns:a16="http://schemas.microsoft.com/office/drawing/2014/main" id="{D008D009-2C13-2B7D-566E-520AD856C458}"/>
            </a:ext>
          </a:extLst>
        </xdr:cNvPr>
        <xdr:cNvCxnSpPr/>
      </xdr:nvCxnSpPr>
      <xdr:spPr>
        <a:xfrm flipH="1">
          <a:off x="40266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780" name="Match17">
          <a:extLst>
            <a:ext uri="{FF2B5EF4-FFF2-40B4-BE49-F238E27FC236}">
              <a16:creationId xmlns:a16="http://schemas.microsoft.com/office/drawing/2014/main" id="{96BD570E-AD27-1866-F4D5-E8A8D326FB2A}"/>
            </a:ext>
          </a:extLst>
        </xdr:cNvPr>
        <xdr:cNvCxnSpPr/>
      </xdr:nvCxnSpPr>
      <xdr:spPr>
        <a:xfrm flipH="1">
          <a:off x="148351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9</xdr:col>
      <xdr:colOff>211931</xdr:colOff>
      <xdr:row>6</xdr:row>
      <xdr:rowOff>178594</xdr:rowOff>
    </xdr:to>
    <xdr:cxnSp macro="">
      <xdr:nvCxnSpPr>
        <xdr:cNvPr id="1781" name="Match18">
          <a:extLst>
            <a:ext uri="{FF2B5EF4-FFF2-40B4-BE49-F238E27FC236}">
              <a16:creationId xmlns:a16="http://schemas.microsoft.com/office/drawing/2014/main" id="{670939C1-BE64-B668-2458-68788E191EDF}"/>
            </a:ext>
          </a:extLst>
        </xdr:cNvPr>
        <xdr:cNvCxnSpPr/>
      </xdr:nvCxnSpPr>
      <xdr:spPr>
        <a:xfrm flipV="1">
          <a:off x="36028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782" name="Match19">
          <a:extLst>
            <a:ext uri="{FF2B5EF4-FFF2-40B4-BE49-F238E27FC236}">
              <a16:creationId xmlns:a16="http://schemas.microsoft.com/office/drawing/2014/main" id="{DC04930B-6BD0-2F03-088E-0D9A9070592D}"/>
            </a:ext>
          </a:extLst>
        </xdr:cNvPr>
        <xdr:cNvCxnSpPr/>
      </xdr:nvCxnSpPr>
      <xdr:spPr>
        <a:xfrm flipH="1" flipV="1">
          <a:off x="148351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7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783" name="Match20">
          <a:extLst>
            <a:ext uri="{FF2B5EF4-FFF2-40B4-BE49-F238E27FC236}">
              <a16:creationId xmlns:a16="http://schemas.microsoft.com/office/drawing/2014/main" id="{35197B5F-99B9-B100-B4C3-39613DB3D382}"/>
            </a:ext>
          </a:extLst>
        </xdr:cNvPr>
        <xdr:cNvCxnSpPr/>
      </xdr:nvCxnSpPr>
      <xdr:spPr>
        <a:xfrm>
          <a:off x="4874419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784" name="Match21">
          <a:extLst>
            <a:ext uri="{FF2B5EF4-FFF2-40B4-BE49-F238E27FC236}">
              <a16:creationId xmlns:a16="http://schemas.microsoft.com/office/drawing/2014/main" id="{EC1AC5F6-5FB0-10A6-9546-86D3FEAC67A0}"/>
            </a:ext>
          </a:extLst>
        </xdr:cNvPr>
        <xdr:cNvCxnSpPr/>
      </xdr:nvCxnSpPr>
      <xdr:spPr>
        <a:xfrm>
          <a:off x="2119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785" name="Match22">
          <a:extLst>
            <a:ext uri="{FF2B5EF4-FFF2-40B4-BE49-F238E27FC236}">
              <a16:creationId xmlns:a16="http://schemas.microsoft.com/office/drawing/2014/main" id="{9897AF7B-6EFC-8B42-64BE-093A7F2DD1A9}"/>
            </a:ext>
          </a:extLst>
        </xdr:cNvPr>
        <xdr:cNvCxnSpPr/>
      </xdr:nvCxnSpPr>
      <xdr:spPr>
        <a:xfrm flipV="1">
          <a:off x="487441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1786" name="Match23">
          <a:extLst>
            <a:ext uri="{FF2B5EF4-FFF2-40B4-BE49-F238E27FC236}">
              <a16:creationId xmlns:a16="http://schemas.microsoft.com/office/drawing/2014/main" id="{6098666B-169F-89BF-FD4C-7ACDD656F337}"/>
            </a:ext>
          </a:extLst>
        </xdr:cNvPr>
        <xdr:cNvCxnSpPr/>
      </xdr:nvCxnSpPr>
      <xdr:spPr>
        <a:xfrm>
          <a:off x="36028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10</xdr:row>
      <xdr:rowOff>203994</xdr:rowOff>
    </xdr:from>
    <xdr:to>
      <xdr:col>8</xdr:col>
      <xdr:colOff>237331</xdr:colOff>
      <xdr:row>11</xdr:row>
      <xdr:rowOff>203993</xdr:rowOff>
    </xdr:to>
    <xdr:cxnSp macro="">
      <xdr:nvCxnSpPr>
        <xdr:cNvPr id="1787" name="Match24">
          <a:extLst>
            <a:ext uri="{FF2B5EF4-FFF2-40B4-BE49-F238E27FC236}">
              <a16:creationId xmlns:a16="http://schemas.microsoft.com/office/drawing/2014/main" id="{380C59F8-D13E-7E9C-B51E-D3FB8FA7C64B}"/>
            </a:ext>
          </a:extLst>
        </xdr:cNvPr>
        <xdr:cNvCxnSpPr/>
      </xdr:nvCxnSpPr>
      <xdr:spPr>
        <a:xfrm flipH="1">
          <a:off x="3204369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788" name="Match25">
          <a:extLst>
            <a:ext uri="{FF2B5EF4-FFF2-40B4-BE49-F238E27FC236}">
              <a16:creationId xmlns:a16="http://schemas.microsoft.com/office/drawing/2014/main" id="{21673D53-B944-9344-A399-C9902489CD8B}"/>
            </a:ext>
          </a:extLst>
        </xdr:cNvPr>
        <xdr:cNvCxnSpPr/>
      </xdr:nvCxnSpPr>
      <xdr:spPr>
        <a:xfrm flipV="1"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1789" name="Match26">
          <a:extLst>
            <a:ext uri="{FF2B5EF4-FFF2-40B4-BE49-F238E27FC236}">
              <a16:creationId xmlns:a16="http://schemas.microsoft.com/office/drawing/2014/main" id="{852C9729-837C-F474-DC6C-62F18BD3ADCE}"/>
            </a:ext>
          </a:extLst>
        </xdr:cNvPr>
        <xdr:cNvCxnSpPr/>
      </xdr:nvCxnSpPr>
      <xdr:spPr>
        <a:xfrm flipV="1">
          <a:off x="4026694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790" name="Match27">
          <a:extLst>
            <a:ext uri="{FF2B5EF4-FFF2-40B4-BE49-F238E27FC236}">
              <a16:creationId xmlns:a16="http://schemas.microsoft.com/office/drawing/2014/main" id="{5C9C8A9A-CDB6-AACD-B39A-D5D0B0176B87}"/>
            </a:ext>
          </a:extLst>
        </xdr:cNvPr>
        <xdr:cNvCxnSpPr/>
      </xdr:nvCxnSpPr>
      <xdr:spPr>
        <a:xfrm flipH="1">
          <a:off x="2755106" y="196453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</xdr:row>
      <xdr:rowOff>203993</xdr:rowOff>
    </xdr:from>
    <xdr:to>
      <xdr:col>8</xdr:col>
      <xdr:colOff>237331</xdr:colOff>
      <xdr:row>5</xdr:row>
      <xdr:rowOff>203993</xdr:rowOff>
    </xdr:to>
    <xdr:cxnSp macro="">
      <xdr:nvCxnSpPr>
        <xdr:cNvPr id="1791" name="Match28">
          <a:extLst>
            <a:ext uri="{FF2B5EF4-FFF2-40B4-BE49-F238E27FC236}">
              <a16:creationId xmlns:a16="http://schemas.microsoft.com/office/drawing/2014/main" id="{65CB30B6-B60B-326D-4C65-ADF7712C0CBD}"/>
            </a:ext>
          </a:extLst>
        </xdr:cNvPr>
        <xdr:cNvCxnSpPr/>
      </xdr:nvCxnSpPr>
      <xdr:spPr>
        <a:xfrm>
          <a:off x="1932781" y="561181"/>
          <a:ext cx="1695450" cy="142875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1792" name="Match29">
          <a:extLst>
            <a:ext uri="{FF2B5EF4-FFF2-40B4-BE49-F238E27FC236}">
              <a16:creationId xmlns:a16="http://schemas.microsoft.com/office/drawing/2014/main" id="{96E97DAF-193F-6AAC-5051-DEB91117EDCD}"/>
            </a:ext>
          </a:extLst>
        </xdr:cNvPr>
        <xdr:cNvCxnSpPr/>
      </xdr:nvCxnSpPr>
      <xdr:spPr>
        <a:xfrm>
          <a:off x="2331244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9</xdr:col>
      <xdr:colOff>211931</xdr:colOff>
      <xdr:row>3</xdr:row>
      <xdr:rowOff>178593</xdr:rowOff>
    </xdr:to>
    <xdr:cxnSp macro="">
      <xdr:nvCxnSpPr>
        <xdr:cNvPr id="1793" name="Match30">
          <a:extLst>
            <a:ext uri="{FF2B5EF4-FFF2-40B4-BE49-F238E27FC236}">
              <a16:creationId xmlns:a16="http://schemas.microsoft.com/office/drawing/2014/main" id="{75E2EA6A-CE1B-32F8-375E-684505F86593}"/>
            </a:ext>
          </a:extLst>
        </xdr:cNvPr>
        <xdr:cNvCxnSpPr/>
      </xdr:nvCxnSpPr>
      <xdr:spPr>
        <a:xfrm flipV="1">
          <a:off x="4026694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1794" name="Match31">
          <a:extLst>
            <a:ext uri="{FF2B5EF4-FFF2-40B4-BE49-F238E27FC236}">
              <a16:creationId xmlns:a16="http://schemas.microsoft.com/office/drawing/2014/main" id="{D6B0686B-74C8-B772-F2E3-34A9046C9C9A}"/>
            </a:ext>
          </a:extLst>
        </xdr:cNvPr>
        <xdr:cNvCxnSpPr/>
      </xdr:nvCxnSpPr>
      <xdr:spPr>
        <a:xfrm flipH="1">
          <a:off x="1907381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3</xdr:col>
      <xdr:colOff>211931</xdr:colOff>
      <xdr:row>6</xdr:row>
      <xdr:rowOff>178594</xdr:rowOff>
    </xdr:to>
    <xdr:cxnSp macro="">
      <xdr:nvCxnSpPr>
        <xdr:cNvPr id="1795" name="Match32">
          <a:extLst>
            <a:ext uri="{FF2B5EF4-FFF2-40B4-BE49-F238E27FC236}">
              <a16:creationId xmlns:a16="http://schemas.microsoft.com/office/drawing/2014/main" id="{215FA8AA-2470-A398-AAAD-816560BA9AEF}"/>
            </a:ext>
          </a:extLst>
        </xdr:cNvPr>
        <xdr:cNvCxnSpPr/>
      </xdr:nvCxnSpPr>
      <xdr:spPr>
        <a:xfrm flipV="1">
          <a:off x="635794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1</xdr:row>
      <xdr:rowOff>229393</xdr:rowOff>
    </xdr:from>
    <xdr:to>
      <xdr:col>1</xdr:col>
      <xdr:colOff>262731</xdr:colOff>
      <xdr:row>1</xdr:row>
      <xdr:rowOff>229393</xdr:rowOff>
    </xdr:to>
    <xdr:cxnSp macro="">
      <xdr:nvCxnSpPr>
        <xdr:cNvPr id="1796" name="Match33">
          <a:extLst>
            <a:ext uri="{FF2B5EF4-FFF2-40B4-BE49-F238E27FC236}">
              <a16:creationId xmlns:a16="http://schemas.microsoft.com/office/drawing/2014/main" id="{CC7A55C5-BD31-F86F-2FA9-C4601460E88F}"/>
            </a:ext>
          </a:extLst>
        </xdr:cNvPr>
        <xdr:cNvCxnSpPr/>
      </xdr:nvCxnSpPr>
      <xdr:spPr>
        <a:xfrm>
          <a:off x="262731" y="586581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0</xdr:row>
      <xdr:rowOff>229394</xdr:rowOff>
    </xdr:from>
    <xdr:to>
      <xdr:col>5</xdr:col>
      <xdr:colOff>262731</xdr:colOff>
      <xdr:row>1</xdr:row>
      <xdr:rowOff>229393</xdr:rowOff>
    </xdr:to>
    <xdr:cxnSp macro="">
      <xdr:nvCxnSpPr>
        <xdr:cNvPr id="1797" name="Match34">
          <a:extLst>
            <a:ext uri="{FF2B5EF4-FFF2-40B4-BE49-F238E27FC236}">
              <a16:creationId xmlns:a16="http://schemas.microsoft.com/office/drawing/2014/main" id="{EB6B485D-FBD8-906D-FDDA-A9F31EC445FF}"/>
            </a:ext>
          </a:extLst>
        </xdr:cNvPr>
        <xdr:cNvCxnSpPr/>
      </xdr:nvCxnSpPr>
      <xdr:spPr>
        <a:xfrm flipV="1">
          <a:off x="1958181" y="2293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3</xdr:row>
      <xdr:rowOff>229393</xdr:rowOff>
    </xdr:from>
    <xdr:to>
      <xdr:col>1</xdr:col>
      <xdr:colOff>262731</xdr:colOff>
      <xdr:row>4</xdr:row>
      <xdr:rowOff>229394</xdr:rowOff>
    </xdr:to>
    <xdr:cxnSp macro="">
      <xdr:nvCxnSpPr>
        <xdr:cNvPr id="1798" name="Match35">
          <a:extLst>
            <a:ext uri="{FF2B5EF4-FFF2-40B4-BE49-F238E27FC236}">
              <a16:creationId xmlns:a16="http://schemas.microsoft.com/office/drawing/2014/main" id="{7DF93936-91C5-7362-0AC9-E43356F2A4DD}"/>
            </a:ext>
          </a:extLst>
        </xdr:cNvPr>
        <xdr:cNvCxnSpPr/>
      </xdr:nvCxnSpPr>
      <xdr:spPr>
        <a:xfrm flipH="1">
          <a:off x="262731" y="130095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4</xdr:row>
      <xdr:rowOff>203994</xdr:rowOff>
    </xdr:from>
    <xdr:to>
      <xdr:col>7</xdr:col>
      <xdr:colOff>237331</xdr:colOff>
      <xdr:row>4</xdr:row>
      <xdr:rowOff>203994</xdr:rowOff>
    </xdr:to>
    <xdr:cxnSp macro="">
      <xdr:nvCxnSpPr>
        <xdr:cNvPr id="1799" name="Match36">
          <a:extLst>
            <a:ext uri="{FF2B5EF4-FFF2-40B4-BE49-F238E27FC236}">
              <a16:creationId xmlns:a16="http://schemas.microsoft.com/office/drawing/2014/main" id="{2F34F803-4495-EB05-BD34-168E07A548F5}"/>
            </a:ext>
          </a:extLst>
        </xdr:cNvPr>
        <xdr:cNvCxnSpPr/>
      </xdr:nvCxnSpPr>
      <xdr:spPr>
        <a:xfrm flipH="1">
          <a:off x="2780506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3</xdr:row>
      <xdr:rowOff>229393</xdr:rowOff>
    </xdr:from>
    <xdr:to>
      <xdr:col>8</xdr:col>
      <xdr:colOff>262731</xdr:colOff>
      <xdr:row>4</xdr:row>
      <xdr:rowOff>229394</xdr:rowOff>
    </xdr:to>
    <xdr:cxnSp macro="">
      <xdr:nvCxnSpPr>
        <xdr:cNvPr id="1800" name="Match37">
          <a:extLst>
            <a:ext uri="{FF2B5EF4-FFF2-40B4-BE49-F238E27FC236}">
              <a16:creationId xmlns:a16="http://schemas.microsoft.com/office/drawing/2014/main" id="{B11FA955-5896-F913-3247-3B4495836D69}"/>
            </a:ext>
          </a:extLst>
        </xdr:cNvPr>
        <xdr:cNvCxnSpPr/>
      </xdr:nvCxnSpPr>
      <xdr:spPr>
        <a:xfrm flipV="1">
          <a:off x="3229769" y="130095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3</xdr:row>
      <xdr:rowOff>203993</xdr:rowOff>
    </xdr:from>
    <xdr:to>
      <xdr:col>9</xdr:col>
      <xdr:colOff>237331</xdr:colOff>
      <xdr:row>4</xdr:row>
      <xdr:rowOff>203994</xdr:rowOff>
    </xdr:to>
    <xdr:cxnSp macro="">
      <xdr:nvCxnSpPr>
        <xdr:cNvPr id="1801" name="Match38">
          <a:extLst>
            <a:ext uri="{FF2B5EF4-FFF2-40B4-BE49-F238E27FC236}">
              <a16:creationId xmlns:a16="http://schemas.microsoft.com/office/drawing/2014/main" id="{94C36112-424E-2F29-AE66-09AF375F50E1}"/>
            </a:ext>
          </a:extLst>
        </xdr:cNvPr>
        <xdr:cNvCxnSpPr/>
      </xdr:nvCxnSpPr>
      <xdr:spPr>
        <a:xfrm flipH="1" flipV="1">
          <a:off x="3628231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3</xdr:row>
      <xdr:rowOff>229393</xdr:rowOff>
    </xdr:from>
    <xdr:to>
      <xdr:col>9</xdr:col>
      <xdr:colOff>262731</xdr:colOff>
      <xdr:row>4</xdr:row>
      <xdr:rowOff>229394</xdr:rowOff>
    </xdr:to>
    <xdr:cxnSp macro="">
      <xdr:nvCxnSpPr>
        <xdr:cNvPr id="1802" name="Match39">
          <a:extLst>
            <a:ext uri="{FF2B5EF4-FFF2-40B4-BE49-F238E27FC236}">
              <a16:creationId xmlns:a16="http://schemas.microsoft.com/office/drawing/2014/main" id="{B483F9A2-CB52-A438-4ACB-7BD524718225}"/>
            </a:ext>
          </a:extLst>
        </xdr:cNvPr>
        <xdr:cNvCxnSpPr/>
      </xdr:nvCxnSpPr>
      <xdr:spPr>
        <a:xfrm flipV="1">
          <a:off x="4077494" y="1300956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3</xdr:row>
      <xdr:rowOff>203993</xdr:rowOff>
    </xdr:from>
    <xdr:to>
      <xdr:col>10</xdr:col>
      <xdr:colOff>237331</xdr:colOff>
      <xdr:row>4</xdr:row>
      <xdr:rowOff>203994</xdr:rowOff>
    </xdr:to>
    <xdr:cxnSp macro="">
      <xdr:nvCxnSpPr>
        <xdr:cNvPr id="1803" name="Match40">
          <a:extLst>
            <a:ext uri="{FF2B5EF4-FFF2-40B4-BE49-F238E27FC236}">
              <a16:creationId xmlns:a16="http://schemas.microsoft.com/office/drawing/2014/main" id="{E9AAD103-9D84-FC2C-AD8A-68BDE8C28933}"/>
            </a:ext>
          </a:extLst>
        </xdr:cNvPr>
        <xdr:cNvCxnSpPr/>
      </xdr:nvCxnSpPr>
      <xdr:spPr>
        <a:xfrm flipH="1" flipV="1">
          <a:off x="4052094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6</xdr:row>
      <xdr:rowOff>178594</xdr:rowOff>
    </xdr:to>
    <xdr:cxnSp macro="">
      <xdr:nvCxnSpPr>
        <xdr:cNvPr id="1804" name="Match41">
          <a:extLst>
            <a:ext uri="{FF2B5EF4-FFF2-40B4-BE49-F238E27FC236}">
              <a16:creationId xmlns:a16="http://schemas.microsoft.com/office/drawing/2014/main" id="{9A887A60-DE38-7E7B-2DEA-8611EF407CCE}"/>
            </a:ext>
          </a:extLst>
        </xdr:cNvPr>
        <xdr:cNvCxnSpPr/>
      </xdr:nvCxnSpPr>
      <xdr:spPr>
        <a:xfrm>
          <a:off x="2119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7</xdr:row>
      <xdr:rowOff>203993</xdr:rowOff>
    </xdr:from>
    <xdr:to>
      <xdr:col>11</xdr:col>
      <xdr:colOff>237331</xdr:colOff>
      <xdr:row>7</xdr:row>
      <xdr:rowOff>203993</xdr:rowOff>
    </xdr:to>
    <xdr:cxnSp macro="">
      <xdr:nvCxnSpPr>
        <xdr:cNvPr id="1805" name="Match42">
          <a:extLst>
            <a:ext uri="{FF2B5EF4-FFF2-40B4-BE49-F238E27FC236}">
              <a16:creationId xmlns:a16="http://schemas.microsoft.com/office/drawing/2014/main" id="{9789DA07-A7AB-EEC8-C478-73AB2702B48F}"/>
            </a:ext>
          </a:extLst>
        </xdr:cNvPr>
        <xdr:cNvCxnSpPr/>
      </xdr:nvCxnSpPr>
      <xdr:spPr>
        <a:xfrm flipH="1">
          <a:off x="4475956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262731</xdr:colOff>
      <xdr:row>6</xdr:row>
      <xdr:rowOff>229394</xdr:rowOff>
    </xdr:from>
    <xdr:to>
      <xdr:col>11</xdr:col>
      <xdr:colOff>262731</xdr:colOff>
      <xdr:row>7</xdr:row>
      <xdr:rowOff>229393</xdr:rowOff>
    </xdr:to>
    <xdr:cxnSp macro="">
      <xdr:nvCxnSpPr>
        <xdr:cNvPr id="1806" name="Match43">
          <a:extLst>
            <a:ext uri="{FF2B5EF4-FFF2-40B4-BE49-F238E27FC236}">
              <a16:creationId xmlns:a16="http://schemas.microsoft.com/office/drawing/2014/main" id="{9427C5C2-1585-9A85-6C24-BB85D7CD1784}"/>
            </a:ext>
          </a:extLst>
        </xdr:cNvPr>
        <xdr:cNvCxnSpPr/>
      </xdr:nvCxnSpPr>
      <xdr:spPr>
        <a:xfrm flipV="1">
          <a:off x="4925219" y="237251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9</xdr:row>
      <xdr:rowOff>229393</xdr:rowOff>
    </xdr:from>
    <xdr:to>
      <xdr:col>9</xdr:col>
      <xdr:colOff>262731</xdr:colOff>
      <xdr:row>10</xdr:row>
      <xdr:rowOff>229394</xdr:rowOff>
    </xdr:to>
    <xdr:cxnSp macro="">
      <xdr:nvCxnSpPr>
        <xdr:cNvPr id="1807" name="Match44">
          <a:extLst>
            <a:ext uri="{FF2B5EF4-FFF2-40B4-BE49-F238E27FC236}">
              <a16:creationId xmlns:a16="http://schemas.microsoft.com/office/drawing/2014/main" id="{8E6B5D35-2720-10EF-DE44-37C580377CB4}"/>
            </a:ext>
          </a:extLst>
        </xdr:cNvPr>
        <xdr:cNvCxnSpPr/>
      </xdr:nvCxnSpPr>
      <xdr:spPr>
        <a:xfrm flipV="1">
          <a:off x="3653631" y="34440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0</xdr:col>
      <xdr:colOff>211931</xdr:colOff>
      <xdr:row>10</xdr:row>
      <xdr:rowOff>178594</xdr:rowOff>
    </xdr:to>
    <xdr:cxnSp macro="">
      <xdr:nvCxnSpPr>
        <xdr:cNvPr id="1808" name="Match45">
          <a:extLst>
            <a:ext uri="{FF2B5EF4-FFF2-40B4-BE49-F238E27FC236}">
              <a16:creationId xmlns:a16="http://schemas.microsoft.com/office/drawing/2014/main" id="{B720F6C4-C0CA-AB0E-24D0-FF8B2E9C1132}"/>
            </a:ext>
          </a:extLst>
        </xdr:cNvPr>
        <xdr:cNvCxnSpPr/>
      </xdr:nvCxnSpPr>
      <xdr:spPr>
        <a:xfrm flipV="1">
          <a:off x="211931" y="2321719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11</xdr:row>
      <xdr:rowOff>178593</xdr:rowOff>
    </xdr:from>
    <xdr:to>
      <xdr:col>6</xdr:col>
      <xdr:colOff>211931</xdr:colOff>
      <xdr:row>11</xdr:row>
      <xdr:rowOff>178593</xdr:rowOff>
    </xdr:to>
    <xdr:cxnSp macro="">
      <xdr:nvCxnSpPr>
        <xdr:cNvPr id="1809" name="Match46">
          <a:extLst>
            <a:ext uri="{FF2B5EF4-FFF2-40B4-BE49-F238E27FC236}">
              <a16:creationId xmlns:a16="http://schemas.microsoft.com/office/drawing/2014/main" id="{E8819476-17D0-B5FC-EA9A-BD304718FA67}"/>
            </a:ext>
          </a:extLst>
        </xdr:cNvPr>
        <xdr:cNvCxnSpPr/>
      </xdr:nvCxnSpPr>
      <xdr:spPr>
        <a:xfrm flipH="1">
          <a:off x="211931" y="41076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6</xdr:col>
      <xdr:colOff>211931</xdr:colOff>
      <xdr:row>7</xdr:row>
      <xdr:rowOff>178593</xdr:rowOff>
    </xdr:to>
    <xdr:cxnSp macro="">
      <xdr:nvCxnSpPr>
        <xdr:cNvPr id="1810" name="Match47">
          <a:extLst>
            <a:ext uri="{FF2B5EF4-FFF2-40B4-BE49-F238E27FC236}">
              <a16:creationId xmlns:a16="http://schemas.microsoft.com/office/drawing/2014/main" id="{217B4CAC-A819-56F0-36C9-0E94CA28C718}"/>
            </a:ext>
          </a:extLst>
        </xdr:cNvPr>
        <xdr:cNvCxnSpPr/>
      </xdr:nvCxnSpPr>
      <xdr:spPr>
        <a:xfrm flipH="1" flipV="1">
          <a:off x="211931" y="535781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811" name="Match48">
          <a:extLst>
            <a:ext uri="{FF2B5EF4-FFF2-40B4-BE49-F238E27FC236}">
              <a16:creationId xmlns:a16="http://schemas.microsoft.com/office/drawing/2014/main" id="{D6764BAE-7AF3-BEB6-E0FF-4623D342E059}"/>
            </a:ext>
          </a:extLst>
        </xdr:cNvPr>
        <xdr:cNvCxnSpPr/>
      </xdr:nvCxnSpPr>
      <xdr:spPr>
        <a:xfrm>
          <a:off x="3178969" y="8929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8</xdr:col>
      <xdr:colOff>211931</xdr:colOff>
      <xdr:row>2</xdr:row>
      <xdr:rowOff>178594</xdr:rowOff>
    </xdr:to>
    <xdr:cxnSp macro="">
      <xdr:nvCxnSpPr>
        <xdr:cNvPr id="1812" name="Match49">
          <a:extLst>
            <a:ext uri="{FF2B5EF4-FFF2-40B4-BE49-F238E27FC236}">
              <a16:creationId xmlns:a16="http://schemas.microsoft.com/office/drawing/2014/main" id="{AC8F8249-AB4E-D67F-94E2-E84F959816C9}"/>
            </a:ext>
          </a:extLst>
        </xdr:cNvPr>
        <xdr:cNvCxnSpPr/>
      </xdr:nvCxnSpPr>
      <xdr:spPr>
        <a:xfrm flipH="1" flipV="1">
          <a:off x="2755106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5</xdr:col>
      <xdr:colOff>211931</xdr:colOff>
      <xdr:row>4</xdr:row>
      <xdr:rowOff>178594</xdr:rowOff>
    </xdr:to>
    <xdr:cxnSp macro="">
      <xdr:nvCxnSpPr>
        <xdr:cNvPr id="1813" name="Match50">
          <a:extLst>
            <a:ext uri="{FF2B5EF4-FFF2-40B4-BE49-F238E27FC236}">
              <a16:creationId xmlns:a16="http://schemas.microsoft.com/office/drawing/2014/main" id="{6AF68D1B-61E6-BA32-8FC9-0304523D21A4}"/>
            </a:ext>
          </a:extLst>
        </xdr:cNvPr>
        <xdr:cNvCxnSpPr/>
      </xdr:nvCxnSpPr>
      <xdr:spPr>
        <a:xfrm>
          <a:off x="1483519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5</xdr:col>
      <xdr:colOff>211931</xdr:colOff>
      <xdr:row>11</xdr:row>
      <xdr:rowOff>178593</xdr:rowOff>
    </xdr:to>
    <xdr:cxnSp macro="">
      <xdr:nvCxnSpPr>
        <xdr:cNvPr id="1814" name="Match51">
          <a:extLst>
            <a:ext uri="{FF2B5EF4-FFF2-40B4-BE49-F238E27FC236}">
              <a16:creationId xmlns:a16="http://schemas.microsoft.com/office/drawing/2014/main" id="{84F2A86C-41F7-8993-2D67-872875517241}"/>
            </a:ext>
          </a:extLst>
        </xdr:cNvPr>
        <xdr:cNvCxnSpPr/>
      </xdr:nvCxnSpPr>
      <xdr:spPr>
        <a:xfrm>
          <a:off x="1483519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9</xdr:row>
      <xdr:rowOff>203993</xdr:rowOff>
    </xdr:from>
    <xdr:to>
      <xdr:col>3</xdr:col>
      <xdr:colOff>237331</xdr:colOff>
      <xdr:row>11</xdr:row>
      <xdr:rowOff>203993</xdr:rowOff>
    </xdr:to>
    <xdr:cxnSp macro="">
      <xdr:nvCxnSpPr>
        <xdr:cNvPr id="1815" name="Match52">
          <a:extLst>
            <a:ext uri="{FF2B5EF4-FFF2-40B4-BE49-F238E27FC236}">
              <a16:creationId xmlns:a16="http://schemas.microsoft.com/office/drawing/2014/main" id="{EE1C9628-3873-EEFF-63C2-9DB6E70B239E}"/>
            </a:ext>
          </a:extLst>
        </xdr:cNvPr>
        <xdr:cNvCxnSpPr/>
      </xdr:nvCxnSpPr>
      <xdr:spPr>
        <a:xfrm flipH="1">
          <a:off x="661194" y="3418681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1816" name="Match53">
          <a:extLst>
            <a:ext uri="{FF2B5EF4-FFF2-40B4-BE49-F238E27FC236}">
              <a16:creationId xmlns:a16="http://schemas.microsoft.com/office/drawing/2014/main" id="{486140B4-D01A-4B0E-6739-DD790C79F198}"/>
            </a:ext>
          </a:extLst>
        </xdr:cNvPr>
        <xdr:cNvCxnSpPr/>
      </xdr:nvCxnSpPr>
      <xdr:spPr>
        <a:xfrm>
          <a:off x="2331244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9</xdr:row>
      <xdr:rowOff>203993</xdr:rowOff>
    </xdr:from>
    <xdr:to>
      <xdr:col>5</xdr:col>
      <xdr:colOff>237331</xdr:colOff>
      <xdr:row>11</xdr:row>
      <xdr:rowOff>203993</xdr:rowOff>
    </xdr:to>
    <xdr:cxnSp macro="">
      <xdr:nvCxnSpPr>
        <xdr:cNvPr id="1817" name="Match54">
          <a:extLst>
            <a:ext uri="{FF2B5EF4-FFF2-40B4-BE49-F238E27FC236}">
              <a16:creationId xmlns:a16="http://schemas.microsoft.com/office/drawing/2014/main" id="{8E8331C2-874E-03E4-0BCA-1E75651176BD}"/>
            </a:ext>
          </a:extLst>
        </xdr:cNvPr>
        <xdr:cNvCxnSpPr/>
      </xdr:nvCxnSpPr>
      <xdr:spPr>
        <a:xfrm flipH="1">
          <a:off x="1508919" y="3418681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4</xdr:col>
      <xdr:colOff>211931</xdr:colOff>
      <xdr:row>10</xdr:row>
      <xdr:rowOff>178594</xdr:rowOff>
    </xdr:to>
    <xdr:cxnSp macro="">
      <xdr:nvCxnSpPr>
        <xdr:cNvPr id="1818" name="Match55">
          <a:extLst>
            <a:ext uri="{FF2B5EF4-FFF2-40B4-BE49-F238E27FC236}">
              <a16:creationId xmlns:a16="http://schemas.microsoft.com/office/drawing/2014/main" id="{DA7D5A1C-8C39-0846-941C-DD70E5A3AD81}"/>
            </a:ext>
          </a:extLst>
        </xdr:cNvPr>
        <xdr:cNvCxnSpPr/>
      </xdr:nvCxnSpPr>
      <xdr:spPr>
        <a:xfrm flipV="1">
          <a:off x="1059656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1819" name="Match56">
          <a:extLst>
            <a:ext uri="{FF2B5EF4-FFF2-40B4-BE49-F238E27FC236}">
              <a16:creationId xmlns:a16="http://schemas.microsoft.com/office/drawing/2014/main" id="{DB2AA271-E4AD-1CBF-87A7-38592DAEA19A}"/>
            </a:ext>
          </a:extLst>
        </xdr:cNvPr>
        <xdr:cNvCxnSpPr/>
      </xdr:nvCxnSpPr>
      <xdr:spPr>
        <a:xfrm flipH="1">
          <a:off x="2119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1820" name="Match57">
          <a:extLst>
            <a:ext uri="{FF2B5EF4-FFF2-40B4-BE49-F238E27FC236}">
              <a16:creationId xmlns:a16="http://schemas.microsoft.com/office/drawing/2014/main" id="{D4DBDA38-B95E-DB07-491B-1F1B7D9BA312}"/>
            </a:ext>
          </a:extLst>
        </xdr:cNvPr>
        <xdr:cNvCxnSpPr/>
      </xdr:nvCxnSpPr>
      <xdr:spPr>
        <a:xfrm>
          <a:off x="44505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1</xdr:row>
      <xdr:rowOff>203993</xdr:rowOff>
    </xdr:from>
    <xdr:to>
      <xdr:col>11</xdr:col>
      <xdr:colOff>237331</xdr:colOff>
      <xdr:row>2</xdr:row>
      <xdr:rowOff>203994</xdr:rowOff>
    </xdr:to>
    <xdr:cxnSp macro="">
      <xdr:nvCxnSpPr>
        <xdr:cNvPr id="1821" name="Match58">
          <a:extLst>
            <a:ext uri="{FF2B5EF4-FFF2-40B4-BE49-F238E27FC236}">
              <a16:creationId xmlns:a16="http://schemas.microsoft.com/office/drawing/2014/main" id="{B6AA6BC0-EBB4-7AF0-0ED7-2DF5A624D97B}"/>
            </a:ext>
          </a:extLst>
        </xdr:cNvPr>
        <xdr:cNvCxnSpPr/>
      </xdr:nvCxnSpPr>
      <xdr:spPr>
        <a:xfrm flipV="1">
          <a:off x="447595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822" name="Match59">
          <a:extLst>
            <a:ext uri="{FF2B5EF4-FFF2-40B4-BE49-F238E27FC236}">
              <a16:creationId xmlns:a16="http://schemas.microsoft.com/office/drawing/2014/main" id="{4BB17DBD-482B-F7A2-751B-D45C5513BF52}"/>
            </a:ext>
          </a:extLst>
        </xdr:cNvPr>
        <xdr:cNvCxnSpPr/>
      </xdr:nvCxnSpPr>
      <xdr:spPr>
        <a:xfrm flipH="1">
          <a:off x="148351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6</xdr:row>
      <xdr:rowOff>203994</xdr:rowOff>
    </xdr:from>
    <xdr:to>
      <xdr:col>7</xdr:col>
      <xdr:colOff>237331</xdr:colOff>
      <xdr:row>7</xdr:row>
      <xdr:rowOff>203993</xdr:rowOff>
    </xdr:to>
    <xdr:cxnSp macro="">
      <xdr:nvCxnSpPr>
        <xdr:cNvPr id="1823" name="Match60">
          <a:extLst>
            <a:ext uri="{FF2B5EF4-FFF2-40B4-BE49-F238E27FC236}">
              <a16:creationId xmlns:a16="http://schemas.microsoft.com/office/drawing/2014/main" id="{12C2A147-A40E-2DC8-A1FB-E48D1D0FA736}"/>
            </a:ext>
          </a:extLst>
        </xdr:cNvPr>
        <xdr:cNvCxnSpPr/>
      </xdr:nvCxnSpPr>
      <xdr:spPr>
        <a:xfrm flipV="1">
          <a:off x="278050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1824" name="Match61">
          <a:extLst>
            <a:ext uri="{FF2B5EF4-FFF2-40B4-BE49-F238E27FC236}">
              <a16:creationId xmlns:a16="http://schemas.microsoft.com/office/drawing/2014/main" id="{C7EBADFE-07C1-1D81-672D-754BC591D920}"/>
            </a:ext>
          </a:extLst>
        </xdr:cNvPr>
        <xdr:cNvCxnSpPr/>
      </xdr:nvCxnSpPr>
      <xdr:spPr>
        <a:xfrm flipH="1">
          <a:off x="317896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825" name="Match62">
          <a:extLst>
            <a:ext uri="{FF2B5EF4-FFF2-40B4-BE49-F238E27FC236}">
              <a16:creationId xmlns:a16="http://schemas.microsoft.com/office/drawing/2014/main" id="{194D212F-CE2F-632D-C045-DC3FA80FDFD6}"/>
            </a:ext>
          </a:extLst>
        </xdr:cNvPr>
        <xdr:cNvCxnSpPr/>
      </xdr:nvCxnSpPr>
      <xdr:spPr>
        <a:xfrm>
          <a:off x="275510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5</xdr:row>
      <xdr:rowOff>203993</xdr:rowOff>
    </xdr:from>
    <xdr:to>
      <xdr:col>7</xdr:col>
      <xdr:colOff>237331</xdr:colOff>
      <xdr:row>6</xdr:row>
      <xdr:rowOff>203994</xdr:rowOff>
    </xdr:to>
    <xdr:cxnSp macro="">
      <xdr:nvCxnSpPr>
        <xdr:cNvPr id="1826" name="Match63">
          <a:extLst>
            <a:ext uri="{FF2B5EF4-FFF2-40B4-BE49-F238E27FC236}">
              <a16:creationId xmlns:a16="http://schemas.microsoft.com/office/drawing/2014/main" id="{43239240-4141-037D-1BA0-CFE3F7AACBBA}"/>
            </a:ext>
          </a:extLst>
        </xdr:cNvPr>
        <xdr:cNvCxnSpPr/>
      </xdr:nvCxnSpPr>
      <xdr:spPr>
        <a:xfrm flipV="1">
          <a:off x="2780506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827" name="Match64">
          <a:extLst>
            <a:ext uri="{FF2B5EF4-FFF2-40B4-BE49-F238E27FC236}">
              <a16:creationId xmlns:a16="http://schemas.microsoft.com/office/drawing/2014/main" id="{23E91B2A-6EDD-EC03-1E6E-B0E9ACF66377}"/>
            </a:ext>
          </a:extLst>
        </xdr:cNvPr>
        <xdr:cNvCxnSpPr/>
      </xdr:nvCxnSpPr>
      <xdr:spPr>
        <a:xfrm>
          <a:off x="40266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828" name="Match65">
          <a:extLst>
            <a:ext uri="{FF2B5EF4-FFF2-40B4-BE49-F238E27FC236}">
              <a16:creationId xmlns:a16="http://schemas.microsoft.com/office/drawing/2014/main" id="{0B070CAE-8D6B-E931-BD10-4B389EBC21DA}"/>
            </a:ext>
          </a:extLst>
        </xdr:cNvPr>
        <xdr:cNvCxnSpPr/>
      </xdr:nvCxnSpPr>
      <xdr:spPr>
        <a:xfrm flipH="1"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829" name="Match66">
          <a:extLst>
            <a:ext uri="{FF2B5EF4-FFF2-40B4-BE49-F238E27FC236}">
              <a16:creationId xmlns:a16="http://schemas.microsoft.com/office/drawing/2014/main" id="{ED7EA567-3562-C12D-C980-C0684E414A53}"/>
            </a:ext>
          </a:extLst>
        </xdr:cNvPr>
        <xdr:cNvCxnSpPr/>
      </xdr:nvCxnSpPr>
      <xdr:spPr>
        <a:xfrm flipH="1">
          <a:off x="3178969" y="1250156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4AFCAF1-D4D1-F1E5-2BA1-40AE939AFC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H4" sqref="H4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5</v>
      </c>
      <c r="B1" s="23">
        <v>5</v>
      </c>
      <c r="C1" s="27">
        <v>8</v>
      </c>
      <c r="D1" s="27">
        <v>4</v>
      </c>
      <c r="E1" s="23">
        <v>5</v>
      </c>
      <c r="F1" s="23">
        <v>6</v>
      </c>
      <c r="G1" s="22">
        <v>2</v>
      </c>
      <c r="H1" s="22">
        <v>5</v>
      </c>
      <c r="I1" s="22">
        <v>2</v>
      </c>
      <c r="J1" s="22">
        <v>8</v>
      </c>
      <c r="K1" s="22">
        <v>8</v>
      </c>
      <c r="L1" s="22">
        <v>4</v>
      </c>
      <c r="N1" s="2">
        <v>525</v>
      </c>
      <c r="O1" s="1">
        <v>2</v>
      </c>
    </row>
    <row r="2" spans="1:15" s="2" customFormat="1" ht="28.25" customHeight="1">
      <c r="A2" s="22">
        <v>3</v>
      </c>
      <c r="B2" s="23">
        <v>6</v>
      </c>
      <c r="C2" s="23">
        <v>5</v>
      </c>
      <c r="D2" s="23">
        <v>3</v>
      </c>
      <c r="E2" s="22">
        <v>3</v>
      </c>
      <c r="F2" s="27">
        <v>7</v>
      </c>
      <c r="G2" s="23">
        <v>2</v>
      </c>
      <c r="H2" s="23">
        <v>9</v>
      </c>
      <c r="I2" s="27">
        <v>6</v>
      </c>
      <c r="J2" s="23">
        <v>9</v>
      </c>
      <c r="K2" s="27">
        <v>6</v>
      </c>
      <c r="L2" s="23">
        <v>4</v>
      </c>
      <c r="N2" s="2">
        <v>488252</v>
      </c>
      <c r="O2" s="2">
        <v>1</v>
      </c>
    </row>
    <row r="3" spans="1:15" ht="28.25" customHeight="1">
      <c r="A3" s="27">
        <v>8</v>
      </c>
      <c r="B3" s="22">
        <v>1</v>
      </c>
      <c r="C3" s="27">
        <v>7</v>
      </c>
      <c r="D3" s="27">
        <v>1</v>
      </c>
      <c r="E3" s="27">
        <v>8</v>
      </c>
      <c r="F3" s="22">
        <v>2</v>
      </c>
      <c r="G3" s="27">
        <v>7</v>
      </c>
      <c r="H3" s="23">
        <v>9</v>
      </c>
      <c r="I3" s="23">
        <v>9</v>
      </c>
      <c r="J3" s="23">
        <v>2</v>
      </c>
      <c r="K3" s="23">
        <v>1</v>
      </c>
      <c r="L3" s="27">
        <v>2</v>
      </c>
      <c r="N3" s="2">
        <v>5912</v>
      </c>
      <c r="O3" s="1">
        <v>1</v>
      </c>
    </row>
    <row r="4" spans="1:15" ht="28.25" customHeight="1">
      <c r="A4" s="23">
        <v>4</v>
      </c>
      <c r="B4" s="23">
        <v>3</v>
      </c>
      <c r="C4" s="22">
        <v>5</v>
      </c>
      <c r="D4" s="23">
        <v>3</v>
      </c>
      <c r="E4" s="27">
        <v>2</v>
      </c>
      <c r="F4" s="27">
        <v>8</v>
      </c>
      <c r="G4" s="22">
        <v>8</v>
      </c>
      <c r="H4" s="22">
        <v>1</v>
      </c>
      <c r="I4" s="22">
        <v>6</v>
      </c>
      <c r="J4" s="22">
        <v>6</v>
      </c>
      <c r="K4" s="22">
        <v>8</v>
      </c>
      <c r="L4" s="23">
        <v>4</v>
      </c>
      <c r="N4" s="2">
        <v>35</v>
      </c>
      <c r="O4" s="1">
        <v>23</v>
      </c>
    </row>
    <row r="5" spans="1:15" ht="28.25" customHeight="1">
      <c r="A5" s="23">
        <v>6</v>
      </c>
      <c r="B5" s="22">
        <v>5</v>
      </c>
      <c r="C5" s="23">
        <v>3</v>
      </c>
      <c r="D5" s="22">
        <v>9</v>
      </c>
      <c r="E5" s="23">
        <v>9</v>
      </c>
      <c r="F5" s="23">
        <v>2</v>
      </c>
      <c r="G5" s="23">
        <v>6</v>
      </c>
      <c r="H5" s="22">
        <v>3</v>
      </c>
      <c r="I5" s="22">
        <v>9</v>
      </c>
      <c r="J5" s="23">
        <v>3</v>
      </c>
      <c r="K5" s="23">
        <v>3</v>
      </c>
      <c r="L5" s="27">
        <v>3</v>
      </c>
      <c r="N5" s="2">
        <v>42829</v>
      </c>
      <c r="O5" s="1">
        <v>1</v>
      </c>
    </row>
    <row r="6" spans="1:15" ht="28.25" customHeight="1">
      <c r="A6" s="27">
        <v>1</v>
      </c>
      <c r="B6" s="27">
        <v>9</v>
      </c>
      <c r="C6" s="22">
        <v>2</v>
      </c>
      <c r="D6" s="27">
        <v>7</v>
      </c>
      <c r="E6" s="22">
        <v>3</v>
      </c>
      <c r="F6" s="27">
        <v>7</v>
      </c>
      <c r="G6" s="23">
        <v>5</v>
      </c>
      <c r="H6" s="22">
        <v>4</v>
      </c>
      <c r="I6" s="22">
        <v>7</v>
      </c>
      <c r="J6" s="23">
        <v>5</v>
      </c>
      <c r="K6" s="22">
        <v>4</v>
      </c>
      <c r="L6" s="27">
        <v>2</v>
      </c>
      <c r="N6" s="2">
        <v>32837</v>
      </c>
      <c r="O6" s="1">
        <v>1</v>
      </c>
    </row>
    <row r="7" spans="1:15" ht="28.25" customHeight="1">
      <c r="A7" s="22">
        <v>3</v>
      </c>
      <c r="B7" s="22">
        <v>6</v>
      </c>
      <c r="C7" s="27">
        <v>6</v>
      </c>
      <c r="D7" s="22">
        <v>5</v>
      </c>
      <c r="E7" s="22">
        <v>1</v>
      </c>
      <c r="F7" s="22">
        <v>7</v>
      </c>
      <c r="G7" s="23">
        <v>9</v>
      </c>
      <c r="H7" s="23">
        <v>4</v>
      </c>
      <c r="I7" s="23">
        <v>3</v>
      </c>
      <c r="J7" s="22">
        <v>2</v>
      </c>
      <c r="K7" s="27">
        <v>7</v>
      </c>
      <c r="L7" s="22">
        <v>6</v>
      </c>
      <c r="N7" s="2">
        <v>629</v>
      </c>
      <c r="O7" s="1">
        <v>4</v>
      </c>
    </row>
    <row r="8" spans="1:15" ht="28.25" customHeight="1">
      <c r="A8" s="22">
        <v>2</v>
      </c>
      <c r="B8" s="27">
        <v>9</v>
      </c>
      <c r="C8" s="27">
        <v>7</v>
      </c>
      <c r="D8" s="22">
        <v>4</v>
      </c>
      <c r="E8" s="23">
        <v>3</v>
      </c>
      <c r="F8" s="22">
        <v>2</v>
      </c>
      <c r="G8" s="22">
        <v>1</v>
      </c>
      <c r="H8" s="27">
        <v>8</v>
      </c>
      <c r="I8" s="22">
        <v>8</v>
      </c>
      <c r="J8" s="27">
        <v>7</v>
      </c>
      <c r="K8" s="23">
        <v>6</v>
      </c>
      <c r="L8" s="22">
        <v>3</v>
      </c>
      <c r="N8" s="2">
        <v>36</v>
      </c>
      <c r="O8" s="1">
        <v>12</v>
      </c>
    </row>
    <row r="9" spans="1:15" ht="28.25" customHeight="1">
      <c r="A9" s="22">
        <v>3</v>
      </c>
      <c r="B9" s="27">
        <v>8</v>
      </c>
      <c r="C9" s="27">
        <v>7</v>
      </c>
      <c r="D9" s="27">
        <v>8</v>
      </c>
      <c r="E9" s="22">
        <v>2</v>
      </c>
      <c r="F9" s="22">
        <v>1</v>
      </c>
      <c r="G9" s="27">
        <v>8</v>
      </c>
      <c r="H9" s="22">
        <v>2</v>
      </c>
      <c r="I9" s="27">
        <v>6</v>
      </c>
      <c r="J9" s="23">
        <v>9</v>
      </c>
      <c r="K9" s="23">
        <v>4</v>
      </c>
      <c r="L9" s="23">
        <v>5</v>
      </c>
      <c r="N9" s="2">
        <v>73323</v>
      </c>
      <c r="O9" s="1">
        <v>1</v>
      </c>
    </row>
    <row r="10" spans="1:15" ht="28.25" customHeight="1">
      <c r="A10" s="22">
        <v>3</v>
      </c>
      <c r="B10" s="27">
        <v>2</v>
      </c>
      <c r="C10" s="27">
        <v>1</v>
      </c>
      <c r="D10" s="22">
        <v>9</v>
      </c>
      <c r="E10" s="27">
        <v>7</v>
      </c>
      <c r="F10" s="22">
        <v>9</v>
      </c>
      <c r="G10" s="22">
        <v>9</v>
      </c>
      <c r="H10" s="23">
        <v>2</v>
      </c>
      <c r="I10" s="27">
        <v>2</v>
      </c>
      <c r="J10" s="23">
        <v>6</v>
      </c>
      <c r="K10" s="27">
        <v>8</v>
      </c>
      <c r="L10" s="23">
        <v>3</v>
      </c>
      <c r="N10" s="2">
        <v>2272223</v>
      </c>
      <c r="O10" s="1">
        <v>1</v>
      </c>
    </row>
    <row r="11" spans="1:15" ht="28.25" customHeight="1">
      <c r="A11" s="22">
        <v>7</v>
      </c>
      <c r="B11" s="23">
        <v>5</v>
      </c>
      <c r="C11" s="22">
        <v>9</v>
      </c>
      <c r="D11" s="27">
        <v>6</v>
      </c>
      <c r="E11" s="23">
        <v>9</v>
      </c>
      <c r="F11" s="22">
        <v>5</v>
      </c>
      <c r="G11" s="27">
        <v>5</v>
      </c>
      <c r="H11" s="27">
        <v>2</v>
      </c>
      <c r="I11" s="22">
        <v>3</v>
      </c>
      <c r="J11" s="22">
        <v>5</v>
      </c>
      <c r="K11" s="27">
        <v>7</v>
      </c>
      <c r="L11" s="23">
        <v>9</v>
      </c>
      <c r="N11" s="2">
        <v>1739513</v>
      </c>
      <c r="O11" s="1">
        <v>1</v>
      </c>
    </row>
    <row r="12" spans="1:15" ht="28.25" customHeight="1">
      <c r="A12" s="22">
        <v>3</v>
      </c>
      <c r="B12" s="22">
        <v>2</v>
      </c>
      <c r="C12" s="22">
        <v>2</v>
      </c>
      <c r="D12" s="22">
        <v>2</v>
      </c>
      <c r="E12" s="22">
        <v>7</v>
      </c>
      <c r="F12" s="22">
        <v>2</v>
      </c>
      <c r="G12" s="22">
        <v>2</v>
      </c>
      <c r="H12" s="23">
        <v>5</v>
      </c>
      <c r="I12" s="27">
        <v>1</v>
      </c>
      <c r="J12" s="23">
        <v>3</v>
      </c>
      <c r="K12" s="23">
        <v>4</v>
      </c>
      <c r="L12" s="27">
        <v>7</v>
      </c>
      <c r="N12" s="2">
        <v>992</v>
      </c>
      <c r="O12" s="1">
        <v>8</v>
      </c>
    </row>
    <row r="13" spans="1:15" ht="28.25" customHeight="1">
      <c r="N13" s="2">
        <v>14</v>
      </c>
      <c r="O13" s="1">
        <v>5</v>
      </c>
    </row>
    <row r="14" spans="1:15" ht="28.25" customHeight="1">
      <c r="N14" s="2">
        <v>94</v>
      </c>
      <c r="O14" s="1">
        <v>5</v>
      </c>
    </row>
    <row r="15" spans="1:15" ht="28.25" customHeight="1">
      <c r="N15" s="2">
        <v>8661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03"/>
  <sheetViews>
    <sheetView tabSelected="1" zoomScaleNormal="100" workbookViewId="0">
      <pane ySplit="2" topLeftCell="A199" activePane="bottomLeft" state="frozen"/>
      <selection pane="bottomLeft" activeCell="A203" sqref="A203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438</v>
      </c>
      <c r="L2" s="4" t="s">
        <v>163</v>
      </c>
      <c r="M2" s="4" t="s">
        <v>250</v>
      </c>
      <c r="N2" s="4" t="s">
        <v>178</v>
      </c>
      <c r="O2" s="4" t="s">
        <v>179</v>
      </c>
      <c r="P2" s="4" t="s">
        <v>170</v>
      </c>
      <c r="Q2" s="4" t="s">
        <v>425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180</v>
      </c>
      <c r="I64" t="s">
        <v>181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182</v>
      </c>
      <c r="I65" t="s">
        <v>183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184</v>
      </c>
      <c r="I66" t="s">
        <v>185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186</v>
      </c>
      <c r="I67" t="s">
        <v>187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188</v>
      </c>
      <c r="I68" t="s">
        <v>189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190</v>
      </c>
      <c r="I69" t="s">
        <v>191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192</v>
      </c>
      <c r="I70" t="s">
        <v>193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194</v>
      </c>
      <c r="I71" t="s">
        <v>195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196</v>
      </c>
      <c r="I72" t="s">
        <v>197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198</v>
      </c>
      <c r="I73" t="s">
        <v>199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200</v>
      </c>
      <c r="I74" t="s">
        <v>201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202</v>
      </c>
      <c r="I75" t="s">
        <v>203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204</v>
      </c>
      <c r="I76" t="s">
        <v>205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206</v>
      </c>
      <c r="I77" t="s">
        <v>207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208</v>
      </c>
      <c r="I78" t="s">
        <v>209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210</v>
      </c>
      <c r="I79" t="s">
        <v>211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212</v>
      </c>
      <c r="I80" t="s">
        <v>213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216</v>
      </c>
      <c r="I81" t="s">
        <v>217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214</v>
      </c>
      <c r="I82" t="s">
        <v>215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218</v>
      </c>
      <c r="I83" t="s">
        <v>219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220</v>
      </c>
      <c r="I84" t="s">
        <v>221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222</v>
      </c>
      <c r="I85" t="s">
        <v>223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224</v>
      </c>
      <c r="I86" t="s">
        <v>225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226</v>
      </c>
      <c r="I87" t="s">
        <v>227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228</v>
      </c>
      <c r="I88" t="s">
        <v>229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230</v>
      </c>
      <c r="I89" t="s">
        <v>231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232</v>
      </c>
      <c r="I90" t="s">
        <v>233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234</v>
      </c>
      <c r="I91" t="s">
        <v>235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236</v>
      </c>
      <c r="I92" t="s">
        <v>237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238</v>
      </c>
      <c r="I93" t="s">
        <v>239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240</v>
      </c>
      <c r="I94" t="s">
        <v>241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242</v>
      </c>
      <c r="I95" t="s">
        <v>243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244</v>
      </c>
      <c r="I96" t="s">
        <v>245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246</v>
      </c>
      <c r="I97" t="s">
        <v>247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248</v>
      </c>
      <c r="I98" t="s">
        <v>249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251</v>
      </c>
      <c r="I99" t="s">
        <v>252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253</v>
      </c>
      <c r="I100" t="s">
        <v>254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255</v>
      </c>
      <c r="I101" t="s">
        <v>256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257</v>
      </c>
      <c r="I102" t="s">
        <v>258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259</v>
      </c>
      <c r="I103" t="s">
        <v>260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261</v>
      </c>
      <c r="I104" t="s">
        <v>262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263</v>
      </c>
      <c r="I105" t="s">
        <v>264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265</v>
      </c>
      <c r="I106" t="s">
        <v>266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267</v>
      </c>
      <c r="I107" t="s">
        <v>268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269</v>
      </c>
      <c r="I108" t="s">
        <v>270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271</v>
      </c>
      <c r="I109" t="s">
        <v>272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273</v>
      </c>
      <c r="I110" t="s">
        <v>274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275</v>
      </c>
      <c r="I111" t="s">
        <v>276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277</v>
      </c>
      <c r="I112" t="s">
        <v>278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279</v>
      </c>
      <c r="I113" t="s">
        <v>280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281</v>
      </c>
      <c r="I114" t="s">
        <v>282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283</v>
      </c>
      <c r="I115" t="s">
        <v>284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285</v>
      </c>
      <c r="I116" t="s">
        <v>286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287</v>
      </c>
      <c r="I117" t="s">
        <v>288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289</v>
      </c>
      <c r="I118" t="s">
        <v>290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291</v>
      </c>
      <c r="I119" t="s">
        <v>292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293</v>
      </c>
      <c r="I120" t="s">
        <v>294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295</v>
      </c>
      <c r="I121" t="s">
        <v>296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297</v>
      </c>
      <c r="I122" t="s">
        <v>298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299</v>
      </c>
      <c r="I123" t="s">
        <v>300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301</v>
      </c>
      <c r="I124" t="s">
        <v>302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303</v>
      </c>
      <c r="I125" t="s">
        <v>304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305</v>
      </c>
      <c r="I126" t="s">
        <v>306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307</v>
      </c>
      <c r="I127" t="s">
        <v>308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309</v>
      </c>
      <c r="I128" t="s">
        <v>310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311</v>
      </c>
      <c r="I129" t="s">
        <v>312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313</v>
      </c>
      <c r="I130" t="s">
        <v>314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315</v>
      </c>
      <c r="I131" t="s">
        <v>316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317</v>
      </c>
      <c r="I132" t="s">
        <v>318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319</v>
      </c>
      <c r="I133" t="s">
        <v>320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321</v>
      </c>
      <c r="I134" t="s">
        <v>322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323</v>
      </c>
      <c r="I135" t="s">
        <v>324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325</v>
      </c>
      <c r="I136" t="s">
        <v>326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327</v>
      </c>
      <c r="I137" t="s">
        <v>328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329</v>
      </c>
      <c r="I138" t="s">
        <v>330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331</v>
      </c>
      <c r="I139" t="s">
        <v>332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333</v>
      </c>
      <c r="I140" t="s">
        <v>334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335</v>
      </c>
      <c r="I141" t="s">
        <v>336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337</v>
      </c>
      <c r="I142" t="s">
        <v>338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340</v>
      </c>
      <c r="I143" t="s">
        <v>341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342</v>
      </c>
      <c r="I144" t="s">
        <v>343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344</v>
      </c>
      <c r="I145" t="s">
        <v>345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346</v>
      </c>
      <c r="I146" t="s">
        <v>347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348</v>
      </c>
      <c r="I147" t="s">
        <v>349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182" si="21">IF(A147&gt;=DATEVALUE("2025/11/8")+TIMEVALUE("6:00"),1,0)-IF(A146&gt;=DATEVALUE("2025/11/8")+TIMEVALUE("6:00"),1,0)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350</v>
      </c>
      <c r="I148" t="s">
        <v>351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352</v>
      </c>
      <c r="I149" t="s">
        <v>353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354</v>
      </c>
      <c r="I150" t="s">
        <v>355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356</v>
      </c>
      <c r="I151" t="s">
        <v>357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358</v>
      </c>
      <c r="I152" t="s">
        <v>359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360</v>
      </c>
      <c r="I153" t="s">
        <v>361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362</v>
      </c>
      <c r="I154" t="s">
        <v>363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364</v>
      </c>
      <c r="I155" t="s">
        <v>365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366</v>
      </c>
      <c r="I156" t="s">
        <v>367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368</v>
      </c>
      <c r="I157" t="s">
        <v>369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370</v>
      </c>
      <c r="I158" t="s">
        <v>371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372</v>
      </c>
      <c r="I159" t="s">
        <v>373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374</v>
      </c>
      <c r="I160" t="s">
        <v>375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376</v>
      </c>
      <c r="I161" t="s">
        <v>377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378</v>
      </c>
      <c r="I162" t="s">
        <v>379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380</v>
      </c>
      <c r="I163" t="s">
        <v>381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382</v>
      </c>
      <c r="I164" t="s">
        <v>383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384</v>
      </c>
      <c r="I165" t="s">
        <v>385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386</v>
      </c>
      <c r="I166" t="s">
        <v>387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388</v>
      </c>
      <c r="I167" t="s">
        <v>389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391</v>
      </c>
      <c r="I168" t="s">
        <v>390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392</v>
      </c>
      <c r="I169" t="s">
        <v>393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394</v>
      </c>
      <c r="I170" t="s">
        <v>395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396</v>
      </c>
      <c r="I171" t="s">
        <v>397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398</v>
      </c>
      <c r="I172" t="s">
        <v>399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400</v>
      </c>
      <c r="I173" t="s">
        <v>401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402</v>
      </c>
      <c r="I174" t="s">
        <v>403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404</v>
      </c>
      <c r="I175" t="s">
        <v>405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407</v>
      </c>
      <c r="I176" t="s">
        <v>406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408</v>
      </c>
      <c r="I177" t="s">
        <v>409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410</v>
      </c>
      <c r="I178" t="s">
        <v>411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412</v>
      </c>
      <c r="I179" t="s">
        <v>413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415</v>
      </c>
      <c r="I180" t="s">
        <v>414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417</v>
      </c>
      <c r="I181" t="s">
        <v>416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418</v>
      </c>
      <c r="I182" t="s">
        <v>419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420</v>
      </c>
      <c r="I183" t="s">
        <v>421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ref="O183" si="27">IF(A183&gt;=DATEVALUE("2025/11/8")+TIMEVALUE("6:00"),1,0)-IF(A182&gt;=DATEVALUE("2025/11/8")+TIMEVALUE("6:00"),1,0)</f>
        <v>0</v>
      </c>
      <c r="P183" t="str">
        <f t="shared" ref="P183" si="28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422</v>
      </c>
      <c r="I184" t="s">
        <v>421</v>
      </c>
      <c r="J184">
        <v>0</v>
      </c>
      <c r="K184">
        <f t="shared" ref="K184" si="29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30">L183+K184</f>
        <v>207</v>
      </c>
      <c r="M184">
        <f t="shared" ref="M184" si="31">2+IF(A184&gt;=DATEVALUE("2025/11/30")+TIMEVALUE("6:00"),1,0)+IF(A184&gt;=DATEVALUE("2025/12/11")+TIMEVALUE("6:00"),1,0)</f>
        <v>4</v>
      </c>
      <c r="N184">
        <f t="shared" ref="N184" si="32">N183+M184*(INT(A184-6/24)-INT(A183-6/24))+O184</f>
        <v>208</v>
      </c>
      <c r="O184">
        <f t="shared" ref="O184" si="33">IF(A184&gt;=DATEVALUE("2025/11/8")+TIMEVALUE("6:00"),1,0)-IF(A183&gt;=DATEVALUE("2025/11/8")+TIMEVALUE("6:00"),1,0)</f>
        <v>0</v>
      </c>
      <c r="P184" t="str">
        <f t="shared" ref="P184" si="34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423</v>
      </c>
      <c r="I185" t="s">
        <v>424</v>
      </c>
      <c r="J185">
        <v>0</v>
      </c>
      <c r="K185">
        <f t="shared" ref="K185" si="35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6">L184+K185</f>
        <v>209</v>
      </c>
      <c r="M185">
        <f t="shared" ref="M185" si="37">2+IF(A185&gt;=DATEVALUE("2025/11/30")+TIMEVALUE("6:00"),1,0)+IF(A185&gt;=DATEVALUE("2025/12/11")+TIMEVALUE("6:00"),1,0)</f>
        <v>4</v>
      </c>
      <c r="N185">
        <f t="shared" ref="N185" si="38">N184+M185*(INT(A185-6/24)-INT(A184-6/24))+O185</f>
        <v>208</v>
      </c>
      <c r="O185">
        <f t="shared" ref="O185" si="39">IF(A185&gt;=DATEVALUE("2025/11/8")+TIMEVALUE("6:00"),1,0)-IF(A184&gt;=DATEVALUE("2025/11/8")+TIMEVALUE("6:00"),1,0)</f>
        <v>0</v>
      </c>
      <c r="P185" t="str">
        <f t="shared" ref="P185" si="40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426</v>
      </c>
      <c r="I186" t="s">
        <v>427</v>
      </c>
      <c r="J186">
        <v>0</v>
      </c>
      <c r="K186">
        <f t="shared" ref="K186" si="41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42">L185+K186</f>
        <v>211</v>
      </c>
      <c r="M186">
        <f t="shared" ref="M186" si="43">2+IF(A186&gt;=DATEVALUE("2025/11/30")+TIMEVALUE("6:00"),1,0)+IF(A186&gt;=DATEVALUE("2025/12/11")+TIMEVALUE("6:00"),1,0)</f>
        <v>4</v>
      </c>
      <c r="N186">
        <f t="shared" ref="N186" si="44">N185+M186*(INT(A186-6/24)-INT(A185-6/24))+O186</f>
        <v>212</v>
      </c>
      <c r="O186">
        <f t="shared" ref="O186" si="45">IF(A186&gt;=DATEVALUE("2025/11/8")+TIMEVALUE("6:00"),1,0)-IF(A185&gt;=DATEVALUE("2025/11/8")+TIMEVALUE("6:00"),1,0)</f>
        <v>0</v>
      </c>
      <c r="P186" t="str">
        <f t="shared" ref="P186" si="46">IF(L186&lt;N186,"未達成（"&amp;N186-L186&amp;"）",IF(L186=N186,"達成","前倒し（"&amp;L186-N186&amp;"）"))</f>
        <v>未達成（1）</v>
      </c>
      <c r="Q186" s="5">
        <f t="shared" ref="Q186" si="47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428</v>
      </c>
      <c r="I187" t="s">
        <v>429</v>
      </c>
      <c r="J187">
        <v>0</v>
      </c>
      <c r="K187">
        <f t="shared" ref="K187" si="48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9">L186+K187</f>
        <v>213</v>
      </c>
      <c r="M187">
        <f t="shared" ref="M187" si="50">2+IF(A187&gt;=DATEVALUE("2025/11/30")+TIMEVALUE("6:00"),1,0)+IF(A187&gt;=DATEVALUE("2025/12/11")+TIMEVALUE("6:00"),1,0)</f>
        <v>4</v>
      </c>
      <c r="N187">
        <f t="shared" ref="N187" si="51">N186+M187*(INT(A187-6/24)-INT(A186-6/24))+O187</f>
        <v>212</v>
      </c>
      <c r="O187">
        <f t="shared" ref="O187" si="52">IF(A187&gt;=DATEVALUE("2025/11/8")+TIMEVALUE("6:00"),1,0)-IF(A186&gt;=DATEVALUE("2025/11/8")+TIMEVALUE("6:00"),1,0)</f>
        <v>0</v>
      </c>
      <c r="P187" t="str">
        <f t="shared" ref="P187" si="53">IF(L187&lt;N187,"未達成（"&amp;N187-L187&amp;"）",IF(L187=N187,"達成","前倒し（"&amp;L187-N187&amp;"）"))</f>
        <v>前倒し（1）</v>
      </c>
      <c r="Q187" s="5">
        <f t="shared" ref="Q187" si="54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430</v>
      </c>
      <c r="I188" t="s">
        <v>431</v>
      </c>
      <c r="J188">
        <v>0</v>
      </c>
      <c r="K188">
        <f t="shared" ref="K188" si="55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6">L187+K188</f>
        <v>214</v>
      </c>
      <c r="M188">
        <f t="shared" ref="M188" si="57">2+IF(A188&gt;=DATEVALUE("2025/11/30")+TIMEVALUE("6:00"),1,0)+IF(A188&gt;=DATEVALUE("2025/12/11")+TIMEVALUE("6:00"),1,0)</f>
        <v>4</v>
      </c>
      <c r="N188">
        <f t="shared" ref="N188" si="58">N187+M188*(INT(A188-6/24)-INT(A187-6/24))+O188</f>
        <v>216</v>
      </c>
      <c r="O188">
        <f t="shared" ref="O188" si="59">IF(A188&gt;=DATEVALUE("2025/11/8")+TIMEVALUE("6:00"),1,0)-IF(A187&gt;=DATEVALUE("2025/11/8")+TIMEVALUE("6:00"),1,0)</f>
        <v>0</v>
      </c>
      <c r="P188" t="str">
        <f t="shared" ref="P188" si="60">IF(L188&lt;N188,"未達成（"&amp;N188-L188&amp;"）",IF(L188=N188,"達成","前倒し（"&amp;L188-N188&amp;"）"))</f>
        <v>未達成（2）</v>
      </c>
      <c r="Q188" s="5">
        <f t="shared" ref="Q188" si="61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432</v>
      </c>
      <c r="I189" t="s">
        <v>433</v>
      </c>
      <c r="J189">
        <v>0</v>
      </c>
      <c r="K189">
        <f t="shared" ref="K189" si="62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63">L188+K189</f>
        <v>215</v>
      </c>
      <c r="M189">
        <f t="shared" ref="M189" si="64">2+IF(A189&gt;=DATEVALUE("2025/11/30")+TIMEVALUE("6:00"),1,0)+IF(A189&gt;=DATEVALUE("2025/12/11")+TIMEVALUE("6:00"),1,0)</f>
        <v>4</v>
      </c>
      <c r="N189">
        <f t="shared" ref="N189" si="65">N188+M189*(INT(A189-6/24)-INT(A188-6/24))+O189</f>
        <v>216</v>
      </c>
      <c r="O189">
        <f t="shared" ref="O189" si="66">IF(A189&gt;=DATEVALUE("2025/11/8")+TIMEVALUE("6:00"),1,0)-IF(A188&gt;=DATEVALUE("2025/11/8")+TIMEVALUE("6:00"),1,0)</f>
        <v>0</v>
      </c>
      <c r="P189" t="str">
        <f t="shared" ref="P189" si="67">IF(L189&lt;N189,"未達成（"&amp;N189-L189&amp;"）",IF(L189=N189,"達成","前倒し（"&amp;L189-N189&amp;"）"))</f>
        <v>未達成（1）</v>
      </c>
      <c r="Q189" s="5">
        <f t="shared" ref="Q189" si="68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434</v>
      </c>
      <c r="I190" t="s">
        <v>435</v>
      </c>
      <c r="J190">
        <v>0</v>
      </c>
      <c r="K190">
        <f t="shared" ref="K190" si="69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70">L189+K190</f>
        <v>217</v>
      </c>
      <c r="M190">
        <f t="shared" ref="M190" si="71">2+IF(A190&gt;=DATEVALUE("2025/11/30")+TIMEVALUE("6:00"),1,0)+IF(A190&gt;=DATEVALUE("2025/12/11")+TIMEVALUE("6:00"),1,0)</f>
        <v>4</v>
      </c>
      <c r="N190">
        <f t="shared" ref="N190" si="72">N189+M190*(INT(A190-6/24)-INT(A189-6/24))+O190</f>
        <v>216</v>
      </c>
      <c r="O190">
        <f t="shared" ref="O190" si="73">IF(A190&gt;=DATEVALUE("2025/11/8")+TIMEVALUE("6:00"),1,0)-IF(A189&gt;=DATEVALUE("2025/11/8")+TIMEVALUE("6:00"),1,0)</f>
        <v>0</v>
      </c>
      <c r="P190" t="str">
        <f t="shared" ref="P190" si="74">IF(L190&lt;N190,"未達成（"&amp;N190-L190&amp;"）",IF(L190=N190,"達成","前倒し（"&amp;L190-N190&amp;"）"))</f>
        <v>前倒し（1）</v>
      </c>
      <c r="Q190" s="5">
        <f t="shared" ref="Q190" si="75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436</v>
      </c>
      <c r="I191" t="s">
        <v>437</v>
      </c>
      <c r="J191">
        <v>0</v>
      </c>
      <c r="K191">
        <f t="shared" ref="K191" si="76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77">L190+K191</f>
        <v>219</v>
      </c>
      <c r="M191">
        <f t="shared" ref="M191" si="78">2+IF(A191&gt;=DATEVALUE("2025/11/30")+TIMEVALUE("6:00"),1,0)+IF(A191&gt;=DATEVALUE("2025/12/11")+TIMEVALUE("6:00"),1,0)</f>
        <v>4</v>
      </c>
      <c r="N191">
        <f t="shared" ref="N191" si="79">N190+M191*(INT(A191-6/24)-INT(A190-6/24))+O191</f>
        <v>220</v>
      </c>
      <c r="O191">
        <f t="shared" ref="O191" si="80">IF(A191&gt;=DATEVALUE("2025/11/8")+TIMEVALUE("6:00"),1,0)-IF(A190&gt;=DATEVALUE("2025/11/8")+TIMEVALUE("6:00"),1,0)</f>
        <v>0</v>
      </c>
      <c r="P191" t="str">
        <f t="shared" ref="P191" si="81">IF(L191&lt;N191,"未達成（"&amp;N191-L191&amp;"）",IF(L191=N191,"達成","前倒し（"&amp;L191-N191&amp;"）"))</f>
        <v>未達成（1）</v>
      </c>
      <c r="Q191" s="5">
        <f t="shared" ref="Q191" si="82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439</v>
      </c>
      <c r="I192" t="s">
        <v>440</v>
      </c>
      <c r="J192">
        <v>0</v>
      </c>
      <c r="K192">
        <f t="shared" ref="K192" si="83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84">L191+K192</f>
        <v>220</v>
      </c>
      <c r="M192">
        <f t="shared" ref="M192" si="85">2+IF(A192&gt;=DATEVALUE("2025/11/30")+TIMEVALUE("6:00"),1,0)+IF(A192&gt;=DATEVALUE("2025/12/11")+TIMEVALUE("6:00"),1,0)</f>
        <v>4</v>
      </c>
      <c r="N192">
        <f t="shared" ref="N192" si="86">N191+M192*(INT(A192-6/24)-INT(A191-6/24))+O192</f>
        <v>220</v>
      </c>
      <c r="O192">
        <f t="shared" ref="O192" si="87">IF(A192&gt;=DATEVALUE("2025/11/8")+TIMEVALUE("6:00"),1,0)-IF(A191&gt;=DATEVALUE("2025/11/8")+TIMEVALUE("6:00"),1,0)</f>
        <v>0</v>
      </c>
      <c r="P192" t="str">
        <f t="shared" ref="P192" si="88">IF(L192&lt;N192,"未達成（"&amp;N192-L192&amp;"）",IF(L192=N192,"達成","前倒し（"&amp;L192-N192&amp;"）"))</f>
        <v>達成</v>
      </c>
      <c r="Q192">
        <f t="shared" ref="Q192" si="8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441</v>
      </c>
      <c r="I193" t="s">
        <v>442</v>
      </c>
      <c r="J193">
        <v>0</v>
      </c>
      <c r="K193">
        <f t="shared" ref="K193" si="9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91">L192+K193</f>
        <v>221</v>
      </c>
      <c r="M193">
        <f t="shared" ref="M193" si="92">2+IF(A193&gt;=DATEVALUE("2025/11/30")+TIMEVALUE("6:00"),1,0)+IF(A193&gt;=DATEVALUE("2025/12/11")+TIMEVALUE("6:00"),1,0)</f>
        <v>4</v>
      </c>
      <c r="N193">
        <f t="shared" ref="N193" si="93">N192+M193*(INT(A193-6/24)-INT(A192-6/24))+O193</f>
        <v>224</v>
      </c>
      <c r="O193">
        <f t="shared" ref="O193" si="94">IF(A193&gt;=DATEVALUE("2025/11/8")+TIMEVALUE("6:00"),1,0)-IF(A192&gt;=DATEVALUE("2025/11/8")+TIMEVALUE("6:00"),1,0)</f>
        <v>0</v>
      </c>
      <c r="P193" t="str">
        <f t="shared" ref="P193" si="95">IF(L193&lt;N193,"未達成（"&amp;N193-L193&amp;"）",IF(L193=N193,"達成","前倒し（"&amp;L193-N193&amp;"）"))</f>
        <v>未達成（3）</v>
      </c>
      <c r="Q193">
        <f t="shared" ref="Q193" si="96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443</v>
      </c>
      <c r="I194" t="s">
        <v>444</v>
      </c>
      <c r="J194">
        <v>0</v>
      </c>
      <c r="K194">
        <f t="shared" ref="K194" si="97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98">L193+K194</f>
        <v>223</v>
      </c>
      <c r="M194">
        <f t="shared" ref="M194" si="99">2+IF(A194&gt;=DATEVALUE("2025/11/30")+TIMEVALUE("6:00"),1,0)+IF(A194&gt;=DATEVALUE("2025/12/11")+TIMEVALUE("6:00"),1,0)</f>
        <v>4</v>
      </c>
      <c r="N194">
        <f t="shared" ref="N194" si="100">N193+M194*(INT(A194-6/24)-INT(A193-6/24))+O194</f>
        <v>224</v>
      </c>
      <c r="O194">
        <f t="shared" ref="O194" si="101">IF(A194&gt;=DATEVALUE("2025/11/8")+TIMEVALUE("6:00"),1,0)-IF(A193&gt;=DATEVALUE("2025/11/8")+TIMEVALUE("6:00"),1,0)</f>
        <v>0</v>
      </c>
      <c r="P194" t="str">
        <f t="shared" ref="P194" si="102">IF(L194&lt;N194,"未達成（"&amp;N194-L194&amp;"）",IF(L194=N194,"達成","前倒し（"&amp;L194-N194&amp;"）"))</f>
        <v>未達成（1）</v>
      </c>
      <c r="Q194">
        <f t="shared" ref="Q194" si="103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445</v>
      </c>
      <c r="I195" t="s">
        <v>446</v>
      </c>
      <c r="J195">
        <v>0</v>
      </c>
      <c r="K195">
        <f t="shared" ref="K195" si="104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105">L194+K195</f>
        <v>225</v>
      </c>
      <c r="M195">
        <f t="shared" ref="M195" si="106">2+IF(A195&gt;=DATEVALUE("2025/11/30")+TIMEVALUE("6:00"),1,0)+IF(A195&gt;=DATEVALUE("2025/12/11")+TIMEVALUE("6:00"),1,0)</f>
        <v>4</v>
      </c>
      <c r="N195">
        <f t="shared" ref="N195" si="107">N194+M195*(INT(A195-6/24)-INT(A194-6/24))+O195</f>
        <v>224</v>
      </c>
      <c r="O195">
        <f t="shared" ref="O195" si="108">IF(A195&gt;=DATEVALUE("2025/11/8")+TIMEVALUE("6:00"),1,0)-IF(A194&gt;=DATEVALUE("2025/11/8")+TIMEVALUE("6:00"),1,0)</f>
        <v>0</v>
      </c>
      <c r="P195" t="str">
        <f t="shared" ref="P195" si="109">IF(L195&lt;N195,"未達成（"&amp;N195-L195&amp;"）",IF(L195=N195,"達成","前倒し（"&amp;L195-N195&amp;"）"))</f>
        <v>前倒し（1）</v>
      </c>
      <c r="Q195">
        <f t="shared" ref="Q195" si="110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447</v>
      </c>
      <c r="I196" t="s">
        <v>448</v>
      </c>
      <c r="J196">
        <v>0</v>
      </c>
      <c r="K196">
        <f t="shared" ref="K196" si="111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112">L195+K196</f>
        <v>227</v>
      </c>
      <c r="M196">
        <f t="shared" ref="M196" si="113">2+IF(A196&gt;=DATEVALUE("2025/11/30")+TIMEVALUE("6:00"),1,0)+IF(A196&gt;=DATEVALUE("2025/12/11")+TIMEVALUE("6:00"),1,0)</f>
        <v>4</v>
      </c>
      <c r="N196">
        <f t="shared" ref="N196" si="114">N195+M196*(INT(A196-6/24)-INT(A195-6/24))+O196</f>
        <v>228</v>
      </c>
      <c r="O196">
        <f t="shared" ref="O196" si="115">IF(A196&gt;=DATEVALUE("2025/11/8")+TIMEVALUE("6:00"),1,0)-IF(A195&gt;=DATEVALUE("2025/11/8")+TIMEVALUE("6:00"),1,0)</f>
        <v>0</v>
      </c>
      <c r="P196" t="str">
        <f t="shared" ref="P196" si="116">IF(L196&lt;N196,"未達成（"&amp;N196-L196&amp;"）",IF(L196=N196,"達成","前倒し（"&amp;L196-N196&amp;"）"))</f>
        <v>未達成（1）</v>
      </c>
      <c r="Q196">
        <f t="shared" ref="Q196" si="117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449</v>
      </c>
      <c r="I197" t="s">
        <v>450</v>
      </c>
      <c r="J197">
        <v>0</v>
      </c>
      <c r="K197">
        <f t="shared" ref="K197" si="118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19">L196+K197</f>
        <v>229</v>
      </c>
      <c r="M197">
        <f t="shared" ref="M197" si="120">2+IF(A197&gt;=DATEVALUE("2025/11/30")+TIMEVALUE("6:00"),1,0)+IF(A197&gt;=DATEVALUE("2025/12/11")+TIMEVALUE("6:00"),1,0)</f>
        <v>4</v>
      </c>
      <c r="N197">
        <f t="shared" ref="N197" si="121">N196+M197*(INT(A197-6/24)-INT(A196-6/24))+O197</f>
        <v>228</v>
      </c>
      <c r="O197">
        <f t="shared" ref="O197" si="122">IF(A197&gt;=DATEVALUE("2025/11/8")+TIMEVALUE("6:00"),1,0)-IF(A196&gt;=DATEVALUE("2025/11/8")+TIMEVALUE("6:00"),1,0)</f>
        <v>0</v>
      </c>
      <c r="P197" t="str">
        <f t="shared" ref="P197" si="123">IF(L197&lt;N197,"未達成（"&amp;N197-L197&amp;"）",IF(L197=N197,"達成","前倒し（"&amp;L197-N197&amp;"）"))</f>
        <v>前倒し（1）</v>
      </c>
      <c r="Q197">
        <f t="shared" ref="Q197" si="124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451</v>
      </c>
      <c r="I198" t="s">
        <v>452</v>
      </c>
      <c r="J198">
        <v>0</v>
      </c>
      <c r="K198">
        <f t="shared" ref="K198" si="125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26">L197+K198</f>
        <v>230</v>
      </c>
      <c r="M198">
        <f t="shared" ref="M198" si="127">2+IF(A198&gt;=DATEVALUE("2025/11/30")+TIMEVALUE("6:00"),1,0)+IF(A198&gt;=DATEVALUE("2025/12/11")+TIMEVALUE("6:00"),1,0)</f>
        <v>4</v>
      </c>
      <c r="N198">
        <f t="shared" ref="N198" si="128">N197+M198*(INT(A198-6/24)-INT(A197-6/24))+O198</f>
        <v>232</v>
      </c>
      <c r="O198">
        <f t="shared" ref="O198" si="129">IF(A198&gt;=DATEVALUE("2025/11/8")+TIMEVALUE("6:00"),1,0)-IF(A197&gt;=DATEVALUE("2025/11/8")+TIMEVALUE("6:00"),1,0)</f>
        <v>0</v>
      </c>
      <c r="P198" t="str">
        <f t="shared" ref="P198" si="130">IF(L198&lt;N198,"未達成（"&amp;N198-L198&amp;"）",IF(L198=N198,"達成","前倒し（"&amp;L198-N198&amp;"）"))</f>
        <v>未達成（2）</v>
      </c>
      <c r="Q198">
        <f t="shared" ref="Q198" si="131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453</v>
      </c>
      <c r="I199" t="s">
        <v>454</v>
      </c>
      <c r="J199">
        <v>0</v>
      </c>
      <c r="K199">
        <f t="shared" ref="K199" si="132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33">L198+K199</f>
        <v>231</v>
      </c>
      <c r="M199">
        <f t="shared" ref="M199" si="134">2+IF(A199&gt;=DATEVALUE("2025/11/30")+TIMEVALUE("6:00"),1,0)+IF(A199&gt;=DATEVALUE("2025/12/11")+TIMEVALUE("6:00"),1,0)</f>
        <v>4</v>
      </c>
      <c r="N199">
        <f t="shared" ref="N199" si="135">N198+M199*(INT(A199-6/24)-INT(A198-6/24))+O199</f>
        <v>232</v>
      </c>
      <c r="O199">
        <f t="shared" ref="O199" si="136">IF(A199&gt;=DATEVALUE("2025/11/8")+TIMEVALUE("6:00"),1,0)-IF(A198&gt;=DATEVALUE("2025/11/8")+TIMEVALUE("6:00"),1,0)</f>
        <v>0</v>
      </c>
      <c r="P199" t="str">
        <f t="shared" ref="P199" si="137">IF(L199&lt;N199,"未達成（"&amp;N199-L199&amp;"）",IF(L199=N199,"達成","前倒し（"&amp;L199-N199&amp;"）"))</f>
        <v>未達成（1）</v>
      </c>
      <c r="Q199">
        <f t="shared" ref="Q199" si="138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455</v>
      </c>
      <c r="I200" t="s">
        <v>456</v>
      </c>
      <c r="J200">
        <v>0</v>
      </c>
      <c r="K200">
        <f t="shared" ref="K200" si="139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40">L199+K200</f>
        <v>233</v>
      </c>
      <c r="M200">
        <f t="shared" ref="M200" si="141">2+IF(A200&gt;=DATEVALUE("2025/11/30")+TIMEVALUE("6:00"),1,0)+IF(A200&gt;=DATEVALUE("2025/12/11")+TIMEVALUE("6:00"),1,0)</f>
        <v>4</v>
      </c>
      <c r="N200">
        <f t="shared" ref="N200" si="142">N199+M200*(INT(A200-6/24)-INT(A199-6/24))+O200</f>
        <v>232</v>
      </c>
      <c r="O200">
        <f t="shared" ref="O200" si="143">IF(A200&gt;=DATEVALUE("2025/11/8")+TIMEVALUE("6:00"),1,0)-IF(A199&gt;=DATEVALUE("2025/11/8")+TIMEVALUE("6:00"),1,0)</f>
        <v>0</v>
      </c>
      <c r="P200" t="str">
        <f t="shared" ref="P200" si="144">IF(L200&lt;N200,"未達成（"&amp;N200-L200&amp;"）",IF(L200=N200,"達成","前倒し（"&amp;L200-N200&amp;"）"))</f>
        <v>前倒し（1）</v>
      </c>
      <c r="Q200">
        <f t="shared" ref="Q200" si="145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457</v>
      </c>
      <c r="I201" t="s">
        <v>458</v>
      </c>
      <c r="J201">
        <v>0</v>
      </c>
      <c r="K201">
        <f t="shared" ref="K201" si="146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47">L200+K201</f>
        <v>234</v>
      </c>
      <c r="M201">
        <f t="shared" ref="M201" si="148">2+IF(A201&gt;=DATEVALUE("2025/11/30")+TIMEVALUE("6:00"),1,0)+IF(A201&gt;=DATEVALUE("2025/12/11")+TIMEVALUE("6:00"),1,0)</f>
        <v>4</v>
      </c>
      <c r="N201">
        <f t="shared" ref="N201" si="149">N200+M201*(INT(A201-6/24)-INT(A200-6/24))+O201</f>
        <v>236</v>
      </c>
      <c r="O201">
        <f t="shared" ref="O201" si="150">IF(A201&gt;=DATEVALUE("2025/11/8")+TIMEVALUE("6:00"),1,0)-IF(A200&gt;=DATEVALUE("2025/11/8")+TIMEVALUE("6:00"),1,0)</f>
        <v>0</v>
      </c>
      <c r="P201" t="str">
        <f t="shared" ref="P201" si="151">IF(L201&lt;N201,"未達成（"&amp;N201-L201&amp;"）",IF(L201=N201,"達成","前倒し（"&amp;L201-N201&amp;"）"))</f>
        <v>未達成（2）</v>
      </c>
      <c r="Q201">
        <f t="shared" ref="Q201" si="152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459</v>
      </c>
      <c r="I202" t="s">
        <v>460</v>
      </c>
      <c r="J202">
        <v>0</v>
      </c>
      <c r="K202">
        <f t="shared" ref="K202" si="153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54">L201+K202</f>
        <v>235</v>
      </c>
      <c r="M202">
        <f t="shared" ref="M202" si="155">2+IF(A202&gt;=DATEVALUE("2025/11/30")+TIMEVALUE("6:00"),1,0)+IF(A202&gt;=DATEVALUE("2025/12/11")+TIMEVALUE("6:00"),1,0)</f>
        <v>4</v>
      </c>
      <c r="N202">
        <f t="shared" ref="N202" si="156">N201+M202*(INT(A202-6/24)-INT(A201-6/24))+O202</f>
        <v>236</v>
      </c>
      <c r="O202">
        <f t="shared" ref="O202" si="157">IF(A202&gt;=DATEVALUE("2025/11/8")+TIMEVALUE("6:00"),1,0)-IF(A201&gt;=DATEVALUE("2025/11/8")+TIMEVALUE("6:00"),1,0)</f>
        <v>0</v>
      </c>
      <c r="P202" t="str">
        <f t="shared" ref="P202" si="158">IF(L202&lt;N202,"未達成（"&amp;N202-L202&amp;"）",IF(L202=N202,"達成","前倒し（"&amp;L202-N202&amp;"）"))</f>
        <v>未達成（1）</v>
      </c>
      <c r="Q202">
        <f t="shared" ref="Q202" si="15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461</v>
      </c>
      <c r="I203" t="s">
        <v>462</v>
      </c>
      <c r="J203">
        <v>0</v>
      </c>
      <c r="K203">
        <f t="shared" ref="K203" si="16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61">L202+K203</f>
        <v>237</v>
      </c>
      <c r="M203">
        <f t="shared" ref="M203" si="162">2+IF(A203&gt;=DATEVALUE("2025/11/30")+TIMEVALUE("6:00"),1,0)+IF(A203&gt;=DATEVALUE("2025/12/11")+TIMEVALUE("6:00"),1,0)</f>
        <v>4</v>
      </c>
      <c r="N203">
        <f t="shared" ref="N203" si="163">N202+M203*(INT(A203-6/24)-INT(A202-6/24))+O203</f>
        <v>236</v>
      </c>
      <c r="O203">
        <f t="shared" ref="O203" si="164">IF(A203&gt;=DATEVALUE("2025/11/8")+TIMEVALUE("6:00"),1,0)-IF(A202&gt;=DATEVALUE("2025/11/8")+TIMEVALUE("6:00"),1,0)</f>
        <v>0</v>
      </c>
      <c r="P203" t="str">
        <f t="shared" ref="P203" si="165">IF(L203&lt;N203,"未達成（"&amp;N203-L203&amp;"）",IF(L203=N203,"達成","前倒し（"&amp;L203-N203&amp;"）"))</f>
        <v>前倒し（1）</v>
      </c>
      <c r="Q203">
        <f t="shared" ref="Q203" si="166">IF(B203="",NA(),G203)</f>
        <v>6.6550925985211506E-3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46038.309374999997</v>
      </c>
      <c r="D3" s="25"/>
    </row>
    <row r="4" spans="1:4">
      <c r="A4" t="s">
        <v>339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2026-01-15T22:35:39Z</dcterms:modified>
</cp:coreProperties>
</file>
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ECFFD38F-0F09-482A-B99F-BBF25563F1A1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DATEVALUE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42" i="4" l="1"/>
  <c r="M142" i="4"/>
  <c r="K142" i="4"/>
  <c r="O141" i="4"/>
  <c r="M141" i="4"/>
  <c r="K141" i="4"/>
  <c r="O140" i="4"/>
  <c r="M140" i="4"/>
  <c r="K140" i="4"/>
  <c r="O139" i="4"/>
  <c r="M139" i="4"/>
  <c r="K139" i="4"/>
  <c r="O138" i="4"/>
  <c r="M138" i="4"/>
  <c r="K138" i="4"/>
  <c r="O137" i="4"/>
  <c r="M137" i="4"/>
  <c r="K137" i="4"/>
  <c r="O136" i="4"/>
  <c r="M136" i="4"/>
  <c r="K136" i="4"/>
  <c r="O135" i="4"/>
  <c r="M135" i="4"/>
  <c r="K135" i="4"/>
  <c r="O134" i="4"/>
  <c r="M134" i="4"/>
  <c r="K134" i="4"/>
  <c r="O133" i="4"/>
  <c r="M133" i="4"/>
  <c r="K133" i="4"/>
  <c r="O132" i="4"/>
  <c r="M132" i="4"/>
  <c r="K132" i="4"/>
  <c r="O131" i="4"/>
  <c r="M131" i="4"/>
  <c r="K131" i="4"/>
  <c r="O130" i="4"/>
  <c r="M130" i="4"/>
  <c r="K130" i="4"/>
  <c r="O129" i="4"/>
  <c r="M129" i="4"/>
  <c r="K129" i="4"/>
  <c r="O128" i="4"/>
  <c r="M128" i="4"/>
  <c r="K128" i="4"/>
  <c r="O127" i="4"/>
  <c r="M127" i="4"/>
  <c r="K127" i="4"/>
  <c r="O126" i="4"/>
  <c r="M126" i="4"/>
  <c r="K126" i="4"/>
  <c r="O125" i="4"/>
  <c r="M125" i="4"/>
  <c r="K125" i="4"/>
  <c r="O124" i="4"/>
  <c r="M124" i="4"/>
  <c r="K124" i="4"/>
  <c r="O123" i="4"/>
  <c r="M123" i="4"/>
  <c r="K123" i="4"/>
  <c r="O122" i="4"/>
  <c r="M122" i="4"/>
  <c r="K122" i="4"/>
  <c r="O121" i="4"/>
  <c r="M121" i="4"/>
  <c r="K121" i="4"/>
  <c r="O120" i="4"/>
  <c r="M120" i="4"/>
  <c r="K120" i="4"/>
  <c r="O119" i="4"/>
  <c r="M119" i="4"/>
  <c r="K119" i="4"/>
  <c r="O118" i="4"/>
  <c r="M118" i="4"/>
  <c r="K118" i="4"/>
  <c r="O117" i="4"/>
  <c r="M117" i="4"/>
  <c r="K117" i="4"/>
  <c r="O116" i="4"/>
  <c r="M116" i="4"/>
  <c r="K116" i="4"/>
  <c r="O115" i="4"/>
  <c r="M115" i="4"/>
  <c r="K115" i="4"/>
  <c r="O114" i="4"/>
  <c r="M114" i="4"/>
  <c r="K114" i="4"/>
  <c r="O113" i="4"/>
  <c r="M113" i="4"/>
  <c r="K113" i="4"/>
  <c r="O112" i="4"/>
  <c r="M112" i="4"/>
  <c r="K112" i="4"/>
  <c r="O111" i="4"/>
  <c r="M111" i="4"/>
  <c r="K111" i="4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O18" i="4"/>
  <c r="M18" i="4"/>
  <c r="K18" i="4"/>
  <c r="L18" i="4" l="1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l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21" i="4" l="1"/>
  <c r="P20" i="4"/>
  <c r="T2" i="5"/>
  <c r="T3" i="5"/>
  <c r="T4" i="3"/>
  <c r="S5" i="3"/>
  <c r="L22" i="4" l="1"/>
  <c r="P21" i="4"/>
  <c r="T4" i="5"/>
  <c r="S6" i="3"/>
  <c r="T6" i="3" s="1"/>
  <c r="T5" i="3"/>
  <c r="P22" i="4" l="1"/>
  <c r="L23" i="4"/>
  <c r="T6" i="5"/>
  <c r="T5" i="5"/>
  <c r="L24" i="4" l="1"/>
  <c r="P23" i="4"/>
  <c r="P18" i="4"/>
  <c r="L25" i="4" l="1"/>
  <c r="P24" i="4"/>
  <c r="L26" i="4" l="1"/>
  <c r="P25" i="4"/>
  <c r="P26" i="4" l="1"/>
  <c r="L27" i="4"/>
  <c r="L28" i="4" l="1"/>
  <c r="P27" i="4"/>
  <c r="L29" i="4" l="1"/>
  <c r="P28" i="4"/>
  <c r="L30" i="4" l="1"/>
  <c r="P29" i="4"/>
  <c r="P30" i="4" l="1"/>
  <c r="L31" i="4"/>
  <c r="L32" i="4" l="1"/>
  <c r="P31" i="4"/>
  <c r="L33" i="4" l="1"/>
  <c r="P32" i="4"/>
  <c r="L34" i="4" l="1"/>
  <c r="P33" i="4"/>
  <c r="P34" i="4" l="1"/>
  <c r="L35" i="4"/>
  <c r="L36" i="4" l="1"/>
  <c r="P35" i="4"/>
  <c r="L37" i="4" l="1"/>
  <c r="P36" i="4"/>
  <c r="L38" i="4" l="1"/>
  <c r="P37" i="4"/>
  <c r="P38" i="4" l="1"/>
  <c r="L39" i="4"/>
  <c r="L40" i="4" l="1"/>
  <c r="P39" i="4"/>
  <c r="L41" i="4" l="1"/>
  <c r="P40" i="4"/>
  <c r="L42" i="4" l="1"/>
  <c r="P41" i="4"/>
  <c r="P42" i="4" l="1"/>
  <c r="L43" i="4"/>
  <c r="L44" i="4" l="1"/>
  <c r="P43" i="4"/>
  <c r="L45" i="4" l="1"/>
  <c r="P44" i="4"/>
  <c r="L46" i="4" l="1"/>
  <c r="P45" i="4"/>
  <c r="P46" i="4" l="1"/>
  <c r="L47" i="4"/>
  <c r="L48" i="4" l="1"/>
  <c r="P47" i="4"/>
  <c r="L49" i="4" l="1"/>
  <c r="P48" i="4"/>
  <c r="L50" i="4" l="1"/>
  <c r="P49" i="4"/>
  <c r="P50" i="4" l="1"/>
  <c r="L51" i="4"/>
  <c r="L52" i="4" l="1"/>
  <c r="P51" i="4"/>
  <c r="L53" i="4" l="1"/>
  <c r="P52" i="4"/>
  <c r="L54" i="4" l="1"/>
  <c r="P53" i="4"/>
  <c r="P54" i="4" l="1"/>
  <c r="L55" i="4"/>
  <c r="L56" i="4" l="1"/>
  <c r="P55" i="4"/>
  <c r="L57" i="4" l="1"/>
  <c r="P56" i="4"/>
  <c r="L58" i="4" l="1"/>
  <c r="P57" i="4"/>
  <c r="P58" i="4" l="1"/>
  <c r="L59" i="4"/>
  <c r="L60" i="4" l="1"/>
  <c r="P59" i="4"/>
  <c r="L61" i="4" l="1"/>
  <c r="P60" i="4"/>
  <c r="L62" i="4" l="1"/>
  <c r="P61" i="4"/>
  <c r="P62" i="4" l="1"/>
  <c r="L63" i="4"/>
  <c r="L64" i="4" l="1"/>
  <c r="P63" i="4"/>
  <c r="L65" i="4" l="1"/>
  <c r="P64" i="4"/>
  <c r="L66" i="4" l="1"/>
  <c r="P65" i="4"/>
  <c r="P66" i="4" l="1"/>
  <c r="L67" i="4"/>
  <c r="L68" i="4" l="1"/>
  <c r="P67" i="4"/>
  <c r="L69" i="4" l="1"/>
  <c r="P68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P99" i="4" l="1"/>
  <c r="L100" i="4"/>
  <c r="P100" i="4" l="1"/>
  <c r="L101" i="4"/>
  <c r="P101" i="4" l="1"/>
  <c r="L102" i="4"/>
  <c r="P102" i="4" l="1"/>
  <c r="L103" i="4"/>
  <c r="P103" i="4" l="1"/>
  <c r="L104" i="4"/>
  <c r="P104" i="4" l="1"/>
  <c r="L105" i="4"/>
  <c r="L106" i="4" l="1"/>
  <c r="P105" i="4"/>
  <c r="P106" i="4" l="1"/>
  <c r="L107" i="4"/>
  <c r="P107" i="4" l="1"/>
  <c r="L108" i="4"/>
  <c r="L109" i="4" l="1"/>
  <c r="P108" i="4"/>
  <c r="P109" i="4" l="1"/>
  <c r="L110" i="4"/>
  <c r="P110" i="4" l="1"/>
  <c r="L111" i="4"/>
  <c r="P111" i="4" l="1"/>
  <c r="L112" i="4"/>
  <c r="P112" i="4" l="1"/>
  <c r="L113" i="4"/>
  <c r="P113" i="4" l="1"/>
  <c r="L114" i="4"/>
  <c r="P114" i="4" l="1"/>
  <c r="L115" i="4"/>
  <c r="P115" i="4" l="1"/>
  <c r="L116" i="4"/>
  <c r="L117" i="4" l="1"/>
  <c r="P116" i="4"/>
  <c r="P117" i="4" l="1"/>
  <c r="L118" i="4"/>
  <c r="L119" i="4" l="1"/>
  <c r="P118" i="4"/>
  <c r="L120" i="4" l="1"/>
  <c r="P119" i="4"/>
  <c r="L121" i="4" l="1"/>
  <c r="P120" i="4"/>
  <c r="P121" i="4" l="1"/>
  <c r="L122" i="4"/>
  <c r="P122" i="4" l="1"/>
  <c r="L123" i="4"/>
  <c r="P123" i="4" l="1"/>
  <c r="L124" i="4"/>
  <c r="L125" i="4" l="1"/>
  <c r="P124" i="4"/>
  <c r="P125" i="4" l="1"/>
  <c r="L126" i="4"/>
  <c r="L127" i="4" l="1"/>
  <c r="P126" i="4"/>
  <c r="L128" i="4" l="1"/>
  <c r="P127" i="4"/>
  <c r="L129" i="4" l="1"/>
  <c r="P128" i="4"/>
  <c r="P129" i="4" l="1"/>
  <c r="L130" i="4"/>
  <c r="P130" i="4" l="1"/>
  <c r="L131" i="4"/>
  <c r="P131" i="4" l="1"/>
  <c r="L132" i="4"/>
  <c r="P132" i="4" l="1"/>
  <c r="L133" i="4"/>
  <c r="P133" i="4" l="1"/>
  <c r="L134" i="4"/>
  <c r="P134" i="4" l="1"/>
  <c r="L135" i="4"/>
  <c r="L136" i="4" l="1"/>
  <c r="P135" i="4"/>
  <c r="L137" i="4" l="1"/>
  <c r="P136" i="4"/>
  <c r="P137" i="4" l="1"/>
  <c r="L138" i="4"/>
  <c r="P138" i="4" l="1"/>
  <c r="L139" i="4"/>
  <c r="L140" i="4" s="1"/>
  <c r="P140" i="4" l="1"/>
  <c r="L141" i="4"/>
  <c r="L142" i="4" s="1"/>
  <c r="P139" i="4"/>
  <c r="P142" i="4" l="1"/>
  <c r="P141" i="4"/>
</calcChain>
</file>

<file path=xl/sharedStrings.xml><?xml version="1.0" encoding="utf-8"?>
<sst xmlns="http://schemas.openxmlformats.org/spreadsheetml/2006/main" count="360" uniqueCount="341">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</sst>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データ!$P$2:$P$142</c:f>
              <c:strCache>
                <c:ptCount val="141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  <c:pt idx="95">
                  <c:v>前倒し（1）</c:v>
                </c:pt>
                <c:pt idx="96">
                  <c:v>達成</c:v>
                </c:pt>
                <c:pt idx="97">
                  <c:v>未達成（3）</c:v>
                </c:pt>
                <c:pt idx="98">
                  <c:v>未達成（3）</c:v>
                </c:pt>
                <c:pt idx="99">
                  <c:v>未達成（2）</c:v>
                </c:pt>
                <c:pt idx="100">
                  <c:v>未達成（1）</c:v>
                </c:pt>
                <c:pt idx="101">
                  <c:v>達成</c:v>
                </c:pt>
                <c:pt idx="102">
                  <c:v>未達成（2）</c:v>
                </c:pt>
                <c:pt idx="103">
                  <c:v>未達成（1）</c:v>
                </c:pt>
                <c:pt idx="104">
                  <c:v>前倒し（1）</c:v>
                </c:pt>
                <c:pt idx="105">
                  <c:v>未達成（2）</c:v>
                </c:pt>
                <c:pt idx="106">
                  <c:v>達成</c:v>
                </c:pt>
                <c:pt idx="107">
                  <c:v>未達成（3）</c:v>
                </c:pt>
                <c:pt idx="108">
                  <c:v>未達成（1）</c:v>
                </c:pt>
                <c:pt idx="109">
                  <c:v>前倒し（1）</c:v>
                </c:pt>
                <c:pt idx="110">
                  <c:v>未達成（1）</c:v>
                </c:pt>
                <c:pt idx="111">
                  <c:v>達成</c:v>
                </c:pt>
                <c:pt idx="112">
                  <c:v>未達成（2）</c:v>
                </c:pt>
                <c:pt idx="113">
                  <c:v>未達成（1）</c:v>
                </c:pt>
                <c:pt idx="114">
                  <c:v>達成</c:v>
                </c:pt>
                <c:pt idx="115">
                  <c:v>未達成（3）</c:v>
                </c:pt>
                <c:pt idx="116">
                  <c:v>未達成（3）</c:v>
                </c:pt>
                <c:pt idx="117">
                  <c:v>未達成（2）</c:v>
                </c:pt>
                <c:pt idx="118">
                  <c:v>達成</c:v>
                </c:pt>
                <c:pt idx="119">
                  <c:v>未達成（3）</c:v>
                </c:pt>
                <c:pt idx="120">
                  <c:v>未達成（2）</c:v>
                </c:pt>
                <c:pt idx="121">
                  <c:v>未達成（2）</c:v>
                </c:pt>
                <c:pt idx="122">
                  <c:v>達成</c:v>
                </c:pt>
                <c:pt idx="123">
                  <c:v>未達成（3）</c:v>
                </c:pt>
                <c:pt idx="124">
                  <c:v>未達成（1）</c:v>
                </c:pt>
                <c:pt idx="125">
                  <c:v>達成</c:v>
                </c:pt>
                <c:pt idx="126">
                  <c:v>未達成（3）</c:v>
                </c:pt>
                <c:pt idx="127">
                  <c:v>未達成（1）</c:v>
                </c:pt>
                <c:pt idx="128">
                  <c:v>達成</c:v>
                </c:pt>
                <c:pt idx="129">
                  <c:v>未達成（2）</c:v>
                </c:pt>
                <c:pt idx="130">
                  <c:v>達成</c:v>
                </c:pt>
                <c:pt idx="131">
                  <c:v>未達成（3）</c:v>
                </c:pt>
                <c:pt idx="132">
                  <c:v>未達成（3）</c:v>
                </c:pt>
                <c:pt idx="133">
                  <c:v>未達成（2）</c:v>
                </c:pt>
                <c:pt idx="134">
                  <c:v>達成</c:v>
                </c:pt>
                <c:pt idx="135">
                  <c:v>未達成（2）</c:v>
                </c:pt>
                <c:pt idx="136">
                  <c:v>未達成（2）</c:v>
                </c:pt>
                <c:pt idx="137">
                  <c:v>達成</c:v>
                </c:pt>
                <c:pt idx="138">
                  <c:v>未達成（3）</c:v>
                </c:pt>
                <c:pt idx="139">
                  <c:v>未達成（1）</c:v>
                </c:pt>
                <c:pt idx="140">
                  <c:v>達成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データ!$A$3:$A$142</c:f>
              <c:numCache>
                <c:formatCode>m/d/yyyy\ h:mm</c:formatCode>
                <c:ptCount val="14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</c:numCache>
            </c:numRef>
          </c:xVal>
          <c:yVal>
            <c:numRef>
              <c:f>データ!$B$3:$B$142</c:f>
              <c:numCache>
                <c:formatCode>General</c:formatCode>
                <c:ptCount val="140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31-4B55-BC08-EC926B7357C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E31-4B55-BC08-EC926B735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037776"/>
        <c:axId val="739026736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データ!$A$3:$A$142</c:f>
              <c:numCache>
                <c:formatCode>m/d/yyyy\ h:mm</c:formatCode>
                <c:ptCount val="14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</c:numCache>
            </c:numRef>
          </c:xVal>
          <c:yVal>
            <c:numRef>
              <c:f>データ!$G$3:$G$142</c:f>
              <c:numCache>
                <c:formatCode>[h]:mm</c:formatCode>
                <c:ptCount val="140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31-4B55-BC08-EC926B735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034416"/>
        <c:axId val="739052656"/>
      </c:scatterChart>
      <c:valAx>
        <c:axId val="739037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9026736"/>
        <c:crosses val="autoZero"/>
        <c:crossBetween val="midCat"/>
      </c:valAx>
      <c:valAx>
        <c:axId val="73902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9037776"/>
        <c:crosses val="autoZero"/>
        <c:crossBetween val="midCat"/>
      </c:valAx>
      <c:valAx>
        <c:axId val="739052656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9034416"/>
        <c:crosses val="max"/>
        <c:crossBetween val="midCat"/>
      </c:valAx>
      <c:valAx>
        <c:axId val="739034416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9052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211931</xdr:colOff>
      <xdr:row>1</xdr:row>
      <xdr:rowOff>178593</xdr:rowOff>
    </xdr:from>
    <xdr:to>
      <xdr:col>5</xdr:col>
      <xdr:colOff>211931</xdr:colOff>
      <xdr:row>4</xdr:row>
      <xdr:rowOff>178594</xdr:rowOff>
    </xdr:to>
    <xdr:cxnSp macro="">
      <xdr:nvCxnSpPr>
        <xdr:cNvPr id="3" name="Match0">
          <a:extLst>
            <a:ext uri="{FF2B5EF4-FFF2-40B4-BE49-F238E27FC236}">
              <a16:creationId xmlns:a16="http://schemas.microsoft.com/office/drawing/2014/main" id="{8A217B2F-7169-5539-79BC-35D0D4F98952}"/>
            </a:ext>
          </a:extLst>
        </xdr:cNvPr>
        <xdr:cNvCxnSpPr/>
      </xdr:nvCxnSpPr>
      <xdr:spPr>
        <a:xfrm flipH="1" flipV="1">
          <a:off x="1059656" y="535781"/>
          <a:ext cx="1271588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11</xdr:row>
      <xdr:rowOff>178593</xdr:rowOff>
    </xdr:from>
    <xdr:to>
      <xdr:col>9</xdr:col>
      <xdr:colOff>211931</xdr:colOff>
      <xdr:row>11</xdr:row>
      <xdr:rowOff>178593</xdr:rowOff>
    </xdr:to>
    <xdr:cxnSp macro="">
      <xdr:nvCxnSpPr>
        <xdr:cNvPr id="4" name="Match1">
          <a:extLst>
            <a:ext uri="{FF2B5EF4-FFF2-40B4-BE49-F238E27FC236}">
              <a16:creationId xmlns:a16="http://schemas.microsoft.com/office/drawing/2014/main" id="{BB83AE17-F04E-C952-620D-20954833D14C}"/>
            </a:ext>
          </a:extLst>
        </xdr:cNvPr>
        <xdr:cNvCxnSpPr/>
      </xdr:nvCxnSpPr>
      <xdr:spPr>
        <a:xfrm>
          <a:off x="2331244" y="4107656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1</xdr:col>
      <xdr:colOff>211931</xdr:colOff>
      <xdr:row>3</xdr:row>
      <xdr:rowOff>178593</xdr:rowOff>
    </xdr:to>
    <xdr:cxnSp macro="">
      <xdr:nvCxnSpPr>
        <xdr:cNvPr id="5" name="Match2">
          <a:extLst>
            <a:ext uri="{FF2B5EF4-FFF2-40B4-BE49-F238E27FC236}">
              <a16:creationId xmlns:a16="http://schemas.microsoft.com/office/drawing/2014/main" id="{47703317-AB5B-84D1-2D8C-41F0F405FAA7}"/>
            </a:ext>
          </a:extLst>
        </xdr:cNvPr>
        <xdr:cNvCxnSpPr/>
      </xdr:nvCxnSpPr>
      <xdr:spPr>
        <a:xfrm flipV="1">
          <a:off x="635794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0</xdr:col>
      <xdr:colOff>211931</xdr:colOff>
      <xdr:row>6</xdr:row>
      <xdr:rowOff>178594</xdr:rowOff>
    </xdr:to>
    <xdr:cxnSp macro="">
      <xdr:nvCxnSpPr>
        <xdr:cNvPr id="6" name="Match3">
          <a:extLst>
            <a:ext uri="{FF2B5EF4-FFF2-40B4-BE49-F238E27FC236}">
              <a16:creationId xmlns:a16="http://schemas.microsoft.com/office/drawing/2014/main" id="{FBB17A75-9BAC-0B0C-594A-4A09D4DAEC24}"/>
            </a:ext>
          </a:extLst>
        </xdr:cNvPr>
        <xdr:cNvCxnSpPr/>
      </xdr:nvCxnSpPr>
      <xdr:spPr>
        <a:xfrm>
          <a:off x="211931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5</xdr:col>
      <xdr:colOff>211931</xdr:colOff>
      <xdr:row>9</xdr:row>
      <xdr:rowOff>178593</xdr:rowOff>
    </xdr:to>
    <xdr:cxnSp macro="">
      <xdr:nvCxnSpPr>
        <xdr:cNvPr id="7" name="Match4">
          <a:extLst>
            <a:ext uri="{FF2B5EF4-FFF2-40B4-BE49-F238E27FC236}">
              <a16:creationId xmlns:a16="http://schemas.microsoft.com/office/drawing/2014/main" id="{EA84B451-E264-F419-E554-642882D5FCE8}"/>
            </a:ext>
          </a:extLst>
        </xdr:cNvPr>
        <xdr:cNvCxnSpPr/>
      </xdr:nvCxnSpPr>
      <xdr:spPr>
        <a:xfrm flipH="1">
          <a:off x="190738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8</xdr:row>
      <xdr:rowOff>203994</xdr:rowOff>
    </xdr:from>
    <xdr:to>
      <xdr:col>5</xdr:col>
      <xdr:colOff>237331</xdr:colOff>
      <xdr:row>8</xdr:row>
      <xdr:rowOff>203994</xdr:rowOff>
    </xdr:to>
    <xdr:cxnSp macro="">
      <xdr:nvCxnSpPr>
        <xdr:cNvPr id="8" name="Match5">
          <a:extLst>
            <a:ext uri="{FF2B5EF4-FFF2-40B4-BE49-F238E27FC236}">
              <a16:creationId xmlns:a16="http://schemas.microsoft.com/office/drawing/2014/main" id="{E619CD90-6C42-DF16-234F-399A5DE4B736}"/>
            </a:ext>
          </a:extLst>
        </xdr:cNvPr>
        <xdr:cNvCxnSpPr/>
      </xdr:nvCxnSpPr>
      <xdr:spPr>
        <a:xfrm flipH="1">
          <a:off x="1932781" y="306149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7</xdr:col>
      <xdr:colOff>211931</xdr:colOff>
      <xdr:row>8</xdr:row>
      <xdr:rowOff>178594</xdr:rowOff>
    </xdr:to>
    <xdr:cxnSp macro="">
      <xdr:nvCxnSpPr>
        <xdr:cNvPr id="9" name="Match6">
          <a:extLst>
            <a:ext uri="{FF2B5EF4-FFF2-40B4-BE49-F238E27FC236}">
              <a16:creationId xmlns:a16="http://schemas.microsoft.com/office/drawing/2014/main" id="{312C15F9-EF29-B290-CACF-9AE2797CB5D0}"/>
            </a:ext>
          </a:extLst>
        </xdr:cNvPr>
        <xdr:cNvCxnSpPr/>
      </xdr:nvCxnSpPr>
      <xdr:spPr>
        <a:xfrm>
          <a:off x="2755106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5</xdr:col>
      <xdr:colOff>211931</xdr:colOff>
      <xdr:row>9</xdr:row>
      <xdr:rowOff>178593</xdr:rowOff>
    </xdr:to>
    <xdr:cxnSp macro="">
      <xdr:nvCxnSpPr>
        <xdr:cNvPr id="10" name="Match7">
          <a:extLst>
            <a:ext uri="{FF2B5EF4-FFF2-40B4-BE49-F238E27FC236}">
              <a16:creationId xmlns:a16="http://schemas.microsoft.com/office/drawing/2014/main" id="{C4D3696D-58BC-E69C-1336-8B6ED6868856}"/>
            </a:ext>
          </a:extLst>
        </xdr:cNvPr>
        <xdr:cNvCxnSpPr/>
      </xdr:nvCxnSpPr>
      <xdr:spPr>
        <a:xfrm flipH="1">
          <a:off x="1907381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8</xdr:row>
      <xdr:rowOff>203994</xdr:rowOff>
    </xdr:from>
    <xdr:to>
      <xdr:col>5</xdr:col>
      <xdr:colOff>237331</xdr:colOff>
      <xdr:row>9</xdr:row>
      <xdr:rowOff>203993</xdr:rowOff>
    </xdr:to>
    <xdr:cxnSp macro="">
      <xdr:nvCxnSpPr>
        <xdr:cNvPr id="11" name="Match8">
          <a:extLst>
            <a:ext uri="{FF2B5EF4-FFF2-40B4-BE49-F238E27FC236}">
              <a16:creationId xmlns:a16="http://schemas.microsoft.com/office/drawing/2014/main" id="{53B03279-65A5-5601-5B30-8BE3FD0ACB65}"/>
            </a:ext>
          </a:extLst>
        </xdr:cNvPr>
        <xdr:cNvCxnSpPr/>
      </xdr:nvCxnSpPr>
      <xdr:spPr>
        <a:xfrm flipH="1" flipV="1">
          <a:off x="1932781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7</xdr:col>
      <xdr:colOff>211931</xdr:colOff>
      <xdr:row>9</xdr:row>
      <xdr:rowOff>178593</xdr:rowOff>
    </xdr:to>
    <xdr:cxnSp macro="">
      <xdr:nvCxnSpPr>
        <xdr:cNvPr id="12" name="Match9">
          <a:extLst>
            <a:ext uri="{FF2B5EF4-FFF2-40B4-BE49-F238E27FC236}">
              <a16:creationId xmlns:a16="http://schemas.microsoft.com/office/drawing/2014/main" id="{F1C3741B-D3DB-A0D1-6D7D-5E791DB40F43}"/>
            </a:ext>
          </a:extLst>
        </xdr:cNvPr>
        <xdr:cNvCxnSpPr/>
      </xdr:nvCxnSpPr>
      <xdr:spPr>
        <a:xfrm flipV="1">
          <a:off x="2755106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10</xdr:row>
      <xdr:rowOff>178594</xdr:rowOff>
    </xdr:from>
    <xdr:to>
      <xdr:col>3</xdr:col>
      <xdr:colOff>211931</xdr:colOff>
      <xdr:row>10</xdr:row>
      <xdr:rowOff>178594</xdr:rowOff>
    </xdr:to>
    <xdr:cxnSp macro="">
      <xdr:nvCxnSpPr>
        <xdr:cNvPr id="13" name="Match10">
          <a:extLst>
            <a:ext uri="{FF2B5EF4-FFF2-40B4-BE49-F238E27FC236}">
              <a16:creationId xmlns:a16="http://schemas.microsoft.com/office/drawing/2014/main" id="{CD9D06BD-8511-CDF1-F682-09EA70F1ECC5}"/>
            </a:ext>
          </a:extLst>
        </xdr:cNvPr>
        <xdr:cNvCxnSpPr/>
      </xdr:nvCxnSpPr>
      <xdr:spPr>
        <a:xfrm flipH="1">
          <a:off x="1059656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9</xdr:row>
      <xdr:rowOff>203993</xdr:rowOff>
    </xdr:from>
    <xdr:to>
      <xdr:col>4</xdr:col>
      <xdr:colOff>237331</xdr:colOff>
      <xdr:row>10</xdr:row>
      <xdr:rowOff>203994</xdr:rowOff>
    </xdr:to>
    <xdr:cxnSp macro="">
      <xdr:nvCxnSpPr>
        <xdr:cNvPr id="14" name="Match11">
          <a:extLst>
            <a:ext uri="{FF2B5EF4-FFF2-40B4-BE49-F238E27FC236}">
              <a16:creationId xmlns:a16="http://schemas.microsoft.com/office/drawing/2014/main" id="{FEBB8C3D-02E4-4576-AEA5-943165B146AF}"/>
            </a:ext>
          </a:extLst>
        </xdr:cNvPr>
        <xdr:cNvCxnSpPr/>
      </xdr:nvCxnSpPr>
      <xdr:spPr>
        <a:xfrm flipV="1">
          <a:off x="1508919" y="34186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4</xdr:col>
      <xdr:colOff>211931</xdr:colOff>
      <xdr:row>10</xdr:row>
      <xdr:rowOff>178594</xdr:rowOff>
    </xdr:to>
    <xdr:cxnSp macro="">
      <xdr:nvCxnSpPr>
        <xdr:cNvPr id="15" name="Match12">
          <a:extLst>
            <a:ext uri="{FF2B5EF4-FFF2-40B4-BE49-F238E27FC236}">
              <a16:creationId xmlns:a16="http://schemas.microsoft.com/office/drawing/2014/main" id="{1749E9EF-330A-52E8-F1C0-E08B8B227E48}"/>
            </a:ext>
          </a:extLst>
        </xdr:cNvPr>
        <xdr:cNvCxnSpPr/>
      </xdr:nvCxnSpPr>
      <xdr:spPr>
        <a:xfrm flipV="1">
          <a:off x="1907381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7</xdr:col>
      <xdr:colOff>211931</xdr:colOff>
      <xdr:row>5</xdr:row>
      <xdr:rowOff>178593</xdr:rowOff>
    </xdr:to>
    <xdr:cxnSp macro="">
      <xdr:nvCxnSpPr>
        <xdr:cNvPr id="16" name="Match13">
          <a:extLst>
            <a:ext uri="{FF2B5EF4-FFF2-40B4-BE49-F238E27FC236}">
              <a16:creationId xmlns:a16="http://schemas.microsoft.com/office/drawing/2014/main" id="{F7958F01-6A14-E9B8-BE84-89BB7ED855FF}"/>
            </a:ext>
          </a:extLst>
        </xdr:cNvPr>
        <xdr:cNvCxnSpPr/>
      </xdr:nvCxnSpPr>
      <xdr:spPr>
        <a:xfrm>
          <a:off x="1483519" y="535781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9</xdr:row>
      <xdr:rowOff>178593</xdr:rowOff>
    </xdr:from>
    <xdr:to>
      <xdr:col>8</xdr:col>
      <xdr:colOff>211931</xdr:colOff>
      <xdr:row>9</xdr:row>
      <xdr:rowOff>178593</xdr:rowOff>
    </xdr:to>
    <xdr:cxnSp macro="">
      <xdr:nvCxnSpPr>
        <xdr:cNvPr id="17" name="Match14">
          <a:extLst>
            <a:ext uri="{FF2B5EF4-FFF2-40B4-BE49-F238E27FC236}">
              <a16:creationId xmlns:a16="http://schemas.microsoft.com/office/drawing/2014/main" id="{94B03B7C-4D33-C9D2-398D-F695C7854D49}"/>
            </a:ext>
          </a:extLst>
        </xdr:cNvPr>
        <xdr:cNvCxnSpPr/>
      </xdr:nvCxnSpPr>
      <xdr:spPr>
        <a:xfrm flipH="1">
          <a:off x="2755106" y="33932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2</xdr:col>
      <xdr:colOff>211931</xdr:colOff>
      <xdr:row>3</xdr:row>
      <xdr:rowOff>178593</xdr:rowOff>
    </xdr:to>
    <xdr:cxnSp macro="">
      <xdr:nvCxnSpPr>
        <xdr:cNvPr id="18" name="Match15">
          <a:extLst>
            <a:ext uri="{FF2B5EF4-FFF2-40B4-BE49-F238E27FC236}">
              <a16:creationId xmlns:a16="http://schemas.microsoft.com/office/drawing/2014/main" id="{C992FAC2-F3DC-8213-2EF4-001C40BE5169}"/>
            </a:ext>
          </a:extLst>
        </xdr:cNvPr>
        <xdr:cNvCxnSpPr/>
      </xdr:nvCxnSpPr>
      <xdr:spPr>
        <a:xfrm flipV="1">
          <a:off x="211931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8</xdr:row>
      <xdr:rowOff>178594</xdr:rowOff>
    </xdr:from>
    <xdr:to>
      <xdr:col>10</xdr:col>
      <xdr:colOff>211931</xdr:colOff>
      <xdr:row>10</xdr:row>
      <xdr:rowOff>178594</xdr:rowOff>
    </xdr:to>
    <xdr:cxnSp macro="">
      <xdr:nvCxnSpPr>
        <xdr:cNvPr id="19" name="Match16">
          <a:extLst>
            <a:ext uri="{FF2B5EF4-FFF2-40B4-BE49-F238E27FC236}">
              <a16:creationId xmlns:a16="http://schemas.microsoft.com/office/drawing/2014/main" id="{E0BBC4B0-0040-619F-7229-68B687E4BA0D}"/>
            </a:ext>
          </a:extLst>
        </xdr:cNvPr>
        <xdr:cNvCxnSpPr/>
      </xdr:nvCxnSpPr>
      <xdr:spPr>
        <a:xfrm>
          <a:off x="4450556" y="30360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2</xdr:col>
      <xdr:colOff>211931</xdr:colOff>
      <xdr:row>2</xdr:row>
      <xdr:rowOff>178594</xdr:rowOff>
    </xdr:to>
    <xdr:cxnSp macro="">
      <xdr:nvCxnSpPr>
        <xdr:cNvPr id="20" name="Match17">
          <a:extLst>
            <a:ext uri="{FF2B5EF4-FFF2-40B4-BE49-F238E27FC236}">
              <a16:creationId xmlns:a16="http://schemas.microsoft.com/office/drawing/2014/main" id="{F308D020-1BF1-40BB-141A-A6B797024759}"/>
            </a:ext>
          </a:extLst>
        </xdr:cNvPr>
        <xdr:cNvCxnSpPr/>
      </xdr:nvCxnSpPr>
      <xdr:spPr>
        <a:xfrm>
          <a:off x="1059656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0</xdr:row>
      <xdr:rowOff>203994</xdr:rowOff>
    </xdr:from>
    <xdr:to>
      <xdr:col>2</xdr:col>
      <xdr:colOff>237331</xdr:colOff>
      <xdr:row>1</xdr:row>
      <xdr:rowOff>203993</xdr:rowOff>
    </xdr:to>
    <xdr:cxnSp macro="">
      <xdr:nvCxnSpPr>
        <xdr:cNvPr id="21" name="Match18">
          <a:extLst>
            <a:ext uri="{FF2B5EF4-FFF2-40B4-BE49-F238E27FC236}">
              <a16:creationId xmlns:a16="http://schemas.microsoft.com/office/drawing/2014/main" id="{4ADAD105-A923-E5A1-C9FA-26485C0D41E4}"/>
            </a:ext>
          </a:extLst>
        </xdr:cNvPr>
        <xdr:cNvCxnSpPr/>
      </xdr:nvCxnSpPr>
      <xdr:spPr>
        <a:xfrm flipH="1" flipV="1">
          <a:off x="661194" y="2039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0</xdr:row>
      <xdr:rowOff>229394</xdr:rowOff>
    </xdr:from>
    <xdr:to>
      <xdr:col>3</xdr:col>
      <xdr:colOff>262731</xdr:colOff>
      <xdr:row>1</xdr:row>
      <xdr:rowOff>229393</xdr:rowOff>
    </xdr:to>
    <xdr:cxnSp macro="">
      <xdr:nvCxnSpPr>
        <xdr:cNvPr id="22" name="Match19">
          <a:extLst>
            <a:ext uri="{FF2B5EF4-FFF2-40B4-BE49-F238E27FC236}">
              <a16:creationId xmlns:a16="http://schemas.microsoft.com/office/drawing/2014/main" id="{F28BA4FC-0F17-FD17-FF9F-AF81BA1BD564}"/>
            </a:ext>
          </a:extLst>
        </xdr:cNvPr>
        <xdr:cNvCxnSpPr/>
      </xdr:nvCxnSpPr>
      <xdr:spPr>
        <a:xfrm flipV="1">
          <a:off x="1110456" y="229394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4</xdr:col>
      <xdr:colOff>211931</xdr:colOff>
      <xdr:row>1</xdr:row>
      <xdr:rowOff>178593</xdr:rowOff>
    </xdr:to>
    <xdr:cxnSp macro="">
      <xdr:nvCxnSpPr>
        <xdr:cNvPr id="23" name="Match20">
          <a:extLst>
            <a:ext uri="{FF2B5EF4-FFF2-40B4-BE49-F238E27FC236}">
              <a16:creationId xmlns:a16="http://schemas.microsoft.com/office/drawing/2014/main" id="{B0E2F2A3-C5FB-9F35-AA41-0C783EC60654}"/>
            </a:ext>
          </a:extLst>
        </xdr:cNvPr>
        <xdr:cNvCxnSpPr/>
      </xdr:nvCxnSpPr>
      <xdr:spPr>
        <a:xfrm flipH="1" flipV="1">
          <a:off x="148351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5</xdr:row>
      <xdr:rowOff>178593</xdr:rowOff>
    </xdr:from>
    <xdr:to>
      <xdr:col>10</xdr:col>
      <xdr:colOff>211931</xdr:colOff>
      <xdr:row>5</xdr:row>
      <xdr:rowOff>178593</xdr:rowOff>
    </xdr:to>
    <xdr:cxnSp macro="">
      <xdr:nvCxnSpPr>
        <xdr:cNvPr id="24" name="Match21">
          <a:extLst>
            <a:ext uri="{FF2B5EF4-FFF2-40B4-BE49-F238E27FC236}">
              <a16:creationId xmlns:a16="http://schemas.microsoft.com/office/drawing/2014/main" id="{CC74653B-A3F6-3E60-C9E4-EF70D4BE4EB5}"/>
            </a:ext>
          </a:extLst>
        </xdr:cNvPr>
        <xdr:cNvCxnSpPr/>
      </xdr:nvCxnSpPr>
      <xdr:spPr>
        <a:xfrm>
          <a:off x="4026694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5</xdr:row>
      <xdr:rowOff>203993</xdr:rowOff>
    </xdr:from>
    <xdr:to>
      <xdr:col>10</xdr:col>
      <xdr:colOff>237331</xdr:colOff>
      <xdr:row>6</xdr:row>
      <xdr:rowOff>203994</xdr:rowOff>
    </xdr:to>
    <xdr:cxnSp macro="">
      <xdr:nvCxnSpPr>
        <xdr:cNvPr id="25" name="Match22">
          <a:extLst>
            <a:ext uri="{FF2B5EF4-FFF2-40B4-BE49-F238E27FC236}">
              <a16:creationId xmlns:a16="http://schemas.microsoft.com/office/drawing/2014/main" id="{0FB1C7A2-FB03-C5C0-F631-E8935B950171}"/>
            </a:ext>
          </a:extLst>
        </xdr:cNvPr>
        <xdr:cNvCxnSpPr/>
      </xdr:nvCxnSpPr>
      <xdr:spPr>
        <a:xfrm>
          <a:off x="4052094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6</xdr:col>
      <xdr:colOff>211931</xdr:colOff>
      <xdr:row>7</xdr:row>
      <xdr:rowOff>178593</xdr:rowOff>
    </xdr:to>
    <xdr:cxnSp macro="">
      <xdr:nvCxnSpPr>
        <xdr:cNvPr id="26" name="Match23">
          <a:extLst>
            <a:ext uri="{FF2B5EF4-FFF2-40B4-BE49-F238E27FC236}">
              <a16:creationId xmlns:a16="http://schemas.microsoft.com/office/drawing/2014/main" id="{2A409163-76AD-153F-C516-D1C532993B61}"/>
            </a:ext>
          </a:extLst>
        </xdr:cNvPr>
        <xdr:cNvCxnSpPr/>
      </xdr:nvCxnSpPr>
      <xdr:spPr>
        <a:xfrm flipH="1">
          <a:off x="233124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10</xdr:col>
      <xdr:colOff>211931</xdr:colOff>
      <xdr:row>7</xdr:row>
      <xdr:rowOff>178593</xdr:rowOff>
    </xdr:to>
    <xdr:cxnSp macro="">
      <xdr:nvCxnSpPr>
        <xdr:cNvPr id="27" name="Match24">
          <a:extLst>
            <a:ext uri="{FF2B5EF4-FFF2-40B4-BE49-F238E27FC236}">
              <a16:creationId xmlns:a16="http://schemas.microsoft.com/office/drawing/2014/main" id="{A97D3CBA-57E9-5C79-9819-2B9008AD9B95}"/>
            </a:ext>
          </a:extLst>
        </xdr:cNvPr>
        <xdr:cNvCxnSpPr/>
      </xdr:nvCxnSpPr>
      <xdr:spPr>
        <a:xfrm flipV="1">
          <a:off x="40266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8</xdr:row>
      <xdr:rowOff>178594</xdr:rowOff>
    </xdr:from>
    <xdr:to>
      <xdr:col>3</xdr:col>
      <xdr:colOff>211931</xdr:colOff>
      <xdr:row>9</xdr:row>
      <xdr:rowOff>178593</xdr:rowOff>
    </xdr:to>
    <xdr:cxnSp macro="">
      <xdr:nvCxnSpPr>
        <xdr:cNvPr id="28" name="Match25">
          <a:extLst>
            <a:ext uri="{FF2B5EF4-FFF2-40B4-BE49-F238E27FC236}">
              <a16:creationId xmlns:a16="http://schemas.microsoft.com/office/drawing/2014/main" id="{1E02BA0E-3183-ECE5-D5B7-D6B051BE2F00}"/>
            </a:ext>
          </a:extLst>
        </xdr:cNvPr>
        <xdr:cNvCxnSpPr/>
      </xdr:nvCxnSpPr>
      <xdr:spPr>
        <a:xfrm>
          <a:off x="1059656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8</xdr:row>
      <xdr:rowOff>203994</xdr:rowOff>
    </xdr:from>
    <xdr:to>
      <xdr:col>2</xdr:col>
      <xdr:colOff>237331</xdr:colOff>
      <xdr:row>9</xdr:row>
      <xdr:rowOff>203993</xdr:rowOff>
    </xdr:to>
    <xdr:cxnSp macro="">
      <xdr:nvCxnSpPr>
        <xdr:cNvPr id="29" name="Match26">
          <a:extLst>
            <a:ext uri="{FF2B5EF4-FFF2-40B4-BE49-F238E27FC236}">
              <a16:creationId xmlns:a16="http://schemas.microsoft.com/office/drawing/2014/main" id="{FA960304-F917-8AF6-485D-819E2A4BBE2B}"/>
            </a:ext>
          </a:extLst>
        </xdr:cNvPr>
        <xdr:cNvCxnSpPr/>
      </xdr:nvCxnSpPr>
      <xdr:spPr>
        <a:xfrm>
          <a:off x="1085056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8</xdr:row>
      <xdr:rowOff>229394</xdr:rowOff>
    </xdr:from>
    <xdr:to>
      <xdr:col>2</xdr:col>
      <xdr:colOff>262731</xdr:colOff>
      <xdr:row>9</xdr:row>
      <xdr:rowOff>229393</xdr:rowOff>
    </xdr:to>
    <xdr:cxnSp macro="">
      <xdr:nvCxnSpPr>
        <xdr:cNvPr id="30" name="Match27">
          <a:extLst>
            <a:ext uri="{FF2B5EF4-FFF2-40B4-BE49-F238E27FC236}">
              <a16:creationId xmlns:a16="http://schemas.microsoft.com/office/drawing/2014/main" id="{76E7DB15-F567-DFF5-432A-41F7EA8AA518}"/>
            </a:ext>
          </a:extLst>
        </xdr:cNvPr>
        <xdr:cNvCxnSpPr/>
      </xdr:nvCxnSpPr>
      <xdr:spPr>
        <a:xfrm flipH="1">
          <a:off x="686594" y="3086894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288131</xdr:colOff>
      <xdr:row>7</xdr:row>
      <xdr:rowOff>254793</xdr:rowOff>
    </xdr:from>
    <xdr:to>
      <xdr:col>3</xdr:col>
      <xdr:colOff>288131</xdr:colOff>
      <xdr:row>8</xdr:row>
      <xdr:rowOff>254794</xdr:rowOff>
    </xdr:to>
    <xdr:cxnSp macro="">
      <xdr:nvCxnSpPr>
        <xdr:cNvPr id="31" name="Match28">
          <a:extLst>
            <a:ext uri="{FF2B5EF4-FFF2-40B4-BE49-F238E27FC236}">
              <a16:creationId xmlns:a16="http://schemas.microsoft.com/office/drawing/2014/main" id="{EF7A04E8-AE19-F556-8613-80184B2DB11A}"/>
            </a:ext>
          </a:extLst>
        </xdr:cNvPr>
        <xdr:cNvCxnSpPr/>
      </xdr:nvCxnSpPr>
      <xdr:spPr>
        <a:xfrm flipV="1">
          <a:off x="1135856" y="2755106"/>
          <a:ext cx="423863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1</xdr:col>
      <xdr:colOff>211931</xdr:colOff>
      <xdr:row>9</xdr:row>
      <xdr:rowOff>178593</xdr:rowOff>
    </xdr:to>
    <xdr:cxnSp macro="">
      <xdr:nvCxnSpPr>
        <xdr:cNvPr id="32" name="Match29">
          <a:extLst>
            <a:ext uri="{FF2B5EF4-FFF2-40B4-BE49-F238E27FC236}">
              <a16:creationId xmlns:a16="http://schemas.microsoft.com/office/drawing/2014/main" id="{96B99F97-06CC-649A-3AC8-9E445C79F997}"/>
            </a:ext>
          </a:extLst>
        </xdr:cNvPr>
        <xdr:cNvCxnSpPr/>
      </xdr:nvCxnSpPr>
      <xdr:spPr>
        <a:xfrm>
          <a:off x="211931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9</xdr:row>
      <xdr:rowOff>203993</xdr:rowOff>
    </xdr:from>
    <xdr:to>
      <xdr:col>0</xdr:col>
      <xdr:colOff>237331</xdr:colOff>
      <xdr:row>10</xdr:row>
      <xdr:rowOff>203994</xdr:rowOff>
    </xdr:to>
    <xdr:cxnSp macro="">
      <xdr:nvCxnSpPr>
        <xdr:cNvPr id="33" name="Match30">
          <a:extLst>
            <a:ext uri="{FF2B5EF4-FFF2-40B4-BE49-F238E27FC236}">
              <a16:creationId xmlns:a16="http://schemas.microsoft.com/office/drawing/2014/main" id="{D4C6CC7F-6B8C-CE48-9031-83133E5EE37D}"/>
            </a:ext>
          </a:extLst>
        </xdr:cNvPr>
        <xdr:cNvCxnSpPr/>
      </xdr:nvCxnSpPr>
      <xdr:spPr>
        <a:xfrm>
          <a:off x="237331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34" name="Match31">
          <a:extLst>
            <a:ext uri="{FF2B5EF4-FFF2-40B4-BE49-F238E27FC236}">
              <a16:creationId xmlns:a16="http://schemas.microsoft.com/office/drawing/2014/main" id="{9832D966-E9A9-0DB2-697F-63C6762D623A}"/>
            </a:ext>
          </a:extLst>
        </xdr:cNvPr>
        <xdr:cNvCxnSpPr/>
      </xdr:nvCxnSpPr>
      <xdr:spPr>
        <a:xfrm>
          <a:off x="445055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11</xdr:row>
      <xdr:rowOff>178593</xdr:rowOff>
    </xdr:from>
    <xdr:to>
      <xdr:col>11</xdr:col>
      <xdr:colOff>211931</xdr:colOff>
      <xdr:row>11</xdr:row>
      <xdr:rowOff>178593</xdr:rowOff>
    </xdr:to>
    <xdr:cxnSp macro="">
      <xdr:nvCxnSpPr>
        <xdr:cNvPr id="35" name="Match32">
          <a:extLst>
            <a:ext uri="{FF2B5EF4-FFF2-40B4-BE49-F238E27FC236}">
              <a16:creationId xmlns:a16="http://schemas.microsoft.com/office/drawing/2014/main" id="{19DA29B5-AFAE-92D0-0A47-9ABBB4C36659}"/>
            </a:ext>
          </a:extLst>
        </xdr:cNvPr>
        <xdr:cNvCxnSpPr/>
      </xdr:nvCxnSpPr>
      <xdr:spPr>
        <a:xfrm>
          <a:off x="4450556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10</xdr:col>
      <xdr:colOff>211931</xdr:colOff>
      <xdr:row>1</xdr:row>
      <xdr:rowOff>178593</xdr:rowOff>
    </xdr:to>
    <xdr:cxnSp macro="">
      <xdr:nvCxnSpPr>
        <xdr:cNvPr id="36" name="Match33">
          <a:extLst>
            <a:ext uri="{FF2B5EF4-FFF2-40B4-BE49-F238E27FC236}">
              <a16:creationId xmlns:a16="http://schemas.microsoft.com/office/drawing/2014/main" id="{DDFC75CF-15CA-B9BB-431E-1ED8FFF4A169}"/>
            </a:ext>
          </a:extLst>
        </xdr:cNvPr>
        <xdr:cNvCxnSpPr/>
      </xdr:nvCxnSpPr>
      <xdr:spPr>
        <a:xfrm>
          <a:off x="2331244" y="535781"/>
          <a:ext cx="211931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8</xdr:col>
      <xdr:colOff>211931</xdr:colOff>
      <xdr:row>8</xdr:row>
      <xdr:rowOff>178594</xdr:rowOff>
    </xdr:to>
    <xdr:cxnSp macro="">
      <xdr:nvCxnSpPr>
        <xdr:cNvPr id="37" name="Match34">
          <a:extLst>
            <a:ext uri="{FF2B5EF4-FFF2-40B4-BE49-F238E27FC236}">
              <a16:creationId xmlns:a16="http://schemas.microsoft.com/office/drawing/2014/main" id="{4BFE2C32-7C72-3EE8-3EED-D3F609562A7D}"/>
            </a:ext>
          </a:extLst>
        </xdr:cNvPr>
        <xdr:cNvCxnSpPr/>
      </xdr:nvCxnSpPr>
      <xdr:spPr>
        <a:xfrm flipH="1" flipV="1">
          <a:off x="1907381" y="1607344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1</xdr:col>
      <xdr:colOff>211931</xdr:colOff>
      <xdr:row>1</xdr:row>
      <xdr:rowOff>178593</xdr:rowOff>
    </xdr:to>
    <xdr:cxnSp macro="">
      <xdr:nvCxnSpPr>
        <xdr:cNvPr id="38" name="Match35">
          <a:extLst>
            <a:ext uri="{FF2B5EF4-FFF2-40B4-BE49-F238E27FC236}">
              <a16:creationId xmlns:a16="http://schemas.microsoft.com/office/drawing/2014/main" id="{37363A77-7ED4-CE2B-3F15-42330922EBB5}"/>
            </a:ext>
          </a:extLst>
        </xdr:cNvPr>
        <xdr:cNvCxnSpPr/>
      </xdr:nvCxnSpPr>
      <xdr:spPr>
        <a:xfrm>
          <a:off x="211931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0</xdr:row>
      <xdr:rowOff>203994</xdr:rowOff>
    </xdr:from>
    <xdr:to>
      <xdr:col>3</xdr:col>
      <xdr:colOff>237331</xdr:colOff>
      <xdr:row>1</xdr:row>
      <xdr:rowOff>203993</xdr:rowOff>
    </xdr:to>
    <xdr:cxnSp macro="">
      <xdr:nvCxnSpPr>
        <xdr:cNvPr id="39" name="Match36">
          <a:extLst>
            <a:ext uri="{FF2B5EF4-FFF2-40B4-BE49-F238E27FC236}">
              <a16:creationId xmlns:a16="http://schemas.microsoft.com/office/drawing/2014/main" id="{EE159AF6-7321-3B36-636A-09F92CA7436A}"/>
            </a:ext>
          </a:extLst>
        </xdr:cNvPr>
        <xdr:cNvCxnSpPr/>
      </xdr:nvCxnSpPr>
      <xdr:spPr>
        <a:xfrm flipH="1" flipV="1">
          <a:off x="1085056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7</xdr:col>
      <xdr:colOff>211931</xdr:colOff>
      <xdr:row>1</xdr:row>
      <xdr:rowOff>178593</xdr:rowOff>
    </xdr:to>
    <xdr:cxnSp macro="">
      <xdr:nvCxnSpPr>
        <xdr:cNvPr id="40" name="Match37">
          <a:extLst>
            <a:ext uri="{FF2B5EF4-FFF2-40B4-BE49-F238E27FC236}">
              <a16:creationId xmlns:a16="http://schemas.microsoft.com/office/drawing/2014/main" id="{7B9716A2-67B9-3076-BF5B-27F0ED9AFC30}"/>
            </a:ext>
          </a:extLst>
        </xdr:cNvPr>
        <xdr:cNvCxnSpPr/>
      </xdr:nvCxnSpPr>
      <xdr:spPr>
        <a:xfrm flipV="1">
          <a:off x="3178969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3</xdr:col>
      <xdr:colOff>211931</xdr:colOff>
      <xdr:row>3</xdr:row>
      <xdr:rowOff>178593</xdr:rowOff>
    </xdr:to>
    <xdr:cxnSp macro="">
      <xdr:nvCxnSpPr>
        <xdr:cNvPr id="41" name="Match38">
          <a:extLst>
            <a:ext uri="{FF2B5EF4-FFF2-40B4-BE49-F238E27FC236}">
              <a16:creationId xmlns:a16="http://schemas.microsoft.com/office/drawing/2014/main" id="{E704DB72-532C-9A25-710A-BC9E4FD27A3F}"/>
            </a:ext>
          </a:extLst>
        </xdr:cNvPr>
        <xdr:cNvCxnSpPr/>
      </xdr:nvCxnSpPr>
      <xdr:spPr>
        <a:xfrm flipH="1">
          <a:off x="105965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2</xdr:col>
      <xdr:colOff>211931</xdr:colOff>
      <xdr:row>4</xdr:row>
      <xdr:rowOff>178594</xdr:rowOff>
    </xdr:to>
    <xdr:cxnSp macro="">
      <xdr:nvCxnSpPr>
        <xdr:cNvPr id="42" name="Match39">
          <a:extLst>
            <a:ext uri="{FF2B5EF4-FFF2-40B4-BE49-F238E27FC236}">
              <a16:creationId xmlns:a16="http://schemas.microsoft.com/office/drawing/2014/main" id="{ECC3992C-9D1A-BEC4-C389-072A0982CF80}"/>
            </a:ext>
          </a:extLst>
        </xdr:cNvPr>
        <xdr:cNvCxnSpPr/>
      </xdr:nvCxnSpPr>
      <xdr:spPr>
        <a:xfrm flipV="1">
          <a:off x="1059656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3</xdr:col>
      <xdr:colOff>211931</xdr:colOff>
      <xdr:row>4</xdr:row>
      <xdr:rowOff>178594</xdr:rowOff>
    </xdr:to>
    <xdr:cxnSp macro="">
      <xdr:nvCxnSpPr>
        <xdr:cNvPr id="43" name="Match40">
          <a:extLst>
            <a:ext uri="{FF2B5EF4-FFF2-40B4-BE49-F238E27FC236}">
              <a16:creationId xmlns:a16="http://schemas.microsoft.com/office/drawing/2014/main" id="{C458C38B-FBC9-9961-B138-4768DB740929}"/>
            </a:ext>
          </a:extLst>
        </xdr:cNvPr>
        <xdr:cNvCxnSpPr/>
      </xdr:nvCxnSpPr>
      <xdr:spPr>
        <a:xfrm flipH="1" flipV="1">
          <a:off x="105965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5</xdr:row>
      <xdr:rowOff>178593</xdr:rowOff>
    </xdr:from>
    <xdr:to>
      <xdr:col>4</xdr:col>
      <xdr:colOff>211931</xdr:colOff>
      <xdr:row>6</xdr:row>
      <xdr:rowOff>178594</xdr:rowOff>
    </xdr:to>
    <xdr:cxnSp macro="">
      <xdr:nvCxnSpPr>
        <xdr:cNvPr id="44" name="Match41">
          <a:extLst>
            <a:ext uri="{FF2B5EF4-FFF2-40B4-BE49-F238E27FC236}">
              <a16:creationId xmlns:a16="http://schemas.microsoft.com/office/drawing/2014/main" id="{AC1695AD-BE34-4838-E31A-B7C647C2B4E1}"/>
            </a:ext>
          </a:extLst>
        </xdr:cNvPr>
        <xdr:cNvCxnSpPr/>
      </xdr:nvCxnSpPr>
      <xdr:spPr>
        <a:xfrm>
          <a:off x="1907381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5</xdr:col>
      <xdr:colOff>211931</xdr:colOff>
      <xdr:row>7</xdr:row>
      <xdr:rowOff>178593</xdr:rowOff>
    </xdr:to>
    <xdr:cxnSp macro="">
      <xdr:nvCxnSpPr>
        <xdr:cNvPr id="45" name="Match42">
          <a:extLst>
            <a:ext uri="{FF2B5EF4-FFF2-40B4-BE49-F238E27FC236}">
              <a16:creationId xmlns:a16="http://schemas.microsoft.com/office/drawing/2014/main" id="{1B0C13F0-FB41-0CB6-A4A5-6F0FE53BE59C}"/>
            </a:ext>
          </a:extLst>
        </xdr:cNvPr>
        <xdr:cNvCxnSpPr/>
      </xdr:nvCxnSpPr>
      <xdr:spPr>
        <a:xfrm flipH="1">
          <a:off x="190738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6</xdr:row>
      <xdr:rowOff>203994</xdr:rowOff>
    </xdr:from>
    <xdr:to>
      <xdr:col>5</xdr:col>
      <xdr:colOff>237331</xdr:colOff>
      <xdr:row>6</xdr:row>
      <xdr:rowOff>203994</xdr:rowOff>
    </xdr:to>
    <xdr:cxnSp macro="">
      <xdr:nvCxnSpPr>
        <xdr:cNvPr id="46" name="Match43">
          <a:extLst>
            <a:ext uri="{FF2B5EF4-FFF2-40B4-BE49-F238E27FC236}">
              <a16:creationId xmlns:a16="http://schemas.microsoft.com/office/drawing/2014/main" id="{11EFDC9D-32A5-E2F4-6F28-F42AE035703D}"/>
            </a:ext>
          </a:extLst>
        </xdr:cNvPr>
        <xdr:cNvCxnSpPr/>
      </xdr:nvCxnSpPr>
      <xdr:spPr>
        <a:xfrm flipH="1">
          <a:off x="1932781" y="234711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5</xdr:row>
      <xdr:rowOff>229393</xdr:rowOff>
    </xdr:from>
    <xdr:to>
      <xdr:col>6</xdr:col>
      <xdr:colOff>262731</xdr:colOff>
      <xdr:row>6</xdr:row>
      <xdr:rowOff>229394</xdr:rowOff>
    </xdr:to>
    <xdr:cxnSp macro="">
      <xdr:nvCxnSpPr>
        <xdr:cNvPr id="47" name="Match44">
          <a:extLst>
            <a:ext uri="{FF2B5EF4-FFF2-40B4-BE49-F238E27FC236}">
              <a16:creationId xmlns:a16="http://schemas.microsoft.com/office/drawing/2014/main" id="{03F486C3-1980-9BD7-8792-146A28C221A2}"/>
            </a:ext>
          </a:extLst>
        </xdr:cNvPr>
        <xdr:cNvCxnSpPr/>
      </xdr:nvCxnSpPr>
      <xdr:spPr>
        <a:xfrm flipV="1">
          <a:off x="2382044" y="2015331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8</xdr:row>
      <xdr:rowOff>178594</xdr:rowOff>
    </xdr:from>
    <xdr:to>
      <xdr:col>11</xdr:col>
      <xdr:colOff>211931</xdr:colOff>
      <xdr:row>9</xdr:row>
      <xdr:rowOff>178593</xdr:rowOff>
    </xdr:to>
    <xdr:cxnSp macro="">
      <xdr:nvCxnSpPr>
        <xdr:cNvPr id="48" name="Match45">
          <a:extLst>
            <a:ext uri="{FF2B5EF4-FFF2-40B4-BE49-F238E27FC236}">
              <a16:creationId xmlns:a16="http://schemas.microsoft.com/office/drawing/2014/main" id="{8DCE4F4B-137C-D0DC-57B9-5AC65F697D23}"/>
            </a:ext>
          </a:extLst>
        </xdr:cNvPr>
        <xdr:cNvCxnSpPr/>
      </xdr:nvCxnSpPr>
      <xdr:spPr>
        <a:xfrm flipV="1">
          <a:off x="4874419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9</xdr:col>
      <xdr:colOff>211931</xdr:colOff>
      <xdr:row>10</xdr:row>
      <xdr:rowOff>178594</xdr:rowOff>
    </xdr:to>
    <xdr:cxnSp macro="">
      <xdr:nvCxnSpPr>
        <xdr:cNvPr id="49" name="Match46">
          <a:extLst>
            <a:ext uri="{FF2B5EF4-FFF2-40B4-BE49-F238E27FC236}">
              <a16:creationId xmlns:a16="http://schemas.microsoft.com/office/drawing/2014/main" id="{B89645D7-C5EE-E573-40C2-2DAE86FD1D39}"/>
            </a:ext>
          </a:extLst>
        </xdr:cNvPr>
        <xdr:cNvCxnSpPr/>
      </xdr:nvCxnSpPr>
      <xdr:spPr>
        <a:xfrm flipH="1">
          <a:off x="3602831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9</xdr:col>
      <xdr:colOff>211931</xdr:colOff>
      <xdr:row>11</xdr:row>
      <xdr:rowOff>178593</xdr:rowOff>
    </xdr:to>
    <xdr:cxnSp macro="">
      <xdr:nvCxnSpPr>
        <xdr:cNvPr id="50" name="Match47">
          <a:extLst>
            <a:ext uri="{FF2B5EF4-FFF2-40B4-BE49-F238E27FC236}">
              <a16:creationId xmlns:a16="http://schemas.microsoft.com/office/drawing/2014/main" id="{DCAD7AE4-27D3-5596-2873-513D659D855F}"/>
            </a:ext>
          </a:extLst>
        </xdr:cNvPr>
        <xdr:cNvCxnSpPr/>
      </xdr:nvCxnSpPr>
      <xdr:spPr>
        <a:xfrm flipH="1" flipV="1">
          <a:off x="36028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10</xdr:col>
      <xdr:colOff>211931</xdr:colOff>
      <xdr:row>0</xdr:row>
      <xdr:rowOff>178594</xdr:rowOff>
    </xdr:to>
    <xdr:cxnSp macro="">
      <xdr:nvCxnSpPr>
        <xdr:cNvPr id="51" name="Match48">
          <a:extLst>
            <a:ext uri="{FF2B5EF4-FFF2-40B4-BE49-F238E27FC236}">
              <a16:creationId xmlns:a16="http://schemas.microsoft.com/office/drawing/2014/main" id="{41201F09-F902-A059-F352-33EE1911F4B8}"/>
            </a:ext>
          </a:extLst>
        </xdr:cNvPr>
        <xdr:cNvCxnSpPr/>
      </xdr:nvCxnSpPr>
      <xdr:spPr>
        <a:xfrm flipH="1">
          <a:off x="1907381" y="178594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2</xdr:row>
      <xdr:rowOff>178594</xdr:rowOff>
    </xdr:from>
    <xdr:to>
      <xdr:col>8</xdr:col>
      <xdr:colOff>211931</xdr:colOff>
      <xdr:row>2</xdr:row>
      <xdr:rowOff>178594</xdr:rowOff>
    </xdr:to>
    <xdr:cxnSp macro="">
      <xdr:nvCxnSpPr>
        <xdr:cNvPr id="52" name="Match49">
          <a:extLst>
            <a:ext uri="{FF2B5EF4-FFF2-40B4-BE49-F238E27FC236}">
              <a16:creationId xmlns:a16="http://schemas.microsoft.com/office/drawing/2014/main" id="{923B0DCF-E3C9-0E41-9CEC-FC045167748D}"/>
            </a:ext>
          </a:extLst>
        </xdr:cNvPr>
        <xdr:cNvCxnSpPr/>
      </xdr:nvCxnSpPr>
      <xdr:spPr>
        <a:xfrm>
          <a:off x="3178969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9</xdr:col>
      <xdr:colOff>211931</xdr:colOff>
      <xdr:row>4</xdr:row>
      <xdr:rowOff>178594</xdr:rowOff>
    </xdr:to>
    <xdr:cxnSp macro="">
      <xdr:nvCxnSpPr>
        <xdr:cNvPr id="53" name="Match50">
          <a:extLst>
            <a:ext uri="{FF2B5EF4-FFF2-40B4-BE49-F238E27FC236}">
              <a16:creationId xmlns:a16="http://schemas.microsoft.com/office/drawing/2014/main" id="{4F54592E-A236-C1CA-D985-496A0D312CD0}"/>
            </a:ext>
          </a:extLst>
        </xdr:cNvPr>
        <xdr:cNvCxnSpPr/>
      </xdr:nvCxnSpPr>
      <xdr:spPr>
        <a:xfrm flipV="1">
          <a:off x="4026694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1</xdr:col>
      <xdr:colOff>211931</xdr:colOff>
      <xdr:row>6</xdr:row>
      <xdr:rowOff>178594</xdr:rowOff>
    </xdr:to>
    <xdr:cxnSp macro="">
      <xdr:nvCxnSpPr>
        <xdr:cNvPr id="54" name="Match51">
          <a:extLst>
            <a:ext uri="{FF2B5EF4-FFF2-40B4-BE49-F238E27FC236}">
              <a16:creationId xmlns:a16="http://schemas.microsoft.com/office/drawing/2014/main" id="{DB42EE5E-F8B7-B693-39EB-9DB94239E540}"/>
            </a:ext>
          </a:extLst>
        </xdr:cNvPr>
        <xdr:cNvCxnSpPr/>
      </xdr:nvCxnSpPr>
      <xdr:spPr>
        <a:xfrm>
          <a:off x="635794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4</xdr:row>
      <xdr:rowOff>203994</xdr:rowOff>
    </xdr:from>
    <xdr:to>
      <xdr:col>1</xdr:col>
      <xdr:colOff>237331</xdr:colOff>
      <xdr:row>5</xdr:row>
      <xdr:rowOff>203993</xdr:rowOff>
    </xdr:to>
    <xdr:cxnSp macro="">
      <xdr:nvCxnSpPr>
        <xdr:cNvPr id="55" name="Match52">
          <a:extLst>
            <a:ext uri="{FF2B5EF4-FFF2-40B4-BE49-F238E27FC236}">
              <a16:creationId xmlns:a16="http://schemas.microsoft.com/office/drawing/2014/main" id="{1D1ACEC1-C70E-C2D6-E1EF-7F70281D3C93}"/>
            </a:ext>
          </a:extLst>
        </xdr:cNvPr>
        <xdr:cNvCxnSpPr/>
      </xdr:nvCxnSpPr>
      <xdr:spPr>
        <a:xfrm flipV="1">
          <a:off x="661194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1</xdr:col>
      <xdr:colOff>211931</xdr:colOff>
      <xdr:row>7</xdr:row>
      <xdr:rowOff>178593</xdr:rowOff>
    </xdr:to>
    <xdr:cxnSp macro="">
      <xdr:nvCxnSpPr>
        <xdr:cNvPr id="56" name="Match53">
          <a:extLst>
            <a:ext uri="{FF2B5EF4-FFF2-40B4-BE49-F238E27FC236}">
              <a16:creationId xmlns:a16="http://schemas.microsoft.com/office/drawing/2014/main" id="{D7383AF1-6E1E-C150-563B-6CA4EE627CCA}"/>
            </a:ext>
          </a:extLst>
        </xdr:cNvPr>
        <xdr:cNvCxnSpPr/>
      </xdr:nvCxnSpPr>
      <xdr:spPr>
        <a:xfrm flipV="1">
          <a:off x="2119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7</xdr:row>
      <xdr:rowOff>178593</xdr:rowOff>
    </xdr:from>
    <xdr:to>
      <xdr:col>11</xdr:col>
      <xdr:colOff>211931</xdr:colOff>
      <xdr:row>8</xdr:row>
      <xdr:rowOff>178594</xdr:rowOff>
    </xdr:to>
    <xdr:cxnSp macro="">
      <xdr:nvCxnSpPr>
        <xdr:cNvPr id="57" name="Match54">
          <a:extLst>
            <a:ext uri="{FF2B5EF4-FFF2-40B4-BE49-F238E27FC236}">
              <a16:creationId xmlns:a16="http://schemas.microsoft.com/office/drawing/2014/main" id="{2E9D275F-C504-72EE-3640-80E2138B87BD}"/>
            </a:ext>
          </a:extLst>
        </xdr:cNvPr>
        <xdr:cNvCxnSpPr/>
      </xdr:nvCxnSpPr>
      <xdr:spPr>
        <a:xfrm flipH="1">
          <a:off x="4450556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237331</xdr:colOff>
      <xdr:row>6</xdr:row>
      <xdr:rowOff>203994</xdr:rowOff>
    </xdr:from>
    <xdr:to>
      <xdr:col>11</xdr:col>
      <xdr:colOff>237331</xdr:colOff>
      <xdr:row>7</xdr:row>
      <xdr:rowOff>203993</xdr:rowOff>
    </xdr:to>
    <xdr:cxnSp macro="">
      <xdr:nvCxnSpPr>
        <xdr:cNvPr id="58" name="Match55">
          <a:extLst>
            <a:ext uri="{FF2B5EF4-FFF2-40B4-BE49-F238E27FC236}">
              <a16:creationId xmlns:a16="http://schemas.microsoft.com/office/drawing/2014/main" id="{7D4D5664-05EB-A06B-78DE-05C9D1C3461A}"/>
            </a:ext>
          </a:extLst>
        </xdr:cNvPr>
        <xdr:cNvCxnSpPr/>
      </xdr:nvCxnSpPr>
      <xdr:spPr>
        <a:xfrm flipV="1">
          <a:off x="4899819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4</xdr:row>
      <xdr:rowOff>203994</xdr:rowOff>
    </xdr:from>
    <xdr:to>
      <xdr:col>9</xdr:col>
      <xdr:colOff>237331</xdr:colOff>
      <xdr:row>10</xdr:row>
      <xdr:rowOff>203994</xdr:rowOff>
    </xdr:to>
    <xdr:cxnSp macro="">
      <xdr:nvCxnSpPr>
        <xdr:cNvPr id="59" name="Match56">
          <a:extLst>
            <a:ext uri="{FF2B5EF4-FFF2-40B4-BE49-F238E27FC236}">
              <a16:creationId xmlns:a16="http://schemas.microsoft.com/office/drawing/2014/main" id="{A47FB231-B4B2-C0BA-3FE4-0611FB021E49}"/>
            </a:ext>
          </a:extLst>
        </xdr:cNvPr>
        <xdr:cNvCxnSpPr/>
      </xdr:nvCxnSpPr>
      <xdr:spPr>
        <a:xfrm flipV="1">
          <a:off x="4052094" y="1632744"/>
          <a:ext cx="0" cy="214312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4</xdr:col>
      <xdr:colOff>211931</xdr:colOff>
      <xdr:row>6</xdr:row>
      <xdr:rowOff>178594</xdr:rowOff>
    </xdr:to>
    <xdr:cxnSp macro="">
      <xdr:nvCxnSpPr>
        <xdr:cNvPr id="60" name="Match57">
          <a:extLst>
            <a:ext uri="{FF2B5EF4-FFF2-40B4-BE49-F238E27FC236}">
              <a16:creationId xmlns:a16="http://schemas.microsoft.com/office/drawing/2014/main" id="{3B6029F3-DA57-A769-CC3D-670B6070CB0E}"/>
            </a:ext>
          </a:extLst>
        </xdr:cNvPr>
        <xdr:cNvCxnSpPr/>
      </xdr:nvCxnSpPr>
      <xdr:spPr>
        <a:xfrm flipH="1">
          <a:off x="635794" y="2321719"/>
          <a:ext cx="1271587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7</xdr:col>
      <xdr:colOff>211931</xdr:colOff>
      <xdr:row>2</xdr:row>
      <xdr:rowOff>178594</xdr:rowOff>
    </xdr:to>
    <xdr:cxnSp macro="">
      <xdr:nvCxnSpPr>
        <xdr:cNvPr id="61" name="Match58">
          <a:extLst>
            <a:ext uri="{FF2B5EF4-FFF2-40B4-BE49-F238E27FC236}">
              <a16:creationId xmlns:a16="http://schemas.microsoft.com/office/drawing/2014/main" id="{1A79B799-E472-222D-FE15-C647240B4B37}"/>
            </a:ext>
          </a:extLst>
        </xdr:cNvPr>
        <xdr:cNvCxnSpPr/>
      </xdr:nvCxnSpPr>
      <xdr:spPr>
        <a:xfrm>
          <a:off x="2331244" y="89296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7</xdr:col>
      <xdr:colOff>211931</xdr:colOff>
      <xdr:row>3</xdr:row>
      <xdr:rowOff>178593</xdr:rowOff>
    </xdr:to>
    <xdr:cxnSp macro="">
      <xdr:nvCxnSpPr>
        <xdr:cNvPr id="62" name="Match59">
          <a:extLst>
            <a:ext uri="{FF2B5EF4-FFF2-40B4-BE49-F238E27FC236}">
              <a16:creationId xmlns:a16="http://schemas.microsoft.com/office/drawing/2014/main" id="{D535AA71-89BD-456C-2247-A99808C5D515}"/>
            </a:ext>
          </a:extLst>
        </xdr:cNvPr>
        <xdr:cNvCxnSpPr/>
      </xdr:nvCxnSpPr>
      <xdr:spPr>
        <a:xfrm flipH="1" flipV="1">
          <a:off x="2331244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11</xdr:col>
      <xdr:colOff>211931</xdr:colOff>
      <xdr:row>10</xdr:row>
      <xdr:rowOff>178594</xdr:rowOff>
    </xdr:to>
    <xdr:cxnSp macro="">
      <xdr:nvCxnSpPr>
        <xdr:cNvPr id="63" name="Match60">
          <a:extLst>
            <a:ext uri="{FF2B5EF4-FFF2-40B4-BE49-F238E27FC236}">
              <a16:creationId xmlns:a16="http://schemas.microsoft.com/office/drawing/2014/main" id="{EBF230B6-3936-1F1A-000D-13B2111FEFAE}"/>
            </a:ext>
          </a:extLst>
        </xdr:cNvPr>
        <xdr:cNvCxnSpPr/>
      </xdr:nvCxnSpPr>
      <xdr:spPr>
        <a:xfrm>
          <a:off x="4026694" y="30360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85680E5C-73EB-DE6D-B54D-4971C279F8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N6" sqref="N6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5">
        <v>4</v>
      </c>
      <c r="B1" s="26">
        <v>7</v>
      </c>
      <c r="C1" s="26">
        <v>9</v>
      </c>
      <c r="D1" s="26">
        <v>7</v>
      </c>
      <c r="E1" s="26">
        <v>3</v>
      </c>
      <c r="F1" s="26">
        <v>8</v>
      </c>
      <c r="G1" s="26">
        <v>6</v>
      </c>
      <c r="H1" s="26">
        <v>9</v>
      </c>
      <c r="I1" s="26">
        <v>2</v>
      </c>
      <c r="J1" s="26">
        <v>7</v>
      </c>
      <c r="K1" s="26">
        <v>9</v>
      </c>
      <c r="L1" s="25">
        <v>5</v>
      </c>
      <c r="N1" s="27">
        <v>7536</v>
      </c>
      <c r="O1" s="1">
        <v>1</v>
      </c>
    </row>
    <row r="2" spans="1:15" ht="28.25" customHeight="1">
      <c r="A2" s="26">
        <v>3</v>
      </c>
      <c r="B2" s="26">
        <v>9</v>
      </c>
      <c r="C2" s="26">
        <v>6</v>
      </c>
      <c r="D2" s="26">
        <v>3</v>
      </c>
      <c r="E2" s="26">
        <v>6</v>
      </c>
      <c r="F2" s="26">
        <v>8</v>
      </c>
      <c r="G2" s="26">
        <v>6</v>
      </c>
      <c r="H2" s="26">
        <v>3</v>
      </c>
      <c r="I2" s="26">
        <v>1</v>
      </c>
      <c r="J2" s="26">
        <v>9</v>
      </c>
      <c r="K2" s="26">
        <v>1</v>
      </c>
      <c r="L2" s="25">
        <v>8</v>
      </c>
      <c r="N2" s="27">
        <v>47953</v>
      </c>
      <c r="O2" s="1">
        <v>1</v>
      </c>
    </row>
    <row r="3" spans="1:15" ht="28.25" customHeight="1">
      <c r="A3" s="25">
        <v>6</v>
      </c>
      <c r="B3" s="26">
        <v>5</v>
      </c>
      <c r="C3" s="26">
        <v>7</v>
      </c>
      <c r="D3" s="26">
        <v>3</v>
      </c>
      <c r="E3" s="26">
        <v>6</v>
      </c>
      <c r="F3" s="26">
        <v>3</v>
      </c>
      <c r="G3" s="26">
        <v>5</v>
      </c>
      <c r="H3" s="26">
        <v>8</v>
      </c>
      <c r="I3" s="26">
        <v>4</v>
      </c>
      <c r="J3" s="25">
        <v>4</v>
      </c>
      <c r="K3" s="25">
        <v>2</v>
      </c>
      <c r="L3" s="25">
        <v>2</v>
      </c>
      <c r="N3" s="27">
        <v>25</v>
      </c>
      <c r="O3" s="1">
        <v>11</v>
      </c>
    </row>
    <row r="4" spans="1:15" ht="28.25" customHeight="1">
      <c r="A4" s="26">
        <v>4</v>
      </c>
      <c r="B4" s="26">
        <v>2</v>
      </c>
      <c r="C4" s="26">
        <v>9</v>
      </c>
      <c r="D4" s="25">
        <v>1</v>
      </c>
      <c r="E4" s="26">
        <v>5</v>
      </c>
      <c r="F4" s="26">
        <v>1</v>
      </c>
      <c r="G4" s="25">
        <v>3</v>
      </c>
      <c r="H4" s="26">
        <v>3</v>
      </c>
      <c r="I4" s="25">
        <v>3</v>
      </c>
      <c r="J4" s="26">
        <v>4</v>
      </c>
      <c r="K4" s="25">
        <v>1</v>
      </c>
      <c r="L4" s="25">
        <v>4</v>
      </c>
      <c r="N4" s="27">
        <v>36151</v>
      </c>
      <c r="O4" s="1">
        <v>1</v>
      </c>
    </row>
    <row r="5" spans="1:15" ht="28.25" customHeight="1">
      <c r="A5" s="25">
        <v>2</v>
      </c>
      <c r="B5" s="26">
        <v>4</v>
      </c>
      <c r="C5" s="26">
        <v>3</v>
      </c>
      <c r="D5" s="26">
        <v>3</v>
      </c>
      <c r="E5" s="26">
        <v>1</v>
      </c>
      <c r="F5" s="26">
        <v>7</v>
      </c>
      <c r="G5" s="26">
        <v>5</v>
      </c>
      <c r="H5" s="25">
        <v>5</v>
      </c>
      <c r="I5" s="25">
        <v>6</v>
      </c>
      <c r="J5" s="26">
        <v>8</v>
      </c>
      <c r="K5" s="25">
        <v>3</v>
      </c>
      <c r="L5" s="25">
        <v>7</v>
      </c>
      <c r="N5" s="27">
        <v>662</v>
      </c>
      <c r="O5" s="1">
        <v>1</v>
      </c>
    </row>
    <row r="6" spans="1:15" ht="28.25" customHeight="1">
      <c r="A6" s="26">
        <v>2</v>
      </c>
      <c r="B6" s="26">
        <v>8</v>
      </c>
      <c r="C6" s="25">
        <v>3</v>
      </c>
      <c r="D6" s="25">
        <v>8</v>
      </c>
      <c r="E6" s="26">
        <v>3</v>
      </c>
      <c r="F6" s="26">
        <v>4</v>
      </c>
      <c r="G6" s="26">
        <v>9</v>
      </c>
      <c r="H6" s="26">
        <v>1</v>
      </c>
      <c r="I6" s="25">
        <v>6</v>
      </c>
      <c r="J6" s="26">
        <v>6</v>
      </c>
      <c r="K6" s="26">
        <v>7</v>
      </c>
      <c r="L6" s="25">
        <v>2</v>
      </c>
      <c r="N6" s="27">
        <v>456</v>
      </c>
      <c r="O6" s="1">
        <v>2</v>
      </c>
    </row>
    <row r="7" spans="1:15" ht="28.25" customHeight="1">
      <c r="A7" s="26">
        <v>5</v>
      </c>
      <c r="B7" s="26">
        <v>4</v>
      </c>
      <c r="C7" s="26">
        <v>2</v>
      </c>
      <c r="D7" s="26">
        <v>1</v>
      </c>
      <c r="E7" s="26">
        <v>9</v>
      </c>
      <c r="F7" s="26">
        <v>3</v>
      </c>
      <c r="G7" s="26">
        <v>6</v>
      </c>
      <c r="H7" s="25">
        <v>1</v>
      </c>
      <c r="I7" s="25">
        <v>6</v>
      </c>
      <c r="J7" s="26">
        <v>5</v>
      </c>
      <c r="K7" s="26">
        <v>7</v>
      </c>
      <c r="L7" s="26">
        <v>4</v>
      </c>
      <c r="N7" s="27">
        <v>67</v>
      </c>
      <c r="O7" s="1">
        <v>16</v>
      </c>
    </row>
    <row r="8" spans="1:15" ht="28.25" customHeight="1">
      <c r="A8" s="26">
        <v>8</v>
      </c>
      <c r="B8" s="25">
        <v>3</v>
      </c>
      <c r="C8" s="25">
        <v>1</v>
      </c>
      <c r="D8" s="26">
        <v>7</v>
      </c>
      <c r="E8" s="26">
        <v>9</v>
      </c>
      <c r="F8" s="26">
        <v>7</v>
      </c>
      <c r="G8" s="25">
        <v>3</v>
      </c>
      <c r="H8" s="26">
        <v>8</v>
      </c>
      <c r="I8" s="25">
        <v>1</v>
      </c>
      <c r="J8" s="26">
        <v>6</v>
      </c>
      <c r="K8" s="25">
        <v>5</v>
      </c>
      <c r="L8" s="26">
        <v>8</v>
      </c>
      <c r="N8" s="27">
        <v>863191</v>
      </c>
      <c r="O8" s="1">
        <v>1</v>
      </c>
    </row>
    <row r="9" spans="1:15" ht="28.25" customHeight="1">
      <c r="A9" s="25">
        <v>3</v>
      </c>
      <c r="B9" s="25">
        <v>1</v>
      </c>
      <c r="C9" s="26">
        <v>6</v>
      </c>
      <c r="D9" s="25">
        <v>4</v>
      </c>
      <c r="E9" s="26">
        <v>5</v>
      </c>
      <c r="F9" s="26">
        <v>2</v>
      </c>
      <c r="G9" s="26">
        <v>2</v>
      </c>
      <c r="H9" s="26">
        <v>5</v>
      </c>
      <c r="I9" s="26">
        <v>5</v>
      </c>
      <c r="J9" s="26">
        <v>3</v>
      </c>
      <c r="K9" s="26">
        <v>4</v>
      </c>
      <c r="L9" s="26">
        <v>9</v>
      </c>
      <c r="N9" s="27">
        <v>58641</v>
      </c>
      <c r="O9" s="1">
        <v>1</v>
      </c>
    </row>
    <row r="10" spans="1:15" ht="28.25" customHeight="1">
      <c r="A10" s="26">
        <v>6</v>
      </c>
      <c r="B10" s="26">
        <v>7</v>
      </c>
      <c r="C10" s="26">
        <v>7</v>
      </c>
      <c r="D10" s="26">
        <v>7</v>
      </c>
      <c r="E10" s="26">
        <v>5</v>
      </c>
      <c r="F10" s="26">
        <v>2</v>
      </c>
      <c r="G10" s="26">
        <v>2</v>
      </c>
      <c r="H10" s="26">
        <v>6</v>
      </c>
      <c r="I10" s="26">
        <v>6</v>
      </c>
      <c r="J10" s="26">
        <v>5</v>
      </c>
      <c r="K10" s="26">
        <v>5</v>
      </c>
      <c r="L10" s="26">
        <v>3</v>
      </c>
      <c r="N10" s="27">
        <v>39</v>
      </c>
      <c r="O10" s="1">
        <v>13</v>
      </c>
    </row>
    <row r="11" spans="1:15" ht="28.25" customHeight="1">
      <c r="A11" s="26">
        <v>7</v>
      </c>
      <c r="B11" s="25">
        <v>5</v>
      </c>
      <c r="C11" s="26">
        <v>5</v>
      </c>
      <c r="D11" s="26">
        <v>2</v>
      </c>
      <c r="E11" s="26">
        <v>2</v>
      </c>
      <c r="F11" s="25">
        <v>9</v>
      </c>
      <c r="G11" s="25">
        <v>9</v>
      </c>
      <c r="H11" s="25">
        <v>4</v>
      </c>
      <c r="I11" s="26">
        <v>9</v>
      </c>
      <c r="J11" s="26">
        <v>3</v>
      </c>
      <c r="K11" s="26">
        <v>6</v>
      </c>
      <c r="L11" s="26">
        <v>8</v>
      </c>
      <c r="N11" s="27">
        <v>9729683</v>
      </c>
      <c r="O11" s="1">
        <v>1</v>
      </c>
    </row>
    <row r="12" spans="1:15" ht="28.25" customHeight="1">
      <c r="A12" s="25">
        <v>7</v>
      </c>
      <c r="B12" s="25">
        <v>9</v>
      </c>
      <c r="C12" s="25">
        <v>6</v>
      </c>
      <c r="D12" s="25">
        <v>8</v>
      </c>
      <c r="E12" s="25">
        <v>9</v>
      </c>
      <c r="F12" s="26">
        <v>4</v>
      </c>
      <c r="G12" s="26">
        <v>7</v>
      </c>
      <c r="H12" s="26">
        <v>9</v>
      </c>
      <c r="I12" s="26">
        <v>5</v>
      </c>
      <c r="J12" s="26">
        <v>3</v>
      </c>
      <c r="K12" s="26">
        <v>6</v>
      </c>
      <c r="L12" s="26">
        <v>7</v>
      </c>
      <c r="N12" s="27">
        <v>84</v>
      </c>
      <c r="O12" s="1">
        <v>7</v>
      </c>
    </row>
    <row r="13" spans="1:15" ht="28.25" customHeight="1">
      <c r="N13" s="27">
        <v>3536568</v>
      </c>
      <c r="O13" s="1">
        <v>1</v>
      </c>
    </row>
    <row r="14" spans="1:15" ht="28.25" customHeight="1">
      <c r="N14" s="27">
        <v>9124</v>
      </c>
      <c r="O14" s="1">
        <v>1</v>
      </c>
    </row>
    <row r="15" spans="1:15" ht="28.25" customHeight="1">
      <c r="N15" s="27">
        <v>358</v>
      </c>
      <c r="O15" s="1">
        <v>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142"/>
  <sheetViews>
    <sheetView tabSelected="1" zoomScaleNormal="100" workbookViewId="0">
      <pane ySplit="2" topLeftCell="A139" activePane="bottomLeft" state="frozen"/>
      <selection pane="bottomLeft" activeCell="A142" sqref="A142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179</v>
      </c>
      <c r="L2" s="4" t="s">
        <v>163</v>
      </c>
      <c r="M2" s="4" t="s">
        <v>251</v>
      </c>
      <c r="N2" s="4" t="s">
        <v>178</v>
      </c>
      <c r="O2" s="4" t="s">
        <v>180</v>
      </c>
      <c r="P2" s="4" t="s">
        <v>170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</row>
    <row r="17" spans="1:16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</row>
    <row r="18" spans="1:16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IF(A18&lt;DATEVALUE("2025/11/20")+TIMEVALUE("6:00"),1,IF(B18-SUM(D18:F18)&lt;&gt;60,0,MAX(2-INT(G18*24*60/10),0)))</f>
        <v>1</v>
      </c>
      <c r="L18">
        <f>L17+K18</f>
        <v>1</v>
      </c>
      <c r="M18">
        <f t="shared" ref="M18" si="0">2+IF(A18&gt;=DATEVALUE("2025/11/30")+TIMEVALUE("6:00"),1,0)+IF(A18&gt;=DATEVALUE("2025/12/11")+TIMEVALUE("6:00"),1,0)</f>
        <v>2</v>
      </c>
      <c r="N18">
        <f t="shared" ref="N18" si="1">N17+M18*(INT(A18-6/24)-INT(A17-6/24))+O18</f>
        <v>2</v>
      </c>
      <c r="O18">
        <f>IF(A18&gt;=DATEVALUE("2025/11/8")+TIMEVALUE("6:00"),1,0)-IF(A17&gt;=DATEVALUE("2025/11/8")+TIMEVALUE("6:00"),1,0)</f>
        <v>0</v>
      </c>
      <c r="P18" t="str">
        <f>IF(L18&lt;N18,"未達成（"&amp;N18-L18&amp;"）",IF(L18=N18,"達成","前倒し（"&amp;L18-N18&amp;"）"))</f>
        <v>未達成（1）</v>
      </c>
    </row>
    <row r="19" spans="1:16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2">IF(A19&lt;DATEVALUE("2025/11/20")+TIMEVALUE("6:00"),1,IF(B19-SUM(D19:F19)&lt;&gt;60,0,MAX(2-INT(G19*24*60/10),0)))</f>
        <v>1</v>
      </c>
      <c r="L19">
        <f t="shared" ref="L19:L82" si="3">L18+K19</f>
        <v>2</v>
      </c>
      <c r="M19">
        <f t="shared" ref="M19:M82" si="4">2+IF(A19&gt;=DATEVALUE("2025/11/30")+TIMEVALUE("6:00"),1,0)+IF(A19&gt;=DATEVALUE("2025/12/11")+TIMEVALUE("6:00"),1,0)</f>
        <v>2</v>
      </c>
      <c r="N19">
        <f t="shared" ref="N19:N82" si="5">N18+M19*(INT(A19-6/24)-INT(A18-6/24))+O19</f>
        <v>2</v>
      </c>
      <c r="O19">
        <f t="shared" ref="O19:O82" si="6">IF(A19&gt;=DATEVALUE("2025/11/8")+TIMEVALUE("6:00"),1,0)-IF(A18&gt;=DATEVALUE("2025/11/8")+TIMEVALUE("6:00"),1,0)</f>
        <v>0</v>
      </c>
      <c r="P19" t="str">
        <f t="shared" ref="P19:P82" si="7">IF(L19&lt;N19,"未達成（"&amp;N19-L19&amp;"）",IF(L19=N19,"達成","前倒し（"&amp;L19-N19&amp;"）"))</f>
        <v>達成</v>
      </c>
    </row>
    <row r="20" spans="1:16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2"/>
        <v>1</v>
      </c>
      <c r="L20">
        <f t="shared" si="3"/>
        <v>3</v>
      </c>
      <c r="M20">
        <f t="shared" si="4"/>
        <v>2</v>
      </c>
      <c r="N20">
        <f t="shared" si="5"/>
        <v>4</v>
      </c>
      <c r="O20">
        <f t="shared" si="6"/>
        <v>0</v>
      </c>
      <c r="P20" t="str">
        <f t="shared" si="7"/>
        <v>未達成（1）</v>
      </c>
    </row>
    <row r="21" spans="1:16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2"/>
        <v>1</v>
      </c>
      <c r="L21">
        <f t="shared" si="3"/>
        <v>4</v>
      </c>
      <c r="M21">
        <f t="shared" si="4"/>
        <v>2</v>
      </c>
      <c r="N21">
        <f t="shared" si="5"/>
        <v>4</v>
      </c>
      <c r="O21">
        <f t="shared" si="6"/>
        <v>0</v>
      </c>
      <c r="P21" t="str">
        <f t="shared" si="7"/>
        <v>達成</v>
      </c>
    </row>
    <row r="22" spans="1:16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2"/>
        <v>1</v>
      </c>
      <c r="L22">
        <f t="shared" si="3"/>
        <v>5</v>
      </c>
      <c r="M22">
        <f t="shared" si="4"/>
        <v>2</v>
      </c>
      <c r="N22">
        <f t="shared" si="5"/>
        <v>6</v>
      </c>
      <c r="O22">
        <f t="shared" si="6"/>
        <v>0</v>
      </c>
      <c r="P22" t="str">
        <f t="shared" si="7"/>
        <v>未達成（1）</v>
      </c>
    </row>
    <row r="23" spans="1:16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2"/>
        <v>1</v>
      </c>
      <c r="L23">
        <f t="shared" si="3"/>
        <v>6</v>
      </c>
      <c r="M23">
        <f t="shared" si="4"/>
        <v>2</v>
      </c>
      <c r="N23">
        <f t="shared" si="5"/>
        <v>6</v>
      </c>
      <c r="O23">
        <f t="shared" si="6"/>
        <v>0</v>
      </c>
      <c r="P23" t="str">
        <f t="shared" si="7"/>
        <v>達成</v>
      </c>
    </row>
    <row r="24" spans="1:16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2"/>
        <v>1</v>
      </c>
      <c r="L24">
        <f t="shared" si="3"/>
        <v>7</v>
      </c>
      <c r="M24">
        <f t="shared" si="4"/>
        <v>2</v>
      </c>
      <c r="N24">
        <f t="shared" si="5"/>
        <v>8</v>
      </c>
      <c r="O24">
        <f t="shared" si="6"/>
        <v>0</v>
      </c>
      <c r="P24" t="str">
        <f t="shared" si="7"/>
        <v>未達成（1）</v>
      </c>
    </row>
    <row r="25" spans="1:16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2"/>
        <v>1</v>
      </c>
      <c r="L25">
        <f t="shared" si="3"/>
        <v>8</v>
      </c>
      <c r="M25">
        <f t="shared" si="4"/>
        <v>2</v>
      </c>
      <c r="N25">
        <f t="shared" si="5"/>
        <v>8</v>
      </c>
      <c r="O25">
        <f t="shared" si="6"/>
        <v>0</v>
      </c>
      <c r="P25" t="str">
        <f t="shared" si="7"/>
        <v>達成</v>
      </c>
    </row>
    <row r="26" spans="1:16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2"/>
        <v>1</v>
      </c>
      <c r="L26">
        <f t="shared" si="3"/>
        <v>9</v>
      </c>
      <c r="M26">
        <f t="shared" si="4"/>
        <v>2</v>
      </c>
      <c r="N26">
        <f t="shared" si="5"/>
        <v>10</v>
      </c>
      <c r="O26">
        <f t="shared" si="6"/>
        <v>0</v>
      </c>
      <c r="P26" t="str">
        <f t="shared" si="7"/>
        <v>未達成（1）</v>
      </c>
    </row>
    <row r="27" spans="1:16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2"/>
        <v>1</v>
      </c>
      <c r="L27">
        <f t="shared" si="3"/>
        <v>10</v>
      </c>
      <c r="M27">
        <f t="shared" si="4"/>
        <v>2</v>
      </c>
      <c r="N27">
        <f t="shared" si="5"/>
        <v>10</v>
      </c>
      <c r="O27">
        <f t="shared" si="6"/>
        <v>0</v>
      </c>
      <c r="P27" t="str">
        <f t="shared" si="7"/>
        <v>達成</v>
      </c>
    </row>
    <row r="28" spans="1:16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2"/>
        <v>1</v>
      </c>
      <c r="L28">
        <f t="shared" si="3"/>
        <v>11</v>
      </c>
      <c r="M28">
        <f t="shared" si="4"/>
        <v>2</v>
      </c>
      <c r="N28">
        <f t="shared" si="5"/>
        <v>13</v>
      </c>
      <c r="O28">
        <f t="shared" si="6"/>
        <v>1</v>
      </c>
      <c r="P28" t="str">
        <f t="shared" si="7"/>
        <v>未達成（2）</v>
      </c>
    </row>
    <row r="29" spans="1:16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2"/>
        <v>1</v>
      </c>
      <c r="L29">
        <f t="shared" si="3"/>
        <v>12</v>
      </c>
      <c r="M29">
        <f t="shared" si="4"/>
        <v>2</v>
      </c>
      <c r="N29">
        <f t="shared" si="5"/>
        <v>13</v>
      </c>
      <c r="O29">
        <f t="shared" si="6"/>
        <v>0</v>
      </c>
      <c r="P29" t="str">
        <f t="shared" si="7"/>
        <v>未達成（1）</v>
      </c>
    </row>
    <row r="30" spans="1:16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2"/>
        <v>1</v>
      </c>
      <c r="L30">
        <f t="shared" si="3"/>
        <v>13</v>
      </c>
      <c r="M30">
        <f t="shared" si="4"/>
        <v>2</v>
      </c>
      <c r="N30">
        <f t="shared" si="5"/>
        <v>13</v>
      </c>
      <c r="O30">
        <f t="shared" si="6"/>
        <v>0</v>
      </c>
      <c r="P30" t="str">
        <f t="shared" si="7"/>
        <v>達成</v>
      </c>
    </row>
    <row r="31" spans="1:16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2"/>
        <v>1</v>
      </c>
      <c r="L31">
        <f t="shared" si="3"/>
        <v>14</v>
      </c>
      <c r="M31">
        <f t="shared" si="4"/>
        <v>2</v>
      </c>
      <c r="N31">
        <f t="shared" si="5"/>
        <v>15</v>
      </c>
      <c r="O31">
        <f t="shared" si="6"/>
        <v>0</v>
      </c>
      <c r="P31" t="str">
        <f t="shared" si="7"/>
        <v>未達成（1）</v>
      </c>
    </row>
    <row r="32" spans="1:16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2"/>
        <v>1</v>
      </c>
      <c r="L32">
        <f t="shared" si="3"/>
        <v>15</v>
      </c>
      <c r="M32">
        <f t="shared" si="4"/>
        <v>2</v>
      </c>
      <c r="N32">
        <f t="shared" si="5"/>
        <v>15</v>
      </c>
      <c r="O32">
        <f t="shared" si="6"/>
        <v>0</v>
      </c>
      <c r="P32" t="str">
        <f t="shared" si="7"/>
        <v>達成</v>
      </c>
    </row>
    <row r="33" spans="1:16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2"/>
        <v>1</v>
      </c>
      <c r="L33">
        <f t="shared" si="3"/>
        <v>16</v>
      </c>
      <c r="M33">
        <f t="shared" si="4"/>
        <v>2</v>
      </c>
      <c r="N33">
        <f t="shared" si="5"/>
        <v>17</v>
      </c>
      <c r="O33">
        <f t="shared" si="6"/>
        <v>0</v>
      </c>
      <c r="P33" t="str">
        <f t="shared" si="7"/>
        <v>未達成（1）</v>
      </c>
    </row>
    <row r="34" spans="1:16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2"/>
        <v>1</v>
      </c>
      <c r="L34">
        <f t="shared" si="3"/>
        <v>17</v>
      </c>
      <c r="M34">
        <f t="shared" si="4"/>
        <v>2</v>
      </c>
      <c r="N34">
        <f t="shared" si="5"/>
        <v>17</v>
      </c>
      <c r="O34">
        <f t="shared" si="6"/>
        <v>0</v>
      </c>
      <c r="P34" t="str">
        <f t="shared" si="7"/>
        <v>達成</v>
      </c>
    </row>
    <row r="35" spans="1:16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2"/>
        <v>1</v>
      </c>
      <c r="L35">
        <f t="shared" si="3"/>
        <v>18</v>
      </c>
      <c r="M35">
        <f t="shared" si="4"/>
        <v>2</v>
      </c>
      <c r="N35">
        <f t="shared" si="5"/>
        <v>19</v>
      </c>
      <c r="O35">
        <f t="shared" si="6"/>
        <v>0</v>
      </c>
      <c r="P35" t="str">
        <f t="shared" si="7"/>
        <v>未達成（1）</v>
      </c>
    </row>
    <row r="36" spans="1:16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2"/>
        <v>1</v>
      </c>
      <c r="L36">
        <f t="shared" si="3"/>
        <v>19</v>
      </c>
      <c r="M36">
        <f t="shared" si="4"/>
        <v>2</v>
      </c>
      <c r="N36">
        <f t="shared" si="5"/>
        <v>19</v>
      </c>
      <c r="O36">
        <f t="shared" si="6"/>
        <v>0</v>
      </c>
      <c r="P36" t="str">
        <f t="shared" si="7"/>
        <v>達成</v>
      </c>
    </row>
    <row r="37" spans="1:16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2"/>
        <v>1</v>
      </c>
      <c r="L37">
        <f t="shared" si="3"/>
        <v>20</v>
      </c>
      <c r="M37">
        <f t="shared" si="4"/>
        <v>2</v>
      </c>
      <c r="N37">
        <f t="shared" si="5"/>
        <v>21</v>
      </c>
      <c r="O37">
        <f t="shared" si="6"/>
        <v>0</v>
      </c>
      <c r="P37" t="str">
        <f t="shared" si="7"/>
        <v>未達成（1）</v>
      </c>
    </row>
    <row r="38" spans="1:16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2"/>
        <v>1</v>
      </c>
      <c r="L38">
        <f t="shared" si="3"/>
        <v>21</v>
      </c>
      <c r="M38">
        <f t="shared" si="4"/>
        <v>2</v>
      </c>
      <c r="N38">
        <f t="shared" si="5"/>
        <v>21</v>
      </c>
      <c r="O38">
        <f t="shared" si="6"/>
        <v>0</v>
      </c>
      <c r="P38" t="str">
        <f t="shared" si="7"/>
        <v>達成</v>
      </c>
    </row>
    <row r="39" spans="1:16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2"/>
        <v>1</v>
      </c>
      <c r="L39">
        <f t="shared" si="3"/>
        <v>22</v>
      </c>
      <c r="M39">
        <f t="shared" si="4"/>
        <v>2</v>
      </c>
      <c r="N39">
        <f t="shared" si="5"/>
        <v>25</v>
      </c>
      <c r="O39">
        <f t="shared" si="6"/>
        <v>0</v>
      </c>
      <c r="P39" t="str">
        <f t="shared" si="7"/>
        <v>未達成（3）</v>
      </c>
    </row>
    <row r="40" spans="1:16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2"/>
        <v>1</v>
      </c>
      <c r="L40">
        <f t="shared" si="3"/>
        <v>23</v>
      </c>
      <c r="M40">
        <f t="shared" si="4"/>
        <v>2</v>
      </c>
      <c r="N40">
        <f t="shared" si="5"/>
        <v>25</v>
      </c>
      <c r="O40">
        <f t="shared" si="6"/>
        <v>0</v>
      </c>
      <c r="P40" t="str">
        <f t="shared" si="7"/>
        <v>未達成（2）</v>
      </c>
    </row>
    <row r="41" spans="1:16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2"/>
        <v>1</v>
      </c>
      <c r="L41">
        <f t="shared" si="3"/>
        <v>24</v>
      </c>
      <c r="M41">
        <f t="shared" si="4"/>
        <v>2</v>
      </c>
      <c r="N41">
        <f t="shared" si="5"/>
        <v>27</v>
      </c>
      <c r="O41">
        <f t="shared" si="6"/>
        <v>0</v>
      </c>
      <c r="P41" t="str">
        <f t="shared" si="7"/>
        <v>未達成（3）</v>
      </c>
    </row>
    <row r="42" spans="1:16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2"/>
        <v>1</v>
      </c>
      <c r="L42">
        <f t="shared" si="3"/>
        <v>25</v>
      </c>
      <c r="M42">
        <f t="shared" si="4"/>
        <v>2</v>
      </c>
      <c r="N42">
        <f t="shared" si="5"/>
        <v>27</v>
      </c>
      <c r="O42">
        <f t="shared" si="6"/>
        <v>0</v>
      </c>
      <c r="P42" t="str">
        <f t="shared" si="7"/>
        <v>未達成（2）</v>
      </c>
    </row>
    <row r="43" spans="1:16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2"/>
        <v>1</v>
      </c>
      <c r="L43">
        <f t="shared" si="3"/>
        <v>26</v>
      </c>
      <c r="M43">
        <f t="shared" si="4"/>
        <v>2</v>
      </c>
      <c r="N43">
        <f t="shared" si="5"/>
        <v>29</v>
      </c>
      <c r="O43">
        <f t="shared" si="6"/>
        <v>0</v>
      </c>
      <c r="P43" t="str">
        <f t="shared" si="7"/>
        <v>未達成（3）</v>
      </c>
    </row>
    <row r="44" spans="1:16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2"/>
        <v>1</v>
      </c>
      <c r="L44">
        <f t="shared" si="3"/>
        <v>27</v>
      </c>
      <c r="M44">
        <f t="shared" si="4"/>
        <v>2</v>
      </c>
      <c r="N44">
        <f t="shared" si="5"/>
        <v>29</v>
      </c>
      <c r="O44">
        <f t="shared" si="6"/>
        <v>0</v>
      </c>
      <c r="P44" t="str">
        <f t="shared" si="7"/>
        <v>未達成（2）</v>
      </c>
    </row>
    <row r="45" spans="1:16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2"/>
        <v>1</v>
      </c>
      <c r="L45">
        <f t="shared" si="3"/>
        <v>28</v>
      </c>
      <c r="M45">
        <f t="shared" si="4"/>
        <v>2</v>
      </c>
      <c r="N45">
        <f t="shared" si="5"/>
        <v>29</v>
      </c>
      <c r="O45">
        <f t="shared" si="6"/>
        <v>0</v>
      </c>
      <c r="P45" t="str">
        <f t="shared" si="7"/>
        <v>未達成（1）</v>
      </c>
    </row>
    <row r="46" spans="1:16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2"/>
        <v>1</v>
      </c>
      <c r="L46">
        <f t="shared" si="3"/>
        <v>29</v>
      </c>
      <c r="M46">
        <f t="shared" si="4"/>
        <v>2</v>
      </c>
      <c r="N46">
        <f t="shared" si="5"/>
        <v>29</v>
      </c>
      <c r="O46">
        <f t="shared" si="6"/>
        <v>0</v>
      </c>
      <c r="P46" t="str">
        <f t="shared" si="7"/>
        <v>達成</v>
      </c>
    </row>
    <row r="47" spans="1:16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2"/>
        <v>1</v>
      </c>
      <c r="L47">
        <f t="shared" si="3"/>
        <v>30</v>
      </c>
      <c r="M47">
        <f t="shared" si="4"/>
        <v>2</v>
      </c>
      <c r="N47">
        <f t="shared" si="5"/>
        <v>29</v>
      </c>
      <c r="O47">
        <f t="shared" si="6"/>
        <v>0</v>
      </c>
      <c r="P47" t="str">
        <f t="shared" si="7"/>
        <v>前倒し（1）</v>
      </c>
    </row>
    <row r="48" spans="1:16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2"/>
        <v>1</v>
      </c>
      <c r="L48">
        <f t="shared" si="3"/>
        <v>31</v>
      </c>
      <c r="M48">
        <f t="shared" si="4"/>
        <v>2</v>
      </c>
      <c r="N48">
        <f t="shared" si="5"/>
        <v>29</v>
      </c>
      <c r="O48">
        <f t="shared" si="6"/>
        <v>0</v>
      </c>
      <c r="P48" t="str">
        <f t="shared" si="7"/>
        <v>前倒し（2）</v>
      </c>
    </row>
    <row r="49" spans="1:16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2"/>
        <v>1</v>
      </c>
      <c r="L49">
        <f t="shared" si="3"/>
        <v>32</v>
      </c>
      <c r="M49">
        <f t="shared" si="4"/>
        <v>2</v>
      </c>
      <c r="N49">
        <f t="shared" si="5"/>
        <v>31</v>
      </c>
      <c r="O49">
        <f t="shared" si="6"/>
        <v>0</v>
      </c>
      <c r="P49" t="str">
        <f t="shared" si="7"/>
        <v>前倒し（1）</v>
      </c>
    </row>
    <row r="50" spans="1:16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2"/>
        <v>1</v>
      </c>
      <c r="L50">
        <f t="shared" si="3"/>
        <v>33</v>
      </c>
      <c r="M50">
        <f t="shared" si="4"/>
        <v>2</v>
      </c>
      <c r="N50">
        <f t="shared" si="5"/>
        <v>31</v>
      </c>
      <c r="O50">
        <f t="shared" si="6"/>
        <v>0</v>
      </c>
      <c r="P50" t="str">
        <f t="shared" si="7"/>
        <v>前倒し（2）</v>
      </c>
    </row>
    <row r="51" spans="1:16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2"/>
        <v>1</v>
      </c>
      <c r="L51">
        <f t="shared" si="3"/>
        <v>34</v>
      </c>
      <c r="M51">
        <f t="shared" si="4"/>
        <v>2</v>
      </c>
      <c r="N51">
        <f t="shared" si="5"/>
        <v>31</v>
      </c>
      <c r="O51">
        <f t="shared" si="6"/>
        <v>0</v>
      </c>
      <c r="P51" t="str">
        <f t="shared" si="7"/>
        <v>前倒し（3）</v>
      </c>
    </row>
    <row r="52" spans="1:16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2"/>
        <v>1</v>
      </c>
      <c r="L52">
        <f t="shared" si="3"/>
        <v>35</v>
      </c>
      <c r="M52">
        <f t="shared" si="4"/>
        <v>2</v>
      </c>
      <c r="N52">
        <f t="shared" si="5"/>
        <v>31</v>
      </c>
      <c r="O52">
        <f t="shared" si="6"/>
        <v>0</v>
      </c>
      <c r="P52" t="str">
        <f t="shared" si="7"/>
        <v>前倒し（4）</v>
      </c>
    </row>
    <row r="53" spans="1:16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2"/>
        <v>1</v>
      </c>
      <c r="L53">
        <f t="shared" si="3"/>
        <v>36</v>
      </c>
      <c r="M53">
        <f t="shared" si="4"/>
        <v>2</v>
      </c>
      <c r="N53">
        <f t="shared" si="5"/>
        <v>35</v>
      </c>
      <c r="O53">
        <f t="shared" si="6"/>
        <v>0</v>
      </c>
      <c r="P53" t="str">
        <f t="shared" si="7"/>
        <v>前倒し（1）</v>
      </c>
    </row>
    <row r="54" spans="1:16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2"/>
        <v>1</v>
      </c>
      <c r="L54">
        <f t="shared" si="3"/>
        <v>37</v>
      </c>
      <c r="M54">
        <f t="shared" si="4"/>
        <v>2</v>
      </c>
      <c r="N54">
        <f t="shared" si="5"/>
        <v>35</v>
      </c>
      <c r="O54">
        <f t="shared" si="6"/>
        <v>0</v>
      </c>
      <c r="P54" t="str">
        <f t="shared" si="7"/>
        <v>前倒し（2）</v>
      </c>
    </row>
    <row r="55" spans="1:16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2"/>
        <v>1</v>
      </c>
      <c r="L55">
        <f t="shared" si="3"/>
        <v>38</v>
      </c>
      <c r="M55">
        <f t="shared" si="4"/>
        <v>2</v>
      </c>
      <c r="N55">
        <f t="shared" si="5"/>
        <v>37</v>
      </c>
      <c r="O55">
        <f t="shared" si="6"/>
        <v>0</v>
      </c>
      <c r="P55" t="str">
        <f t="shared" si="7"/>
        <v>前倒し（1）</v>
      </c>
    </row>
    <row r="56" spans="1:16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2"/>
        <v>0</v>
      </c>
      <c r="L56">
        <f t="shared" si="3"/>
        <v>38</v>
      </c>
      <c r="M56">
        <f t="shared" si="4"/>
        <v>2</v>
      </c>
      <c r="N56">
        <f t="shared" si="5"/>
        <v>37</v>
      </c>
      <c r="O56">
        <f t="shared" si="6"/>
        <v>0</v>
      </c>
      <c r="P56" t="str">
        <f t="shared" si="7"/>
        <v>前倒し（1）</v>
      </c>
    </row>
    <row r="57" spans="1:16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2"/>
        <v>1</v>
      </c>
      <c r="L57">
        <f t="shared" si="3"/>
        <v>39</v>
      </c>
      <c r="M57">
        <f t="shared" si="4"/>
        <v>2</v>
      </c>
      <c r="N57">
        <f t="shared" si="5"/>
        <v>39</v>
      </c>
      <c r="O57">
        <f t="shared" si="6"/>
        <v>0</v>
      </c>
      <c r="P57" t="str">
        <f t="shared" si="7"/>
        <v>達成</v>
      </c>
    </row>
    <row r="58" spans="1:16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2"/>
        <v>1</v>
      </c>
      <c r="L58">
        <f t="shared" si="3"/>
        <v>40</v>
      </c>
      <c r="M58">
        <f t="shared" si="4"/>
        <v>2</v>
      </c>
      <c r="N58">
        <f t="shared" si="5"/>
        <v>41</v>
      </c>
      <c r="O58">
        <f t="shared" si="6"/>
        <v>0</v>
      </c>
      <c r="P58" t="str">
        <f t="shared" si="7"/>
        <v>未達成（1）</v>
      </c>
    </row>
    <row r="59" spans="1:16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2"/>
        <v>1</v>
      </c>
      <c r="L59">
        <f t="shared" si="3"/>
        <v>41</v>
      </c>
      <c r="M59">
        <f t="shared" si="4"/>
        <v>2</v>
      </c>
      <c r="N59">
        <f t="shared" si="5"/>
        <v>41</v>
      </c>
      <c r="O59">
        <f t="shared" si="6"/>
        <v>0</v>
      </c>
      <c r="P59" t="str">
        <f t="shared" si="7"/>
        <v>達成</v>
      </c>
    </row>
    <row r="60" spans="1:16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2"/>
        <v>1</v>
      </c>
      <c r="L60">
        <f t="shared" si="3"/>
        <v>42</v>
      </c>
      <c r="M60">
        <f t="shared" si="4"/>
        <v>2</v>
      </c>
      <c r="N60">
        <f t="shared" si="5"/>
        <v>45</v>
      </c>
      <c r="O60">
        <f t="shared" si="6"/>
        <v>0</v>
      </c>
      <c r="P60" t="str">
        <f t="shared" si="7"/>
        <v>未達成（3）</v>
      </c>
    </row>
    <row r="61" spans="1:16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2"/>
        <v>0</v>
      </c>
      <c r="L61">
        <f t="shared" si="3"/>
        <v>42</v>
      </c>
      <c r="M61">
        <f t="shared" si="4"/>
        <v>2</v>
      </c>
      <c r="N61">
        <f t="shared" si="5"/>
        <v>45</v>
      </c>
      <c r="O61">
        <f t="shared" si="6"/>
        <v>0</v>
      </c>
      <c r="P61" t="str">
        <f t="shared" si="7"/>
        <v>未達成（3）</v>
      </c>
    </row>
    <row r="62" spans="1:16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2"/>
        <v>0</v>
      </c>
      <c r="L62">
        <f t="shared" si="3"/>
        <v>42</v>
      </c>
      <c r="M62">
        <f t="shared" si="4"/>
        <v>2</v>
      </c>
      <c r="N62">
        <f t="shared" si="5"/>
        <v>45</v>
      </c>
      <c r="O62">
        <f t="shared" si="6"/>
        <v>0</v>
      </c>
      <c r="P62" t="str">
        <f t="shared" si="7"/>
        <v>未達成（3）</v>
      </c>
    </row>
    <row r="63" spans="1:16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2"/>
        <v>1</v>
      </c>
      <c r="L63">
        <f t="shared" si="3"/>
        <v>43</v>
      </c>
      <c r="M63">
        <f t="shared" si="4"/>
        <v>2</v>
      </c>
      <c r="N63">
        <f t="shared" si="5"/>
        <v>45</v>
      </c>
      <c r="O63">
        <f t="shared" si="6"/>
        <v>0</v>
      </c>
      <c r="P63" t="str">
        <f t="shared" si="7"/>
        <v>未達成（2）</v>
      </c>
    </row>
    <row r="64" spans="1:16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181</v>
      </c>
      <c r="I64" t="s">
        <v>182</v>
      </c>
      <c r="J64">
        <v>0</v>
      </c>
      <c r="K64">
        <f t="shared" si="2"/>
        <v>2</v>
      </c>
      <c r="L64">
        <f t="shared" si="3"/>
        <v>45</v>
      </c>
      <c r="M64">
        <f t="shared" si="4"/>
        <v>2</v>
      </c>
      <c r="N64">
        <f t="shared" si="5"/>
        <v>45</v>
      </c>
      <c r="O64">
        <f t="shared" si="6"/>
        <v>0</v>
      </c>
      <c r="P64" t="str">
        <f t="shared" si="7"/>
        <v>達成</v>
      </c>
    </row>
    <row r="65" spans="1:16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183</v>
      </c>
      <c r="I65" t="s">
        <v>184</v>
      </c>
      <c r="J65">
        <v>0</v>
      </c>
      <c r="K65">
        <f t="shared" si="2"/>
        <v>2</v>
      </c>
      <c r="L65">
        <f t="shared" si="3"/>
        <v>47</v>
      </c>
      <c r="M65">
        <f t="shared" si="4"/>
        <v>2</v>
      </c>
      <c r="N65">
        <f t="shared" si="5"/>
        <v>47</v>
      </c>
      <c r="O65">
        <f t="shared" si="6"/>
        <v>0</v>
      </c>
      <c r="P65" t="str">
        <f t="shared" si="7"/>
        <v>達成</v>
      </c>
    </row>
    <row r="66" spans="1:16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185</v>
      </c>
      <c r="I66" t="s">
        <v>186</v>
      </c>
      <c r="J66">
        <v>0</v>
      </c>
      <c r="K66">
        <f t="shared" si="2"/>
        <v>0</v>
      </c>
      <c r="L66">
        <f t="shared" si="3"/>
        <v>47</v>
      </c>
      <c r="M66">
        <f t="shared" si="4"/>
        <v>2</v>
      </c>
      <c r="N66">
        <f t="shared" si="5"/>
        <v>49</v>
      </c>
      <c r="O66">
        <f t="shared" si="6"/>
        <v>0</v>
      </c>
      <c r="P66" t="str">
        <f t="shared" si="7"/>
        <v>未達成（2）</v>
      </c>
    </row>
    <row r="67" spans="1:16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187</v>
      </c>
      <c r="I67" t="s">
        <v>188</v>
      </c>
      <c r="J67">
        <v>0</v>
      </c>
      <c r="K67">
        <f t="shared" si="2"/>
        <v>2</v>
      </c>
      <c r="L67">
        <f t="shared" si="3"/>
        <v>49</v>
      </c>
      <c r="M67">
        <f t="shared" si="4"/>
        <v>2</v>
      </c>
      <c r="N67">
        <f t="shared" si="5"/>
        <v>49</v>
      </c>
      <c r="O67">
        <f t="shared" si="6"/>
        <v>0</v>
      </c>
      <c r="P67" t="str">
        <f t="shared" si="7"/>
        <v>達成</v>
      </c>
    </row>
    <row r="68" spans="1:16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189</v>
      </c>
      <c r="I68" t="s">
        <v>190</v>
      </c>
      <c r="J68">
        <v>0</v>
      </c>
      <c r="K68">
        <f t="shared" si="2"/>
        <v>1</v>
      </c>
      <c r="L68">
        <f t="shared" si="3"/>
        <v>50</v>
      </c>
      <c r="M68">
        <f t="shared" si="4"/>
        <v>2</v>
      </c>
      <c r="N68">
        <f t="shared" si="5"/>
        <v>51</v>
      </c>
      <c r="O68">
        <f t="shared" si="6"/>
        <v>0</v>
      </c>
      <c r="P68" t="str">
        <f t="shared" si="7"/>
        <v>未達成（1）</v>
      </c>
    </row>
    <row r="69" spans="1:16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191</v>
      </c>
      <c r="I69" t="s">
        <v>192</v>
      </c>
      <c r="J69">
        <v>0</v>
      </c>
      <c r="K69">
        <f t="shared" si="2"/>
        <v>0</v>
      </c>
      <c r="L69">
        <f t="shared" si="3"/>
        <v>50</v>
      </c>
      <c r="M69">
        <f t="shared" si="4"/>
        <v>2</v>
      </c>
      <c r="N69">
        <f t="shared" si="5"/>
        <v>51</v>
      </c>
      <c r="O69">
        <f t="shared" si="6"/>
        <v>0</v>
      </c>
      <c r="P69" t="str">
        <f t="shared" si="7"/>
        <v>未達成（1）</v>
      </c>
    </row>
    <row r="70" spans="1:16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193</v>
      </c>
      <c r="I70" t="s">
        <v>194</v>
      </c>
      <c r="J70">
        <v>0</v>
      </c>
      <c r="K70">
        <f t="shared" si="2"/>
        <v>1</v>
      </c>
      <c r="L70">
        <f t="shared" si="3"/>
        <v>51</v>
      </c>
      <c r="M70">
        <f t="shared" si="4"/>
        <v>2</v>
      </c>
      <c r="N70">
        <f t="shared" si="5"/>
        <v>51</v>
      </c>
      <c r="O70">
        <f t="shared" si="6"/>
        <v>0</v>
      </c>
      <c r="P70" t="str">
        <f t="shared" si="7"/>
        <v>達成</v>
      </c>
    </row>
    <row r="71" spans="1:16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195</v>
      </c>
      <c r="I71" t="s">
        <v>196</v>
      </c>
      <c r="J71">
        <v>0</v>
      </c>
      <c r="K71">
        <f t="shared" si="2"/>
        <v>0</v>
      </c>
      <c r="L71">
        <f t="shared" si="3"/>
        <v>51</v>
      </c>
      <c r="M71">
        <f t="shared" si="4"/>
        <v>2</v>
      </c>
      <c r="N71">
        <f t="shared" si="5"/>
        <v>53</v>
      </c>
      <c r="O71">
        <f t="shared" si="6"/>
        <v>0</v>
      </c>
      <c r="P71" t="str">
        <f t="shared" si="7"/>
        <v>未達成（2）</v>
      </c>
    </row>
    <row r="72" spans="1:16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197</v>
      </c>
      <c r="I72" t="s">
        <v>198</v>
      </c>
      <c r="J72">
        <v>0</v>
      </c>
      <c r="K72">
        <f t="shared" si="2"/>
        <v>1</v>
      </c>
      <c r="L72">
        <f t="shared" si="3"/>
        <v>52</v>
      </c>
      <c r="M72">
        <f t="shared" si="4"/>
        <v>2</v>
      </c>
      <c r="N72">
        <f t="shared" si="5"/>
        <v>53</v>
      </c>
      <c r="O72">
        <f t="shared" si="6"/>
        <v>0</v>
      </c>
      <c r="P72" t="str">
        <f t="shared" si="7"/>
        <v>未達成（1）</v>
      </c>
    </row>
    <row r="73" spans="1:16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199</v>
      </c>
      <c r="I73" t="s">
        <v>200</v>
      </c>
      <c r="J73">
        <v>0</v>
      </c>
      <c r="K73">
        <f t="shared" si="2"/>
        <v>1</v>
      </c>
      <c r="L73">
        <f t="shared" si="3"/>
        <v>53</v>
      </c>
      <c r="M73">
        <f t="shared" si="4"/>
        <v>2</v>
      </c>
      <c r="N73">
        <f t="shared" si="5"/>
        <v>53</v>
      </c>
      <c r="O73">
        <f t="shared" si="6"/>
        <v>0</v>
      </c>
      <c r="P73" t="str">
        <f t="shared" si="7"/>
        <v>達成</v>
      </c>
    </row>
    <row r="74" spans="1:16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201</v>
      </c>
      <c r="I74" t="s">
        <v>202</v>
      </c>
      <c r="J74">
        <v>0</v>
      </c>
      <c r="K74">
        <f t="shared" si="2"/>
        <v>1</v>
      </c>
      <c r="L74">
        <f t="shared" si="3"/>
        <v>54</v>
      </c>
      <c r="M74">
        <f t="shared" si="4"/>
        <v>2</v>
      </c>
      <c r="N74">
        <f t="shared" si="5"/>
        <v>55</v>
      </c>
      <c r="O74">
        <f t="shared" si="6"/>
        <v>0</v>
      </c>
      <c r="P74" t="str">
        <f t="shared" si="7"/>
        <v>未達成（1）</v>
      </c>
    </row>
    <row r="75" spans="1:16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203</v>
      </c>
      <c r="I75" t="s">
        <v>204</v>
      </c>
      <c r="J75">
        <v>0</v>
      </c>
      <c r="K75">
        <f t="shared" si="2"/>
        <v>1</v>
      </c>
      <c r="L75">
        <f t="shared" si="3"/>
        <v>55</v>
      </c>
      <c r="M75">
        <f t="shared" si="4"/>
        <v>2</v>
      </c>
      <c r="N75">
        <f t="shared" si="5"/>
        <v>55</v>
      </c>
      <c r="O75">
        <f t="shared" si="6"/>
        <v>0</v>
      </c>
      <c r="P75" t="str">
        <f t="shared" si="7"/>
        <v>達成</v>
      </c>
    </row>
    <row r="76" spans="1:16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205</v>
      </c>
      <c r="I76" t="s">
        <v>206</v>
      </c>
      <c r="J76">
        <v>0</v>
      </c>
      <c r="K76">
        <f t="shared" si="2"/>
        <v>2</v>
      </c>
      <c r="L76">
        <f t="shared" si="3"/>
        <v>57</v>
      </c>
      <c r="M76">
        <f t="shared" si="4"/>
        <v>3</v>
      </c>
      <c r="N76">
        <f t="shared" si="5"/>
        <v>58</v>
      </c>
      <c r="O76">
        <f t="shared" si="6"/>
        <v>0</v>
      </c>
      <c r="P76" t="str">
        <f t="shared" si="7"/>
        <v>未達成（1）</v>
      </c>
    </row>
    <row r="77" spans="1:16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207</v>
      </c>
      <c r="I77" t="s">
        <v>208</v>
      </c>
      <c r="J77">
        <v>0</v>
      </c>
      <c r="K77">
        <f t="shared" si="2"/>
        <v>2</v>
      </c>
      <c r="L77">
        <f t="shared" si="3"/>
        <v>59</v>
      </c>
      <c r="M77">
        <f t="shared" si="4"/>
        <v>3</v>
      </c>
      <c r="N77">
        <f t="shared" si="5"/>
        <v>58</v>
      </c>
      <c r="O77">
        <f t="shared" si="6"/>
        <v>0</v>
      </c>
      <c r="P77" t="str">
        <f t="shared" si="7"/>
        <v>前倒し（1）</v>
      </c>
    </row>
    <row r="78" spans="1:16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209</v>
      </c>
      <c r="I78" t="s">
        <v>210</v>
      </c>
      <c r="J78">
        <v>0</v>
      </c>
      <c r="K78">
        <f t="shared" si="2"/>
        <v>1</v>
      </c>
      <c r="L78">
        <f t="shared" si="3"/>
        <v>60</v>
      </c>
      <c r="M78">
        <f t="shared" si="4"/>
        <v>3</v>
      </c>
      <c r="N78">
        <f t="shared" si="5"/>
        <v>61</v>
      </c>
      <c r="O78">
        <f t="shared" si="6"/>
        <v>0</v>
      </c>
      <c r="P78" t="str">
        <f t="shared" si="7"/>
        <v>未達成（1）</v>
      </c>
    </row>
    <row r="79" spans="1:16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211</v>
      </c>
      <c r="I79" t="s">
        <v>212</v>
      </c>
      <c r="J79">
        <v>0</v>
      </c>
      <c r="K79">
        <f t="shared" si="2"/>
        <v>2</v>
      </c>
      <c r="L79">
        <f t="shared" si="3"/>
        <v>62</v>
      </c>
      <c r="M79">
        <f t="shared" si="4"/>
        <v>3</v>
      </c>
      <c r="N79">
        <f t="shared" si="5"/>
        <v>61</v>
      </c>
      <c r="O79">
        <f t="shared" si="6"/>
        <v>0</v>
      </c>
      <c r="P79" t="str">
        <f t="shared" si="7"/>
        <v>前倒し（1）</v>
      </c>
    </row>
    <row r="80" spans="1:16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213</v>
      </c>
      <c r="I80" t="s">
        <v>214</v>
      </c>
      <c r="J80">
        <v>0</v>
      </c>
      <c r="K80">
        <f t="shared" si="2"/>
        <v>0</v>
      </c>
      <c r="L80">
        <f t="shared" si="3"/>
        <v>62</v>
      </c>
      <c r="M80">
        <f t="shared" si="4"/>
        <v>3</v>
      </c>
      <c r="N80">
        <f t="shared" si="5"/>
        <v>64</v>
      </c>
      <c r="O80">
        <f t="shared" si="6"/>
        <v>0</v>
      </c>
      <c r="P80" t="str">
        <f t="shared" si="7"/>
        <v>未達成（2）</v>
      </c>
    </row>
    <row r="81" spans="1:16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217</v>
      </c>
      <c r="I81" t="s">
        <v>218</v>
      </c>
      <c r="J81">
        <v>0</v>
      </c>
      <c r="K81">
        <f t="shared" si="2"/>
        <v>2</v>
      </c>
      <c r="L81">
        <f t="shared" si="3"/>
        <v>64</v>
      </c>
      <c r="M81">
        <f t="shared" si="4"/>
        <v>3</v>
      </c>
      <c r="N81">
        <f t="shared" si="5"/>
        <v>64</v>
      </c>
      <c r="O81">
        <f t="shared" si="6"/>
        <v>0</v>
      </c>
      <c r="P81" t="str">
        <f t="shared" si="7"/>
        <v>達成</v>
      </c>
    </row>
    <row r="82" spans="1:16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215</v>
      </c>
      <c r="I82" t="s">
        <v>216</v>
      </c>
      <c r="J82">
        <v>0</v>
      </c>
      <c r="K82">
        <f t="shared" si="2"/>
        <v>1</v>
      </c>
      <c r="L82">
        <f t="shared" si="3"/>
        <v>65</v>
      </c>
      <c r="M82">
        <f t="shared" si="4"/>
        <v>3</v>
      </c>
      <c r="N82">
        <f t="shared" si="5"/>
        <v>67</v>
      </c>
      <c r="O82">
        <f t="shared" si="6"/>
        <v>0</v>
      </c>
      <c r="P82" t="str">
        <f t="shared" si="7"/>
        <v>未達成（2）</v>
      </c>
    </row>
    <row r="83" spans="1:16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219</v>
      </c>
      <c r="I83" t="s">
        <v>220</v>
      </c>
      <c r="J83">
        <v>0</v>
      </c>
      <c r="K83">
        <f t="shared" ref="K83:K98" si="8">IF(A83&lt;DATEVALUE("2025/11/20")+TIMEVALUE("6:00"),1,IF(B83-SUM(D83:F83)&lt;&gt;60,0,MAX(2-INT(G83*24*60/10),0)))</f>
        <v>1</v>
      </c>
      <c r="L83">
        <f t="shared" ref="L83:L98" si="9">L82+K83</f>
        <v>66</v>
      </c>
      <c r="M83">
        <f t="shared" ref="M83:M98" si="10">2+IF(A83&gt;=DATEVALUE("2025/11/30")+TIMEVALUE("6:00"),1,0)+IF(A83&gt;=DATEVALUE("2025/12/11")+TIMEVALUE("6:00"),1,0)</f>
        <v>3</v>
      </c>
      <c r="N83">
        <f t="shared" ref="N83:N98" si="11">N82+M83*(INT(A83-6/24)-INT(A82-6/24))+O83</f>
        <v>67</v>
      </c>
      <c r="O83">
        <f t="shared" ref="O83:O98" si="12">IF(A83&gt;=DATEVALUE("2025/11/8")+TIMEVALUE("6:00"),1,0)-IF(A82&gt;=DATEVALUE("2025/11/8")+TIMEVALUE("6:00"),1,0)</f>
        <v>0</v>
      </c>
      <c r="P83" t="str">
        <f t="shared" ref="P83:P98" si="13">IF(L83&lt;N83,"未達成（"&amp;N83-L83&amp;"）",IF(L83=N83,"達成","前倒し（"&amp;L83-N83&amp;"）"))</f>
        <v>未達成（1）</v>
      </c>
    </row>
    <row r="84" spans="1:16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221</v>
      </c>
      <c r="I84" t="s">
        <v>222</v>
      </c>
      <c r="J84">
        <v>0</v>
      </c>
      <c r="K84">
        <f t="shared" si="8"/>
        <v>1</v>
      </c>
      <c r="L84">
        <f t="shared" si="9"/>
        <v>67</v>
      </c>
      <c r="M84">
        <f t="shared" si="10"/>
        <v>3</v>
      </c>
      <c r="N84">
        <f t="shared" si="11"/>
        <v>67</v>
      </c>
      <c r="O84">
        <f t="shared" si="12"/>
        <v>0</v>
      </c>
      <c r="P84" t="str">
        <f t="shared" si="13"/>
        <v>達成</v>
      </c>
    </row>
    <row r="85" spans="1:16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223</v>
      </c>
      <c r="I85" t="s">
        <v>224</v>
      </c>
      <c r="J85">
        <v>0</v>
      </c>
      <c r="K85">
        <f t="shared" si="8"/>
        <v>1</v>
      </c>
      <c r="L85">
        <f t="shared" si="9"/>
        <v>68</v>
      </c>
      <c r="M85">
        <f t="shared" si="10"/>
        <v>3</v>
      </c>
      <c r="N85">
        <f t="shared" si="11"/>
        <v>70</v>
      </c>
      <c r="O85">
        <f t="shared" si="12"/>
        <v>0</v>
      </c>
      <c r="P85" t="str">
        <f t="shared" si="13"/>
        <v>未達成（2）</v>
      </c>
    </row>
    <row r="86" spans="1:16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225</v>
      </c>
      <c r="I86" t="s">
        <v>226</v>
      </c>
      <c r="J86">
        <v>0</v>
      </c>
      <c r="K86">
        <f t="shared" si="8"/>
        <v>1</v>
      </c>
      <c r="L86">
        <f t="shared" si="9"/>
        <v>69</v>
      </c>
      <c r="M86">
        <f t="shared" si="10"/>
        <v>3</v>
      </c>
      <c r="N86">
        <f t="shared" si="11"/>
        <v>70</v>
      </c>
      <c r="O86">
        <f t="shared" si="12"/>
        <v>0</v>
      </c>
      <c r="P86" t="str">
        <f t="shared" si="13"/>
        <v>未達成（1）</v>
      </c>
    </row>
    <row r="87" spans="1:16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227</v>
      </c>
      <c r="I87" t="s">
        <v>228</v>
      </c>
      <c r="J87">
        <v>0</v>
      </c>
      <c r="K87">
        <f t="shared" si="8"/>
        <v>2</v>
      </c>
      <c r="L87">
        <f t="shared" si="9"/>
        <v>71</v>
      </c>
      <c r="M87">
        <f t="shared" si="10"/>
        <v>3</v>
      </c>
      <c r="N87">
        <f t="shared" si="11"/>
        <v>70</v>
      </c>
      <c r="O87">
        <f t="shared" si="12"/>
        <v>0</v>
      </c>
      <c r="P87" t="str">
        <f t="shared" si="13"/>
        <v>前倒し（1）</v>
      </c>
    </row>
    <row r="88" spans="1:16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229</v>
      </c>
      <c r="I88" t="s">
        <v>230</v>
      </c>
      <c r="J88">
        <v>0</v>
      </c>
      <c r="K88">
        <f t="shared" si="8"/>
        <v>1</v>
      </c>
      <c r="L88">
        <f t="shared" si="9"/>
        <v>72</v>
      </c>
      <c r="M88">
        <f t="shared" si="10"/>
        <v>3</v>
      </c>
      <c r="N88">
        <f t="shared" si="11"/>
        <v>73</v>
      </c>
      <c r="O88">
        <f t="shared" si="12"/>
        <v>0</v>
      </c>
      <c r="P88" t="str">
        <f t="shared" si="13"/>
        <v>未達成（1）</v>
      </c>
    </row>
    <row r="89" spans="1:16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231</v>
      </c>
      <c r="I89" t="s">
        <v>232</v>
      </c>
      <c r="J89">
        <v>0</v>
      </c>
      <c r="K89">
        <f t="shared" si="8"/>
        <v>1</v>
      </c>
      <c r="L89">
        <f t="shared" si="9"/>
        <v>73</v>
      </c>
      <c r="M89">
        <f t="shared" si="10"/>
        <v>3</v>
      </c>
      <c r="N89">
        <f t="shared" si="11"/>
        <v>73</v>
      </c>
      <c r="O89">
        <f t="shared" si="12"/>
        <v>0</v>
      </c>
      <c r="P89" t="str">
        <f t="shared" si="13"/>
        <v>達成</v>
      </c>
    </row>
    <row r="90" spans="1:16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233</v>
      </c>
      <c r="I90" t="s">
        <v>234</v>
      </c>
      <c r="J90">
        <v>0</v>
      </c>
      <c r="K90">
        <f t="shared" si="8"/>
        <v>2</v>
      </c>
      <c r="L90">
        <f t="shared" si="9"/>
        <v>75</v>
      </c>
      <c r="M90">
        <f t="shared" si="10"/>
        <v>3</v>
      </c>
      <c r="N90">
        <f t="shared" si="11"/>
        <v>76</v>
      </c>
      <c r="O90">
        <f t="shared" si="12"/>
        <v>0</v>
      </c>
      <c r="P90" t="str">
        <f t="shared" si="13"/>
        <v>未達成（1）</v>
      </c>
    </row>
    <row r="91" spans="1:16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235</v>
      </c>
      <c r="I91" t="s">
        <v>236</v>
      </c>
      <c r="J91">
        <v>0</v>
      </c>
      <c r="K91">
        <f t="shared" si="8"/>
        <v>2</v>
      </c>
      <c r="L91">
        <f t="shared" si="9"/>
        <v>77</v>
      </c>
      <c r="M91">
        <f t="shared" si="10"/>
        <v>3</v>
      </c>
      <c r="N91">
        <f t="shared" si="11"/>
        <v>76</v>
      </c>
      <c r="O91">
        <f t="shared" si="12"/>
        <v>0</v>
      </c>
      <c r="P91" t="str">
        <f t="shared" si="13"/>
        <v>前倒し（1）</v>
      </c>
    </row>
    <row r="92" spans="1:16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237</v>
      </c>
      <c r="I92" t="s">
        <v>238</v>
      </c>
      <c r="J92">
        <v>0</v>
      </c>
      <c r="K92">
        <f t="shared" si="8"/>
        <v>2</v>
      </c>
      <c r="L92">
        <f t="shared" si="9"/>
        <v>79</v>
      </c>
      <c r="M92">
        <f t="shared" si="10"/>
        <v>3</v>
      </c>
      <c r="N92">
        <f t="shared" si="11"/>
        <v>79</v>
      </c>
      <c r="O92">
        <f t="shared" si="12"/>
        <v>0</v>
      </c>
      <c r="P92" t="str">
        <f t="shared" si="13"/>
        <v>達成</v>
      </c>
    </row>
    <row r="93" spans="1:16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239</v>
      </c>
      <c r="I93" t="s">
        <v>240</v>
      </c>
      <c r="J93">
        <v>0</v>
      </c>
      <c r="K93">
        <f t="shared" si="8"/>
        <v>1</v>
      </c>
      <c r="L93">
        <f t="shared" si="9"/>
        <v>80</v>
      </c>
      <c r="M93">
        <f t="shared" si="10"/>
        <v>3</v>
      </c>
      <c r="N93">
        <f t="shared" si="11"/>
        <v>82</v>
      </c>
      <c r="O93">
        <f t="shared" si="12"/>
        <v>0</v>
      </c>
      <c r="P93" t="str">
        <f t="shared" si="13"/>
        <v>未達成（2）</v>
      </c>
    </row>
    <row r="94" spans="1:16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241</v>
      </c>
      <c r="I94" t="s">
        <v>242</v>
      </c>
      <c r="J94">
        <v>0</v>
      </c>
      <c r="K94">
        <f t="shared" si="8"/>
        <v>1</v>
      </c>
      <c r="L94">
        <f t="shared" si="9"/>
        <v>81</v>
      </c>
      <c r="M94">
        <f t="shared" si="10"/>
        <v>3</v>
      </c>
      <c r="N94">
        <f t="shared" si="11"/>
        <v>82</v>
      </c>
      <c r="O94">
        <f t="shared" si="12"/>
        <v>0</v>
      </c>
      <c r="P94" t="str">
        <f t="shared" si="13"/>
        <v>未達成（1）</v>
      </c>
    </row>
    <row r="95" spans="1:16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243</v>
      </c>
      <c r="I95" t="s">
        <v>244</v>
      </c>
      <c r="J95">
        <v>0</v>
      </c>
      <c r="K95">
        <f t="shared" si="8"/>
        <v>2</v>
      </c>
      <c r="L95">
        <f t="shared" si="9"/>
        <v>83</v>
      </c>
      <c r="M95">
        <f t="shared" si="10"/>
        <v>3</v>
      </c>
      <c r="N95">
        <f t="shared" si="11"/>
        <v>82</v>
      </c>
      <c r="O95">
        <f t="shared" si="12"/>
        <v>0</v>
      </c>
      <c r="P95" t="str">
        <f t="shared" si="13"/>
        <v>前倒し（1）</v>
      </c>
    </row>
    <row r="96" spans="1:16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245</v>
      </c>
      <c r="I96" t="s">
        <v>246</v>
      </c>
      <c r="J96">
        <v>0</v>
      </c>
      <c r="K96">
        <f t="shared" si="8"/>
        <v>1</v>
      </c>
      <c r="L96">
        <f t="shared" si="9"/>
        <v>84</v>
      </c>
      <c r="M96">
        <f t="shared" si="10"/>
        <v>3</v>
      </c>
      <c r="N96">
        <f t="shared" si="11"/>
        <v>85</v>
      </c>
      <c r="O96">
        <f t="shared" si="12"/>
        <v>0</v>
      </c>
      <c r="P96" t="str">
        <f t="shared" si="13"/>
        <v>未達成（1）</v>
      </c>
    </row>
    <row r="97" spans="1:16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247</v>
      </c>
      <c r="I97" t="s">
        <v>248</v>
      </c>
      <c r="J97">
        <v>0</v>
      </c>
      <c r="K97">
        <f t="shared" si="8"/>
        <v>2</v>
      </c>
      <c r="L97">
        <f t="shared" si="9"/>
        <v>86</v>
      </c>
      <c r="M97">
        <f t="shared" si="10"/>
        <v>3</v>
      </c>
      <c r="N97">
        <f t="shared" si="11"/>
        <v>85</v>
      </c>
      <c r="O97">
        <f t="shared" si="12"/>
        <v>0</v>
      </c>
      <c r="P97" t="str">
        <f t="shared" si="13"/>
        <v>前倒し（1）</v>
      </c>
    </row>
    <row r="98" spans="1:16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249</v>
      </c>
      <c r="I98" t="s">
        <v>250</v>
      </c>
      <c r="J98">
        <v>0</v>
      </c>
      <c r="K98">
        <f t="shared" si="8"/>
        <v>2</v>
      </c>
      <c r="L98">
        <f t="shared" si="9"/>
        <v>88</v>
      </c>
      <c r="M98">
        <f t="shared" si="10"/>
        <v>3</v>
      </c>
      <c r="N98">
        <f t="shared" si="11"/>
        <v>88</v>
      </c>
      <c r="O98">
        <f t="shared" si="12"/>
        <v>0</v>
      </c>
      <c r="P98" t="str">
        <f t="shared" si="13"/>
        <v>達成</v>
      </c>
    </row>
    <row r="99" spans="1:16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252</v>
      </c>
      <c r="I99" t="s">
        <v>253</v>
      </c>
      <c r="J99">
        <v>0</v>
      </c>
      <c r="K99">
        <f t="shared" ref="K99" si="14">IF(A99&lt;DATEVALUE("2025/11/20")+TIMEVALUE("6:00"),1,IF(B99-SUM(D99:F99)&lt;&gt;60,0,MAX(2-INT(G99*24*60/10),0)))</f>
        <v>1</v>
      </c>
      <c r="L99">
        <f t="shared" ref="L99" si="15">L98+K99</f>
        <v>89</v>
      </c>
      <c r="M99">
        <f t="shared" ref="M99" si="16">2+IF(A99&gt;=DATEVALUE("2025/11/30")+TIMEVALUE("6:00"),1,0)+IF(A99&gt;=DATEVALUE("2025/12/11")+TIMEVALUE("6:00"),1,0)</f>
        <v>4</v>
      </c>
      <c r="N99">
        <f t="shared" ref="N99" si="17">N98+M99*(INT(A99-6/24)-INT(A98-6/24))+O99</f>
        <v>92</v>
      </c>
      <c r="O99">
        <f t="shared" ref="O99" si="18">IF(A99&gt;=DATEVALUE("2025/11/8")+TIMEVALUE("6:00"),1,0)-IF(A98&gt;=DATEVALUE("2025/11/8")+TIMEVALUE("6:00"),1,0)</f>
        <v>0</v>
      </c>
      <c r="P99" t="str">
        <f t="shared" ref="P99" si="19">IF(L99&lt;N99,"未達成（"&amp;N99-L99&amp;"）",IF(L99=N99,"達成","前倒し（"&amp;L99-N99&amp;"）"))</f>
        <v>未達成（3）</v>
      </c>
    </row>
    <row r="100" spans="1:16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254</v>
      </c>
      <c r="I100" t="s">
        <v>255</v>
      </c>
      <c r="J100">
        <v>0</v>
      </c>
      <c r="K100">
        <f t="shared" ref="K100" si="20">IF(A100&lt;DATEVALUE("2025/11/20")+TIMEVALUE("6:00"),1,IF(B100-SUM(D100:F100)&lt;&gt;60,0,MAX(2-INT(G100*24*60/10),0)))</f>
        <v>0</v>
      </c>
      <c r="L100">
        <f t="shared" ref="L100" si="21">L99+K100</f>
        <v>89</v>
      </c>
      <c r="M100">
        <f t="shared" ref="M100" si="22">2+IF(A100&gt;=DATEVALUE("2025/11/30")+TIMEVALUE("6:00"),1,0)+IF(A100&gt;=DATEVALUE("2025/12/11")+TIMEVALUE("6:00"),1,0)</f>
        <v>4</v>
      </c>
      <c r="N100">
        <f t="shared" ref="N100" si="23">N99+M100*(INT(A100-6/24)-INT(A99-6/24))+O100</f>
        <v>92</v>
      </c>
      <c r="O100">
        <f t="shared" ref="O100" si="24">IF(A100&gt;=DATEVALUE("2025/11/8")+TIMEVALUE("6:00"),1,0)-IF(A99&gt;=DATEVALUE("2025/11/8")+TIMEVALUE("6:00"),1,0)</f>
        <v>0</v>
      </c>
      <c r="P100" t="str">
        <f t="shared" ref="P100" si="25">IF(L100&lt;N100,"未達成（"&amp;N100-L100&amp;"）",IF(L100=N100,"達成","前倒し（"&amp;L100-N100&amp;"）"))</f>
        <v>未達成（3）</v>
      </c>
    </row>
    <row r="101" spans="1:16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256</v>
      </c>
      <c r="I101" t="s">
        <v>257</v>
      </c>
      <c r="J101">
        <v>0</v>
      </c>
      <c r="K101">
        <f t="shared" ref="K101" si="26">IF(A101&lt;DATEVALUE("2025/11/20")+TIMEVALUE("6:00"),1,IF(B101-SUM(D101:F101)&lt;&gt;60,0,MAX(2-INT(G101*24*60/10),0)))</f>
        <v>1</v>
      </c>
      <c r="L101">
        <f t="shared" ref="L101" si="27">L100+K101</f>
        <v>90</v>
      </c>
      <c r="M101">
        <f t="shared" ref="M101" si="28">2+IF(A101&gt;=DATEVALUE("2025/11/30")+TIMEVALUE("6:00"),1,0)+IF(A101&gt;=DATEVALUE("2025/12/11")+TIMEVALUE("6:00"),1,0)</f>
        <v>4</v>
      </c>
      <c r="N101">
        <f t="shared" ref="N101" si="29">N100+M101*(INT(A101-6/24)-INT(A100-6/24))+O101</f>
        <v>92</v>
      </c>
      <c r="O101">
        <f t="shared" ref="O101" si="30">IF(A101&gt;=DATEVALUE("2025/11/8")+TIMEVALUE("6:00"),1,0)-IF(A100&gt;=DATEVALUE("2025/11/8")+TIMEVALUE("6:00"),1,0)</f>
        <v>0</v>
      </c>
      <c r="P101" t="str">
        <f t="shared" ref="P101" si="31">IF(L101&lt;N101,"未達成（"&amp;N101-L101&amp;"）",IF(L101=N101,"達成","前倒し（"&amp;L101-N101&amp;"）"))</f>
        <v>未達成（2）</v>
      </c>
    </row>
    <row r="102" spans="1:16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258</v>
      </c>
      <c r="I102" t="s">
        <v>259</v>
      </c>
      <c r="J102">
        <v>0</v>
      </c>
      <c r="K102">
        <f t="shared" ref="K102" si="32">IF(A102&lt;DATEVALUE("2025/11/20")+TIMEVALUE("6:00"),1,IF(B102-SUM(D102:F102)&lt;&gt;60,0,MAX(2-INT(G102*24*60/10),0)))</f>
        <v>1</v>
      </c>
      <c r="L102">
        <f t="shared" ref="L102" si="33">L101+K102</f>
        <v>91</v>
      </c>
      <c r="M102">
        <f t="shared" ref="M102" si="34">2+IF(A102&gt;=DATEVALUE("2025/11/30")+TIMEVALUE("6:00"),1,0)+IF(A102&gt;=DATEVALUE("2025/12/11")+TIMEVALUE("6:00"),1,0)</f>
        <v>4</v>
      </c>
      <c r="N102">
        <f t="shared" ref="N102" si="35">N101+M102*(INT(A102-6/24)-INT(A101-6/24))+O102</f>
        <v>92</v>
      </c>
      <c r="O102">
        <f t="shared" ref="O102" si="36">IF(A102&gt;=DATEVALUE("2025/11/8")+TIMEVALUE("6:00"),1,0)-IF(A101&gt;=DATEVALUE("2025/11/8")+TIMEVALUE("6:00"),1,0)</f>
        <v>0</v>
      </c>
      <c r="P102" t="str">
        <f t="shared" ref="P102" si="37">IF(L102&lt;N102,"未達成（"&amp;N102-L102&amp;"）",IF(L102=N102,"達成","前倒し（"&amp;L102-N102&amp;"）"))</f>
        <v>未達成（1）</v>
      </c>
    </row>
    <row r="103" spans="1:16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260</v>
      </c>
      <c r="I103" t="s">
        <v>261</v>
      </c>
      <c r="J103">
        <v>0</v>
      </c>
      <c r="K103">
        <f t="shared" ref="K103" si="38">IF(A103&lt;DATEVALUE("2025/11/20")+TIMEVALUE("6:00"),1,IF(B103-SUM(D103:F103)&lt;&gt;60,0,MAX(2-INT(G103*24*60/10),0)))</f>
        <v>1</v>
      </c>
      <c r="L103">
        <f t="shared" ref="L103" si="39">L102+K103</f>
        <v>92</v>
      </c>
      <c r="M103">
        <f t="shared" ref="M103" si="40">2+IF(A103&gt;=DATEVALUE("2025/11/30")+TIMEVALUE("6:00"),1,0)+IF(A103&gt;=DATEVALUE("2025/12/11")+TIMEVALUE("6:00"),1,0)</f>
        <v>4</v>
      </c>
      <c r="N103">
        <f t="shared" ref="N103" si="41">N102+M103*(INT(A103-6/24)-INT(A102-6/24))+O103</f>
        <v>92</v>
      </c>
      <c r="O103">
        <f t="shared" ref="O103" si="42">IF(A103&gt;=DATEVALUE("2025/11/8")+TIMEVALUE("6:00"),1,0)-IF(A102&gt;=DATEVALUE("2025/11/8")+TIMEVALUE("6:00"),1,0)</f>
        <v>0</v>
      </c>
      <c r="P103" t="str">
        <f t="shared" ref="P103" si="43">IF(L103&lt;N103,"未達成（"&amp;N103-L103&amp;"）",IF(L103=N103,"達成","前倒し（"&amp;L103-N103&amp;"）"))</f>
        <v>達成</v>
      </c>
    </row>
    <row r="104" spans="1:16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262</v>
      </c>
      <c r="I104" t="s">
        <v>263</v>
      </c>
      <c r="J104">
        <v>0</v>
      </c>
      <c r="K104">
        <f t="shared" ref="K104" si="44">IF(A104&lt;DATEVALUE("2025/11/20")+TIMEVALUE("6:00"),1,IF(B104-SUM(D104:F104)&lt;&gt;60,0,MAX(2-INT(G104*24*60/10),0)))</f>
        <v>2</v>
      </c>
      <c r="L104">
        <f t="shared" ref="L104" si="45">L103+K104</f>
        <v>94</v>
      </c>
      <c r="M104">
        <f t="shared" ref="M104" si="46">2+IF(A104&gt;=DATEVALUE("2025/11/30")+TIMEVALUE("6:00"),1,0)+IF(A104&gt;=DATEVALUE("2025/12/11")+TIMEVALUE("6:00"),1,0)</f>
        <v>4</v>
      </c>
      <c r="N104">
        <f t="shared" ref="N104" si="47">N103+M104*(INT(A104-6/24)-INT(A103-6/24))+O104</f>
        <v>96</v>
      </c>
      <c r="O104">
        <f t="shared" ref="O104" si="48">IF(A104&gt;=DATEVALUE("2025/11/8")+TIMEVALUE("6:00"),1,0)-IF(A103&gt;=DATEVALUE("2025/11/8")+TIMEVALUE("6:00"),1,0)</f>
        <v>0</v>
      </c>
      <c r="P104" t="str">
        <f t="shared" ref="P104" si="49">IF(L104&lt;N104,"未達成（"&amp;N104-L104&amp;"）",IF(L104=N104,"達成","前倒し（"&amp;L104-N104&amp;"）"))</f>
        <v>未達成（2）</v>
      </c>
    </row>
    <row r="105" spans="1:16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264</v>
      </c>
      <c r="I105" t="s">
        <v>265</v>
      </c>
      <c r="J105">
        <v>0</v>
      </c>
      <c r="K105">
        <f t="shared" ref="K105" si="50">IF(A105&lt;DATEVALUE("2025/11/20")+TIMEVALUE("6:00"),1,IF(B105-SUM(D105:F105)&lt;&gt;60,0,MAX(2-INT(G105*24*60/10),0)))</f>
        <v>1</v>
      </c>
      <c r="L105">
        <f t="shared" ref="L105" si="51">L104+K105</f>
        <v>95</v>
      </c>
      <c r="M105">
        <f t="shared" ref="M105" si="52">2+IF(A105&gt;=DATEVALUE("2025/11/30")+TIMEVALUE("6:00"),1,0)+IF(A105&gt;=DATEVALUE("2025/12/11")+TIMEVALUE("6:00"),1,0)</f>
        <v>4</v>
      </c>
      <c r="N105">
        <f t="shared" ref="N105" si="53">N104+M105*(INT(A105-6/24)-INT(A104-6/24))+O105</f>
        <v>96</v>
      </c>
      <c r="O105">
        <f t="shared" ref="O105" si="54">IF(A105&gt;=DATEVALUE("2025/11/8")+TIMEVALUE("6:00"),1,0)-IF(A104&gt;=DATEVALUE("2025/11/8")+TIMEVALUE("6:00"),1,0)</f>
        <v>0</v>
      </c>
      <c r="P105" t="str">
        <f t="shared" ref="P105" si="55">IF(L105&lt;N105,"未達成（"&amp;N105-L105&amp;"）",IF(L105=N105,"達成","前倒し（"&amp;L105-N105&amp;"）"))</f>
        <v>未達成（1）</v>
      </c>
    </row>
    <row r="106" spans="1:16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266</v>
      </c>
      <c r="I106" t="s">
        <v>267</v>
      </c>
      <c r="J106">
        <v>0</v>
      </c>
      <c r="K106">
        <f t="shared" ref="K106" si="56">IF(A106&lt;DATEVALUE("2025/11/20")+TIMEVALUE("6:00"),1,IF(B106-SUM(D106:F106)&lt;&gt;60,0,MAX(2-INT(G106*24*60/10),0)))</f>
        <v>2</v>
      </c>
      <c r="L106">
        <f t="shared" ref="L106" si="57">L105+K106</f>
        <v>97</v>
      </c>
      <c r="M106">
        <f t="shared" ref="M106" si="58">2+IF(A106&gt;=DATEVALUE("2025/11/30")+TIMEVALUE("6:00"),1,0)+IF(A106&gt;=DATEVALUE("2025/12/11")+TIMEVALUE("6:00"),1,0)</f>
        <v>4</v>
      </c>
      <c r="N106">
        <f t="shared" ref="N106" si="59">N105+M106*(INT(A106-6/24)-INT(A105-6/24))+O106</f>
        <v>96</v>
      </c>
      <c r="O106">
        <f t="shared" ref="O106" si="60">IF(A106&gt;=DATEVALUE("2025/11/8")+TIMEVALUE("6:00"),1,0)-IF(A105&gt;=DATEVALUE("2025/11/8")+TIMEVALUE("6:00"),1,0)</f>
        <v>0</v>
      </c>
      <c r="P106" t="str">
        <f t="shared" ref="P106" si="61">IF(L106&lt;N106,"未達成（"&amp;N106-L106&amp;"）",IF(L106=N106,"達成","前倒し（"&amp;L106-N106&amp;"）"))</f>
        <v>前倒し（1）</v>
      </c>
    </row>
    <row r="107" spans="1:16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268</v>
      </c>
      <c r="I107" t="s">
        <v>269</v>
      </c>
      <c r="J107">
        <v>0</v>
      </c>
      <c r="K107">
        <f t="shared" ref="K107" si="62">IF(A107&lt;DATEVALUE("2025/11/20")+TIMEVALUE("6:00"),1,IF(B107-SUM(D107:F107)&lt;&gt;60,0,MAX(2-INT(G107*24*60/10),0)))</f>
        <v>1</v>
      </c>
      <c r="L107">
        <f t="shared" ref="L107" si="63">L106+K107</f>
        <v>98</v>
      </c>
      <c r="M107">
        <f t="shared" ref="M107" si="64">2+IF(A107&gt;=DATEVALUE("2025/11/30")+TIMEVALUE("6:00"),1,0)+IF(A107&gt;=DATEVALUE("2025/12/11")+TIMEVALUE("6:00"),1,0)</f>
        <v>4</v>
      </c>
      <c r="N107">
        <f t="shared" ref="N107" si="65">N106+M107*(INT(A107-6/24)-INT(A106-6/24))+O107</f>
        <v>100</v>
      </c>
      <c r="O107">
        <f t="shared" ref="O107" si="66">IF(A107&gt;=DATEVALUE("2025/11/8")+TIMEVALUE("6:00"),1,0)-IF(A106&gt;=DATEVALUE("2025/11/8")+TIMEVALUE("6:00"),1,0)</f>
        <v>0</v>
      </c>
      <c r="P107" t="str">
        <f t="shared" ref="P107" si="67">IF(L107&lt;N107,"未達成（"&amp;N107-L107&amp;"）",IF(L107=N107,"達成","前倒し（"&amp;L107-N107&amp;"）"))</f>
        <v>未達成（2）</v>
      </c>
    </row>
    <row r="108" spans="1:16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270</v>
      </c>
      <c r="I108" t="s">
        <v>271</v>
      </c>
      <c r="J108">
        <v>0</v>
      </c>
      <c r="K108">
        <f t="shared" ref="K108" si="68">IF(A108&lt;DATEVALUE("2025/11/20")+TIMEVALUE("6:00"),1,IF(B108-SUM(D108:F108)&lt;&gt;60,0,MAX(2-INT(G108*24*60/10),0)))</f>
        <v>2</v>
      </c>
      <c r="L108">
        <f t="shared" ref="L108" si="69">L107+K108</f>
        <v>100</v>
      </c>
      <c r="M108">
        <f t="shared" ref="M108" si="70">2+IF(A108&gt;=DATEVALUE("2025/11/30")+TIMEVALUE("6:00"),1,0)+IF(A108&gt;=DATEVALUE("2025/12/11")+TIMEVALUE("6:00"),1,0)</f>
        <v>4</v>
      </c>
      <c r="N108">
        <f t="shared" ref="N108" si="71">N107+M108*(INT(A108-6/24)-INT(A107-6/24))+O108</f>
        <v>100</v>
      </c>
      <c r="O108">
        <f t="shared" ref="O108" si="72">IF(A108&gt;=DATEVALUE("2025/11/8")+TIMEVALUE("6:00"),1,0)-IF(A107&gt;=DATEVALUE("2025/11/8")+TIMEVALUE("6:00"),1,0)</f>
        <v>0</v>
      </c>
      <c r="P108" t="str">
        <f t="shared" ref="P108" si="73">IF(L108&lt;N108,"未達成（"&amp;N108-L108&amp;"）",IF(L108=N108,"達成","前倒し（"&amp;L108-N108&amp;"）"))</f>
        <v>達成</v>
      </c>
    </row>
    <row r="109" spans="1:16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272</v>
      </c>
      <c r="I109" t="s">
        <v>273</v>
      </c>
      <c r="J109">
        <v>0</v>
      </c>
      <c r="K109">
        <f t="shared" ref="K109" si="74">IF(A109&lt;DATEVALUE("2025/11/20")+TIMEVALUE("6:00"),1,IF(B109-SUM(D109:F109)&lt;&gt;60,0,MAX(2-INT(G109*24*60/10),0)))</f>
        <v>1</v>
      </c>
      <c r="L109">
        <f t="shared" ref="L109" si="75">L108+K109</f>
        <v>101</v>
      </c>
      <c r="M109">
        <f t="shared" ref="M109" si="76">2+IF(A109&gt;=DATEVALUE("2025/11/30")+TIMEVALUE("6:00"),1,0)+IF(A109&gt;=DATEVALUE("2025/12/11")+TIMEVALUE("6:00"),1,0)</f>
        <v>4</v>
      </c>
      <c r="N109">
        <f t="shared" ref="N109" si="77">N108+M109*(INT(A109-6/24)-INT(A108-6/24))+O109</f>
        <v>104</v>
      </c>
      <c r="O109">
        <f t="shared" ref="O109" si="78">IF(A109&gt;=DATEVALUE("2025/11/8")+TIMEVALUE("6:00"),1,0)-IF(A108&gt;=DATEVALUE("2025/11/8")+TIMEVALUE("6:00"),1,0)</f>
        <v>0</v>
      </c>
      <c r="P109" t="str">
        <f t="shared" ref="P109" si="79">IF(L109&lt;N109,"未達成（"&amp;N109-L109&amp;"）",IF(L109=N109,"達成","前倒し（"&amp;L109-N109&amp;"）"))</f>
        <v>未達成（3）</v>
      </c>
    </row>
    <row r="110" spans="1:16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274</v>
      </c>
      <c r="I110" t="s">
        <v>275</v>
      </c>
      <c r="J110">
        <v>0</v>
      </c>
      <c r="K110">
        <f t="shared" ref="K110" si="80">IF(A110&lt;DATEVALUE("2025/11/20")+TIMEVALUE("6:00"),1,IF(B110-SUM(D110:F110)&lt;&gt;60,0,MAX(2-INT(G110*24*60/10),0)))</f>
        <v>2</v>
      </c>
      <c r="L110">
        <f t="shared" ref="L110" si="81">L109+K110</f>
        <v>103</v>
      </c>
      <c r="M110">
        <f t="shared" ref="M110" si="82">2+IF(A110&gt;=DATEVALUE("2025/11/30")+TIMEVALUE("6:00"),1,0)+IF(A110&gt;=DATEVALUE("2025/12/11")+TIMEVALUE("6:00"),1,0)</f>
        <v>4</v>
      </c>
      <c r="N110">
        <f t="shared" ref="N110" si="83">N109+M110*(INT(A110-6/24)-INT(A109-6/24))+O110</f>
        <v>104</v>
      </c>
      <c r="O110">
        <f t="shared" ref="O110" si="84">IF(A110&gt;=DATEVALUE("2025/11/8")+TIMEVALUE("6:00"),1,0)-IF(A109&gt;=DATEVALUE("2025/11/8")+TIMEVALUE("6:00"),1,0)</f>
        <v>0</v>
      </c>
      <c r="P110" t="str">
        <f t="shared" ref="P110" si="85">IF(L110&lt;N110,"未達成（"&amp;N110-L110&amp;"）",IF(L110=N110,"達成","前倒し（"&amp;L110-N110&amp;"）"))</f>
        <v>未達成（1）</v>
      </c>
    </row>
    <row r="111" spans="1:16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276</v>
      </c>
      <c r="I111" t="s">
        <v>277</v>
      </c>
      <c r="J111">
        <v>0</v>
      </c>
      <c r="K111">
        <f t="shared" ref="K111" si="86">IF(A111&lt;DATEVALUE("2025/11/20")+TIMEVALUE("6:00"),1,IF(B111-SUM(D111:F111)&lt;&gt;60,0,MAX(2-INT(G111*24*60/10),0)))</f>
        <v>2</v>
      </c>
      <c r="L111">
        <f t="shared" ref="L111" si="87">L110+K111</f>
        <v>105</v>
      </c>
      <c r="M111">
        <f t="shared" ref="M111" si="88">2+IF(A111&gt;=DATEVALUE("2025/11/30")+TIMEVALUE("6:00"),1,0)+IF(A111&gt;=DATEVALUE("2025/12/11")+TIMEVALUE("6:00"),1,0)</f>
        <v>4</v>
      </c>
      <c r="N111">
        <f t="shared" ref="N111" si="89">N110+M111*(INT(A111-6/24)-INT(A110-6/24))+O111</f>
        <v>104</v>
      </c>
      <c r="O111">
        <f t="shared" ref="O111" si="90">IF(A111&gt;=DATEVALUE("2025/11/8")+TIMEVALUE("6:00"),1,0)-IF(A110&gt;=DATEVALUE("2025/11/8")+TIMEVALUE("6:00"),1,0)</f>
        <v>0</v>
      </c>
      <c r="P111" t="str">
        <f t="shared" ref="P111" si="91">IF(L111&lt;N111,"未達成（"&amp;N111-L111&amp;"）",IF(L111=N111,"達成","前倒し（"&amp;L111-N111&amp;"）"))</f>
        <v>前倒し（1）</v>
      </c>
    </row>
    <row r="112" spans="1:16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278</v>
      </c>
      <c r="I112" t="s">
        <v>279</v>
      </c>
      <c r="J112">
        <v>0</v>
      </c>
      <c r="K112">
        <f t="shared" ref="K112" si="92">IF(A112&lt;DATEVALUE("2025/11/20")+TIMEVALUE("6:00"),1,IF(B112-SUM(D112:F112)&lt;&gt;60,0,MAX(2-INT(G112*24*60/10),0)))</f>
        <v>2</v>
      </c>
      <c r="L112">
        <f t="shared" ref="L112" si="93">L111+K112</f>
        <v>107</v>
      </c>
      <c r="M112">
        <f t="shared" ref="M112" si="94">2+IF(A112&gt;=DATEVALUE("2025/11/30")+TIMEVALUE("6:00"),1,0)+IF(A112&gt;=DATEVALUE("2025/12/11")+TIMEVALUE("6:00"),1,0)</f>
        <v>4</v>
      </c>
      <c r="N112">
        <f t="shared" ref="N112" si="95">N111+M112*(INT(A112-6/24)-INT(A111-6/24))+O112</f>
        <v>108</v>
      </c>
      <c r="O112">
        <f t="shared" ref="O112" si="96">IF(A112&gt;=DATEVALUE("2025/11/8")+TIMEVALUE("6:00"),1,0)-IF(A111&gt;=DATEVALUE("2025/11/8")+TIMEVALUE("6:00"),1,0)</f>
        <v>0</v>
      </c>
      <c r="P112" t="str">
        <f t="shared" ref="P112" si="97">IF(L112&lt;N112,"未達成（"&amp;N112-L112&amp;"）",IF(L112=N112,"達成","前倒し（"&amp;L112-N112&amp;"）"))</f>
        <v>未達成（1）</v>
      </c>
    </row>
    <row r="113" spans="1:16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280</v>
      </c>
      <c r="I113" t="s">
        <v>281</v>
      </c>
      <c r="J113">
        <v>0</v>
      </c>
      <c r="K113">
        <f t="shared" ref="K113" si="98">IF(A113&lt;DATEVALUE("2025/11/20")+TIMEVALUE("6:00"),1,IF(B113-SUM(D113:F113)&lt;&gt;60,0,MAX(2-INT(G113*24*60/10),0)))</f>
        <v>1</v>
      </c>
      <c r="L113">
        <f t="shared" ref="L113" si="99">L112+K113</f>
        <v>108</v>
      </c>
      <c r="M113">
        <f t="shared" ref="M113" si="100">2+IF(A113&gt;=DATEVALUE("2025/11/30")+TIMEVALUE("6:00"),1,0)+IF(A113&gt;=DATEVALUE("2025/12/11")+TIMEVALUE("6:00"),1,0)</f>
        <v>4</v>
      </c>
      <c r="N113">
        <f t="shared" ref="N113" si="101">N112+M113*(INT(A113-6/24)-INT(A112-6/24))+O113</f>
        <v>108</v>
      </c>
      <c r="O113">
        <f t="shared" ref="O113" si="102">IF(A113&gt;=DATEVALUE("2025/11/8")+TIMEVALUE("6:00"),1,0)-IF(A112&gt;=DATEVALUE("2025/11/8")+TIMEVALUE("6:00"),1,0)</f>
        <v>0</v>
      </c>
      <c r="P113" t="str">
        <f t="shared" ref="P113" si="103">IF(L113&lt;N113,"未達成（"&amp;N113-L113&amp;"）",IF(L113=N113,"達成","前倒し（"&amp;L113-N113&amp;"）"))</f>
        <v>達成</v>
      </c>
    </row>
    <row r="114" spans="1:16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282</v>
      </c>
      <c r="I114" t="s">
        <v>283</v>
      </c>
      <c r="J114">
        <v>0</v>
      </c>
      <c r="K114">
        <f t="shared" ref="K114" si="104">IF(A114&lt;DATEVALUE("2025/11/20")+TIMEVALUE("6:00"),1,IF(B114-SUM(D114:F114)&lt;&gt;60,0,MAX(2-INT(G114*24*60/10),0)))</f>
        <v>2</v>
      </c>
      <c r="L114">
        <f t="shared" ref="L114" si="105">L113+K114</f>
        <v>110</v>
      </c>
      <c r="M114">
        <f t="shared" ref="M114" si="106">2+IF(A114&gt;=DATEVALUE("2025/11/30")+TIMEVALUE("6:00"),1,0)+IF(A114&gt;=DATEVALUE("2025/12/11")+TIMEVALUE("6:00"),1,0)</f>
        <v>4</v>
      </c>
      <c r="N114">
        <f t="shared" ref="N114" si="107">N113+M114*(INT(A114-6/24)-INT(A113-6/24))+O114</f>
        <v>112</v>
      </c>
      <c r="O114">
        <f t="shared" ref="O114" si="108">IF(A114&gt;=DATEVALUE("2025/11/8")+TIMEVALUE("6:00"),1,0)-IF(A113&gt;=DATEVALUE("2025/11/8")+TIMEVALUE("6:00"),1,0)</f>
        <v>0</v>
      </c>
      <c r="P114" t="str">
        <f t="shared" ref="P114" si="109">IF(L114&lt;N114,"未達成（"&amp;N114-L114&amp;"）",IF(L114=N114,"達成","前倒し（"&amp;L114-N114&amp;"）"))</f>
        <v>未達成（2）</v>
      </c>
    </row>
    <row r="115" spans="1:16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284</v>
      </c>
      <c r="I115" t="s">
        <v>285</v>
      </c>
      <c r="J115">
        <v>0</v>
      </c>
      <c r="K115">
        <f t="shared" ref="K115" si="110">IF(A115&lt;DATEVALUE("2025/11/20")+TIMEVALUE("6:00"),1,IF(B115-SUM(D115:F115)&lt;&gt;60,0,MAX(2-INT(G115*24*60/10),0)))</f>
        <v>1</v>
      </c>
      <c r="L115">
        <f t="shared" ref="L115" si="111">L114+K115</f>
        <v>111</v>
      </c>
      <c r="M115">
        <f t="shared" ref="M115" si="112">2+IF(A115&gt;=DATEVALUE("2025/11/30")+TIMEVALUE("6:00"),1,0)+IF(A115&gt;=DATEVALUE("2025/12/11")+TIMEVALUE("6:00"),1,0)</f>
        <v>4</v>
      </c>
      <c r="N115">
        <f t="shared" ref="N115" si="113">N114+M115*(INT(A115-6/24)-INT(A114-6/24))+O115</f>
        <v>112</v>
      </c>
      <c r="O115">
        <f t="shared" ref="O115" si="114">IF(A115&gt;=DATEVALUE("2025/11/8")+TIMEVALUE("6:00"),1,0)-IF(A114&gt;=DATEVALUE("2025/11/8")+TIMEVALUE("6:00"),1,0)</f>
        <v>0</v>
      </c>
      <c r="P115" t="str">
        <f t="shared" ref="P115" si="115">IF(L115&lt;N115,"未達成（"&amp;N115-L115&amp;"）",IF(L115=N115,"達成","前倒し（"&amp;L115-N115&amp;"）"))</f>
        <v>未達成（1）</v>
      </c>
    </row>
    <row r="116" spans="1:16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286</v>
      </c>
      <c r="I116" t="s">
        <v>287</v>
      </c>
      <c r="J116">
        <v>0</v>
      </c>
      <c r="K116">
        <f t="shared" ref="K116" si="116">IF(A116&lt;DATEVALUE("2025/11/20")+TIMEVALUE("6:00"),1,IF(B116-SUM(D116:F116)&lt;&gt;60,0,MAX(2-INT(G116*24*60/10),0)))</f>
        <v>1</v>
      </c>
      <c r="L116">
        <f t="shared" ref="L116" si="117">L115+K116</f>
        <v>112</v>
      </c>
      <c r="M116">
        <f t="shared" ref="M116" si="118">2+IF(A116&gt;=DATEVALUE("2025/11/30")+TIMEVALUE("6:00"),1,0)+IF(A116&gt;=DATEVALUE("2025/12/11")+TIMEVALUE("6:00"),1,0)</f>
        <v>4</v>
      </c>
      <c r="N116">
        <f t="shared" ref="N116" si="119">N115+M116*(INT(A116-6/24)-INT(A115-6/24))+O116</f>
        <v>112</v>
      </c>
      <c r="O116">
        <f t="shared" ref="O116" si="120">IF(A116&gt;=DATEVALUE("2025/11/8")+TIMEVALUE("6:00"),1,0)-IF(A115&gt;=DATEVALUE("2025/11/8")+TIMEVALUE("6:00"),1,0)</f>
        <v>0</v>
      </c>
      <c r="P116" t="str">
        <f t="shared" ref="P116" si="121">IF(L116&lt;N116,"未達成（"&amp;N116-L116&amp;"）",IF(L116=N116,"達成","前倒し（"&amp;L116-N116&amp;"）"))</f>
        <v>達成</v>
      </c>
    </row>
    <row r="117" spans="1:16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288</v>
      </c>
      <c r="I117" t="s">
        <v>289</v>
      </c>
      <c r="J117">
        <v>0</v>
      </c>
      <c r="K117">
        <f t="shared" ref="K117" si="122">IF(A117&lt;DATEVALUE("2025/11/20")+TIMEVALUE("6:00"),1,IF(B117-SUM(D117:F117)&lt;&gt;60,0,MAX(2-INT(G117*24*60/10),0)))</f>
        <v>1</v>
      </c>
      <c r="L117">
        <f t="shared" ref="L117" si="123">L116+K117</f>
        <v>113</v>
      </c>
      <c r="M117">
        <f t="shared" ref="M117" si="124">2+IF(A117&gt;=DATEVALUE("2025/11/30")+TIMEVALUE("6:00"),1,0)+IF(A117&gt;=DATEVALUE("2025/12/11")+TIMEVALUE("6:00"),1,0)</f>
        <v>4</v>
      </c>
      <c r="N117">
        <f t="shared" ref="N117" si="125">N116+M117*(INT(A117-6/24)-INT(A116-6/24))+O117</f>
        <v>116</v>
      </c>
      <c r="O117">
        <f t="shared" ref="O117" si="126">IF(A117&gt;=DATEVALUE("2025/11/8")+TIMEVALUE("6:00"),1,0)-IF(A116&gt;=DATEVALUE("2025/11/8")+TIMEVALUE("6:00"),1,0)</f>
        <v>0</v>
      </c>
      <c r="P117" t="str">
        <f t="shared" ref="P117" si="127">IF(L117&lt;N117,"未達成（"&amp;N117-L117&amp;"）",IF(L117=N117,"達成","前倒し（"&amp;L117-N117&amp;"）"))</f>
        <v>未達成（3）</v>
      </c>
    </row>
    <row r="118" spans="1:16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290</v>
      </c>
      <c r="I118" t="s">
        <v>291</v>
      </c>
      <c r="J118">
        <v>0</v>
      </c>
      <c r="K118">
        <f t="shared" ref="K118" si="128">IF(A118&lt;DATEVALUE("2025/11/20")+TIMEVALUE("6:00"),1,IF(B118-SUM(D118:F118)&lt;&gt;60,0,MAX(2-INT(G118*24*60/10),0)))</f>
        <v>0</v>
      </c>
      <c r="L118">
        <f t="shared" ref="L118" si="129">L117+K118</f>
        <v>113</v>
      </c>
      <c r="M118">
        <f t="shared" ref="M118" si="130">2+IF(A118&gt;=DATEVALUE("2025/11/30")+TIMEVALUE("6:00"),1,0)+IF(A118&gt;=DATEVALUE("2025/12/11")+TIMEVALUE("6:00"),1,0)</f>
        <v>4</v>
      </c>
      <c r="N118">
        <f t="shared" ref="N118" si="131">N117+M118*(INT(A118-6/24)-INT(A117-6/24))+O118</f>
        <v>116</v>
      </c>
      <c r="O118">
        <f t="shared" ref="O118" si="132">IF(A118&gt;=DATEVALUE("2025/11/8")+TIMEVALUE("6:00"),1,0)-IF(A117&gt;=DATEVALUE("2025/11/8")+TIMEVALUE("6:00"),1,0)</f>
        <v>0</v>
      </c>
      <c r="P118" t="str">
        <f t="shared" ref="P118" si="133">IF(L118&lt;N118,"未達成（"&amp;N118-L118&amp;"）",IF(L118=N118,"達成","前倒し（"&amp;L118-N118&amp;"）"))</f>
        <v>未達成（3）</v>
      </c>
    </row>
    <row r="119" spans="1:16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292</v>
      </c>
      <c r="I119" t="s">
        <v>293</v>
      </c>
      <c r="J119">
        <v>0</v>
      </c>
      <c r="K119">
        <f t="shared" ref="K119" si="134">IF(A119&lt;DATEVALUE("2025/11/20")+TIMEVALUE("6:00"),1,IF(B119-SUM(D119:F119)&lt;&gt;60,0,MAX(2-INT(G119*24*60/10),0)))</f>
        <v>1</v>
      </c>
      <c r="L119">
        <f t="shared" ref="L119" si="135">L118+K119</f>
        <v>114</v>
      </c>
      <c r="M119">
        <f t="shared" ref="M119" si="136">2+IF(A119&gt;=DATEVALUE("2025/11/30")+TIMEVALUE("6:00"),1,0)+IF(A119&gt;=DATEVALUE("2025/12/11")+TIMEVALUE("6:00"),1,0)</f>
        <v>4</v>
      </c>
      <c r="N119">
        <f t="shared" ref="N119" si="137">N118+M119*(INT(A119-6/24)-INT(A118-6/24))+O119</f>
        <v>116</v>
      </c>
      <c r="O119">
        <f t="shared" ref="O119" si="138">IF(A119&gt;=DATEVALUE("2025/11/8")+TIMEVALUE("6:00"),1,0)-IF(A118&gt;=DATEVALUE("2025/11/8")+TIMEVALUE("6:00"),1,0)</f>
        <v>0</v>
      </c>
      <c r="P119" t="str">
        <f t="shared" ref="P119" si="139">IF(L119&lt;N119,"未達成（"&amp;N119-L119&amp;"）",IF(L119=N119,"達成","前倒し（"&amp;L119-N119&amp;"）"))</f>
        <v>未達成（2）</v>
      </c>
    </row>
    <row r="120" spans="1:16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294</v>
      </c>
      <c r="I120" t="s">
        <v>295</v>
      </c>
      <c r="J120">
        <v>0</v>
      </c>
      <c r="K120">
        <f t="shared" ref="K120" si="140">IF(A120&lt;DATEVALUE("2025/11/20")+TIMEVALUE("6:00"),1,IF(B120-SUM(D120:F120)&lt;&gt;60,0,MAX(2-INT(G120*24*60/10),0)))</f>
        <v>2</v>
      </c>
      <c r="L120">
        <f t="shared" ref="L120" si="141">L119+K120</f>
        <v>116</v>
      </c>
      <c r="M120">
        <f t="shared" ref="M120" si="142">2+IF(A120&gt;=DATEVALUE("2025/11/30")+TIMEVALUE("6:00"),1,0)+IF(A120&gt;=DATEVALUE("2025/12/11")+TIMEVALUE("6:00"),1,0)</f>
        <v>4</v>
      </c>
      <c r="N120">
        <f t="shared" ref="N120" si="143">N119+M120*(INT(A120-6/24)-INT(A119-6/24))+O120</f>
        <v>116</v>
      </c>
      <c r="O120">
        <f t="shared" ref="O120" si="144">IF(A120&gt;=DATEVALUE("2025/11/8")+TIMEVALUE("6:00"),1,0)-IF(A119&gt;=DATEVALUE("2025/11/8")+TIMEVALUE("6:00"),1,0)</f>
        <v>0</v>
      </c>
      <c r="P120" t="str">
        <f t="shared" ref="P120" si="145">IF(L120&lt;N120,"未達成（"&amp;N120-L120&amp;"）",IF(L120=N120,"達成","前倒し（"&amp;L120-N120&amp;"）"))</f>
        <v>達成</v>
      </c>
    </row>
    <row r="121" spans="1:16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296</v>
      </c>
      <c r="I121" t="s">
        <v>297</v>
      </c>
      <c r="J121">
        <v>0</v>
      </c>
      <c r="K121">
        <f t="shared" ref="K121" si="146">IF(A121&lt;DATEVALUE("2025/11/20")+TIMEVALUE("6:00"),1,IF(B121-SUM(D121:F121)&lt;&gt;60,0,MAX(2-INT(G121*24*60/10),0)))</f>
        <v>1</v>
      </c>
      <c r="L121">
        <f t="shared" ref="L121" si="147">L120+K121</f>
        <v>117</v>
      </c>
      <c r="M121">
        <f t="shared" ref="M121" si="148">2+IF(A121&gt;=DATEVALUE("2025/11/30")+TIMEVALUE("6:00"),1,0)+IF(A121&gt;=DATEVALUE("2025/12/11")+TIMEVALUE("6:00"),1,0)</f>
        <v>4</v>
      </c>
      <c r="N121">
        <f t="shared" ref="N121" si="149">N120+M121*(INT(A121-6/24)-INT(A120-6/24))+O121</f>
        <v>120</v>
      </c>
      <c r="O121">
        <f t="shared" ref="O121" si="150">IF(A121&gt;=DATEVALUE("2025/11/8")+TIMEVALUE("6:00"),1,0)-IF(A120&gt;=DATEVALUE("2025/11/8")+TIMEVALUE("6:00"),1,0)</f>
        <v>0</v>
      </c>
      <c r="P121" t="str">
        <f t="shared" ref="P121" si="151">IF(L121&lt;N121,"未達成（"&amp;N121-L121&amp;"）",IF(L121=N121,"達成","前倒し（"&amp;L121-N121&amp;"）"))</f>
        <v>未達成（3）</v>
      </c>
    </row>
    <row r="122" spans="1:16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298</v>
      </c>
      <c r="I122" t="s">
        <v>299</v>
      </c>
      <c r="J122">
        <v>0</v>
      </c>
      <c r="K122">
        <f t="shared" ref="K122" si="152">IF(A122&lt;DATEVALUE("2025/11/20")+TIMEVALUE("6:00"),1,IF(B122-SUM(D122:F122)&lt;&gt;60,0,MAX(2-INT(G122*24*60/10),0)))</f>
        <v>1</v>
      </c>
      <c r="L122">
        <f t="shared" ref="L122" si="153">L121+K122</f>
        <v>118</v>
      </c>
      <c r="M122">
        <f t="shared" ref="M122" si="154">2+IF(A122&gt;=DATEVALUE("2025/11/30")+TIMEVALUE("6:00"),1,0)+IF(A122&gt;=DATEVALUE("2025/12/11")+TIMEVALUE("6:00"),1,0)</f>
        <v>4</v>
      </c>
      <c r="N122">
        <f t="shared" ref="N122" si="155">N121+M122*(INT(A122-6/24)-INT(A121-6/24))+O122</f>
        <v>120</v>
      </c>
      <c r="O122">
        <f t="shared" ref="O122" si="156">IF(A122&gt;=DATEVALUE("2025/11/8")+TIMEVALUE("6:00"),1,0)-IF(A121&gt;=DATEVALUE("2025/11/8")+TIMEVALUE("6:00"),1,0)</f>
        <v>0</v>
      </c>
      <c r="P122" t="str">
        <f t="shared" ref="P122" si="157">IF(L122&lt;N122,"未達成（"&amp;N122-L122&amp;"）",IF(L122=N122,"達成","前倒し（"&amp;L122-N122&amp;"）"))</f>
        <v>未達成（2）</v>
      </c>
    </row>
    <row r="123" spans="1:16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300</v>
      </c>
      <c r="I123" t="s">
        <v>301</v>
      </c>
      <c r="J123">
        <v>0</v>
      </c>
      <c r="K123">
        <f t="shared" ref="K123" si="158">IF(A123&lt;DATEVALUE("2025/11/20")+TIMEVALUE("6:00"),1,IF(B123-SUM(D123:F123)&lt;&gt;60,0,MAX(2-INT(G123*24*60/10),0)))</f>
        <v>0</v>
      </c>
      <c r="L123">
        <f t="shared" ref="L123" si="159">L122+K123</f>
        <v>118</v>
      </c>
      <c r="M123">
        <f t="shared" ref="M123" si="160">2+IF(A123&gt;=DATEVALUE("2025/11/30")+TIMEVALUE("6:00"),1,0)+IF(A123&gt;=DATEVALUE("2025/12/11")+TIMEVALUE("6:00"),1,0)</f>
        <v>4</v>
      </c>
      <c r="N123">
        <f t="shared" ref="N123" si="161">N122+M123*(INT(A123-6/24)-INT(A122-6/24))+O123</f>
        <v>120</v>
      </c>
      <c r="O123">
        <f t="shared" ref="O123" si="162">IF(A123&gt;=DATEVALUE("2025/11/8")+TIMEVALUE("6:00"),1,0)-IF(A122&gt;=DATEVALUE("2025/11/8")+TIMEVALUE("6:00"),1,0)</f>
        <v>0</v>
      </c>
      <c r="P123" t="str">
        <f t="shared" ref="P123" si="163">IF(L123&lt;N123,"未達成（"&amp;N123-L123&amp;"）",IF(L123=N123,"達成","前倒し（"&amp;L123-N123&amp;"）"))</f>
        <v>未達成（2）</v>
      </c>
    </row>
    <row r="124" spans="1:16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302</v>
      </c>
      <c r="I124" t="s">
        <v>303</v>
      </c>
      <c r="J124">
        <v>0</v>
      </c>
      <c r="K124">
        <f t="shared" ref="K124" si="164">IF(A124&lt;DATEVALUE("2025/11/20")+TIMEVALUE("6:00"),1,IF(B124-SUM(D124:F124)&lt;&gt;60,0,MAX(2-INT(G124*24*60/10),0)))</f>
        <v>2</v>
      </c>
      <c r="L124">
        <f t="shared" ref="L124" si="165">L123+K124</f>
        <v>120</v>
      </c>
      <c r="M124">
        <f t="shared" ref="M124" si="166">2+IF(A124&gt;=DATEVALUE("2025/11/30")+TIMEVALUE("6:00"),1,0)+IF(A124&gt;=DATEVALUE("2025/12/11")+TIMEVALUE("6:00"),1,0)</f>
        <v>4</v>
      </c>
      <c r="N124">
        <f t="shared" ref="N124" si="167">N123+M124*(INT(A124-6/24)-INT(A123-6/24))+O124</f>
        <v>120</v>
      </c>
      <c r="O124">
        <f t="shared" ref="O124" si="168">IF(A124&gt;=DATEVALUE("2025/11/8")+TIMEVALUE("6:00"),1,0)-IF(A123&gt;=DATEVALUE("2025/11/8")+TIMEVALUE("6:00"),1,0)</f>
        <v>0</v>
      </c>
      <c r="P124" t="str">
        <f t="shared" ref="P124" si="169">IF(L124&lt;N124,"未達成（"&amp;N124-L124&amp;"）",IF(L124=N124,"達成","前倒し（"&amp;L124-N124&amp;"）"))</f>
        <v>達成</v>
      </c>
    </row>
    <row r="125" spans="1:16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304</v>
      </c>
      <c r="I125" t="s">
        <v>305</v>
      </c>
      <c r="J125">
        <v>0</v>
      </c>
      <c r="K125">
        <f t="shared" ref="K125" si="170">IF(A125&lt;DATEVALUE("2025/11/20")+TIMEVALUE("6:00"),1,IF(B125-SUM(D125:F125)&lt;&gt;60,0,MAX(2-INT(G125*24*60/10),0)))</f>
        <v>1</v>
      </c>
      <c r="L125">
        <f t="shared" ref="L125" si="171">L124+K125</f>
        <v>121</v>
      </c>
      <c r="M125">
        <f t="shared" ref="M125" si="172">2+IF(A125&gt;=DATEVALUE("2025/11/30")+TIMEVALUE("6:00"),1,0)+IF(A125&gt;=DATEVALUE("2025/12/11")+TIMEVALUE("6:00"),1,0)</f>
        <v>4</v>
      </c>
      <c r="N125">
        <f t="shared" ref="N125" si="173">N124+M125*(INT(A125-6/24)-INT(A124-6/24))+O125</f>
        <v>124</v>
      </c>
      <c r="O125">
        <f t="shared" ref="O125" si="174">IF(A125&gt;=DATEVALUE("2025/11/8")+TIMEVALUE("6:00"),1,0)-IF(A124&gt;=DATEVALUE("2025/11/8")+TIMEVALUE("6:00"),1,0)</f>
        <v>0</v>
      </c>
      <c r="P125" t="str">
        <f t="shared" ref="P125" si="175">IF(L125&lt;N125,"未達成（"&amp;N125-L125&amp;"）",IF(L125=N125,"達成","前倒し（"&amp;L125-N125&amp;"）"))</f>
        <v>未達成（3）</v>
      </c>
    </row>
    <row r="126" spans="1:16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306</v>
      </c>
      <c r="I126" t="s">
        <v>307</v>
      </c>
      <c r="J126">
        <v>0</v>
      </c>
      <c r="K126">
        <f t="shared" ref="K126" si="176">IF(A126&lt;DATEVALUE("2025/11/20")+TIMEVALUE("6:00"),1,IF(B126-SUM(D126:F126)&lt;&gt;60,0,MAX(2-INT(G126*24*60/10),0)))</f>
        <v>2</v>
      </c>
      <c r="L126">
        <f t="shared" ref="L126" si="177">L125+K126</f>
        <v>123</v>
      </c>
      <c r="M126">
        <f t="shared" ref="M126" si="178">2+IF(A126&gt;=DATEVALUE("2025/11/30")+TIMEVALUE("6:00"),1,0)+IF(A126&gt;=DATEVALUE("2025/12/11")+TIMEVALUE("6:00"),1,0)</f>
        <v>4</v>
      </c>
      <c r="N126">
        <f t="shared" ref="N126" si="179">N125+M126*(INT(A126-6/24)-INT(A125-6/24))+O126</f>
        <v>124</v>
      </c>
      <c r="O126">
        <f t="shared" ref="O126" si="180">IF(A126&gt;=DATEVALUE("2025/11/8")+TIMEVALUE("6:00"),1,0)-IF(A125&gt;=DATEVALUE("2025/11/8")+TIMEVALUE("6:00"),1,0)</f>
        <v>0</v>
      </c>
      <c r="P126" t="str">
        <f t="shared" ref="P126" si="181">IF(L126&lt;N126,"未達成（"&amp;N126-L126&amp;"）",IF(L126=N126,"達成","前倒し（"&amp;L126-N126&amp;"）"))</f>
        <v>未達成（1）</v>
      </c>
    </row>
    <row r="127" spans="1:16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308</v>
      </c>
      <c r="I127" t="s">
        <v>309</v>
      </c>
      <c r="J127">
        <v>0</v>
      </c>
      <c r="K127">
        <f t="shared" ref="K127" si="182">IF(A127&lt;DATEVALUE("2025/11/20")+TIMEVALUE("6:00"),1,IF(B127-SUM(D127:F127)&lt;&gt;60,0,MAX(2-INT(G127*24*60/10),0)))</f>
        <v>1</v>
      </c>
      <c r="L127">
        <f t="shared" ref="L127" si="183">L126+K127</f>
        <v>124</v>
      </c>
      <c r="M127">
        <f t="shared" ref="M127" si="184">2+IF(A127&gt;=DATEVALUE("2025/11/30")+TIMEVALUE("6:00"),1,0)+IF(A127&gt;=DATEVALUE("2025/12/11")+TIMEVALUE("6:00"),1,0)</f>
        <v>4</v>
      </c>
      <c r="N127">
        <f t="shared" ref="N127" si="185">N126+M127*(INT(A127-6/24)-INT(A126-6/24))+O127</f>
        <v>124</v>
      </c>
      <c r="O127">
        <f t="shared" ref="O127" si="186">IF(A127&gt;=DATEVALUE("2025/11/8")+TIMEVALUE("6:00"),1,0)-IF(A126&gt;=DATEVALUE("2025/11/8")+TIMEVALUE("6:00"),1,0)</f>
        <v>0</v>
      </c>
      <c r="P127" t="str">
        <f t="shared" ref="P127" si="187">IF(L127&lt;N127,"未達成（"&amp;N127-L127&amp;"）",IF(L127=N127,"達成","前倒し（"&amp;L127-N127&amp;"）"))</f>
        <v>達成</v>
      </c>
    </row>
    <row r="128" spans="1:16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310</v>
      </c>
      <c r="I128" t="s">
        <v>311</v>
      </c>
      <c r="J128">
        <v>0</v>
      </c>
      <c r="K128">
        <f t="shared" ref="K128" si="188">IF(A128&lt;DATEVALUE("2025/11/20")+TIMEVALUE("6:00"),1,IF(B128-SUM(D128:F128)&lt;&gt;60,0,MAX(2-INT(G128*24*60/10),0)))</f>
        <v>1</v>
      </c>
      <c r="L128">
        <f t="shared" ref="L128" si="189">L127+K128</f>
        <v>125</v>
      </c>
      <c r="M128">
        <f t="shared" ref="M128" si="190">2+IF(A128&gt;=DATEVALUE("2025/11/30")+TIMEVALUE("6:00"),1,0)+IF(A128&gt;=DATEVALUE("2025/12/11")+TIMEVALUE("6:00"),1,0)</f>
        <v>4</v>
      </c>
      <c r="N128">
        <f t="shared" ref="N128" si="191">N127+M128*(INT(A128-6/24)-INT(A127-6/24))+O128</f>
        <v>128</v>
      </c>
      <c r="O128">
        <f t="shared" ref="O128" si="192">IF(A128&gt;=DATEVALUE("2025/11/8")+TIMEVALUE("6:00"),1,0)-IF(A127&gt;=DATEVALUE("2025/11/8")+TIMEVALUE("6:00"),1,0)</f>
        <v>0</v>
      </c>
      <c r="P128" t="str">
        <f t="shared" ref="P128" si="193">IF(L128&lt;N128,"未達成（"&amp;N128-L128&amp;"）",IF(L128=N128,"達成","前倒し（"&amp;L128-N128&amp;"）"))</f>
        <v>未達成（3）</v>
      </c>
    </row>
    <row r="129" spans="1:16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312</v>
      </c>
      <c r="I129" t="s">
        <v>313</v>
      </c>
      <c r="J129">
        <v>0</v>
      </c>
      <c r="K129">
        <f t="shared" ref="K129" si="194">IF(A129&lt;DATEVALUE("2025/11/20")+TIMEVALUE("6:00"),1,IF(B129-SUM(D129:F129)&lt;&gt;60,0,MAX(2-INT(G129*24*60/10),0)))</f>
        <v>2</v>
      </c>
      <c r="L129">
        <f t="shared" ref="L129" si="195">L128+K129</f>
        <v>127</v>
      </c>
      <c r="M129">
        <f t="shared" ref="M129" si="196">2+IF(A129&gt;=DATEVALUE("2025/11/30")+TIMEVALUE("6:00"),1,0)+IF(A129&gt;=DATEVALUE("2025/12/11")+TIMEVALUE("6:00"),1,0)</f>
        <v>4</v>
      </c>
      <c r="N129">
        <f t="shared" ref="N129" si="197">N128+M129*(INT(A129-6/24)-INT(A128-6/24))+O129</f>
        <v>128</v>
      </c>
      <c r="O129">
        <f t="shared" ref="O129" si="198">IF(A129&gt;=DATEVALUE("2025/11/8")+TIMEVALUE("6:00"),1,0)-IF(A128&gt;=DATEVALUE("2025/11/8")+TIMEVALUE("6:00"),1,0)</f>
        <v>0</v>
      </c>
      <c r="P129" t="str">
        <f t="shared" ref="P129" si="199">IF(L129&lt;N129,"未達成（"&amp;N129-L129&amp;"）",IF(L129=N129,"達成","前倒し（"&amp;L129-N129&amp;"）"))</f>
        <v>未達成（1）</v>
      </c>
    </row>
    <row r="130" spans="1:16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314</v>
      </c>
      <c r="I130" t="s">
        <v>315</v>
      </c>
      <c r="J130">
        <v>0</v>
      </c>
      <c r="K130">
        <f t="shared" ref="K130" si="200">IF(A130&lt;DATEVALUE("2025/11/20")+TIMEVALUE("6:00"),1,IF(B130-SUM(D130:F130)&lt;&gt;60,0,MAX(2-INT(G130*24*60/10),0)))</f>
        <v>1</v>
      </c>
      <c r="L130">
        <f t="shared" ref="L130" si="201">L129+K130</f>
        <v>128</v>
      </c>
      <c r="M130">
        <f t="shared" ref="M130" si="202">2+IF(A130&gt;=DATEVALUE("2025/11/30")+TIMEVALUE("6:00"),1,0)+IF(A130&gt;=DATEVALUE("2025/12/11")+TIMEVALUE("6:00"),1,0)</f>
        <v>4</v>
      </c>
      <c r="N130">
        <f t="shared" ref="N130" si="203">N129+M130*(INT(A130-6/24)-INT(A129-6/24))+O130</f>
        <v>128</v>
      </c>
      <c r="O130">
        <f t="shared" ref="O130" si="204">IF(A130&gt;=DATEVALUE("2025/11/8")+TIMEVALUE("6:00"),1,0)-IF(A129&gt;=DATEVALUE("2025/11/8")+TIMEVALUE("6:00"),1,0)</f>
        <v>0</v>
      </c>
      <c r="P130" t="str">
        <f t="shared" ref="P130" si="205">IF(L130&lt;N130,"未達成（"&amp;N130-L130&amp;"）",IF(L130=N130,"達成","前倒し（"&amp;L130-N130&amp;"）"))</f>
        <v>達成</v>
      </c>
    </row>
    <row r="131" spans="1:16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316</v>
      </c>
      <c r="I131" t="s">
        <v>317</v>
      </c>
      <c r="J131">
        <v>0</v>
      </c>
      <c r="K131">
        <f t="shared" ref="K131" si="206">IF(A131&lt;DATEVALUE("2025/11/20")+TIMEVALUE("6:00"),1,IF(B131-SUM(D131:F131)&lt;&gt;60,0,MAX(2-INT(G131*24*60/10),0)))</f>
        <v>2</v>
      </c>
      <c r="L131">
        <f t="shared" ref="L131" si="207">L130+K131</f>
        <v>130</v>
      </c>
      <c r="M131">
        <f t="shared" ref="M131" si="208">2+IF(A131&gt;=DATEVALUE("2025/11/30")+TIMEVALUE("6:00"),1,0)+IF(A131&gt;=DATEVALUE("2025/12/11")+TIMEVALUE("6:00"),1,0)</f>
        <v>4</v>
      </c>
      <c r="N131">
        <f t="shared" ref="N131" si="209">N130+M131*(INT(A131-6/24)-INT(A130-6/24))+O131</f>
        <v>132</v>
      </c>
      <c r="O131">
        <f t="shared" ref="O131" si="210">IF(A131&gt;=DATEVALUE("2025/11/8")+TIMEVALUE("6:00"),1,0)-IF(A130&gt;=DATEVALUE("2025/11/8")+TIMEVALUE("6:00"),1,0)</f>
        <v>0</v>
      </c>
      <c r="P131" t="str">
        <f t="shared" ref="P131" si="211">IF(L131&lt;N131,"未達成（"&amp;N131-L131&amp;"）",IF(L131=N131,"達成","前倒し（"&amp;L131-N131&amp;"）"))</f>
        <v>未達成（2）</v>
      </c>
    </row>
    <row r="132" spans="1:16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318</v>
      </c>
      <c r="I132" t="s">
        <v>319</v>
      </c>
      <c r="J132">
        <v>0</v>
      </c>
      <c r="K132">
        <f t="shared" ref="K132" si="212">IF(A132&lt;DATEVALUE("2025/11/20")+TIMEVALUE("6:00"),1,IF(B132-SUM(D132:F132)&lt;&gt;60,0,MAX(2-INT(G132*24*60/10),0)))</f>
        <v>2</v>
      </c>
      <c r="L132">
        <f t="shared" ref="L132" si="213">L131+K132</f>
        <v>132</v>
      </c>
      <c r="M132">
        <f t="shared" ref="M132" si="214">2+IF(A132&gt;=DATEVALUE("2025/11/30")+TIMEVALUE("6:00"),1,0)+IF(A132&gt;=DATEVALUE("2025/12/11")+TIMEVALUE("6:00"),1,0)</f>
        <v>4</v>
      </c>
      <c r="N132">
        <f t="shared" ref="N132" si="215">N131+M132*(INT(A132-6/24)-INT(A131-6/24))+O132</f>
        <v>132</v>
      </c>
      <c r="O132">
        <f t="shared" ref="O132" si="216">IF(A132&gt;=DATEVALUE("2025/11/8")+TIMEVALUE("6:00"),1,0)-IF(A131&gt;=DATEVALUE("2025/11/8")+TIMEVALUE("6:00"),1,0)</f>
        <v>0</v>
      </c>
      <c r="P132" t="str">
        <f t="shared" ref="P132" si="217">IF(L132&lt;N132,"未達成（"&amp;N132-L132&amp;"）",IF(L132=N132,"達成","前倒し（"&amp;L132-N132&amp;"）"))</f>
        <v>達成</v>
      </c>
    </row>
    <row r="133" spans="1:16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320</v>
      </c>
      <c r="I133" t="s">
        <v>321</v>
      </c>
      <c r="J133">
        <v>0</v>
      </c>
      <c r="K133">
        <f t="shared" ref="K133" si="218">IF(A133&lt;DATEVALUE("2025/11/20")+TIMEVALUE("6:00"),1,IF(B133-SUM(D133:F133)&lt;&gt;60,0,MAX(2-INT(G133*24*60/10),0)))</f>
        <v>1</v>
      </c>
      <c r="L133">
        <f t="shared" ref="L133" si="219">L132+K133</f>
        <v>133</v>
      </c>
      <c r="M133">
        <f t="shared" ref="M133" si="220">2+IF(A133&gt;=DATEVALUE("2025/11/30")+TIMEVALUE("6:00"),1,0)+IF(A133&gt;=DATEVALUE("2025/12/11")+TIMEVALUE("6:00"),1,0)</f>
        <v>4</v>
      </c>
      <c r="N133">
        <f t="shared" ref="N133" si="221">N132+M133*(INT(A133-6/24)-INT(A132-6/24))+O133</f>
        <v>136</v>
      </c>
      <c r="O133">
        <f t="shared" ref="O133" si="222">IF(A133&gt;=DATEVALUE("2025/11/8")+TIMEVALUE("6:00"),1,0)-IF(A132&gt;=DATEVALUE("2025/11/8")+TIMEVALUE("6:00"),1,0)</f>
        <v>0</v>
      </c>
      <c r="P133" t="str">
        <f t="shared" ref="P133" si="223">IF(L133&lt;N133,"未達成（"&amp;N133-L133&amp;"）",IF(L133=N133,"達成","前倒し（"&amp;L133-N133&amp;"）"))</f>
        <v>未達成（3）</v>
      </c>
    </row>
    <row r="134" spans="1:16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322</v>
      </c>
      <c r="I134" t="s">
        <v>323</v>
      </c>
      <c r="J134">
        <v>0</v>
      </c>
      <c r="K134">
        <f t="shared" ref="K134" si="224">IF(A134&lt;DATEVALUE("2025/11/20")+TIMEVALUE("6:00"),1,IF(B134-SUM(D134:F134)&lt;&gt;60,0,MAX(2-INT(G134*24*60/10),0)))</f>
        <v>0</v>
      </c>
      <c r="L134">
        <f t="shared" ref="L134" si="225">L133+K134</f>
        <v>133</v>
      </c>
      <c r="M134">
        <f t="shared" ref="M134" si="226">2+IF(A134&gt;=DATEVALUE("2025/11/30")+TIMEVALUE("6:00"),1,0)+IF(A134&gt;=DATEVALUE("2025/12/11")+TIMEVALUE("6:00"),1,0)</f>
        <v>4</v>
      </c>
      <c r="N134">
        <f t="shared" ref="N134" si="227">N133+M134*(INT(A134-6/24)-INT(A133-6/24))+O134</f>
        <v>136</v>
      </c>
      <c r="O134">
        <f t="shared" ref="O134" si="228">IF(A134&gt;=DATEVALUE("2025/11/8")+TIMEVALUE("6:00"),1,0)-IF(A133&gt;=DATEVALUE("2025/11/8")+TIMEVALUE("6:00"),1,0)</f>
        <v>0</v>
      </c>
      <c r="P134" t="str">
        <f t="shared" ref="P134" si="229">IF(L134&lt;N134,"未達成（"&amp;N134-L134&amp;"）",IF(L134=N134,"達成","前倒し（"&amp;L134-N134&amp;"）"))</f>
        <v>未達成（3）</v>
      </c>
    </row>
    <row r="135" spans="1:16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324</v>
      </c>
      <c r="I135" t="s">
        <v>325</v>
      </c>
      <c r="J135">
        <v>0</v>
      </c>
      <c r="K135">
        <f t="shared" ref="K135" si="230">IF(A135&lt;DATEVALUE("2025/11/20")+TIMEVALUE("6:00"),1,IF(B135-SUM(D135:F135)&lt;&gt;60,0,MAX(2-INT(G135*24*60/10),0)))</f>
        <v>1</v>
      </c>
      <c r="L135">
        <f t="shared" ref="L135" si="231">L134+K135</f>
        <v>134</v>
      </c>
      <c r="M135">
        <f t="shared" ref="M135" si="232">2+IF(A135&gt;=DATEVALUE("2025/11/30")+TIMEVALUE("6:00"),1,0)+IF(A135&gt;=DATEVALUE("2025/12/11")+TIMEVALUE("6:00"),1,0)</f>
        <v>4</v>
      </c>
      <c r="N135">
        <f t="shared" ref="N135" si="233">N134+M135*(INT(A135-6/24)-INT(A134-6/24))+O135</f>
        <v>136</v>
      </c>
      <c r="O135">
        <f t="shared" ref="O135" si="234">IF(A135&gt;=DATEVALUE("2025/11/8")+TIMEVALUE("6:00"),1,0)-IF(A134&gt;=DATEVALUE("2025/11/8")+TIMEVALUE("6:00"),1,0)</f>
        <v>0</v>
      </c>
      <c r="P135" t="str">
        <f t="shared" ref="P135" si="235">IF(L135&lt;N135,"未達成（"&amp;N135-L135&amp;"）",IF(L135=N135,"達成","前倒し（"&amp;L135-N135&amp;"）"))</f>
        <v>未達成（2）</v>
      </c>
    </row>
    <row r="136" spans="1:16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326</v>
      </c>
      <c r="I136" t="s">
        <v>327</v>
      </c>
      <c r="J136">
        <v>0</v>
      </c>
      <c r="K136">
        <f t="shared" ref="K136" si="236">IF(A136&lt;DATEVALUE("2025/11/20")+TIMEVALUE("6:00"),1,IF(B136-SUM(D136:F136)&lt;&gt;60,0,MAX(2-INT(G136*24*60/10),0)))</f>
        <v>2</v>
      </c>
      <c r="L136">
        <f t="shared" ref="L136" si="237">L135+K136</f>
        <v>136</v>
      </c>
      <c r="M136">
        <f t="shared" ref="M136" si="238">2+IF(A136&gt;=DATEVALUE("2025/11/30")+TIMEVALUE("6:00"),1,0)+IF(A136&gt;=DATEVALUE("2025/12/11")+TIMEVALUE("6:00"),1,0)</f>
        <v>4</v>
      </c>
      <c r="N136">
        <f t="shared" ref="N136" si="239">N135+M136*(INT(A136-6/24)-INT(A135-6/24))+O136</f>
        <v>136</v>
      </c>
      <c r="O136">
        <f t="shared" ref="O136" si="240">IF(A136&gt;=DATEVALUE("2025/11/8")+TIMEVALUE("6:00"),1,0)-IF(A135&gt;=DATEVALUE("2025/11/8")+TIMEVALUE("6:00"),1,0)</f>
        <v>0</v>
      </c>
      <c r="P136" t="str">
        <f t="shared" ref="P136" si="241">IF(L136&lt;N136,"未達成（"&amp;N136-L136&amp;"）",IF(L136=N136,"達成","前倒し（"&amp;L136-N136&amp;"）"))</f>
        <v>達成</v>
      </c>
    </row>
    <row r="137" spans="1:16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328</v>
      </c>
      <c r="I137" t="s">
        <v>329</v>
      </c>
      <c r="J137">
        <v>0</v>
      </c>
      <c r="K137">
        <f t="shared" ref="K137" si="242">IF(A137&lt;DATEVALUE("2025/11/20")+TIMEVALUE("6:00"),1,IF(B137-SUM(D137:F137)&lt;&gt;60,0,MAX(2-INT(G137*24*60/10),0)))</f>
        <v>2</v>
      </c>
      <c r="L137">
        <f t="shared" ref="L137" si="243">L136+K137</f>
        <v>138</v>
      </c>
      <c r="M137">
        <f t="shared" ref="M137" si="244">2+IF(A137&gt;=DATEVALUE("2025/11/30")+TIMEVALUE("6:00"),1,0)+IF(A137&gt;=DATEVALUE("2025/12/11")+TIMEVALUE("6:00"),1,0)</f>
        <v>4</v>
      </c>
      <c r="N137">
        <f t="shared" ref="N137" si="245">N136+M137*(INT(A137-6/24)-INT(A136-6/24))+O137</f>
        <v>140</v>
      </c>
      <c r="O137">
        <f t="shared" ref="O137" si="246">IF(A137&gt;=DATEVALUE("2025/11/8")+TIMEVALUE("6:00"),1,0)-IF(A136&gt;=DATEVALUE("2025/11/8")+TIMEVALUE("6:00"),1,0)</f>
        <v>0</v>
      </c>
      <c r="P137" t="str">
        <f t="shared" ref="P137" si="247">IF(L137&lt;N137,"未達成（"&amp;N137-L137&amp;"）",IF(L137=N137,"達成","前倒し（"&amp;L137-N137&amp;"）"))</f>
        <v>未達成（2）</v>
      </c>
    </row>
    <row r="138" spans="1:16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330</v>
      </c>
      <c r="I138" t="s">
        <v>331</v>
      </c>
      <c r="J138">
        <v>0</v>
      </c>
      <c r="K138">
        <f t="shared" ref="K138" si="248">IF(A138&lt;DATEVALUE("2025/11/20")+TIMEVALUE("6:00"),1,IF(B138-SUM(D138:F138)&lt;&gt;60,0,MAX(2-INT(G138*24*60/10),0)))</f>
        <v>0</v>
      </c>
      <c r="L138">
        <f t="shared" ref="L138" si="249">L137+K138</f>
        <v>138</v>
      </c>
      <c r="M138">
        <f t="shared" ref="M138" si="250">2+IF(A138&gt;=DATEVALUE("2025/11/30")+TIMEVALUE("6:00"),1,0)+IF(A138&gt;=DATEVALUE("2025/12/11")+TIMEVALUE("6:00"),1,0)</f>
        <v>4</v>
      </c>
      <c r="N138">
        <f t="shared" ref="N138" si="251">N137+M138*(INT(A138-6/24)-INT(A137-6/24))+O138</f>
        <v>140</v>
      </c>
      <c r="O138">
        <f t="shared" ref="O138" si="252">IF(A138&gt;=DATEVALUE("2025/11/8")+TIMEVALUE("6:00"),1,0)-IF(A137&gt;=DATEVALUE("2025/11/8")+TIMEVALUE("6:00"),1,0)</f>
        <v>0</v>
      </c>
      <c r="P138" t="str">
        <f t="shared" ref="P138" si="253">IF(L138&lt;N138,"未達成（"&amp;N138-L138&amp;"）",IF(L138=N138,"達成","前倒し（"&amp;L138-N138&amp;"）"))</f>
        <v>未達成（2）</v>
      </c>
    </row>
    <row r="139" spans="1:16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332</v>
      </c>
      <c r="I139" t="s">
        <v>333</v>
      </c>
      <c r="J139">
        <v>0</v>
      </c>
      <c r="K139">
        <f t="shared" ref="K139" si="254">IF(A139&lt;DATEVALUE("2025/11/20")+TIMEVALUE("6:00"),1,IF(B139-SUM(D139:F139)&lt;&gt;60,0,MAX(2-INT(G139*24*60/10),0)))</f>
        <v>2</v>
      </c>
      <c r="L139">
        <f t="shared" ref="L139" si="255">L138+K139</f>
        <v>140</v>
      </c>
      <c r="M139">
        <f t="shared" ref="M139" si="256">2+IF(A139&gt;=DATEVALUE("2025/11/30")+TIMEVALUE("6:00"),1,0)+IF(A139&gt;=DATEVALUE("2025/12/11")+TIMEVALUE("6:00"),1,0)</f>
        <v>4</v>
      </c>
      <c r="N139">
        <f t="shared" ref="N139" si="257">N138+M139*(INT(A139-6/24)-INT(A138-6/24))+O139</f>
        <v>140</v>
      </c>
      <c r="O139">
        <f t="shared" ref="O139" si="258">IF(A139&gt;=DATEVALUE("2025/11/8")+TIMEVALUE("6:00"),1,0)-IF(A138&gt;=DATEVALUE("2025/11/8")+TIMEVALUE("6:00"),1,0)</f>
        <v>0</v>
      </c>
      <c r="P139" t="str">
        <f t="shared" ref="P139" si="259">IF(L139&lt;N139,"未達成（"&amp;N139-L139&amp;"）",IF(L139=N139,"達成","前倒し（"&amp;L139-N139&amp;"）"))</f>
        <v>達成</v>
      </c>
    </row>
    <row r="140" spans="1:16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334</v>
      </c>
      <c r="I140" t="s">
        <v>335</v>
      </c>
      <c r="J140">
        <v>0</v>
      </c>
      <c r="K140">
        <f t="shared" ref="K140" si="260">IF(A140&lt;DATEVALUE("2025/11/20")+TIMEVALUE("6:00"),1,IF(B140-SUM(D140:F140)&lt;&gt;60,0,MAX(2-INT(G140*24*60/10),0)))</f>
        <v>1</v>
      </c>
      <c r="L140">
        <f t="shared" ref="L140" si="261">L139+K140</f>
        <v>141</v>
      </c>
      <c r="M140">
        <f t="shared" ref="M140" si="262">2+IF(A140&gt;=DATEVALUE("2025/11/30")+TIMEVALUE("6:00"),1,0)+IF(A140&gt;=DATEVALUE("2025/12/11")+TIMEVALUE("6:00"),1,0)</f>
        <v>4</v>
      </c>
      <c r="N140">
        <f t="shared" ref="N140" si="263">N139+M140*(INT(A140-6/24)-INT(A139-6/24))+O140</f>
        <v>144</v>
      </c>
      <c r="O140">
        <f t="shared" ref="O140" si="264">IF(A140&gt;=DATEVALUE("2025/11/8")+TIMEVALUE("6:00"),1,0)-IF(A139&gt;=DATEVALUE("2025/11/8")+TIMEVALUE("6:00"),1,0)</f>
        <v>0</v>
      </c>
      <c r="P140" t="str">
        <f t="shared" ref="P140" si="265">IF(L140&lt;N140,"未達成（"&amp;N140-L140&amp;"）",IF(L140=N140,"達成","前倒し（"&amp;L140-N140&amp;"）"))</f>
        <v>未達成（3）</v>
      </c>
    </row>
    <row r="141" spans="1:16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336</v>
      </c>
      <c r="I141" t="s">
        <v>337</v>
      </c>
      <c r="J141">
        <v>0</v>
      </c>
      <c r="K141">
        <f t="shared" ref="K141" si="266">IF(A141&lt;DATEVALUE("2025/11/20")+TIMEVALUE("6:00"),1,IF(B141-SUM(D141:F141)&lt;&gt;60,0,MAX(2-INT(G141*24*60/10),0)))</f>
        <v>2</v>
      </c>
      <c r="L141">
        <f t="shared" ref="L141" si="267">L140+K141</f>
        <v>143</v>
      </c>
      <c r="M141">
        <f t="shared" ref="M141" si="268">2+IF(A141&gt;=DATEVALUE("2025/11/30")+TIMEVALUE("6:00"),1,0)+IF(A141&gt;=DATEVALUE("2025/12/11")+TIMEVALUE("6:00"),1,0)</f>
        <v>4</v>
      </c>
      <c r="N141">
        <f t="shared" ref="N141" si="269">N140+M141*(INT(A141-6/24)-INT(A140-6/24))+O141</f>
        <v>144</v>
      </c>
      <c r="O141">
        <f t="shared" ref="O141" si="270">IF(A141&gt;=DATEVALUE("2025/11/8")+TIMEVALUE("6:00"),1,0)-IF(A140&gt;=DATEVALUE("2025/11/8")+TIMEVALUE("6:00"),1,0)</f>
        <v>0</v>
      </c>
      <c r="P141" t="str">
        <f t="shared" ref="P141" si="271">IF(L141&lt;N141,"未達成（"&amp;N141-L141&amp;"）",IF(L141=N141,"達成","前倒し（"&amp;L141-N141&amp;"）"))</f>
        <v>未達成（1）</v>
      </c>
    </row>
    <row r="142" spans="1:16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338</v>
      </c>
      <c r="I142" t="s">
        <v>339</v>
      </c>
      <c r="J142">
        <v>0</v>
      </c>
      <c r="K142">
        <f t="shared" ref="K142" si="272">IF(A142&lt;DATEVALUE("2025/11/20")+TIMEVALUE("6:00"),1,IF(B142-SUM(D142:F142)&lt;&gt;60,0,MAX(2-INT(G142*24*60/10),0)))</f>
        <v>1</v>
      </c>
      <c r="L142">
        <f t="shared" ref="L142" si="273">L141+K142</f>
        <v>144</v>
      </c>
      <c r="M142">
        <f t="shared" ref="M142" si="274">2+IF(A142&gt;=DATEVALUE("2025/11/30")+TIMEVALUE("6:00"),1,0)+IF(A142&gt;=DATEVALUE("2025/12/11")+TIMEVALUE("6:00"),1,0)</f>
        <v>4</v>
      </c>
      <c r="N142">
        <f t="shared" ref="N142" si="275">N141+M142*(INT(A142-6/24)-INT(A141-6/24))+O142</f>
        <v>144</v>
      </c>
      <c r="O142">
        <f t="shared" ref="O142" si="276">IF(A142&gt;=DATEVALUE("2025/11/8")+TIMEVALUE("6:00"),1,0)-IF(A141&gt;=DATEVALUE("2025/11/8")+TIMEVALUE("6:00"),1,0)</f>
        <v>0</v>
      </c>
      <c r="P142" t="str">
        <f t="shared" ref="P142" si="277">IF(L142&lt;N142,"未達成（"&amp;N142-L142&amp;"）",IF(L142=N142,"達成","前倒し（"&amp;L142-N142&amp;"）"))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CreateChart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>
      <selection activeCell="A3" sqref="A3"/>
    </sheetView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2">
        <v>46016.78087962963</v>
      </c>
      <c r="D3" s="23"/>
    </row>
    <row r="4" spans="1:4">
      <c r="A4" t="s">
        <v>340</v>
      </c>
      <c r="C4" s="24">
        <v>0</v>
      </c>
      <c r="D4" s="23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2025-12-25T09:45:03Z</dcterms:modified>
</cp:coreProperties>
</file>
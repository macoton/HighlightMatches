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A650868D-66FE-4786-A872-F072BA45377C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74" i="4" l="1"/>
  <c r="O274" i="4"/>
  <c r="M274" i="4"/>
  <c r="N274" i="4" s="1"/>
  <c r="K274" i="4"/>
  <c r="L274" i="4" s="1"/>
  <c r="P274" i="4" s="1"/>
  <c r="Q273" i="4"/>
  <c r="O273" i="4"/>
  <c r="M273" i="4"/>
  <c r="N273" i="4" s="1"/>
  <c r="K273" i="4"/>
  <c r="L273" i="4" s="1"/>
  <c r="P273" i="4" s="1"/>
  <c r="Q272" i="4"/>
  <c r="O272" i="4"/>
  <c r="M272" i="4"/>
  <c r="N272" i="4" s="1"/>
  <c r="K272" i="4"/>
  <c r="L272" i="4" s="1"/>
  <c r="P272" i="4" s="1"/>
  <c r="Q271" i="4"/>
  <c r="O271" i="4"/>
  <c r="M271" i="4"/>
  <c r="N271" i="4" s="1"/>
  <c r="K271" i="4"/>
  <c r="L271" i="4" s="1"/>
  <c r="P271" i="4" s="1"/>
  <c r="Q270" i="4"/>
  <c r="O270" i="4"/>
  <c r="M270" i="4"/>
  <c r="N270" i="4" s="1"/>
  <c r="K270" i="4"/>
  <c r="L270" i="4" s="1"/>
  <c r="P270" i="4" s="1"/>
  <c r="Q269" i="4"/>
  <c r="O269" i="4"/>
  <c r="M269" i="4"/>
  <c r="N269" i="4" s="1"/>
  <c r="K269" i="4"/>
  <c r="L269" i="4" s="1"/>
  <c r="P269" i="4" s="1"/>
  <c r="Q268" i="4"/>
  <c r="O268" i="4"/>
  <c r="M268" i="4"/>
  <c r="N268" i="4" s="1"/>
  <c r="K268" i="4"/>
  <c r="L268" i="4" s="1"/>
  <c r="P268" i="4" s="1"/>
  <c r="Q267" i="4"/>
  <c r="O267" i="4"/>
  <c r="M267" i="4"/>
  <c r="N267" i="4" s="1"/>
  <c r="K267" i="4"/>
  <c r="L267" i="4" s="1"/>
  <c r="P267" i="4" s="1"/>
  <c r="Q266" i="4"/>
  <c r="O266" i="4"/>
  <c r="M266" i="4"/>
  <c r="N266" i="4" s="1"/>
  <c r="K266" i="4"/>
  <c r="L266" i="4" s="1"/>
  <c r="Q265" i="4"/>
  <c r="O265" i="4"/>
  <c r="M265" i="4"/>
  <c r="N265" i="4" s="1"/>
  <c r="K265" i="4"/>
  <c r="L265" i="4" s="1"/>
  <c r="Q264" i="4"/>
  <c r="O264" i="4"/>
  <c r="M264" i="4"/>
  <c r="N264" i="4" s="1"/>
  <c r="K264" i="4"/>
  <c r="L264" i="4" s="1"/>
  <c r="P264" i="4" s="1"/>
  <c r="Q263" i="4"/>
  <c r="O263" i="4"/>
  <c r="M263" i="4"/>
  <c r="N263" i="4" s="1"/>
  <c r="K263" i="4"/>
  <c r="L263" i="4" s="1"/>
  <c r="Q262" i="4"/>
  <c r="O262" i="4"/>
  <c r="M262" i="4"/>
  <c r="N262" i="4" s="1"/>
  <c r="K262" i="4"/>
  <c r="L262" i="4" s="1"/>
  <c r="Q261" i="4"/>
  <c r="O261" i="4"/>
  <c r="M261" i="4"/>
  <c r="N261" i="4" s="1"/>
  <c r="K261" i="4"/>
  <c r="L261" i="4" s="1"/>
  <c r="P261" i="4" s="1"/>
  <c r="Q260" i="4"/>
  <c r="O260" i="4"/>
  <c r="M260" i="4"/>
  <c r="N260" i="4" s="1"/>
  <c r="K260" i="4"/>
  <c r="L260" i="4" s="1"/>
  <c r="Q259" i="4"/>
  <c r="O259" i="4"/>
  <c r="M259" i="4"/>
  <c r="N259" i="4" s="1"/>
  <c r="K259" i="4"/>
  <c r="L259" i="4" s="1"/>
  <c r="P259" i="4" s="1"/>
  <c r="Q258" i="4"/>
  <c r="O258" i="4"/>
  <c r="M258" i="4"/>
  <c r="N258" i="4" s="1"/>
  <c r="K258" i="4"/>
  <c r="L258" i="4" s="1"/>
  <c r="P258" i="4" s="1"/>
  <c r="Q257" i="4"/>
  <c r="O257" i="4"/>
  <c r="M257" i="4"/>
  <c r="N257" i="4" s="1"/>
  <c r="K257" i="4"/>
  <c r="L257" i="4" s="1"/>
  <c r="Q256" i="4"/>
  <c r="O256" i="4"/>
  <c r="M256" i="4"/>
  <c r="N256" i="4" s="1"/>
  <c r="K256" i="4"/>
  <c r="L256" i="4" s="1"/>
  <c r="P256" i="4" s="1"/>
  <c r="Q255" i="4"/>
  <c r="O255" i="4"/>
  <c r="M255" i="4"/>
  <c r="N255" i="4" s="1"/>
  <c r="K255" i="4"/>
  <c r="L255" i="4" s="1"/>
  <c r="P255" i="4" s="1"/>
  <c r="Q254" i="4"/>
  <c r="O254" i="4"/>
  <c r="M254" i="4"/>
  <c r="N254" i="4" s="1"/>
  <c r="K254" i="4"/>
  <c r="L254" i="4" s="1"/>
  <c r="P254" i="4" s="1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66" i="4" l="1"/>
  <c r="P265" i="4"/>
  <c r="P263" i="4"/>
  <c r="P262" i="4"/>
  <c r="P260" i="4"/>
  <c r="P257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P253" i="4" l="1"/>
</calcChain>
</file>

<file path=xl/sharedStrings.xml><?xml version="1.0" encoding="utf-8"?>
<sst xmlns="http://schemas.openxmlformats.org/spreadsheetml/2006/main" count="625" uniqueCount="604">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</sst>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データ!$A$3:$A$274</c:f>
              <c:numCache>
                <c:formatCode>m/d/yyyy\ h:mm</c:formatCode>
                <c:ptCount val="27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</c:numCache>
            </c:numRef>
          </c:xVal>
          <c:yVal>
            <c:numRef>
              <c:f>データ!$B$3:$B$274</c:f>
              <c:numCache>
                <c:formatCode>General</c:formatCode>
                <c:ptCount val="272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4-4097-A225-E638A0FC1F4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93F4-4097-A225-E638A0FC1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4928255"/>
        <c:axId val="1114933535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データ!$A$3:$A$274</c:f>
              <c:numCache>
                <c:formatCode>m/d/yyyy\ h:mm</c:formatCode>
                <c:ptCount val="27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</c:numCache>
            </c:numRef>
          </c:xVal>
          <c:yVal>
            <c:numRef>
              <c:f>データ!$Q$3:$Q$274</c:f>
              <c:numCache>
                <c:formatCode>[h]:mm</c:formatCode>
                <c:ptCount val="272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4-4097-A225-E638A0FC1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4930175"/>
        <c:axId val="1114920575"/>
      </c:scatterChart>
      <c:valAx>
        <c:axId val="1114928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4933535"/>
        <c:crosses val="autoZero"/>
        <c:crossBetween val="midCat"/>
      </c:valAx>
      <c:valAx>
        <c:axId val="111493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4928255"/>
        <c:crosses val="autoZero"/>
        <c:crossBetween val="midCat"/>
      </c:valAx>
      <c:valAx>
        <c:axId val="1114920575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4930175"/>
        <c:crosses val="max"/>
        <c:crossBetween val="midCat"/>
      </c:valAx>
      <c:valAx>
        <c:axId val="111493017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4920575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211931</xdr:colOff>
      <xdr:row>2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287" name="Match0">
          <a:extLst>
            <a:ext uri="{FF2B5EF4-FFF2-40B4-BE49-F238E27FC236}">
              <a16:creationId xmlns:a16="http://schemas.microsoft.com/office/drawing/2014/main" id="{7E24AC2F-EDE1-EA5E-D489-2F2C99143388}"/>
            </a:ext>
          </a:extLst>
        </xdr:cNvPr>
        <xdr:cNvCxnSpPr/>
      </xdr:nvCxnSpPr>
      <xdr:spPr>
        <a:xfrm flipH="1">
          <a:off x="1907381" y="892969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288" name="Match1">
          <a:extLst>
            <a:ext uri="{FF2B5EF4-FFF2-40B4-BE49-F238E27FC236}">
              <a16:creationId xmlns:a16="http://schemas.microsoft.com/office/drawing/2014/main" id="{69FB76B8-A3A9-91DC-880E-407F4447DA9A}"/>
            </a:ext>
          </a:extLst>
        </xdr:cNvPr>
        <xdr:cNvCxnSpPr/>
      </xdr:nvCxnSpPr>
      <xdr:spPr>
        <a:xfrm>
          <a:off x="14835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4</xdr:col>
      <xdr:colOff>237331</xdr:colOff>
      <xdr:row>1</xdr:row>
      <xdr:rowOff>203993</xdr:rowOff>
    </xdr:to>
    <xdr:cxnSp macro="">
      <xdr:nvCxnSpPr>
        <xdr:cNvPr id="1289" name="Match2">
          <a:extLst>
            <a:ext uri="{FF2B5EF4-FFF2-40B4-BE49-F238E27FC236}">
              <a16:creationId xmlns:a16="http://schemas.microsoft.com/office/drawing/2014/main" id="{D3031386-62C4-FB36-5B6F-90ADCA5CE527}"/>
            </a:ext>
          </a:extLst>
        </xdr:cNvPr>
        <xdr:cNvCxnSpPr/>
      </xdr:nvCxnSpPr>
      <xdr:spPr>
        <a:xfrm flipV="1">
          <a:off x="150891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4</xdr:col>
      <xdr:colOff>211931</xdr:colOff>
      <xdr:row>2</xdr:row>
      <xdr:rowOff>178594</xdr:rowOff>
    </xdr:to>
    <xdr:cxnSp macro="">
      <xdr:nvCxnSpPr>
        <xdr:cNvPr id="1290" name="Match3">
          <a:extLst>
            <a:ext uri="{FF2B5EF4-FFF2-40B4-BE49-F238E27FC236}">
              <a16:creationId xmlns:a16="http://schemas.microsoft.com/office/drawing/2014/main" id="{7FF1905C-6E13-0E69-2C5D-9B1B5FC6F8F5}"/>
            </a:ext>
          </a:extLst>
        </xdr:cNvPr>
        <xdr:cNvCxnSpPr/>
      </xdr:nvCxnSpPr>
      <xdr:spPr>
        <a:xfrm flipH="1">
          <a:off x="148351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4</xdr:col>
      <xdr:colOff>237331</xdr:colOff>
      <xdr:row>1</xdr:row>
      <xdr:rowOff>203993</xdr:rowOff>
    </xdr:to>
    <xdr:cxnSp macro="">
      <xdr:nvCxnSpPr>
        <xdr:cNvPr id="1291" name="Match4">
          <a:extLst>
            <a:ext uri="{FF2B5EF4-FFF2-40B4-BE49-F238E27FC236}">
              <a16:creationId xmlns:a16="http://schemas.microsoft.com/office/drawing/2014/main" id="{06DFB3A3-4CC2-C394-7F86-E6F8CFB16A5D}"/>
            </a:ext>
          </a:extLst>
        </xdr:cNvPr>
        <xdr:cNvCxnSpPr/>
      </xdr:nvCxnSpPr>
      <xdr:spPr>
        <a:xfrm flipV="1">
          <a:off x="1932781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292" name="Match5">
          <a:extLst>
            <a:ext uri="{FF2B5EF4-FFF2-40B4-BE49-F238E27FC236}">
              <a16:creationId xmlns:a16="http://schemas.microsoft.com/office/drawing/2014/main" id="{75C86459-3808-6CFB-27A6-50F0F3A7C4E5}"/>
            </a:ext>
          </a:extLst>
        </xdr:cNvPr>
        <xdr:cNvCxnSpPr/>
      </xdr:nvCxnSpPr>
      <xdr:spPr>
        <a:xfrm flipH="1" flipV="1"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1293" name="Match6">
          <a:extLst>
            <a:ext uri="{FF2B5EF4-FFF2-40B4-BE49-F238E27FC236}">
              <a16:creationId xmlns:a16="http://schemas.microsoft.com/office/drawing/2014/main" id="{5953AA87-5754-9823-D08E-AB92C64FC0E6}"/>
            </a:ext>
          </a:extLst>
        </xdr:cNvPr>
        <xdr:cNvCxnSpPr/>
      </xdr:nvCxnSpPr>
      <xdr:spPr>
        <a:xfrm flipH="1">
          <a:off x="40266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294" name="Match7">
          <a:extLst>
            <a:ext uri="{FF2B5EF4-FFF2-40B4-BE49-F238E27FC236}">
              <a16:creationId xmlns:a16="http://schemas.microsoft.com/office/drawing/2014/main" id="{10D52298-BEA4-3EB9-78FD-3B46C9AB8A38}"/>
            </a:ext>
          </a:extLst>
        </xdr:cNvPr>
        <xdr:cNvCxnSpPr/>
      </xdr:nvCxnSpPr>
      <xdr:spPr>
        <a:xfrm flipV="1">
          <a:off x="148351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7</xdr:col>
      <xdr:colOff>211931</xdr:colOff>
      <xdr:row>3</xdr:row>
      <xdr:rowOff>178593</xdr:rowOff>
    </xdr:to>
    <xdr:cxnSp macro="">
      <xdr:nvCxnSpPr>
        <xdr:cNvPr id="1295" name="Match8">
          <a:extLst>
            <a:ext uri="{FF2B5EF4-FFF2-40B4-BE49-F238E27FC236}">
              <a16:creationId xmlns:a16="http://schemas.microsoft.com/office/drawing/2014/main" id="{9BA83567-DE47-AB18-AF52-5878CFBBA95E}"/>
            </a:ext>
          </a:extLst>
        </xdr:cNvPr>
        <xdr:cNvCxnSpPr/>
      </xdr:nvCxnSpPr>
      <xdr:spPr>
        <a:xfrm>
          <a:off x="275510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3</xdr:row>
      <xdr:rowOff>203993</xdr:rowOff>
    </xdr:from>
    <xdr:to>
      <xdr:col>6</xdr:col>
      <xdr:colOff>237331</xdr:colOff>
      <xdr:row>4</xdr:row>
      <xdr:rowOff>203994</xdr:rowOff>
    </xdr:to>
    <xdr:cxnSp macro="">
      <xdr:nvCxnSpPr>
        <xdr:cNvPr id="1296" name="Match9">
          <a:extLst>
            <a:ext uri="{FF2B5EF4-FFF2-40B4-BE49-F238E27FC236}">
              <a16:creationId xmlns:a16="http://schemas.microsoft.com/office/drawing/2014/main" id="{4EBD24AF-49C4-FC34-0CC3-C9852352225D}"/>
            </a:ext>
          </a:extLst>
        </xdr:cNvPr>
        <xdr:cNvCxnSpPr/>
      </xdr:nvCxnSpPr>
      <xdr:spPr>
        <a:xfrm flipH="1">
          <a:off x="2356644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3</xdr:row>
      <xdr:rowOff>229393</xdr:rowOff>
    </xdr:from>
    <xdr:to>
      <xdr:col>6</xdr:col>
      <xdr:colOff>262731</xdr:colOff>
      <xdr:row>3</xdr:row>
      <xdr:rowOff>229393</xdr:rowOff>
    </xdr:to>
    <xdr:cxnSp macro="">
      <xdr:nvCxnSpPr>
        <xdr:cNvPr id="1297" name="Match10">
          <a:extLst>
            <a:ext uri="{FF2B5EF4-FFF2-40B4-BE49-F238E27FC236}">
              <a16:creationId xmlns:a16="http://schemas.microsoft.com/office/drawing/2014/main" id="{2EBF6781-1867-98F7-2FDD-3130B2A23E6E}"/>
            </a:ext>
          </a:extLst>
        </xdr:cNvPr>
        <xdr:cNvCxnSpPr/>
      </xdr:nvCxnSpPr>
      <xdr:spPr>
        <a:xfrm flipH="1">
          <a:off x="2382044" y="1300956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288131</xdr:colOff>
      <xdr:row>2</xdr:row>
      <xdr:rowOff>254794</xdr:rowOff>
    </xdr:from>
    <xdr:to>
      <xdr:col>7</xdr:col>
      <xdr:colOff>288131</xdr:colOff>
      <xdr:row>3</xdr:row>
      <xdr:rowOff>254793</xdr:rowOff>
    </xdr:to>
    <xdr:cxnSp macro="">
      <xdr:nvCxnSpPr>
        <xdr:cNvPr id="1298" name="Match11">
          <a:extLst>
            <a:ext uri="{FF2B5EF4-FFF2-40B4-BE49-F238E27FC236}">
              <a16:creationId xmlns:a16="http://schemas.microsoft.com/office/drawing/2014/main" id="{F0B267DB-4DB3-79AB-932F-416A592CBC43}"/>
            </a:ext>
          </a:extLst>
        </xdr:cNvPr>
        <xdr:cNvCxnSpPr/>
      </xdr:nvCxnSpPr>
      <xdr:spPr>
        <a:xfrm flipV="1">
          <a:off x="2831306" y="969169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5</xdr:row>
      <xdr:rowOff>178593</xdr:rowOff>
    </xdr:to>
    <xdr:cxnSp macro="">
      <xdr:nvCxnSpPr>
        <xdr:cNvPr id="1299" name="Match12">
          <a:extLst>
            <a:ext uri="{FF2B5EF4-FFF2-40B4-BE49-F238E27FC236}">
              <a16:creationId xmlns:a16="http://schemas.microsoft.com/office/drawing/2014/main" id="{FCDDA943-B7A0-677C-42FA-EA1C10C572AB}"/>
            </a:ext>
          </a:extLst>
        </xdr:cNvPr>
        <xdr:cNvCxnSpPr/>
      </xdr:nvCxnSpPr>
      <xdr:spPr>
        <a:xfrm flipH="1">
          <a:off x="40266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5</xdr:row>
      <xdr:rowOff>178593</xdr:rowOff>
    </xdr:to>
    <xdr:cxnSp macro="">
      <xdr:nvCxnSpPr>
        <xdr:cNvPr id="1300" name="Match13">
          <a:extLst>
            <a:ext uri="{FF2B5EF4-FFF2-40B4-BE49-F238E27FC236}">
              <a16:creationId xmlns:a16="http://schemas.microsoft.com/office/drawing/2014/main" id="{0FAF625C-911E-6D78-C22B-81B8DF0BC229}"/>
            </a:ext>
          </a:extLst>
        </xdr:cNvPr>
        <xdr:cNvCxnSpPr/>
      </xdr:nvCxnSpPr>
      <xdr:spPr>
        <a:xfrm>
          <a:off x="36028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3</xdr:col>
      <xdr:colOff>211931</xdr:colOff>
      <xdr:row>8</xdr:row>
      <xdr:rowOff>178594</xdr:rowOff>
    </xdr:to>
    <xdr:cxnSp macro="">
      <xdr:nvCxnSpPr>
        <xdr:cNvPr id="1301" name="Match14">
          <a:extLst>
            <a:ext uri="{FF2B5EF4-FFF2-40B4-BE49-F238E27FC236}">
              <a16:creationId xmlns:a16="http://schemas.microsoft.com/office/drawing/2014/main" id="{9C5E8CA2-3E6C-3A02-2792-C7C09AE03473}"/>
            </a:ext>
          </a:extLst>
        </xdr:cNvPr>
        <xdr:cNvCxnSpPr/>
      </xdr:nvCxnSpPr>
      <xdr:spPr>
        <a:xfrm flipH="1">
          <a:off x="105965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302" name="Match15">
          <a:extLst>
            <a:ext uri="{FF2B5EF4-FFF2-40B4-BE49-F238E27FC236}">
              <a16:creationId xmlns:a16="http://schemas.microsoft.com/office/drawing/2014/main" id="{274AF494-50AB-573B-AE77-4A9A87B230D9}"/>
            </a:ext>
          </a:extLst>
        </xdr:cNvPr>
        <xdr:cNvCxnSpPr/>
      </xdr:nvCxnSpPr>
      <xdr:spPr>
        <a:xfrm flipV="1">
          <a:off x="6357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3</xdr:col>
      <xdr:colOff>211931</xdr:colOff>
      <xdr:row>9</xdr:row>
      <xdr:rowOff>178593</xdr:rowOff>
    </xdr:to>
    <xdr:cxnSp macro="">
      <xdr:nvCxnSpPr>
        <xdr:cNvPr id="1303" name="Match16">
          <a:extLst>
            <a:ext uri="{FF2B5EF4-FFF2-40B4-BE49-F238E27FC236}">
              <a16:creationId xmlns:a16="http://schemas.microsoft.com/office/drawing/2014/main" id="{249A819D-F8B6-8B95-532C-5DCB49DED4CE}"/>
            </a:ext>
          </a:extLst>
        </xdr:cNvPr>
        <xdr:cNvCxnSpPr/>
      </xdr:nvCxnSpPr>
      <xdr:spPr>
        <a:xfrm flipH="1" flipV="1">
          <a:off x="10596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304" name="Match17">
          <a:extLst>
            <a:ext uri="{FF2B5EF4-FFF2-40B4-BE49-F238E27FC236}">
              <a16:creationId xmlns:a16="http://schemas.microsoft.com/office/drawing/2014/main" id="{8BC396A7-9450-9D00-EF01-4872C5B9C14D}"/>
            </a:ext>
          </a:extLst>
        </xdr:cNvPr>
        <xdr:cNvCxnSpPr/>
      </xdr:nvCxnSpPr>
      <xdr:spPr>
        <a:xfrm>
          <a:off x="3178969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1305" name="Match18">
          <a:extLst>
            <a:ext uri="{FF2B5EF4-FFF2-40B4-BE49-F238E27FC236}">
              <a16:creationId xmlns:a16="http://schemas.microsoft.com/office/drawing/2014/main" id="{0279ACE7-36A1-7213-0E67-16CCDFBF5D91}"/>
            </a:ext>
          </a:extLst>
        </xdr:cNvPr>
        <xdr:cNvCxnSpPr/>
      </xdr:nvCxnSpPr>
      <xdr:spPr>
        <a:xfrm>
          <a:off x="3178969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306" name="Match19">
          <a:extLst>
            <a:ext uri="{FF2B5EF4-FFF2-40B4-BE49-F238E27FC236}">
              <a16:creationId xmlns:a16="http://schemas.microsoft.com/office/drawing/2014/main" id="{75CEB4A9-A872-41E9-4599-26C60C66EDA7}"/>
            </a:ext>
          </a:extLst>
        </xdr:cNvPr>
        <xdr:cNvCxnSpPr/>
      </xdr:nvCxnSpPr>
      <xdr:spPr>
        <a:xfrm flipV="1">
          <a:off x="2755106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7</xdr:col>
      <xdr:colOff>211931</xdr:colOff>
      <xdr:row>0</xdr:row>
      <xdr:rowOff>178594</xdr:rowOff>
    </xdr:to>
    <xdr:cxnSp macro="">
      <xdr:nvCxnSpPr>
        <xdr:cNvPr id="1307" name="Match20">
          <a:extLst>
            <a:ext uri="{FF2B5EF4-FFF2-40B4-BE49-F238E27FC236}">
              <a16:creationId xmlns:a16="http://schemas.microsoft.com/office/drawing/2014/main" id="{0CDBE001-F823-C4AB-6502-B87A1AC6BB9A}"/>
            </a:ext>
          </a:extLst>
        </xdr:cNvPr>
        <xdr:cNvCxnSpPr/>
      </xdr:nvCxnSpPr>
      <xdr:spPr>
        <a:xfrm>
          <a:off x="635794" y="1785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1308" name="Match21">
          <a:extLst>
            <a:ext uri="{FF2B5EF4-FFF2-40B4-BE49-F238E27FC236}">
              <a16:creationId xmlns:a16="http://schemas.microsoft.com/office/drawing/2014/main" id="{EA9A8650-C2B2-F63C-0313-7E1E67146205}"/>
            </a:ext>
          </a:extLst>
        </xdr:cNvPr>
        <xdr:cNvCxnSpPr/>
      </xdr:nvCxnSpPr>
      <xdr:spPr>
        <a:xfrm>
          <a:off x="211931" y="125015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1309" name="Match22">
          <a:extLst>
            <a:ext uri="{FF2B5EF4-FFF2-40B4-BE49-F238E27FC236}">
              <a16:creationId xmlns:a16="http://schemas.microsoft.com/office/drawing/2014/main" id="{6E273259-D85F-0729-8668-ABA5283B00B0}"/>
            </a:ext>
          </a:extLst>
        </xdr:cNvPr>
        <xdr:cNvCxnSpPr/>
      </xdr:nvCxnSpPr>
      <xdr:spPr>
        <a:xfrm flipH="1">
          <a:off x="2755106" y="892969"/>
          <a:ext cx="2119313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310" name="Match23">
          <a:extLst>
            <a:ext uri="{FF2B5EF4-FFF2-40B4-BE49-F238E27FC236}">
              <a16:creationId xmlns:a16="http://schemas.microsoft.com/office/drawing/2014/main" id="{84B1CFEF-15BD-CBDE-F80C-2502900C1097}"/>
            </a:ext>
          </a:extLst>
        </xdr:cNvPr>
        <xdr:cNvCxnSpPr/>
      </xdr:nvCxnSpPr>
      <xdr:spPr>
        <a:xfrm flipV="1">
          <a:off x="36028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0</xdr:row>
      <xdr:rowOff>203994</xdr:rowOff>
    </xdr:from>
    <xdr:to>
      <xdr:col>9</xdr:col>
      <xdr:colOff>237331</xdr:colOff>
      <xdr:row>1</xdr:row>
      <xdr:rowOff>203993</xdr:rowOff>
    </xdr:to>
    <xdr:cxnSp macro="">
      <xdr:nvCxnSpPr>
        <xdr:cNvPr id="1311" name="Match24">
          <a:extLst>
            <a:ext uri="{FF2B5EF4-FFF2-40B4-BE49-F238E27FC236}">
              <a16:creationId xmlns:a16="http://schemas.microsoft.com/office/drawing/2014/main" id="{2F5B8CDD-8EDC-31F3-48A2-2919C0EA8F8D}"/>
            </a:ext>
          </a:extLst>
        </xdr:cNvPr>
        <xdr:cNvCxnSpPr/>
      </xdr:nvCxnSpPr>
      <xdr:spPr>
        <a:xfrm flipV="1">
          <a:off x="362823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1312" name="Match25">
          <a:extLst>
            <a:ext uri="{FF2B5EF4-FFF2-40B4-BE49-F238E27FC236}">
              <a16:creationId xmlns:a16="http://schemas.microsoft.com/office/drawing/2014/main" id="{2D599FCC-B69B-39A9-7E21-9BBAA6F6D2B7}"/>
            </a:ext>
          </a:extLst>
        </xdr:cNvPr>
        <xdr:cNvCxnSpPr/>
      </xdr:nvCxnSpPr>
      <xdr:spPr>
        <a:xfrm>
          <a:off x="6357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0</xdr:col>
      <xdr:colOff>211931</xdr:colOff>
      <xdr:row>7</xdr:row>
      <xdr:rowOff>178593</xdr:rowOff>
    </xdr:to>
    <xdr:cxnSp macro="">
      <xdr:nvCxnSpPr>
        <xdr:cNvPr id="1313" name="Match26">
          <a:extLst>
            <a:ext uri="{FF2B5EF4-FFF2-40B4-BE49-F238E27FC236}">
              <a16:creationId xmlns:a16="http://schemas.microsoft.com/office/drawing/2014/main" id="{B4585F60-9EE2-AEEC-CA07-7B4B82855428}"/>
            </a:ext>
          </a:extLst>
        </xdr:cNvPr>
        <xdr:cNvCxnSpPr/>
      </xdr:nvCxnSpPr>
      <xdr:spPr>
        <a:xfrm flipV="1">
          <a:off x="21193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314" name="Match27">
          <a:extLst>
            <a:ext uri="{FF2B5EF4-FFF2-40B4-BE49-F238E27FC236}">
              <a16:creationId xmlns:a16="http://schemas.microsoft.com/office/drawing/2014/main" id="{1C012EEA-C004-9D12-D55E-F0E155138418}"/>
            </a:ext>
          </a:extLst>
        </xdr:cNvPr>
        <xdr:cNvCxnSpPr/>
      </xdr:nvCxnSpPr>
      <xdr:spPr>
        <a:xfrm flipH="1" flipV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0</xdr:col>
      <xdr:colOff>211931</xdr:colOff>
      <xdr:row>10</xdr:row>
      <xdr:rowOff>178594</xdr:rowOff>
    </xdr:to>
    <xdr:cxnSp macro="">
      <xdr:nvCxnSpPr>
        <xdr:cNvPr id="1315" name="Match28">
          <a:extLst>
            <a:ext uri="{FF2B5EF4-FFF2-40B4-BE49-F238E27FC236}">
              <a16:creationId xmlns:a16="http://schemas.microsoft.com/office/drawing/2014/main" id="{264255E3-A3D2-0097-072B-1D79559E847C}"/>
            </a:ext>
          </a:extLst>
        </xdr:cNvPr>
        <xdr:cNvCxnSpPr/>
      </xdr:nvCxnSpPr>
      <xdr:spPr>
        <a:xfrm>
          <a:off x="211931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316" name="Match29">
          <a:extLst>
            <a:ext uri="{FF2B5EF4-FFF2-40B4-BE49-F238E27FC236}">
              <a16:creationId xmlns:a16="http://schemas.microsoft.com/office/drawing/2014/main" id="{EE6F3922-C099-B110-CD3E-DD0CC6C16A8D}"/>
            </a:ext>
          </a:extLst>
        </xdr:cNvPr>
        <xdr:cNvCxnSpPr/>
      </xdr:nvCxnSpPr>
      <xdr:spPr>
        <a:xfrm flipV="1">
          <a:off x="233124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317" name="Match30">
          <a:extLst>
            <a:ext uri="{FF2B5EF4-FFF2-40B4-BE49-F238E27FC236}">
              <a16:creationId xmlns:a16="http://schemas.microsoft.com/office/drawing/2014/main" id="{3B21276A-24A0-84A9-6E57-F846D7E8CECC}"/>
            </a:ext>
          </a:extLst>
        </xdr:cNvPr>
        <xdr:cNvCxnSpPr/>
      </xdr:nvCxnSpPr>
      <xdr:spPr>
        <a:xfrm flipH="1">
          <a:off x="44505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408" name="Match31">
          <a:extLst>
            <a:ext uri="{FF2B5EF4-FFF2-40B4-BE49-F238E27FC236}">
              <a16:creationId xmlns:a16="http://schemas.microsoft.com/office/drawing/2014/main" id="{C5AA111B-FB83-38FD-69D3-F5A5893BF6F4}"/>
            </a:ext>
          </a:extLst>
        </xdr:cNvPr>
        <xdr:cNvCxnSpPr/>
      </xdr:nvCxnSpPr>
      <xdr:spPr>
        <a:xfrm flipH="1" flipV="1">
          <a:off x="44505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1</xdr:row>
      <xdr:rowOff>229393</xdr:rowOff>
    </xdr:from>
    <xdr:to>
      <xdr:col>5</xdr:col>
      <xdr:colOff>262731</xdr:colOff>
      <xdr:row>1</xdr:row>
      <xdr:rowOff>229393</xdr:rowOff>
    </xdr:to>
    <xdr:cxnSp macro="">
      <xdr:nvCxnSpPr>
        <xdr:cNvPr id="1409" name="Match32">
          <a:extLst>
            <a:ext uri="{FF2B5EF4-FFF2-40B4-BE49-F238E27FC236}">
              <a16:creationId xmlns:a16="http://schemas.microsoft.com/office/drawing/2014/main" id="{9505D155-C565-2B8C-2473-14FE201B8FC0}"/>
            </a:ext>
          </a:extLst>
        </xdr:cNvPr>
        <xdr:cNvCxnSpPr/>
      </xdr:nvCxnSpPr>
      <xdr:spPr>
        <a:xfrm>
          <a:off x="1534319" y="586581"/>
          <a:ext cx="847725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</xdr:row>
      <xdr:rowOff>203993</xdr:rowOff>
    </xdr:from>
    <xdr:to>
      <xdr:col>5</xdr:col>
      <xdr:colOff>237331</xdr:colOff>
      <xdr:row>1</xdr:row>
      <xdr:rowOff>203993</xdr:rowOff>
    </xdr:to>
    <xdr:cxnSp macro="">
      <xdr:nvCxnSpPr>
        <xdr:cNvPr id="1410" name="Match33">
          <a:extLst>
            <a:ext uri="{FF2B5EF4-FFF2-40B4-BE49-F238E27FC236}">
              <a16:creationId xmlns:a16="http://schemas.microsoft.com/office/drawing/2014/main" id="{7AD4D0FD-0132-B3C0-7FC7-D8143CA3CE0A}"/>
            </a:ext>
          </a:extLst>
        </xdr:cNvPr>
        <xdr:cNvCxnSpPr/>
      </xdr:nvCxnSpPr>
      <xdr:spPr>
        <a:xfrm flipH="1">
          <a:off x="1508919" y="561181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411" name="Match34">
          <a:extLst>
            <a:ext uri="{FF2B5EF4-FFF2-40B4-BE49-F238E27FC236}">
              <a16:creationId xmlns:a16="http://schemas.microsoft.com/office/drawing/2014/main" id="{E134C911-BD6B-6AE6-A43D-6C06D17AC549}"/>
            </a:ext>
          </a:extLst>
        </xdr:cNvPr>
        <xdr:cNvCxnSpPr/>
      </xdr:nvCxnSpPr>
      <xdr:spPr>
        <a:xfrm flipH="1">
          <a:off x="1907381" y="267890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412" name="Match35">
          <a:extLst>
            <a:ext uri="{FF2B5EF4-FFF2-40B4-BE49-F238E27FC236}">
              <a16:creationId xmlns:a16="http://schemas.microsoft.com/office/drawing/2014/main" id="{D196FFC5-3752-EA56-A504-27EE3D9B1C47}"/>
            </a:ext>
          </a:extLst>
        </xdr:cNvPr>
        <xdr:cNvCxnSpPr/>
      </xdr:nvCxnSpPr>
      <xdr:spPr>
        <a:xfrm>
          <a:off x="4450556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413" name="Match36">
          <a:extLst>
            <a:ext uri="{FF2B5EF4-FFF2-40B4-BE49-F238E27FC236}">
              <a16:creationId xmlns:a16="http://schemas.microsoft.com/office/drawing/2014/main" id="{D8FD55A8-FD04-1E18-A569-18DFA3B8259E}"/>
            </a:ext>
          </a:extLst>
        </xdr:cNvPr>
        <xdr:cNvCxnSpPr/>
      </xdr:nvCxnSpPr>
      <xdr:spPr>
        <a:xfrm flipV="1">
          <a:off x="4450556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2</xdr:row>
      <xdr:rowOff>203994</xdr:rowOff>
    </xdr:from>
    <xdr:to>
      <xdr:col>11</xdr:col>
      <xdr:colOff>237331</xdr:colOff>
      <xdr:row>2</xdr:row>
      <xdr:rowOff>203994</xdr:rowOff>
    </xdr:to>
    <xdr:cxnSp macro="">
      <xdr:nvCxnSpPr>
        <xdr:cNvPr id="1414" name="Match37">
          <a:extLst>
            <a:ext uri="{FF2B5EF4-FFF2-40B4-BE49-F238E27FC236}">
              <a16:creationId xmlns:a16="http://schemas.microsoft.com/office/drawing/2014/main" id="{A5B7E5E1-F590-E99B-BE3A-537F39E5B2AA}"/>
            </a:ext>
          </a:extLst>
        </xdr:cNvPr>
        <xdr:cNvCxnSpPr/>
      </xdr:nvCxnSpPr>
      <xdr:spPr>
        <a:xfrm>
          <a:off x="4475956" y="9183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2</xdr:row>
      <xdr:rowOff>203994</xdr:rowOff>
    </xdr:from>
    <xdr:to>
      <xdr:col>2</xdr:col>
      <xdr:colOff>237331</xdr:colOff>
      <xdr:row>3</xdr:row>
      <xdr:rowOff>203993</xdr:rowOff>
    </xdr:to>
    <xdr:cxnSp macro="">
      <xdr:nvCxnSpPr>
        <xdr:cNvPr id="1415" name="Match38">
          <a:extLst>
            <a:ext uri="{FF2B5EF4-FFF2-40B4-BE49-F238E27FC236}">
              <a16:creationId xmlns:a16="http://schemas.microsoft.com/office/drawing/2014/main" id="{291DA527-E408-FE37-8EA0-28F7BDCAE2AC}"/>
            </a:ext>
          </a:extLst>
        </xdr:cNvPr>
        <xdr:cNvCxnSpPr/>
      </xdr:nvCxnSpPr>
      <xdr:spPr>
        <a:xfrm flipV="1">
          <a:off x="6611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416" name="Match39">
          <a:extLst>
            <a:ext uri="{FF2B5EF4-FFF2-40B4-BE49-F238E27FC236}">
              <a16:creationId xmlns:a16="http://schemas.microsoft.com/office/drawing/2014/main" id="{3FD722A1-855B-0D5E-B9C0-890968F4B0F4}"/>
            </a:ext>
          </a:extLst>
        </xdr:cNvPr>
        <xdr:cNvCxnSpPr/>
      </xdr:nvCxnSpPr>
      <xdr:spPr>
        <a:xfrm flipV="1">
          <a:off x="487441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10</xdr:col>
      <xdr:colOff>237331</xdr:colOff>
      <xdr:row>6</xdr:row>
      <xdr:rowOff>203994</xdr:rowOff>
    </xdr:to>
    <xdr:cxnSp macro="">
      <xdr:nvCxnSpPr>
        <xdr:cNvPr id="1417" name="Match40">
          <a:extLst>
            <a:ext uri="{FF2B5EF4-FFF2-40B4-BE49-F238E27FC236}">
              <a16:creationId xmlns:a16="http://schemas.microsoft.com/office/drawing/2014/main" id="{E4439E4F-90DB-C025-3674-DB098721239D}"/>
            </a:ext>
          </a:extLst>
        </xdr:cNvPr>
        <xdr:cNvCxnSpPr/>
      </xdr:nvCxnSpPr>
      <xdr:spPr>
        <a:xfrm flipH="1">
          <a:off x="405209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2</xdr:col>
      <xdr:colOff>237331</xdr:colOff>
      <xdr:row>7</xdr:row>
      <xdr:rowOff>203993</xdr:rowOff>
    </xdr:to>
    <xdr:cxnSp macro="">
      <xdr:nvCxnSpPr>
        <xdr:cNvPr id="1418" name="Match41">
          <a:extLst>
            <a:ext uri="{FF2B5EF4-FFF2-40B4-BE49-F238E27FC236}">
              <a16:creationId xmlns:a16="http://schemas.microsoft.com/office/drawing/2014/main" id="{559FE036-94B6-654F-D833-9F223244CDC6}"/>
            </a:ext>
          </a:extLst>
        </xdr:cNvPr>
        <xdr:cNvCxnSpPr/>
      </xdr:nvCxnSpPr>
      <xdr:spPr>
        <a:xfrm>
          <a:off x="661194" y="270430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10</xdr:col>
      <xdr:colOff>237331</xdr:colOff>
      <xdr:row>7</xdr:row>
      <xdr:rowOff>203993</xdr:rowOff>
    </xdr:to>
    <xdr:cxnSp macro="">
      <xdr:nvCxnSpPr>
        <xdr:cNvPr id="1419" name="Match42">
          <a:extLst>
            <a:ext uri="{FF2B5EF4-FFF2-40B4-BE49-F238E27FC236}">
              <a16:creationId xmlns:a16="http://schemas.microsoft.com/office/drawing/2014/main" id="{013BFAEA-61C1-A2D6-663E-5870DEBBAFA3}"/>
            </a:ext>
          </a:extLst>
        </xdr:cNvPr>
        <xdr:cNvCxnSpPr/>
      </xdr:nvCxnSpPr>
      <xdr:spPr>
        <a:xfrm flipH="1" flipV="1">
          <a:off x="40520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9</xdr:row>
      <xdr:rowOff>203993</xdr:rowOff>
    </xdr:from>
    <xdr:to>
      <xdr:col>5</xdr:col>
      <xdr:colOff>237331</xdr:colOff>
      <xdr:row>10</xdr:row>
      <xdr:rowOff>203994</xdr:rowOff>
    </xdr:to>
    <xdr:cxnSp macro="">
      <xdr:nvCxnSpPr>
        <xdr:cNvPr id="1420" name="Match43">
          <a:extLst>
            <a:ext uri="{FF2B5EF4-FFF2-40B4-BE49-F238E27FC236}">
              <a16:creationId xmlns:a16="http://schemas.microsoft.com/office/drawing/2014/main" id="{0ADD0B62-B4BF-4652-4853-32CB920BE82D}"/>
            </a:ext>
          </a:extLst>
        </xdr:cNvPr>
        <xdr:cNvCxnSpPr/>
      </xdr:nvCxnSpPr>
      <xdr:spPr>
        <a:xfrm flipH="1">
          <a:off x="193278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9</xdr:row>
      <xdr:rowOff>229393</xdr:rowOff>
    </xdr:from>
    <xdr:to>
      <xdr:col>5</xdr:col>
      <xdr:colOff>262731</xdr:colOff>
      <xdr:row>9</xdr:row>
      <xdr:rowOff>229393</xdr:rowOff>
    </xdr:to>
    <xdr:cxnSp macro="">
      <xdr:nvCxnSpPr>
        <xdr:cNvPr id="1421" name="Match44">
          <a:extLst>
            <a:ext uri="{FF2B5EF4-FFF2-40B4-BE49-F238E27FC236}">
              <a16:creationId xmlns:a16="http://schemas.microsoft.com/office/drawing/2014/main" id="{5B6C12B8-E72D-7D1B-9EAC-2E53CFD02DE8}"/>
            </a:ext>
          </a:extLst>
        </xdr:cNvPr>
        <xdr:cNvCxnSpPr/>
      </xdr:nvCxnSpPr>
      <xdr:spPr>
        <a:xfrm flipH="1">
          <a:off x="1958181" y="3444081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422" name="Match45">
          <a:extLst>
            <a:ext uri="{FF2B5EF4-FFF2-40B4-BE49-F238E27FC236}">
              <a16:creationId xmlns:a16="http://schemas.microsoft.com/office/drawing/2014/main" id="{6742E0D8-1729-8E6E-7EB9-2B0ECC3A27EA}"/>
            </a:ext>
          </a:extLst>
        </xdr:cNvPr>
        <xdr:cNvCxnSpPr/>
      </xdr:nvCxnSpPr>
      <xdr:spPr>
        <a:xfrm>
          <a:off x="211931" y="3036094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1423" name="Match46">
          <a:extLst>
            <a:ext uri="{FF2B5EF4-FFF2-40B4-BE49-F238E27FC236}">
              <a16:creationId xmlns:a16="http://schemas.microsoft.com/office/drawing/2014/main" id="{D0BEEFBF-73E4-3BD0-AE25-0C9B96EF8596}"/>
            </a:ext>
          </a:extLst>
        </xdr:cNvPr>
        <xdr:cNvCxnSpPr/>
      </xdr:nvCxnSpPr>
      <xdr:spPr>
        <a:xfrm flipV="1">
          <a:off x="2331244" y="89296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424" name="Match47">
          <a:extLst>
            <a:ext uri="{FF2B5EF4-FFF2-40B4-BE49-F238E27FC236}">
              <a16:creationId xmlns:a16="http://schemas.microsoft.com/office/drawing/2014/main" id="{F219EA46-FA1E-90D1-E6DD-E6DB2266206A}"/>
            </a:ext>
          </a:extLst>
        </xdr:cNvPr>
        <xdr:cNvCxnSpPr/>
      </xdr:nvCxnSpPr>
      <xdr:spPr>
        <a:xfrm>
          <a:off x="1907381" y="89296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425" name="Match48">
          <a:extLst>
            <a:ext uri="{FF2B5EF4-FFF2-40B4-BE49-F238E27FC236}">
              <a16:creationId xmlns:a16="http://schemas.microsoft.com/office/drawing/2014/main" id="{CB4E1383-F43E-5B25-238E-6148BF2BF812}"/>
            </a:ext>
          </a:extLst>
        </xdr:cNvPr>
        <xdr:cNvCxnSpPr/>
      </xdr:nvCxnSpPr>
      <xdr:spPr>
        <a:xfrm>
          <a:off x="402669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4</xdr:col>
      <xdr:colOff>211931</xdr:colOff>
      <xdr:row>2</xdr:row>
      <xdr:rowOff>178594</xdr:rowOff>
    </xdr:to>
    <xdr:cxnSp macro="">
      <xdr:nvCxnSpPr>
        <xdr:cNvPr id="1426" name="Match49">
          <a:extLst>
            <a:ext uri="{FF2B5EF4-FFF2-40B4-BE49-F238E27FC236}">
              <a16:creationId xmlns:a16="http://schemas.microsoft.com/office/drawing/2014/main" id="{483C8037-3384-C8C6-8CE0-E8CA43DD1845}"/>
            </a:ext>
          </a:extLst>
        </xdr:cNvPr>
        <xdr:cNvCxnSpPr/>
      </xdr:nvCxnSpPr>
      <xdr:spPr>
        <a:xfrm>
          <a:off x="1483519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427" name="Match50">
          <a:extLst>
            <a:ext uri="{FF2B5EF4-FFF2-40B4-BE49-F238E27FC236}">
              <a16:creationId xmlns:a16="http://schemas.microsoft.com/office/drawing/2014/main" id="{A2F6D82A-696B-DDD4-905C-421FBF7D8802}"/>
            </a:ext>
          </a:extLst>
        </xdr:cNvPr>
        <xdr:cNvCxnSpPr/>
      </xdr:nvCxnSpPr>
      <xdr:spPr>
        <a:xfrm flipH="1" flipV="1">
          <a:off x="190738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428" name="Match51">
          <a:extLst>
            <a:ext uri="{FF2B5EF4-FFF2-40B4-BE49-F238E27FC236}">
              <a16:creationId xmlns:a16="http://schemas.microsoft.com/office/drawing/2014/main" id="{024F1EC9-3FD3-98F1-F428-BAAE217261ED}"/>
            </a:ext>
          </a:extLst>
        </xdr:cNvPr>
        <xdr:cNvCxnSpPr/>
      </xdr:nvCxnSpPr>
      <xdr:spPr>
        <a:xfrm flipV="1">
          <a:off x="402669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429" name="Match52">
          <a:extLst>
            <a:ext uri="{FF2B5EF4-FFF2-40B4-BE49-F238E27FC236}">
              <a16:creationId xmlns:a16="http://schemas.microsoft.com/office/drawing/2014/main" id="{F32A9E2A-C903-5FCE-E613-8987D3C08A3E}"/>
            </a:ext>
          </a:extLst>
        </xdr:cNvPr>
        <xdr:cNvCxnSpPr/>
      </xdr:nvCxnSpPr>
      <xdr:spPr>
        <a:xfrm>
          <a:off x="44505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430" name="Match53">
          <a:extLst>
            <a:ext uri="{FF2B5EF4-FFF2-40B4-BE49-F238E27FC236}">
              <a16:creationId xmlns:a16="http://schemas.microsoft.com/office/drawing/2014/main" id="{74CE894A-3BB3-BEF5-8B80-0CEAABDD6933}"/>
            </a:ext>
          </a:extLst>
        </xdr:cNvPr>
        <xdr:cNvCxnSpPr/>
      </xdr:nvCxnSpPr>
      <xdr:spPr>
        <a:xfrm flipH="1">
          <a:off x="44505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97CCBF1-29B1-96F1-0310-4ADDCF0371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E7" sqref="E7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5</v>
      </c>
      <c r="B1" s="22">
        <v>5</v>
      </c>
      <c r="C1" s="22">
        <v>4</v>
      </c>
      <c r="D1" s="22">
        <v>1</v>
      </c>
      <c r="E1" s="22">
        <v>9</v>
      </c>
      <c r="F1" s="22">
        <v>4</v>
      </c>
      <c r="G1" s="22">
        <v>7</v>
      </c>
      <c r="H1" s="22">
        <v>6</v>
      </c>
      <c r="I1" s="23">
        <v>4</v>
      </c>
      <c r="J1" s="23">
        <v>4</v>
      </c>
      <c r="K1" s="27">
        <v>3</v>
      </c>
      <c r="L1" s="27">
        <v>6</v>
      </c>
      <c r="N1" s="2">
        <v>2558315</v>
      </c>
      <c r="O1" s="1">
        <v>1</v>
      </c>
    </row>
    <row r="2" spans="1:15" s="2" customFormat="1" ht="28.25" customHeight="1">
      <c r="A2" s="27">
        <v>6</v>
      </c>
      <c r="B2" s="27">
        <v>8</v>
      </c>
      <c r="C2" s="27">
        <v>1</v>
      </c>
      <c r="D2" s="22">
        <v>7</v>
      </c>
      <c r="E2" s="22">
        <v>7</v>
      </c>
      <c r="F2" s="22">
        <v>7</v>
      </c>
      <c r="G2" s="27">
        <v>3</v>
      </c>
      <c r="H2" s="27">
        <v>1</v>
      </c>
      <c r="I2" s="23">
        <v>2</v>
      </c>
      <c r="J2" s="23">
        <v>9</v>
      </c>
      <c r="K2" s="23">
        <v>7</v>
      </c>
      <c r="L2" s="27">
        <v>7</v>
      </c>
      <c r="N2" s="2">
        <v>79</v>
      </c>
      <c r="O2" s="2">
        <v>17</v>
      </c>
    </row>
    <row r="3" spans="1:15" ht="28.25" customHeight="1">
      <c r="A3" s="27">
        <v>1</v>
      </c>
      <c r="B3" s="27">
        <v>3</v>
      </c>
      <c r="C3" s="23">
        <v>8</v>
      </c>
      <c r="D3" s="23">
        <v>9</v>
      </c>
      <c r="E3" s="22">
        <v>6</v>
      </c>
      <c r="F3" s="22">
        <v>5</v>
      </c>
      <c r="G3" s="27">
        <v>2</v>
      </c>
      <c r="H3" s="23">
        <v>9</v>
      </c>
      <c r="I3" s="27">
        <v>1</v>
      </c>
      <c r="J3" s="23">
        <v>6</v>
      </c>
      <c r="K3" s="22">
        <v>2</v>
      </c>
      <c r="L3" s="22">
        <v>8</v>
      </c>
      <c r="N3" s="2">
        <v>578</v>
      </c>
      <c r="O3" s="1">
        <v>2</v>
      </c>
    </row>
    <row r="4" spans="1:15" ht="28.25" customHeight="1">
      <c r="A4" s="22">
        <v>5</v>
      </c>
      <c r="B4" s="23">
        <v>2</v>
      </c>
      <c r="C4" s="27">
        <v>3</v>
      </c>
      <c r="D4" s="23">
        <v>7</v>
      </c>
      <c r="E4" s="22">
        <v>1</v>
      </c>
      <c r="F4" s="22">
        <v>9</v>
      </c>
      <c r="G4" s="22">
        <v>7</v>
      </c>
      <c r="H4" s="23">
        <v>9</v>
      </c>
      <c r="I4" s="27">
        <v>8</v>
      </c>
      <c r="J4" s="22">
        <v>5</v>
      </c>
      <c r="K4" s="22">
        <v>5</v>
      </c>
      <c r="L4" s="23">
        <v>2</v>
      </c>
      <c r="N4" s="2">
        <v>5419476</v>
      </c>
      <c r="O4" s="1">
        <v>1</v>
      </c>
    </row>
    <row r="5" spans="1:15" ht="28.25" customHeight="1">
      <c r="A5" s="27">
        <v>7</v>
      </c>
      <c r="B5" s="22">
        <v>3</v>
      </c>
      <c r="C5" s="23">
        <v>4</v>
      </c>
      <c r="D5" s="27">
        <v>7</v>
      </c>
      <c r="E5" s="22">
        <v>1</v>
      </c>
      <c r="F5" s="22">
        <v>9</v>
      </c>
      <c r="G5" s="27">
        <v>1</v>
      </c>
      <c r="H5" s="22">
        <v>5</v>
      </c>
      <c r="I5" s="22">
        <v>5</v>
      </c>
      <c r="J5" s="22">
        <v>6</v>
      </c>
      <c r="K5" s="23">
        <v>7</v>
      </c>
      <c r="L5" s="27">
        <v>5</v>
      </c>
      <c r="N5" s="2">
        <v>53478</v>
      </c>
      <c r="O5" s="1">
        <v>1</v>
      </c>
    </row>
    <row r="6" spans="1:15" ht="28.25" customHeight="1">
      <c r="A6" s="27">
        <v>3</v>
      </c>
      <c r="B6" s="27">
        <v>6</v>
      </c>
      <c r="C6" s="22">
        <v>4</v>
      </c>
      <c r="D6" s="27">
        <v>6</v>
      </c>
      <c r="E6" s="22">
        <v>2</v>
      </c>
      <c r="F6" s="22">
        <v>3</v>
      </c>
      <c r="G6" s="27">
        <v>4</v>
      </c>
      <c r="H6" s="22">
        <v>8</v>
      </c>
      <c r="I6" s="22">
        <v>7</v>
      </c>
      <c r="J6" s="23">
        <v>9</v>
      </c>
      <c r="K6" s="22">
        <v>2</v>
      </c>
      <c r="L6" s="27">
        <v>3</v>
      </c>
      <c r="N6" s="2">
        <v>856743</v>
      </c>
      <c r="O6" s="1">
        <v>1</v>
      </c>
    </row>
    <row r="7" spans="1:15" ht="28.25" customHeight="1">
      <c r="A7" s="22">
        <v>4</v>
      </c>
      <c r="B7" s="27">
        <v>1</v>
      </c>
      <c r="C7" s="27">
        <v>6</v>
      </c>
      <c r="D7" s="22">
        <v>7</v>
      </c>
      <c r="E7" s="22">
        <v>3</v>
      </c>
      <c r="F7" s="27">
        <v>7</v>
      </c>
      <c r="G7" s="22">
        <v>3</v>
      </c>
      <c r="H7" s="22">
        <v>4</v>
      </c>
      <c r="I7" s="27">
        <v>1</v>
      </c>
      <c r="J7" s="22">
        <v>8</v>
      </c>
      <c r="K7" s="22">
        <v>3</v>
      </c>
      <c r="L7" s="27">
        <v>2</v>
      </c>
      <c r="N7" s="2">
        <v>24</v>
      </c>
      <c r="O7" s="1">
        <v>9</v>
      </c>
    </row>
    <row r="8" spans="1:15" ht="28.25" customHeight="1">
      <c r="A8" s="23">
        <v>2</v>
      </c>
      <c r="B8" s="22">
        <v>2</v>
      </c>
      <c r="C8" s="22">
        <v>8</v>
      </c>
      <c r="D8" s="27">
        <v>5</v>
      </c>
      <c r="E8" s="22">
        <v>8</v>
      </c>
      <c r="F8" s="22">
        <v>1</v>
      </c>
      <c r="G8" s="22">
        <v>3</v>
      </c>
      <c r="H8" s="27">
        <v>6</v>
      </c>
      <c r="I8" s="22">
        <v>1</v>
      </c>
      <c r="J8" s="27">
        <v>6</v>
      </c>
      <c r="K8" s="22">
        <v>2</v>
      </c>
      <c r="L8" s="27">
        <v>6</v>
      </c>
      <c r="N8" s="2">
        <v>777</v>
      </c>
      <c r="O8" s="1">
        <v>2</v>
      </c>
    </row>
    <row r="9" spans="1:15" ht="28.25" customHeight="1">
      <c r="A9" s="22">
        <v>6</v>
      </c>
      <c r="B9" s="27">
        <v>1</v>
      </c>
      <c r="C9" s="23">
        <v>9</v>
      </c>
      <c r="D9" s="23">
        <v>7</v>
      </c>
      <c r="E9" s="22">
        <v>5</v>
      </c>
      <c r="F9" s="27">
        <v>6</v>
      </c>
      <c r="G9" s="23">
        <v>4</v>
      </c>
      <c r="H9" s="22">
        <v>3</v>
      </c>
      <c r="I9" s="23">
        <v>8</v>
      </c>
      <c r="J9" s="27">
        <v>5</v>
      </c>
      <c r="K9" s="27">
        <v>3</v>
      </c>
      <c r="L9" s="27">
        <v>1</v>
      </c>
      <c r="N9" s="2">
        <v>13657</v>
      </c>
      <c r="O9" s="1">
        <v>1</v>
      </c>
    </row>
    <row r="10" spans="1:15" ht="28.25" customHeight="1">
      <c r="A10" s="23">
        <v>2</v>
      </c>
      <c r="B10" s="22">
        <v>7</v>
      </c>
      <c r="C10" s="27">
        <v>3</v>
      </c>
      <c r="D10" s="23">
        <v>7</v>
      </c>
      <c r="E10" s="23">
        <v>8</v>
      </c>
      <c r="F10" s="23">
        <v>2</v>
      </c>
      <c r="G10" s="22">
        <v>6</v>
      </c>
      <c r="H10" s="23">
        <v>7</v>
      </c>
      <c r="I10" s="27">
        <v>8</v>
      </c>
      <c r="J10" s="27">
        <v>3</v>
      </c>
      <c r="K10" s="23">
        <v>4</v>
      </c>
      <c r="L10" s="23">
        <v>2</v>
      </c>
      <c r="N10" s="2">
        <v>232</v>
      </c>
      <c r="O10" s="1">
        <v>2</v>
      </c>
    </row>
    <row r="11" spans="1:15" ht="28.25" customHeight="1">
      <c r="A11" s="23">
        <v>4</v>
      </c>
      <c r="B11" s="27">
        <v>5</v>
      </c>
      <c r="C11" s="22">
        <v>4</v>
      </c>
      <c r="D11" s="27">
        <v>1</v>
      </c>
      <c r="E11" s="23">
        <v>8</v>
      </c>
      <c r="F11" s="22">
        <v>5</v>
      </c>
      <c r="G11" s="23">
        <v>5</v>
      </c>
      <c r="H11" s="27">
        <v>3</v>
      </c>
      <c r="I11" s="27">
        <v>1</v>
      </c>
      <c r="J11" s="27">
        <v>4</v>
      </c>
      <c r="K11" s="22">
        <v>9</v>
      </c>
      <c r="L11" s="23">
        <v>2</v>
      </c>
      <c r="N11" s="2">
        <v>28</v>
      </c>
      <c r="O11" s="1">
        <v>8</v>
      </c>
    </row>
    <row r="12" spans="1:15" ht="28.25" customHeight="1">
      <c r="A12" s="27">
        <v>6</v>
      </c>
      <c r="B12" s="27">
        <v>6</v>
      </c>
      <c r="C12" s="27">
        <v>6</v>
      </c>
      <c r="D12" s="22">
        <v>5</v>
      </c>
      <c r="E12" s="22">
        <v>7</v>
      </c>
      <c r="F12" s="27">
        <v>5</v>
      </c>
      <c r="G12" s="27">
        <v>7</v>
      </c>
      <c r="H12" s="23">
        <v>7</v>
      </c>
      <c r="I12" s="23">
        <v>9</v>
      </c>
      <c r="J12" s="27">
        <v>8</v>
      </c>
      <c r="K12" s="22">
        <v>6</v>
      </c>
      <c r="L12" s="23">
        <v>9</v>
      </c>
      <c r="N12" s="2">
        <v>6745</v>
      </c>
      <c r="O12" s="1">
        <v>1</v>
      </c>
    </row>
    <row r="13" spans="1:15" ht="28.25" customHeight="1">
      <c r="N13" s="2">
        <v>3995</v>
      </c>
      <c r="O13" s="1">
        <v>1</v>
      </c>
    </row>
    <row r="14" spans="1:15" ht="28.25" customHeight="1">
      <c r="N14" s="2">
        <v>61123</v>
      </c>
      <c r="O14" s="1">
        <v>1</v>
      </c>
    </row>
    <row r="15" spans="1:15" ht="28.25" customHeight="1">
      <c r="N15" s="2">
        <v>96</v>
      </c>
      <c r="O15" s="1">
        <v>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74"/>
  <sheetViews>
    <sheetView tabSelected="1" zoomScaleNormal="100" workbookViewId="0">
      <pane ySplit="2" topLeftCell="A267" activePane="bottomLeft" state="frozen"/>
      <selection pane="bottomLeft" activeCell="A274" sqref="A274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592</v>
      </c>
      <c r="I269" t="s">
        <v>593</v>
      </c>
      <c r="J269">
        <v>0</v>
      </c>
      <c r="K269">
        <f t="shared" ref="K269" si="588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89">L268+K269</f>
        <v>328</v>
      </c>
      <c r="M269">
        <f t="shared" ref="M269" si="590">2+IF(A269&gt;=DATEVALUE("2025/11/30")+TIMEVALUE("6:00"),1,0)+IF(A269&gt;=DATEVALUE("2025/12/11")+TIMEVALUE("6:00"),1,0)</f>
        <v>4</v>
      </c>
      <c r="N269">
        <f t="shared" ref="N269" si="591">N268+M269*(INT(A269-6/24)-INT(A268-6/24))+O269</f>
        <v>331</v>
      </c>
      <c r="O269">
        <f t="shared" ref="O269" si="592">IF(A269&gt;=DATEVALUE("2025/11/8")+TIMEVALUE("6:00"),1,0)-IF(A268&gt;=DATEVALUE("2025/11/8")+TIMEVALUE("6:00"),1,0)
+IF(A269&gt;=DATEVALUE("2026/1/22")+TIMEVALUE("6:00"),3,0)-IF(A268&gt;=DATEVALUE("2026/1/22")+TIMEVALUE("6:00"),3,0)</f>
        <v>0</v>
      </c>
      <c r="P269" t="str">
        <f t="shared" ref="P269" si="593">IF(L269&lt;N269,"未達成（"&amp;N269-L269&amp;"）",IF(L269=N269,"達成","前倒し（"&amp;L269-N269&amp;"）"))</f>
        <v>未達成（3）</v>
      </c>
      <c r="Q269">
        <f t="shared" ref="Q269" si="594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594</v>
      </c>
      <c r="I270" t="s">
        <v>595</v>
      </c>
      <c r="J270">
        <v>0</v>
      </c>
      <c r="K270">
        <f t="shared" ref="K270" si="595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96">L269+K270</f>
        <v>330</v>
      </c>
      <c r="M270">
        <f t="shared" ref="M270" si="597">2+IF(A270&gt;=DATEVALUE("2025/11/30")+TIMEVALUE("6:00"),1,0)+IF(A270&gt;=DATEVALUE("2025/12/11")+TIMEVALUE("6:00"),1,0)</f>
        <v>4</v>
      </c>
      <c r="N270">
        <f t="shared" ref="N270" si="598">N269+M270*(INT(A270-6/24)-INT(A269-6/24))+O270</f>
        <v>331</v>
      </c>
      <c r="O270">
        <f t="shared" ref="O270" si="599">IF(A270&gt;=DATEVALUE("2025/11/8")+TIMEVALUE("6:00"),1,0)-IF(A269&gt;=DATEVALUE("2025/11/8")+TIMEVALUE("6:00"),1,0)
+IF(A270&gt;=DATEVALUE("2026/1/22")+TIMEVALUE("6:00"),3,0)-IF(A269&gt;=DATEVALUE("2026/1/22")+TIMEVALUE("6:00"),3,0)</f>
        <v>0</v>
      </c>
      <c r="P270" t="str">
        <f t="shared" ref="P270" si="600">IF(L270&lt;N270,"未達成（"&amp;N270-L270&amp;"）",IF(L270=N270,"達成","前倒し（"&amp;L270-N270&amp;"）"))</f>
        <v>未達成（1）</v>
      </c>
      <c r="Q270">
        <f t="shared" ref="Q270" si="601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596</v>
      </c>
      <c r="I271" t="s">
        <v>597</v>
      </c>
      <c r="J271">
        <v>0</v>
      </c>
      <c r="K271">
        <f t="shared" ref="K271" si="602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603">L270+K271</f>
        <v>331</v>
      </c>
      <c r="M271">
        <f t="shared" ref="M271" si="604">2+IF(A271&gt;=DATEVALUE("2025/11/30")+TIMEVALUE("6:00"),1,0)+IF(A271&gt;=DATEVALUE("2025/12/11")+TIMEVALUE("6:00"),1,0)</f>
        <v>4</v>
      </c>
      <c r="N271">
        <f t="shared" ref="N271" si="605">N270+M271*(INT(A271-6/24)-INT(A270-6/24))+O271</f>
        <v>331</v>
      </c>
      <c r="O271">
        <f t="shared" ref="O271" si="606">IF(A271&gt;=DATEVALUE("2025/11/8")+TIMEVALUE("6:00"),1,0)-IF(A270&gt;=DATEVALUE("2025/11/8")+TIMEVALUE("6:00"),1,0)
+IF(A271&gt;=DATEVALUE("2026/1/22")+TIMEVALUE("6:00"),3,0)-IF(A270&gt;=DATEVALUE("2026/1/22")+TIMEVALUE("6:00"),3,0)</f>
        <v>0</v>
      </c>
      <c r="P271" t="str">
        <f t="shared" ref="P271" si="607">IF(L271&lt;N271,"未達成（"&amp;N271-L271&amp;"）",IF(L271=N271,"達成","前倒し（"&amp;L271-N271&amp;"）"))</f>
        <v>達成</v>
      </c>
      <c r="Q271">
        <f t="shared" ref="Q271" si="608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598</v>
      </c>
      <c r="I272" t="s">
        <v>599</v>
      </c>
      <c r="J272">
        <v>0</v>
      </c>
      <c r="K272">
        <f t="shared" ref="K272" si="609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610">L271+K272</f>
        <v>333</v>
      </c>
      <c r="M272">
        <f t="shared" ref="M272" si="611">2+IF(A272&gt;=DATEVALUE("2025/11/30")+TIMEVALUE("6:00"),1,0)+IF(A272&gt;=DATEVALUE("2025/12/11")+TIMEVALUE("6:00"),1,0)</f>
        <v>4</v>
      </c>
      <c r="N272">
        <f t="shared" ref="N272" si="612">N271+M272*(INT(A272-6/24)-INT(A271-6/24))+O272</f>
        <v>335</v>
      </c>
      <c r="O272">
        <f t="shared" ref="O272" si="613">IF(A272&gt;=DATEVALUE("2025/11/8")+TIMEVALUE("6:00"),1,0)-IF(A271&gt;=DATEVALUE("2025/11/8")+TIMEVALUE("6:00"),1,0)
+IF(A272&gt;=DATEVALUE("2026/1/22")+TIMEVALUE("6:00"),3,0)-IF(A271&gt;=DATEVALUE("2026/1/22")+TIMEVALUE("6:00"),3,0)</f>
        <v>0</v>
      </c>
      <c r="P272" t="str">
        <f t="shared" ref="P272" si="614">IF(L272&lt;N272,"未達成（"&amp;N272-L272&amp;"）",IF(L272=N272,"達成","前倒し（"&amp;L272-N272&amp;"）"))</f>
        <v>未達成（2）</v>
      </c>
      <c r="Q272">
        <f t="shared" ref="Q272" si="615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600</v>
      </c>
      <c r="I273" t="s">
        <v>601</v>
      </c>
      <c r="J273">
        <v>0</v>
      </c>
      <c r="K273">
        <f t="shared" ref="K273" si="616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617">L272+K273</f>
        <v>334</v>
      </c>
      <c r="M273">
        <f t="shared" ref="M273" si="618">2+IF(A273&gt;=DATEVALUE("2025/11/30")+TIMEVALUE("6:00"),1,0)+IF(A273&gt;=DATEVALUE("2025/12/11")+TIMEVALUE("6:00"),1,0)</f>
        <v>4</v>
      </c>
      <c r="N273">
        <f t="shared" ref="N273" si="619">N272+M273*(INT(A273-6/24)-INT(A272-6/24))+O273</f>
        <v>335</v>
      </c>
      <c r="O273">
        <f t="shared" ref="O273" si="620">IF(A273&gt;=DATEVALUE("2025/11/8")+TIMEVALUE("6:00"),1,0)-IF(A272&gt;=DATEVALUE("2025/11/8")+TIMEVALUE("6:00"),1,0)
+IF(A273&gt;=DATEVALUE("2026/1/22")+TIMEVALUE("6:00"),3,0)-IF(A272&gt;=DATEVALUE("2026/1/22")+TIMEVALUE("6:00"),3,0)</f>
        <v>0</v>
      </c>
      <c r="P273" t="str">
        <f t="shared" ref="P273" si="621">IF(L273&lt;N273,"未達成（"&amp;N273-L273&amp;"）",IF(L273=N273,"達成","前倒し（"&amp;L273-N273&amp;"）"))</f>
        <v>未達成（1）</v>
      </c>
      <c r="Q273">
        <f t="shared" ref="Q273" si="622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602</v>
      </c>
      <c r="I274" t="s">
        <v>603</v>
      </c>
      <c r="J274">
        <v>0</v>
      </c>
      <c r="K274">
        <f t="shared" ref="K274" si="623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624">L273+K274</f>
        <v>336</v>
      </c>
      <c r="M274">
        <f t="shared" ref="M274" si="625">2+IF(A274&gt;=DATEVALUE("2025/11/30")+TIMEVALUE("6:00"),1,0)+IF(A274&gt;=DATEVALUE("2025/12/11")+TIMEVALUE("6:00"),1,0)</f>
        <v>4</v>
      </c>
      <c r="N274">
        <f t="shared" ref="N274" si="626">N273+M274*(INT(A274-6/24)-INT(A273-6/24))+O274</f>
        <v>335</v>
      </c>
      <c r="O274">
        <f t="shared" ref="O274" si="627">IF(A274&gt;=DATEVALUE("2025/11/8")+TIMEVALUE("6:00"),1,0)-IF(A273&gt;=DATEVALUE("2025/11/8")+TIMEVALUE("6:00"),1,0)
+IF(A274&gt;=DATEVALUE("2026/1/22")+TIMEVALUE("6:00"),3,0)-IF(A273&gt;=DATEVALUE("2026/1/22")+TIMEVALUE("6:00"),3,0)</f>
        <v>0</v>
      </c>
      <c r="P274" t="str">
        <f t="shared" ref="P274" si="628">IF(L274&lt;N274,"未達成（"&amp;N274-L274&amp;"）",IF(L274=N274,"達成","前倒し（"&amp;L274-N274&amp;"）"))</f>
        <v>前倒し（1）</v>
      </c>
      <c r="Q274">
        <f t="shared" ref="Q274" si="629">IF(B274="",NA(),G274)</f>
        <v>6.7245370373711921E-3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46062.303553240738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2026-02-08T22:28:30Z</dcterms:modified>
</cp:coreProperties>
</file>
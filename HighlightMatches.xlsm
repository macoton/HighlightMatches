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69C9DB69-3347-46B6-B827-FD7060D5A54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1" i="4" l="1"/>
  <c r="M91" i="4"/>
  <c r="N91" i="4" s="1"/>
  <c r="K91" i="4"/>
  <c r="L91" i="4" s="1"/>
  <c r="P91" i="4" s="1"/>
  <c r="O90" i="4"/>
  <c r="M90" i="4"/>
  <c r="N90" i="4" s="1"/>
  <c r="K90" i="4"/>
  <c r="L90" i="4" s="1"/>
  <c r="P90" i="4" s="1"/>
  <c r="O89" i="4"/>
  <c r="M89" i="4"/>
  <c r="N89" i="4" s="1"/>
  <c r="K89" i="4"/>
  <c r="L89" i="4" s="1"/>
  <c r="O88" i="4"/>
  <c r="M88" i="4"/>
  <c r="N88" i="4" s="1"/>
  <c r="K88" i="4"/>
  <c r="L88" i="4" s="1"/>
  <c r="O87" i="4"/>
  <c r="M87" i="4"/>
  <c r="N87" i="4" s="1"/>
  <c r="K87" i="4"/>
  <c r="L87" i="4" s="1"/>
  <c r="O86" i="4"/>
  <c r="M86" i="4"/>
  <c r="N86" i="4" s="1"/>
  <c r="K86" i="4"/>
  <c r="L86" i="4" s="1"/>
  <c r="P86" i="4" s="1"/>
  <c r="O85" i="4"/>
  <c r="M85" i="4"/>
  <c r="N85" i="4" s="1"/>
  <c r="K85" i="4"/>
  <c r="L85" i="4" s="1"/>
  <c r="O84" i="4"/>
  <c r="M84" i="4"/>
  <c r="N84" i="4" s="1"/>
  <c r="K84" i="4"/>
  <c r="L84" i="4" s="1"/>
  <c r="P84" i="4" s="1"/>
  <c r="O83" i="4"/>
  <c r="M83" i="4"/>
  <c r="N83" i="4" s="1"/>
  <c r="K83" i="4"/>
  <c r="L83" i="4" s="1"/>
  <c r="P83" i="4" s="1"/>
  <c r="O82" i="4"/>
  <c r="M82" i="4"/>
  <c r="N82" i="4" s="1"/>
  <c r="K82" i="4"/>
  <c r="L82" i="4" s="1"/>
  <c r="P82" i="4" s="1"/>
  <c r="O80" i="4"/>
  <c r="M80" i="4"/>
  <c r="N80" i="4" s="1"/>
  <c r="K80" i="4"/>
  <c r="L80" i="4" s="1"/>
  <c r="O81" i="4"/>
  <c r="M81" i="4"/>
  <c r="K81" i="4"/>
  <c r="O79" i="4"/>
  <c r="M79" i="4"/>
  <c r="N79" i="4" s="1"/>
  <c r="K79" i="4"/>
  <c r="L79" i="4" s="1"/>
  <c r="O78" i="4"/>
  <c r="N78" i="4"/>
  <c r="M78" i="4"/>
  <c r="K78" i="4"/>
  <c r="L78" i="4" s="1"/>
  <c r="P78" i="4" s="1"/>
  <c r="O77" i="4"/>
  <c r="M77" i="4"/>
  <c r="N77" i="4" s="1"/>
  <c r="K77" i="4"/>
  <c r="L77" i="4" s="1"/>
  <c r="P77" i="4" s="1"/>
  <c r="O76" i="4"/>
  <c r="M76" i="4"/>
  <c r="N76" i="4" s="1"/>
  <c r="K76" i="4"/>
  <c r="L76" i="4" s="1"/>
  <c r="P76" i="4" s="1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L75" i="4" s="1"/>
  <c r="K74" i="4"/>
  <c r="L74" i="4" s="1"/>
  <c r="K73" i="4"/>
  <c r="L73" i="4" s="1"/>
  <c r="P89" i="4" l="1"/>
  <c r="P88" i="4"/>
  <c r="P87" i="4"/>
  <c r="P85" i="4"/>
  <c r="P80" i="4"/>
  <c r="N81" i="4"/>
  <c r="L81" i="4"/>
  <c r="P79" i="4"/>
  <c r="K72" i="4"/>
  <c r="L72" i="4" s="1"/>
  <c r="K71" i="4"/>
  <c r="L71" i="4" s="1"/>
  <c r="K70" i="4"/>
  <c r="L70" i="4" s="1"/>
  <c r="K69" i="4"/>
  <c r="L69" i="4" s="1"/>
  <c r="K68" i="4"/>
  <c r="L68" i="4" s="1"/>
  <c r="K67" i="4"/>
  <c r="L67" i="4" s="1"/>
  <c r="K66" i="4"/>
  <c r="L66" i="4" s="1"/>
  <c r="L65" i="4"/>
  <c r="K65" i="4"/>
  <c r="K64" i="4"/>
  <c r="L64" i="4" s="1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P81" i="4" l="1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s="1"/>
</calcChain>
</file>

<file path=xl/sharedStrings.xml><?xml version="1.0" encoding="utf-8"?>
<sst xmlns="http://schemas.openxmlformats.org/spreadsheetml/2006/main" count="259" uniqueCount="240">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</sst>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データ!$P$1:$P$90</c:f>
              <c:strCache>
                <c:ptCount val="90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データ!$A$2:$A$91</c:f>
              <c:numCache>
                <c:formatCode>m/d/yyyy\ h:mm</c:formatCode>
                <c:ptCount val="9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</c:numCache>
            </c:numRef>
          </c:xVal>
          <c:yVal>
            <c:numRef>
              <c:f>データ!$B$2:$B$91</c:f>
              <c:numCache>
                <c:formatCode>General</c:formatCode>
                <c:ptCount val="9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DE-482A-82EB-097C769B11E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7DE-482A-82EB-097C769B1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703952"/>
        <c:axId val="113471403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データ!$A$2:$A$91</c:f>
              <c:numCache>
                <c:formatCode>m/d/yyyy\ h:mm</c:formatCode>
                <c:ptCount val="9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</c:numCache>
            </c:numRef>
          </c:xVal>
          <c:yVal>
            <c:numRef>
              <c:f>データ!$G$2:$G$91</c:f>
              <c:numCache>
                <c:formatCode>[h]:mm</c:formatCode>
                <c:ptCount val="9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DE-482A-82EB-097C769B1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714992"/>
        <c:axId val="1134707792"/>
      </c:scatterChart>
      <c:valAx>
        <c:axId val="113470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4714032"/>
        <c:crosses val="autoZero"/>
        <c:crossBetween val="midCat"/>
      </c:valAx>
      <c:valAx>
        <c:axId val="11347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4703952"/>
        <c:crosses val="autoZero"/>
        <c:crossBetween val="midCat"/>
      </c:valAx>
      <c:valAx>
        <c:axId val="113470779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4714992"/>
        <c:crosses val="max"/>
        <c:crossBetween val="midCat"/>
      </c:valAx>
      <c:valAx>
        <c:axId val="113471499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470779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2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4" name="Match0">
          <a:extLst>
            <a:ext uri="{FF2B5EF4-FFF2-40B4-BE49-F238E27FC236}">
              <a16:creationId xmlns:a16="http://schemas.microsoft.com/office/drawing/2014/main" id="{5C58EC2B-6502-E930-88A0-60086D4C0417}"/>
            </a:ext>
          </a:extLst>
        </xdr:cNvPr>
        <xdr:cNvCxnSpPr/>
      </xdr:nvCxnSpPr>
      <xdr:spPr>
        <a:xfrm flipV="1">
          <a:off x="635794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5" name="Match1">
          <a:extLst>
            <a:ext uri="{FF2B5EF4-FFF2-40B4-BE49-F238E27FC236}">
              <a16:creationId xmlns:a16="http://schemas.microsoft.com/office/drawing/2014/main" id="{7964FFDD-131F-D072-5D43-203E40038842}"/>
            </a:ext>
          </a:extLst>
        </xdr:cNvPr>
        <xdr:cNvCxnSpPr/>
      </xdr:nvCxnSpPr>
      <xdr:spPr>
        <a:xfrm>
          <a:off x="275510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6" name="Match2">
          <a:extLst>
            <a:ext uri="{FF2B5EF4-FFF2-40B4-BE49-F238E27FC236}">
              <a16:creationId xmlns:a16="http://schemas.microsoft.com/office/drawing/2014/main" id="{633B3700-ECF3-DCF0-A16D-A14263F52F47}"/>
            </a:ext>
          </a:extLst>
        </xdr:cNvPr>
        <xdr:cNvCxnSpPr/>
      </xdr:nvCxnSpPr>
      <xdr:spPr>
        <a:xfrm>
          <a:off x="40266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0</xdr:row>
      <xdr:rowOff>203994</xdr:rowOff>
    </xdr:from>
    <xdr:to>
      <xdr:col>10</xdr:col>
      <xdr:colOff>237331</xdr:colOff>
      <xdr:row>1</xdr:row>
      <xdr:rowOff>203993</xdr:rowOff>
    </xdr:to>
    <xdr:cxnSp macro="">
      <xdr:nvCxnSpPr>
        <xdr:cNvPr id="7" name="Match3">
          <a:extLst>
            <a:ext uri="{FF2B5EF4-FFF2-40B4-BE49-F238E27FC236}">
              <a16:creationId xmlns:a16="http://schemas.microsoft.com/office/drawing/2014/main" id="{C6E3E704-278D-98E3-F8DD-444F37360697}"/>
            </a:ext>
          </a:extLst>
        </xdr:cNvPr>
        <xdr:cNvCxnSpPr/>
      </xdr:nvCxnSpPr>
      <xdr:spPr>
        <a:xfrm flipV="1">
          <a:off x="40520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8" name="Match4">
          <a:extLst>
            <a:ext uri="{FF2B5EF4-FFF2-40B4-BE49-F238E27FC236}">
              <a16:creationId xmlns:a16="http://schemas.microsoft.com/office/drawing/2014/main" id="{4AFC07BD-2260-6125-8BE4-2958D9A5DCFA}"/>
            </a:ext>
          </a:extLst>
        </xdr:cNvPr>
        <xdr:cNvCxnSpPr/>
      </xdr:nvCxnSpPr>
      <xdr:spPr>
        <a:xfrm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9" name="Match5">
          <a:extLst>
            <a:ext uri="{FF2B5EF4-FFF2-40B4-BE49-F238E27FC236}">
              <a16:creationId xmlns:a16="http://schemas.microsoft.com/office/drawing/2014/main" id="{E3AE4EB6-1D29-AE38-CB81-B8495E70234D}"/>
            </a:ext>
          </a:extLst>
        </xdr:cNvPr>
        <xdr:cNvCxnSpPr/>
      </xdr:nvCxnSpPr>
      <xdr:spPr>
        <a:xfrm flipV="1"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0" name="Match6">
          <a:extLst>
            <a:ext uri="{FF2B5EF4-FFF2-40B4-BE49-F238E27FC236}">
              <a16:creationId xmlns:a16="http://schemas.microsoft.com/office/drawing/2014/main" id="{2E09B6DD-6478-4E53-9F59-C0A38B25A786}"/>
            </a:ext>
          </a:extLst>
        </xdr:cNvPr>
        <xdr:cNvCxnSpPr/>
      </xdr:nvCxnSpPr>
      <xdr:spPr>
        <a:xfrm flipH="1" flipV="1"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1" name="Match7">
          <a:extLst>
            <a:ext uri="{FF2B5EF4-FFF2-40B4-BE49-F238E27FC236}">
              <a16:creationId xmlns:a16="http://schemas.microsoft.com/office/drawing/2014/main" id="{276D1AD2-42FE-63D8-AB01-6818FCA13185}"/>
            </a:ext>
          </a:extLst>
        </xdr:cNvPr>
        <xdr:cNvCxnSpPr/>
      </xdr:nvCxnSpPr>
      <xdr:spPr>
        <a:xfrm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2" name="Match8">
          <a:extLst>
            <a:ext uri="{FF2B5EF4-FFF2-40B4-BE49-F238E27FC236}">
              <a16:creationId xmlns:a16="http://schemas.microsoft.com/office/drawing/2014/main" id="{DA235DB1-2944-866D-934E-930E2DA9AE37}"/>
            </a:ext>
          </a:extLst>
        </xdr:cNvPr>
        <xdr:cNvCxnSpPr/>
      </xdr:nvCxnSpPr>
      <xdr:spPr>
        <a:xfrm flipH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3" name="Match9">
          <a:extLst>
            <a:ext uri="{FF2B5EF4-FFF2-40B4-BE49-F238E27FC236}">
              <a16:creationId xmlns:a16="http://schemas.microsoft.com/office/drawing/2014/main" id="{B96AC7A2-1063-0766-0DA8-CBD1722777DD}"/>
            </a:ext>
          </a:extLst>
        </xdr:cNvPr>
        <xdr:cNvCxnSpPr/>
      </xdr:nvCxnSpPr>
      <xdr:spPr>
        <a:xfrm>
          <a:off x="44505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14" name="Match10">
          <a:extLst>
            <a:ext uri="{FF2B5EF4-FFF2-40B4-BE49-F238E27FC236}">
              <a16:creationId xmlns:a16="http://schemas.microsoft.com/office/drawing/2014/main" id="{5EA1D358-0B63-F01C-CC80-2DE728755C64}"/>
            </a:ext>
          </a:extLst>
        </xdr:cNvPr>
        <xdr:cNvCxnSpPr/>
      </xdr:nvCxnSpPr>
      <xdr:spPr>
        <a:xfrm flipV="1">
          <a:off x="14835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15" name="Match11">
          <a:extLst>
            <a:ext uri="{FF2B5EF4-FFF2-40B4-BE49-F238E27FC236}">
              <a16:creationId xmlns:a16="http://schemas.microsoft.com/office/drawing/2014/main" id="{DC1E5013-5557-3F6E-171E-73A7FF121EED}"/>
            </a:ext>
          </a:extLst>
        </xdr:cNvPr>
        <xdr:cNvCxnSpPr/>
      </xdr:nvCxnSpPr>
      <xdr:spPr>
        <a:xfrm flipV="1">
          <a:off x="150891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16" name="Match12">
          <a:extLst>
            <a:ext uri="{FF2B5EF4-FFF2-40B4-BE49-F238E27FC236}">
              <a16:creationId xmlns:a16="http://schemas.microsoft.com/office/drawing/2014/main" id="{F55FC2D2-912E-1DB2-6F3D-B1B6DA6A87FD}"/>
            </a:ext>
          </a:extLst>
        </xdr:cNvPr>
        <xdr:cNvCxnSpPr/>
      </xdr:nvCxnSpPr>
      <xdr:spPr>
        <a:xfrm>
          <a:off x="2119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17" name="Match13">
          <a:extLst>
            <a:ext uri="{FF2B5EF4-FFF2-40B4-BE49-F238E27FC236}">
              <a16:creationId xmlns:a16="http://schemas.microsoft.com/office/drawing/2014/main" id="{6477A671-D175-40EC-8CC3-02E393E732AE}"/>
            </a:ext>
          </a:extLst>
        </xdr:cNvPr>
        <xdr:cNvCxnSpPr/>
      </xdr:nvCxnSpPr>
      <xdr:spPr>
        <a:xfrm flipH="1">
          <a:off x="1483519" y="2678906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8" name="Match14">
          <a:extLst>
            <a:ext uri="{FF2B5EF4-FFF2-40B4-BE49-F238E27FC236}">
              <a16:creationId xmlns:a16="http://schemas.microsoft.com/office/drawing/2014/main" id="{AA0137EF-7B62-6809-DB36-18AEA7F3ADF7}"/>
            </a:ext>
          </a:extLst>
        </xdr:cNvPr>
        <xdr:cNvCxnSpPr/>
      </xdr:nvCxnSpPr>
      <xdr:spPr>
        <a:xfrm flipH="1">
          <a:off x="1059656" y="1607344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19" name="Match15">
          <a:extLst>
            <a:ext uri="{FF2B5EF4-FFF2-40B4-BE49-F238E27FC236}">
              <a16:creationId xmlns:a16="http://schemas.microsoft.com/office/drawing/2014/main" id="{B630BB34-64D5-E8CF-59DA-0EE8A92192AC}"/>
            </a:ext>
          </a:extLst>
        </xdr:cNvPr>
        <xdr:cNvCxnSpPr/>
      </xdr:nvCxnSpPr>
      <xdr:spPr>
        <a:xfrm flipH="1">
          <a:off x="2331244" y="1964531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20" name="Match16">
          <a:extLst>
            <a:ext uri="{FF2B5EF4-FFF2-40B4-BE49-F238E27FC236}">
              <a16:creationId xmlns:a16="http://schemas.microsoft.com/office/drawing/2014/main" id="{835A8E5B-EA67-4913-EE74-03D197373504}"/>
            </a:ext>
          </a:extLst>
        </xdr:cNvPr>
        <xdr:cNvCxnSpPr/>
      </xdr:nvCxnSpPr>
      <xdr:spPr>
        <a:xfrm flipV="1"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21" name="Match17">
          <a:extLst>
            <a:ext uri="{FF2B5EF4-FFF2-40B4-BE49-F238E27FC236}">
              <a16:creationId xmlns:a16="http://schemas.microsoft.com/office/drawing/2014/main" id="{8AE4FE91-24FA-D099-D0F9-5CF6CACE5C90}"/>
            </a:ext>
          </a:extLst>
        </xdr:cNvPr>
        <xdr:cNvCxnSpPr/>
      </xdr:nvCxnSpPr>
      <xdr:spPr>
        <a:xfrm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22" name="Match18">
          <a:extLst>
            <a:ext uri="{FF2B5EF4-FFF2-40B4-BE49-F238E27FC236}">
              <a16:creationId xmlns:a16="http://schemas.microsoft.com/office/drawing/2014/main" id="{4737FE9A-8914-4040-7FD8-907E59B6749D}"/>
            </a:ext>
          </a:extLst>
        </xdr:cNvPr>
        <xdr:cNvCxnSpPr/>
      </xdr:nvCxnSpPr>
      <xdr:spPr>
        <a:xfrm>
          <a:off x="10596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23" name="Match19">
          <a:extLst>
            <a:ext uri="{FF2B5EF4-FFF2-40B4-BE49-F238E27FC236}">
              <a16:creationId xmlns:a16="http://schemas.microsoft.com/office/drawing/2014/main" id="{8A4AA7BC-7DC3-E523-AC1F-6214C58141EB}"/>
            </a:ext>
          </a:extLst>
        </xdr:cNvPr>
        <xdr:cNvCxnSpPr/>
      </xdr:nvCxnSpPr>
      <xdr:spPr>
        <a:xfrm flipV="1">
          <a:off x="36028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24" name="Match20">
          <a:extLst>
            <a:ext uri="{FF2B5EF4-FFF2-40B4-BE49-F238E27FC236}">
              <a16:creationId xmlns:a16="http://schemas.microsoft.com/office/drawing/2014/main" id="{CCC928A8-135B-0D51-651E-4A58B3347E7D}"/>
            </a:ext>
          </a:extLst>
        </xdr:cNvPr>
        <xdr:cNvCxnSpPr/>
      </xdr:nvCxnSpPr>
      <xdr:spPr>
        <a:xfrm>
          <a:off x="190738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25" name="Match21">
          <a:extLst>
            <a:ext uri="{FF2B5EF4-FFF2-40B4-BE49-F238E27FC236}">
              <a16:creationId xmlns:a16="http://schemas.microsoft.com/office/drawing/2014/main" id="{EF9A826F-935F-D3C5-869F-AAE401DC156F}"/>
            </a:ext>
          </a:extLst>
        </xdr:cNvPr>
        <xdr:cNvCxnSpPr/>
      </xdr:nvCxnSpPr>
      <xdr:spPr>
        <a:xfrm flipH="1">
          <a:off x="233124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26" name="Match22">
          <a:extLst>
            <a:ext uri="{FF2B5EF4-FFF2-40B4-BE49-F238E27FC236}">
              <a16:creationId xmlns:a16="http://schemas.microsoft.com/office/drawing/2014/main" id="{15F18478-AC99-389C-7549-1F9F0AF6F8E4}"/>
            </a:ext>
          </a:extLst>
        </xdr:cNvPr>
        <xdr:cNvCxnSpPr/>
      </xdr:nvCxnSpPr>
      <xdr:spPr>
        <a:xfrm flipH="1"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27" name="Match23">
          <a:extLst>
            <a:ext uri="{FF2B5EF4-FFF2-40B4-BE49-F238E27FC236}">
              <a16:creationId xmlns:a16="http://schemas.microsoft.com/office/drawing/2014/main" id="{4BADDD40-7A56-5017-B712-E1C28CAC8E6A}"/>
            </a:ext>
          </a:extLst>
        </xdr:cNvPr>
        <xdr:cNvCxnSpPr/>
      </xdr:nvCxnSpPr>
      <xdr:spPr>
        <a:xfrm>
          <a:off x="148351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3</xdr:col>
      <xdr:colOff>237331</xdr:colOff>
      <xdr:row>8</xdr:row>
      <xdr:rowOff>203994</xdr:rowOff>
    </xdr:to>
    <xdr:cxnSp macro="">
      <xdr:nvCxnSpPr>
        <xdr:cNvPr id="28" name="Match24">
          <a:extLst>
            <a:ext uri="{FF2B5EF4-FFF2-40B4-BE49-F238E27FC236}">
              <a16:creationId xmlns:a16="http://schemas.microsoft.com/office/drawing/2014/main" id="{07119ADD-88CE-8021-8960-46237A42AD2C}"/>
            </a:ext>
          </a:extLst>
        </xdr:cNvPr>
        <xdr:cNvCxnSpPr/>
      </xdr:nvCxnSpPr>
      <xdr:spPr>
        <a:xfrm flipH="1">
          <a:off x="1085056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29" name="Match25">
          <a:extLst>
            <a:ext uri="{FF2B5EF4-FFF2-40B4-BE49-F238E27FC236}">
              <a16:creationId xmlns:a16="http://schemas.microsoft.com/office/drawing/2014/main" id="{E9E23FF2-B0F9-8480-8966-DA27EDA893C8}"/>
            </a:ext>
          </a:extLst>
        </xdr:cNvPr>
        <xdr:cNvCxnSpPr/>
      </xdr:nvCxnSpPr>
      <xdr:spPr>
        <a:xfrm>
          <a:off x="190738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30" name="Match26">
          <a:extLst>
            <a:ext uri="{FF2B5EF4-FFF2-40B4-BE49-F238E27FC236}">
              <a16:creationId xmlns:a16="http://schemas.microsoft.com/office/drawing/2014/main" id="{F50E9EC7-35A7-99A8-49CA-A1D151FCB7F9}"/>
            </a:ext>
          </a:extLst>
        </xdr:cNvPr>
        <xdr:cNvCxnSpPr/>
      </xdr:nvCxnSpPr>
      <xdr:spPr>
        <a:xfrm flipH="1">
          <a:off x="190738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31" name="Match27">
          <a:extLst>
            <a:ext uri="{FF2B5EF4-FFF2-40B4-BE49-F238E27FC236}">
              <a16:creationId xmlns:a16="http://schemas.microsoft.com/office/drawing/2014/main" id="{C4D6A9C1-DE55-2D7E-8F7D-C8C63E1298CE}"/>
            </a:ext>
          </a:extLst>
        </xdr:cNvPr>
        <xdr:cNvCxnSpPr/>
      </xdr:nvCxnSpPr>
      <xdr:spPr>
        <a:xfrm flipH="1"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32" name="Match28">
          <a:extLst>
            <a:ext uri="{FF2B5EF4-FFF2-40B4-BE49-F238E27FC236}">
              <a16:creationId xmlns:a16="http://schemas.microsoft.com/office/drawing/2014/main" id="{AA455819-3EFF-1E9E-E335-8531AAA66D82}"/>
            </a:ext>
          </a:extLst>
        </xdr:cNvPr>
        <xdr:cNvCxnSpPr/>
      </xdr:nvCxnSpPr>
      <xdr:spPr>
        <a:xfrm>
          <a:off x="6357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33" name="Match29">
          <a:extLst>
            <a:ext uri="{FF2B5EF4-FFF2-40B4-BE49-F238E27FC236}">
              <a16:creationId xmlns:a16="http://schemas.microsoft.com/office/drawing/2014/main" id="{4F59829A-AD6A-554A-9486-FA5BC957BF9E}"/>
            </a:ext>
          </a:extLst>
        </xdr:cNvPr>
        <xdr:cNvCxnSpPr/>
      </xdr:nvCxnSpPr>
      <xdr:spPr>
        <a:xfrm flipH="1" flipV="1">
          <a:off x="2373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34" name="Match30">
          <a:extLst>
            <a:ext uri="{FF2B5EF4-FFF2-40B4-BE49-F238E27FC236}">
              <a16:creationId xmlns:a16="http://schemas.microsoft.com/office/drawing/2014/main" id="{0D6EA32C-A5F4-3684-CD06-7E72BEFCE23D}"/>
            </a:ext>
          </a:extLst>
        </xdr:cNvPr>
        <xdr:cNvCxnSpPr/>
      </xdr:nvCxnSpPr>
      <xdr:spPr>
        <a:xfrm>
          <a:off x="2331244" y="4107656"/>
          <a:ext cx="211931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35" name="Match31">
          <a:extLst>
            <a:ext uri="{FF2B5EF4-FFF2-40B4-BE49-F238E27FC236}">
              <a16:creationId xmlns:a16="http://schemas.microsoft.com/office/drawing/2014/main" id="{517DE658-C4EC-60BD-16B4-18B1C0AD2E41}"/>
            </a:ext>
          </a:extLst>
        </xdr:cNvPr>
        <xdr:cNvCxnSpPr/>
      </xdr:nvCxnSpPr>
      <xdr:spPr>
        <a:xfrm flipH="1">
          <a:off x="1483519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36" name="Match32">
          <a:extLst>
            <a:ext uri="{FF2B5EF4-FFF2-40B4-BE49-F238E27FC236}">
              <a16:creationId xmlns:a16="http://schemas.microsoft.com/office/drawing/2014/main" id="{FF9E2F69-0D19-12E9-DDD1-F7D48263CF60}"/>
            </a:ext>
          </a:extLst>
        </xdr:cNvPr>
        <xdr:cNvCxnSpPr/>
      </xdr:nvCxnSpPr>
      <xdr:spPr>
        <a:xfrm flipH="1">
          <a:off x="2755106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37" name="Match33">
          <a:extLst>
            <a:ext uri="{FF2B5EF4-FFF2-40B4-BE49-F238E27FC236}">
              <a16:creationId xmlns:a16="http://schemas.microsoft.com/office/drawing/2014/main" id="{95C374AC-3404-B96B-8359-7396E7E944D9}"/>
            </a:ext>
          </a:extLst>
        </xdr:cNvPr>
        <xdr:cNvCxnSpPr/>
      </xdr:nvCxnSpPr>
      <xdr:spPr>
        <a:xfrm flipV="1">
          <a:off x="635794" y="892969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38" name="Match34">
          <a:extLst>
            <a:ext uri="{FF2B5EF4-FFF2-40B4-BE49-F238E27FC236}">
              <a16:creationId xmlns:a16="http://schemas.microsoft.com/office/drawing/2014/main" id="{00087659-7CD9-FEDE-7F07-D7374AB76397}"/>
            </a:ext>
          </a:extLst>
        </xdr:cNvPr>
        <xdr:cNvCxnSpPr/>
      </xdr:nvCxnSpPr>
      <xdr:spPr>
        <a:xfrm>
          <a:off x="1907381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10</xdr:row>
      <xdr:rowOff>203994</xdr:rowOff>
    </xdr:from>
    <xdr:to>
      <xdr:col>4</xdr:col>
      <xdr:colOff>237331</xdr:colOff>
      <xdr:row>10</xdr:row>
      <xdr:rowOff>203994</xdr:rowOff>
    </xdr:to>
    <xdr:cxnSp macro="">
      <xdr:nvCxnSpPr>
        <xdr:cNvPr id="39" name="Match35">
          <a:extLst>
            <a:ext uri="{FF2B5EF4-FFF2-40B4-BE49-F238E27FC236}">
              <a16:creationId xmlns:a16="http://schemas.microsoft.com/office/drawing/2014/main" id="{6CF774F4-452B-893D-3ECD-9F3E35788A05}"/>
            </a:ext>
          </a:extLst>
        </xdr:cNvPr>
        <xdr:cNvCxnSpPr/>
      </xdr:nvCxnSpPr>
      <xdr:spPr>
        <a:xfrm flipH="1">
          <a:off x="1085056" y="3775869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40" name="Match36">
          <a:extLst>
            <a:ext uri="{FF2B5EF4-FFF2-40B4-BE49-F238E27FC236}">
              <a16:creationId xmlns:a16="http://schemas.microsoft.com/office/drawing/2014/main" id="{5D844EB2-DD86-1772-97FB-D0B84E32C58D}"/>
            </a:ext>
          </a:extLst>
        </xdr:cNvPr>
        <xdr:cNvCxnSpPr/>
      </xdr:nvCxnSpPr>
      <xdr:spPr>
        <a:xfrm flipV="1">
          <a:off x="1059656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2</xdr:col>
      <xdr:colOff>211931</xdr:colOff>
      <xdr:row>1</xdr:row>
      <xdr:rowOff>178593</xdr:rowOff>
    </xdr:to>
    <xdr:cxnSp macro="">
      <xdr:nvCxnSpPr>
        <xdr:cNvPr id="41" name="Match37">
          <a:extLst>
            <a:ext uri="{FF2B5EF4-FFF2-40B4-BE49-F238E27FC236}">
              <a16:creationId xmlns:a16="http://schemas.microsoft.com/office/drawing/2014/main" id="{7FE53B89-A51E-F64D-83B2-2804A4C8456D}"/>
            </a:ext>
          </a:extLst>
        </xdr:cNvPr>
        <xdr:cNvCxnSpPr/>
      </xdr:nvCxnSpPr>
      <xdr:spPr>
        <a:xfrm>
          <a:off x="211931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42" name="Match38">
          <a:extLst>
            <a:ext uri="{FF2B5EF4-FFF2-40B4-BE49-F238E27FC236}">
              <a16:creationId xmlns:a16="http://schemas.microsoft.com/office/drawing/2014/main" id="{FADADC8F-9CCC-3790-61B7-66CFD97A8334}"/>
            </a:ext>
          </a:extLst>
        </xdr:cNvPr>
        <xdr:cNvCxnSpPr/>
      </xdr:nvCxnSpPr>
      <xdr:spPr>
        <a:xfrm flipH="1">
          <a:off x="211931" y="267890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43" name="Match39">
          <a:extLst>
            <a:ext uri="{FF2B5EF4-FFF2-40B4-BE49-F238E27FC236}">
              <a16:creationId xmlns:a16="http://schemas.microsoft.com/office/drawing/2014/main" id="{71266C81-F866-44A2-1B70-F653F319BC39}"/>
            </a:ext>
          </a:extLst>
        </xdr:cNvPr>
        <xdr:cNvCxnSpPr/>
      </xdr:nvCxnSpPr>
      <xdr:spPr>
        <a:xfrm flipV="1">
          <a:off x="4874419" y="53578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44" name="Match40">
          <a:extLst>
            <a:ext uri="{FF2B5EF4-FFF2-40B4-BE49-F238E27FC236}">
              <a16:creationId xmlns:a16="http://schemas.microsoft.com/office/drawing/2014/main" id="{BAF7AD22-66D4-B77D-762B-CA5BFAAFE4C3}"/>
            </a:ext>
          </a:extLst>
        </xdr:cNvPr>
        <xdr:cNvCxnSpPr/>
      </xdr:nvCxnSpPr>
      <xdr:spPr>
        <a:xfrm>
          <a:off x="190738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0</xdr:row>
      <xdr:rowOff>203994</xdr:rowOff>
    </xdr:to>
    <xdr:cxnSp macro="">
      <xdr:nvCxnSpPr>
        <xdr:cNvPr id="45" name="Match41">
          <a:extLst>
            <a:ext uri="{FF2B5EF4-FFF2-40B4-BE49-F238E27FC236}">
              <a16:creationId xmlns:a16="http://schemas.microsoft.com/office/drawing/2014/main" id="{F8A34AAE-9275-8DDC-A1C2-6F15656C3476}"/>
            </a:ext>
          </a:extLst>
        </xdr:cNvPr>
        <xdr:cNvCxnSpPr/>
      </xdr:nvCxnSpPr>
      <xdr:spPr>
        <a:xfrm flipH="1">
          <a:off x="1508919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46" name="Match42">
          <a:extLst>
            <a:ext uri="{FF2B5EF4-FFF2-40B4-BE49-F238E27FC236}">
              <a16:creationId xmlns:a16="http://schemas.microsoft.com/office/drawing/2014/main" id="{03C9E856-25FE-8948-DA16-6D5077F7A8AE}"/>
            </a:ext>
          </a:extLst>
        </xdr:cNvPr>
        <xdr:cNvCxnSpPr/>
      </xdr:nvCxnSpPr>
      <xdr:spPr>
        <a:xfrm>
          <a:off x="14835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47" name="Match43">
          <a:extLst>
            <a:ext uri="{FF2B5EF4-FFF2-40B4-BE49-F238E27FC236}">
              <a16:creationId xmlns:a16="http://schemas.microsoft.com/office/drawing/2014/main" id="{FBDE364B-1D85-2CFD-675E-4DA2EBEFC347}"/>
            </a:ext>
          </a:extLst>
        </xdr:cNvPr>
        <xdr:cNvCxnSpPr/>
      </xdr:nvCxnSpPr>
      <xdr:spPr>
        <a:xfrm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48" name="Match44">
          <a:extLst>
            <a:ext uri="{FF2B5EF4-FFF2-40B4-BE49-F238E27FC236}">
              <a16:creationId xmlns:a16="http://schemas.microsoft.com/office/drawing/2014/main" id="{22D7E32C-5D3A-4D8C-A9E4-682ADD0C84AD}"/>
            </a:ext>
          </a:extLst>
        </xdr:cNvPr>
        <xdr:cNvCxnSpPr/>
      </xdr:nvCxnSpPr>
      <xdr:spPr>
        <a:xfrm flipH="1">
          <a:off x="150891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6</xdr:row>
      <xdr:rowOff>178594</xdr:rowOff>
    </xdr:to>
    <xdr:cxnSp macro="">
      <xdr:nvCxnSpPr>
        <xdr:cNvPr id="49" name="Match45">
          <a:extLst>
            <a:ext uri="{FF2B5EF4-FFF2-40B4-BE49-F238E27FC236}">
              <a16:creationId xmlns:a16="http://schemas.microsoft.com/office/drawing/2014/main" id="{D1CD7E4E-A6A5-8582-083E-67DAFFE3716D}"/>
            </a:ext>
          </a:extLst>
        </xdr:cNvPr>
        <xdr:cNvCxnSpPr/>
      </xdr:nvCxnSpPr>
      <xdr:spPr>
        <a:xfrm>
          <a:off x="21193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1</xdr:col>
      <xdr:colOff>237331</xdr:colOff>
      <xdr:row>6</xdr:row>
      <xdr:rowOff>203994</xdr:rowOff>
    </xdr:to>
    <xdr:cxnSp macro="">
      <xdr:nvCxnSpPr>
        <xdr:cNvPr id="50" name="Match46">
          <a:extLst>
            <a:ext uri="{FF2B5EF4-FFF2-40B4-BE49-F238E27FC236}">
              <a16:creationId xmlns:a16="http://schemas.microsoft.com/office/drawing/2014/main" id="{88B4639A-E512-BA58-A6A6-86702D115F9B}"/>
            </a:ext>
          </a:extLst>
        </xdr:cNvPr>
        <xdr:cNvCxnSpPr/>
      </xdr:nvCxnSpPr>
      <xdr:spPr>
        <a:xfrm flipH="1">
          <a:off x="237331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51" name="Match47">
          <a:extLst>
            <a:ext uri="{FF2B5EF4-FFF2-40B4-BE49-F238E27FC236}">
              <a16:creationId xmlns:a16="http://schemas.microsoft.com/office/drawing/2014/main" id="{E8223989-E933-1D73-264C-784F7E9F8A25}"/>
            </a:ext>
          </a:extLst>
        </xdr:cNvPr>
        <xdr:cNvCxnSpPr/>
      </xdr:nvCxnSpPr>
      <xdr:spPr>
        <a:xfrm flipH="1">
          <a:off x="40266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52" name="Match48">
          <a:extLst>
            <a:ext uri="{FF2B5EF4-FFF2-40B4-BE49-F238E27FC236}">
              <a16:creationId xmlns:a16="http://schemas.microsoft.com/office/drawing/2014/main" id="{4D4B67AB-E9C8-4C8B-75BF-956A2AECF230}"/>
            </a:ext>
          </a:extLst>
        </xdr:cNvPr>
        <xdr:cNvCxnSpPr/>
      </xdr:nvCxnSpPr>
      <xdr:spPr>
        <a:xfrm flipV="1">
          <a:off x="4450556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53" name="Match49">
          <a:extLst>
            <a:ext uri="{FF2B5EF4-FFF2-40B4-BE49-F238E27FC236}">
              <a16:creationId xmlns:a16="http://schemas.microsoft.com/office/drawing/2014/main" id="{D5C40977-D3E3-DD08-CC5F-2131EF82EF05}"/>
            </a:ext>
          </a:extLst>
        </xdr:cNvPr>
        <xdr:cNvCxnSpPr/>
      </xdr:nvCxnSpPr>
      <xdr:spPr>
        <a:xfrm>
          <a:off x="44505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54" name="Match50">
          <a:extLst>
            <a:ext uri="{FF2B5EF4-FFF2-40B4-BE49-F238E27FC236}">
              <a16:creationId xmlns:a16="http://schemas.microsoft.com/office/drawing/2014/main" id="{C2562CAD-FBA9-CBBA-FA38-7AC90A32E381}"/>
            </a:ext>
          </a:extLst>
        </xdr:cNvPr>
        <xdr:cNvCxnSpPr/>
      </xdr:nvCxnSpPr>
      <xdr:spPr>
        <a:xfrm flipH="1"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55" name="Match51">
          <a:extLst>
            <a:ext uri="{FF2B5EF4-FFF2-40B4-BE49-F238E27FC236}">
              <a16:creationId xmlns:a16="http://schemas.microsoft.com/office/drawing/2014/main" id="{EB73C027-F3B7-A9E4-E4F2-D58DB4892ADD}"/>
            </a:ext>
          </a:extLst>
        </xdr:cNvPr>
        <xdr:cNvCxnSpPr/>
      </xdr:nvCxnSpPr>
      <xdr:spPr>
        <a:xfrm flipV="1">
          <a:off x="235664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56" name="Match52">
          <a:extLst>
            <a:ext uri="{FF2B5EF4-FFF2-40B4-BE49-F238E27FC236}">
              <a16:creationId xmlns:a16="http://schemas.microsoft.com/office/drawing/2014/main" id="{FED25EAA-5FDD-6FD2-F51E-05E530980390}"/>
            </a:ext>
          </a:extLst>
        </xdr:cNvPr>
        <xdr:cNvCxnSpPr/>
      </xdr:nvCxnSpPr>
      <xdr:spPr>
        <a:xfrm flipH="1">
          <a:off x="10596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5</xdr:row>
      <xdr:rowOff>203993</xdr:rowOff>
    </xdr:from>
    <xdr:to>
      <xdr:col>9</xdr:col>
      <xdr:colOff>237331</xdr:colOff>
      <xdr:row>6</xdr:row>
      <xdr:rowOff>203994</xdr:rowOff>
    </xdr:to>
    <xdr:cxnSp macro="">
      <xdr:nvCxnSpPr>
        <xdr:cNvPr id="57" name="Match53">
          <a:extLst>
            <a:ext uri="{FF2B5EF4-FFF2-40B4-BE49-F238E27FC236}">
              <a16:creationId xmlns:a16="http://schemas.microsoft.com/office/drawing/2014/main" id="{8FD3C624-27C8-91D4-5C01-8401065C9914}"/>
            </a:ext>
          </a:extLst>
        </xdr:cNvPr>
        <xdr:cNvCxnSpPr/>
      </xdr:nvCxnSpPr>
      <xdr:spPr>
        <a:xfrm>
          <a:off x="362823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58" name="Match54">
          <a:extLst>
            <a:ext uri="{FF2B5EF4-FFF2-40B4-BE49-F238E27FC236}">
              <a16:creationId xmlns:a16="http://schemas.microsoft.com/office/drawing/2014/main" id="{9E645360-52BD-5BB1-EDE2-5234A1927E70}"/>
            </a:ext>
          </a:extLst>
        </xdr:cNvPr>
        <xdr:cNvCxnSpPr/>
      </xdr:nvCxnSpPr>
      <xdr:spPr>
        <a:xfrm>
          <a:off x="40266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9</xdr:col>
      <xdr:colOff>237331</xdr:colOff>
      <xdr:row>6</xdr:row>
      <xdr:rowOff>203994</xdr:rowOff>
    </xdr:to>
    <xdr:cxnSp macro="">
      <xdr:nvCxnSpPr>
        <xdr:cNvPr id="59" name="Match55">
          <a:extLst>
            <a:ext uri="{FF2B5EF4-FFF2-40B4-BE49-F238E27FC236}">
              <a16:creationId xmlns:a16="http://schemas.microsoft.com/office/drawing/2014/main" id="{C3DE6ACC-9C5A-9EEA-595C-4C49CA1EC8FE}"/>
            </a:ext>
          </a:extLst>
        </xdr:cNvPr>
        <xdr:cNvCxnSpPr/>
      </xdr:nvCxnSpPr>
      <xdr:spPr>
        <a:xfrm>
          <a:off x="4052094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4</xdr:row>
      <xdr:rowOff>229394</xdr:rowOff>
    </xdr:from>
    <xdr:to>
      <xdr:col>10</xdr:col>
      <xdr:colOff>262731</xdr:colOff>
      <xdr:row>5</xdr:row>
      <xdr:rowOff>229393</xdr:rowOff>
    </xdr:to>
    <xdr:cxnSp macro="">
      <xdr:nvCxnSpPr>
        <xdr:cNvPr id="60" name="Match56">
          <a:extLst>
            <a:ext uri="{FF2B5EF4-FFF2-40B4-BE49-F238E27FC236}">
              <a16:creationId xmlns:a16="http://schemas.microsoft.com/office/drawing/2014/main" id="{99B80BF2-3266-A3E2-73C5-E95D8F308EE4}"/>
            </a:ext>
          </a:extLst>
        </xdr:cNvPr>
        <xdr:cNvCxnSpPr/>
      </xdr:nvCxnSpPr>
      <xdr:spPr>
        <a:xfrm flipV="1">
          <a:off x="4077494" y="165814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61" name="Match57">
          <a:extLst>
            <a:ext uri="{FF2B5EF4-FFF2-40B4-BE49-F238E27FC236}">
              <a16:creationId xmlns:a16="http://schemas.microsoft.com/office/drawing/2014/main" id="{8D6B89CD-7CBE-605B-E3E4-F56A71E1A407}"/>
            </a:ext>
          </a:extLst>
        </xdr:cNvPr>
        <xdr:cNvCxnSpPr/>
      </xdr:nvCxnSpPr>
      <xdr:spPr>
        <a:xfrm flipH="1">
          <a:off x="317896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62" name="Match58">
          <a:extLst>
            <a:ext uri="{FF2B5EF4-FFF2-40B4-BE49-F238E27FC236}">
              <a16:creationId xmlns:a16="http://schemas.microsoft.com/office/drawing/2014/main" id="{E0878B46-597A-F344-9C10-3E6854EF559F}"/>
            </a:ext>
          </a:extLst>
        </xdr:cNvPr>
        <xdr:cNvCxnSpPr/>
      </xdr:nvCxnSpPr>
      <xdr:spPr>
        <a:xfrm flipV="1">
          <a:off x="36282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63" name="Match59">
          <a:extLst>
            <a:ext uri="{FF2B5EF4-FFF2-40B4-BE49-F238E27FC236}">
              <a16:creationId xmlns:a16="http://schemas.microsoft.com/office/drawing/2014/main" id="{D7BFAB36-2498-A431-BCF9-9525F60B1645}"/>
            </a:ext>
          </a:extLst>
        </xdr:cNvPr>
        <xdr:cNvCxnSpPr/>
      </xdr:nvCxnSpPr>
      <xdr:spPr>
        <a:xfrm>
          <a:off x="40266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1024" name="Match60">
          <a:extLst>
            <a:ext uri="{FF2B5EF4-FFF2-40B4-BE49-F238E27FC236}">
              <a16:creationId xmlns:a16="http://schemas.microsoft.com/office/drawing/2014/main" id="{C3883E92-6577-9552-3BDD-EB79D0B0F95E}"/>
            </a:ext>
          </a:extLst>
        </xdr:cNvPr>
        <xdr:cNvCxnSpPr/>
      </xdr:nvCxnSpPr>
      <xdr:spPr>
        <a:xfrm>
          <a:off x="275510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1025" name="Match61">
          <a:extLst>
            <a:ext uri="{FF2B5EF4-FFF2-40B4-BE49-F238E27FC236}">
              <a16:creationId xmlns:a16="http://schemas.microsoft.com/office/drawing/2014/main" id="{C11E7B8F-AAE5-3081-BA11-FF81DE3DCE87}"/>
            </a:ext>
          </a:extLst>
        </xdr:cNvPr>
        <xdr:cNvCxnSpPr/>
      </xdr:nvCxnSpPr>
      <xdr:spPr>
        <a:xfrm flipV="1">
          <a:off x="278050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026" name="Match62">
          <a:extLst>
            <a:ext uri="{FF2B5EF4-FFF2-40B4-BE49-F238E27FC236}">
              <a16:creationId xmlns:a16="http://schemas.microsoft.com/office/drawing/2014/main" id="{06196233-F759-E703-7F76-E0686820394A}"/>
            </a:ext>
          </a:extLst>
        </xdr:cNvPr>
        <xdr:cNvCxnSpPr/>
      </xdr:nvCxnSpPr>
      <xdr:spPr>
        <a:xfrm flipH="1"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1027" name="Match63">
          <a:extLst>
            <a:ext uri="{FF2B5EF4-FFF2-40B4-BE49-F238E27FC236}">
              <a16:creationId xmlns:a16="http://schemas.microsoft.com/office/drawing/2014/main" id="{3068DDE8-B3DE-FE89-99ED-7698EF735F7B}"/>
            </a:ext>
          </a:extLst>
        </xdr:cNvPr>
        <xdr:cNvCxnSpPr/>
      </xdr:nvCxnSpPr>
      <xdr:spPr>
        <a:xfrm flipV="1">
          <a:off x="320436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028" name="Match64">
          <a:extLst>
            <a:ext uri="{FF2B5EF4-FFF2-40B4-BE49-F238E27FC236}">
              <a16:creationId xmlns:a16="http://schemas.microsoft.com/office/drawing/2014/main" id="{E6CB8085-175C-4FA5-DA46-BCF8A7E7DF7D}"/>
            </a:ext>
          </a:extLst>
        </xdr:cNvPr>
        <xdr:cNvCxnSpPr/>
      </xdr:nvCxnSpPr>
      <xdr:spPr>
        <a:xfrm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8</xdr:row>
      <xdr:rowOff>203994</xdr:rowOff>
    </xdr:from>
    <xdr:to>
      <xdr:col>8</xdr:col>
      <xdr:colOff>237331</xdr:colOff>
      <xdr:row>9</xdr:row>
      <xdr:rowOff>203993</xdr:rowOff>
    </xdr:to>
    <xdr:cxnSp macro="">
      <xdr:nvCxnSpPr>
        <xdr:cNvPr id="1029" name="Match65">
          <a:extLst>
            <a:ext uri="{FF2B5EF4-FFF2-40B4-BE49-F238E27FC236}">
              <a16:creationId xmlns:a16="http://schemas.microsoft.com/office/drawing/2014/main" id="{F2F26537-3D9C-844F-4269-5057B9664991}"/>
            </a:ext>
          </a:extLst>
        </xdr:cNvPr>
        <xdr:cNvCxnSpPr/>
      </xdr:nvCxnSpPr>
      <xdr:spPr>
        <a:xfrm flipH="1" flipV="1">
          <a:off x="320436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1030" name="Match66">
          <a:extLst>
            <a:ext uri="{FF2B5EF4-FFF2-40B4-BE49-F238E27FC236}">
              <a16:creationId xmlns:a16="http://schemas.microsoft.com/office/drawing/2014/main" id="{B0FD0FE5-CCB9-A62F-7255-994F122C513F}"/>
            </a:ext>
          </a:extLst>
        </xdr:cNvPr>
        <xdr:cNvCxnSpPr/>
      </xdr:nvCxnSpPr>
      <xdr:spPr>
        <a:xfrm>
          <a:off x="2119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8FB89E41-21AA-A2EC-4CEB-1F19A1C290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6" sqref="K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3</v>
      </c>
      <c r="B1" s="26">
        <v>6</v>
      </c>
      <c r="C1" s="26">
        <v>9</v>
      </c>
      <c r="D1" s="22">
        <v>5</v>
      </c>
      <c r="E1" s="22">
        <v>7</v>
      </c>
      <c r="F1" s="22">
        <v>5</v>
      </c>
      <c r="G1" s="22">
        <v>4</v>
      </c>
      <c r="H1" s="22">
        <v>9</v>
      </c>
      <c r="I1" s="26">
        <v>1</v>
      </c>
      <c r="J1" s="26">
        <v>3</v>
      </c>
      <c r="K1" s="22">
        <v>2</v>
      </c>
      <c r="L1" s="26">
        <v>8</v>
      </c>
      <c r="N1" s="2">
        <v>74884</v>
      </c>
      <c r="O1" s="1">
        <v>1</v>
      </c>
    </row>
    <row r="2" spans="1:15" ht="28.25" customHeight="1">
      <c r="A2" s="23">
        <v>6</v>
      </c>
      <c r="B2" s="23">
        <v>8</v>
      </c>
      <c r="C2" s="23">
        <v>1</v>
      </c>
      <c r="D2" s="22">
        <v>6</v>
      </c>
      <c r="E2" s="22">
        <v>8</v>
      </c>
      <c r="F2" s="22">
        <v>8</v>
      </c>
      <c r="G2" s="23">
        <v>2</v>
      </c>
      <c r="H2" s="26">
        <v>5</v>
      </c>
      <c r="I2" s="26">
        <v>8</v>
      </c>
      <c r="J2" s="22">
        <v>4</v>
      </c>
      <c r="K2" s="26">
        <v>1</v>
      </c>
      <c r="L2" s="23">
        <v>1</v>
      </c>
      <c r="N2" s="2">
        <v>42</v>
      </c>
      <c r="O2" s="1">
        <v>12</v>
      </c>
    </row>
    <row r="3" spans="1:15" ht="28.25" customHeight="1">
      <c r="A3" s="26">
        <v>8</v>
      </c>
      <c r="B3" s="23">
        <v>4</v>
      </c>
      <c r="C3" s="26">
        <v>1</v>
      </c>
      <c r="D3" s="26">
        <v>7</v>
      </c>
      <c r="E3" s="26">
        <v>4</v>
      </c>
      <c r="F3" s="23">
        <v>4</v>
      </c>
      <c r="G3" s="26">
        <v>1</v>
      </c>
      <c r="H3" s="23">
        <v>6</v>
      </c>
      <c r="I3" s="22">
        <v>9</v>
      </c>
      <c r="J3" s="26">
        <v>5</v>
      </c>
      <c r="K3" s="22">
        <v>2</v>
      </c>
      <c r="L3" s="23">
        <v>6</v>
      </c>
      <c r="N3" s="2">
        <v>7182</v>
      </c>
      <c r="O3" s="1">
        <v>1</v>
      </c>
    </row>
    <row r="4" spans="1:15" ht="28.25" customHeight="1">
      <c r="A4" s="26">
        <v>5</v>
      </c>
      <c r="B4" s="23">
        <v>8</v>
      </c>
      <c r="C4" s="22">
        <v>2</v>
      </c>
      <c r="D4" s="22">
        <v>7</v>
      </c>
      <c r="E4" s="23">
        <v>7</v>
      </c>
      <c r="F4" s="22">
        <v>3</v>
      </c>
      <c r="G4" s="23">
        <v>8</v>
      </c>
      <c r="H4" s="26">
        <v>6</v>
      </c>
      <c r="I4" s="22">
        <v>2</v>
      </c>
      <c r="J4" s="26">
        <v>6</v>
      </c>
      <c r="K4" s="22">
        <v>5</v>
      </c>
      <c r="L4" s="23">
        <v>9</v>
      </c>
      <c r="N4" s="2">
        <v>5259</v>
      </c>
      <c r="O4" s="1">
        <v>2</v>
      </c>
    </row>
    <row r="5" spans="1:15" ht="28.25" customHeight="1">
      <c r="A5" s="22">
        <v>2</v>
      </c>
      <c r="B5" s="23">
        <v>8</v>
      </c>
      <c r="C5" s="23">
        <v>9</v>
      </c>
      <c r="D5" s="23">
        <v>5</v>
      </c>
      <c r="E5" s="23">
        <v>2</v>
      </c>
      <c r="F5" s="23">
        <v>5</v>
      </c>
      <c r="G5" s="22">
        <v>2</v>
      </c>
      <c r="H5" s="26">
        <v>6</v>
      </c>
      <c r="I5" s="26">
        <v>2</v>
      </c>
      <c r="J5" s="26">
        <v>2</v>
      </c>
      <c r="K5" s="22">
        <v>3</v>
      </c>
      <c r="L5" s="23">
        <v>8</v>
      </c>
      <c r="N5" s="2">
        <v>29</v>
      </c>
      <c r="O5" s="1">
        <v>14</v>
      </c>
    </row>
    <row r="6" spans="1:15" ht="28.25" customHeight="1">
      <c r="A6" s="22">
        <v>7</v>
      </c>
      <c r="B6" s="23">
        <v>4</v>
      </c>
      <c r="C6" s="22">
        <v>3</v>
      </c>
      <c r="D6" s="22">
        <v>5</v>
      </c>
      <c r="E6" s="23">
        <v>5</v>
      </c>
      <c r="F6" s="22">
        <v>9</v>
      </c>
      <c r="G6" s="22">
        <v>5</v>
      </c>
      <c r="H6" s="22">
        <v>2</v>
      </c>
      <c r="I6" s="22">
        <v>5</v>
      </c>
      <c r="J6" s="22">
        <v>5</v>
      </c>
      <c r="K6" s="23">
        <v>3</v>
      </c>
      <c r="L6" s="23">
        <v>7</v>
      </c>
      <c r="N6" s="2">
        <v>812381</v>
      </c>
      <c r="O6" s="1">
        <v>1</v>
      </c>
    </row>
    <row r="7" spans="1:15" ht="28.25" customHeight="1">
      <c r="A7" s="22">
        <v>5</v>
      </c>
      <c r="B7" s="23">
        <v>7</v>
      </c>
      <c r="C7" s="22">
        <v>4</v>
      </c>
      <c r="D7" s="23">
        <v>8</v>
      </c>
      <c r="E7" s="22">
        <v>4</v>
      </c>
      <c r="F7" s="26">
        <v>8</v>
      </c>
      <c r="G7" s="26">
        <v>8</v>
      </c>
      <c r="H7" s="26">
        <v>8</v>
      </c>
      <c r="I7" s="23">
        <v>8</v>
      </c>
      <c r="J7" s="22">
        <v>3</v>
      </c>
      <c r="K7" s="23">
        <v>2</v>
      </c>
      <c r="L7" s="26">
        <v>2</v>
      </c>
      <c r="N7" s="2">
        <v>886</v>
      </c>
      <c r="O7" s="1">
        <v>2</v>
      </c>
    </row>
    <row r="8" spans="1:15" ht="28.25" customHeight="1">
      <c r="A8" s="22">
        <v>1</v>
      </c>
      <c r="B8" s="22">
        <v>8</v>
      </c>
      <c r="C8" s="23">
        <v>6</v>
      </c>
      <c r="D8" s="23">
        <v>2</v>
      </c>
      <c r="E8" s="23">
        <v>8</v>
      </c>
      <c r="F8" s="23">
        <v>1</v>
      </c>
      <c r="G8" s="23">
        <v>7</v>
      </c>
      <c r="H8" s="23">
        <v>8</v>
      </c>
      <c r="I8" s="23">
        <v>5</v>
      </c>
      <c r="J8" s="26">
        <v>6</v>
      </c>
      <c r="K8" s="23">
        <v>7</v>
      </c>
      <c r="L8" s="26">
        <v>8</v>
      </c>
      <c r="N8" s="2">
        <v>1685586</v>
      </c>
      <c r="O8" s="1">
        <v>1</v>
      </c>
    </row>
    <row r="9" spans="1:15" ht="28.25" customHeight="1">
      <c r="A9" s="26">
        <v>1</v>
      </c>
      <c r="B9" s="23">
        <v>1</v>
      </c>
      <c r="C9" s="23">
        <v>9</v>
      </c>
      <c r="D9" s="23">
        <v>2</v>
      </c>
      <c r="E9" s="22">
        <v>2</v>
      </c>
      <c r="F9" s="26">
        <v>1</v>
      </c>
      <c r="G9" s="23">
        <v>6</v>
      </c>
      <c r="H9" s="23">
        <v>3</v>
      </c>
      <c r="I9" s="26">
        <v>8</v>
      </c>
      <c r="J9" s="22">
        <v>5</v>
      </c>
      <c r="K9" s="23">
        <v>4</v>
      </c>
      <c r="L9" s="26">
        <v>8</v>
      </c>
      <c r="N9" s="2">
        <v>7832148</v>
      </c>
      <c r="O9" s="1">
        <v>1</v>
      </c>
    </row>
    <row r="10" spans="1:15" ht="28.25" customHeight="1">
      <c r="A10" s="22">
        <v>9</v>
      </c>
      <c r="B10" s="26">
        <v>1</v>
      </c>
      <c r="C10" s="26">
        <v>3</v>
      </c>
      <c r="D10" s="22">
        <v>4</v>
      </c>
      <c r="E10" s="22">
        <v>9</v>
      </c>
      <c r="F10" s="22">
        <v>2</v>
      </c>
      <c r="G10" s="22">
        <v>5</v>
      </c>
      <c r="H10" s="22">
        <v>5</v>
      </c>
      <c r="I10" s="22">
        <v>5</v>
      </c>
      <c r="J10" s="22">
        <v>3</v>
      </c>
      <c r="K10" s="23">
        <v>9</v>
      </c>
      <c r="L10" s="22">
        <v>2</v>
      </c>
      <c r="N10" s="2">
        <v>739</v>
      </c>
      <c r="O10" s="1">
        <v>2</v>
      </c>
    </row>
    <row r="11" spans="1:15" ht="28.25" customHeight="1">
      <c r="A11" s="22">
        <v>4</v>
      </c>
      <c r="B11" s="22">
        <v>2</v>
      </c>
      <c r="C11" s="23">
        <v>9</v>
      </c>
      <c r="D11" s="23">
        <v>3</v>
      </c>
      <c r="E11" s="23">
        <v>7</v>
      </c>
      <c r="F11" s="23">
        <v>8</v>
      </c>
      <c r="G11" s="23">
        <v>3</v>
      </c>
      <c r="H11" s="23">
        <v>2</v>
      </c>
      <c r="I11" s="23">
        <v>1</v>
      </c>
      <c r="J11" s="23">
        <v>4</v>
      </c>
      <c r="K11" s="23">
        <v>8</v>
      </c>
      <c r="L11" s="26">
        <v>1</v>
      </c>
      <c r="N11" s="2">
        <v>681</v>
      </c>
      <c r="O11" s="1">
        <v>2</v>
      </c>
    </row>
    <row r="12" spans="1:15" ht="28.25" customHeight="1">
      <c r="A12" s="22">
        <v>5</v>
      </c>
      <c r="B12" s="22">
        <v>3</v>
      </c>
      <c r="C12" s="22">
        <v>7</v>
      </c>
      <c r="D12" s="26">
        <v>7</v>
      </c>
      <c r="E12" s="26">
        <v>9</v>
      </c>
      <c r="F12" s="23">
        <v>8</v>
      </c>
      <c r="G12" s="23">
        <v>1</v>
      </c>
      <c r="H12" s="23">
        <v>2</v>
      </c>
      <c r="I12" s="23">
        <v>3</v>
      </c>
      <c r="J12" s="23">
        <v>8</v>
      </c>
      <c r="K12" s="23">
        <v>1</v>
      </c>
      <c r="L12" s="26">
        <v>5</v>
      </c>
      <c r="N12" s="2">
        <v>78961</v>
      </c>
      <c r="O12" s="1">
        <v>1</v>
      </c>
    </row>
    <row r="13" spans="1:15" ht="28.25" customHeight="1">
      <c r="N13" s="2">
        <v>75</v>
      </c>
      <c r="O13" s="1">
        <v>8</v>
      </c>
    </row>
    <row r="14" spans="1:15" ht="28.25" customHeight="1">
      <c r="N14" s="2">
        <v>94723</v>
      </c>
      <c r="O14" s="1">
        <v>1</v>
      </c>
    </row>
    <row r="15" spans="1:15" ht="28.25" customHeight="1">
      <c r="N15" s="2">
        <v>53</v>
      </c>
      <c r="O15" s="1">
        <v>18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91"/>
  <sheetViews>
    <sheetView tabSelected="1" zoomScaleNormal="100" workbookViewId="0">
      <pane ySplit="1" topLeftCell="A86" activePane="bottomLeft" state="frozen"/>
      <selection pane="bottomLeft" activeCell="A91" sqref="A91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210</v>
      </c>
      <c r="I77" t="s">
        <v>211</v>
      </c>
      <c r="J77">
        <v>0</v>
      </c>
      <c r="K77">
        <f t="shared" ref="K77" si="71">IF(A77&lt;DATEVALUE("2025/11/20"),1,IF(B77-SUM(D77:F77)&lt;&gt;60,0,MAX(2-INT(G77*24*60/10),0)))</f>
        <v>1</v>
      </c>
      <c r="L77">
        <f t="shared" ref="L77" si="72">L76+K77</f>
        <v>60</v>
      </c>
      <c r="M77">
        <f t="shared" ref="M77" si="73">2+IF(A77&gt;=DATEVALUE("2025/11/30"),1,0)</f>
        <v>3</v>
      </c>
      <c r="N77">
        <f t="shared" ref="N77" si="74">N76+M77*(INT(A77-6/24)-INT(A76-6/24))+O77</f>
        <v>61</v>
      </c>
      <c r="O77">
        <f t="shared" ref="O77" si="75">IF(A77&gt;=DATEVALUE("2025/11/8"),1,0)-IF(A76&gt;=DATEVALUE("2025/11/8"),1,0)</f>
        <v>0</v>
      </c>
      <c r="P77" t="str">
        <f t="shared" ref="P77" si="76">IF(L77&lt;N77,"未達成（"&amp;N77-L77&amp;"）",IF(L77=N77,"達成","前倒し（"&amp;L77-N77&amp;"）"))</f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212</v>
      </c>
      <c r="I78" t="s">
        <v>213</v>
      </c>
      <c r="J78">
        <v>0</v>
      </c>
      <c r="K78">
        <f t="shared" ref="K78" si="77">IF(A78&lt;DATEVALUE("2025/11/20"),1,IF(B78-SUM(D78:F78)&lt;&gt;60,0,MAX(2-INT(G78*24*60/10),0)))</f>
        <v>2</v>
      </c>
      <c r="L78">
        <f t="shared" ref="L78" si="78">L77+K78</f>
        <v>62</v>
      </c>
      <c r="M78">
        <f t="shared" ref="M78" si="79">2+IF(A78&gt;=DATEVALUE("2025/11/30"),1,0)</f>
        <v>3</v>
      </c>
      <c r="N78">
        <f t="shared" ref="N78" si="80">N77+M78*(INT(A78-6/24)-INT(A77-6/24))+O78</f>
        <v>61</v>
      </c>
      <c r="O78">
        <f t="shared" ref="O78" si="81">IF(A78&gt;=DATEVALUE("2025/11/8"),1,0)-IF(A77&gt;=DATEVALUE("2025/11/8"),1,0)</f>
        <v>0</v>
      </c>
      <c r="P78" t="str">
        <f t="shared" ref="P78" si="82">IF(L78&lt;N78,"未達成（"&amp;N78-L78&amp;"）",IF(L78=N78,"達成","前倒し（"&amp;L78-N78&amp;"）"))</f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214</v>
      </c>
      <c r="I79" t="s">
        <v>215</v>
      </c>
      <c r="J79">
        <v>0</v>
      </c>
      <c r="K79">
        <f t="shared" ref="K79" si="83">IF(A79&lt;DATEVALUE("2025/11/20"),1,IF(B79-SUM(D79:F79)&lt;&gt;60,0,MAX(2-INT(G79*24*60/10),0)))</f>
        <v>0</v>
      </c>
      <c r="L79">
        <f t="shared" ref="L79" si="84">L78+K79</f>
        <v>62</v>
      </c>
      <c r="M79">
        <f t="shared" ref="M79" si="85">2+IF(A79&gt;=DATEVALUE("2025/11/30"),1,0)</f>
        <v>3</v>
      </c>
      <c r="N79">
        <f t="shared" ref="N79" si="86">N78+M79*(INT(A79-6/24)-INT(A78-6/24))+O79</f>
        <v>64</v>
      </c>
      <c r="O79">
        <f t="shared" ref="O79" si="87">IF(A79&gt;=DATEVALUE("2025/11/8"),1,0)-IF(A78&gt;=DATEVALUE("2025/11/8"),1,0)</f>
        <v>0</v>
      </c>
      <c r="P79" t="str">
        <f t="shared" ref="P79" si="88">IF(L79&lt;N79,"未達成（"&amp;N79-L79&amp;"）",IF(L79=N79,"達成","前倒し（"&amp;L79-N79&amp;"）"))</f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218</v>
      </c>
      <c r="I80" t="s">
        <v>219</v>
      </c>
      <c r="J80">
        <v>0</v>
      </c>
      <c r="K80">
        <f t="shared" ref="K80" si="89">IF(A80&lt;DATEVALUE("2025/11/20"),1,IF(B80-SUM(D80:F80)&lt;&gt;60,0,MAX(2-INT(G80*24*60/10),0)))</f>
        <v>2</v>
      </c>
      <c r="L80">
        <f t="shared" ref="L80" si="90">L79+K80</f>
        <v>64</v>
      </c>
      <c r="M80">
        <f t="shared" ref="M80" si="91">2+IF(A80&gt;=DATEVALUE("2025/11/30"),1,0)</f>
        <v>3</v>
      </c>
      <c r="N80">
        <f t="shared" ref="N80" si="92">N79+M80*(INT(A80-6/24)-INT(A79-6/24))+O80</f>
        <v>64</v>
      </c>
      <c r="O80">
        <f t="shared" ref="O80" si="93">IF(A80&gt;=DATEVALUE("2025/11/8"),1,0)-IF(A79&gt;=DATEVALUE("2025/11/8"),1,0)</f>
        <v>0</v>
      </c>
      <c r="P80" t="str">
        <f t="shared" ref="P80" si="94">IF(L80&lt;N80,"未達成（"&amp;N80-L80&amp;"）",IF(L80=N80,"達成","前倒し（"&amp;L80-N80&amp;"）"))</f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216</v>
      </c>
      <c r="I81" t="s">
        <v>217</v>
      </c>
      <c r="J81">
        <v>0</v>
      </c>
      <c r="K81">
        <f t="shared" ref="K81" si="95">IF(A81&lt;DATEVALUE("2025/11/20"),1,IF(B81-SUM(D81:F81)&lt;&gt;60,0,MAX(2-INT(G81*24*60/10),0)))</f>
        <v>1</v>
      </c>
      <c r="L81">
        <f t="shared" ref="L81" si="96">L80+K81</f>
        <v>65</v>
      </c>
      <c r="M81">
        <f t="shared" ref="M81" si="97">2+IF(A81&gt;=DATEVALUE("2025/11/30"),1,0)</f>
        <v>3</v>
      </c>
      <c r="N81">
        <f t="shared" ref="N81" si="98">N80+M81*(INT(A81-6/24)-INT(A80-6/24))+O81</f>
        <v>67</v>
      </c>
      <c r="O81">
        <f t="shared" ref="O81" si="99">IF(A81&gt;=DATEVALUE("2025/11/8"),1,0)-IF(A80&gt;=DATEVALUE("2025/11/8"),1,0)</f>
        <v>0</v>
      </c>
      <c r="P81" t="str">
        <f t="shared" ref="P81" si="100">IF(L81&lt;N81,"未達成（"&amp;N81-L81&amp;"）",IF(L81=N81,"達成","前倒し（"&amp;L81-N81&amp;"）"))</f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220</v>
      </c>
      <c r="I82" t="s">
        <v>221</v>
      </c>
      <c r="J82">
        <v>0</v>
      </c>
      <c r="K82">
        <f t="shared" ref="K82" si="101">IF(A82&lt;DATEVALUE("2025/11/20"),1,IF(B82-SUM(D82:F82)&lt;&gt;60,0,MAX(2-INT(G82*24*60/10),0)))</f>
        <v>1</v>
      </c>
      <c r="L82">
        <f t="shared" ref="L82" si="102">L81+K82</f>
        <v>66</v>
      </c>
      <c r="M82">
        <f t="shared" ref="M82" si="103">2+IF(A82&gt;=DATEVALUE("2025/11/30"),1,0)</f>
        <v>3</v>
      </c>
      <c r="N82">
        <f t="shared" ref="N82" si="104">N81+M82*(INT(A82-6/24)-INT(A81-6/24))+O82</f>
        <v>67</v>
      </c>
      <c r="O82">
        <f t="shared" ref="O82" si="105">IF(A82&gt;=DATEVALUE("2025/11/8"),1,0)-IF(A81&gt;=DATEVALUE("2025/11/8"),1,0)</f>
        <v>0</v>
      </c>
      <c r="P82" t="str">
        <f t="shared" ref="P82" si="106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222</v>
      </c>
      <c r="I83" t="s">
        <v>223</v>
      </c>
      <c r="J83">
        <v>0</v>
      </c>
      <c r="K83">
        <f t="shared" ref="K83" si="107">IF(A83&lt;DATEVALUE("2025/11/20"),1,IF(B83-SUM(D83:F83)&lt;&gt;60,0,MAX(2-INT(G83*24*60/10),0)))</f>
        <v>1</v>
      </c>
      <c r="L83">
        <f t="shared" ref="L83" si="108">L82+K83</f>
        <v>67</v>
      </c>
      <c r="M83">
        <f t="shared" ref="M83" si="109">2+IF(A83&gt;=DATEVALUE("2025/11/30"),1,0)</f>
        <v>3</v>
      </c>
      <c r="N83">
        <f t="shared" ref="N83" si="110">N82+M83*(INT(A83-6/24)-INT(A82-6/24))+O83</f>
        <v>67</v>
      </c>
      <c r="O83">
        <f t="shared" ref="O83" si="111">IF(A83&gt;=DATEVALUE("2025/11/8"),1,0)-IF(A82&gt;=DATEVALUE("2025/11/8"),1,0)</f>
        <v>0</v>
      </c>
      <c r="P83" t="str">
        <f t="shared" ref="P83" si="112">IF(L83&lt;N83,"未達成（"&amp;N83-L83&amp;"）",IF(L83=N83,"達成","前倒し（"&amp;L83-N83&amp;"）"))</f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224</v>
      </c>
      <c r="I84" t="s">
        <v>225</v>
      </c>
      <c r="J84">
        <v>0</v>
      </c>
      <c r="K84">
        <f t="shared" ref="K84" si="113">IF(A84&lt;DATEVALUE("2025/11/20"),1,IF(B84-SUM(D84:F84)&lt;&gt;60,0,MAX(2-INT(G84*24*60/10),0)))</f>
        <v>1</v>
      </c>
      <c r="L84">
        <f t="shared" ref="L84" si="114">L83+K84</f>
        <v>68</v>
      </c>
      <c r="M84">
        <f t="shared" ref="M84" si="115">2+IF(A84&gt;=DATEVALUE("2025/11/30"),1,0)</f>
        <v>3</v>
      </c>
      <c r="N84">
        <f t="shared" ref="N84" si="116">N83+M84*(INT(A84-6/24)-INT(A83-6/24))+O84</f>
        <v>70</v>
      </c>
      <c r="O84">
        <f t="shared" ref="O84" si="117">IF(A84&gt;=DATEVALUE("2025/11/8"),1,0)-IF(A83&gt;=DATEVALUE("2025/11/8"),1,0)</f>
        <v>0</v>
      </c>
      <c r="P84" t="str">
        <f t="shared" ref="P84" si="118">IF(L84&lt;N84,"未達成（"&amp;N84-L84&amp;"）",IF(L84=N84,"達成","前倒し（"&amp;L84-N84&amp;"）"))</f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226</v>
      </c>
      <c r="I85" t="s">
        <v>227</v>
      </c>
      <c r="J85">
        <v>0</v>
      </c>
      <c r="K85">
        <f t="shared" ref="K85" si="119">IF(A85&lt;DATEVALUE("2025/11/20"),1,IF(B85-SUM(D85:F85)&lt;&gt;60,0,MAX(2-INT(G85*24*60/10),0)))</f>
        <v>1</v>
      </c>
      <c r="L85">
        <f t="shared" ref="L85" si="120">L84+K85</f>
        <v>69</v>
      </c>
      <c r="M85">
        <f t="shared" ref="M85" si="121">2+IF(A85&gt;=DATEVALUE("2025/11/30"),1,0)</f>
        <v>3</v>
      </c>
      <c r="N85">
        <f t="shared" ref="N85" si="122">N84+M85*(INT(A85-6/24)-INT(A84-6/24))+O85</f>
        <v>70</v>
      </c>
      <c r="O85">
        <f t="shared" ref="O85" si="123">IF(A85&gt;=DATEVALUE("2025/11/8"),1,0)-IF(A84&gt;=DATEVALUE("2025/11/8"),1,0)</f>
        <v>0</v>
      </c>
      <c r="P85" t="str">
        <f t="shared" ref="P85" si="124">IF(L85&lt;N85,"未達成（"&amp;N85-L85&amp;"）",IF(L85=N85,"達成","前倒し（"&amp;L85-N85&amp;"）"))</f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228</v>
      </c>
      <c r="I86" t="s">
        <v>229</v>
      </c>
      <c r="J86">
        <v>0</v>
      </c>
      <c r="K86">
        <f t="shared" ref="K86" si="125">IF(A86&lt;DATEVALUE("2025/11/20"),1,IF(B86-SUM(D86:F86)&lt;&gt;60,0,MAX(2-INT(G86*24*60/10),0)))</f>
        <v>2</v>
      </c>
      <c r="L86">
        <f t="shared" ref="L86" si="126">L85+K86</f>
        <v>71</v>
      </c>
      <c r="M86">
        <f t="shared" ref="M86" si="127">2+IF(A86&gt;=DATEVALUE("2025/11/30"),1,0)</f>
        <v>3</v>
      </c>
      <c r="N86">
        <f t="shared" ref="N86" si="128">N85+M86*(INT(A86-6/24)-INT(A85-6/24))+O86</f>
        <v>70</v>
      </c>
      <c r="O86">
        <f t="shared" ref="O86" si="129">IF(A86&gt;=DATEVALUE("2025/11/8"),1,0)-IF(A85&gt;=DATEVALUE("2025/11/8"),1,0)</f>
        <v>0</v>
      </c>
      <c r="P86" t="str">
        <f t="shared" ref="P86" si="130">IF(L86&lt;N86,"未達成（"&amp;N86-L86&amp;"）",IF(L86=N86,"達成","前倒し（"&amp;L86-N86&amp;"）"))</f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230</v>
      </c>
      <c r="I87" t="s">
        <v>231</v>
      </c>
      <c r="J87">
        <v>0</v>
      </c>
      <c r="K87">
        <f t="shared" ref="K87" si="131">IF(A87&lt;DATEVALUE("2025/11/20"),1,IF(B87-SUM(D87:F87)&lt;&gt;60,0,MAX(2-INT(G87*24*60/10),0)))</f>
        <v>1</v>
      </c>
      <c r="L87">
        <f t="shared" ref="L87" si="132">L86+K87</f>
        <v>72</v>
      </c>
      <c r="M87">
        <f t="shared" ref="M87" si="133">2+IF(A87&gt;=DATEVALUE("2025/11/30"),1,0)</f>
        <v>3</v>
      </c>
      <c r="N87">
        <f t="shared" ref="N87" si="134">N86+M87*(INT(A87-6/24)-INT(A86-6/24))+O87</f>
        <v>73</v>
      </c>
      <c r="O87">
        <f t="shared" ref="O87" si="135">IF(A87&gt;=DATEVALUE("2025/11/8"),1,0)-IF(A86&gt;=DATEVALUE("2025/11/8"),1,0)</f>
        <v>0</v>
      </c>
      <c r="P87" t="str">
        <f t="shared" ref="P87" si="136">IF(L87&lt;N87,"未達成（"&amp;N87-L87&amp;"）",IF(L87=N87,"達成","前倒し（"&amp;L87-N87&amp;"）"))</f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232</v>
      </c>
      <c r="I88" t="s">
        <v>233</v>
      </c>
      <c r="J88">
        <v>0</v>
      </c>
      <c r="K88">
        <f t="shared" ref="K88" si="137">IF(A88&lt;DATEVALUE("2025/11/20"),1,IF(B88-SUM(D88:F88)&lt;&gt;60,0,MAX(2-INT(G88*24*60/10),0)))</f>
        <v>1</v>
      </c>
      <c r="L88">
        <f t="shared" ref="L88" si="138">L87+K88</f>
        <v>73</v>
      </c>
      <c r="M88">
        <f t="shared" ref="M88" si="139">2+IF(A88&gt;=DATEVALUE("2025/11/30"),1,0)</f>
        <v>3</v>
      </c>
      <c r="N88">
        <f t="shared" ref="N88" si="140">N87+M88*(INT(A88-6/24)-INT(A87-6/24))+O88</f>
        <v>73</v>
      </c>
      <c r="O88">
        <f t="shared" ref="O88" si="141">IF(A88&gt;=DATEVALUE("2025/11/8"),1,0)-IF(A87&gt;=DATEVALUE("2025/11/8"),1,0)</f>
        <v>0</v>
      </c>
      <c r="P88" t="str">
        <f t="shared" ref="P88" si="142">IF(L88&lt;N88,"未達成（"&amp;N88-L88&amp;"）",IF(L88=N88,"達成","前倒し（"&amp;L88-N88&amp;"）"))</f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234</v>
      </c>
      <c r="I89" t="s">
        <v>235</v>
      </c>
      <c r="J89">
        <v>0</v>
      </c>
      <c r="K89">
        <f t="shared" ref="K89" si="143">IF(A89&lt;DATEVALUE("2025/11/20"),1,IF(B89-SUM(D89:F89)&lt;&gt;60,0,MAX(2-INT(G89*24*60/10),0)))</f>
        <v>2</v>
      </c>
      <c r="L89">
        <f t="shared" ref="L89" si="144">L88+K89</f>
        <v>75</v>
      </c>
      <c r="M89">
        <f t="shared" ref="M89" si="145">2+IF(A89&gt;=DATEVALUE("2025/11/30"),1,0)</f>
        <v>3</v>
      </c>
      <c r="N89">
        <f t="shared" ref="N89" si="146">N88+M89*(INT(A89-6/24)-INT(A88-6/24))+O89</f>
        <v>76</v>
      </c>
      <c r="O89">
        <f t="shared" ref="O89" si="147">IF(A89&gt;=DATEVALUE("2025/11/8"),1,0)-IF(A88&gt;=DATEVALUE("2025/11/8"),1,0)</f>
        <v>0</v>
      </c>
      <c r="P89" t="str">
        <f t="shared" ref="P89" si="148">IF(L89&lt;N89,"未達成（"&amp;N89-L89&amp;"）",IF(L89=N89,"達成","前倒し（"&amp;L89-N89&amp;"）"))</f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236</v>
      </c>
      <c r="I90" t="s">
        <v>237</v>
      </c>
      <c r="J90">
        <v>0</v>
      </c>
      <c r="K90">
        <f t="shared" ref="K90" si="149">IF(A90&lt;DATEVALUE("2025/11/20"),1,IF(B90-SUM(D90:F90)&lt;&gt;60,0,MAX(2-INT(G90*24*60/10),0)))</f>
        <v>2</v>
      </c>
      <c r="L90">
        <f t="shared" ref="L90" si="150">L89+K90</f>
        <v>77</v>
      </c>
      <c r="M90">
        <f t="shared" ref="M90" si="151">2+IF(A90&gt;=DATEVALUE("2025/11/30"),1,0)</f>
        <v>3</v>
      </c>
      <c r="N90">
        <f t="shared" ref="N90" si="152">N89+M90*(INT(A90-6/24)-INT(A89-6/24))+O90</f>
        <v>76</v>
      </c>
      <c r="O90">
        <f t="shared" ref="O90" si="153">IF(A90&gt;=DATEVALUE("2025/11/8"),1,0)-IF(A89&gt;=DATEVALUE("2025/11/8"),1,0)</f>
        <v>0</v>
      </c>
      <c r="P90" t="str">
        <f t="shared" ref="P90" si="154">IF(L90&lt;N90,"未達成（"&amp;N90-L90&amp;"）",IF(L90=N90,"達成","前倒し（"&amp;L90-N90&amp;"）"))</f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238</v>
      </c>
      <c r="I91" t="s">
        <v>239</v>
      </c>
      <c r="J91">
        <v>0</v>
      </c>
      <c r="K91">
        <f t="shared" ref="K91" si="155">IF(A91&lt;DATEVALUE("2025/11/20"),1,IF(B91-SUM(D91:F91)&lt;&gt;60,0,MAX(2-INT(G91*24*60/10),0)))</f>
        <v>2</v>
      </c>
      <c r="L91">
        <f t="shared" ref="L91" si="156">L90+K91</f>
        <v>79</v>
      </c>
      <c r="M91">
        <f t="shared" ref="M91" si="157">2+IF(A91&gt;=DATEVALUE("2025/11/30"),1,0)</f>
        <v>3</v>
      </c>
      <c r="N91">
        <f t="shared" ref="N91" si="158">N90+M91*(INT(A91-6/24)-INT(A90-6/24))+O91</f>
        <v>79</v>
      </c>
      <c r="O91">
        <f t="shared" ref="O91" si="159">IF(A91&gt;=DATEVALUE("2025/11/8"),1,0)-IF(A90&gt;=DATEVALUE("2025/11/8"),1,0)</f>
        <v>0</v>
      </c>
      <c r="P91" t="str">
        <f t="shared" ref="P91" si="160">IF(L91&lt;N91,"未達成（"&amp;N91-L91&amp;"）",IF(L91=N91,"達成","前倒し（"&amp;L91-N91&amp;"）"))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45998.283784722225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2025-12-06T21:59:00Z</dcterms:modified>
</cp:coreProperties>
</file>
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A2AEBC15-A43E-4294-8125-8977858A2345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37" i="4" l="1"/>
  <c r="O337" i="4"/>
  <c r="M337" i="4"/>
  <c r="N337" i="4" s="1"/>
  <c r="K337" i="4"/>
  <c r="L337" i="4" s="1"/>
  <c r="Q336" i="4"/>
  <c r="O336" i="4"/>
  <c r="M336" i="4"/>
  <c r="N336" i="4" s="1"/>
  <c r="K336" i="4"/>
  <c r="L336" i="4" s="1"/>
  <c r="Q335" i="4"/>
  <c r="O335" i="4"/>
  <c r="M335" i="4"/>
  <c r="N335" i="4" s="1"/>
  <c r="K335" i="4"/>
  <c r="L335" i="4" s="1"/>
  <c r="Q334" i="4"/>
  <c r="O334" i="4"/>
  <c r="M334" i="4"/>
  <c r="N334" i="4" s="1"/>
  <c r="K334" i="4"/>
  <c r="L334" i="4" s="1"/>
  <c r="Q333" i="4"/>
  <c r="O333" i="4"/>
  <c r="M333" i="4"/>
  <c r="N333" i="4" s="1"/>
  <c r="K333" i="4"/>
  <c r="L333" i="4" s="1"/>
  <c r="P333" i="4" s="1"/>
  <c r="Q332" i="4"/>
  <c r="O332" i="4"/>
  <c r="M332" i="4"/>
  <c r="N332" i="4" s="1"/>
  <c r="K332" i="4"/>
  <c r="L332" i="4" s="1"/>
  <c r="Q331" i="4"/>
  <c r="O331" i="4"/>
  <c r="M331" i="4"/>
  <c r="K331" i="4"/>
  <c r="Q330" i="4"/>
  <c r="O330" i="4"/>
  <c r="M330" i="4"/>
  <c r="K330" i="4"/>
  <c r="Q329" i="4"/>
  <c r="O329" i="4"/>
  <c r="M329" i="4"/>
  <c r="K329" i="4"/>
  <c r="Q328" i="4"/>
  <c r="O328" i="4"/>
  <c r="M328" i="4"/>
  <c r="K328" i="4"/>
  <c r="Q327" i="4"/>
  <c r="O327" i="4"/>
  <c r="M327" i="4"/>
  <c r="K327" i="4"/>
  <c r="Q326" i="4"/>
  <c r="O326" i="4"/>
  <c r="M326" i="4"/>
  <c r="K326" i="4"/>
  <c r="Q325" i="4"/>
  <c r="O325" i="4"/>
  <c r="M325" i="4"/>
  <c r="K325" i="4"/>
  <c r="Q324" i="4"/>
  <c r="O324" i="4"/>
  <c r="M324" i="4"/>
  <c r="K324" i="4"/>
  <c r="Q323" i="4"/>
  <c r="O323" i="4"/>
  <c r="M323" i="4"/>
  <c r="K323" i="4"/>
  <c r="Q322" i="4"/>
  <c r="O322" i="4"/>
  <c r="M322" i="4"/>
  <c r="K322" i="4"/>
  <c r="Q321" i="4"/>
  <c r="O321" i="4"/>
  <c r="M321" i="4"/>
  <c r="K321" i="4"/>
  <c r="Q320" i="4"/>
  <c r="O320" i="4"/>
  <c r="M320" i="4"/>
  <c r="K320" i="4"/>
  <c r="Q319" i="4"/>
  <c r="O319" i="4"/>
  <c r="M319" i="4"/>
  <c r="K319" i="4"/>
  <c r="Q318" i="4"/>
  <c r="O318" i="4"/>
  <c r="M318" i="4"/>
  <c r="K318" i="4"/>
  <c r="Q317" i="4"/>
  <c r="O317" i="4"/>
  <c r="M317" i="4"/>
  <c r="K317" i="4"/>
  <c r="Q316" i="4"/>
  <c r="O316" i="4"/>
  <c r="M316" i="4"/>
  <c r="K316" i="4"/>
  <c r="Q315" i="4"/>
  <c r="O315" i="4"/>
  <c r="M315" i="4"/>
  <c r="K315" i="4"/>
  <c r="Q314" i="4"/>
  <c r="O314" i="4"/>
  <c r="M314" i="4"/>
  <c r="K314" i="4"/>
  <c r="Q313" i="4"/>
  <c r="O313" i="4"/>
  <c r="M313" i="4"/>
  <c r="K313" i="4"/>
  <c r="Q312" i="4"/>
  <c r="O312" i="4"/>
  <c r="M312" i="4"/>
  <c r="K312" i="4"/>
  <c r="Q311" i="4"/>
  <c r="O311" i="4"/>
  <c r="M311" i="4"/>
  <c r="K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310" i="4"/>
  <c r="M310" i="4"/>
  <c r="K310" i="4"/>
  <c r="Q309" i="4"/>
  <c r="M309" i="4"/>
  <c r="K309" i="4"/>
  <c r="Q308" i="4"/>
  <c r="M308" i="4"/>
  <c r="K308" i="4"/>
  <c r="Q307" i="4"/>
  <c r="M307" i="4"/>
  <c r="K307" i="4"/>
  <c r="Q306" i="4"/>
  <c r="M306" i="4"/>
  <c r="K306" i="4"/>
  <c r="Q305" i="4"/>
  <c r="M305" i="4"/>
  <c r="K305" i="4"/>
  <c r="Q304" i="4"/>
  <c r="M304" i="4"/>
  <c r="K304" i="4"/>
  <c r="Q303" i="4"/>
  <c r="M303" i="4"/>
  <c r="K303" i="4"/>
  <c r="Q302" i="4"/>
  <c r="M302" i="4"/>
  <c r="K302" i="4"/>
  <c r="Q301" i="4"/>
  <c r="M301" i="4"/>
  <c r="K301" i="4"/>
  <c r="Q300" i="4"/>
  <c r="M300" i="4"/>
  <c r="K300" i="4"/>
  <c r="Q299" i="4"/>
  <c r="M299" i="4"/>
  <c r="K299" i="4"/>
  <c r="Q298" i="4"/>
  <c r="M298" i="4"/>
  <c r="K298" i="4"/>
  <c r="Q297" i="4"/>
  <c r="M297" i="4"/>
  <c r="K297" i="4"/>
  <c r="Q296" i="4"/>
  <c r="M296" i="4"/>
  <c r="K296" i="4"/>
  <c r="Q295" i="4"/>
  <c r="M295" i="4"/>
  <c r="K295" i="4"/>
  <c r="Q294" i="4"/>
  <c r="M294" i="4"/>
  <c r="K294" i="4"/>
  <c r="Q293" i="4"/>
  <c r="M293" i="4"/>
  <c r="K293" i="4"/>
  <c r="Q292" i="4"/>
  <c r="M292" i="4"/>
  <c r="K292" i="4"/>
  <c r="Q291" i="4"/>
  <c r="M291" i="4"/>
  <c r="K291" i="4"/>
  <c r="Q290" i="4"/>
  <c r="M290" i="4"/>
  <c r="K290" i="4"/>
  <c r="Q289" i="4"/>
  <c r="M289" i="4"/>
  <c r="K289" i="4"/>
  <c r="Q288" i="4"/>
  <c r="M288" i="4"/>
  <c r="K288" i="4"/>
  <c r="Q287" i="4"/>
  <c r="M287" i="4"/>
  <c r="K287" i="4"/>
  <c r="Q286" i="4"/>
  <c r="M286" i="4"/>
  <c r="K286" i="4"/>
  <c r="Q285" i="4"/>
  <c r="M285" i="4"/>
  <c r="K285" i="4"/>
  <c r="Q284" i="4"/>
  <c r="M284" i="4"/>
  <c r="K284" i="4"/>
  <c r="Q283" i="4"/>
  <c r="M283" i="4"/>
  <c r="K283" i="4"/>
  <c r="Q282" i="4"/>
  <c r="M282" i="4"/>
  <c r="K282" i="4"/>
  <c r="Q281" i="4"/>
  <c r="M281" i="4"/>
  <c r="K281" i="4"/>
  <c r="Q280" i="4"/>
  <c r="M280" i="4"/>
  <c r="K280" i="4"/>
  <c r="Q279" i="4"/>
  <c r="M279" i="4"/>
  <c r="K279" i="4"/>
  <c r="Q278" i="4"/>
  <c r="M278" i="4"/>
  <c r="K278" i="4"/>
  <c r="Q277" i="4"/>
  <c r="M277" i="4"/>
  <c r="K277" i="4"/>
  <c r="Q276" i="4"/>
  <c r="M276" i="4"/>
  <c r="K276" i="4"/>
  <c r="Q275" i="4"/>
  <c r="M275" i="4"/>
  <c r="K275" i="4"/>
  <c r="Q274" i="4"/>
  <c r="M274" i="4"/>
  <c r="K274" i="4"/>
  <c r="Q273" i="4"/>
  <c r="M273" i="4"/>
  <c r="K273" i="4"/>
  <c r="Q272" i="4"/>
  <c r="M272" i="4"/>
  <c r="K272" i="4"/>
  <c r="Q271" i="4"/>
  <c r="M271" i="4"/>
  <c r="K271" i="4"/>
  <c r="Q270" i="4"/>
  <c r="M270" i="4"/>
  <c r="K270" i="4"/>
  <c r="Q269" i="4"/>
  <c r="M269" i="4"/>
  <c r="K269" i="4"/>
  <c r="Q268" i="4"/>
  <c r="M268" i="4"/>
  <c r="K268" i="4"/>
  <c r="Q267" i="4"/>
  <c r="M267" i="4"/>
  <c r="K267" i="4"/>
  <c r="Q266" i="4"/>
  <c r="M266" i="4"/>
  <c r="K266" i="4"/>
  <c r="Q265" i="4"/>
  <c r="M265" i="4"/>
  <c r="K265" i="4"/>
  <c r="Q264" i="4"/>
  <c r="M264" i="4"/>
  <c r="K264" i="4"/>
  <c r="Q263" i="4"/>
  <c r="M263" i="4"/>
  <c r="K263" i="4"/>
  <c r="Q262" i="4"/>
  <c r="M262" i="4"/>
  <c r="K262" i="4"/>
  <c r="Q261" i="4"/>
  <c r="M261" i="4"/>
  <c r="K261" i="4"/>
  <c r="Q260" i="4"/>
  <c r="M260" i="4"/>
  <c r="K260" i="4"/>
  <c r="Q259" i="4"/>
  <c r="M259" i="4"/>
  <c r="K259" i="4"/>
  <c r="Q258" i="4"/>
  <c r="M258" i="4"/>
  <c r="K258" i="4"/>
  <c r="Q257" i="4"/>
  <c r="M257" i="4"/>
  <c r="K257" i="4"/>
  <c r="Q256" i="4"/>
  <c r="M256" i="4"/>
  <c r="K256" i="4"/>
  <c r="Q255" i="4"/>
  <c r="M255" i="4"/>
  <c r="K255" i="4"/>
  <c r="Q254" i="4"/>
  <c r="M254" i="4"/>
  <c r="K254" i="4"/>
  <c r="Q253" i="4"/>
  <c r="M253" i="4"/>
  <c r="K253" i="4"/>
  <c r="Q252" i="4"/>
  <c r="M252" i="4"/>
  <c r="K252" i="4"/>
  <c r="Q251" i="4"/>
  <c r="M251" i="4"/>
  <c r="K251" i="4"/>
  <c r="Q250" i="4"/>
  <c r="M250" i="4"/>
  <c r="K250" i="4"/>
  <c r="Q249" i="4"/>
  <c r="M249" i="4"/>
  <c r="K249" i="4"/>
  <c r="Q248" i="4"/>
  <c r="M248" i="4"/>
  <c r="K248" i="4"/>
  <c r="Q247" i="4"/>
  <c r="M247" i="4"/>
  <c r="K247" i="4"/>
  <c r="Q246" i="4"/>
  <c r="M246" i="4"/>
  <c r="K246" i="4"/>
  <c r="Q245" i="4"/>
  <c r="M245" i="4"/>
  <c r="K245" i="4"/>
  <c r="Q244" i="4"/>
  <c r="M244" i="4"/>
  <c r="K244" i="4"/>
  <c r="Q243" i="4"/>
  <c r="M243" i="4"/>
  <c r="K243" i="4"/>
  <c r="Q242" i="4"/>
  <c r="M242" i="4"/>
  <c r="K242" i="4"/>
  <c r="Q241" i="4"/>
  <c r="M241" i="4"/>
  <c r="K241" i="4"/>
  <c r="Q240" i="4"/>
  <c r="M240" i="4"/>
  <c r="K240" i="4"/>
  <c r="Q239" i="4"/>
  <c r="M239" i="4"/>
  <c r="K239" i="4"/>
  <c r="Q238" i="4"/>
  <c r="M238" i="4"/>
  <c r="K238" i="4"/>
  <c r="Q237" i="4"/>
  <c r="M237" i="4"/>
  <c r="K237" i="4"/>
  <c r="Q236" i="4"/>
  <c r="M236" i="4"/>
  <c r="K236" i="4"/>
  <c r="Q235" i="4"/>
  <c r="M235" i="4"/>
  <c r="K235" i="4"/>
  <c r="Q234" i="4"/>
  <c r="M234" i="4"/>
  <c r="K234" i="4"/>
  <c r="Q233" i="4"/>
  <c r="M233" i="4"/>
  <c r="K233" i="4"/>
  <c r="Q232" i="4"/>
  <c r="M232" i="4"/>
  <c r="K232" i="4"/>
  <c r="Q231" i="4"/>
  <c r="M231" i="4"/>
  <c r="K231" i="4"/>
  <c r="Q230" i="4"/>
  <c r="M230" i="4"/>
  <c r="K230" i="4"/>
  <c r="Q229" i="4"/>
  <c r="M229" i="4"/>
  <c r="K229" i="4"/>
  <c r="Q228" i="4"/>
  <c r="M228" i="4"/>
  <c r="K228" i="4"/>
  <c r="Q227" i="4"/>
  <c r="M227" i="4"/>
  <c r="K227" i="4"/>
  <c r="Q226" i="4"/>
  <c r="M226" i="4"/>
  <c r="K226" i="4"/>
  <c r="Q225" i="4"/>
  <c r="M225" i="4"/>
  <c r="K225" i="4"/>
  <c r="Q224" i="4"/>
  <c r="M224" i="4"/>
  <c r="K224" i="4"/>
  <c r="Q223" i="4"/>
  <c r="M223" i="4"/>
  <c r="K223" i="4"/>
  <c r="Q222" i="4"/>
  <c r="M222" i="4"/>
  <c r="K222" i="4"/>
  <c r="Q221" i="4"/>
  <c r="M221" i="4"/>
  <c r="K221" i="4"/>
  <c r="Q220" i="4"/>
  <c r="M220" i="4"/>
  <c r="K220" i="4"/>
  <c r="Q219" i="4"/>
  <c r="M219" i="4"/>
  <c r="K219" i="4"/>
  <c r="Q218" i="4"/>
  <c r="M218" i="4"/>
  <c r="K2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337" i="4" l="1"/>
  <c r="P336" i="4"/>
  <c r="P335" i="4"/>
  <c r="P334" i="4"/>
  <c r="P332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L54" i="4"/>
  <c r="P53" i="4"/>
  <c r="N289" i="4" l="1"/>
  <c r="L55" i="4"/>
  <c r="P54" i="4"/>
  <c r="N290" i="4" l="1"/>
  <c r="L56" i="4"/>
  <c r="P55" i="4"/>
  <c r="N291" i="4" l="1"/>
  <c r="P56" i="4"/>
  <c r="L57" i="4"/>
  <c r="N292" i="4" l="1"/>
  <c r="L58" i="4"/>
  <c r="P57" i="4"/>
  <c r="N293" i="4" l="1"/>
  <c r="L59" i="4"/>
  <c r="P58" i="4"/>
  <c r="N294" i="4" l="1"/>
  <c r="L60" i="4"/>
  <c r="P59" i="4"/>
  <c r="N295" i="4" l="1"/>
  <c r="P60" i="4"/>
  <c r="L61" i="4"/>
  <c r="N296" i="4" l="1"/>
  <c r="L62" i="4"/>
  <c r="P61" i="4"/>
  <c r="N297" i="4" l="1"/>
  <c r="L63" i="4"/>
  <c r="P62" i="4"/>
  <c r="N298" i="4" l="1"/>
  <c r="L64" i="4"/>
  <c r="P63" i="4"/>
  <c r="N299" i="4" l="1"/>
  <c r="P64" i="4"/>
  <c r="L65" i="4"/>
  <c r="N300" i="4" l="1"/>
  <c r="L66" i="4"/>
  <c r="P65" i="4"/>
  <c r="N301" i="4" l="1"/>
  <c r="L67" i="4"/>
  <c r="P66" i="4"/>
  <c r="N302" i="4" l="1"/>
  <c r="L68" i="4"/>
  <c r="P67" i="4"/>
  <c r="N303" i="4" l="1"/>
  <c r="P68" i="4"/>
  <c r="L69" i="4"/>
  <c r="N304" i="4" l="1"/>
  <c r="L70" i="4"/>
  <c r="P69" i="4"/>
  <c r="N305" i="4" l="1"/>
  <c r="P70" i="4"/>
  <c r="L71" i="4"/>
  <c r="N306" i="4" l="1"/>
  <c r="L72" i="4"/>
  <c r="P71" i="4"/>
  <c r="N307" i="4" l="1"/>
  <c r="L73" i="4"/>
  <c r="P72" i="4"/>
  <c r="N308" i="4" l="1"/>
  <c r="L74" i="4"/>
  <c r="P73" i="4"/>
  <c r="N309" i="4" l="1"/>
  <c r="P74" i="4"/>
  <c r="L75" i="4"/>
  <c r="N310" i="4" l="1"/>
  <c r="L76" i="4"/>
  <c r="P75" i="4"/>
  <c r="N311" i="4" l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L77" i="4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l="1"/>
  <c r="L288" i="4"/>
  <c r="L289" i="4" l="1"/>
  <c r="P288" i="4"/>
  <c r="L290" i="4" l="1"/>
  <c r="P289" i="4"/>
  <c r="L291" i="4" l="1"/>
  <c r="P290" i="4"/>
  <c r="L292" i="4" l="1"/>
  <c r="P291" i="4"/>
  <c r="L293" i="4" l="1"/>
  <c r="P292" i="4"/>
  <c r="L294" i="4" l="1"/>
  <c r="P293" i="4"/>
  <c r="L295" i="4" l="1"/>
  <c r="P294" i="4"/>
  <c r="L296" i="4" l="1"/>
  <c r="P295" i="4"/>
  <c r="L297" i="4" l="1"/>
  <c r="P296" i="4"/>
  <c r="L298" i="4" l="1"/>
  <c r="P297" i="4"/>
  <c r="L299" i="4" l="1"/>
  <c r="P298" i="4"/>
  <c r="L300" i="4" l="1"/>
  <c r="P299" i="4"/>
  <c r="L301" i="4" l="1"/>
  <c r="P300" i="4"/>
  <c r="L302" i="4" l="1"/>
  <c r="P301" i="4"/>
  <c r="L303" i="4" l="1"/>
  <c r="P302" i="4"/>
  <c r="L304" i="4" l="1"/>
  <c r="P303" i="4"/>
  <c r="L305" i="4" l="1"/>
  <c r="P304" i="4"/>
  <c r="L306" i="4" l="1"/>
  <c r="P305" i="4"/>
  <c r="L307" i="4" l="1"/>
  <c r="P306" i="4"/>
  <c r="L308" i="4" l="1"/>
  <c r="P307" i="4"/>
  <c r="L309" i="4" l="1"/>
  <c r="P308" i="4"/>
  <c r="L310" i="4" l="1"/>
  <c r="P309" i="4"/>
  <c r="L311" i="4" l="1"/>
  <c r="P310" i="4"/>
  <c r="L312" i="4" l="1"/>
  <c r="P311" i="4"/>
  <c r="P312" i="4" l="1"/>
  <c r="L313" i="4"/>
  <c r="P313" i="4" l="1"/>
  <c r="L314" i="4"/>
  <c r="L315" i="4" l="1"/>
  <c r="P314" i="4"/>
  <c r="P315" i="4" l="1"/>
  <c r="L316" i="4"/>
  <c r="L317" i="4" l="1"/>
  <c r="P316" i="4"/>
  <c r="L318" i="4" l="1"/>
  <c r="P317" i="4"/>
  <c r="P318" i="4" l="1"/>
  <c r="L319" i="4"/>
  <c r="P319" i="4" l="1"/>
  <c r="L320" i="4"/>
  <c r="P320" i="4" l="1"/>
  <c r="L321" i="4"/>
  <c r="P321" i="4" l="1"/>
  <c r="L322" i="4"/>
  <c r="L323" i="4" l="1"/>
  <c r="P322" i="4"/>
  <c r="L324" i="4" l="1"/>
  <c r="P323" i="4"/>
  <c r="P324" i="4" l="1"/>
  <c r="L325" i="4"/>
  <c r="L326" i="4" l="1"/>
  <c r="P325" i="4"/>
  <c r="P326" i="4" l="1"/>
  <c r="L327" i="4"/>
  <c r="L328" i="4" l="1"/>
  <c r="P327" i="4"/>
  <c r="P328" i="4" l="1"/>
  <c r="L329" i="4"/>
  <c r="P329" i="4" l="1"/>
  <c r="L330" i="4"/>
  <c r="L331" i="4" l="1"/>
  <c r="P330" i="4"/>
  <c r="P331" i="4" l="1"/>
</calcChain>
</file>

<file path=xl/sharedStrings.xml><?xml version="1.0" encoding="utf-8"?>
<sst xmlns="http://schemas.openxmlformats.org/spreadsheetml/2006/main" count="751" uniqueCount="730">
  <si>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</si>
  <si>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</si>
  <si>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</si>
  <si>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</si>
  <si>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</si>
  <si>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</si>
  <si>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</si>
  <si>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</si>
  <si>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</si>
  <si>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</si>
  <si>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</si>
  <si>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</si>
  <si>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</si>
  <si>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</si>
  <si>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</si>
  <si>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</si>
  <si>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</si>
  <si>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</si>
  <si>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</si>
  <si>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</si>
  <si>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</si>
  <si>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</si>
  <si>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</si>
  <si>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</si>
  <si>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</si>
  <si>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</si>
  <si>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</si>
  <si>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</si>
  <si>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</si>
  <si>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</si>
  <si>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</si>
  <si>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</si>
  <si>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</si>
  <si>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</si>
  <si>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</si>
  <si>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</si>
  <si>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</si>
  <si>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</si>
  <si>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</si>
  <si>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</si>
  <si>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</si>
  <si>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</si>
  <si>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</si>
  <si>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</si>
  <si>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</si>
  <si>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</si>
  <si>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</si>
  <si>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</si>
  <si>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</si>
  <si>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</si>
  <si>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</si>
  <si>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</si>
  <si>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</si>
  <si>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</si>
  <si>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</si>
  <si>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</si>
  <si>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</si>
  <si>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</si>
  <si>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</si>
  <si>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</si>
  <si>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</si>
  <si>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</si>
  <si>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</si>
  <si>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</si>
  <si>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</si>
  <si>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</si>
  <si>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</si>
  <si>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</si>
  <si>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</si>
  <si>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</si>
  <si>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</si>
  <si>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</si>
  <si>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</si>
  <si>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</si>
  <si>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</si>
  <si>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</si>
  <si>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</si>
  <si>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</si>
  <si>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</si>
  <si>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</si>
  <si>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</si>
  <si>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</si>
  <si>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</si>
  <si>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</si>
  <si>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</si>
  <si>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</si>
  <si>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</si>
  <si>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</si>
  <si>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</si>
  <si>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</si>
  <si>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</si>
  <si>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</si>
  <si>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</si>
  <si>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</si>
  <si>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</si>
  <si>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</si>
  <si>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</si>
  <si>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</si>
  <si>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</si>
  <si>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</si>
  <si>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</si>
  <si>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</si>
  <si>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</si>
  <si>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</si>
  <si>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</si>
  <si>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</si>
  <si>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</si>
  <si>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</si>
  <si>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</si>
  <si>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</si>
  <si>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</si>
  <si>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</si>
  <si>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</si>
  <si>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</si>
  <si>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</si>
  <si>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</si>
  <si>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</si>
  <si>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</si>
  <si>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</si>
  <si>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</si>
  <si>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</si>
  <si>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</si>
  <si>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</si>
  <si>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</si>
  <si>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</si>
  <si>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</si>
  <si>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</si>
  <si>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</si>
  <si>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</si>
  <si>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</si>
  <si>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</si>
  <si>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</si>
  <si>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</si>
  <si>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</si>
  <si>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</si>
  <si>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</si>
  <si>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</si>
  <si>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</si>
  <si>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</si>
  <si>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</si>
  <si>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</si>
  <si>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</si>
  <si>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</si>
  <si>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</si>
  <si>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</si>
  <si>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</si>
  <si>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</si>
  <si>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</si>
  <si>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</si>
  <si>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</si>
  <si>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</si>
  <si>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</si>
  <si>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</si>
  <si>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</si>
  <si>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</si>
  <si>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</si>
  <si>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</si>
  <si>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</si>
  <si>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</si>
  <si>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</si>
  <si>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</si>
  <si>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</si>
  <si>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</si>
  <si>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</si>
  <si>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</si>
  <si>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</si>
  <si>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</si>
  <si>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</si>
  <si>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</si>
  <si>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</si>
  <si>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</si>
  <si>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</si>
  <si>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</si>
  <si>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</si>
  <si>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</si>
  <si>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</si>
  <si>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</si>
  <si>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</si>
  <si>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</si>
  <si>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</si>
  <si>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</si>
  <si>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</si>
  <si>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</si>
  <si>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</si>
  <si>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</si>
  <si>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</si>
  <si>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</si>
  <si>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</si>
  <si>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</si>
  <si>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</si>
  <si>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</si>
  <si>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</si>
  <si>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</si>
  <si>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</si>
  <si>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</si>
  <si>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</si>
  <si>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</si>
  <si>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</si>
  <si>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</si>
  <si>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</si>
  <si>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</si>
  <si>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</si>
  <si>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</si>
  <si>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</si>
  <si>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</si>
  <si>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</si>
  <si>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</si>
  <si>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</si>
  <si>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</si>
  <si>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</si>
  <si>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</si>
  <si>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</si>
  <si>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</si>
  <si>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</si>
  <si>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</si>
  <si>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</si>
  <si>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</si>
  <si>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</si>
  <si>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</si>
  <si>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</si>
  <si>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</si>
  <si>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</si>
  <si>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</si>
  <si>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</si>
  <si>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</si>
  <si>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</si>
  <si>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</si>
  <si>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</si>
  <si>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</si>
  <si>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</si>
  <si>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</si>
  <si>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</si>
  <si>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</si>
  <si>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</si>
  <si>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</si>
  <si>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</si>
  <si>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</si>
  <si>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</si>
  <si>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</si>
  <si>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</si>
  <si>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</si>
  <si>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</si>
  <si>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</si>
  <si>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</si>
  <si>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</si>
  <si>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</si>
  <si>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</si>
  <si>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</si>
  <si>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</si>
  <si>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</si>
  <si>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</si>
  <si>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</si>
  <si>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</si>
  <si>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</si>
  <si>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</si>
  <si>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</si>
  <si>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</si>
  <si>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</si>
  <si>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</si>
  <si>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</si>
  <si>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</si>
  <si>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</si>
  <si>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</si>
  <si>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</si>
  <si>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</si>
  <si>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</si>
  <si>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</si>
  <si>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</si>
  <si>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</si>
  <si>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</si>
  <si>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</si>
  <si>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</si>
  <si>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</si>
  <si>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</si>
  <si>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</si>
  <si>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</si>
  <si>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</si>
  <si>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</si>
  <si>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</si>
  <si>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</si>
  <si>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</si>
  <si>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</si>
  <si>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</si>
  <si>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</si>
  <si>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</si>
  <si>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</si>
  <si>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</si>
  <si>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</si>
  <si>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</si>
  <si>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</si>
  <si>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</si>
  <si>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</si>
  <si>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</si>
  <si>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</si>
  <si>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</si>
  <si>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</si>
  <si>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</si>
  <si>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</si>
  <si>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</si>
  <si>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</si>
  <si>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</si>
  <si>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</si>
  <si>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</si>
  <si>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</si>
  <si>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</si>
  <si>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</si>
  <si>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</si>
  <si>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</si>
  <si>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</si>
  <si>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</si>
  <si>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</si>
  <si>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</si>
  <si>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</si>
  <si>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</si>
  <si>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</si>
  <si>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</si>
  <si>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</si>
  <si>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</si>
  <si>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</si>
  <si>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</si>
  <si>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</si>
  <si>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</si>
  <si>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</si>
  <si>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</si>
  <si>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</si>
  <si>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</si>
  <si>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</si>
  <si>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</si>
  <si>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</si>
  <si>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</si>
  <si>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</si>
  <si>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</si>
  <si>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</si>
  <si>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</si>
  <si>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</si>
  <si>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</si>
  <si>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</si>
  <si>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</si>
  <si>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</si>
  <si>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</si>
  <si>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</si>
  <si>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</si>
  <si>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</si>
  <si>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</si>
  <si>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</si>
  <si>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</si>
  <si>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</si>
  <si>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</si>
  <si>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</si>
  <si>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</si>
  <si>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</si>
  <si>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</si>
  <si>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</si>
  <si>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</si>
  <si>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</si>
  <si>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</si>
  <si>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</si>
  <si>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</si>
  <si>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</si>
  <si>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</si>
  <si>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</si>
  <si>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</si>
  <si>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</si>
  <si>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</si>
  <si>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</si>
  <si>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</si>
  <si>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</si>
  <si>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</si>
  <si>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</si>
  <si>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</si>
  <si>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</si>
  <si>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</si>
  <si>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</si>
  <si>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</si>
  <si>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</si>
  <si>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</si>
  <si>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</si>
  <si>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</si>
  <si>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</si>
  <si>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</si>
  <si>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</si>
  <si>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</si>
  <si>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</si>
  <si>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</si>
  <si>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</si>
  <si>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</si>
  <si>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</si>
  <si>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</si>
  <si>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</si>
  <si>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</si>
  <si>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</si>
  <si>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</si>
  <si>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</si>
  <si>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</si>
  <si>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</si>
  <si>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</si>
  <si>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</si>
  <si>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</si>
  <si>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</si>
  <si>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</si>
  <si>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</si>
  <si>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</si>
  <si>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</si>
  <si>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</si>
  <si>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</si>
  <si>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</si>
  <si>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</si>
  <si>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</si>
  <si>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</si>
  <si>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</si>
  <si>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</si>
  <si>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</si>
  <si>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</si>
  <si>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</si>
  <si>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</si>
  <si>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</si>
  <si>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</si>
  <si>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</si>
  <si>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</si>
  <si>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</si>
  <si>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</si>
  <si>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</si>
  <si>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</si>
  <si>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</si>
  <si>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</si>
  <si>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</si>
  <si>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</si>
  <si>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</si>
  <si>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</si>
  <si>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</si>
  <si>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</si>
  <si>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</si>
  <si>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</si>
  <si>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</si>
  <si>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</si>
  <si>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</si>
  <si>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</si>
  <si>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</si>
  <si>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</si>
  <si>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</si>
  <si>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</si>
  <si>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</si>
  <si>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</si>
  <si>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</si>
  <si>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</si>
  <si>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</si>
  <si>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</si>
  <si>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</si>
  <si>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</si>
  <si>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</si>
  <si>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</si>
  <si>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</si>
  <si>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</si>
  <si>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</si>
  <si>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</si>
  <si>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</si>
  <si>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</si>
  <si>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</si>
  <si>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</si>
  <si>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</si>
  <si>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</si>
  <si>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</si>
  <si>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</si>
  <si>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</si>
  <si>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</si>
  <si>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</si>
  <si>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</si>
  <si>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</si>
  <si>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</si>
  <si>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</si>
  <si>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</si>
  <si>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</si>
  <si>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</si>
  <si>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</si>
  <si>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</si>
  <si>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</si>
  <si>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</si>
  <si>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</si>
  <si>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</si>
  <si>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</si>
  <si>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</si>
  <si>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</si>
  <si>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</si>
  <si>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</si>
  <si>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</si>
  <si>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</si>
  <si>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</si>
  <si>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</si>
  <si>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</si>
  <si>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</si>
  <si>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</si>
  <si>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</si>
  <si>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</si>
  <si>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</si>
  <si>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</si>
  <si>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</si>
  <si>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</si>
  <si>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</si>
  <si>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</si>
  <si>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</si>
  <si>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</si>
  <si>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</si>
  <si>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</si>
  <si>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</si>
  <si>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</si>
  <si>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</si>
  <si>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</si>
  <si>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</si>
  <si>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</si>
  <si>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</si>
  <si>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</si>
  <si>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</si>
  <si>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</si>
  <si>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</si>
  <si>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</si>
  <si>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</si>
  <si>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</si>
  <si>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</si>
  <si>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</si>
  <si>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</si>
  <si>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</si>
  <si>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</si>
  <si>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</si>
  <si>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</si>
  <si>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</si>
  <si>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</si>
  <si>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</si>
  <si>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</si>
  <si>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</si>
  <si>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</si>
  <si>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</si>
  <si>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</si>
  <si>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</si>
  <si>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</si>
  <si>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</si>
  <si>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</si>
  <si>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</si>
  <si>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</si>
  <si>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</si>
  <si>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</si>
  <si>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</si>
  <si>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</si>
  <si>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</si>
  <si>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</si>
  <si>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</si>
  <si>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</si>
  <si>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</si>
  <si>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</si>
  <si>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</si>
  <si>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</si>
  <si>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</si>
  <si>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</si>
  <si>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</si>
  <si>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</si>
  <si>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</si>
  <si>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</si>
  <si>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</si>
  <si>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</si>
  <si>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</si>
  <si>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</si>
  <si>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</si>
  <si>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</si>
  <si>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</si>
  <si>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</si>
  <si>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</si>
  <si>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</si>
  <si>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</si>
  <si>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</si>
  <si>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</si>
  <si>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</si>
  <si>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</si>
  <si>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</si>
  <si>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</si>
  <si>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</si>
  <si>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</si>
  <si>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</si>
  <si>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</si>
  <si>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</si>
  <si>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</si>
  <si>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</si>
  <si>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</si>
  <si>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</si>
  <si>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</si>
  <si>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</si>
  <si>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</si>
  <si>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</si>
  <si>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</si>
  <si>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</si>
  <si>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</si>
  <si>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</si>
  <si>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</si>
  <si>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</si>
  <si>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</si>
  <si>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</si>
  <si>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</si>
  <si>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</si>
  <si>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</si>
  <si>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</si>
  <si>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</si>
  <si>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</si>
  <si>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</si>
  <si>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</si>
  <si>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</si>
  <si>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</si>
  <si>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</si>
  <si>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</si>
  <si>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</si>
  <si>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</si>
  <si>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</si>
  <si>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</si>
  <si>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</si>
  <si>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</si>
  <si>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</si>
  <si>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</si>
  <si>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</si>
  <si>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</si>
  <si>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</si>
  <si>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</si>
  <si>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</si>
  <si>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</si>
  <si>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</si>
  <si>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</si>
  <si>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</si>
  <si>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</si>
  <si>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</si>
  <si>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</si>
  <si>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</si>
  <si>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</si>
  <si>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</si>
  <si>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</si>
  <si>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</si>
  <si>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</si>
  <si>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</si>
  <si>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</si>
  <si>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</si>
  <si>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</si>
  <si>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</si>
  <si>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</si>
  <si>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</si>
  <si>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</si>
  <si>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</si>
  <si>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</si>
  <si>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</si>
  <si>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</si>
  <si>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</si>
  <si>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</si>
  <si>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</si>
  <si>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</si>
  <si>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</si>
  <si>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</si>
  <si>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</si>
  <si>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</si>
  <si>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</si>
  <si>
    <t>(9,*1,*6,*5,1,9,6,*8,*2,*2,*6,*2),(5,3,6,*5,7,7,9,3,*6,*1,*9,*3),(1,*7,*1,5,1,6,5,9,4,2,3,1),(8,*8,*4,*2,*8,*6,7,1,9,7,4,9),(*6,*1,*5,*5,4,9,*2,2,2,2,8,6),(7,*9,*1,5,5,4,*5,*7,*7,3,3,4),(7,*7,*8,3,8,*7,9,*6,*2,5,4,4),(4,*4,*9,4,*6,*1,*5,4,4,*6,8,4),(2,*1,9,*2,7,*9,5,7,9,7,*1,6),(4,9,*4,*7,*2,8,*5,7,5,3,2,*6),(1,2,5,*1,*3,4,7,1,7,3,4,8),(9,9,*9,4,8,*5,2,3,6,6,3,8)</t>
  </si>
  <si>
    <t>6193,87,695,7659219,17,6272616,82262,981541,561,25,537,58,57624,14791,5186</t>
  </si>
  <si>
    <t>(1,8,9,2,6,3,6,4,*6,*4,1,6),(*8,1,7,1,2,6,2,7,*4,*7,7,5),(*8,6,8,2,8,*4,6,6,*2,*7,6,8),(*5,1,4,8,5,*4,*2,8,*7,*1,4,2),(*8,5,5,3,2,1,1,*9,*6,*2,5,3),(*6,8,7,9,8,1,7,2,*1,*6,*4,7),(7,4,*1,9,7,*3,9,*8,6,3,*5,7),(*5,*3,*8,8,*2,*1,*6,*1,*4,*5,*8,1),(*1,7,*6,6,7,4,*9,*5,5,9,*1,5),(*5,5,*7,8,9,4,1,5,3,5,*8,1),(2,9,*6,*1,*8,*2,*2,*6,*1,*4,*4,9),(1,6,*8,9,3,8,8,8,3,3,*2,9)</t>
  </si>
  <si>
    <t>31,44,86768,477126,4581842,4162281,64276,8858,32,16145,6858,515,924,218,95</t>
  </si>
  <si>
    <t>(6,9,*5,*3,*8,*4,4,9,*3,9,2,5),(4,1,*8,7,5,8,2,6,*7,*1,6,7),(4,9,*1,5,3,6,6,*9,4,9,*2,*5),(5,3,*1,1,3,*1,*9,9,6,9,4,*4),(5,9,8,*4,*7,*9,8,3,7,6,2,1),(*4,5,3,*9,*7,7,*2,*3,*9,*6,*5,8),(*4,8,*5,*1,*5,*3,2,5,8,*5,9,3),(5,*6,*4,3,3,2,4,7,6,*7,1,5),(4,1,8,1,3,6,2,3,5,*4,1,8),(9,4,6,5,2,5,3,5,3,5,9,8),(*3,*4,*3,*7,*4,*2,*3,*7,*9,*7,*8,*6),(*1,*9,*9,*5,4,3,7,9,1,2,8,1)</t>
  </si>
  <si>
    <t>94,23965,4179997,475,5991,44,35,213,384,54,3437423,79786,821973,17956,5811</t>
  </si>
  <si>
    <t>(5,9,3,1,8,8,8,7,5,6,2,5),(7,5,*6,*9,*3,*1,*2,*5,*3,5,*8,9),(3,2,7,*4,*3,*4,*9,7,4,*1,5,7),(9,*2,8,4,4,8,*3,*8,*6,*8,*6,*1),(9,*1,5,4,*3,7,*7,8,9,6,*1,8),(8,*5,4,*7,*2,1,*5,7,5,*7,6,7),(5,*6,*3,*8,9,3,9,*4,*9,*4,*3,*5),(1,*9,*8,5,7,4,*5,6,*1,5,9,4),(*2,*9,7,8,3,7,2,*4,3,7,3,5),(*8,6,8,6,7,7,7,3,*2,*8,3,7),(*8,*4,*9,*6,*7,*2,*4,9,*2,*1,8,8),(4,3,8,2,7,8,4,*5,2,7,*6,1)</t>
  </si>
  <si>
    <t>28898,8496724,17,75,54216,9434,825,373,29,816,21569,41,9435,6931253,386861</t>
  </si>
  <si>
    <t>(5,5,8,*2,*9,*1,*2,*9,*9,*1,5,6),(5,4,*6,*5,*8,*3,*1,*8,*3,3,3,5),(7,*9,1,3,3,7,5,7,2,3,8,4),(9,*7,1,*2,*4,*5,4,5,4,*7,5,7),(5,*3,4,8,1,*2,*5,*2,*2,*4,2,6),(9,*6,*7,*1,*8,*3,*6,8,*2,1,5,1),(6,*8,2,1,7,4,2,4,*2,5,6,8),(*4,*2,8,5,6,5,4,7,*3,5,9,*4),(*4,1,3,*3,*4,*5,*2,1,*6,9,3,*8),(*2,9,3,1,4,*7,*2,7,*9,8,7,*3),(*6,6,6,*5,2,*9,*9,1,6,1,2,*7),(*1,3,1,*3,3,4,*5,2,4,7,3,9)</t>
  </si>
  <si>
    <t>34,5922,22369,245,3813856,71,286379,25224,7384,2912991,836,47,579,44261,53</t>
  </si>
  <si>
    <t>(3,*3,3,8,2,9,1,3,8,8,4,7),(5,*2,7,9,2,6,*7,1,9,3,4,9),(4,*4,5,1,2,1,5,*4,5,7,6,6),(7,*8,8,*5,7,8,2,4,*3,*6,*1,*5),(9,*8,*2,*1,2,9,1,6,4,*8,*6,*8),(3,9,*2,*2,8,2,*9,*6,*1,*6,*6,*7),(7,6,*6,7,5,1,1,7,3,*1,*9,*4),(9,*5,*2,2,6,4,6,8,*6,*4,*3,*7),(1,*6,*2,5,8,*8,*9,*1,*1,7,*3,*6),(4,*4,9,*2,*8,3,*1,*4,3,*2,*1,*2),(4,*7,2,6,4,*5,*5,2,*7,4,2,5),(*6,*3,9,1,*1,8,6,*7,7,8,3,9)</t>
  </si>
  <si>
    <t>86,215,2674785,772,22622,9616,5414,82,37465,151161,89,1669331,32488,63,743</t>
  </si>
  <si>
    <t>(1,5,7,7,7,*5,*9,*5,*5,*3,9,6),(5,*4,*5,*6,*4,*6,*7,1,1,3,3,4),(6,6,9,1,2,1,*7,5,2,*9,*2,*7),(6,*7,8,1,7,*1,*8,6,6,8,5,*9),(1,8,*5,3,3,*5,*4,4,9,1,2,*1),(*4,8,3,*7,*2,*4,*9,4,*6,6,7,*5),(1,*1,1,4,*2,3,*1,3,8,*9,1,*8),(6,9,*7,1,8,*7,*2,*8,*1,8,*3,*4),(9,2,3,*9,1,*4,4,2,*2,5,5,9),(1,3,9,4,*1,6,1,5,2,*7,6,8),(1,6,1,3,7,*7,*9,*4,*2,1,*2,1),(1,8,4,8,*8,*9,*8,*6,*5,*3,*8,4)</t>
  </si>
  <si>
    <t>45646,396,29,25,59553,451,81,19714,7572,74,2497,485197,2194877,8356898,272</t>
  </si>
  <si>
    <t>(*9,2,7,9,7,7,8,9,5,*4,2,1),(7,*1,1,*1,*3,*9,3,6,9,*8,1,3),(*1,9,*9,*3,4,7,5,1,7,*4,*5,6),(*4,5,1,*2,2,8,9,5,*6,*5,*4,9),(*7,*6,7,9,*8,2,7,*5,7,*7,*6,3),(*3,5,*2,9,7,*2,*9,1,9,7,*6,2),(*5,1,*1,*4,1,*2,*9,1,5,5,8,4),(*1,3,7,*4,*7,8,*8,*9,8,1,7,9),(*8,9,3,*6,*1,*5,4,*5,3,1,*5,2),(2,7,4,1,*3,*6,6,*2,9,7,*2,*3),(3,9,1,*4,*9,*2,*2,*9,3,4,*3,4),(5,7,4,9,9,9,6,*5,5,4,*5,4)</t>
  </si>
  <si>
    <t>1473518,95295,75484,426,39,853,31,5466,33,672956,9192829,14162,492,17,5325</t>
  </si>
  <si>
    <t>(*2,1,8,5,7,6,*2,1,9,5,1,9),(*3,5,*8,*4,*1,*1,*6,*8,5,9,7,4),(*1,*6,*7,4,5,*6,5,1,*6,9,5,2),(*8,6,*3,*2,3,9,*4,3,9,*8,9,8),(*9,7,5,*9,*3,6,1,*5,9,7,*6,5),(*4,3,6,*5,*2,*7,3,6,*5,8,8,*5),(*1,3,7,7,*7,8,*9,7,2,*3,7,3),(*6,4,1,*3,9,*8,*6,*4,5,*1,*6,2),(*9,*7,*8,2,8,2,1,2,*3,6,6,*2),(*3,*6,6,8,2,9,6,*3,2,1,4,6),(1,9,*4,*4,7,1,1,8,4,5,9,9),(*6,*2,*1,*2,*9,*1,1,6,4,8,7,2)</t>
  </si>
  <si>
    <t>28,44,192126,864,7386,6392,56868,231,95,331,61148,6455362,3961498,97327,76</t>
  </si>
  <si>
    <t>(9,1,9,*4,*1,*3,*9,*7,2,5,5,1),(7,9,7,2,2,*9,6,9,5,6,2,3),(9,9,*4,*4,*2,2,7,6,3,6,2,5),(5,3,*4,1,*2,*7,3,*7,*7,*1,*6,3),(8,6,*5,2,5,*4,5,*5,*8,*8,*9,*8),(7,4,3,1,*4,5,*6,1,9,9,8,6),(*5,*6,*9,*7,*9,*1,*1,*3,8,3,4,7),(2,7,5,9,2,4,2,3,*4,3,*5,9),(8,4,*2,9,5,7,5,*5,8,*7,*5,4),(3,*7,5,*2,7,4,*9,*1,*9,*3,*5,2),(7,*8,8,6,2,2,1,4,6,*6,*8,8),(4,8,*1,*8,*5,*7,*5,*7,9,2,*5,1)</t>
  </si>
  <si>
    <t>6177,55585,299,72,49,9193,596,5697911,89885,185757,22,4246347,79314,87,445</t>
  </si>
  <si>
    <t>(3,7,1,9,6,1,6,1,4,2,8,4),(5,*1,*8,*8,*1,*3,2,2,8,8,5,3),(3,6,4,4,7,*6,*7,*6,*3,4,6,6),(*3,6,1,9,*4,*2,*4,*1,*9,*3,*1,*1),(9,*7,3,4,6,*6,*1,7,4,9,1,*5),(9,2,*1,6,3,8,*5,*3,*3,1,7,*5),(4,8,8,*3,1,9,*9,*4,*9,6,2,*6),(4,1,6,9,*8,9,*2,*9,*6,3,3,*6),(9,3,*8,*5,*9,*3,9,*1,3,3,5,*4),(5,8,*4,*6,*3,*3,*1,*9,3,4,6,*8),(7,8,3,7,5,1,7,*7,7,9,3,*2),(1,7,9,3,8,5,4,*1,3,1,8,9)</t>
  </si>
  <si>
    <t>3958,62,179194,46331,61,34,31881,1391424,693,37138,35,3676,295,284,1556648</t>
  </si>
  <si>
    <t>罰（2025/11/8は１、2026/1/22は３、2026/2/21は１）</t>
    <phoneticPr fontId="1"/>
  </si>
  <si>
    <t>(6,*5,1,7,5,2,7,3,9,8,2,3),(1,*4,2,*1,*8,7,*6,3,8,1,6,3),(1,*3,*6,*9,2,*8,4,*8,1,2,8,6),(9,*5,*7,*5,3,5,*4,5,*1,6,3,4),(4,*1,*9,*2,1,*4,5,*5,5,*2,1,8),(8,2,*9,*4,*5,1,1,5,3,3,3,*2),(2,9,*9,*6,1,1,*4,*6,*3,*9,*4,*2),(9,5,*5,1,7,1,6,*1,*5,*7,4,5),(7,6,*9,2,*2,*7,*9,*3,*8,*6,8,7),(5,9,5,2,4,8,3,6,6,3,4,6),(*5,*5,4,7,7,9,7,9,3,*8,*7,4),(5,8,3,*4,*7,*5,*9,*5,*7,*6,4,6)</t>
  </si>
  <si>
    <t>79386,654,249364,2186,42591,5488,742,751,85,27,6799959,15345,6759574,55,87</t>
  </si>
  <si>
    <t>(*4,*2,3,*7,*5,*1,*5,*6,6,5,1,1),(*6,*6,7,4,5,4,2,1,8,6,9,7),(*8,*8,5,*7,2,4,1,2,7,6,3,3),(*1,6,*8,4,*6,*9,4,*8,6,9,5,4),(*1,1,7,*1,*1,*3,8,*3,9,*3,2,5),(*7,1,1,*1,6,6,*6,*7,9,*1,7,9),(*5,8,*9,*4,*1,1,9,*5,2,*8,3,8),(*3,*1,*3,*9,*8,9,5,*4,6,*5,7,8),(*1,8,7,7,6,5,3,*5,*3,*9,5,1),(2,*3,*9,*3,*7,*9,4,*1,5,1,4,8),(*4,*4,9,7,5,7,*1,5,4,1,8,4),(4,3,3,8,9,2,*2,*8,1,5,4,6)</t>
  </si>
  <si>
    <t>44,1545738,95813,918,31398,188,268,3937,119119,6367,41,53,28,5711864,75156</t>
  </si>
  <si>
    <t>(4,2,5,8,7,*2,*1,*5,*5,*7,*8,3),(3,*2,9,6,7,7,3,*8,9,8,2,8),(1,*5,9,*6,1,2,*2,3,5,2,6,2),(8,*1,4,2,*4,*4,*3,5,5,9,1,2),(7,*5,5,*9,*8,*5,1,*6,4,7,1,*4),(2,*1,5,*3,*1,1,*2,7,*3,4,1,*8),(4,3,7,*3,7,*4,3,*3,*5,*9,6,*1),(*9,9,7,2,7,*5,*3,3,1,*6,3,*9),(*7,*7,*7,*2,*9,*9,8,*1,*2,*7,*2,8),(*3,9,1,1,2,9,8,2,*4,3,9,5),(5,5,5,2,6,4,3,4,3,*2,5,4),(5,7,*3,*7,*4,*3,*6,*8,*6,3,7,3)</t>
  </si>
  <si>
    <t>32546,33,35,272,77299,15152,59,9184,96,3743686,2413419,875512,363,379,8428</t>
  </si>
  <si>
    <t>(1,6,8,7,*9,4,*4,*6,1,9,*3,4),(1,8,9,*5,3,*5,5,4,*3,*5,3,2),(7,3,*8,8,*4,1,4,5,*7,*6,*6,3),(9,*6,2,*4,3,9,7,*9,8,*7,*7,6),(*8,9,*5,6,*8,4,3,5,*7,5,3,7),(9,*5,4,7,*7,8,6,*8,2,8,1,7),(*7,8,3,7,*2,5,*9,2,*6,2,2,8),(9,*8,2,*2,1,*6,9,*7,5,8,6,8),(9,*5,4,*5,*5,*6,*2,9,5,4,7,3),(2,*8,6,2,2,*5,*4,*7,*3,*6,6,1),(8,*2,3,9,*7,4,1,3,*8,*7,*5,4),(4,*3,9,3,*1,*7,*3,*2,*1,*9,*1,8)</t>
  </si>
  <si>
    <t>4544557,95868,32858,672,7636,25,732191,6778965,26,71,278,63745,875,3579,15</t>
  </si>
  <si>
    <t>(3,*8,*6,6,6,*2,6,2,1,6,8,4),(6,*7,*1,*9,*9,*3,*4,*4,9,6,1,2),(3,*7,*1,7,*7,8,3,*1,*5,2,1,2),(*7,*2,*3,7,4,*3,*8,2,1,6,*2,3),(*8,*8,*8,5,9,*5,*5,2,4,1,*2,7),(*2,3,6,3,*4,1,6,*9,2,9,*7,4),(*7,4,1,*3,9,*1,8,7,*1,9,2,8),(*7,7,*8,8,8,9,*3,3,1,*6,7,2),(*2,*9,2,2,7,9,4,*1,3,2,2,6),(*6,3,1,8,*4,*2,*7,9,*3,2,5,9),(6,2,3,4,*8,*6,2,7,4,*7,6,4),(1,4,8,*9,*6,6,*7,*3,*4,*3,5,5)</t>
  </si>
  <si>
    <t>289,722,9834581,766,62,73131,6195379,782772,51,82778,23,9344,3437,24,83116</t>
  </si>
  <si>
    <t>(*1,1,9,2,3,1,1,*8,6,2,6,7),(*1,3,8,4,3,4,*4,8,1,6,*7,*1),(*1,9,2,3,1,*5,*2,9,7,8,*6,*9),(*2,5,1,4,*3,2,5,2,*8,*6,*2,*1),(*8,5,7,*5,*7,3,*7,*1,*3,*3,*9,*6),(*5,4,*2,3,*4,1,*7,8,7,*5,*8,*3),(*7,*1,9,4,1,*9,3,6,*8,*1,*2,*1),(5,2,*8,*9,*9,*4,*4,5,8,2,*3,5),(7,4,7,9,3,5,9,9,7,2,*6,1),(*3,*7,*3,*3,9,1,2,9,6,8,*7,4),(4,4,2,5,3,1,4,3,4,1,*7,7),(5,2,8,6,4,6,2,6,8,3,*5,4)</t>
  </si>
  <si>
    <t>76298,19163,86,8453521,42,971,51,577632,381,3733,8591,89944,74,1112857,317</t>
  </si>
  <si>
    <t>(4,7,3,2,1,6,*9,9,*7,*9,8,*8),(7,*8,8,5,6,7,*5,6,1,6,*1,*8),(7,9,*2,*5,*3,*5,*4,*9,9,*1,*4,2),(3,6,9,*2,8,2,*6,9,*5,*1,6,*5),(1,5,8,5,*6,4,*6,9,*2,6,*4,*7),(5,9,8,*8,4,*3,*5,3,1,8,*3,*4),(8,2,1,8,*4,9,*8,8,8,*7,*8,*6),(9,*2,*6,*6,7,*4,*1,*9,*2,8,*3,*8),(6,*1,5,6,8,6,*5,*5,1,4,*5,2),(9,*7,6,6,6,9,*6,*3,*9,7,*8,5),(9,7,7,5,1,*8,4,7,*3,5,*2,4),(5,1,2,6,2,2,1,1,*8,*8,6,2)</t>
  </si>
  <si>
    <t>72568,57468,71,662,8412,938,91,8115,566,8445338,79,836228,95,94535,4383582</t>
  </si>
  <si>
    <t>(3,7,7,5,5,3,7,2,9,7,*7,3),(4,3,3,3,4,2,1,2,6,*3,7,9),(*2,4,1,6,6,*7,5,6,*3,9,5,*9),(9,*7,*9,9,7,*8,1,*4,*7,1,3,*8),(7,6,*8,8,*2,*8,9,5,4,9,1,*9),(9,4,*2,*5,2,*4,3,*5,1,8,*9,*4),(8,*3,6,1,*7,3,*6,*4,*5,9,*5,*9),(*1,3,*8,9,9,1,7,*8,8,4,*1,*7),(*6,3,8,*9,5,*8,5,2,*3,6,*7,*6),(*4,*2,*1,*9,*8,7,*8,2,8,*3,*8,3),(*1,9,2,5,7,*4,2,*8,5,2,*4,4),(*1,4,8,9,2,9,*4,6,*5,4,8,7)</t>
  </si>
  <si>
    <t>4337,87159,11461,912,75872,8885,65,52,788,2468334,74,448983,982,6794989,45</t>
  </si>
  <si>
    <t>(7,8,6,1,3,7,2,8,2,7,1,2),(9,7,*8,3,*6,*2,*9,*1,*9,5,3,5),(4,9,*8,8,4,5,7,6,4,1,7,4),(8,*2,*1,*6,4,*9,*1,*1,*3,*5,*5,6),(6,4,*4,9,*4,*6,*3,3,4,6,7,8),(2,8,*2,2,7,*1,*6,7,5,9,2,8),(4,8,*5,*6,*2,*7,*7,1,9,4,1,6),(*5,6,7,8,8,*7,*2,*5,4,7,4,5),(9,*3,2,9,1,*3,*6,7,*2,2,2,*6),(9,4,*1,1,9,*9,5,*1,1,3,*1,4),(8,5,5,*8,1,*6,*4,4,5,*3,5,8),(*1,*9,*3,*7,*6,*9,*4,2,*8,7,9,8)</t>
  </si>
  <si>
    <t>28,553119,7146,6937716,1937694,265,88142,613,78,8135,52,38,214,91926,36726</t>
  </si>
  <si>
    <t>(2,*9,*3,*7,*2,*8,*1,*4,3,*8,8,5),(5,6,3,9,6,3,8,4,*7,6,8,7),(7,8,3,2,9,1,1,*6,8,3,7,2),(7,1,5,5,4,2,*2,7,*4,7,*7,8),(*1,7,3,6,8,*5,1,9,*6,6,*8,8),(*5,6,*8,*5,*9,*5,*6,2,*3,5,*2,1),(*4,5,7,5,8,1,*9,2,*3,2,*1,9),(*2,5,*1,2,9,7,*4,*8,*3,*7,6,2),(*3,*6,9,*1,4,1,*6,3,*6,7,6,3),(*5,*8,8,4,*2,7,*2,*4,*9,8,2,4),(*9,5,9,5,8,*2,*9,*3,*6,*1,*9,9),(4,7,8,2,5,9,*6,3,4,4,2,7)</t>
  </si>
  <si>
    <t>56,1542359,876259,92649,7821,14,9633364,84,93728,958,68,11226,639,3619,467</t>
  </si>
  <si>
    <t>(9,6,3,7,1,1,1,6,1,2,6,7),(6,9,9,7,*9,9,5,*2,*1,3,9,5),(8,5,9,*3,4,7,1,3,6,6,2,4),(4,5,*9,6,4,9,1,2,6,8,7,8),(9,*3,8,2,3,9,6,7,8,3,2,*3),(*2,5,9,3,6,5,6,5,6,6,*5,*3),(4,5,5,4,9,3,2,9,7,*2,5,*1),(4,5,4,4,5,4,4,3,*6,3,8,5),(5,3,5,4,7,8,3,*6,3,9,6,9),(*1,9,5,9,5,5,*7,8,6,2,5,3),(8,*4,5,9,*7,*7,7,6,4,*2,*7,*6),(1,3,*4,4,*1,7,7,1,5,3,7,*1)</t>
  </si>
  <si>
    <t>93932,276,7766253,*555394,21,9944432,63863,7996,6948,537,71,31,65736,61,144</t>
  </si>
  <si>
    <t>(9,6,3,7,1,1,1,6,1,2,6,7),(*6,*9,*9,*7,*9,9,5,*2,*1,*3,9,5),(8,5,9,*3,4,7,1,3,6,*6,2,4),(4,5,*9,6,4,9,1,2,6,*8,7,8),(9,*3,8,*2,3,9,6,7,8,*3,2,*3),(*2,*5,9,*3,6,5,6,5,*6,*6,*5,*3),(4,*5,5,*4,9,3,2,*9,7,*2,5,*1),(4,*5,4,*4,5,4,*4,3,*6,3,8,5),(5,*3,5,*4,7,*8,3,*6,3,9,6,9),(*1,*9,5,*9,5,5,*7,8,6,2,5,3),(8,*4,5,*9,*7,*7,7,6,4,*2,*7,*6),(1,3,*4,4,*1,7,7,1,*5,*3,*7,*1)</t>
  </si>
  <si>
    <t>93932,276,7766253,555394,21,9944432,63863,7996,6948,537,71,31,*65736,61,144</t>
  </si>
  <si>
    <t>(9,6,3,7,1,1,1,6,1,2,6,7),(*6,*9,*9,*7,*9,9,5,*2,*1,*3,9,5),(8,5,9,*3,4,7,1,3,6,*6,2,4),(4,5,*9,6,4,9,1,2,6,*8,7,8),(9,*3,8,*2,3,9,*6,7,8,*3,2,*3),(*2,*5,9,*3,6,5,6,*5,*6,*6,*5,*3),(4,*5,5,*4,9,3,2,*9,*7,*2,5,*1),(4,*5,4,*4,5,4,*4,3,*6,*3,8,5),(5,*3,5,*4,7,*8,3,*6,3,9,*6,9),(*1,*9,5,*9,5,5,*7,8,6,2,5,3),(8,*4,5,*9,*7,*7,7,6,4,*2,*7,*6),(1,3,*4,4,*1,7,7,1,*5,*3,*7,*1)</t>
  </si>
  <si>
    <t>93932,276,7766253,555394,21,9944432,63863,7996,6948,537,71,31,65736,61,144</t>
  </si>
  <si>
    <t>(1,4,3,9,2,1,3,2,5,6,2,4),(6,*3,1,1,*4,9,*5,4,9,8,4,1),(*2,9,*2,*7,1,4,2,*8,3,3,4,4),(*4,*7,*6,*4,2,4,6,7,*7,8,7,1),(*5,*1,*9,3,9,8,6,1,*6,*4,3,1),(*1,3,5,*7,*6,*6,*6,*6,7,*6,*8,5),(*7,8,1,8,9,5,*5,*3,8,8,*3,*4),(8,*4,*5,*6,*1,*1,*8,*4,7,3,4,*4),(2,*1,*6,*9,*3,*3,*6,*8,1,4,6,8),(8,2,9,9,5,2,*5,6,9,1,4,5),(7,4,*6,*4,*2,2,5,*8,9,7,4,3),(*1,*1,*3,*1,*2,2,3,3,*8,2,7,5)</t>
  </si>
  <si>
    <t>53,4561184,1674,6634,66667,885,324,1693368,14,19,21311,97,246,587484,24517</t>
  </si>
  <si>
    <t>(9,7,2,6,3,*1,4,*8,2,*7,*8,*8),(3,*3,2,1,4,7,*2,3,*7,5,5,3),(9,*5,*1,1,1,4,4,*4,2,*5,8,4),(1,4,7,*7,2,8,6,7,*4,9,*9,1),(4,1,4,*4,*7,6,9,3,1,*5,5,*2),(2,*8,*5,6,2,*6,4,*2,5,2,*7,7),(2,5,4,3,3,*5,*1,7,*2,1,2,*8),(7,5,5,8,4,4,*4,6,8,*7,6,3),(*7,*9,*4,*6,5,9,6,*8,5,8,*6,4),(4,8,*7,2,*3,*4,*5,*1,*8,*2,*6,*4),(6,*8,7,7,*1,*8,*7,*1,*1,*1,*3,4),(*7,9,7,4,9,*8,*1,*3,*2,*3,1,6)</t>
  </si>
  <si>
    <t>47,53,87592,3111781,58,845,518264,6722,787,34,8754421,16771,7946,81323,788</t>
  </si>
  <si>
    <t>(6,8,9,7,2,*6,*4,*7,*3,*7,*3,*9),(7,6,9,8,4,*8,9,8,3,9,9,*1),(7,9,6,5,*9,8,3,1,9,8,6,*4),(2,1,7,*2,*3,*5,*6,*7,5,5,8,*3),(3,3,*9,*5,6,*9,3,5,7,8,9,*1),(7,*3,*2,7,4,9,*6,8,8,1,1,*4),(7,*8,*9,*4,1,3,*9,1,9,8,6,*1),(*3,3,2,4,3,3,8,3,8,1,8,4),(*2,*1,4,4,5,6,6,3,8,6,2,7),(*8,3,*3,4,*3,*8,*5,*3,*7,*1,*2,9),(*3,9,4,3,*1,*8,*7,*1,*1,3,4,7),(*6,*4,*2,*1,*3,*7,5,7,*3,1,6,2)</t>
  </si>
  <si>
    <t>59,3853712,18,3528,96,713,73124,143141,9373746,1178,32836,567,313,94,89293</t>
  </si>
  <si>
    <t>(*9,*8,*5,*4,*2,*5,*5,8,3,6,8,8),(8,1,3,1,6,6,3,2,3,5,*9,5),(7,2,3,1,6,7,8,8,9,*9,9,3),(5,8,8,7,*9,9,6,2,*2,6,4,*4),(7,9,5,8,7,*4,8,*1,2,6,4,*6),(3,2,6,*3,*1,*4,*8,*3,*3,*5,9,*5),(8,6,*3,2,9,3,9,*5,5,5,4,*1),(5,*7,1,*2,*7,*1,*9,5,*5,9,*8,*6),(*9,8,2,1,4,3,8,9,8,*1,5,*7),(3,*9,*5,*2,*4,*6,*2,*1,*3,1,4,*5),(7,5,6,7,8,7,*6,*2,*9,*7,*8,2),(6,6,*3,*7,*8,*4,*8,1,9,7,3,1)</t>
  </si>
  <si>
    <t>973,38,35,5524589,55849,2719,413,68,4651675,9921,126425,62978,231,95,84873</t>
  </si>
  <si>
    <t>(9,1,5,3,*1,*8,*2,*9,9,4,2,*8),(5,9,*8,*8,7,4,*9,6,2,1,*8,4),(2,1,2,*2,9,3,7,*8,4,*2,7,4),(5,6,8,1,*1,5,9,*4,*2,4,3,3),(6,*1,1,6,*8,*5,*3,*6,9,6,3,1),(4,3,*6,*6,*3,*7,*3,5,*9,2,9,*1),(*3,2,*8,*1,*7,*2,1,2,1,*7,*1,5),(*2,*9,8,*5,*6,2,4,9,7,*2,7,4),(*2,3,9,3,5,*3,1,7,*2,2,*3,1),(*5,7,3,5,7,4,*2,*2,4,8,*9,7),(*9,*6,5,5,5,9,5,5,5,4,*3,5),(2,8,*5,*5,*7,*8,*5,*1,*7,4,*4,7)</t>
  </si>
  <si>
    <t>2362288,83,689,81,829,97,69,4393,161632,95223,11222,5128,43775,289,5578517</t>
  </si>
  <si>
    <t>(*9,*6,*4,*1,*9,*3,*1,2,6,2,4,4),(2,3,2,8,8,2,3,4,2,4,7,6),(6,4,4,3,2,8,6,7,2,*7,6,3),(*9,*2,*1,*2,*7,1,1,*3,*4,1,*7,*5),(*2,*9,*5,5,2,4,*6,*1,*5,5,9,*6),(3,8,6,7,6,*3,*2,9,*3,1,7,9),(*5,*7,*5,*2,*3,*7,5,5,*1,*6,4,8),(*9,*5,*9,*4,*9,8,3,4,*9,*9,4,*1),(*6,*9,*4,*8,5,4,6,3,*4,*8,*7,5),(4,1,3,5,9,1,*4,4,*1,*8,6,7),(5,*8,*6,7,8,6,*4,2,*9,*3,4,2),(8,1,7,3,5,7,3,2,9,*1,3,5)</t>
  </si>
  <si>
    <t>592,5319419,44,94959,68,363,4127,6948,32575,65,677,9641931,72129,17,138896</t>
  </si>
  <si>
    <t>(1,*9,4,6,5,*5,1,3,9,9,5,3),(5,*9,*2,1,*2,4,6,9,3,9,1,1),(*1,*6,5,*3,5,4,9,3,2,5,5,7),(1,*4,6,4,*3,3,4,*6,8,6,5,4),(6,*3,4,8,6,*6,2,*9,3,2,5,*4),(3,*2,5,3,5,*1,*3,*5,2,8,*8,5),(9,9,6,2,*8,3,3,*6,5,*5,7,3),(6,5,8,6,8,9,5,*5,*6,*8,6,6),(*6,3,8,3,3,6,2,*7,5,8,6,1),(*4,7,6,8,*2,4,7,6,3,6,2,3),(*5,9,4,1,*2,3,6,3,3,3,9,2),(5,4,7,4,5,4,7,7,8,7,2,9)</t>
  </si>
  <si>
    <t>48567,923363,96432,18,56596,*9832,5477872,523,421,3674,22,4123633,546,68,16</t>
    <phoneticPr fontId="1"/>
  </si>
  <si>
    <t>(1,*9,4,6,5,*5,1,3,9,9,5,3),(5,*9,*2,1,*2,4,6,9,3,9,1,1),(*1,*6,5,*3,5,4,9,3,2,5,5,7),(1,*4,6,4,*3,3,4,*6,8,6,5,4),(6,*3,4,8,6,*6,2,*9,3,2,5,*4),(3,*2,5,3,5,*1,*3,*5,2,8,*8,5),(9,*9,6,2,*8,3,3,*6,5,*5,7,3),(6,5,*8,6,8,9,5,*5,*6,*8,6,6),(*6,3,8,*3,3,6,2,*7,5,8,6,1),(*4,7,6,8,*2,4,7,6,3,6,2,3),(*5,9,4,1,*2,3,6,3,3,3,9,2),(5,4,7,4,5,4,7,7,8,7,2,9)</t>
  </si>
  <si>
    <t>48567,923363,96432,18,56596,9832,*5477872,523,421,3674,22,4123633,546,68,16</t>
    <phoneticPr fontId="1"/>
  </si>
  <si>
    <t>(1,*9,4,6,5,*5,1,3,9,9,5,3),(5,*9,*2,*1,*2,*4,6,9,3,9,1,1),(*1,*6,5,*3,5,4,9,3,2,5,5,7),(1,*4,6,4,*3,3,4,*6,8,6,5,4),(6,*3,4,8,6,*6,2,*9,3,2,5,*4),(3,*2,5,3,5,*1,*3,*5,2,8,*8,5),(9,*9,6,2,*8,3,3,*6,5,*5,7,3),(6,5,*8,6,8,9,5,*5,*6,*8,6,6),(*6,3,8,*3,3,6,2,*7,5,8,6,1),(*4,7,6,8,*2,*4,*7,*6,*3,6,2,3),(*5,9,*4,*1,*2,*3,*6,*3,*3,3,9,2),(5,4,7,4,*5,*4,*7,*7,*8,*7,*2,9)</t>
    <phoneticPr fontId="1"/>
  </si>
  <si>
    <t>48567,923363,96432,18,56596,9832,5477872,523,421,3674,22,4123633,546,68,16</t>
    <phoneticPr fontId="1"/>
  </si>
  <si>
    <t>(1,6,6,5,1,1,9,5,1,4,4,1),(3,*9,5,5,*4,*5,5,1,5,5,4,8),(1,*9,2,3,*3,*9,8,2,4,2,9,*5),(8,*3,9,3,*8,*3,4,2,3,3,*3,7),(2,8,1,8,*5,*5,2,3,*9,*6,6,*9),(*8,1,7,9,*2,*3,8,*5,*3,4,*3,*6),(9,*8,*4,*1,*5,1,*6,*7,*8,1,*6,*1),(1,6,*2,5,*9,*8,1,*8,*4,9,*9,*1),(4,7,3,2,*1,3,*4,3,6,*5,*4,1),(6,4,9,*8,5,*5,2,8,5,*4,*9,2),(4,5,*1,6,*3,*2,*2,*2,*2,*6,*7,*2),(1,8,9,6,9,7,4,5,5,2,7,6)</t>
  </si>
  <si>
    <t>4385259,35395,762222,78,74592,9568181,41,3635,44,1169,88453,51,399,882,369</t>
  </si>
  <si>
    <t>(*8,*7,*5,*5,*1,3,2,*1,5,3,4,9),(1,4,3,4,4,4,*9,3,4,*5,*3,6),(*2,*9,*8,*2,4,*8,*4,7,*5,*1,6,*2),(2,5,6,8,*3,2,1,*3,*6,2,1,*2),(2,1,7,*5,*8,9,7,*2,*7,2,6,*6),(1,3,*3,*9,2,*5,*5,6,9,4,7,6),(6,*6,5,*4,*6,*2,*3,*3,*1,*6,*1,*1),(1,4,*1,*4,2,5,6,*5,8,2,4,8),(9,7,7,*5,3,7,6,9,*9,2,7,4),(1,1,2,7,*4,3,7,8,1,*1,9,9),(2,1,6,7,4,9,6,6,1,6,*3,3),(8,2,*7,*6,*6,*4,*3,*9,*7,*6,*4,4)</t>
  </si>
  <si>
    <t>44,154,8535913,7664,1983536,72,46793,355,622,2892,43,69,252613,15578,31611</t>
  </si>
  <si>
    <t>(4,2,6,6,9,4,1,1,5,5,*2,*1),(8,4,9,4,*7,*7,*9,2,6,9,*4,7),(*7,*2,*3,*7,*5,*3,*7,3,3,7,*6,6),(5,9,3,2,9,7,1,*3,8,2,1,7),(*1,5,9,5,7,3,*8,7,4,4,9,*7),(*3,3,1,9,4,*7,4,9,4,*4,*8,*3),(*3,1,8,7,*7,*6,*7,*9,*3,*5,*9,*2),(*2,*6,*2,4,2,6,*1,9,7,*1,*3,*5),(*8,3,3,5,9,*4,5,5,9,*6,*3,*7),(*6,3,8,2,*7,2,3,5,8,*6,*8,3),(3,7,5,2,2,2,7,4,9,4,*3,5),(3,*4,*8,*7,*8,*6,*8,*3,6,3,2,1)</t>
  </si>
  <si>
    <t>64,66154,7237537,741,4878683,483,6793,133286,977,75237,62,85,7783,38339,12</t>
  </si>
  <si>
    <t>(5,3,*4,*1,*8,*3,2,7,2,4,4,1),(4,*9,7,3,9,4,9,*8,8,5,8,6),(6,*1,8,4,7,2,4,*2,5,9,3,1),(2,8,*8,*5,*9,*5,*1,*2,9,4,6,*6),(6,*3,*5,*3,*9,*8,*1,*6,*3,*6,7,*7),(3,5,*1,4,*2,*3,*5,*9,*7,7,3,*5),(9,*1,*6,1,2,1,9,*8,*2,7,1,*1),(3,*4,*9,7,7,3,7,2,*6,1,8,*2),(5,*4,*6,3,1,3,4,4,1,*1,8,*2),(4,6,*4,*4,*6,*2,*4,5,5,1,*5,*9),(6,3,*1,*1,*1,3,1,9,1,9,1,*2),(1,4,6,3,9,7,5,3,3,8,7,1)</t>
  </si>
  <si>
    <t>79532,19,2644,31,859512,372,28,3814,69615,441,6751229,111,86152,24,6361893</t>
  </si>
  <si>
    <t>(4,3,3,4,1,1,7,1,7,9,5,8),(4,*8,3,3,*4,*6,*9,*1,*2,9,5,2),(7,*6,*9,6,5,1,1,5,2,*3,2,*7),(*1,*8,*8,*8,9,2,4,8,*4,7,*2,*5),(*1,*5,*1,9,*7,5,6,*5,1,*5,*7,*9),(4,*2,*4,1,2,*3,*4,3,*8,9,*7,*7),(1,2,*8,1,6,1,*9,*6,3,1,*5,*3),(4,9,*9,7,1,5,*3,2,2,5,*7,*3),(8,5,*3,5,2,*6,*2,1,2,7,5,*7),(4,9,*4,*7,*3,2,9,1,7,4,3,*4),(6,9,*6,*6,3,6,2,3,1,7,5,*2),(3,6,*7,9,3,1,7,1,9,5,4,1)</t>
  </si>
  <si>
    <t>25868,4543,42,8739,27757,759,981,51,11,5863636,7643984,74,733795,239,46912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</si>
</sst>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データ!$A$3:$A$337</c:f>
              <c:numCache>
                <c:formatCode>m/d/yyyy\ h:mm</c:formatCode>
                <c:ptCount val="33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  <c:pt idx="331">
                  <c:v>46082.948981481481</c:v>
                </c:pt>
                <c:pt idx="332">
                  <c:v>46082.958090277774</c:v>
                </c:pt>
                <c:pt idx="333">
                  <c:v>46087.298900462964</c:v>
                </c:pt>
                <c:pt idx="334">
                  <c:v>46087.306388888886</c:v>
                </c:pt>
              </c:numCache>
            </c:numRef>
          </c:xVal>
          <c:yVal>
            <c:numRef>
              <c:f>データ!$B$3:$B$337</c:f>
              <c:numCache>
                <c:formatCode>General</c:formatCode>
                <c:ptCount val="335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54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DF-42FC-8530-71B8EC4F9B0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E0DF-42FC-8530-71B8EC4F9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103039"/>
        <c:axId val="89124639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データ!$A$3:$A$337</c:f>
              <c:numCache>
                <c:formatCode>m/d/yyyy\ h:mm</c:formatCode>
                <c:ptCount val="335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  <c:pt idx="331">
                  <c:v>46082.948981481481</c:v>
                </c:pt>
                <c:pt idx="332">
                  <c:v>46082.958090277774</c:v>
                </c:pt>
                <c:pt idx="333">
                  <c:v>46087.298900462964</c:v>
                </c:pt>
                <c:pt idx="334">
                  <c:v>46087.306388888886</c:v>
                </c:pt>
              </c:numCache>
            </c:numRef>
          </c:xVal>
          <c:yVal>
            <c:numRef>
              <c:f>データ!$Q$3:$Q$337</c:f>
              <c:numCache>
                <c:formatCode>[h]:mm</c:formatCode>
                <c:ptCount val="335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  <c:pt idx="297" formatCode="General">
                  <c:v>8.2175925927003846E-3</c:v>
                </c:pt>
                <c:pt idx="298" formatCode="General">
                  <c:v>6.5393518525524996E-3</c:v>
                </c:pt>
                <c:pt idx="299" formatCode="General">
                  <c:v>6.9097222221898846E-3</c:v>
                </c:pt>
                <c:pt idx="300" formatCode="General">
                  <c:v>6.8287036992842332E-3</c:v>
                </c:pt>
                <c:pt idx="301" formatCode="General">
                  <c:v>8.0555555541650392E-3</c:v>
                </c:pt>
                <c:pt idx="302" formatCode="General">
                  <c:v>6.4930555527098477E-3</c:v>
                </c:pt>
                <c:pt idx="303" formatCode="General">
                  <c:v>5.3472222280106507E-3</c:v>
                </c:pt>
                <c:pt idx="304" formatCode="General">
                  <c:v>8.4606481468654238E-3</c:v>
                </c:pt>
                <c:pt idx="305" formatCode="General">
                  <c:v>5.2546296356013045E-3</c:v>
                </c:pt>
                <c:pt idx="306" formatCode="General">
                  <c:v>5.8912036984111182E-3</c:v>
                </c:pt>
                <c:pt idx="307" formatCode="General">
                  <c:v>6.2152777754818089E-3</c:v>
                </c:pt>
                <c:pt idx="308" formatCode="General">
                  <c:v>9.1203703705104999E-3</c:v>
                </c:pt>
                <c:pt idx="309" formatCode="General">
                  <c:v>6.2615740753244609E-3</c:v>
                </c:pt>
                <c:pt idx="310" formatCode="General">
                  <c:v>8.2175925927003846E-3</c:v>
                </c:pt>
                <c:pt idx="311" formatCode="General">
                  <c:v>1.6284722216369119E-2</c:v>
                </c:pt>
                <c:pt idx="312" formatCode="General">
                  <c:v>6.5509259220561944E-3</c:v>
                </c:pt>
                <c:pt idx="313" formatCode="General">
                  <c:v>5.428240736364387E-3</c:v>
                </c:pt>
                <c:pt idx="314" formatCode="General">
                  <c:v>4.4907407354912721E-3</c:v>
                </c:pt>
                <c:pt idx="315" formatCode="General">
                  <c:v>6.921296298969537E-3</c:v>
                </c:pt>
                <c:pt idx="316" formatCode="General">
                  <c:v>8.5648148160544224E-3</c:v>
                </c:pt>
                <c:pt idx="317" formatCode="General">
                  <c:v>1.0578703702776693E-2</c:v>
                </c:pt>
                <c:pt idx="318" formatCode="General">
                  <c:v>#N/A</c:v>
                </c:pt>
                <c:pt idx="319" formatCode="General">
                  <c:v>#N/A</c:v>
                </c:pt>
                <c:pt idx="320" formatCode="General">
                  <c:v>1.0937499995634425E-2</c:v>
                </c:pt>
                <c:pt idx="321" formatCode="General">
                  <c:v>5.1388888896326534E-3</c:v>
                </c:pt>
                <c:pt idx="322" formatCode="General">
                  <c:v>6.5162037062691525E-3</c:v>
                </c:pt>
                <c:pt idx="323" formatCode="General">
                  <c:v>4.5486111121135764E-3</c:v>
                </c:pt>
                <c:pt idx="324" formatCode="General">
                  <c:v>7.6736111150239594E-3</c:v>
                </c:pt>
                <c:pt idx="325" formatCode="General">
                  <c:v>6.7824074067175388E-3</c:v>
                </c:pt>
                <c:pt idx="326" formatCode="General">
                  <c:v>7.4652777766459621E-3</c:v>
                </c:pt>
                <c:pt idx="327" formatCode="General">
                  <c:v>#N/A</c:v>
                </c:pt>
                <c:pt idx="328" formatCode="General">
                  <c:v>#N/A</c:v>
                </c:pt>
                <c:pt idx="329" formatCode="General">
                  <c:v>5.9259259214741178E-3</c:v>
                </c:pt>
                <c:pt idx="330" formatCode="General">
                  <c:v>5.5555555518367328E-3</c:v>
                </c:pt>
                <c:pt idx="331" formatCode="General">
                  <c:v>5.0694444435066544E-3</c:v>
                </c:pt>
                <c:pt idx="332" formatCode="General">
                  <c:v>8.6689814779674634E-3</c:v>
                </c:pt>
                <c:pt idx="333" formatCode="General">
                  <c:v>6.7476851836545393E-3</c:v>
                </c:pt>
                <c:pt idx="334" formatCode="General">
                  <c:v>6.4120370370801538E-3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DF-42FC-8530-71B8EC4F9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168799"/>
        <c:axId val="89182719"/>
      </c:scatterChart>
      <c:valAx>
        <c:axId val="89103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124639"/>
        <c:crosses val="autoZero"/>
        <c:crossBetween val="midCat"/>
      </c:valAx>
      <c:valAx>
        <c:axId val="89124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103039"/>
        <c:crosses val="autoZero"/>
        <c:crossBetween val="midCat"/>
      </c:valAx>
      <c:valAx>
        <c:axId val="89182719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168799"/>
        <c:crosses val="max"/>
        <c:crossBetween val="midCat"/>
      </c:valAx>
      <c:valAx>
        <c:axId val="89168799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182719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211931</xdr:colOff>
      <xdr:row>1</xdr:row>
      <xdr:rowOff>178593</xdr:rowOff>
    </xdr:from>
    <xdr:to>
      <xdr:col>1</xdr:col>
      <xdr:colOff>211931</xdr:colOff>
      <xdr:row>5</xdr:row>
      <xdr:rowOff>178593</xdr:rowOff>
    </xdr:to>
    <xdr:cxnSp macro="">
      <xdr:nvCxnSpPr>
        <xdr:cNvPr id="2398" name="Match0">
          <a:extLst>
            <a:ext uri="{FF2B5EF4-FFF2-40B4-BE49-F238E27FC236}">
              <a16:creationId xmlns:a16="http://schemas.microsoft.com/office/drawing/2014/main" id="{F62FD2C5-83EE-5FB2-C821-199B6C26FD52}"/>
            </a:ext>
          </a:extLst>
        </xdr:cNvPr>
        <xdr:cNvCxnSpPr/>
      </xdr:nvCxnSpPr>
      <xdr:spPr>
        <a:xfrm flipV="1">
          <a:off x="635794" y="53578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2399" name="Match1">
          <a:extLst>
            <a:ext uri="{FF2B5EF4-FFF2-40B4-BE49-F238E27FC236}">
              <a16:creationId xmlns:a16="http://schemas.microsoft.com/office/drawing/2014/main" id="{2BE01EEB-FB46-F905-1456-ADC919965703}"/>
            </a:ext>
          </a:extLst>
        </xdr:cNvPr>
        <xdr:cNvCxnSpPr/>
      </xdr:nvCxnSpPr>
      <xdr:spPr>
        <a:xfrm flipV="1">
          <a:off x="2755106" y="892969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3</xdr:row>
      <xdr:rowOff>178593</xdr:rowOff>
    </xdr:from>
    <xdr:to>
      <xdr:col>6</xdr:col>
      <xdr:colOff>211931</xdr:colOff>
      <xdr:row>3</xdr:row>
      <xdr:rowOff>178593</xdr:rowOff>
    </xdr:to>
    <xdr:cxnSp macro="">
      <xdr:nvCxnSpPr>
        <xdr:cNvPr id="2400" name="Match2">
          <a:extLst>
            <a:ext uri="{FF2B5EF4-FFF2-40B4-BE49-F238E27FC236}">
              <a16:creationId xmlns:a16="http://schemas.microsoft.com/office/drawing/2014/main" id="{7844D9E0-8974-BDF4-59A3-C9F51461F7FA}"/>
            </a:ext>
          </a:extLst>
        </xdr:cNvPr>
        <xdr:cNvCxnSpPr/>
      </xdr:nvCxnSpPr>
      <xdr:spPr>
        <a:xfrm flipH="1">
          <a:off x="233124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8</xdr:col>
      <xdr:colOff>211931</xdr:colOff>
      <xdr:row>3</xdr:row>
      <xdr:rowOff>178593</xdr:rowOff>
    </xdr:to>
    <xdr:cxnSp macro="">
      <xdr:nvCxnSpPr>
        <xdr:cNvPr id="2401" name="Match3">
          <a:extLst>
            <a:ext uri="{FF2B5EF4-FFF2-40B4-BE49-F238E27FC236}">
              <a16:creationId xmlns:a16="http://schemas.microsoft.com/office/drawing/2014/main" id="{1DCE7E96-926D-7068-A33B-9365C53B137F}"/>
            </a:ext>
          </a:extLst>
        </xdr:cNvPr>
        <xdr:cNvCxnSpPr/>
      </xdr:nvCxnSpPr>
      <xdr:spPr>
        <a:xfrm flipV="1">
          <a:off x="3602831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1</xdr:col>
      <xdr:colOff>211931</xdr:colOff>
      <xdr:row>5</xdr:row>
      <xdr:rowOff>178593</xdr:rowOff>
    </xdr:to>
    <xdr:cxnSp macro="">
      <xdr:nvCxnSpPr>
        <xdr:cNvPr id="2402" name="Match4">
          <a:extLst>
            <a:ext uri="{FF2B5EF4-FFF2-40B4-BE49-F238E27FC236}">
              <a16:creationId xmlns:a16="http://schemas.microsoft.com/office/drawing/2014/main" id="{6DD11242-B0A6-0EAD-EE20-AB1621D90CF2}"/>
            </a:ext>
          </a:extLst>
        </xdr:cNvPr>
        <xdr:cNvCxnSpPr/>
      </xdr:nvCxnSpPr>
      <xdr:spPr>
        <a:xfrm>
          <a:off x="211931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5</xdr:row>
      <xdr:rowOff>203993</xdr:rowOff>
    </xdr:from>
    <xdr:to>
      <xdr:col>1</xdr:col>
      <xdr:colOff>237331</xdr:colOff>
      <xdr:row>6</xdr:row>
      <xdr:rowOff>203994</xdr:rowOff>
    </xdr:to>
    <xdr:cxnSp macro="">
      <xdr:nvCxnSpPr>
        <xdr:cNvPr id="2403" name="Match5">
          <a:extLst>
            <a:ext uri="{FF2B5EF4-FFF2-40B4-BE49-F238E27FC236}">
              <a16:creationId xmlns:a16="http://schemas.microsoft.com/office/drawing/2014/main" id="{AF6F690D-E032-231D-40D0-73762A76A11B}"/>
            </a:ext>
          </a:extLst>
        </xdr:cNvPr>
        <xdr:cNvCxnSpPr/>
      </xdr:nvCxnSpPr>
      <xdr:spPr>
        <a:xfrm>
          <a:off x="237331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2</xdr:col>
      <xdr:colOff>211931</xdr:colOff>
      <xdr:row>6</xdr:row>
      <xdr:rowOff>178594</xdr:rowOff>
    </xdr:to>
    <xdr:cxnSp macro="">
      <xdr:nvCxnSpPr>
        <xdr:cNvPr id="2404" name="Match6">
          <a:extLst>
            <a:ext uri="{FF2B5EF4-FFF2-40B4-BE49-F238E27FC236}">
              <a16:creationId xmlns:a16="http://schemas.microsoft.com/office/drawing/2014/main" id="{BC5BBE98-8580-B3CA-794E-B941CF4D8DB7}"/>
            </a:ext>
          </a:extLst>
        </xdr:cNvPr>
        <xdr:cNvCxnSpPr/>
      </xdr:nvCxnSpPr>
      <xdr:spPr>
        <a:xfrm flipH="1">
          <a:off x="63579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5</xdr:row>
      <xdr:rowOff>203993</xdr:rowOff>
    </xdr:from>
    <xdr:to>
      <xdr:col>2</xdr:col>
      <xdr:colOff>237331</xdr:colOff>
      <xdr:row>5</xdr:row>
      <xdr:rowOff>203993</xdr:rowOff>
    </xdr:to>
    <xdr:cxnSp macro="">
      <xdr:nvCxnSpPr>
        <xdr:cNvPr id="2405" name="Match7">
          <a:extLst>
            <a:ext uri="{FF2B5EF4-FFF2-40B4-BE49-F238E27FC236}">
              <a16:creationId xmlns:a16="http://schemas.microsoft.com/office/drawing/2014/main" id="{ED6C3FCF-82A6-2877-2795-93B06FE04C44}"/>
            </a:ext>
          </a:extLst>
        </xdr:cNvPr>
        <xdr:cNvCxnSpPr/>
      </xdr:nvCxnSpPr>
      <xdr:spPr>
        <a:xfrm flipH="1">
          <a:off x="661194" y="1989931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2406" name="Match8">
          <a:extLst>
            <a:ext uri="{FF2B5EF4-FFF2-40B4-BE49-F238E27FC236}">
              <a16:creationId xmlns:a16="http://schemas.microsoft.com/office/drawing/2014/main" id="{1DAAA179-4B17-FB5A-6763-0184F9F4052F}"/>
            </a:ext>
          </a:extLst>
        </xdr:cNvPr>
        <xdr:cNvCxnSpPr/>
      </xdr:nvCxnSpPr>
      <xdr:spPr>
        <a:xfrm flipV="1">
          <a:off x="2119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9</xdr:col>
      <xdr:colOff>211931</xdr:colOff>
      <xdr:row>9</xdr:row>
      <xdr:rowOff>178593</xdr:rowOff>
    </xdr:to>
    <xdr:cxnSp macro="">
      <xdr:nvCxnSpPr>
        <xdr:cNvPr id="2407" name="Match9">
          <a:extLst>
            <a:ext uri="{FF2B5EF4-FFF2-40B4-BE49-F238E27FC236}">
              <a16:creationId xmlns:a16="http://schemas.microsoft.com/office/drawing/2014/main" id="{36B5964A-C62B-8ADE-AAE7-1D1932AD1E5F}"/>
            </a:ext>
          </a:extLst>
        </xdr:cNvPr>
        <xdr:cNvCxnSpPr/>
      </xdr:nvCxnSpPr>
      <xdr:spPr>
        <a:xfrm flipH="1" flipV="1">
          <a:off x="360283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9</xdr:row>
      <xdr:rowOff>178593</xdr:rowOff>
    </xdr:from>
    <xdr:to>
      <xdr:col>11</xdr:col>
      <xdr:colOff>211931</xdr:colOff>
      <xdr:row>10</xdr:row>
      <xdr:rowOff>178594</xdr:rowOff>
    </xdr:to>
    <xdr:cxnSp macro="">
      <xdr:nvCxnSpPr>
        <xdr:cNvPr id="2408" name="Match10">
          <a:extLst>
            <a:ext uri="{FF2B5EF4-FFF2-40B4-BE49-F238E27FC236}">
              <a16:creationId xmlns:a16="http://schemas.microsoft.com/office/drawing/2014/main" id="{F1BDC398-DB93-4DD3-3E78-E088F8774755}"/>
            </a:ext>
          </a:extLst>
        </xdr:cNvPr>
        <xdr:cNvCxnSpPr/>
      </xdr:nvCxnSpPr>
      <xdr:spPr>
        <a:xfrm>
          <a:off x="4874419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2409" name="Match11">
          <a:extLst>
            <a:ext uri="{FF2B5EF4-FFF2-40B4-BE49-F238E27FC236}">
              <a16:creationId xmlns:a16="http://schemas.microsoft.com/office/drawing/2014/main" id="{341ADD75-C010-EA37-21C8-42DFF9F182A0}"/>
            </a:ext>
          </a:extLst>
        </xdr:cNvPr>
        <xdr:cNvCxnSpPr/>
      </xdr:nvCxnSpPr>
      <xdr:spPr>
        <a:xfrm flipV="1">
          <a:off x="44505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6</xdr:col>
      <xdr:colOff>211931</xdr:colOff>
      <xdr:row>6</xdr:row>
      <xdr:rowOff>178594</xdr:rowOff>
    </xdr:to>
    <xdr:cxnSp macro="">
      <xdr:nvCxnSpPr>
        <xdr:cNvPr id="2410" name="Match12">
          <a:extLst>
            <a:ext uri="{FF2B5EF4-FFF2-40B4-BE49-F238E27FC236}">
              <a16:creationId xmlns:a16="http://schemas.microsoft.com/office/drawing/2014/main" id="{FEE360FB-15E6-8CA7-744D-822538361289}"/>
            </a:ext>
          </a:extLst>
        </xdr:cNvPr>
        <xdr:cNvCxnSpPr/>
      </xdr:nvCxnSpPr>
      <xdr:spPr>
        <a:xfrm>
          <a:off x="1483519" y="1250156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10</xdr:col>
      <xdr:colOff>211931</xdr:colOff>
      <xdr:row>7</xdr:row>
      <xdr:rowOff>178593</xdr:rowOff>
    </xdr:to>
    <xdr:cxnSp macro="">
      <xdr:nvCxnSpPr>
        <xdr:cNvPr id="2411" name="Match13">
          <a:extLst>
            <a:ext uri="{FF2B5EF4-FFF2-40B4-BE49-F238E27FC236}">
              <a16:creationId xmlns:a16="http://schemas.microsoft.com/office/drawing/2014/main" id="{AB431711-CBE7-3BDB-0CA4-B2AAB96AC9F5}"/>
            </a:ext>
          </a:extLst>
        </xdr:cNvPr>
        <xdr:cNvCxnSpPr/>
      </xdr:nvCxnSpPr>
      <xdr:spPr>
        <a:xfrm>
          <a:off x="4450556" y="1250156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2</xdr:row>
      <xdr:rowOff>178594</xdr:rowOff>
    </xdr:from>
    <xdr:to>
      <xdr:col>11</xdr:col>
      <xdr:colOff>211931</xdr:colOff>
      <xdr:row>4</xdr:row>
      <xdr:rowOff>178594</xdr:rowOff>
    </xdr:to>
    <xdr:cxnSp macro="">
      <xdr:nvCxnSpPr>
        <xdr:cNvPr id="2412" name="Match14">
          <a:extLst>
            <a:ext uri="{FF2B5EF4-FFF2-40B4-BE49-F238E27FC236}">
              <a16:creationId xmlns:a16="http://schemas.microsoft.com/office/drawing/2014/main" id="{6EA5EAE6-2D89-3362-8090-9823D0159C04}"/>
            </a:ext>
          </a:extLst>
        </xdr:cNvPr>
        <xdr:cNvCxnSpPr/>
      </xdr:nvCxnSpPr>
      <xdr:spPr>
        <a:xfrm>
          <a:off x="4874419" y="89296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0</xdr:row>
      <xdr:rowOff>203994</xdr:rowOff>
    </xdr:from>
    <xdr:to>
      <xdr:col>11</xdr:col>
      <xdr:colOff>237331</xdr:colOff>
      <xdr:row>2</xdr:row>
      <xdr:rowOff>203994</xdr:rowOff>
    </xdr:to>
    <xdr:cxnSp macro="">
      <xdr:nvCxnSpPr>
        <xdr:cNvPr id="2413" name="Match15">
          <a:extLst>
            <a:ext uri="{FF2B5EF4-FFF2-40B4-BE49-F238E27FC236}">
              <a16:creationId xmlns:a16="http://schemas.microsoft.com/office/drawing/2014/main" id="{239A9343-CF31-A8C2-44CE-DF7021E87AE8}"/>
            </a:ext>
          </a:extLst>
        </xdr:cNvPr>
        <xdr:cNvCxnSpPr/>
      </xdr:nvCxnSpPr>
      <xdr:spPr>
        <a:xfrm flipH="1" flipV="1">
          <a:off x="4052094" y="203994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9</xdr:col>
      <xdr:colOff>211931</xdr:colOff>
      <xdr:row>5</xdr:row>
      <xdr:rowOff>178593</xdr:rowOff>
    </xdr:to>
    <xdr:cxnSp macro="">
      <xdr:nvCxnSpPr>
        <xdr:cNvPr id="2414" name="Match16">
          <a:extLst>
            <a:ext uri="{FF2B5EF4-FFF2-40B4-BE49-F238E27FC236}">
              <a16:creationId xmlns:a16="http://schemas.microsoft.com/office/drawing/2014/main" id="{E55DE1EB-360E-DE3F-B688-9477A1E45CA4}"/>
            </a:ext>
          </a:extLst>
        </xdr:cNvPr>
        <xdr:cNvCxnSpPr/>
      </xdr:nvCxnSpPr>
      <xdr:spPr>
        <a:xfrm>
          <a:off x="4026694" y="125015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2</xdr:col>
      <xdr:colOff>211931</xdr:colOff>
      <xdr:row>4</xdr:row>
      <xdr:rowOff>178594</xdr:rowOff>
    </xdr:to>
    <xdr:cxnSp macro="">
      <xdr:nvCxnSpPr>
        <xdr:cNvPr id="2415" name="Match17">
          <a:extLst>
            <a:ext uri="{FF2B5EF4-FFF2-40B4-BE49-F238E27FC236}">
              <a16:creationId xmlns:a16="http://schemas.microsoft.com/office/drawing/2014/main" id="{7AAFB79E-7097-C099-0FA0-D5BA21F531B2}"/>
            </a:ext>
          </a:extLst>
        </xdr:cNvPr>
        <xdr:cNvCxnSpPr/>
      </xdr:nvCxnSpPr>
      <xdr:spPr>
        <a:xfrm>
          <a:off x="1059656" y="89296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2</xdr:row>
      <xdr:rowOff>203994</xdr:rowOff>
    </xdr:from>
    <xdr:to>
      <xdr:col>2</xdr:col>
      <xdr:colOff>237331</xdr:colOff>
      <xdr:row>4</xdr:row>
      <xdr:rowOff>203994</xdr:rowOff>
    </xdr:to>
    <xdr:cxnSp macro="">
      <xdr:nvCxnSpPr>
        <xdr:cNvPr id="2416" name="Match18">
          <a:extLst>
            <a:ext uri="{FF2B5EF4-FFF2-40B4-BE49-F238E27FC236}">
              <a16:creationId xmlns:a16="http://schemas.microsoft.com/office/drawing/2014/main" id="{B0CD41B4-E164-2800-18C4-67BD890CD601}"/>
            </a:ext>
          </a:extLst>
        </xdr:cNvPr>
        <xdr:cNvCxnSpPr/>
      </xdr:nvCxnSpPr>
      <xdr:spPr>
        <a:xfrm flipH="1">
          <a:off x="237331" y="918369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3</xdr:col>
      <xdr:colOff>211931</xdr:colOff>
      <xdr:row>7</xdr:row>
      <xdr:rowOff>178593</xdr:rowOff>
    </xdr:to>
    <xdr:cxnSp macro="">
      <xdr:nvCxnSpPr>
        <xdr:cNvPr id="2417" name="Match19">
          <a:extLst>
            <a:ext uri="{FF2B5EF4-FFF2-40B4-BE49-F238E27FC236}">
              <a16:creationId xmlns:a16="http://schemas.microsoft.com/office/drawing/2014/main" id="{824CC33D-DBB3-FF96-FB59-D07FFF6494CE}"/>
            </a:ext>
          </a:extLst>
        </xdr:cNvPr>
        <xdr:cNvCxnSpPr/>
      </xdr:nvCxnSpPr>
      <xdr:spPr>
        <a:xfrm flipV="1">
          <a:off x="635794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5</xdr:col>
      <xdr:colOff>211931</xdr:colOff>
      <xdr:row>2</xdr:row>
      <xdr:rowOff>178594</xdr:rowOff>
    </xdr:to>
    <xdr:cxnSp macro="">
      <xdr:nvCxnSpPr>
        <xdr:cNvPr id="2418" name="Match20">
          <a:extLst>
            <a:ext uri="{FF2B5EF4-FFF2-40B4-BE49-F238E27FC236}">
              <a16:creationId xmlns:a16="http://schemas.microsoft.com/office/drawing/2014/main" id="{C71F8B41-83A6-2C62-DE30-00F18A1A38AD}"/>
            </a:ext>
          </a:extLst>
        </xdr:cNvPr>
        <xdr:cNvCxnSpPr/>
      </xdr:nvCxnSpPr>
      <xdr:spPr>
        <a:xfrm>
          <a:off x="1907381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7</xdr:col>
      <xdr:colOff>211931</xdr:colOff>
      <xdr:row>2</xdr:row>
      <xdr:rowOff>178594</xdr:rowOff>
    </xdr:to>
    <xdr:cxnSp macro="">
      <xdr:nvCxnSpPr>
        <xdr:cNvPr id="2419" name="Match21">
          <a:extLst>
            <a:ext uri="{FF2B5EF4-FFF2-40B4-BE49-F238E27FC236}">
              <a16:creationId xmlns:a16="http://schemas.microsoft.com/office/drawing/2014/main" id="{4D2751F7-8C5B-147C-D912-8595577E7673}"/>
            </a:ext>
          </a:extLst>
        </xdr:cNvPr>
        <xdr:cNvCxnSpPr/>
      </xdr:nvCxnSpPr>
      <xdr:spPr>
        <a:xfrm flipH="1">
          <a:off x="2755106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</xdr:row>
      <xdr:rowOff>203993</xdr:rowOff>
    </xdr:from>
    <xdr:to>
      <xdr:col>7</xdr:col>
      <xdr:colOff>237331</xdr:colOff>
      <xdr:row>2</xdr:row>
      <xdr:rowOff>203994</xdr:rowOff>
    </xdr:to>
    <xdr:cxnSp macro="">
      <xdr:nvCxnSpPr>
        <xdr:cNvPr id="2420" name="Match22">
          <a:extLst>
            <a:ext uri="{FF2B5EF4-FFF2-40B4-BE49-F238E27FC236}">
              <a16:creationId xmlns:a16="http://schemas.microsoft.com/office/drawing/2014/main" id="{EBF80E73-1156-95B2-1A1C-A9E27C817A44}"/>
            </a:ext>
          </a:extLst>
        </xdr:cNvPr>
        <xdr:cNvCxnSpPr/>
      </xdr:nvCxnSpPr>
      <xdr:spPr>
        <a:xfrm flipV="1">
          <a:off x="3204369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2</xdr:col>
      <xdr:colOff>211931</xdr:colOff>
      <xdr:row>4</xdr:row>
      <xdr:rowOff>178594</xdr:rowOff>
    </xdr:to>
    <xdr:cxnSp macro="">
      <xdr:nvCxnSpPr>
        <xdr:cNvPr id="2421" name="Match23">
          <a:extLst>
            <a:ext uri="{FF2B5EF4-FFF2-40B4-BE49-F238E27FC236}">
              <a16:creationId xmlns:a16="http://schemas.microsoft.com/office/drawing/2014/main" id="{FD914278-8EA8-ACC6-603C-2EB574247831}"/>
            </a:ext>
          </a:extLst>
        </xdr:cNvPr>
        <xdr:cNvCxnSpPr/>
      </xdr:nvCxnSpPr>
      <xdr:spPr>
        <a:xfrm>
          <a:off x="635794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4</xdr:row>
      <xdr:rowOff>203994</xdr:rowOff>
    </xdr:from>
    <xdr:to>
      <xdr:col>1</xdr:col>
      <xdr:colOff>237331</xdr:colOff>
      <xdr:row>4</xdr:row>
      <xdr:rowOff>203994</xdr:rowOff>
    </xdr:to>
    <xdr:cxnSp macro="">
      <xdr:nvCxnSpPr>
        <xdr:cNvPr id="2422" name="Match24">
          <a:extLst>
            <a:ext uri="{FF2B5EF4-FFF2-40B4-BE49-F238E27FC236}">
              <a16:creationId xmlns:a16="http://schemas.microsoft.com/office/drawing/2014/main" id="{355CF290-F015-B091-CAA3-45877763E666}"/>
            </a:ext>
          </a:extLst>
        </xdr:cNvPr>
        <xdr:cNvCxnSpPr/>
      </xdr:nvCxnSpPr>
      <xdr:spPr>
        <a:xfrm flipH="1">
          <a:off x="237331" y="163274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3</xdr:row>
      <xdr:rowOff>229393</xdr:rowOff>
    </xdr:from>
    <xdr:to>
      <xdr:col>1</xdr:col>
      <xdr:colOff>262731</xdr:colOff>
      <xdr:row>4</xdr:row>
      <xdr:rowOff>229394</xdr:rowOff>
    </xdr:to>
    <xdr:cxnSp macro="">
      <xdr:nvCxnSpPr>
        <xdr:cNvPr id="2423" name="Match25">
          <a:extLst>
            <a:ext uri="{FF2B5EF4-FFF2-40B4-BE49-F238E27FC236}">
              <a16:creationId xmlns:a16="http://schemas.microsoft.com/office/drawing/2014/main" id="{8E291FF7-274C-CAFB-F5DF-8C36DCF24EE5}"/>
            </a:ext>
          </a:extLst>
        </xdr:cNvPr>
        <xdr:cNvCxnSpPr/>
      </xdr:nvCxnSpPr>
      <xdr:spPr>
        <a:xfrm flipH="1" flipV="1">
          <a:off x="262731" y="1300956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8</xdr:col>
      <xdr:colOff>211931</xdr:colOff>
      <xdr:row>4</xdr:row>
      <xdr:rowOff>178594</xdr:rowOff>
    </xdr:to>
    <xdr:cxnSp macro="">
      <xdr:nvCxnSpPr>
        <xdr:cNvPr id="2424" name="Match26">
          <a:extLst>
            <a:ext uri="{FF2B5EF4-FFF2-40B4-BE49-F238E27FC236}">
              <a16:creationId xmlns:a16="http://schemas.microsoft.com/office/drawing/2014/main" id="{A30AA364-2E04-F307-489D-73D431FB7E0B}"/>
            </a:ext>
          </a:extLst>
        </xdr:cNvPr>
        <xdr:cNvCxnSpPr/>
      </xdr:nvCxnSpPr>
      <xdr:spPr>
        <a:xfrm>
          <a:off x="3178969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9</xdr:col>
      <xdr:colOff>211931</xdr:colOff>
      <xdr:row>4</xdr:row>
      <xdr:rowOff>178594</xdr:rowOff>
    </xdr:to>
    <xdr:cxnSp macro="">
      <xdr:nvCxnSpPr>
        <xdr:cNvPr id="2425" name="Match27">
          <a:extLst>
            <a:ext uri="{FF2B5EF4-FFF2-40B4-BE49-F238E27FC236}">
              <a16:creationId xmlns:a16="http://schemas.microsoft.com/office/drawing/2014/main" id="{A1308A5F-DE31-1BA3-2EDA-99F072C58A1F}"/>
            </a:ext>
          </a:extLst>
        </xdr:cNvPr>
        <xdr:cNvCxnSpPr/>
      </xdr:nvCxnSpPr>
      <xdr:spPr>
        <a:xfrm flipH="1">
          <a:off x="3602831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6</xdr:row>
      <xdr:rowOff>178594</xdr:rowOff>
    </xdr:to>
    <xdr:cxnSp macro="">
      <xdr:nvCxnSpPr>
        <xdr:cNvPr id="2426" name="Match28">
          <a:extLst>
            <a:ext uri="{FF2B5EF4-FFF2-40B4-BE49-F238E27FC236}">
              <a16:creationId xmlns:a16="http://schemas.microsoft.com/office/drawing/2014/main" id="{2228838C-7B8D-16EA-F0B6-C4137AC61E40}"/>
            </a:ext>
          </a:extLst>
        </xdr:cNvPr>
        <xdr:cNvCxnSpPr/>
      </xdr:nvCxnSpPr>
      <xdr:spPr>
        <a:xfrm flipH="1">
          <a:off x="4026694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5</xdr:col>
      <xdr:colOff>211931</xdr:colOff>
      <xdr:row>7</xdr:row>
      <xdr:rowOff>178593</xdr:rowOff>
    </xdr:to>
    <xdr:cxnSp macro="">
      <xdr:nvCxnSpPr>
        <xdr:cNvPr id="2427" name="Match29">
          <a:extLst>
            <a:ext uri="{FF2B5EF4-FFF2-40B4-BE49-F238E27FC236}">
              <a16:creationId xmlns:a16="http://schemas.microsoft.com/office/drawing/2014/main" id="{8969D082-C94C-6612-A373-0BB0081FBD98}"/>
            </a:ext>
          </a:extLst>
        </xdr:cNvPr>
        <xdr:cNvCxnSpPr/>
      </xdr:nvCxnSpPr>
      <xdr:spPr>
        <a:xfrm flipH="1">
          <a:off x="1907381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6</xdr:row>
      <xdr:rowOff>203994</xdr:rowOff>
    </xdr:from>
    <xdr:to>
      <xdr:col>5</xdr:col>
      <xdr:colOff>237331</xdr:colOff>
      <xdr:row>7</xdr:row>
      <xdr:rowOff>203993</xdr:rowOff>
    </xdr:to>
    <xdr:cxnSp macro="">
      <xdr:nvCxnSpPr>
        <xdr:cNvPr id="2428" name="Match30">
          <a:extLst>
            <a:ext uri="{FF2B5EF4-FFF2-40B4-BE49-F238E27FC236}">
              <a16:creationId xmlns:a16="http://schemas.microsoft.com/office/drawing/2014/main" id="{0F3BB5DB-9912-B6F0-2233-812134354817}"/>
            </a:ext>
          </a:extLst>
        </xdr:cNvPr>
        <xdr:cNvCxnSpPr/>
      </xdr:nvCxnSpPr>
      <xdr:spPr>
        <a:xfrm flipV="1">
          <a:off x="2356644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2429" name="Match31">
          <a:extLst>
            <a:ext uri="{FF2B5EF4-FFF2-40B4-BE49-F238E27FC236}">
              <a16:creationId xmlns:a16="http://schemas.microsoft.com/office/drawing/2014/main" id="{B0F213CB-678B-077A-27E4-919A04B76FFF}"/>
            </a:ext>
          </a:extLst>
        </xdr:cNvPr>
        <xdr:cNvCxnSpPr/>
      </xdr:nvCxnSpPr>
      <xdr:spPr>
        <a:xfrm flipV="1">
          <a:off x="4026694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4</xdr:col>
      <xdr:colOff>211931</xdr:colOff>
      <xdr:row>8</xdr:row>
      <xdr:rowOff>178594</xdr:rowOff>
    </xdr:to>
    <xdr:cxnSp macro="">
      <xdr:nvCxnSpPr>
        <xdr:cNvPr id="2430" name="Match32">
          <a:extLst>
            <a:ext uri="{FF2B5EF4-FFF2-40B4-BE49-F238E27FC236}">
              <a16:creationId xmlns:a16="http://schemas.microsoft.com/office/drawing/2014/main" id="{011E296A-7815-4901-9D07-24DB38419497}"/>
            </a:ext>
          </a:extLst>
        </xdr:cNvPr>
        <xdr:cNvCxnSpPr/>
      </xdr:nvCxnSpPr>
      <xdr:spPr>
        <a:xfrm flipV="1">
          <a:off x="1483519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2431" name="Match33">
          <a:extLst>
            <a:ext uri="{FF2B5EF4-FFF2-40B4-BE49-F238E27FC236}">
              <a16:creationId xmlns:a16="http://schemas.microsoft.com/office/drawing/2014/main" id="{3578266B-AB4C-450F-8A2D-2B61C3EC5DD8}"/>
            </a:ext>
          </a:extLst>
        </xdr:cNvPr>
        <xdr:cNvCxnSpPr/>
      </xdr:nvCxnSpPr>
      <xdr:spPr>
        <a:xfrm>
          <a:off x="44505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11</xdr:row>
      <xdr:rowOff>178593</xdr:rowOff>
    </xdr:to>
    <xdr:cxnSp macro="">
      <xdr:nvCxnSpPr>
        <xdr:cNvPr id="2432" name="Match34">
          <a:extLst>
            <a:ext uri="{FF2B5EF4-FFF2-40B4-BE49-F238E27FC236}">
              <a16:creationId xmlns:a16="http://schemas.microsoft.com/office/drawing/2014/main" id="{61E8DACE-BD49-A051-9C73-F1B341874F30}"/>
            </a:ext>
          </a:extLst>
        </xdr:cNvPr>
        <xdr:cNvCxnSpPr/>
      </xdr:nvCxnSpPr>
      <xdr:spPr>
        <a:xfrm flipH="1" flipV="1">
          <a:off x="36028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0</xdr:row>
      <xdr:rowOff>178594</xdr:rowOff>
    </xdr:to>
    <xdr:cxnSp macro="">
      <xdr:nvCxnSpPr>
        <xdr:cNvPr id="2433" name="Match35">
          <a:extLst>
            <a:ext uri="{FF2B5EF4-FFF2-40B4-BE49-F238E27FC236}">
              <a16:creationId xmlns:a16="http://schemas.microsoft.com/office/drawing/2014/main" id="{CBBA932C-B903-F205-C6C1-81374D2F9F1C}"/>
            </a:ext>
          </a:extLst>
        </xdr:cNvPr>
        <xdr:cNvCxnSpPr/>
      </xdr:nvCxnSpPr>
      <xdr:spPr>
        <a:xfrm>
          <a:off x="190738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0</xdr:row>
      <xdr:rowOff>178594</xdr:rowOff>
    </xdr:to>
    <xdr:cxnSp macro="">
      <xdr:nvCxnSpPr>
        <xdr:cNvPr id="2434" name="Match36">
          <a:extLst>
            <a:ext uri="{FF2B5EF4-FFF2-40B4-BE49-F238E27FC236}">
              <a16:creationId xmlns:a16="http://schemas.microsoft.com/office/drawing/2014/main" id="{3DF37513-ABAE-266A-4D82-3A2AA6D50DB3}"/>
            </a:ext>
          </a:extLst>
        </xdr:cNvPr>
        <xdr:cNvCxnSpPr/>
      </xdr:nvCxnSpPr>
      <xdr:spPr>
        <a:xfrm flipH="1">
          <a:off x="1907381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7</xdr:col>
      <xdr:colOff>211931</xdr:colOff>
      <xdr:row>1</xdr:row>
      <xdr:rowOff>178593</xdr:rowOff>
    </xdr:to>
    <xdr:cxnSp macro="">
      <xdr:nvCxnSpPr>
        <xdr:cNvPr id="2435" name="Match37">
          <a:extLst>
            <a:ext uri="{FF2B5EF4-FFF2-40B4-BE49-F238E27FC236}">
              <a16:creationId xmlns:a16="http://schemas.microsoft.com/office/drawing/2014/main" id="{9FAAE08B-4628-D130-009D-228D757B5116}"/>
            </a:ext>
          </a:extLst>
        </xdr:cNvPr>
        <xdr:cNvCxnSpPr/>
      </xdr:nvCxnSpPr>
      <xdr:spPr>
        <a:xfrm>
          <a:off x="3178969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7</xdr:col>
      <xdr:colOff>211931</xdr:colOff>
      <xdr:row>2</xdr:row>
      <xdr:rowOff>178594</xdr:rowOff>
    </xdr:to>
    <xdr:cxnSp macro="">
      <xdr:nvCxnSpPr>
        <xdr:cNvPr id="2436" name="Match38">
          <a:extLst>
            <a:ext uri="{FF2B5EF4-FFF2-40B4-BE49-F238E27FC236}">
              <a16:creationId xmlns:a16="http://schemas.microsoft.com/office/drawing/2014/main" id="{F41F915F-E0A6-7F6C-1EDF-D6FCF94AB592}"/>
            </a:ext>
          </a:extLst>
        </xdr:cNvPr>
        <xdr:cNvCxnSpPr/>
      </xdr:nvCxnSpPr>
      <xdr:spPr>
        <a:xfrm flipH="1">
          <a:off x="275510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0</xdr:row>
      <xdr:rowOff>203994</xdr:rowOff>
    </xdr:from>
    <xdr:to>
      <xdr:col>7</xdr:col>
      <xdr:colOff>237331</xdr:colOff>
      <xdr:row>1</xdr:row>
      <xdr:rowOff>203993</xdr:rowOff>
    </xdr:to>
    <xdr:cxnSp macro="">
      <xdr:nvCxnSpPr>
        <xdr:cNvPr id="2437" name="Match39">
          <a:extLst>
            <a:ext uri="{FF2B5EF4-FFF2-40B4-BE49-F238E27FC236}">
              <a16:creationId xmlns:a16="http://schemas.microsoft.com/office/drawing/2014/main" id="{51B54E7C-0FEB-F6D5-9BCF-09A8DDB8AFA0}"/>
            </a:ext>
          </a:extLst>
        </xdr:cNvPr>
        <xdr:cNvCxnSpPr/>
      </xdr:nvCxnSpPr>
      <xdr:spPr>
        <a:xfrm flipV="1">
          <a:off x="3204369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6</xdr:col>
      <xdr:colOff>211931</xdr:colOff>
      <xdr:row>2</xdr:row>
      <xdr:rowOff>178594</xdr:rowOff>
    </xdr:to>
    <xdr:cxnSp macro="">
      <xdr:nvCxnSpPr>
        <xdr:cNvPr id="2438" name="Match40">
          <a:extLst>
            <a:ext uri="{FF2B5EF4-FFF2-40B4-BE49-F238E27FC236}">
              <a16:creationId xmlns:a16="http://schemas.microsoft.com/office/drawing/2014/main" id="{5DBB7DA1-F289-EAC9-894A-415B7794D34F}"/>
            </a:ext>
          </a:extLst>
        </xdr:cNvPr>
        <xdr:cNvCxnSpPr/>
      </xdr:nvCxnSpPr>
      <xdr:spPr>
        <a:xfrm>
          <a:off x="233124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6</xdr:col>
      <xdr:colOff>211931</xdr:colOff>
      <xdr:row>2</xdr:row>
      <xdr:rowOff>178594</xdr:rowOff>
    </xdr:to>
    <xdr:cxnSp macro="">
      <xdr:nvCxnSpPr>
        <xdr:cNvPr id="2439" name="Match41">
          <a:extLst>
            <a:ext uri="{FF2B5EF4-FFF2-40B4-BE49-F238E27FC236}">
              <a16:creationId xmlns:a16="http://schemas.microsoft.com/office/drawing/2014/main" id="{0CE1C7F0-4865-A15A-A224-BD514DD554A7}"/>
            </a:ext>
          </a:extLst>
        </xdr:cNvPr>
        <xdr:cNvCxnSpPr/>
      </xdr:nvCxnSpPr>
      <xdr:spPr>
        <a:xfrm flipH="1">
          <a:off x="233124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</xdr:row>
      <xdr:rowOff>203993</xdr:rowOff>
    </xdr:from>
    <xdr:to>
      <xdr:col>7</xdr:col>
      <xdr:colOff>237331</xdr:colOff>
      <xdr:row>2</xdr:row>
      <xdr:rowOff>203994</xdr:rowOff>
    </xdr:to>
    <xdr:cxnSp macro="">
      <xdr:nvCxnSpPr>
        <xdr:cNvPr id="2440" name="Match42">
          <a:extLst>
            <a:ext uri="{FF2B5EF4-FFF2-40B4-BE49-F238E27FC236}">
              <a16:creationId xmlns:a16="http://schemas.microsoft.com/office/drawing/2014/main" id="{CFDD205E-5B5C-7050-68DD-E596EB908781}"/>
            </a:ext>
          </a:extLst>
        </xdr:cNvPr>
        <xdr:cNvCxnSpPr/>
      </xdr:nvCxnSpPr>
      <xdr:spPr>
        <a:xfrm flipV="1">
          <a:off x="278050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0</xdr:col>
      <xdr:colOff>211931</xdr:colOff>
      <xdr:row>4</xdr:row>
      <xdr:rowOff>178594</xdr:rowOff>
    </xdr:to>
    <xdr:cxnSp macro="">
      <xdr:nvCxnSpPr>
        <xdr:cNvPr id="2441" name="Match43">
          <a:extLst>
            <a:ext uri="{FF2B5EF4-FFF2-40B4-BE49-F238E27FC236}">
              <a16:creationId xmlns:a16="http://schemas.microsoft.com/office/drawing/2014/main" id="{A4364A02-555C-B956-B0A1-8633503A59D8}"/>
            </a:ext>
          </a:extLst>
        </xdr:cNvPr>
        <xdr:cNvCxnSpPr/>
      </xdr:nvCxnSpPr>
      <xdr:spPr>
        <a:xfrm>
          <a:off x="211931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0</xdr:col>
      <xdr:colOff>211931</xdr:colOff>
      <xdr:row>4</xdr:row>
      <xdr:rowOff>178594</xdr:rowOff>
    </xdr:to>
    <xdr:cxnSp macro="">
      <xdr:nvCxnSpPr>
        <xdr:cNvPr id="2442" name="Match44">
          <a:extLst>
            <a:ext uri="{FF2B5EF4-FFF2-40B4-BE49-F238E27FC236}">
              <a16:creationId xmlns:a16="http://schemas.microsoft.com/office/drawing/2014/main" id="{D9C4EAAF-C9BB-F064-3E44-8768C135412B}"/>
            </a:ext>
          </a:extLst>
        </xdr:cNvPr>
        <xdr:cNvCxnSpPr/>
      </xdr:nvCxnSpPr>
      <xdr:spPr>
        <a:xfrm flipV="1">
          <a:off x="211931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4</xdr:row>
      <xdr:rowOff>178594</xdr:rowOff>
    </xdr:from>
    <xdr:to>
      <xdr:col>3</xdr:col>
      <xdr:colOff>211931</xdr:colOff>
      <xdr:row>5</xdr:row>
      <xdr:rowOff>178593</xdr:rowOff>
    </xdr:to>
    <xdr:cxnSp macro="">
      <xdr:nvCxnSpPr>
        <xdr:cNvPr id="2443" name="Match45">
          <a:extLst>
            <a:ext uri="{FF2B5EF4-FFF2-40B4-BE49-F238E27FC236}">
              <a16:creationId xmlns:a16="http://schemas.microsoft.com/office/drawing/2014/main" id="{83424296-DEAB-F0E9-176F-F918CD821110}"/>
            </a:ext>
          </a:extLst>
        </xdr:cNvPr>
        <xdr:cNvCxnSpPr/>
      </xdr:nvCxnSpPr>
      <xdr:spPr>
        <a:xfrm>
          <a:off x="10596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3</xdr:col>
      <xdr:colOff>211931</xdr:colOff>
      <xdr:row>6</xdr:row>
      <xdr:rowOff>178594</xdr:rowOff>
    </xdr:to>
    <xdr:cxnSp macro="">
      <xdr:nvCxnSpPr>
        <xdr:cNvPr id="2444" name="Match46">
          <a:extLst>
            <a:ext uri="{FF2B5EF4-FFF2-40B4-BE49-F238E27FC236}">
              <a16:creationId xmlns:a16="http://schemas.microsoft.com/office/drawing/2014/main" id="{34C94BE5-8B35-A36C-5FB6-A699E0C22329}"/>
            </a:ext>
          </a:extLst>
        </xdr:cNvPr>
        <xdr:cNvCxnSpPr/>
      </xdr:nvCxnSpPr>
      <xdr:spPr>
        <a:xfrm>
          <a:off x="1483519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4</xdr:row>
      <xdr:rowOff>203994</xdr:rowOff>
    </xdr:from>
    <xdr:to>
      <xdr:col>3</xdr:col>
      <xdr:colOff>237331</xdr:colOff>
      <xdr:row>5</xdr:row>
      <xdr:rowOff>203993</xdr:rowOff>
    </xdr:to>
    <xdr:cxnSp macro="">
      <xdr:nvCxnSpPr>
        <xdr:cNvPr id="2445" name="Match47">
          <a:extLst>
            <a:ext uri="{FF2B5EF4-FFF2-40B4-BE49-F238E27FC236}">
              <a16:creationId xmlns:a16="http://schemas.microsoft.com/office/drawing/2014/main" id="{92B608E7-45D1-DBB1-592B-D5DDEFEAD537}"/>
            </a:ext>
          </a:extLst>
        </xdr:cNvPr>
        <xdr:cNvCxnSpPr/>
      </xdr:nvCxnSpPr>
      <xdr:spPr>
        <a:xfrm flipH="1" flipV="1">
          <a:off x="1085056" y="163274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2446" name="Match48">
          <a:extLst>
            <a:ext uri="{FF2B5EF4-FFF2-40B4-BE49-F238E27FC236}">
              <a16:creationId xmlns:a16="http://schemas.microsoft.com/office/drawing/2014/main" id="{ACBDC1DE-92DB-9B06-D68E-DB826A31B3AA}"/>
            </a:ext>
          </a:extLst>
        </xdr:cNvPr>
        <xdr:cNvCxnSpPr/>
      </xdr:nvCxnSpPr>
      <xdr:spPr>
        <a:xfrm>
          <a:off x="148351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5</xdr:row>
      <xdr:rowOff>203993</xdr:rowOff>
    </xdr:from>
    <xdr:to>
      <xdr:col>3</xdr:col>
      <xdr:colOff>237331</xdr:colOff>
      <xdr:row>6</xdr:row>
      <xdr:rowOff>203994</xdr:rowOff>
    </xdr:to>
    <xdr:cxnSp macro="">
      <xdr:nvCxnSpPr>
        <xdr:cNvPr id="2447" name="Match49">
          <a:extLst>
            <a:ext uri="{FF2B5EF4-FFF2-40B4-BE49-F238E27FC236}">
              <a16:creationId xmlns:a16="http://schemas.microsoft.com/office/drawing/2014/main" id="{7FEDC68F-7BF0-3BCB-6BDF-EDA9E807195C}"/>
            </a:ext>
          </a:extLst>
        </xdr:cNvPr>
        <xdr:cNvCxnSpPr/>
      </xdr:nvCxnSpPr>
      <xdr:spPr>
        <a:xfrm flipV="1">
          <a:off x="1508919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5</xdr:col>
      <xdr:colOff>211931</xdr:colOff>
      <xdr:row>7</xdr:row>
      <xdr:rowOff>178593</xdr:rowOff>
    </xdr:to>
    <xdr:cxnSp macro="">
      <xdr:nvCxnSpPr>
        <xdr:cNvPr id="2448" name="Match50">
          <a:extLst>
            <a:ext uri="{FF2B5EF4-FFF2-40B4-BE49-F238E27FC236}">
              <a16:creationId xmlns:a16="http://schemas.microsoft.com/office/drawing/2014/main" id="{BC124CC9-EF82-49F2-580B-50AFF2FEC3E0}"/>
            </a:ext>
          </a:extLst>
        </xdr:cNvPr>
        <xdr:cNvCxnSpPr/>
      </xdr:nvCxnSpPr>
      <xdr:spPr>
        <a:xfrm flipH="1">
          <a:off x="190738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2449" name="Match51">
          <a:extLst>
            <a:ext uri="{FF2B5EF4-FFF2-40B4-BE49-F238E27FC236}">
              <a16:creationId xmlns:a16="http://schemas.microsoft.com/office/drawing/2014/main" id="{FD7A0832-C4B9-59E0-F0C8-2A44AD7A1278}"/>
            </a:ext>
          </a:extLst>
        </xdr:cNvPr>
        <xdr:cNvCxnSpPr/>
      </xdr:nvCxnSpPr>
      <xdr:spPr>
        <a:xfrm flipH="1" flipV="1">
          <a:off x="148351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6</xdr:row>
      <xdr:rowOff>203994</xdr:rowOff>
    </xdr:from>
    <xdr:to>
      <xdr:col>5</xdr:col>
      <xdr:colOff>237331</xdr:colOff>
      <xdr:row>7</xdr:row>
      <xdr:rowOff>203993</xdr:rowOff>
    </xdr:to>
    <xdr:cxnSp macro="">
      <xdr:nvCxnSpPr>
        <xdr:cNvPr id="2450" name="Match52">
          <a:extLst>
            <a:ext uri="{FF2B5EF4-FFF2-40B4-BE49-F238E27FC236}">
              <a16:creationId xmlns:a16="http://schemas.microsoft.com/office/drawing/2014/main" id="{3C45B64B-EA1D-6FCA-0A0E-494B6C19FBD2}"/>
            </a:ext>
          </a:extLst>
        </xdr:cNvPr>
        <xdr:cNvCxnSpPr/>
      </xdr:nvCxnSpPr>
      <xdr:spPr>
        <a:xfrm flipV="1">
          <a:off x="1932781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8</xdr:row>
      <xdr:rowOff>178594</xdr:rowOff>
    </xdr:from>
    <xdr:to>
      <xdr:col>7</xdr:col>
      <xdr:colOff>211931</xdr:colOff>
      <xdr:row>9</xdr:row>
      <xdr:rowOff>178593</xdr:rowOff>
    </xdr:to>
    <xdr:cxnSp macro="">
      <xdr:nvCxnSpPr>
        <xdr:cNvPr id="2451" name="Match53">
          <a:extLst>
            <a:ext uri="{FF2B5EF4-FFF2-40B4-BE49-F238E27FC236}">
              <a16:creationId xmlns:a16="http://schemas.microsoft.com/office/drawing/2014/main" id="{7A2966F5-BBE3-B24F-41F5-2C0EBCF1EAE2}"/>
            </a:ext>
          </a:extLst>
        </xdr:cNvPr>
        <xdr:cNvCxnSpPr/>
      </xdr:nvCxnSpPr>
      <xdr:spPr>
        <a:xfrm>
          <a:off x="3178969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8</xdr:col>
      <xdr:colOff>211931</xdr:colOff>
      <xdr:row>10</xdr:row>
      <xdr:rowOff>178594</xdr:rowOff>
    </xdr:to>
    <xdr:cxnSp macro="">
      <xdr:nvCxnSpPr>
        <xdr:cNvPr id="2452" name="Match54">
          <a:extLst>
            <a:ext uri="{FF2B5EF4-FFF2-40B4-BE49-F238E27FC236}">
              <a16:creationId xmlns:a16="http://schemas.microsoft.com/office/drawing/2014/main" id="{D62EE16F-2EDB-39D8-1E10-75696143C47D}"/>
            </a:ext>
          </a:extLst>
        </xdr:cNvPr>
        <xdr:cNvCxnSpPr/>
      </xdr:nvCxnSpPr>
      <xdr:spPr>
        <a:xfrm>
          <a:off x="3178969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8</xdr:row>
      <xdr:rowOff>203994</xdr:rowOff>
    </xdr:from>
    <xdr:to>
      <xdr:col>7</xdr:col>
      <xdr:colOff>237331</xdr:colOff>
      <xdr:row>9</xdr:row>
      <xdr:rowOff>203993</xdr:rowOff>
    </xdr:to>
    <xdr:cxnSp macro="">
      <xdr:nvCxnSpPr>
        <xdr:cNvPr id="2453" name="Match55">
          <a:extLst>
            <a:ext uri="{FF2B5EF4-FFF2-40B4-BE49-F238E27FC236}">
              <a16:creationId xmlns:a16="http://schemas.microsoft.com/office/drawing/2014/main" id="{92191A70-39B0-D157-2BA4-857B5D41B80B}"/>
            </a:ext>
          </a:extLst>
        </xdr:cNvPr>
        <xdr:cNvCxnSpPr/>
      </xdr:nvCxnSpPr>
      <xdr:spPr>
        <a:xfrm flipV="1">
          <a:off x="3204369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2454" name="Match56">
          <a:extLst>
            <a:ext uri="{FF2B5EF4-FFF2-40B4-BE49-F238E27FC236}">
              <a16:creationId xmlns:a16="http://schemas.microsoft.com/office/drawing/2014/main" id="{29F73541-7DDD-6676-5439-F2FE8C0EFF7C}"/>
            </a:ext>
          </a:extLst>
        </xdr:cNvPr>
        <xdr:cNvCxnSpPr/>
      </xdr:nvCxnSpPr>
      <xdr:spPr>
        <a:xfrm flipH="1">
          <a:off x="317896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9</xdr:row>
      <xdr:rowOff>203993</xdr:rowOff>
    </xdr:from>
    <xdr:to>
      <xdr:col>8</xdr:col>
      <xdr:colOff>237331</xdr:colOff>
      <xdr:row>10</xdr:row>
      <xdr:rowOff>203994</xdr:rowOff>
    </xdr:to>
    <xdr:cxnSp macro="">
      <xdr:nvCxnSpPr>
        <xdr:cNvPr id="2455" name="Match57">
          <a:extLst>
            <a:ext uri="{FF2B5EF4-FFF2-40B4-BE49-F238E27FC236}">
              <a16:creationId xmlns:a16="http://schemas.microsoft.com/office/drawing/2014/main" id="{C478D48F-1D9F-C3BF-98F3-941909574FB4}"/>
            </a:ext>
          </a:extLst>
        </xdr:cNvPr>
        <xdr:cNvCxnSpPr/>
      </xdr:nvCxnSpPr>
      <xdr:spPr>
        <a:xfrm flipH="1" flipV="1">
          <a:off x="3204369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2456" name="Match58">
          <a:extLst>
            <a:ext uri="{FF2B5EF4-FFF2-40B4-BE49-F238E27FC236}">
              <a16:creationId xmlns:a16="http://schemas.microsoft.com/office/drawing/2014/main" id="{1D9C851B-39E0-0D30-64D6-1E5AE90335C5}"/>
            </a:ext>
          </a:extLst>
        </xdr:cNvPr>
        <xdr:cNvCxnSpPr/>
      </xdr:nvCxnSpPr>
      <xdr:spPr>
        <a:xfrm flipV="1">
          <a:off x="317896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4</xdr:row>
      <xdr:rowOff>203994</xdr:rowOff>
    </xdr:from>
    <xdr:to>
      <xdr:col>9</xdr:col>
      <xdr:colOff>237331</xdr:colOff>
      <xdr:row>10</xdr:row>
      <xdr:rowOff>203994</xdr:rowOff>
    </xdr:to>
    <xdr:cxnSp macro="">
      <xdr:nvCxnSpPr>
        <xdr:cNvPr id="2457" name="Match59">
          <a:extLst>
            <a:ext uri="{FF2B5EF4-FFF2-40B4-BE49-F238E27FC236}">
              <a16:creationId xmlns:a16="http://schemas.microsoft.com/office/drawing/2014/main" id="{AC9191E5-D2C6-D715-F8C2-DC9657A37D96}"/>
            </a:ext>
          </a:extLst>
        </xdr:cNvPr>
        <xdr:cNvCxnSpPr/>
      </xdr:nvCxnSpPr>
      <xdr:spPr>
        <a:xfrm flipH="1">
          <a:off x="1508919" y="1632744"/>
          <a:ext cx="2543175" cy="214312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2</xdr:col>
      <xdr:colOff>211931</xdr:colOff>
      <xdr:row>11</xdr:row>
      <xdr:rowOff>178593</xdr:rowOff>
    </xdr:to>
    <xdr:cxnSp macro="">
      <xdr:nvCxnSpPr>
        <xdr:cNvPr id="2458" name="Match60">
          <a:extLst>
            <a:ext uri="{FF2B5EF4-FFF2-40B4-BE49-F238E27FC236}">
              <a16:creationId xmlns:a16="http://schemas.microsoft.com/office/drawing/2014/main" id="{6DBFD94B-BB31-CEFA-8511-888E3CF22EE0}"/>
            </a:ext>
          </a:extLst>
        </xdr:cNvPr>
        <xdr:cNvCxnSpPr/>
      </xdr:nvCxnSpPr>
      <xdr:spPr>
        <a:xfrm flipV="1">
          <a:off x="1059656" y="1964531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0</xdr:col>
      <xdr:colOff>211931</xdr:colOff>
      <xdr:row>2</xdr:row>
      <xdr:rowOff>178594</xdr:rowOff>
    </xdr:to>
    <xdr:cxnSp macro="">
      <xdr:nvCxnSpPr>
        <xdr:cNvPr id="2459" name="Match61">
          <a:extLst>
            <a:ext uri="{FF2B5EF4-FFF2-40B4-BE49-F238E27FC236}">
              <a16:creationId xmlns:a16="http://schemas.microsoft.com/office/drawing/2014/main" id="{364F0C14-448B-55D9-5F75-1C99DE9F1A3A}"/>
            </a:ext>
          </a:extLst>
        </xdr:cNvPr>
        <xdr:cNvCxnSpPr/>
      </xdr:nvCxnSpPr>
      <xdr:spPr>
        <a:xfrm flipV="1">
          <a:off x="211931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3</xdr:row>
      <xdr:rowOff>203993</xdr:rowOff>
    </xdr:from>
    <xdr:to>
      <xdr:col>9</xdr:col>
      <xdr:colOff>237331</xdr:colOff>
      <xdr:row>3</xdr:row>
      <xdr:rowOff>203993</xdr:rowOff>
    </xdr:to>
    <xdr:cxnSp macro="">
      <xdr:nvCxnSpPr>
        <xdr:cNvPr id="2460" name="Match62">
          <a:extLst>
            <a:ext uri="{FF2B5EF4-FFF2-40B4-BE49-F238E27FC236}">
              <a16:creationId xmlns:a16="http://schemas.microsoft.com/office/drawing/2014/main" id="{93EB5611-C0DF-F900-78DE-79DCDE4F0AF2}"/>
            </a:ext>
          </a:extLst>
        </xdr:cNvPr>
        <xdr:cNvCxnSpPr/>
      </xdr:nvCxnSpPr>
      <xdr:spPr>
        <a:xfrm flipH="1">
          <a:off x="3628231" y="127555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9</xdr:col>
      <xdr:colOff>211931</xdr:colOff>
      <xdr:row>9</xdr:row>
      <xdr:rowOff>178593</xdr:rowOff>
    </xdr:to>
    <xdr:cxnSp macro="">
      <xdr:nvCxnSpPr>
        <xdr:cNvPr id="2461" name="Match63">
          <a:extLst>
            <a:ext uri="{FF2B5EF4-FFF2-40B4-BE49-F238E27FC236}">
              <a16:creationId xmlns:a16="http://schemas.microsoft.com/office/drawing/2014/main" id="{6C98EAAA-F371-5D43-B56D-46A29DED9F5C}"/>
            </a:ext>
          </a:extLst>
        </xdr:cNvPr>
        <xdr:cNvCxnSpPr/>
      </xdr:nvCxnSpPr>
      <xdr:spPr>
        <a:xfrm>
          <a:off x="4026694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8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2462" name="Match64">
          <a:extLst>
            <a:ext uri="{FF2B5EF4-FFF2-40B4-BE49-F238E27FC236}">
              <a16:creationId xmlns:a16="http://schemas.microsoft.com/office/drawing/2014/main" id="{1332FA29-2BDE-A9BB-DBFD-5D5871643689}"/>
            </a:ext>
          </a:extLst>
        </xdr:cNvPr>
        <xdr:cNvCxnSpPr/>
      </xdr:nvCxnSpPr>
      <xdr:spPr>
        <a:xfrm>
          <a:off x="4874419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3</xdr:col>
      <xdr:colOff>211931</xdr:colOff>
      <xdr:row>9</xdr:row>
      <xdr:rowOff>178593</xdr:rowOff>
    </xdr:to>
    <xdr:cxnSp macro="">
      <xdr:nvCxnSpPr>
        <xdr:cNvPr id="2463" name="Match65">
          <a:extLst>
            <a:ext uri="{FF2B5EF4-FFF2-40B4-BE49-F238E27FC236}">
              <a16:creationId xmlns:a16="http://schemas.microsoft.com/office/drawing/2014/main" id="{136AF611-A00B-6346-5ECB-A231D01F3B31}"/>
            </a:ext>
          </a:extLst>
        </xdr:cNvPr>
        <xdr:cNvCxnSpPr/>
      </xdr:nvCxnSpPr>
      <xdr:spPr>
        <a:xfrm flipH="1">
          <a:off x="1059656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9</xdr:row>
      <xdr:rowOff>178593</xdr:rowOff>
    </xdr:to>
    <xdr:cxnSp macro="">
      <xdr:nvCxnSpPr>
        <xdr:cNvPr id="2464" name="Match66">
          <a:extLst>
            <a:ext uri="{FF2B5EF4-FFF2-40B4-BE49-F238E27FC236}">
              <a16:creationId xmlns:a16="http://schemas.microsoft.com/office/drawing/2014/main" id="{7EFDDD0E-7072-160B-D78C-6729157F9C01}"/>
            </a:ext>
          </a:extLst>
        </xdr:cNvPr>
        <xdr:cNvCxnSpPr/>
      </xdr:nvCxnSpPr>
      <xdr:spPr>
        <a:xfrm>
          <a:off x="360283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2465" name="Match67">
          <a:extLst>
            <a:ext uri="{FF2B5EF4-FFF2-40B4-BE49-F238E27FC236}">
              <a16:creationId xmlns:a16="http://schemas.microsoft.com/office/drawing/2014/main" id="{A5C766F2-7E5E-A147-AAB0-E3ECB1F69FE2}"/>
            </a:ext>
          </a:extLst>
        </xdr:cNvPr>
        <xdr:cNvCxnSpPr/>
      </xdr:nvCxnSpPr>
      <xdr:spPr>
        <a:xfrm>
          <a:off x="40266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9</xdr:row>
      <xdr:rowOff>203993</xdr:rowOff>
    </xdr:from>
    <xdr:to>
      <xdr:col>9</xdr:col>
      <xdr:colOff>237331</xdr:colOff>
      <xdr:row>10</xdr:row>
      <xdr:rowOff>203994</xdr:rowOff>
    </xdr:to>
    <xdr:cxnSp macro="">
      <xdr:nvCxnSpPr>
        <xdr:cNvPr id="2466" name="Match68">
          <a:extLst>
            <a:ext uri="{FF2B5EF4-FFF2-40B4-BE49-F238E27FC236}">
              <a16:creationId xmlns:a16="http://schemas.microsoft.com/office/drawing/2014/main" id="{78912F69-A315-88BC-D8B3-874CD5D56346}"/>
            </a:ext>
          </a:extLst>
        </xdr:cNvPr>
        <xdr:cNvCxnSpPr/>
      </xdr:nvCxnSpPr>
      <xdr:spPr>
        <a:xfrm flipV="1">
          <a:off x="4052094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3</xdr:row>
      <xdr:rowOff>203993</xdr:rowOff>
    </xdr:from>
    <xdr:to>
      <xdr:col>11</xdr:col>
      <xdr:colOff>237331</xdr:colOff>
      <xdr:row>8</xdr:row>
      <xdr:rowOff>203994</xdr:rowOff>
    </xdr:to>
    <xdr:cxnSp macro="">
      <xdr:nvCxnSpPr>
        <xdr:cNvPr id="2467" name="Match69">
          <a:extLst>
            <a:ext uri="{FF2B5EF4-FFF2-40B4-BE49-F238E27FC236}">
              <a16:creationId xmlns:a16="http://schemas.microsoft.com/office/drawing/2014/main" id="{FD13DA07-6716-BAE8-ECD1-DF865BADFA95}"/>
            </a:ext>
          </a:extLst>
        </xdr:cNvPr>
        <xdr:cNvCxnSpPr/>
      </xdr:nvCxnSpPr>
      <xdr:spPr>
        <a:xfrm flipV="1">
          <a:off x="4899819" y="1275556"/>
          <a:ext cx="0" cy="178593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9</xdr:col>
      <xdr:colOff>211931</xdr:colOff>
      <xdr:row>7</xdr:row>
      <xdr:rowOff>178593</xdr:rowOff>
    </xdr:to>
    <xdr:cxnSp macro="">
      <xdr:nvCxnSpPr>
        <xdr:cNvPr id="2468" name="Match70">
          <a:extLst>
            <a:ext uri="{FF2B5EF4-FFF2-40B4-BE49-F238E27FC236}">
              <a16:creationId xmlns:a16="http://schemas.microsoft.com/office/drawing/2014/main" id="{B5BB2565-9092-4BA3-608F-60851F7F9859}"/>
            </a:ext>
          </a:extLst>
        </xdr:cNvPr>
        <xdr:cNvCxnSpPr/>
      </xdr:nvCxnSpPr>
      <xdr:spPr>
        <a:xfrm flipV="1">
          <a:off x="3178969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6</xdr:row>
      <xdr:rowOff>178594</xdr:rowOff>
    </xdr:from>
    <xdr:to>
      <xdr:col>6</xdr:col>
      <xdr:colOff>211931</xdr:colOff>
      <xdr:row>8</xdr:row>
      <xdr:rowOff>178594</xdr:rowOff>
    </xdr:to>
    <xdr:cxnSp macro="">
      <xdr:nvCxnSpPr>
        <xdr:cNvPr id="2469" name="Match71">
          <a:extLst>
            <a:ext uri="{FF2B5EF4-FFF2-40B4-BE49-F238E27FC236}">
              <a16:creationId xmlns:a16="http://schemas.microsoft.com/office/drawing/2014/main" id="{C5316CF9-2D61-5691-8A8B-345D08B694F1}"/>
            </a:ext>
          </a:extLst>
        </xdr:cNvPr>
        <xdr:cNvCxnSpPr/>
      </xdr:nvCxnSpPr>
      <xdr:spPr>
        <a:xfrm flipV="1">
          <a:off x="2755106" y="232171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9</xdr:row>
      <xdr:rowOff>178593</xdr:rowOff>
    </xdr:from>
    <xdr:to>
      <xdr:col>5</xdr:col>
      <xdr:colOff>211931</xdr:colOff>
      <xdr:row>11</xdr:row>
      <xdr:rowOff>178593</xdr:rowOff>
    </xdr:to>
    <xdr:cxnSp macro="">
      <xdr:nvCxnSpPr>
        <xdr:cNvPr id="2470" name="Match72">
          <a:extLst>
            <a:ext uri="{FF2B5EF4-FFF2-40B4-BE49-F238E27FC236}">
              <a16:creationId xmlns:a16="http://schemas.microsoft.com/office/drawing/2014/main" id="{2BF4C654-63A1-DEBD-3678-4E1FFE5CB481}"/>
            </a:ext>
          </a:extLst>
        </xdr:cNvPr>
        <xdr:cNvCxnSpPr/>
      </xdr:nvCxnSpPr>
      <xdr:spPr>
        <a:xfrm flipH="1">
          <a:off x="1483519" y="33932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8</xdr:col>
      <xdr:colOff>211931</xdr:colOff>
      <xdr:row>1</xdr:row>
      <xdr:rowOff>178593</xdr:rowOff>
    </xdr:to>
    <xdr:cxnSp macro="">
      <xdr:nvCxnSpPr>
        <xdr:cNvPr id="2471" name="Match73">
          <a:extLst>
            <a:ext uri="{FF2B5EF4-FFF2-40B4-BE49-F238E27FC236}">
              <a16:creationId xmlns:a16="http://schemas.microsoft.com/office/drawing/2014/main" id="{5BA433CB-376C-E350-63D0-10BA296EB85A}"/>
            </a:ext>
          </a:extLst>
        </xdr:cNvPr>
        <xdr:cNvCxnSpPr/>
      </xdr:nvCxnSpPr>
      <xdr:spPr>
        <a:xfrm>
          <a:off x="1907381" y="53578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51DCA98-0304-32FF-C63F-4D9BA0DB12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I2" sqref="I2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4</v>
      </c>
      <c r="B1" s="27">
        <v>3</v>
      </c>
      <c r="C1" s="27">
        <v>3</v>
      </c>
      <c r="D1" s="27">
        <v>4</v>
      </c>
      <c r="E1" s="23">
        <v>1</v>
      </c>
      <c r="F1" s="23">
        <v>1</v>
      </c>
      <c r="G1" s="27">
        <v>7</v>
      </c>
      <c r="H1" s="23">
        <v>1</v>
      </c>
      <c r="I1" s="27">
        <v>7</v>
      </c>
      <c r="J1" s="23">
        <v>9</v>
      </c>
      <c r="K1" s="27">
        <v>5</v>
      </c>
      <c r="L1" s="27">
        <v>8</v>
      </c>
      <c r="N1" s="2">
        <v>25868</v>
      </c>
      <c r="O1" s="1">
        <v>1</v>
      </c>
    </row>
    <row r="2" spans="1:15" s="2" customFormat="1" ht="28.25" customHeight="1">
      <c r="A2" s="23">
        <v>4</v>
      </c>
      <c r="B2" s="22">
        <v>8</v>
      </c>
      <c r="C2" s="27">
        <v>3</v>
      </c>
      <c r="D2" s="27">
        <v>3</v>
      </c>
      <c r="E2" s="22">
        <v>4</v>
      </c>
      <c r="F2" s="22">
        <v>6</v>
      </c>
      <c r="G2" s="22">
        <v>9</v>
      </c>
      <c r="H2" s="22">
        <v>1</v>
      </c>
      <c r="I2" s="22">
        <v>2</v>
      </c>
      <c r="J2" s="27">
        <v>9</v>
      </c>
      <c r="K2" s="23">
        <v>5</v>
      </c>
      <c r="L2" s="27">
        <v>2</v>
      </c>
      <c r="N2" s="2">
        <v>4543</v>
      </c>
      <c r="O2" s="2">
        <v>1</v>
      </c>
    </row>
    <row r="3" spans="1:15" ht="28.25" customHeight="1">
      <c r="A3" s="23">
        <v>7</v>
      </c>
      <c r="B3" s="22">
        <v>6</v>
      </c>
      <c r="C3" s="22">
        <v>9</v>
      </c>
      <c r="D3" s="27">
        <v>6</v>
      </c>
      <c r="E3" s="23">
        <v>5</v>
      </c>
      <c r="F3" s="23">
        <v>1</v>
      </c>
      <c r="G3" s="23">
        <v>1</v>
      </c>
      <c r="H3" s="23">
        <v>5</v>
      </c>
      <c r="I3" s="23">
        <v>2</v>
      </c>
      <c r="J3" s="22">
        <v>3</v>
      </c>
      <c r="K3" s="27">
        <v>2</v>
      </c>
      <c r="L3" s="22">
        <v>7</v>
      </c>
      <c r="N3" s="2">
        <v>42</v>
      </c>
      <c r="O3" s="1">
        <v>10</v>
      </c>
    </row>
    <row r="4" spans="1:15" ht="28.25" customHeight="1">
      <c r="A4" s="22">
        <v>1</v>
      </c>
      <c r="B4" s="22">
        <v>8</v>
      </c>
      <c r="C4" s="22">
        <v>8</v>
      </c>
      <c r="D4" s="22">
        <v>8</v>
      </c>
      <c r="E4" s="27">
        <v>9</v>
      </c>
      <c r="F4" s="23">
        <v>2</v>
      </c>
      <c r="G4" s="23">
        <v>4</v>
      </c>
      <c r="H4" s="27">
        <v>8</v>
      </c>
      <c r="I4" s="22">
        <v>4</v>
      </c>
      <c r="J4" s="23">
        <v>7</v>
      </c>
      <c r="K4" s="22">
        <v>2</v>
      </c>
      <c r="L4" s="22">
        <v>5</v>
      </c>
      <c r="N4" s="2">
        <v>8739</v>
      </c>
      <c r="O4" s="1">
        <v>1</v>
      </c>
    </row>
    <row r="5" spans="1:15" ht="28.25" customHeight="1">
      <c r="A5" s="22">
        <v>1</v>
      </c>
      <c r="B5" s="22">
        <v>5</v>
      </c>
      <c r="C5" s="22">
        <v>1</v>
      </c>
      <c r="D5" s="27">
        <v>9</v>
      </c>
      <c r="E5" s="22">
        <v>7</v>
      </c>
      <c r="F5" s="27">
        <v>5</v>
      </c>
      <c r="G5" s="27">
        <v>6</v>
      </c>
      <c r="H5" s="22">
        <v>5</v>
      </c>
      <c r="I5" s="23">
        <v>1</v>
      </c>
      <c r="J5" s="22">
        <v>5</v>
      </c>
      <c r="K5" s="22">
        <v>7</v>
      </c>
      <c r="L5" s="22">
        <v>9</v>
      </c>
      <c r="N5" s="2">
        <v>27757</v>
      </c>
      <c r="O5" s="1">
        <v>1</v>
      </c>
    </row>
    <row r="6" spans="1:15" ht="28.25" customHeight="1">
      <c r="A6" s="23">
        <v>4</v>
      </c>
      <c r="B6" s="22">
        <v>2</v>
      </c>
      <c r="C6" s="22">
        <v>4</v>
      </c>
      <c r="D6" s="23">
        <v>1</v>
      </c>
      <c r="E6" s="27">
        <v>2</v>
      </c>
      <c r="F6" s="22">
        <v>3</v>
      </c>
      <c r="G6" s="22">
        <v>4</v>
      </c>
      <c r="H6" s="27">
        <v>3</v>
      </c>
      <c r="I6" s="22">
        <v>8</v>
      </c>
      <c r="J6" s="23">
        <v>9</v>
      </c>
      <c r="K6" s="22">
        <v>7</v>
      </c>
      <c r="L6" s="22">
        <v>7</v>
      </c>
      <c r="N6" s="2">
        <v>759</v>
      </c>
      <c r="O6" s="1">
        <v>3</v>
      </c>
    </row>
    <row r="7" spans="1:15" ht="28.25" customHeight="1">
      <c r="A7" s="27">
        <v>1</v>
      </c>
      <c r="B7" s="23">
        <v>2</v>
      </c>
      <c r="C7" s="22">
        <v>8</v>
      </c>
      <c r="D7" s="23">
        <v>1</v>
      </c>
      <c r="E7" s="27">
        <v>6</v>
      </c>
      <c r="F7" s="23">
        <v>1</v>
      </c>
      <c r="G7" s="22">
        <v>9</v>
      </c>
      <c r="H7" s="22">
        <v>6</v>
      </c>
      <c r="I7" s="23">
        <v>3</v>
      </c>
      <c r="J7" s="23">
        <v>1</v>
      </c>
      <c r="K7" s="22">
        <v>5</v>
      </c>
      <c r="L7" s="22">
        <v>3</v>
      </c>
      <c r="N7" s="2">
        <v>981</v>
      </c>
      <c r="O7" s="1">
        <v>3</v>
      </c>
    </row>
    <row r="8" spans="1:15" ht="28.25" customHeight="1">
      <c r="A8" s="23">
        <v>4</v>
      </c>
      <c r="B8" s="23">
        <v>9</v>
      </c>
      <c r="C8" s="22">
        <v>9</v>
      </c>
      <c r="D8" s="27">
        <v>7</v>
      </c>
      <c r="E8" s="23">
        <v>1</v>
      </c>
      <c r="F8" s="23">
        <v>5</v>
      </c>
      <c r="G8" s="22">
        <v>3</v>
      </c>
      <c r="H8" s="23">
        <v>2</v>
      </c>
      <c r="I8" s="27">
        <v>2</v>
      </c>
      <c r="J8" s="23">
        <v>5</v>
      </c>
      <c r="K8" s="22">
        <v>7</v>
      </c>
      <c r="L8" s="22">
        <v>3</v>
      </c>
      <c r="N8" s="2">
        <v>51</v>
      </c>
      <c r="O8" s="1">
        <v>15</v>
      </c>
    </row>
    <row r="9" spans="1:15" ht="28.25" customHeight="1">
      <c r="A9" s="27">
        <v>8</v>
      </c>
      <c r="B9" s="27">
        <v>5</v>
      </c>
      <c r="C9" s="22">
        <v>3</v>
      </c>
      <c r="D9" s="23">
        <v>5</v>
      </c>
      <c r="E9" s="27">
        <v>2</v>
      </c>
      <c r="F9" s="22">
        <v>6</v>
      </c>
      <c r="G9" s="22">
        <v>2</v>
      </c>
      <c r="H9" s="23">
        <v>1</v>
      </c>
      <c r="I9" s="23">
        <v>2</v>
      </c>
      <c r="J9" s="23">
        <v>7</v>
      </c>
      <c r="K9" s="27">
        <v>5</v>
      </c>
      <c r="L9" s="22">
        <v>7</v>
      </c>
      <c r="N9" s="2">
        <v>11</v>
      </c>
      <c r="O9" s="1">
        <v>24</v>
      </c>
    </row>
    <row r="10" spans="1:15" ht="28.25" customHeight="1">
      <c r="A10" s="27">
        <v>4</v>
      </c>
      <c r="B10" s="27">
        <v>9</v>
      </c>
      <c r="C10" s="22">
        <v>4</v>
      </c>
      <c r="D10" s="22">
        <v>7</v>
      </c>
      <c r="E10" s="22">
        <v>3</v>
      </c>
      <c r="F10" s="23">
        <v>2</v>
      </c>
      <c r="G10" s="27">
        <v>9</v>
      </c>
      <c r="H10" s="23">
        <v>1</v>
      </c>
      <c r="I10" s="23">
        <v>7</v>
      </c>
      <c r="J10" s="23">
        <v>4</v>
      </c>
      <c r="K10" s="27">
        <v>3</v>
      </c>
      <c r="L10" s="22">
        <v>4</v>
      </c>
      <c r="N10" s="2">
        <v>5863636</v>
      </c>
      <c r="O10" s="1">
        <v>1</v>
      </c>
    </row>
    <row r="11" spans="1:15" ht="28.25" customHeight="1">
      <c r="A11" s="27">
        <v>6</v>
      </c>
      <c r="B11" s="27">
        <v>9</v>
      </c>
      <c r="C11" s="22">
        <v>6</v>
      </c>
      <c r="D11" s="22">
        <v>6</v>
      </c>
      <c r="E11" s="23">
        <v>3</v>
      </c>
      <c r="F11" s="27">
        <v>6</v>
      </c>
      <c r="G11" s="27">
        <v>2</v>
      </c>
      <c r="H11" s="27">
        <v>3</v>
      </c>
      <c r="I11" s="23">
        <v>1</v>
      </c>
      <c r="J11" s="23">
        <v>7</v>
      </c>
      <c r="K11" s="23">
        <v>5</v>
      </c>
      <c r="L11" s="22">
        <v>2</v>
      </c>
      <c r="N11" s="2">
        <v>7643984</v>
      </c>
      <c r="O11" s="1">
        <v>1</v>
      </c>
    </row>
    <row r="12" spans="1:15" ht="28.25" customHeight="1">
      <c r="A12" s="27">
        <v>3</v>
      </c>
      <c r="B12" s="27">
        <v>6</v>
      </c>
      <c r="C12" s="22">
        <v>7</v>
      </c>
      <c r="D12" s="23">
        <v>9</v>
      </c>
      <c r="E12" s="27">
        <v>3</v>
      </c>
      <c r="F12" s="27">
        <v>1</v>
      </c>
      <c r="G12" s="27">
        <v>7</v>
      </c>
      <c r="H12" s="23">
        <v>1</v>
      </c>
      <c r="I12" s="27">
        <v>9</v>
      </c>
      <c r="J12" s="23">
        <v>5</v>
      </c>
      <c r="K12" s="23">
        <v>4</v>
      </c>
      <c r="L12" s="23">
        <v>1</v>
      </c>
      <c r="N12" s="2">
        <v>74</v>
      </c>
      <c r="O12" s="1">
        <v>8</v>
      </c>
    </row>
    <row r="13" spans="1:15" ht="28.25" customHeight="1">
      <c r="N13" s="2">
        <v>733795</v>
      </c>
      <c r="O13" s="1">
        <v>1</v>
      </c>
    </row>
    <row r="14" spans="1:15" ht="28.25" customHeight="1">
      <c r="N14" s="2">
        <v>239</v>
      </c>
      <c r="O14" s="1">
        <v>3</v>
      </c>
    </row>
    <row r="15" spans="1:15" ht="28.25" customHeight="1">
      <c r="N15" s="2">
        <v>46912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337"/>
  <sheetViews>
    <sheetView tabSelected="1" zoomScaleNormal="100" workbookViewId="0">
      <pane ySplit="2" topLeftCell="A329" activePane="bottomLeft" state="frozen"/>
      <selection pane="bottomLeft" activeCell="A337" sqref="A337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675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
+IF(A18&gt;=DATEVALUE("2026/2/21")+TIMEVALUE("6:00"),1,0)-IF(A17&gt;=DATEVALUE("2026/2/21")+TIMEVALUE("6:00"),1,0)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
+IF(A19&gt;=DATEVALUE("2026/2/21")+TIMEVALUE("6:00"),1,0)-IF(A18&gt;=DATEVALUE("2026/2/21")+TIMEVALUE("6:00"),1,0)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
+IF(A83&gt;=DATEVALUE("2026/2/21")+TIMEVALUE("6:00"),1,0)-IF(A82&gt;=DATEVALUE("2026/2/21")+TIMEVALUE("6:00"),1,0)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
+IF(A147&gt;=DATEVALUE("2026/2/21")+TIMEVALUE("6:00"),1,0)-IF(A146&gt;=DATEVALUE("2026/2/21")+TIMEVALUE("6:00"),1,0)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509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74" si="192">IF(A211&gt;=DATEVALUE("2025/11/8")+TIMEVALUE("6:00"),1,0)-IF(A210&gt;=DATEVALUE("2025/11/8")+TIMEVALUE("6:00"),1,0)
+IF(A211&gt;=DATEVALUE("2026/1/22")+TIMEVALUE("6:00"),3,0)-IF(A210&gt;=DATEVALUE("2026/1/22")+TIMEVALUE("6:00"),3,0)
+IF(A211&gt;=DATEVALUE("2026/2/21")+TIMEVALUE("6:00"),1,0)-IF(A210&gt;=DATEVALUE("2026/2/21")+TIMEVALUE("6:00"),1,0)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510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510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487</v>
      </c>
      <c r="I218" t="s">
        <v>488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si="192"/>
        <v>0</v>
      </c>
      <c r="P218" t="str">
        <f t="shared" ref="P218" si="235">IF(L218&lt;N218,"未達成（"&amp;N218-L218&amp;"）",IF(L218=N218,"達成","前倒し（"&amp;L218-N218&amp;"）"))</f>
        <v>未達成（4）</v>
      </c>
      <c r="Q218">
        <f t="shared" ref="Q218" si="236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489</v>
      </c>
      <c r="I219" t="s">
        <v>490</v>
      </c>
      <c r="J219">
        <v>0</v>
      </c>
      <c r="K219">
        <f t="shared" ref="K219" si="237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8">L218+K219</f>
        <v>261</v>
      </c>
      <c r="M219">
        <f t="shared" ref="M219" si="239">2+IF(A219&gt;=DATEVALUE("2025/11/30")+TIMEVALUE("6:00"),1,0)+IF(A219&gt;=DATEVALUE("2025/12/11")+TIMEVALUE("6:00"),1,0)</f>
        <v>4</v>
      </c>
      <c r="N219">
        <f t="shared" ref="N219" si="240">N218+M219*(INT(A219-6/24)-INT(A218-6/24))+O219</f>
        <v>263</v>
      </c>
      <c r="O219">
        <f t="shared" si="192"/>
        <v>0</v>
      </c>
      <c r="P219" t="str">
        <f t="shared" ref="P219" si="241">IF(L219&lt;N219,"未達成（"&amp;N219-L219&amp;"）",IF(L219=N219,"達成","前倒し（"&amp;L219-N219&amp;"）"))</f>
        <v>未達成（2）</v>
      </c>
      <c r="Q219">
        <f t="shared" ref="Q219" si="242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491</v>
      </c>
      <c r="I220" t="s">
        <v>492</v>
      </c>
      <c r="J220">
        <v>0</v>
      </c>
      <c r="K220">
        <f t="shared" ref="K220" si="243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4">L219+K220</f>
        <v>263</v>
      </c>
      <c r="M220">
        <f t="shared" ref="M220" si="245">2+IF(A220&gt;=DATEVALUE("2025/11/30")+TIMEVALUE("6:00"),1,0)+IF(A220&gt;=DATEVALUE("2025/12/11")+TIMEVALUE("6:00"),1,0)</f>
        <v>4</v>
      </c>
      <c r="N220">
        <f t="shared" ref="N220" si="246">N219+M220*(INT(A220-6/24)-INT(A219-6/24))+O220</f>
        <v>263</v>
      </c>
      <c r="O220">
        <f t="shared" si="192"/>
        <v>0</v>
      </c>
      <c r="P220" t="str">
        <f t="shared" ref="P220" si="247">IF(L220&lt;N220,"未達成（"&amp;N220-L220&amp;"）",IF(L220=N220,"達成","前倒し（"&amp;L220-N220&amp;"）"))</f>
        <v>達成</v>
      </c>
      <c r="Q220">
        <f t="shared" ref="Q220" si="248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493</v>
      </c>
      <c r="I221" t="s">
        <v>494</v>
      </c>
      <c r="J221">
        <v>0</v>
      </c>
      <c r="K221">
        <f t="shared" ref="K221" si="249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0">L220+K221</f>
        <v>265</v>
      </c>
      <c r="M221">
        <f t="shared" ref="M221" si="251">2+IF(A221&gt;=DATEVALUE("2025/11/30")+TIMEVALUE("6:00"),1,0)+IF(A221&gt;=DATEVALUE("2025/12/11")+TIMEVALUE("6:00"),1,0)</f>
        <v>4</v>
      </c>
      <c r="N221">
        <f t="shared" ref="N221" si="252">N220+M221*(INT(A221-6/24)-INT(A220-6/24))+O221</f>
        <v>267</v>
      </c>
      <c r="O221">
        <f t="shared" si="192"/>
        <v>0</v>
      </c>
      <c r="P221" t="str">
        <f t="shared" ref="P221" si="253">IF(L221&lt;N221,"未達成（"&amp;N221-L221&amp;"）",IF(L221=N221,"達成","前倒し（"&amp;L221-N221&amp;"）"))</f>
        <v>未達成（2）</v>
      </c>
      <c r="Q221">
        <f t="shared" ref="Q221" si="254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495</v>
      </c>
      <c r="I222" t="s">
        <v>496</v>
      </c>
      <c r="J222">
        <v>0</v>
      </c>
      <c r="K222">
        <f t="shared" ref="K222" si="255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56">L221+K222</f>
        <v>267</v>
      </c>
      <c r="M222">
        <f t="shared" ref="M222" si="257">2+IF(A222&gt;=DATEVALUE("2025/11/30")+TIMEVALUE("6:00"),1,0)+IF(A222&gt;=DATEVALUE("2025/12/11")+TIMEVALUE("6:00"),1,0)</f>
        <v>4</v>
      </c>
      <c r="N222">
        <f t="shared" ref="N222" si="258">N221+M222*(INT(A222-6/24)-INT(A221-6/24))+O222</f>
        <v>267</v>
      </c>
      <c r="O222">
        <f t="shared" si="192"/>
        <v>0</v>
      </c>
      <c r="P222" t="str">
        <f t="shared" ref="P222" si="259">IF(L222&lt;N222,"未達成（"&amp;N222-L222&amp;"）",IF(L222=N222,"達成","前倒し（"&amp;L222-N222&amp;"）"))</f>
        <v>達成</v>
      </c>
      <c r="Q222">
        <f t="shared" ref="Q222" si="260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497</v>
      </c>
      <c r="I223" t="s">
        <v>498</v>
      </c>
      <c r="J223">
        <v>0</v>
      </c>
      <c r="K223">
        <f t="shared" ref="K223" si="261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2">L222+K223</f>
        <v>268</v>
      </c>
      <c r="M223">
        <f t="shared" ref="M223" si="263">2+IF(A223&gt;=DATEVALUE("2025/11/30")+TIMEVALUE("6:00"),1,0)+IF(A223&gt;=DATEVALUE("2025/12/11")+TIMEVALUE("6:00"),1,0)</f>
        <v>4</v>
      </c>
      <c r="N223">
        <f t="shared" ref="N223" si="264">N222+M223*(INT(A223-6/24)-INT(A222-6/24))+O223</f>
        <v>271</v>
      </c>
      <c r="O223">
        <f t="shared" si="192"/>
        <v>0</v>
      </c>
      <c r="P223" t="str">
        <f t="shared" ref="P223" si="265">IF(L223&lt;N223,"未達成（"&amp;N223-L223&amp;"）",IF(L223=N223,"達成","前倒し（"&amp;L223-N223&amp;"）"))</f>
        <v>未達成（3）</v>
      </c>
      <c r="Q223">
        <f t="shared" ref="Q223" si="266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499</v>
      </c>
      <c r="I224" t="s">
        <v>500</v>
      </c>
      <c r="J224">
        <v>0</v>
      </c>
      <c r="K224">
        <f t="shared" ref="K224" si="267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68">L223+K224</f>
        <v>270</v>
      </c>
      <c r="M224">
        <f t="shared" ref="M224" si="269">2+IF(A224&gt;=DATEVALUE("2025/11/30")+TIMEVALUE("6:00"),1,0)+IF(A224&gt;=DATEVALUE("2025/12/11")+TIMEVALUE("6:00"),1,0)</f>
        <v>4</v>
      </c>
      <c r="N224">
        <f t="shared" ref="N224" si="270">N223+M224*(INT(A224-6/24)-INT(A223-6/24))+O224</f>
        <v>271</v>
      </c>
      <c r="O224">
        <f t="shared" si="192"/>
        <v>0</v>
      </c>
      <c r="P224" t="str">
        <f t="shared" ref="P224" si="271">IF(L224&lt;N224,"未達成（"&amp;N224-L224&amp;"）",IF(L224=N224,"達成","前倒し（"&amp;L224-N224&amp;"）"))</f>
        <v>未達成（1）</v>
      </c>
      <c r="Q224">
        <f t="shared" ref="Q224" si="272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501</v>
      </c>
      <c r="I225" t="s">
        <v>502</v>
      </c>
      <c r="J225">
        <v>0</v>
      </c>
      <c r="K225">
        <f t="shared" ref="K225" si="273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74">L224+K225</f>
        <v>271</v>
      </c>
      <c r="M225">
        <f t="shared" ref="M225" si="275">2+IF(A225&gt;=DATEVALUE("2025/11/30")+TIMEVALUE("6:00"),1,0)+IF(A225&gt;=DATEVALUE("2025/12/11")+TIMEVALUE("6:00"),1,0)</f>
        <v>4</v>
      </c>
      <c r="N225">
        <f t="shared" ref="N225" si="276">N224+M225*(INT(A225-6/24)-INT(A224-6/24))+O225</f>
        <v>271</v>
      </c>
      <c r="O225">
        <f t="shared" si="192"/>
        <v>0</v>
      </c>
      <c r="P225" t="str">
        <f t="shared" ref="P225" si="277">IF(L225&lt;N225,"未達成（"&amp;N225-L225&amp;"）",IF(L225=N225,"達成","前倒し（"&amp;L225-N225&amp;"）"))</f>
        <v>達成</v>
      </c>
      <c r="Q225">
        <f t="shared" ref="Q225" si="278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503</v>
      </c>
      <c r="I226" t="s">
        <v>504</v>
      </c>
      <c r="J226">
        <v>0</v>
      </c>
      <c r="K226">
        <f t="shared" ref="K226" si="279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0">L225+K226</f>
        <v>272</v>
      </c>
      <c r="M226">
        <f t="shared" ref="M226" si="281">2+IF(A226&gt;=DATEVALUE("2025/11/30")+TIMEVALUE("6:00"),1,0)+IF(A226&gt;=DATEVALUE("2025/12/11")+TIMEVALUE("6:00"),1,0)</f>
        <v>4</v>
      </c>
      <c r="N226">
        <f t="shared" ref="N226" si="282">N225+M226*(INT(A226-6/24)-INT(A225-6/24))+O226</f>
        <v>275</v>
      </c>
      <c r="O226">
        <f t="shared" si="192"/>
        <v>0</v>
      </c>
      <c r="P226" t="str">
        <f t="shared" ref="P226" si="283">IF(L226&lt;N226,"未達成（"&amp;N226-L226&amp;"）",IF(L226=N226,"達成","前倒し（"&amp;L226-N226&amp;"）"))</f>
        <v>未達成（3）</v>
      </c>
      <c r="Q226">
        <f t="shared" ref="Q226" si="284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505</v>
      </c>
      <c r="I227" t="s">
        <v>506</v>
      </c>
      <c r="J227">
        <v>0</v>
      </c>
      <c r="K227">
        <f t="shared" ref="K227" si="285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86">L226+K227</f>
        <v>274</v>
      </c>
      <c r="M227">
        <f t="shared" ref="M227" si="287">2+IF(A227&gt;=DATEVALUE("2025/11/30")+TIMEVALUE("6:00"),1,0)+IF(A227&gt;=DATEVALUE("2025/12/11")+TIMEVALUE("6:00"),1,0)</f>
        <v>4</v>
      </c>
      <c r="N227">
        <f t="shared" ref="N227" si="288">N226+M227*(INT(A227-6/24)-INT(A226-6/24))+O227</f>
        <v>275</v>
      </c>
      <c r="O227">
        <f t="shared" si="192"/>
        <v>0</v>
      </c>
      <c r="P227" t="str">
        <f t="shared" ref="P227" si="289">IF(L227&lt;N227,"未達成（"&amp;N227-L227&amp;"）",IF(L227=N227,"達成","前倒し（"&amp;L227-N227&amp;"）"))</f>
        <v>未達成（1）</v>
      </c>
      <c r="Q227">
        <f t="shared" ref="Q227" si="29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507</v>
      </c>
      <c r="I228" t="s">
        <v>511</v>
      </c>
      <c r="J228">
        <v>1</v>
      </c>
      <c r="K228">
        <f t="shared" ref="K228" si="29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292">L227+K228</f>
        <v>274</v>
      </c>
      <c r="M228">
        <f t="shared" ref="M228" si="293">2+IF(A228&gt;=DATEVALUE("2025/11/30")+TIMEVALUE("6:00"),1,0)+IF(A228&gt;=DATEVALUE("2025/12/11")+TIMEVALUE("6:00"),1,0)</f>
        <v>4</v>
      </c>
      <c r="N228">
        <f t="shared" ref="N228" si="294">N227+M228*(INT(A228-6/24)-INT(A227-6/24))+O228</f>
        <v>275</v>
      </c>
      <c r="O228">
        <f t="shared" si="192"/>
        <v>0</v>
      </c>
      <c r="P228" t="str">
        <f t="shared" ref="P228" si="295">IF(L228&lt;N228,"未達成（"&amp;N228-L228&amp;"）",IF(L228=N228,"達成","前倒し（"&amp;L228-N228&amp;"）"))</f>
        <v>未達成（1）</v>
      </c>
      <c r="Q228" t="e">
        <f t="shared" ref="Q228" si="296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512</v>
      </c>
      <c r="I229" t="s">
        <v>508</v>
      </c>
      <c r="J229">
        <v>0</v>
      </c>
      <c r="K229">
        <f t="shared" ref="K229" si="297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298">L228+K229</f>
        <v>275</v>
      </c>
      <c r="M229">
        <f t="shared" ref="M229" si="299">2+IF(A229&gt;=DATEVALUE("2025/11/30")+TIMEVALUE("6:00"),1,0)+IF(A229&gt;=DATEVALUE("2025/12/11")+TIMEVALUE("6:00"),1,0)</f>
        <v>4</v>
      </c>
      <c r="N229">
        <f t="shared" ref="N229" si="300">N228+M229*(INT(A229-6/24)-INT(A228-6/24))+O229</f>
        <v>275</v>
      </c>
      <c r="O229">
        <f t="shared" si="192"/>
        <v>0</v>
      </c>
      <c r="P229" t="str">
        <f t="shared" ref="P229" si="301">IF(L229&lt;N229,"未達成（"&amp;N229-L229&amp;"）",IF(L229=N229,"達成","前倒し（"&amp;L229-N229&amp;"）"))</f>
        <v>達成</v>
      </c>
      <c r="Q229">
        <f t="shared" ref="Q229" si="302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513</v>
      </c>
      <c r="I230" t="s">
        <v>514</v>
      </c>
      <c r="J230">
        <v>0</v>
      </c>
      <c r="K230">
        <f t="shared" ref="K230" si="303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04">L229+K230</f>
        <v>276</v>
      </c>
      <c r="M230">
        <f t="shared" ref="M230" si="305">2+IF(A230&gt;=DATEVALUE("2025/11/30")+TIMEVALUE("6:00"),1,0)+IF(A230&gt;=DATEVALUE("2025/12/11")+TIMEVALUE("6:00"),1,0)</f>
        <v>4</v>
      </c>
      <c r="N230">
        <f t="shared" ref="N230" si="306">N229+M230*(INT(A230-6/24)-INT(A229-6/24))+O230</f>
        <v>279</v>
      </c>
      <c r="O230">
        <f t="shared" si="192"/>
        <v>0</v>
      </c>
      <c r="P230" t="str">
        <f t="shared" ref="P230" si="307">IF(L230&lt;N230,"未達成（"&amp;N230-L230&amp;"）",IF(L230=N230,"達成","前倒し（"&amp;L230-N230&amp;"）"))</f>
        <v>未達成（3）</v>
      </c>
      <c r="Q230">
        <f t="shared" ref="Q230" si="308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515</v>
      </c>
      <c r="I231" t="s">
        <v>516</v>
      </c>
      <c r="J231">
        <v>0</v>
      </c>
      <c r="K231">
        <f t="shared" ref="K231" si="309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10">L230+K231</f>
        <v>278</v>
      </c>
      <c r="M231">
        <f t="shared" ref="M231" si="311">2+IF(A231&gt;=DATEVALUE("2025/11/30")+TIMEVALUE("6:00"),1,0)+IF(A231&gt;=DATEVALUE("2025/12/11")+TIMEVALUE("6:00"),1,0)</f>
        <v>4</v>
      </c>
      <c r="N231">
        <f t="shared" ref="N231" si="312">N230+M231*(INT(A231-6/24)-INT(A230-6/24))+O231</f>
        <v>279</v>
      </c>
      <c r="O231">
        <f t="shared" si="192"/>
        <v>0</v>
      </c>
      <c r="P231" t="str">
        <f t="shared" ref="P231" si="313">IF(L231&lt;N231,"未達成（"&amp;N231-L231&amp;"）",IF(L231=N231,"達成","前倒し（"&amp;L231-N231&amp;"）"))</f>
        <v>未達成（1）</v>
      </c>
      <c r="Q231">
        <f t="shared" ref="Q231" si="314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517</v>
      </c>
      <c r="I232" t="s">
        <v>518</v>
      </c>
      <c r="J232">
        <v>0</v>
      </c>
      <c r="K232">
        <f t="shared" ref="K232" si="315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16">L231+K232</f>
        <v>280</v>
      </c>
      <c r="M232">
        <f t="shared" ref="M232" si="317">2+IF(A232&gt;=DATEVALUE("2025/11/30")+TIMEVALUE("6:00"),1,0)+IF(A232&gt;=DATEVALUE("2025/12/11")+TIMEVALUE("6:00"),1,0)</f>
        <v>4</v>
      </c>
      <c r="N232">
        <f t="shared" ref="N232" si="318">N231+M232*(INT(A232-6/24)-INT(A231-6/24))+O232</f>
        <v>279</v>
      </c>
      <c r="O232">
        <f t="shared" si="192"/>
        <v>0</v>
      </c>
      <c r="P232" t="str">
        <f t="shared" ref="P232" si="319">IF(L232&lt;N232,"未達成（"&amp;N232-L232&amp;"）",IF(L232=N232,"達成","前倒し（"&amp;L232-N232&amp;"）"))</f>
        <v>前倒し（1）</v>
      </c>
      <c r="Q232">
        <f t="shared" ref="Q232" si="320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519</v>
      </c>
      <c r="I233" t="s">
        <v>520</v>
      </c>
      <c r="J233">
        <v>0</v>
      </c>
      <c r="K233">
        <f t="shared" ref="K233" si="321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22">L232+K233</f>
        <v>282</v>
      </c>
      <c r="M233">
        <f t="shared" ref="M233" si="323">2+IF(A233&gt;=DATEVALUE("2025/11/30")+TIMEVALUE("6:00"),1,0)+IF(A233&gt;=DATEVALUE("2025/12/11")+TIMEVALUE("6:00"),1,0)</f>
        <v>4</v>
      </c>
      <c r="N233">
        <f t="shared" ref="N233" si="324">N232+M233*(INT(A233-6/24)-INT(A232-6/24))+O233</f>
        <v>283</v>
      </c>
      <c r="O233">
        <f t="shared" si="192"/>
        <v>0</v>
      </c>
      <c r="P233" t="str">
        <f t="shared" ref="P233" si="325">IF(L233&lt;N233,"未達成（"&amp;N233-L233&amp;"）",IF(L233=N233,"達成","前倒し（"&amp;L233-N233&amp;"）"))</f>
        <v>未達成（1）</v>
      </c>
      <c r="Q233">
        <f t="shared" ref="Q233" si="326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521</v>
      </c>
      <c r="I234" t="s">
        <v>522</v>
      </c>
      <c r="J234">
        <v>0</v>
      </c>
      <c r="K234">
        <f t="shared" ref="K234" si="327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28">L233+K234</f>
        <v>283</v>
      </c>
      <c r="M234">
        <f t="shared" ref="M234" si="329">2+IF(A234&gt;=DATEVALUE("2025/11/30")+TIMEVALUE("6:00"),1,0)+IF(A234&gt;=DATEVALUE("2025/12/11")+TIMEVALUE("6:00"),1,0)</f>
        <v>4</v>
      </c>
      <c r="N234">
        <f t="shared" ref="N234" si="330">N233+M234*(INT(A234-6/24)-INT(A233-6/24))+O234</f>
        <v>283</v>
      </c>
      <c r="O234">
        <f t="shared" si="192"/>
        <v>0</v>
      </c>
      <c r="P234" t="str">
        <f t="shared" ref="P234" si="331">IF(L234&lt;N234,"未達成（"&amp;N234-L234&amp;"）",IF(L234=N234,"達成","前倒し（"&amp;L234-N234&amp;"）"))</f>
        <v>達成</v>
      </c>
      <c r="Q234">
        <f t="shared" ref="Q234" si="332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523</v>
      </c>
      <c r="I235" t="s">
        <v>524</v>
      </c>
      <c r="J235">
        <v>0</v>
      </c>
      <c r="K235">
        <f t="shared" ref="K235" si="333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34">L234+K235</f>
        <v>284</v>
      </c>
      <c r="M235">
        <f t="shared" ref="M235" si="335">2+IF(A235&gt;=DATEVALUE("2025/11/30")+TIMEVALUE("6:00"),1,0)+IF(A235&gt;=DATEVALUE("2025/12/11")+TIMEVALUE("6:00"),1,0)</f>
        <v>4</v>
      </c>
      <c r="N235">
        <f t="shared" ref="N235" si="336">N234+M235*(INT(A235-6/24)-INT(A234-6/24))+O235</f>
        <v>287</v>
      </c>
      <c r="O235">
        <f t="shared" si="192"/>
        <v>0</v>
      </c>
      <c r="P235" t="str">
        <f t="shared" ref="P235" si="337">IF(L235&lt;N235,"未達成（"&amp;N235-L235&amp;"）",IF(L235=N235,"達成","前倒し（"&amp;L235-N235&amp;"）"))</f>
        <v>未達成（3）</v>
      </c>
      <c r="Q235">
        <f t="shared" ref="Q235" si="338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525</v>
      </c>
      <c r="I236" t="s">
        <v>526</v>
      </c>
      <c r="J236">
        <v>0</v>
      </c>
      <c r="K236">
        <f t="shared" ref="K236" si="339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40">L235+K236</f>
        <v>284</v>
      </c>
      <c r="M236">
        <f t="shared" ref="M236" si="341">2+IF(A236&gt;=DATEVALUE("2025/11/30")+TIMEVALUE("6:00"),1,0)+IF(A236&gt;=DATEVALUE("2025/12/11")+TIMEVALUE("6:00"),1,0)</f>
        <v>4</v>
      </c>
      <c r="N236">
        <f t="shared" ref="N236" si="342">N235+M236*(INT(A236-6/24)-INT(A235-6/24))+O236</f>
        <v>287</v>
      </c>
      <c r="O236">
        <f t="shared" si="192"/>
        <v>0</v>
      </c>
      <c r="P236" t="str">
        <f t="shared" ref="P236" si="343">IF(L236&lt;N236,"未達成（"&amp;N236-L236&amp;"）",IF(L236=N236,"達成","前倒し（"&amp;L236-N236&amp;"）"))</f>
        <v>未達成（3）</v>
      </c>
      <c r="Q236">
        <f t="shared" ref="Q236" si="344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527</v>
      </c>
      <c r="I237" t="s">
        <v>528</v>
      </c>
      <c r="J237">
        <v>0</v>
      </c>
      <c r="K237">
        <f t="shared" ref="K237" si="345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46">L236+K237</f>
        <v>285</v>
      </c>
      <c r="M237">
        <f t="shared" ref="M237" si="347">2+IF(A237&gt;=DATEVALUE("2025/11/30")+TIMEVALUE("6:00"),1,0)+IF(A237&gt;=DATEVALUE("2025/12/11")+TIMEVALUE("6:00"),1,0)</f>
        <v>4</v>
      </c>
      <c r="N237">
        <f t="shared" ref="N237" si="348">N236+M237*(INT(A237-6/24)-INT(A236-6/24))+O237</f>
        <v>287</v>
      </c>
      <c r="O237">
        <f t="shared" si="192"/>
        <v>0</v>
      </c>
      <c r="P237" t="str">
        <f t="shared" ref="P237" si="349">IF(L237&lt;N237,"未達成（"&amp;N237-L237&amp;"）",IF(L237=N237,"達成","前倒し（"&amp;L237-N237&amp;"）"))</f>
        <v>未達成（2）</v>
      </c>
      <c r="Q237">
        <f t="shared" ref="Q237" si="35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529</v>
      </c>
      <c r="I238" t="s">
        <v>530</v>
      </c>
      <c r="J238">
        <v>0</v>
      </c>
      <c r="K238">
        <f t="shared" ref="K238" si="35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52">L237+K238</f>
        <v>285</v>
      </c>
      <c r="M238">
        <f t="shared" ref="M238" si="353">2+IF(A238&gt;=DATEVALUE("2025/11/30")+TIMEVALUE("6:00"),1,0)+IF(A238&gt;=DATEVALUE("2025/12/11")+TIMEVALUE("6:00"),1,0)</f>
        <v>4</v>
      </c>
      <c r="N238">
        <f t="shared" ref="N238" si="354">N237+M238*(INT(A238-6/24)-INT(A237-6/24))+O238</f>
        <v>287</v>
      </c>
      <c r="O238">
        <f t="shared" si="192"/>
        <v>0</v>
      </c>
      <c r="P238" t="str">
        <f t="shared" ref="P238" si="355">IF(L238&lt;N238,"未達成（"&amp;N238-L238&amp;"）",IF(L238=N238,"達成","前倒し（"&amp;L238-N238&amp;"）"))</f>
        <v>未達成（2）</v>
      </c>
      <c r="Q238">
        <f t="shared" ref="Q238" si="356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531</v>
      </c>
      <c r="I239" t="s">
        <v>532</v>
      </c>
      <c r="J239">
        <v>0</v>
      </c>
      <c r="K239">
        <f t="shared" ref="K239" si="357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58">L238+K239</f>
        <v>287</v>
      </c>
      <c r="M239">
        <f t="shared" ref="M239" si="359">2+IF(A239&gt;=DATEVALUE("2025/11/30")+TIMEVALUE("6:00"),1,0)+IF(A239&gt;=DATEVALUE("2025/12/11")+TIMEVALUE("6:00"),1,0)</f>
        <v>4</v>
      </c>
      <c r="N239">
        <f t="shared" ref="N239" si="360">N238+M239*(INT(A239-6/24)-INT(A238-6/24))+O239</f>
        <v>287</v>
      </c>
      <c r="O239">
        <f t="shared" si="192"/>
        <v>0</v>
      </c>
      <c r="P239" t="str">
        <f t="shared" ref="P239" si="361">IF(L239&lt;N239,"未達成（"&amp;N239-L239&amp;"）",IF(L239=N239,"達成","前倒し（"&amp;L239-N239&amp;"）"))</f>
        <v>達成</v>
      </c>
      <c r="Q239">
        <f t="shared" ref="Q239" si="362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533</v>
      </c>
      <c r="I240" t="s">
        <v>534</v>
      </c>
      <c r="J240">
        <v>0</v>
      </c>
      <c r="K240">
        <f t="shared" ref="K240" si="363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64">L239+K240</f>
        <v>288</v>
      </c>
      <c r="M240">
        <f t="shared" ref="M240" si="365">2+IF(A240&gt;=DATEVALUE("2025/11/30")+TIMEVALUE("6:00"),1,0)+IF(A240&gt;=DATEVALUE("2025/12/11")+TIMEVALUE("6:00"),1,0)</f>
        <v>4</v>
      </c>
      <c r="N240">
        <f t="shared" ref="N240" si="366">N239+M240*(INT(A240-6/24)-INT(A239-6/24))+O240</f>
        <v>291</v>
      </c>
      <c r="O240">
        <f t="shared" si="192"/>
        <v>0</v>
      </c>
      <c r="P240" t="str">
        <f t="shared" ref="P240" si="367">IF(L240&lt;N240,"未達成（"&amp;N240-L240&amp;"）",IF(L240=N240,"達成","前倒し（"&amp;L240-N240&amp;"）"))</f>
        <v>未達成（3）</v>
      </c>
      <c r="Q240">
        <f t="shared" ref="Q240" si="368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535</v>
      </c>
      <c r="I241" t="s">
        <v>536</v>
      </c>
      <c r="J241">
        <v>0</v>
      </c>
      <c r="K241">
        <f t="shared" ref="K241" si="369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70">L240+K241</f>
        <v>290</v>
      </c>
      <c r="M241">
        <f t="shared" ref="M241" si="371">2+IF(A241&gt;=DATEVALUE("2025/11/30")+TIMEVALUE("6:00"),1,0)+IF(A241&gt;=DATEVALUE("2025/12/11")+TIMEVALUE("6:00"),1,0)</f>
        <v>4</v>
      </c>
      <c r="N241">
        <f t="shared" ref="N241" si="372">N240+M241*(INT(A241-6/24)-INT(A240-6/24))+O241</f>
        <v>291</v>
      </c>
      <c r="O241">
        <f t="shared" si="192"/>
        <v>0</v>
      </c>
      <c r="P241" t="str">
        <f t="shared" ref="P241" si="373">IF(L241&lt;N241,"未達成（"&amp;N241-L241&amp;"）",IF(L241=N241,"達成","前倒し（"&amp;L241-N241&amp;"）"))</f>
        <v>未達成（1）</v>
      </c>
      <c r="Q241">
        <f t="shared" ref="Q241" si="374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537</v>
      </c>
      <c r="I242" t="s">
        <v>538</v>
      </c>
      <c r="J242">
        <v>0</v>
      </c>
      <c r="K242">
        <f t="shared" ref="K242" si="375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376">L241+K242</f>
        <v>292</v>
      </c>
      <c r="M242">
        <f t="shared" ref="M242" si="377">2+IF(A242&gt;=DATEVALUE("2025/11/30")+TIMEVALUE("6:00"),1,0)+IF(A242&gt;=DATEVALUE("2025/12/11")+TIMEVALUE("6:00"),1,0)</f>
        <v>4</v>
      </c>
      <c r="N242">
        <f t="shared" ref="N242" si="378">N241+M242*(INT(A242-6/24)-INT(A241-6/24))+O242</f>
        <v>291</v>
      </c>
      <c r="O242">
        <f t="shared" si="192"/>
        <v>0</v>
      </c>
      <c r="P242" t="str">
        <f t="shared" ref="P242" si="379">IF(L242&lt;N242,"未達成（"&amp;N242-L242&amp;"）",IF(L242=N242,"達成","前倒し（"&amp;L242-N242&amp;"）"))</f>
        <v>前倒し（1）</v>
      </c>
      <c r="Q242">
        <f t="shared" ref="Q242" si="380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539</v>
      </c>
      <c r="I243" t="s">
        <v>540</v>
      </c>
      <c r="J243">
        <v>0</v>
      </c>
      <c r="K243">
        <f t="shared" ref="K243" si="381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382">L242+K243</f>
        <v>292</v>
      </c>
      <c r="M243">
        <f t="shared" ref="M243" si="383">2+IF(A243&gt;=DATEVALUE("2025/11/30")+TIMEVALUE("6:00"),1,0)+IF(A243&gt;=DATEVALUE("2025/12/11")+TIMEVALUE("6:00"),1,0)</f>
        <v>4</v>
      </c>
      <c r="N243">
        <f t="shared" ref="N243" si="384">N242+M243*(INT(A243-6/24)-INT(A242-6/24))+O243</f>
        <v>295</v>
      </c>
      <c r="O243">
        <f t="shared" si="192"/>
        <v>0</v>
      </c>
      <c r="P243" t="str">
        <f t="shared" ref="P243" si="385">IF(L243&lt;N243,"未達成（"&amp;N243-L243&amp;"）",IF(L243=N243,"達成","前倒し（"&amp;L243-N243&amp;"）"))</f>
        <v>未達成（3）</v>
      </c>
      <c r="Q243">
        <f t="shared" ref="Q243" si="386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541</v>
      </c>
      <c r="I244" t="s">
        <v>543</v>
      </c>
      <c r="J244">
        <v>1</v>
      </c>
      <c r="K244">
        <f t="shared" ref="K244" si="387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388">L243+K244</f>
        <v>292</v>
      </c>
      <c r="M244">
        <f t="shared" ref="M244" si="389">2+IF(A244&gt;=DATEVALUE("2025/11/30")+TIMEVALUE("6:00"),1,0)+IF(A244&gt;=DATEVALUE("2025/12/11")+TIMEVALUE("6:00"),1,0)</f>
        <v>4</v>
      </c>
      <c r="N244">
        <f t="shared" ref="N244" si="390">N243+M244*(INT(A244-6/24)-INT(A243-6/24))+O244</f>
        <v>295</v>
      </c>
      <c r="O244">
        <f t="shared" si="192"/>
        <v>0</v>
      </c>
      <c r="P244" t="str">
        <f t="shared" ref="P244" si="391">IF(L244&lt;N244,"未達成（"&amp;N244-L244&amp;"）",IF(L244=N244,"達成","前倒し（"&amp;L244-N244&amp;"）"))</f>
        <v>未達成（3）</v>
      </c>
      <c r="Q244" t="e">
        <f t="shared" ref="Q244" si="392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544</v>
      </c>
      <c r="I245" t="s">
        <v>542</v>
      </c>
      <c r="J245">
        <v>0</v>
      </c>
      <c r="K245">
        <f t="shared" ref="K245" si="393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394">L244+K245</f>
        <v>294</v>
      </c>
      <c r="M245">
        <f t="shared" ref="M245" si="395">2+IF(A245&gt;=DATEVALUE("2025/11/30")+TIMEVALUE("6:00"),1,0)+IF(A245&gt;=DATEVALUE("2025/12/11")+TIMEVALUE("6:00"),1,0)</f>
        <v>4</v>
      </c>
      <c r="N245">
        <f t="shared" ref="N245" si="396">N244+M245*(INT(A245-6/24)-INT(A244-6/24))+O245</f>
        <v>295</v>
      </c>
      <c r="O245">
        <f t="shared" si="192"/>
        <v>0</v>
      </c>
      <c r="P245" t="str">
        <f t="shared" ref="P245" si="397">IF(L245&lt;N245,"未達成（"&amp;N245-L245&amp;"）",IF(L245=N245,"達成","前倒し（"&amp;L245-N245&amp;"）"))</f>
        <v>未達成（1）</v>
      </c>
      <c r="Q245">
        <f t="shared" ref="Q245" si="398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545</v>
      </c>
      <c r="I246" t="s">
        <v>546</v>
      </c>
      <c r="J246">
        <v>0</v>
      </c>
      <c r="K246">
        <f t="shared" ref="K246" si="399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00">L245+K246</f>
        <v>296</v>
      </c>
      <c r="M246">
        <f t="shared" ref="M246" si="401">2+IF(A246&gt;=DATEVALUE("2025/11/30")+TIMEVALUE("6:00"),1,0)+IF(A246&gt;=DATEVALUE("2025/12/11")+TIMEVALUE("6:00"),1,0)</f>
        <v>4</v>
      </c>
      <c r="N246">
        <f t="shared" ref="N246" si="402">N245+M246*(INT(A246-6/24)-INT(A245-6/24))+O246</f>
        <v>295</v>
      </c>
      <c r="O246">
        <f t="shared" si="192"/>
        <v>0</v>
      </c>
      <c r="P246" t="str">
        <f t="shared" ref="P246" si="403">IF(L246&lt;N246,"未達成（"&amp;N246-L246&amp;"）",IF(L246=N246,"達成","前倒し（"&amp;L246-N246&amp;"）"))</f>
        <v>前倒し（1）</v>
      </c>
      <c r="Q246">
        <f t="shared" ref="Q246" si="404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547</v>
      </c>
      <c r="I247" t="s">
        <v>548</v>
      </c>
      <c r="J247">
        <v>0</v>
      </c>
      <c r="K247">
        <f t="shared" ref="K247" si="405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06">L246+K247</f>
        <v>298</v>
      </c>
      <c r="M247">
        <f t="shared" ref="M247" si="407">2+IF(A247&gt;=DATEVALUE("2025/11/30")+TIMEVALUE("6:00"),1,0)+IF(A247&gt;=DATEVALUE("2025/12/11")+TIMEVALUE("6:00"),1,0)</f>
        <v>4</v>
      </c>
      <c r="N247">
        <f t="shared" ref="N247" si="408">N246+M247*(INT(A247-6/24)-INT(A246-6/24))+O247</f>
        <v>299</v>
      </c>
      <c r="O247">
        <f t="shared" si="192"/>
        <v>0</v>
      </c>
      <c r="P247" t="str">
        <f t="shared" ref="P247" si="409">IF(L247&lt;N247,"未達成（"&amp;N247-L247&amp;"）",IF(L247=N247,"達成","前倒し（"&amp;L247-N247&amp;"）"))</f>
        <v>未達成（1）</v>
      </c>
      <c r="Q247">
        <f t="shared" ref="Q247" si="41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549</v>
      </c>
      <c r="I248" t="s">
        <v>550</v>
      </c>
      <c r="J248">
        <v>0</v>
      </c>
      <c r="K248">
        <f t="shared" ref="K248" si="41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12">L247+K248</f>
        <v>300</v>
      </c>
      <c r="M248">
        <f t="shared" ref="M248" si="413">2+IF(A248&gt;=DATEVALUE("2025/11/30")+TIMEVALUE("6:00"),1,0)+IF(A248&gt;=DATEVALUE("2025/12/11")+TIMEVALUE("6:00"),1,0)</f>
        <v>4</v>
      </c>
      <c r="N248">
        <f t="shared" ref="N248" si="414">N247+M248*(INT(A248-6/24)-INT(A247-6/24))+O248</f>
        <v>299</v>
      </c>
      <c r="O248">
        <f t="shared" si="192"/>
        <v>0</v>
      </c>
      <c r="P248" t="str">
        <f t="shared" ref="P248" si="415">IF(L248&lt;N248,"未達成（"&amp;N248-L248&amp;"）",IF(L248=N248,"達成","前倒し（"&amp;L248-N248&amp;"）"))</f>
        <v>前倒し（1）</v>
      </c>
      <c r="Q248">
        <f t="shared" ref="Q248" si="416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551</v>
      </c>
      <c r="I249" t="s">
        <v>552</v>
      </c>
      <c r="J249">
        <v>0</v>
      </c>
      <c r="K249">
        <f t="shared" ref="K249" si="417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18">L248+K249</f>
        <v>301</v>
      </c>
      <c r="M249">
        <f t="shared" ref="M249" si="419">2+IF(A249&gt;=DATEVALUE("2025/11/30")+TIMEVALUE("6:00"),1,0)+IF(A249&gt;=DATEVALUE("2025/12/11")+TIMEVALUE("6:00"),1,0)</f>
        <v>4</v>
      </c>
      <c r="N249">
        <f t="shared" ref="N249" si="420">N248+M249*(INT(A249-6/24)-INT(A248-6/24))+O249</f>
        <v>303</v>
      </c>
      <c r="O249">
        <f t="shared" si="192"/>
        <v>0</v>
      </c>
      <c r="P249" t="str">
        <f t="shared" ref="P249" si="421">IF(L249&lt;N249,"未達成（"&amp;N249-L249&amp;"）",IF(L249=N249,"達成","前倒し（"&amp;L249-N249&amp;"）"))</f>
        <v>未達成（2）</v>
      </c>
      <c r="Q249">
        <f t="shared" ref="Q249" si="422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553</v>
      </c>
      <c r="I250" t="s">
        <v>554</v>
      </c>
      <c r="J250">
        <v>0</v>
      </c>
      <c r="K250">
        <f t="shared" ref="K250" si="423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24">L249+K250</f>
        <v>303</v>
      </c>
      <c r="M250">
        <f t="shared" ref="M250" si="425">2+IF(A250&gt;=DATEVALUE("2025/11/30")+TIMEVALUE("6:00"),1,0)+IF(A250&gt;=DATEVALUE("2025/12/11")+TIMEVALUE("6:00"),1,0)</f>
        <v>4</v>
      </c>
      <c r="N250">
        <f t="shared" ref="N250" si="426">N249+M250*(INT(A250-6/24)-INT(A249-6/24))+O250</f>
        <v>303</v>
      </c>
      <c r="O250">
        <f t="shared" si="192"/>
        <v>0</v>
      </c>
      <c r="P250" t="str">
        <f t="shared" ref="P250" si="427">IF(L250&lt;N250,"未達成（"&amp;N250-L250&amp;"）",IF(L250=N250,"達成","前倒し（"&amp;L250-N250&amp;"）"))</f>
        <v>達成</v>
      </c>
      <c r="Q250">
        <f t="shared" ref="Q250" si="428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555</v>
      </c>
      <c r="I251" t="s">
        <v>556</v>
      </c>
      <c r="J251">
        <v>0</v>
      </c>
      <c r="K251">
        <f t="shared" ref="K251" si="429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30">L250+K251</f>
        <v>305</v>
      </c>
      <c r="M251">
        <f t="shared" ref="M251" si="431">2+IF(A251&gt;=DATEVALUE("2025/11/30")+TIMEVALUE("6:00"),1,0)+IF(A251&gt;=DATEVALUE("2025/12/11")+TIMEVALUE("6:00"),1,0)</f>
        <v>4</v>
      </c>
      <c r="N251">
        <f t="shared" ref="N251" si="432">N250+M251*(INT(A251-6/24)-INT(A250-6/24))+O251</f>
        <v>307</v>
      </c>
      <c r="O251">
        <f t="shared" si="192"/>
        <v>0</v>
      </c>
      <c r="P251" t="str">
        <f t="shared" ref="P251" si="433">IF(L251&lt;N251,"未達成（"&amp;N251-L251&amp;"）",IF(L251=N251,"達成","前倒し（"&amp;L251-N251&amp;"）"))</f>
        <v>未達成（2）</v>
      </c>
      <c r="Q251">
        <f t="shared" ref="Q251" si="434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557</v>
      </c>
      <c r="I252" t="s">
        <v>560</v>
      </c>
      <c r="J252">
        <v>1</v>
      </c>
      <c r="K252">
        <f t="shared" ref="K252" si="435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36">L251+K252</f>
        <v>305</v>
      </c>
      <c r="M252">
        <f t="shared" ref="M252" si="437">2+IF(A252&gt;=DATEVALUE("2025/11/30")+TIMEVALUE("6:00"),1,0)+IF(A252&gt;=DATEVALUE("2025/12/11")+TIMEVALUE("6:00"),1,0)</f>
        <v>4</v>
      </c>
      <c r="N252">
        <f t="shared" ref="N252" si="438">N251+M252*(INT(A252-6/24)-INT(A251-6/24))+O252</f>
        <v>307</v>
      </c>
      <c r="O252">
        <f t="shared" si="192"/>
        <v>0</v>
      </c>
      <c r="P252" t="str">
        <f t="shared" ref="P252" si="439">IF(L252&lt;N252,"未達成（"&amp;N252-L252&amp;"）",IF(L252=N252,"達成","前倒し（"&amp;L252-N252&amp;"）"))</f>
        <v>未達成（2）</v>
      </c>
      <c r="Q252" t="e">
        <f t="shared" ref="Q252" si="440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558</v>
      </c>
      <c r="I253" t="s">
        <v>559</v>
      </c>
      <c r="J253">
        <v>1</v>
      </c>
      <c r="K253">
        <f t="shared" ref="K253" si="441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42">L252+K253</f>
        <v>305</v>
      </c>
      <c r="M253">
        <f t="shared" ref="M253" si="443">2+IF(A253&gt;=DATEVALUE("2025/11/30")+TIMEVALUE("6:00"),1,0)+IF(A253&gt;=DATEVALUE("2025/12/11")+TIMEVALUE("6:00"),1,0)</f>
        <v>4</v>
      </c>
      <c r="N253">
        <f t="shared" ref="N253" si="444">N252+M253*(INT(A253-6/24)-INT(A252-6/24))+O253</f>
        <v>307</v>
      </c>
      <c r="O253">
        <f t="shared" si="192"/>
        <v>0</v>
      </c>
      <c r="P253" t="str">
        <f t="shared" ref="P253" si="445">IF(L253&lt;N253,"未達成（"&amp;N253-L253&amp;"）",IF(L253=N253,"達成","前倒し（"&amp;L253-N253&amp;"）"))</f>
        <v>未達成（2）</v>
      </c>
      <c r="Q253" t="e">
        <f t="shared" ref="Q253" si="446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561</v>
      </c>
      <c r="I254" t="s">
        <v>562</v>
      </c>
      <c r="J254">
        <v>0</v>
      </c>
      <c r="K254">
        <f t="shared" ref="K254" si="447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48">L253+K254</f>
        <v>307</v>
      </c>
      <c r="M254">
        <f t="shared" ref="M254" si="449">2+IF(A254&gt;=DATEVALUE("2025/11/30")+TIMEVALUE("6:00"),1,0)+IF(A254&gt;=DATEVALUE("2025/12/11")+TIMEVALUE("6:00"),1,0)</f>
        <v>4</v>
      </c>
      <c r="N254">
        <f t="shared" ref="N254" si="450">N253+M254*(INT(A254-6/24)-INT(A253-6/24))+O254</f>
        <v>307</v>
      </c>
      <c r="O254">
        <f t="shared" si="192"/>
        <v>0</v>
      </c>
      <c r="P254" t="str">
        <f t="shared" ref="P254" si="451">IF(L254&lt;N254,"未達成（"&amp;N254-L254&amp;"）",IF(L254=N254,"達成","前倒し（"&amp;L254-N254&amp;"）"))</f>
        <v>達成</v>
      </c>
      <c r="Q254">
        <f t="shared" ref="Q254" si="452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563</v>
      </c>
      <c r="I255" t="s">
        <v>564</v>
      </c>
      <c r="J255">
        <v>0</v>
      </c>
      <c r="K255">
        <f t="shared" ref="K255" si="453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54">L254+K255</f>
        <v>309</v>
      </c>
      <c r="M255">
        <f t="shared" ref="M255" si="455">2+IF(A255&gt;=DATEVALUE("2025/11/30")+TIMEVALUE("6:00"),1,0)+IF(A255&gt;=DATEVALUE("2025/12/11")+TIMEVALUE("6:00"),1,0)</f>
        <v>4</v>
      </c>
      <c r="N255">
        <f t="shared" ref="N255" si="456">N254+M255*(INT(A255-6/24)-INT(A254-6/24))+O255</f>
        <v>311</v>
      </c>
      <c r="O255">
        <f t="shared" si="192"/>
        <v>0</v>
      </c>
      <c r="P255" t="str">
        <f t="shared" ref="P255" si="457">IF(L255&lt;N255,"未達成（"&amp;N255-L255&amp;"）",IF(L255=N255,"達成","前倒し（"&amp;L255-N255&amp;"）"))</f>
        <v>未達成（2）</v>
      </c>
      <c r="Q255">
        <f t="shared" ref="Q255" si="458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565</v>
      </c>
      <c r="I256" t="s">
        <v>566</v>
      </c>
      <c r="J256">
        <v>0</v>
      </c>
      <c r="K256">
        <f t="shared" ref="K256" si="459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60">L255+K256</f>
        <v>311</v>
      </c>
      <c r="M256">
        <f t="shared" ref="M256" si="461">2+IF(A256&gt;=DATEVALUE("2025/11/30")+TIMEVALUE("6:00"),1,0)+IF(A256&gt;=DATEVALUE("2025/12/11")+TIMEVALUE("6:00"),1,0)</f>
        <v>4</v>
      </c>
      <c r="N256">
        <f t="shared" ref="N256" si="462">N255+M256*(INT(A256-6/24)-INT(A255-6/24))+O256</f>
        <v>311</v>
      </c>
      <c r="O256">
        <f t="shared" si="192"/>
        <v>0</v>
      </c>
      <c r="P256" t="str">
        <f t="shared" ref="P256" si="463">IF(L256&lt;N256,"未達成（"&amp;N256-L256&amp;"）",IF(L256=N256,"達成","前倒し（"&amp;L256-N256&amp;"）"))</f>
        <v>達成</v>
      </c>
      <c r="Q256">
        <f t="shared" ref="Q256" si="464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567</v>
      </c>
      <c r="I257" t="s">
        <v>568</v>
      </c>
      <c r="J257">
        <v>0</v>
      </c>
      <c r="K257">
        <f t="shared" ref="K257" si="465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466">L256+K257</f>
        <v>313</v>
      </c>
      <c r="M257">
        <f t="shared" ref="M257" si="467">2+IF(A257&gt;=DATEVALUE("2025/11/30")+TIMEVALUE("6:00"),1,0)+IF(A257&gt;=DATEVALUE("2025/12/11")+TIMEVALUE("6:00"),1,0)</f>
        <v>4</v>
      </c>
      <c r="N257">
        <f t="shared" ref="N257" si="468">N256+M257*(INT(A257-6/24)-INT(A256-6/24))+O257</f>
        <v>315</v>
      </c>
      <c r="O257">
        <f t="shared" si="192"/>
        <v>0</v>
      </c>
      <c r="P257" t="str">
        <f t="shared" ref="P257" si="469">IF(L257&lt;N257,"未達成（"&amp;N257-L257&amp;"）",IF(L257=N257,"達成","前倒し（"&amp;L257-N257&amp;"）"))</f>
        <v>未達成（2）</v>
      </c>
      <c r="Q257">
        <f t="shared" ref="Q257" si="47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569</v>
      </c>
      <c r="I258" t="s">
        <v>571</v>
      </c>
      <c r="J258">
        <v>1</v>
      </c>
      <c r="K258">
        <f t="shared" ref="K258" si="47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472">L257+K258</f>
        <v>313</v>
      </c>
      <c r="M258">
        <f t="shared" ref="M258" si="473">2+IF(A258&gt;=DATEVALUE("2025/11/30")+TIMEVALUE("6:00"),1,0)+IF(A258&gt;=DATEVALUE("2025/12/11")+TIMEVALUE("6:00"),1,0)</f>
        <v>4</v>
      </c>
      <c r="N258">
        <f t="shared" ref="N258" si="474">N257+M258*(INT(A258-6/24)-INT(A257-6/24))+O258</f>
        <v>315</v>
      </c>
      <c r="O258">
        <f t="shared" si="192"/>
        <v>0</v>
      </c>
      <c r="P258" t="str">
        <f t="shared" ref="P258" si="475">IF(L258&lt;N258,"未達成（"&amp;N258-L258&amp;"）",IF(L258=N258,"達成","前倒し（"&amp;L258-N258&amp;"）"))</f>
        <v>未達成（2）</v>
      </c>
      <c r="Q258" t="e">
        <f t="shared" ref="Q258" si="476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572</v>
      </c>
      <c r="I259" t="s">
        <v>570</v>
      </c>
      <c r="J259">
        <v>0</v>
      </c>
      <c r="K259">
        <f t="shared" ref="K259" si="477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478">L258+K259</f>
        <v>315</v>
      </c>
      <c r="M259">
        <f t="shared" ref="M259" si="479">2+IF(A259&gt;=DATEVALUE("2025/11/30")+TIMEVALUE("6:00"),1,0)+IF(A259&gt;=DATEVALUE("2025/12/11")+TIMEVALUE("6:00"),1,0)</f>
        <v>4</v>
      </c>
      <c r="N259">
        <f t="shared" ref="N259" si="480">N258+M259*(INT(A259-6/24)-INT(A258-6/24))+O259</f>
        <v>315</v>
      </c>
      <c r="O259">
        <f t="shared" si="192"/>
        <v>0</v>
      </c>
      <c r="P259" t="str">
        <f t="shared" ref="P259" si="481">IF(L259&lt;N259,"未達成（"&amp;N259-L259&amp;"）",IF(L259=N259,"達成","前倒し（"&amp;L259-N259&amp;"）"))</f>
        <v>達成</v>
      </c>
      <c r="Q259">
        <f t="shared" ref="Q259" si="482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573</v>
      </c>
      <c r="I260" t="s">
        <v>574</v>
      </c>
      <c r="J260">
        <v>0</v>
      </c>
      <c r="K260">
        <f t="shared" ref="K260" si="483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484">L259+K260</f>
        <v>316</v>
      </c>
      <c r="M260">
        <f t="shared" ref="M260" si="485">2+IF(A260&gt;=DATEVALUE("2025/11/30")+TIMEVALUE("6:00"),1,0)+IF(A260&gt;=DATEVALUE("2025/12/11")+TIMEVALUE("6:00"),1,0)</f>
        <v>4</v>
      </c>
      <c r="N260">
        <f t="shared" ref="N260" si="486">N259+M260*(INT(A260-6/24)-INT(A259-6/24))+O260</f>
        <v>319</v>
      </c>
      <c r="O260">
        <f t="shared" si="192"/>
        <v>0</v>
      </c>
      <c r="P260" t="str">
        <f t="shared" ref="P260" si="487">IF(L260&lt;N260,"未達成（"&amp;N260-L260&amp;"）",IF(L260=N260,"達成","前倒し（"&amp;L260-N260&amp;"）"))</f>
        <v>未達成（3）</v>
      </c>
      <c r="Q260">
        <f t="shared" ref="Q260" si="488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575</v>
      </c>
      <c r="I261" t="s">
        <v>576</v>
      </c>
      <c r="J261">
        <v>0</v>
      </c>
      <c r="K261">
        <f t="shared" ref="K261" si="489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490">L260+K261</f>
        <v>318</v>
      </c>
      <c r="M261">
        <f t="shared" ref="M261" si="491">2+IF(A261&gt;=DATEVALUE("2025/11/30")+TIMEVALUE("6:00"),1,0)+IF(A261&gt;=DATEVALUE("2025/12/11")+TIMEVALUE("6:00"),1,0)</f>
        <v>4</v>
      </c>
      <c r="N261">
        <f t="shared" ref="N261" si="492">N260+M261*(INT(A261-6/24)-INT(A260-6/24))+O261</f>
        <v>319</v>
      </c>
      <c r="O261">
        <f t="shared" si="192"/>
        <v>0</v>
      </c>
      <c r="P261" t="str">
        <f t="shared" ref="P261" si="493">IF(L261&lt;N261,"未達成（"&amp;N261-L261&amp;"）",IF(L261=N261,"達成","前倒し（"&amp;L261-N261&amp;"）"))</f>
        <v>未達成（1）</v>
      </c>
      <c r="Q261">
        <f t="shared" ref="Q261" si="494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577</v>
      </c>
      <c r="I262" t="s">
        <v>578</v>
      </c>
      <c r="J262">
        <v>0</v>
      </c>
      <c r="K262">
        <f t="shared" ref="K262" si="495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496">L261+K262</f>
        <v>320</v>
      </c>
      <c r="M262">
        <f t="shared" ref="M262" si="497">2+IF(A262&gt;=DATEVALUE("2025/11/30")+TIMEVALUE("6:00"),1,0)+IF(A262&gt;=DATEVALUE("2025/12/11")+TIMEVALUE("6:00"),1,0)</f>
        <v>4</v>
      </c>
      <c r="N262">
        <f t="shared" ref="N262" si="498">N261+M262*(INT(A262-6/24)-INT(A261-6/24))+O262</f>
        <v>319</v>
      </c>
      <c r="O262">
        <f t="shared" si="192"/>
        <v>0</v>
      </c>
      <c r="P262" t="str">
        <f t="shared" ref="P262" si="499">IF(L262&lt;N262,"未達成（"&amp;N262-L262&amp;"）",IF(L262=N262,"達成","前倒し（"&amp;L262-N262&amp;"）"))</f>
        <v>前倒し（1）</v>
      </c>
      <c r="Q262">
        <f t="shared" ref="Q262" si="500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579</v>
      </c>
      <c r="I263" t="s">
        <v>580</v>
      </c>
      <c r="J263">
        <v>0</v>
      </c>
      <c r="K263">
        <f t="shared" ref="K263" si="501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02">L262+K263</f>
        <v>321</v>
      </c>
      <c r="M263">
        <f t="shared" ref="M263" si="503">2+IF(A263&gt;=DATEVALUE("2025/11/30")+TIMEVALUE("6:00"),1,0)+IF(A263&gt;=DATEVALUE("2025/12/11")+TIMEVALUE("6:00"),1,0)</f>
        <v>4</v>
      </c>
      <c r="N263">
        <f t="shared" ref="N263" si="504">N262+M263*(INT(A263-6/24)-INT(A262-6/24))+O263</f>
        <v>323</v>
      </c>
      <c r="O263">
        <f t="shared" si="192"/>
        <v>0</v>
      </c>
      <c r="P263" t="str">
        <f t="shared" ref="P263" si="505">IF(L263&lt;N263,"未達成（"&amp;N263-L263&amp;"）",IF(L263=N263,"達成","前倒し（"&amp;L263-N263&amp;"）"))</f>
        <v>未達成（2）</v>
      </c>
      <c r="Q263">
        <f t="shared" ref="Q263" si="506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581</v>
      </c>
      <c r="I264" t="s">
        <v>582</v>
      </c>
      <c r="J264">
        <v>0</v>
      </c>
      <c r="K264">
        <f t="shared" ref="K264" si="507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08">L263+K264</f>
        <v>322</v>
      </c>
      <c r="M264">
        <f t="shared" ref="M264" si="509">2+IF(A264&gt;=DATEVALUE("2025/11/30")+TIMEVALUE("6:00"),1,0)+IF(A264&gt;=DATEVALUE("2025/12/11")+TIMEVALUE("6:00"),1,0)</f>
        <v>4</v>
      </c>
      <c r="N264">
        <f t="shared" ref="N264" si="510">N263+M264*(INT(A264-6/24)-INT(A263-6/24))+O264</f>
        <v>323</v>
      </c>
      <c r="O264">
        <f t="shared" si="192"/>
        <v>0</v>
      </c>
      <c r="P264" t="str">
        <f t="shared" ref="P264" si="511">IF(L264&lt;N264,"未達成（"&amp;N264-L264&amp;"）",IF(L264=N264,"達成","前倒し（"&amp;L264-N264&amp;"）"))</f>
        <v>未達成（1）</v>
      </c>
      <c r="Q264">
        <f t="shared" ref="Q264" si="512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583</v>
      </c>
      <c r="I265" t="s">
        <v>584</v>
      </c>
      <c r="J265">
        <v>0</v>
      </c>
      <c r="K265">
        <f t="shared" ref="K265" si="513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14">L264+K265</f>
        <v>323</v>
      </c>
      <c r="M265">
        <f t="shared" ref="M265" si="515">2+IF(A265&gt;=DATEVALUE("2025/11/30")+TIMEVALUE("6:00"),1,0)+IF(A265&gt;=DATEVALUE("2025/12/11")+TIMEVALUE("6:00"),1,0)</f>
        <v>4</v>
      </c>
      <c r="N265">
        <f t="shared" ref="N265" si="516">N264+M265*(INT(A265-6/24)-INT(A264-6/24))+O265</f>
        <v>323</v>
      </c>
      <c r="O265">
        <f t="shared" si="192"/>
        <v>0</v>
      </c>
      <c r="P265" t="str">
        <f t="shared" ref="P265" si="517">IF(L265&lt;N265,"未達成（"&amp;N265-L265&amp;"）",IF(L265=N265,"達成","前倒し（"&amp;L265-N265&amp;"）"))</f>
        <v>達成</v>
      </c>
      <c r="Q265">
        <f t="shared" ref="Q265" si="518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585</v>
      </c>
      <c r="I266" t="s">
        <v>586</v>
      </c>
      <c r="J266">
        <v>0</v>
      </c>
      <c r="K266">
        <f t="shared" ref="K266" si="519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20">L265+K266</f>
        <v>325</v>
      </c>
      <c r="M266">
        <f t="shared" ref="M266" si="521">2+IF(A266&gt;=DATEVALUE("2025/11/30")+TIMEVALUE("6:00"),1,0)+IF(A266&gt;=DATEVALUE("2025/12/11")+TIMEVALUE("6:00"),1,0)</f>
        <v>4</v>
      </c>
      <c r="N266">
        <f t="shared" ref="N266" si="522">N265+M266*(INT(A266-6/24)-INT(A265-6/24))+O266</f>
        <v>327</v>
      </c>
      <c r="O266">
        <f t="shared" si="192"/>
        <v>0</v>
      </c>
      <c r="P266" t="str">
        <f t="shared" ref="P266" si="523">IF(L266&lt;N266,"未達成（"&amp;N266-L266&amp;"）",IF(L266=N266,"達成","前倒し（"&amp;L266-N266&amp;"）"))</f>
        <v>未達成（2）</v>
      </c>
      <c r="Q266">
        <f t="shared" ref="Q266" si="524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587</v>
      </c>
      <c r="I267" t="s">
        <v>588</v>
      </c>
      <c r="J267">
        <v>0</v>
      </c>
      <c r="K267">
        <f t="shared" ref="K267" si="525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26">L266+K267</f>
        <v>326</v>
      </c>
      <c r="M267">
        <f t="shared" ref="M267" si="527">2+IF(A267&gt;=DATEVALUE("2025/11/30")+TIMEVALUE("6:00"),1,0)+IF(A267&gt;=DATEVALUE("2025/12/11")+TIMEVALUE("6:00"),1,0)</f>
        <v>4</v>
      </c>
      <c r="N267">
        <f t="shared" ref="N267" si="528">N266+M267*(INT(A267-6/24)-INT(A266-6/24))+O267</f>
        <v>327</v>
      </c>
      <c r="O267">
        <f t="shared" si="192"/>
        <v>0</v>
      </c>
      <c r="P267" t="str">
        <f t="shared" ref="P267" si="529">IF(L267&lt;N267,"未達成（"&amp;N267-L267&amp;"）",IF(L267=N267,"達成","前倒し（"&amp;L267-N267&amp;"）"))</f>
        <v>未達成（1）</v>
      </c>
      <c r="Q267">
        <f t="shared" ref="Q267" si="53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589</v>
      </c>
      <c r="I268" t="s">
        <v>590</v>
      </c>
      <c r="J268">
        <v>0</v>
      </c>
      <c r="K268">
        <f t="shared" ref="K268" si="53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32">L267+K268</f>
        <v>327</v>
      </c>
      <c r="M268">
        <f t="shared" ref="M268" si="533">2+IF(A268&gt;=DATEVALUE("2025/11/30")+TIMEVALUE("6:00"),1,0)+IF(A268&gt;=DATEVALUE("2025/12/11")+TIMEVALUE("6:00"),1,0)</f>
        <v>4</v>
      </c>
      <c r="N268">
        <f t="shared" ref="N268" si="534">N267+M268*(INT(A268-6/24)-INT(A267-6/24))+O268</f>
        <v>327</v>
      </c>
      <c r="O268">
        <f t="shared" si="192"/>
        <v>0</v>
      </c>
      <c r="P268" t="str">
        <f t="shared" ref="P268" si="535">IF(L268&lt;N268,"未達成（"&amp;N268-L268&amp;"）",IF(L268=N268,"達成","前倒し（"&amp;L268-N268&amp;"）"))</f>
        <v>達成</v>
      </c>
      <c r="Q268">
        <f t="shared" ref="Q268" si="536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591</v>
      </c>
      <c r="I269" t="s">
        <v>592</v>
      </c>
      <c r="J269">
        <v>0</v>
      </c>
      <c r="K269">
        <f t="shared" ref="K269" si="537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38">L268+K269</f>
        <v>328</v>
      </c>
      <c r="M269">
        <f t="shared" ref="M269" si="539">2+IF(A269&gt;=DATEVALUE("2025/11/30")+TIMEVALUE("6:00"),1,0)+IF(A269&gt;=DATEVALUE("2025/12/11")+TIMEVALUE("6:00"),1,0)</f>
        <v>4</v>
      </c>
      <c r="N269">
        <f t="shared" ref="N269" si="540">N268+M269*(INT(A269-6/24)-INT(A268-6/24))+O269</f>
        <v>331</v>
      </c>
      <c r="O269">
        <f t="shared" si="192"/>
        <v>0</v>
      </c>
      <c r="P269" t="str">
        <f t="shared" ref="P269" si="541">IF(L269&lt;N269,"未達成（"&amp;N269-L269&amp;"）",IF(L269=N269,"達成","前倒し（"&amp;L269-N269&amp;"）"))</f>
        <v>未達成（3）</v>
      </c>
      <c r="Q269">
        <f t="shared" ref="Q269" si="542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593</v>
      </c>
      <c r="I270" t="s">
        <v>594</v>
      </c>
      <c r="J270">
        <v>0</v>
      </c>
      <c r="K270">
        <f t="shared" ref="K270" si="543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44">L269+K270</f>
        <v>330</v>
      </c>
      <c r="M270">
        <f t="shared" ref="M270" si="545">2+IF(A270&gt;=DATEVALUE("2025/11/30")+TIMEVALUE("6:00"),1,0)+IF(A270&gt;=DATEVALUE("2025/12/11")+TIMEVALUE("6:00"),1,0)</f>
        <v>4</v>
      </c>
      <c r="N270">
        <f t="shared" ref="N270" si="546">N269+M270*(INT(A270-6/24)-INT(A269-6/24))+O270</f>
        <v>331</v>
      </c>
      <c r="O270">
        <f t="shared" si="192"/>
        <v>0</v>
      </c>
      <c r="P270" t="str">
        <f t="shared" ref="P270" si="547">IF(L270&lt;N270,"未達成（"&amp;N270-L270&amp;"）",IF(L270=N270,"達成","前倒し（"&amp;L270-N270&amp;"）"))</f>
        <v>未達成（1）</v>
      </c>
      <c r="Q270">
        <f t="shared" ref="Q270" si="548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595</v>
      </c>
      <c r="I271" t="s">
        <v>596</v>
      </c>
      <c r="J271">
        <v>0</v>
      </c>
      <c r="K271">
        <f t="shared" ref="K271" si="549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550">L270+K271</f>
        <v>331</v>
      </c>
      <c r="M271">
        <f t="shared" ref="M271" si="551">2+IF(A271&gt;=DATEVALUE("2025/11/30")+TIMEVALUE("6:00"),1,0)+IF(A271&gt;=DATEVALUE("2025/12/11")+TIMEVALUE("6:00"),1,0)</f>
        <v>4</v>
      </c>
      <c r="N271">
        <f t="shared" ref="N271" si="552">N270+M271*(INT(A271-6/24)-INT(A270-6/24))+O271</f>
        <v>331</v>
      </c>
      <c r="O271">
        <f t="shared" si="192"/>
        <v>0</v>
      </c>
      <c r="P271" t="str">
        <f t="shared" ref="P271" si="553">IF(L271&lt;N271,"未達成（"&amp;N271-L271&amp;"）",IF(L271=N271,"達成","前倒し（"&amp;L271-N271&amp;"）"))</f>
        <v>達成</v>
      </c>
      <c r="Q271">
        <f t="shared" ref="Q271" si="554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597</v>
      </c>
      <c r="I272" t="s">
        <v>598</v>
      </c>
      <c r="J272">
        <v>0</v>
      </c>
      <c r="K272">
        <f t="shared" ref="K272" si="555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556">L271+K272</f>
        <v>333</v>
      </c>
      <c r="M272">
        <f t="shared" ref="M272" si="557">2+IF(A272&gt;=DATEVALUE("2025/11/30")+TIMEVALUE("6:00"),1,0)+IF(A272&gt;=DATEVALUE("2025/12/11")+TIMEVALUE("6:00"),1,0)</f>
        <v>4</v>
      </c>
      <c r="N272">
        <f t="shared" ref="N272" si="558">N271+M272*(INT(A272-6/24)-INT(A271-6/24))+O272</f>
        <v>335</v>
      </c>
      <c r="O272">
        <f t="shared" si="192"/>
        <v>0</v>
      </c>
      <c r="P272" t="str">
        <f t="shared" ref="P272" si="559">IF(L272&lt;N272,"未達成（"&amp;N272-L272&amp;"）",IF(L272=N272,"達成","前倒し（"&amp;L272-N272&amp;"）"))</f>
        <v>未達成（2）</v>
      </c>
      <c r="Q272">
        <f t="shared" ref="Q272" si="560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599</v>
      </c>
      <c r="I273" t="s">
        <v>600</v>
      </c>
      <c r="J273">
        <v>0</v>
      </c>
      <c r="K273">
        <f t="shared" ref="K273" si="561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562">L272+K273</f>
        <v>334</v>
      </c>
      <c r="M273">
        <f t="shared" ref="M273" si="563">2+IF(A273&gt;=DATEVALUE("2025/11/30")+TIMEVALUE("6:00"),1,0)+IF(A273&gt;=DATEVALUE("2025/12/11")+TIMEVALUE("6:00"),1,0)</f>
        <v>4</v>
      </c>
      <c r="N273">
        <f t="shared" ref="N273" si="564">N272+M273*(INT(A273-6/24)-INT(A272-6/24))+O273</f>
        <v>335</v>
      </c>
      <c r="O273">
        <f t="shared" si="192"/>
        <v>0</v>
      </c>
      <c r="P273" t="str">
        <f t="shared" ref="P273" si="565">IF(L273&lt;N273,"未達成（"&amp;N273-L273&amp;"）",IF(L273=N273,"達成","前倒し（"&amp;L273-N273&amp;"）"))</f>
        <v>未達成（1）</v>
      </c>
      <c r="Q273">
        <f t="shared" ref="Q273" si="566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601</v>
      </c>
      <c r="I274" t="s">
        <v>602</v>
      </c>
      <c r="J274">
        <v>0</v>
      </c>
      <c r="K274">
        <f t="shared" ref="K274" si="567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568">L273+K274</f>
        <v>336</v>
      </c>
      <c r="M274">
        <f t="shared" ref="M274" si="569">2+IF(A274&gt;=DATEVALUE("2025/11/30")+TIMEVALUE("6:00"),1,0)+IF(A274&gt;=DATEVALUE("2025/12/11")+TIMEVALUE("6:00"),1,0)</f>
        <v>4</v>
      </c>
      <c r="N274">
        <f t="shared" ref="N274" si="570">N273+M274*(INT(A274-6/24)-INT(A273-6/24))+O274</f>
        <v>335</v>
      </c>
      <c r="O274">
        <f t="shared" si="192"/>
        <v>0</v>
      </c>
      <c r="P274" t="str">
        <f t="shared" ref="P274" si="571">IF(L274&lt;N274,"未達成（"&amp;N274-L274&amp;"）",IF(L274=N274,"達成","前倒し（"&amp;L274-N274&amp;"）"))</f>
        <v>前倒し（1）</v>
      </c>
      <c r="Q274">
        <f t="shared" ref="Q274" si="572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603</v>
      </c>
      <c r="I275" t="s">
        <v>604</v>
      </c>
      <c r="J275">
        <v>1</v>
      </c>
      <c r="K275">
        <f t="shared" ref="K275" si="573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574">L274+K275</f>
        <v>336</v>
      </c>
      <c r="M275">
        <f t="shared" ref="M275" si="575">2+IF(A275&gt;=DATEVALUE("2025/11/30")+TIMEVALUE("6:00"),1,0)+IF(A275&gt;=DATEVALUE("2025/12/11")+TIMEVALUE("6:00"),1,0)</f>
        <v>4</v>
      </c>
      <c r="N275">
        <f t="shared" ref="N275" si="576">N274+M275*(INT(A275-6/24)-INT(A274-6/24))+O275</f>
        <v>339</v>
      </c>
      <c r="O275">
        <f t="shared" ref="O275:O310" si="577">IF(A275&gt;=DATEVALUE("2025/11/8")+TIMEVALUE("6:00"),1,0)-IF(A274&gt;=DATEVALUE("2025/11/8")+TIMEVALUE("6:00"),1,0)
+IF(A275&gt;=DATEVALUE("2026/1/22")+TIMEVALUE("6:00"),3,0)-IF(A274&gt;=DATEVALUE("2026/1/22")+TIMEVALUE("6:00"),3,0)
+IF(A275&gt;=DATEVALUE("2026/2/21")+TIMEVALUE("6:00"),1,0)-IF(A274&gt;=DATEVALUE("2026/2/21")+TIMEVALUE("6:00"),1,0)</f>
        <v>0</v>
      </c>
      <c r="P275" t="str">
        <f t="shared" ref="P275" si="578">IF(L275&lt;N275,"未達成（"&amp;N275-L275&amp;"）",IF(L275=N275,"達成","前倒し（"&amp;L275-N275&amp;"）"))</f>
        <v>未達成（3）</v>
      </c>
      <c r="Q275" t="e">
        <f t="shared" ref="Q275" si="579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605</v>
      </c>
      <c r="I276" t="s">
        <v>606</v>
      </c>
      <c r="J276">
        <v>0</v>
      </c>
      <c r="K276">
        <f t="shared" ref="K276" si="580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581">L275+K276</f>
        <v>338</v>
      </c>
      <c r="M276">
        <f t="shared" ref="M276" si="582">2+IF(A276&gt;=DATEVALUE("2025/11/30")+TIMEVALUE("6:00"),1,0)+IF(A276&gt;=DATEVALUE("2025/12/11")+TIMEVALUE("6:00"),1,0)</f>
        <v>4</v>
      </c>
      <c r="N276">
        <f t="shared" ref="N276" si="583">N275+M276*(INT(A276-6/24)-INT(A275-6/24))+O276</f>
        <v>339</v>
      </c>
      <c r="O276">
        <f t="shared" si="577"/>
        <v>0</v>
      </c>
      <c r="P276" t="str">
        <f t="shared" ref="P276" si="584">IF(L276&lt;N276,"未達成（"&amp;N276-L276&amp;"）",IF(L276=N276,"達成","前倒し（"&amp;L276-N276&amp;"）"))</f>
        <v>未達成（1）</v>
      </c>
      <c r="Q276">
        <f t="shared" ref="Q276" si="585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607</v>
      </c>
      <c r="I277" t="s">
        <v>608</v>
      </c>
      <c r="J277">
        <v>0</v>
      </c>
      <c r="K277">
        <f t="shared" ref="K277" si="586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587">L276+K277</f>
        <v>340</v>
      </c>
      <c r="M277">
        <f t="shared" ref="M277" si="588">2+IF(A277&gt;=DATEVALUE("2025/11/30")+TIMEVALUE("6:00"),1,0)+IF(A277&gt;=DATEVALUE("2025/12/11")+TIMEVALUE("6:00"),1,0)</f>
        <v>4</v>
      </c>
      <c r="N277">
        <f t="shared" ref="N277" si="589">N276+M277*(INT(A277-6/24)-INT(A276-6/24))+O277</f>
        <v>339</v>
      </c>
      <c r="O277">
        <f t="shared" si="577"/>
        <v>0</v>
      </c>
      <c r="P277" t="str">
        <f t="shared" ref="P277" si="590">IF(L277&lt;N277,"未達成（"&amp;N277-L277&amp;"）",IF(L277=N277,"達成","前倒し（"&amp;L277-N277&amp;"）"))</f>
        <v>前倒し（1）</v>
      </c>
      <c r="Q277">
        <f t="shared" ref="Q277" si="591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609</v>
      </c>
      <c r="I278" t="s">
        <v>610</v>
      </c>
      <c r="J278">
        <v>0</v>
      </c>
      <c r="K278">
        <f t="shared" ref="K278" si="592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593">L277+K278</f>
        <v>341</v>
      </c>
      <c r="M278">
        <f t="shared" ref="M278" si="594">2+IF(A278&gt;=DATEVALUE("2025/11/30")+TIMEVALUE("6:00"),1,0)+IF(A278&gt;=DATEVALUE("2025/12/11")+TIMEVALUE("6:00"),1,0)</f>
        <v>4</v>
      </c>
      <c r="N278">
        <f t="shared" ref="N278" si="595">N277+M278*(INT(A278-6/24)-INT(A277-6/24))+O278</f>
        <v>343</v>
      </c>
      <c r="O278">
        <f t="shared" si="577"/>
        <v>0</v>
      </c>
      <c r="P278" t="str">
        <f t="shared" ref="P278" si="596">IF(L278&lt;N278,"未達成（"&amp;N278-L278&amp;"）",IF(L278=N278,"達成","前倒し（"&amp;L278-N278&amp;"）"))</f>
        <v>未達成（2）</v>
      </c>
      <c r="Q278">
        <f t="shared" ref="Q278" si="59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611</v>
      </c>
      <c r="I279" t="s">
        <v>612</v>
      </c>
      <c r="J279">
        <v>0</v>
      </c>
      <c r="K279">
        <f t="shared" ref="K279" si="59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599">L278+K279</f>
        <v>341</v>
      </c>
      <c r="M279">
        <f t="shared" ref="M279" si="600">2+IF(A279&gt;=DATEVALUE("2025/11/30")+TIMEVALUE("6:00"),1,0)+IF(A279&gt;=DATEVALUE("2025/12/11")+TIMEVALUE("6:00"),1,0)</f>
        <v>4</v>
      </c>
      <c r="N279">
        <f t="shared" ref="N279" si="601">N278+M279*(INT(A279-6/24)-INT(A278-6/24))+O279</f>
        <v>343</v>
      </c>
      <c r="O279">
        <f t="shared" si="577"/>
        <v>0</v>
      </c>
      <c r="P279" t="str">
        <f t="shared" ref="P279" si="602">IF(L279&lt;N279,"未達成（"&amp;N279-L279&amp;"）",IF(L279=N279,"達成","前倒し（"&amp;L279-N279&amp;"）"))</f>
        <v>未達成（2）</v>
      </c>
      <c r="Q279">
        <f t="shared" ref="Q279" si="603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613</v>
      </c>
      <c r="I280" t="s">
        <v>614</v>
      </c>
      <c r="J280">
        <v>0</v>
      </c>
      <c r="K280">
        <f t="shared" ref="K280" si="604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05">L279+K280</f>
        <v>343</v>
      </c>
      <c r="M280">
        <f t="shared" ref="M280" si="606">2+IF(A280&gt;=DATEVALUE("2025/11/30")+TIMEVALUE("6:00"),1,0)+IF(A280&gt;=DATEVALUE("2025/12/11")+TIMEVALUE("6:00"),1,0)</f>
        <v>4</v>
      </c>
      <c r="N280">
        <f t="shared" ref="N280" si="607">N279+M280*(INT(A280-6/24)-INT(A279-6/24))+O280</f>
        <v>343</v>
      </c>
      <c r="O280">
        <f t="shared" si="577"/>
        <v>0</v>
      </c>
      <c r="P280" t="str">
        <f t="shared" ref="P280" si="608">IF(L280&lt;N280,"未達成（"&amp;N280-L280&amp;"）",IF(L280=N280,"達成","前倒し（"&amp;L280-N280&amp;"）"))</f>
        <v>達成</v>
      </c>
      <c r="Q280">
        <f t="shared" ref="Q280" si="609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615</v>
      </c>
      <c r="I281" t="s">
        <v>616</v>
      </c>
      <c r="J281">
        <v>0</v>
      </c>
      <c r="K281">
        <f t="shared" ref="K281" si="610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11">L280+K281</f>
        <v>344</v>
      </c>
      <c r="M281">
        <f t="shared" ref="M281" si="612">2+IF(A281&gt;=DATEVALUE("2025/11/30")+TIMEVALUE("6:00"),1,0)+IF(A281&gt;=DATEVALUE("2025/12/11")+TIMEVALUE("6:00"),1,0)</f>
        <v>4</v>
      </c>
      <c r="N281">
        <f t="shared" ref="N281" si="613">N280+M281*(INT(A281-6/24)-INT(A280-6/24))+O281</f>
        <v>347</v>
      </c>
      <c r="O281">
        <f t="shared" si="577"/>
        <v>0</v>
      </c>
      <c r="P281" t="str">
        <f t="shared" ref="P281" si="614">IF(L281&lt;N281,"未達成（"&amp;N281-L281&amp;"）",IF(L281=N281,"達成","前倒し（"&amp;L281-N281&amp;"）"))</f>
        <v>未達成（3）</v>
      </c>
      <c r="Q281">
        <f t="shared" ref="Q281" si="615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617</v>
      </c>
      <c r="I282" t="s">
        <v>618</v>
      </c>
      <c r="J282">
        <v>0</v>
      </c>
      <c r="K282">
        <f t="shared" ref="K282" si="616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17">L281+K282</f>
        <v>345</v>
      </c>
      <c r="M282">
        <f t="shared" ref="M282" si="618">2+IF(A282&gt;=DATEVALUE("2025/11/30")+TIMEVALUE("6:00"),1,0)+IF(A282&gt;=DATEVALUE("2025/12/11")+TIMEVALUE("6:00"),1,0)</f>
        <v>4</v>
      </c>
      <c r="N282">
        <f t="shared" ref="N282" si="619">N281+M282*(INT(A282-6/24)-INT(A281-6/24))+O282</f>
        <v>347</v>
      </c>
      <c r="O282">
        <f t="shared" si="577"/>
        <v>0</v>
      </c>
      <c r="P282" t="str">
        <f t="shared" ref="P282" si="620">IF(L282&lt;N282,"未達成（"&amp;N282-L282&amp;"）",IF(L282=N282,"達成","前倒し（"&amp;L282-N282&amp;"）"))</f>
        <v>未達成（2）</v>
      </c>
      <c r="Q282">
        <f t="shared" ref="Q282" si="621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619</v>
      </c>
      <c r="I283" t="s">
        <v>620</v>
      </c>
      <c r="J283">
        <v>0</v>
      </c>
      <c r="K283">
        <f t="shared" ref="K283" si="622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23">L282+K283</f>
        <v>347</v>
      </c>
      <c r="M283">
        <f t="shared" ref="M283" si="624">2+IF(A283&gt;=DATEVALUE("2025/11/30")+TIMEVALUE("6:00"),1,0)+IF(A283&gt;=DATEVALUE("2025/12/11")+TIMEVALUE("6:00"),1,0)</f>
        <v>4</v>
      </c>
      <c r="N283">
        <f t="shared" ref="N283" si="625">N282+M283*(INT(A283-6/24)-INT(A282-6/24))+O283</f>
        <v>347</v>
      </c>
      <c r="O283">
        <f t="shared" si="577"/>
        <v>0</v>
      </c>
      <c r="P283" t="str">
        <f t="shared" ref="P283" si="626">IF(L283&lt;N283,"未達成（"&amp;N283-L283&amp;"）",IF(L283=N283,"達成","前倒し（"&amp;L283-N283&amp;"）"))</f>
        <v>達成</v>
      </c>
      <c r="Q283">
        <f t="shared" ref="Q283" si="627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621</v>
      </c>
      <c r="I284" t="s">
        <v>622</v>
      </c>
      <c r="J284">
        <v>0</v>
      </c>
      <c r="K284">
        <f t="shared" ref="K284" si="628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29">L283+K284</f>
        <v>348</v>
      </c>
      <c r="M284">
        <f t="shared" ref="M284" si="630">2+IF(A284&gt;=DATEVALUE("2025/11/30")+TIMEVALUE("6:00"),1,0)+IF(A284&gt;=DATEVALUE("2025/12/11")+TIMEVALUE("6:00"),1,0)</f>
        <v>4</v>
      </c>
      <c r="N284">
        <f t="shared" ref="N284" si="631">N283+M284*(INT(A284-6/24)-INT(A283-6/24))+O284</f>
        <v>351</v>
      </c>
      <c r="O284">
        <f t="shared" si="577"/>
        <v>0</v>
      </c>
      <c r="P284" t="str">
        <f t="shared" ref="P284" si="632">IF(L284&lt;N284,"未達成（"&amp;N284-L284&amp;"）",IF(L284=N284,"達成","前倒し（"&amp;L284-N284&amp;"）"))</f>
        <v>未達成（3）</v>
      </c>
      <c r="Q284">
        <f t="shared" ref="Q284" si="633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623</v>
      </c>
      <c r="I285" t="s">
        <v>624</v>
      </c>
      <c r="J285">
        <v>0</v>
      </c>
      <c r="K285">
        <f t="shared" ref="K285" si="634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635">L284+K285</f>
        <v>350</v>
      </c>
      <c r="M285">
        <f t="shared" ref="M285" si="636">2+IF(A285&gt;=DATEVALUE("2025/11/30")+TIMEVALUE("6:00"),1,0)+IF(A285&gt;=DATEVALUE("2025/12/11")+TIMEVALUE("6:00"),1,0)</f>
        <v>4</v>
      </c>
      <c r="N285">
        <f t="shared" ref="N285" si="637">N284+M285*(INT(A285-6/24)-INT(A284-6/24))+O285</f>
        <v>351</v>
      </c>
      <c r="O285">
        <f t="shared" si="577"/>
        <v>0</v>
      </c>
      <c r="P285" t="str">
        <f t="shared" ref="P285" si="638">IF(L285&lt;N285,"未達成（"&amp;N285-L285&amp;"）",IF(L285=N285,"達成","前倒し（"&amp;L285-N285&amp;"）"))</f>
        <v>未達成（1）</v>
      </c>
      <c r="Q285">
        <f t="shared" ref="Q285" si="639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625</v>
      </c>
      <c r="I286" t="s">
        <v>626</v>
      </c>
      <c r="J286">
        <v>0</v>
      </c>
      <c r="K286">
        <f t="shared" ref="K286" si="640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641">L285+K286</f>
        <v>351</v>
      </c>
      <c r="M286">
        <f t="shared" ref="M286" si="642">2+IF(A286&gt;=DATEVALUE("2025/11/30")+TIMEVALUE("6:00"),1,0)+IF(A286&gt;=DATEVALUE("2025/12/11")+TIMEVALUE("6:00"),1,0)</f>
        <v>4</v>
      </c>
      <c r="N286">
        <f t="shared" ref="N286" si="643">N285+M286*(INT(A286-6/24)-INT(A285-6/24))+O286</f>
        <v>351</v>
      </c>
      <c r="O286">
        <f t="shared" si="577"/>
        <v>0</v>
      </c>
      <c r="P286" t="str">
        <f t="shared" ref="P286" si="644">IF(L286&lt;N286,"未達成（"&amp;N286-L286&amp;"）",IF(L286=N286,"達成","前倒し（"&amp;L286-N286&amp;"）"))</f>
        <v>達成</v>
      </c>
      <c r="Q286">
        <f t="shared" ref="Q286" si="645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627</v>
      </c>
      <c r="I287" t="s">
        <v>628</v>
      </c>
      <c r="J287">
        <v>0</v>
      </c>
      <c r="K287">
        <f t="shared" ref="K287" si="646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647">L286+K287</f>
        <v>352</v>
      </c>
      <c r="M287">
        <f t="shared" ref="M287" si="648">2+IF(A287&gt;=DATEVALUE("2025/11/30")+TIMEVALUE("6:00"),1,0)+IF(A287&gt;=DATEVALUE("2025/12/11")+TIMEVALUE("6:00"),1,0)</f>
        <v>4</v>
      </c>
      <c r="N287">
        <f t="shared" ref="N287" si="649">N286+M287*(INT(A287-6/24)-INT(A286-6/24))+O287</f>
        <v>355</v>
      </c>
      <c r="O287">
        <f t="shared" si="577"/>
        <v>0</v>
      </c>
      <c r="P287" t="str">
        <f t="shared" ref="P287" si="650">IF(L287&lt;N287,"未達成（"&amp;N287-L287&amp;"）",IF(L287=N287,"達成","前倒し（"&amp;L287-N287&amp;"）"))</f>
        <v>未達成（3）</v>
      </c>
      <c r="Q287">
        <f t="shared" ref="Q287" si="651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629</v>
      </c>
      <c r="I288" t="s">
        <v>630</v>
      </c>
      <c r="J288">
        <v>0</v>
      </c>
      <c r="K288">
        <f t="shared" ref="K288" si="652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653">L287+K288</f>
        <v>352</v>
      </c>
      <c r="M288">
        <f t="shared" ref="M288" si="654">2+IF(A288&gt;=DATEVALUE("2025/11/30")+TIMEVALUE("6:00"),1,0)+IF(A288&gt;=DATEVALUE("2025/12/11")+TIMEVALUE("6:00"),1,0)</f>
        <v>4</v>
      </c>
      <c r="N288">
        <f t="shared" ref="N288" si="655">N287+M288*(INT(A288-6/24)-INT(A287-6/24))+O288</f>
        <v>355</v>
      </c>
      <c r="O288">
        <f t="shared" si="577"/>
        <v>0</v>
      </c>
      <c r="P288" t="str">
        <f t="shared" ref="P288" si="656">IF(L288&lt;N288,"未達成（"&amp;N288-L288&amp;"）",IF(L288=N288,"達成","前倒し（"&amp;L288-N288&amp;"）"))</f>
        <v>未達成（3）</v>
      </c>
      <c r="Q288">
        <f t="shared" ref="Q288" si="65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631</v>
      </c>
      <c r="I289" t="s">
        <v>632</v>
      </c>
      <c r="J289">
        <v>0</v>
      </c>
      <c r="K289">
        <f t="shared" ref="K289" si="65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659">L288+K289</f>
        <v>352</v>
      </c>
      <c r="M289">
        <f t="shared" ref="M289" si="660">2+IF(A289&gt;=DATEVALUE("2025/11/30")+TIMEVALUE("6:00"),1,0)+IF(A289&gt;=DATEVALUE("2025/12/11")+TIMEVALUE("6:00"),1,0)</f>
        <v>4</v>
      </c>
      <c r="N289">
        <f t="shared" ref="N289" si="661">N288+M289*(INT(A289-6/24)-INT(A288-6/24))+O289</f>
        <v>355</v>
      </c>
      <c r="O289">
        <f t="shared" si="577"/>
        <v>0</v>
      </c>
      <c r="P289" t="str">
        <f t="shared" ref="P289" si="662">IF(L289&lt;N289,"未達成（"&amp;N289-L289&amp;"）",IF(L289=N289,"達成","前倒し（"&amp;L289-N289&amp;"）"))</f>
        <v>未達成（3）</v>
      </c>
      <c r="Q289">
        <f t="shared" ref="Q289" si="663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633</v>
      </c>
      <c r="I290" t="s">
        <v>634</v>
      </c>
      <c r="J290">
        <v>0</v>
      </c>
      <c r="K290">
        <f t="shared" ref="K290" si="664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665">L289+K290</f>
        <v>354</v>
      </c>
      <c r="M290">
        <f t="shared" ref="M290" si="666">2+IF(A290&gt;=DATEVALUE("2025/11/30")+TIMEVALUE("6:00"),1,0)+IF(A290&gt;=DATEVALUE("2025/12/11")+TIMEVALUE("6:00"),1,0)</f>
        <v>4</v>
      </c>
      <c r="N290">
        <f t="shared" ref="N290" si="667">N289+M290*(INT(A290-6/24)-INT(A289-6/24))+O290</f>
        <v>355</v>
      </c>
      <c r="O290">
        <f t="shared" si="577"/>
        <v>0</v>
      </c>
      <c r="P290" t="str">
        <f t="shared" ref="P290" si="668">IF(L290&lt;N290,"未達成（"&amp;N290-L290&amp;"）",IF(L290=N290,"達成","前倒し（"&amp;L290-N290&amp;"）"))</f>
        <v>未達成（1）</v>
      </c>
      <c r="Q290">
        <f t="shared" ref="Q290" si="669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635</v>
      </c>
      <c r="I291" t="s">
        <v>636</v>
      </c>
      <c r="J291">
        <v>1</v>
      </c>
      <c r="K291">
        <f t="shared" ref="K291" si="670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671">L290+K291</f>
        <v>354</v>
      </c>
      <c r="M291">
        <f t="shared" ref="M291" si="672">2+IF(A291&gt;=DATEVALUE("2025/11/30")+TIMEVALUE("6:00"),1,0)+IF(A291&gt;=DATEVALUE("2025/12/11")+TIMEVALUE("6:00"),1,0)</f>
        <v>4</v>
      </c>
      <c r="N291">
        <f t="shared" ref="N291" si="673">N290+M291*(INT(A291-6/24)-INT(A290-6/24))+O291</f>
        <v>355</v>
      </c>
      <c r="O291">
        <f t="shared" si="577"/>
        <v>0</v>
      </c>
      <c r="P291" t="str">
        <f t="shared" ref="P291" si="674">IF(L291&lt;N291,"未達成（"&amp;N291-L291&amp;"）",IF(L291=N291,"達成","前倒し（"&amp;L291-N291&amp;"）"))</f>
        <v>未達成（1）</v>
      </c>
      <c r="Q291" t="e">
        <f t="shared" ref="Q291" si="675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637</v>
      </c>
      <c r="I292" t="s">
        <v>638</v>
      </c>
      <c r="J292">
        <v>0</v>
      </c>
      <c r="K292">
        <f t="shared" ref="K292" si="676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677">L291+K292</f>
        <v>355</v>
      </c>
      <c r="M292">
        <f t="shared" ref="M292" si="678">2+IF(A292&gt;=DATEVALUE("2025/11/30")+TIMEVALUE("6:00"),1,0)+IF(A292&gt;=DATEVALUE("2025/12/11")+TIMEVALUE("6:00"),1,0)</f>
        <v>4</v>
      </c>
      <c r="N292">
        <f t="shared" ref="N292" si="679">N291+M292*(INT(A292-6/24)-INT(A291-6/24))+O292</f>
        <v>355</v>
      </c>
      <c r="O292">
        <f t="shared" si="577"/>
        <v>0</v>
      </c>
      <c r="P292" t="str">
        <f t="shared" ref="P292" si="680">IF(L292&lt;N292,"未達成（"&amp;N292-L292&amp;"）",IF(L292=N292,"達成","前倒し（"&amp;L292-N292&amp;"）"))</f>
        <v>達成</v>
      </c>
      <c r="Q292">
        <f t="shared" ref="Q292" si="681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639</v>
      </c>
      <c r="I293" t="s">
        <v>640</v>
      </c>
      <c r="J293">
        <v>0</v>
      </c>
      <c r="K293">
        <f t="shared" ref="K293" si="682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683">L292+K293</f>
        <v>357</v>
      </c>
      <c r="M293">
        <f t="shared" ref="M293" si="684">2+IF(A293&gt;=DATEVALUE("2025/11/30")+TIMEVALUE("6:00"),1,0)+IF(A293&gt;=DATEVALUE("2025/12/11")+TIMEVALUE("6:00"),1,0)</f>
        <v>4</v>
      </c>
      <c r="N293">
        <f t="shared" ref="N293" si="685">N292+M293*(INT(A293-6/24)-INT(A292-6/24))+O293</f>
        <v>359</v>
      </c>
      <c r="O293">
        <f t="shared" si="577"/>
        <v>0</v>
      </c>
      <c r="P293" t="str">
        <f t="shared" ref="P293" si="686">IF(L293&lt;N293,"未達成（"&amp;N293-L293&amp;"）",IF(L293=N293,"達成","前倒し（"&amp;L293-N293&amp;"）"))</f>
        <v>未達成（2）</v>
      </c>
      <c r="Q293">
        <f t="shared" ref="Q293" si="687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641</v>
      </c>
      <c r="I294" t="s">
        <v>642</v>
      </c>
      <c r="J294">
        <v>0</v>
      </c>
      <c r="K294">
        <f t="shared" ref="K294" si="688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689">L293+K294</f>
        <v>359</v>
      </c>
      <c r="M294">
        <f t="shared" ref="M294" si="690">2+IF(A294&gt;=DATEVALUE("2025/11/30")+TIMEVALUE("6:00"),1,0)+IF(A294&gt;=DATEVALUE("2025/12/11")+TIMEVALUE("6:00"),1,0)</f>
        <v>4</v>
      </c>
      <c r="N294">
        <f t="shared" ref="N294" si="691">N293+M294*(INT(A294-6/24)-INT(A293-6/24))+O294</f>
        <v>359</v>
      </c>
      <c r="O294">
        <f t="shared" si="577"/>
        <v>0</v>
      </c>
      <c r="P294" t="str">
        <f t="shared" ref="P294" si="692">IF(L294&lt;N294,"未達成（"&amp;N294-L294&amp;"）",IF(L294=N294,"達成","前倒し（"&amp;L294-N294&amp;"）"))</f>
        <v>達成</v>
      </c>
      <c r="Q294">
        <f t="shared" ref="Q294" si="693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643</v>
      </c>
      <c r="I295" t="s">
        <v>644</v>
      </c>
      <c r="J295">
        <v>0</v>
      </c>
      <c r="K295">
        <f t="shared" ref="K295" si="694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695">L294+K295</f>
        <v>360</v>
      </c>
      <c r="M295">
        <f t="shared" ref="M295" si="696">2+IF(A295&gt;=DATEVALUE("2025/11/30")+TIMEVALUE("6:00"),1,0)+IF(A295&gt;=DATEVALUE("2025/12/11")+TIMEVALUE("6:00"),1,0)</f>
        <v>4</v>
      </c>
      <c r="N295">
        <f t="shared" ref="N295" si="697">N294+M295*(INT(A295-6/24)-INT(A294-6/24))+O295</f>
        <v>363</v>
      </c>
      <c r="O295">
        <f t="shared" si="577"/>
        <v>0</v>
      </c>
      <c r="P295" t="str">
        <f t="shared" ref="P295" si="698">IF(L295&lt;N295,"未達成（"&amp;N295-L295&amp;"）",IF(L295=N295,"達成","前倒し（"&amp;L295-N295&amp;"）"))</f>
        <v>未達成（3）</v>
      </c>
      <c r="Q295">
        <f t="shared" ref="Q295" si="699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645</v>
      </c>
      <c r="I296" t="s">
        <v>646</v>
      </c>
      <c r="J296">
        <v>0</v>
      </c>
      <c r="K296">
        <f t="shared" ref="K296" si="700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01">L295+K296</f>
        <v>362</v>
      </c>
      <c r="M296">
        <f t="shared" ref="M296" si="702">2+IF(A296&gt;=DATEVALUE("2025/11/30")+TIMEVALUE("6:00"),1,0)+IF(A296&gt;=DATEVALUE("2025/12/11")+TIMEVALUE("6:00"),1,0)</f>
        <v>4</v>
      </c>
      <c r="N296">
        <f t="shared" ref="N296" si="703">N295+M296*(INT(A296-6/24)-INT(A295-6/24))+O296</f>
        <v>363</v>
      </c>
      <c r="O296">
        <f t="shared" si="577"/>
        <v>0</v>
      </c>
      <c r="P296" t="str">
        <f t="shared" ref="P296" si="704">IF(L296&lt;N296,"未達成（"&amp;N296-L296&amp;"）",IF(L296=N296,"達成","前倒し（"&amp;L296-N296&amp;"）"))</f>
        <v>未達成（1）</v>
      </c>
      <c r="Q296">
        <f t="shared" ref="Q296" si="705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647</v>
      </c>
      <c r="I297" t="s">
        <v>648</v>
      </c>
      <c r="J297">
        <v>0</v>
      </c>
      <c r="K297">
        <f t="shared" ref="K297" si="706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07">L296+K297</f>
        <v>363</v>
      </c>
      <c r="M297">
        <f t="shared" ref="M297" si="708">2+IF(A297&gt;=DATEVALUE("2025/11/30")+TIMEVALUE("6:00"),1,0)+IF(A297&gt;=DATEVALUE("2025/12/11")+TIMEVALUE("6:00"),1,0)</f>
        <v>4</v>
      </c>
      <c r="N297">
        <f t="shared" ref="N297" si="709">N296+M297*(INT(A297-6/24)-INT(A296-6/24))+O297</f>
        <v>363</v>
      </c>
      <c r="O297">
        <f t="shared" si="577"/>
        <v>0</v>
      </c>
      <c r="P297" t="str">
        <f t="shared" ref="P297" si="710">IF(L297&lt;N297,"未達成（"&amp;N297-L297&amp;"）",IF(L297=N297,"達成","前倒し（"&amp;L297-N297&amp;"）"))</f>
        <v>達成</v>
      </c>
      <c r="Q297">
        <f t="shared" ref="Q297" si="711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649</v>
      </c>
      <c r="I298" t="s">
        <v>650</v>
      </c>
      <c r="J298">
        <v>0</v>
      </c>
      <c r="K298">
        <f t="shared" ref="K298" si="712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13">L297+K298</f>
        <v>365</v>
      </c>
      <c r="M298">
        <f t="shared" ref="M298" si="714">2+IF(A298&gt;=DATEVALUE("2025/11/30")+TIMEVALUE("6:00"),1,0)+IF(A298&gt;=DATEVALUE("2025/12/11")+TIMEVALUE("6:00"),1,0)</f>
        <v>4</v>
      </c>
      <c r="N298">
        <f t="shared" ref="N298" si="715">N297+M298*(INT(A298-6/24)-INT(A297-6/24))+O298</f>
        <v>367</v>
      </c>
      <c r="O298">
        <f t="shared" si="577"/>
        <v>0</v>
      </c>
      <c r="P298" t="str">
        <f t="shared" ref="P298" si="716">IF(L298&lt;N298,"未達成（"&amp;N298-L298&amp;"）",IF(L298=N298,"達成","前倒し（"&amp;L298-N298&amp;"）"))</f>
        <v>未達成（2）</v>
      </c>
      <c r="Q298">
        <f t="shared" ref="Q298" si="71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651</v>
      </c>
      <c r="I299" t="s">
        <v>652</v>
      </c>
      <c r="J299">
        <v>0</v>
      </c>
      <c r="K299">
        <f t="shared" ref="K299" si="71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19">L298+K299</f>
        <v>367</v>
      </c>
      <c r="M299">
        <f t="shared" ref="M299" si="720">2+IF(A299&gt;=DATEVALUE("2025/11/30")+TIMEVALUE("6:00"),1,0)+IF(A299&gt;=DATEVALUE("2025/12/11")+TIMEVALUE("6:00"),1,0)</f>
        <v>4</v>
      </c>
      <c r="N299">
        <f t="shared" ref="N299" si="721">N298+M299*(INT(A299-6/24)-INT(A298-6/24))+O299</f>
        <v>367</v>
      </c>
      <c r="O299">
        <f t="shared" si="577"/>
        <v>0</v>
      </c>
      <c r="P299" t="str">
        <f t="shared" ref="P299" si="722">IF(L299&lt;N299,"未達成（"&amp;N299-L299&amp;"）",IF(L299=N299,"達成","前倒し（"&amp;L299-N299&amp;"）"))</f>
        <v>達成</v>
      </c>
      <c r="Q299">
        <f t="shared" ref="Q299" si="723">IF(B299="",NA(),G299)</f>
        <v>4.4212962966412306E-3</v>
      </c>
    </row>
    <row r="300" spans="1:17">
      <c r="A300" s="3">
        <v>46071.285358796296</v>
      </c>
      <c r="B300">
        <v>60</v>
      </c>
      <c r="C300">
        <v>14</v>
      </c>
      <c r="D300">
        <v>0</v>
      </c>
      <c r="E300">
        <v>0</v>
      </c>
      <c r="F300">
        <v>0</v>
      </c>
      <c r="G300" s="5">
        <v>8.2175925927003846E-3</v>
      </c>
      <c r="H300" t="s">
        <v>653</v>
      </c>
      <c r="I300" t="s">
        <v>654</v>
      </c>
      <c r="J300">
        <v>0</v>
      </c>
      <c r="K300">
        <f t="shared" ref="K300" si="724">IF(A300&lt;DATEVALUE("2025/11/20")+TIMEVALUE("6:00"),1,IF(OR(B300&lt;&gt;60,SUM(D300:F300)&lt;&gt;0,G300&gt;=IF(A300&lt;DATEVALUE("2025/12/28")+TIMEVALUE("6:00"),20,18)/24/60),0,2-INT(G300*24*60/10)))</f>
        <v>1</v>
      </c>
      <c r="L300">
        <f t="shared" ref="L300" si="725">L299+K300</f>
        <v>368</v>
      </c>
      <c r="M300">
        <f t="shared" ref="M300" si="726">2+IF(A300&gt;=DATEVALUE("2025/11/30")+TIMEVALUE("6:00"),1,0)+IF(A300&gt;=DATEVALUE("2025/12/11")+TIMEVALUE("6:00"),1,0)</f>
        <v>4</v>
      </c>
      <c r="N300">
        <f t="shared" ref="N300" si="727">N299+M300*(INT(A300-6/24)-INT(A299-6/24))+O300</f>
        <v>371</v>
      </c>
      <c r="O300">
        <f t="shared" si="577"/>
        <v>0</v>
      </c>
      <c r="P300" t="str">
        <f t="shared" ref="P300" si="728">IF(L300&lt;N300,"未達成（"&amp;N300-L300&amp;"）",IF(L300=N300,"達成","前倒し（"&amp;L300-N300&amp;"）"))</f>
        <v>未達成（3）</v>
      </c>
      <c r="Q300">
        <f t="shared" ref="Q300" si="729">IF(B300="",NA(),G300)</f>
        <v>8.2175925927003846E-3</v>
      </c>
    </row>
    <row r="301" spans="1:17">
      <c r="A301" s="3">
        <v>46071.29247685185</v>
      </c>
      <c r="B301">
        <v>60</v>
      </c>
      <c r="C301">
        <v>22</v>
      </c>
      <c r="D301">
        <v>0</v>
      </c>
      <c r="E301">
        <v>0</v>
      </c>
      <c r="F301">
        <v>0</v>
      </c>
      <c r="G301" s="5">
        <v>6.5393518525524996E-3</v>
      </c>
      <c r="H301" t="s">
        <v>655</v>
      </c>
      <c r="I301" t="s">
        <v>656</v>
      </c>
      <c r="J301">
        <v>0</v>
      </c>
      <c r="K301">
        <f t="shared" ref="K301" si="730">IF(A301&lt;DATEVALUE("2025/11/20")+TIMEVALUE("6:00"),1,IF(OR(B301&lt;&gt;60,SUM(D301:F301)&lt;&gt;0,G301&gt;=IF(A301&lt;DATEVALUE("2025/12/28")+TIMEVALUE("6:00"),20,18)/24/60),0,2-INT(G301*24*60/10)))</f>
        <v>2</v>
      </c>
      <c r="L301">
        <f t="shared" ref="L301" si="731">L300+K301</f>
        <v>370</v>
      </c>
      <c r="M301">
        <f t="shared" ref="M301" si="732">2+IF(A301&gt;=DATEVALUE("2025/11/30")+TIMEVALUE("6:00"),1,0)+IF(A301&gt;=DATEVALUE("2025/12/11")+TIMEVALUE("6:00"),1,0)</f>
        <v>4</v>
      </c>
      <c r="N301">
        <f t="shared" ref="N301" si="733">N300+M301*(INT(A301-6/24)-INT(A300-6/24))+O301</f>
        <v>371</v>
      </c>
      <c r="O301">
        <f t="shared" si="577"/>
        <v>0</v>
      </c>
      <c r="P301" t="str">
        <f t="shared" ref="P301" si="734">IF(L301&lt;N301,"未達成（"&amp;N301-L301&amp;"）",IF(L301=N301,"達成","前倒し（"&amp;L301-N301&amp;"）"))</f>
        <v>未達成（1）</v>
      </c>
      <c r="Q301">
        <f t="shared" ref="Q301" si="735">IF(B301="",NA(),G301)</f>
        <v>6.5393518525524996E-3</v>
      </c>
    </row>
    <row r="302" spans="1:17">
      <c r="A302" s="3">
        <v>46071.301759259259</v>
      </c>
      <c r="B302">
        <v>54</v>
      </c>
      <c r="C302">
        <v>14</v>
      </c>
      <c r="D302">
        <v>0</v>
      </c>
      <c r="E302">
        <v>6</v>
      </c>
      <c r="F302">
        <v>0</v>
      </c>
      <c r="G302" s="5">
        <v>6.9097222221898846E-3</v>
      </c>
      <c r="H302" t="s">
        <v>657</v>
      </c>
      <c r="I302" t="s">
        <v>658</v>
      </c>
      <c r="J302">
        <v>0</v>
      </c>
      <c r="K302">
        <f t="shared" ref="K302" si="736">IF(A302&lt;DATEVALUE("2025/11/20")+TIMEVALUE("6:00"),1,IF(OR(B302&lt;&gt;60,SUM(D302:F302)&lt;&gt;0,G302&gt;=IF(A302&lt;DATEVALUE("2025/12/28")+TIMEVALUE("6:00"),20,18)/24/60),0,2-INT(G302*24*60/10)))</f>
        <v>0</v>
      </c>
      <c r="L302">
        <f t="shared" ref="L302" si="737">L301+K302</f>
        <v>370</v>
      </c>
      <c r="M302">
        <f t="shared" ref="M302" si="738">2+IF(A302&gt;=DATEVALUE("2025/11/30")+TIMEVALUE("6:00"),1,0)+IF(A302&gt;=DATEVALUE("2025/12/11")+TIMEVALUE("6:00"),1,0)</f>
        <v>4</v>
      </c>
      <c r="N302">
        <f t="shared" ref="N302" si="739">N301+M302*(INT(A302-6/24)-INT(A301-6/24))+O302</f>
        <v>371</v>
      </c>
      <c r="O302">
        <f t="shared" si="577"/>
        <v>0</v>
      </c>
      <c r="P302" t="str">
        <f t="shared" ref="P302" si="740">IF(L302&lt;N302,"未達成（"&amp;N302-L302&amp;"）",IF(L302=N302,"達成","前倒し（"&amp;L302-N302&amp;"）"))</f>
        <v>未達成（1）</v>
      </c>
      <c r="Q302">
        <f t="shared" ref="Q302" si="741">IF(B302="",NA(),G302)</f>
        <v>6.9097222221898846E-3</v>
      </c>
    </row>
    <row r="303" spans="1:17">
      <c r="A303" s="3">
        <v>46071.309282407405</v>
      </c>
      <c r="B303">
        <v>60</v>
      </c>
      <c r="C303">
        <v>13</v>
      </c>
      <c r="D303">
        <v>0</v>
      </c>
      <c r="E303">
        <v>0</v>
      </c>
      <c r="F303">
        <v>0</v>
      </c>
      <c r="G303" s="5">
        <v>6.8287036992842332E-3</v>
      </c>
      <c r="H303" t="s">
        <v>659</v>
      </c>
      <c r="I303" t="s">
        <v>660</v>
      </c>
      <c r="J303">
        <v>0</v>
      </c>
      <c r="K303">
        <f t="shared" ref="K303" si="742">IF(A303&lt;DATEVALUE("2025/11/20")+TIMEVALUE("6:00"),1,IF(OR(B303&lt;&gt;60,SUM(D303:F303)&lt;&gt;0,G303&gt;=IF(A303&lt;DATEVALUE("2025/12/28")+TIMEVALUE("6:00"),20,18)/24/60),0,2-INT(G303*24*60/10)))</f>
        <v>2</v>
      </c>
      <c r="L303">
        <f t="shared" ref="L303" si="743">L302+K303</f>
        <v>372</v>
      </c>
      <c r="M303">
        <f t="shared" ref="M303" si="744">2+IF(A303&gt;=DATEVALUE("2025/11/30")+TIMEVALUE("6:00"),1,0)+IF(A303&gt;=DATEVALUE("2025/12/11")+TIMEVALUE("6:00"),1,0)</f>
        <v>4</v>
      </c>
      <c r="N303">
        <f t="shared" ref="N303" si="745">N302+M303*(INT(A303-6/24)-INT(A302-6/24))+O303</f>
        <v>371</v>
      </c>
      <c r="O303">
        <f t="shared" si="577"/>
        <v>0</v>
      </c>
      <c r="P303" t="str">
        <f t="shared" ref="P303" si="746">IF(L303&lt;N303,"未達成（"&amp;N303-L303&amp;"）",IF(L303=N303,"達成","前倒し（"&amp;L303-N303&amp;"）"))</f>
        <v>前倒し（1）</v>
      </c>
      <c r="Q303">
        <f t="shared" ref="Q303" si="747">IF(B303="",NA(),G303)</f>
        <v>6.8287036992842332E-3</v>
      </c>
    </row>
    <row r="304" spans="1:17">
      <c r="A304" s="3">
        <v>46072.296064814815</v>
      </c>
      <c r="B304">
        <v>60</v>
      </c>
      <c r="C304">
        <v>4</v>
      </c>
      <c r="D304">
        <v>0</v>
      </c>
      <c r="E304">
        <v>0</v>
      </c>
      <c r="F304">
        <v>0</v>
      </c>
      <c r="G304" s="5">
        <v>8.0555555541650392E-3</v>
      </c>
      <c r="H304" t="s">
        <v>661</v>
      </c>
      <c r="I304" t="s">
        <v>662</v>
      </c>
      <c r="J304">
        <v>0</v>
      </c>
      <c r="K304">
        <f t="shared" ref="K304" si="748">IF(A304&lt;DATEVALUE("2025/11/20")+TIMEVALUE("6:00"),1,IF(OR(B304&lt;&gt;60,SUM(D304:F304)&lt;&gt;0,G304&gt;=IF(A304&lt;DATEVALUE("2025/12/28")+TIMEVALUE("6:00"),20,18)/24/60),0,2-INT(G304*24*60/10)))</f>
        <v>1</v>
      </c>
      <c r="L304">
        <f t="shared" ref="L304" si="749">L303+K304</f>
        <v>373</v>
      </c>
      <c r="M304">
        <f t="shared" ref="M304" si="750">2+IF(A304&gt;=DATEVALUE("2025/11/30")+TIMEVALUE("6:00"),1,0)+IF(A304&gt;=DATEVALUE("2025/12/11")+TIMEVALUE("6:00"),1,0)</f>
        <v>4</v>
      </c>
      <c r="N304">
        <f t="shared" ref="N304" si="751">N303+M304*(INT(A304-6/24)-INT(A303-6/24))+O304</f>
        <v>375</v>
      </c>
      <c r="O304">
        <f t="shared" si="577"/>
        <v>0</v>
      </c>
      <c r="P304" t="str">
        <f t="shared" ref="P304" si="752">IF(L304&lt;N304,"未達成（"&amp;N304-L304&amp;"）",IF(L304=N304,"達成","前倒し（"&amp;L304-N304&amp;"）"))</f>
        <v>未達成（2）</v>
      </c>
      <c r="Q304">
        <f t="shared" ref="Q304" si="753">IF(B304="",NA(),G304)</f>
        <v>8.0555555541650392E-3</v>
      </c>
    </row>
    <row r="305" spans="1:17">
      <c r="A305" s="3">
        <v>46072.303217592591</v>
      </c>
      <c r="B305">
        <v>60</v>
      </c>
      <c r="C305">
        <v>27</v>
      </c>
      <c r="D305">
        <v>0</v>
      </c>
      <c r="E305">
        <v>0</v>
      </c>
      <c r="F305">
        <v>0</v>
      </c>
      <c r="G305" s="5">
        <v>6.4930555527098477E-3</v>
      </c>
      <c r="H305" t="s">
        <v>663</v>
      </c>
      <c r="I305" t="s">
        <v>664</v>
      </c>
      <c r="J305">
        <v>0</v>
      </c>
      <c r="K305">
        <f t="shared" ref="K305" si="754">IF(A305&lt;DATEVALUE("2025/11/20")+TIMEVALUE("6:00"),1,IF(OR(B305&lt;&gt;60,SUM(D305:F305)&lt;&gt;0,G305&gt;=IF(A305&lt;DATEVALUE("2025/12/28")+TIMEVALUE("6:00"),20,18)/24/60),0,2-INT(G305*24*60/10)))</f>
        <v>2</v>
      </c>
      <c r="L305">
        <f t="shared" ref="L305" si="755">L304+K305</f>
        <v>375</v>
      </c>
      <c r="M305">
        <f t="shared" ref="M305" si="756">2+IF(A305&gt;=DATEVALUE("2025/11/30")+TIMEVALUE("6:00"),1,0)+IF(A305&gt;=DATEVALUE("2025/12/11")+TIMEVALUE("6:00"),1,0)</f>
        <v>4</v>
      </c>
      <c r="N305">
        <f t="shared" ref="N305" si="757">N304+M305*(INT(A305-6/24)-INT(A304-6/24))+O305</f>
        <v>375</v>
      </c>
      <c r="O305">
        <f t="shared" si="577"/>
        <v>0</v>
      </c>
      <c r="P305" t="str">
        <f t="shared" ref="P305" si="758">IF(L305&lt;N305,"未達成（"&amp;N305-L305&amp;"）",IF(L305=N305,"達成","前倒し（"&amp;L305-N305&amp;"）"))</f>
        <v>達成</v>
      </c>
      <c r="Q305">
        <f t="shared" ref="Q305" si="759">IF(B305="",NA(),G305)</f>
        <v>6.4930555527098477E-3</v>
      </c>
    </row>
    <row r="306" spans="1:17">
      <c r="A306" s="3">
        <v>46073.294212962966</v>
      </c>
      <c r="B306">
        <v>60</v>
      </c>
      <c r="C306">
        <v>11</v>
      </c>
      <c r="D306">
        <v>0</v>
      </c>
      <c r="E306">
        <v>0</v>
      </c>
      <c r="F306">
        <v>0</v>
      </c>
      <c r="G306" s="5">
        <v>5.3472222280106507E-3</v>
      </c>
      <c r="H306" t="s">
        <v>665</v>
      </c>
      <c r="I306" t="s">
        <v>666</v>
      </c>
      <c r="J306">
        <v>0</v>
      </c>
      <c r="K306">
        <f t="shared" ref="K306" si="760">IF(A306&lt;DATEVALUE("2025/11/20")+TIMEVALUE("6:00"),1,IF(OR(B306&lt;&gt;60,SUM(D306:F306)&lt;&gt;0,G306&gt;=IF(A306&lt;DATEVALUE("2025/12/28")+TIMEVALUE("6:00"),20,18)/24/60),0,2-INT(G306*24*60/10)))</f>
        <v>2</v>
      </c>
      <c r="L306">
        <f t="shared" ref="L306" si="761">L305+K306</f>
        <v>377</v>
      </c>
      <c r="M306">
        <f t="shared" ref="M306" si="762">2+IF(A306&gt;=DATEVALUE("2025/11/30")+TIMEVALUE("6:00"),1,0)+IF(A306&gt;=DATEVALUE("2025/12/11")+TIMEVALUE("6:00"),1,0)</f>
        <v>4</v>
      </c>
      <c r="N306">
        <f t="shared" ref="N306" si="763">N305+M306*(INT(A306-6/24)-INT(A305-6/24))+O306</f>
        <v>379</v>
      </c>
      <c r="O306">
        <f t="shared" si="577"/>
        <v>0</v>
      </c>
      <c r="P306" t="str">
        <f t="shared" ref="P306" si="764">IF(L306&lt;N306,"未達成（"&amp;N306-L306&amp;"）",IF(L306=N306,"達成","前倒し（"&amp;L306-N306&amp;"）"))</f>
        <v>未達成（2）</v>
      </c>
      <c r="Q306">
        <f t="shared" ref="Q306" si="765">IF(B306="",NA(),G306)</f>
        <v>5.3472222280106507E-3</v>
      </c>
    </row>
    <row r="307" spans="1:17">
      <c r="A307" s="3">
        <v>46073.303460648145</v>
      </c>
      <c r="B307">
        <v>60</v>
      </c>
      <c r="C307">
        <v>14</v>
      </c>
      <c r="D307">
        <v>0</v>
      </c>
      <c r="E307">
        <v>0</v>
      </c>
      <c r="F307">
        <v>0</v>
      </c>
      <c r="G307" s="5">
        <v>8.4606481468654238E-3</v>
      </c>
      <c r="H307" t="s">
        <v>667</v>
      </c>
      <c r="I307" t="s">
        <v>668</v>
      </c>
      <c r="J307">
        <v>0</v>
      </c>
      <c r="K307">
        <f t="shared" ref="K307" si="766">IF(A307&lt;DATEVALUE("2025/11/20")+TIMEVALUE("6:00"),1,IF(OR(B307&lt;&gt;60,SUM(D307:F307)&lt;&gt;0,G307&gt;=IF(A307&lt;DATEVALUE("2025/12/28")+TIMEVALUE("6:00"),20,18)/24/60),0,2-INT(G307*24*60/10)))</f>
        <v>1</v>
      </c>
      <c r="L307">
        <f t="shared" ref="L307" si="767">L306+K307</f>
        <v>378</v>
      </c>
      <c r="M307">
        <f t="shared" ref="M307" si="768">2+IF(A307&gt;=DATEVALUE("2025/11/30")+TIMEVALUE("6:00"),1,0)+IF(A307&gt;=DATEVALUE("2025/12/11")+TIMEVALUE("6:00"),1,0)</f>
        <v>4</v>
      </c>
      <c r="N307">
        <f t="shared" ref="N307" si="769">N306+M307*(INT(A307-6/24)-INT(A306-6/24))+O307</f>
        <v>379</v>
      </c>
      <c r="O307">
        <f t="shared" si="577"/>
        <v>0</v>
      </c>
      <c r="P307" t="str">
        <f t="shared" ref="P307" si="770">IF(L307&lt;N307,"未達成（"&amp;N307-L307&amp;"）",IF(L307=N307,"達成","前倒し（"&amp;L307-N307&amp;"）"))</f>
        <v>未達成（1）</v>
      </c>
      <c r="Q307">
        <f t="shared" ref="Q307" si="771">IF(B307="",NA(),G307)</f>
        <v>8.4606481468654238E-3</v>
      </c>
    </row>
    <row r="308" spans="1:17">
      <c r="A308" s="3">
        <v>46073.309305555558</v>
      </c>
      <c r="B308">
        <v>60</v>
      </c>
      <c r="C308">
        <v>6</v>
      </c>
      <c r="D308">
        <v>0</v>
      </c>
      <c r="E308">
        <v>0</v>
      </c>
      <c r="F308">
        <v>0</v>
      </c>
      <c r="G308" s="5">
        <v>5.2546296356013045E-3</v>
      </c>
      <c r="H308" t="s">
        <v>669</v>
      </c>
      <c r="I308" t="s">
        <v>670</v>
      </c>
      <c r="J308">
        <v>0</v>
      </c>
      <c r="K308">
        <f t="shared" ref="K308" si="772">IF(A308&lt;DATEVALUE("2025/11/20")+TIMEVALUE("6:00"),1,IF(OR(B308&lt;&gt;60,SUM(D308:F308)&lt;&gt;0,G308&gt;=IF(A308&lt;DATEVALUE("2025/12/28")+TIMEVALUE("6:00"),20,18)/24/60),0,2-INT(G308*24*60/10)))</f>
        <v>2</v>
      </c>
      <c r="L308">
        <f t="shared" ref="L308" si="773">L307+K308</f>
        <v>380</v>
      </c>
      <c r="M308">
        <f t="shared" ref="M308" si="774">2+IF(A308&gt;=DATEVALUE("2025/11/30")+TIMEVALUE("6:00"),1,0)+IF(A308&gt;=DATEVALUE("2025/12/11")+TIMEVALUE("6:00"),1,0)</f>
        <v>4</v>
      </c>
      <c r="N308">
        <f t="shared" ref="N308" si="775">N307+M308*(INT(A308-6/24)-INT(A307-6/24))+O308</f>
        <v>379</v>
      </c>
      <c r="O308">
        <f t="shared" si="577"/>
        <v>0</v>
      </c>
      <c r="P308" t="str">
        <f t="shared" ref="P308" si="776">IF(L308&lt;N308,"未達成（"&amp;N308-L308&amp;"）",IF(L308=N308,"達成","前倒し（"&amp;L308-N308&amp;"）"))</f>
        <v>前倒し（1）</v>
      </c>
      <c r="Q308">
        <f t="shared" ref="Q308" si="777">IF(B308="",NA(),G308)</f>
        <v>5.2546296356013045E-3</v>
      </c>
    </row>
    <row r="309" spans="1:17">
      <c r="A309" s="3">
        <v>46074.309247685182</v>
      </c>
      <c r="B309">
        <v>60</v>
      </c>
      <c r="C309">
        <v>16</v>
      </c>
      <c r="D309">
        <v>0</v>
      </c>
      <c r="E309">
        <v>0</v>
      </c>
      <c r="F309">
        <v>0</v>
      </c>
      <c r="G309" s="5">
        <v>5.8912036984111182E-3</v>
      </c>
      <c r="H309" t="s">
        <v>671</v>
      </c>
      <c r="I309" t="s">
        <v>672</v>
      </c>
      <c r="J309">
        <v>0</v>
      </c>
      <c r="K309">
        <f t="shared" ref="K309" si="778">IF(A309&lt;DATEVALUE("2025/11/20")+TIMEVALUE("6:00"),1,IF(OR(B309&lt;&gt;60,SUM(D309:F309)&lt;&gt;0,G309&gt;=IF(A309&lt;DATEVALUE("2025/12/28")+TIMEVALUE("6:00"),20,18)/24/60),0,2-INT(G309*24*60/10)))</f>
        <v>2</v>
      </c>
      <c r="L309">
        <f t="shared" ref="L309" si="779">L308+K309</f>
        <v>382</v>
      </c>
      <c r="M309">
        <f t="shared" ref="M309" si="780">2+IF(A309&gt;=DATEVALUE("2025/11/30")+TIMEVALUE("6:00"),1,0)+IF(A309&gt;=DATEVALUE("2025/12/11")+TIMEVALUE("6:00"),1,0)</f>
        <v>4</v>
      </c>
      <c r="N309">
        <f t="shared" ref="N309" si="781">N308+M309*(INT(A309-6/24)-INT(A308-6/24))+O309</f>
        <v>384</v>
      </c>
      <c r="O309">
        <f t="shared" si="577"/>
        <v>1</v>
      </c>
      <c r="P309" t="str">
        <f t="shared" ref="P309" si="782">IF(L309&lt;N309,"未達成（"&amp;N309-L309&amp;"）",IF(L309=N309,"達成","前倒し（"&amp;L309-N309&amp;"）"))</f>
        <v>未達成（2）</v>
      </c>
      <c r="Q309">
        <f t="shared" ref="Q309" si="783">IF(B309="",NA(),G309)</f>
        <v>5.8912036984111182E-3</v>
      </c>
    </row>
    <row r="310" spans="1:17">
      <c r="A310" s="3">
        <v>46074.316076388888</v>
      </c>
      <c r="B310">
        <v>60</v>
      </c>
      <c r="C310">
        <v>12</v>
      </c>
      <c r="D310">
        <v>0</v>
      </c>
      <c r="E310">
        <v>0</v>
      </c>
      <c r="F310">
        <v>0</v>
      </c>
      <c r="G310" s="5">
        <v>6.2152777754818089E-3</v>
      </c>
      <c r="H310" t="s">
        <v>673</v>
      </c>
      <c r="I310" t="s">
        <v>674</v>
      </c>
      <c r="J310">
        <v>0</v>
      </c>
      <c r="K310">
        <f t="shared" ref="K310" si="784">IF(A310&lt;DATEVALUE("2025/11/20")+TIMEVALUE("6:00"),1,IF(OR(B310&lt;&gt;60,SUM(D310:F310)&lt;&gt;0,G310&gt;=IF(A310&lt;DATEVALUE("2025/12/28")+TIMEVALUE("6:00"),20,18)/24/60),0,2-INT(G310*24*60/10)))</f>
        <v>2</v>
      </c>
      <c r="L310">
        <f t="shared" ref="L310" si="785">L309+K310</f>
        <v>384</v>
      </c>
      <c r="M310">
        <f t="shared" ref="M310" si="786">2+IF(A310&gt;=DATEVALUE("2025/11/30")+TIMEVALUE("6:00"),1,0)+IF(A310&gt;=DATEVALUE("2025/12/11")+TIMEVALUE("6:00"),1,0)</f>
        <v>4</v>
      </c>
      <c r="N310">
        <f t="shared" ref="N310" si="787">N309+M310*(INT(A310-6/24)-INT(A309-6/24))+O310</f>
        <v>384</v>
      </c>
      <c r="O310">
        <f t="shared" si="577"/>
        <v>0</v>
      </c>
      <c r="P310" t="str">
        <f t="shared" ref="P310" si="788">IF(L310&lt;N310,"未達成（"&amp;N310-L310&amp;"）",IF(L310=N310,"達成","前倒し（"&amp;L310-N310&amp;"）"))</f>
        <v>達成</v>
      </c>
      <c r="Q310">
        <f t="shared" ref="Q310" si="789">IF(B310="",NA(),G310)</f>
        <v>6.2152777754818089E-3</v>
      </c>
    </row>
    <row r="311" spans="1:17">
      <c r="A311" s="3">
        <v>46075.278703703705</v>
      </c>
      <c r="B311">
        <v>60</v>
      </c>
      <c r="C311">
        <v>8</v>
      </c>
      <c r="D311">
        <v>0</v>
      </c>
      <c r="E311">
        <v>0</v>
      </c>
      <c r="F311">
        <v>0</v>
      </c>
      <c r="G311" s="5">
        <v>9.1203703705104999E-3</v>
      </c>
      <c r="H311" t="s">
        <v>676</v>
      </c>
      <c r="I311" t="s">
        <v>677</v>
      </c>
      <c r="J311">
        <v>0</v>
      </c>
      <c r="K311">
        <f t="shared" ref="K311" si="790">IF(A311&lt;DATEVALUE("2025/11/20")+TIMEVALUE("6:00"),1,IF(OR(B311&lt;&gt;60,SUM(D311:F311)&lt;&gt;0,G311&gt;=IF(A311&lt;DATEVALUE("2025/12/28")+TIMEVALUE("6:00"),20,18)/24/60),0,2-INT(G311*24*60/10)))</f>
        <v>1</v>
      </c>
      <c r="L311">
        <f t="shared" ref="L311" si="791">L310+K311</f>
        <v>385</v>
      </c>
      <c r="M311">
        <f t="shared" ref="M311" si="792">2+IF(A311&gt;=DATEVALUE("2025/11/30")+TIMEVALUE("6:00"),1,0)+IF(A311&gt;=DATEVALUE("2025/12/11")+TIMEVALUE("6:00"),1,0)</f>
        <v>4</v>
      </c>
      <c r="N311">
        <f t="shared" ref="N311" si="793">N310+M311*(INT(A311-6/24)-INT(A310-6/24))+O311</f>
        <v>388</v>
      </c>
      <c r="O311">
        <f t="shared" ref="O311" si="794">IF(A311&gt;=DATEVALUE("2025/11/8")+TIMEVALUE("6:00"),1,0)-IF(A310&gt;=DATEVALUE("2025/11/8")+TIMEVALUE("6:00"),1,0)
+IF(A311&gt;=DATEVALUE("2026/1/22")+TIMEVALUE("6:00"),3,0)-IF(A310&gt;=DATEVALUE("2026/1/22")+TIMEVALUE("6:00"),3,0)
+IF(A311&gt;=DATEVALUE("2026/2/21")+TIMEVALUE("6:00"),1,0)-IF(A310&gt;=DATEVALUE("2026/2/21")+TIMEVALUE("6:00"),1,0)</f>
        <v>0</v>
      </c>
      <c r="P311" t="str">
        <f t="shared" ref="P311" si="795">IF(L311&lt;N311,"未達成（"&amp;N311-L311&amp;"）",IF(L311=N311,"達成","前倒し（"&amp;L311-N311&amp;"）"))</f>
        <v>未達成（3）</v>
      </c>
      <c r="Q311">
        <f t="shared" ref="Q311" si="796">IF(B311="",NA(),G311)</f>
        <v>9.1203703705104999E-3</v>
      </c>
    </row>
    <row r="312" spans="1:17">
      <c r="A312" s="3">
        <v>46075.28570601852</v>
      </c>
      <c r="B312">
        <v>60</v>
      </c>
      <c r="C312">
        <v>8</v>
      </c>
      <c r="D312">
        <v>0</v>
      </c>
      <c r="E312">
        <v>0</v>
      </c>
      <c r="F312">
        <v>0</v>
      </c>
      <c r="G312" s="5">
        <v>6.2615740753244609E-3</v>
      </c>
      <c r="H312" t="s">
        <v>678</v>
      </c>
      <c r="I312" t="s">
        <v>679</v>
      </c>
      <c r="J312">
        <v>0</v>
      </c>
      <c r="K312">
        <f t="shared" ref="K312" si="797">IF(A312&lt;DATEVALUE("2025/11/20")+TIMEVALUE("6:00"),1,IF(OR(B312&lt;&gt;60,SUM(D312:F312)&lt;&gt;0,G312&gt;=IF(A312&lt;DATEVALUE("2025/12/28")+TIMEVALUE("6:00"),20,18)/24/60),0,2-INT(G312*24*60/10)))</f>
        <v>2</v>
      </c>
      <c r="L312">
        <f t="shared" ref="L312" si="798">L311+K312</f>
        <v>387</v>
      </c>
      <c r="M312">
        <f t="shared" ref="M312" si="799">2+IF(A312&gt;=DATEVALUE("2025/11/30")+TIMEVALUE("6:00"),1,0)+IF(A312&gt;=DATEVALUE("2025/12/11")+TIMEVALUE("6:00"),1,0)</f>
        <v>4</v>
      </c>
      <c r="N312">
        <f t="shared" ref="N312" si="800">N311+M312*(INT(A312-6/24)-INT(A311-6/24))+O312</f>
        <v>388</v>
      </c>
      <c r="O312">
        <f t="shared" ref="O312" si="801">IF(A312&gt;=DATEVALUE("2025/11/8")+TIMEVALUE("6:00"),1,0)-IF(A311&gt;=DATEVALUE("2025/11/8")+TIMEVALUE("6:00"),1,0)
+IF(A312&gt;=DATEVALUE("2026/1/22")+TIMEVALUE("6:00"),3,0)-IF(A311&gt;=DATEVALUE("2026/1/22")+TIMEVALUE("6:00"),3,0)
+IF(A312&gt;=DATEVALUE("2026/2/21")+TIMEVALUE("6:00"),1,0)-IF(A311&gt;=DATEVALUE("2026/2/21")+TIMEVALUE("6:00"),1,0)</f>
        <v>0</v>
      </c>
      <c r="P312" t="str">
        <f t="shared" ref="P312" si="802">IF(L312&lt;N312,"未達成（"&amp;N312-L312&amp;"）",IF(L312=N312,"達成","前倒し（"&amp;L312-N312&amp;"）"))</f>
        <v>未達成（1）</v>
      </c>
      <c r="Q312">
        <f t="shared" ref="Q312" si="803">IF(B312="",NA(),G312)</f>
        <v>6.2615740753244609E-3</v>
      </c>
    </row>
    <row r="313" spans="1:17">
      <c r="A313" s="3">
        <v>46075.294641203705</v>
      </c>
      <c r="B313">
        <v>60</v>
      </c>
      <c r="C313">
        <v>26</v>
      </c>
      <c r="D313">
        <v>0</v>
      </c>
      <c r="E313">
        <v>0</v>
      </c>
      <c r="F313">
        <v>0</v>
      </c>
      <c r="G313" s="5">
        <v>8.2175925927003846E-3</v>
      </c>
      <c r="H313" t="s">
        <v>680</v>
      </c>
      <c r="I313" t="s">
        <v>681</v>
      </c>
      <c r="J313">
        <v>0</v>
      </c>
      <c r="K313">
        <f t="shared" ref="K313" si="804">IF(A313&lt;DATEVALUE("2025/11/20")+TIMEVALUE("6:00"),1,IF(OR(B313&lt;&gt;60,SUM(D313:F313)&lt;&gt;0,G313&gt;=IF(A313&lt;DATEVALUE("2025/12/28")+TIMEVALUE("6:00"),20,18)/24/60),0,2-INT(G313*24*60/10)))</f>
        <v>1</v>
      </c>
      <c r="L313">
        <f t="shared" ref="L313" si="805">L312+K313</f>
        <v>388</v>
      </c>
      <c r="M313">
        <f t="shared" ref="M313" si="806">2+IF(A313&gt;=DATEVALUE("2025/11/30")+TIMEVALUE("6:00"),1,0)+IF(A313&gt;=DATEVALUE("2025/12/11")+TIMEVALUE("6:00"),1,0)</f>
        <v>4</v>
      </c>
      <c r="N313">
        <f t="shared" ref="N313" si="807">N312+M313*(INT(A313-6/24)-INT(A312-6/24))+O313</f>
        <v>388</v>
      </c>
      <c r="O313">
        <f t="shared" ref="O313" si="808">IF(A313&gt;=DATEVALUE("2025/11/8")+TIMEVALUE("6:00"),1,0)-IF(A312&gt;=DATEVALUE("2025/11/8")+TIMEVALUE("6:00"),1,0)
+IF(A313&gt;=DATEVALUE("2026/1/22")+TIMEVALUE("6:00"),3,0)-IF(A312&gt;=DATEVALUE("2026/1/22")+TIMEVALUE("6:00"),3,0)
+IF(A313&gt;=DATEVALUE("2026/2/21")+TIMEVALUE("6:00"),1,0)-IF(A312&gt;=DATEVALUE("2026/2/21")+TIMEVALUE("6:00"),1,0)</f>
        <v>0</v>
      </c>
      <c r="P313" t="str">
        <f t="shared" ref="P313" si="809">IF(L313&lt;N313,"未達成（"&amp;N313-L313&amp;"）",IF(L313=N313,"達成","前倒し（"&amp;L313-N313&amp;"）"))</f>
        <v>達成</v>
      </c>
      <c r="Q313">
        <f t="shared" ref="Q313" si="810">IF(B313="",NA(),G313)</f>
        <v>8.2175925927003846E-3</v>
      </c>
    </row>
    <row r="314" spans="1:17">
      <c r="A314" s="3">
        <v>46076.28765046296</v>
      </c>
      <c r="B314">
        <v>60</v>
      </c>
      <c r="C314">
        <v>17</v>
      </c>
      <c r="D314">
        <v>0</v>
      </c>
      <c r="E314">
        <v>0</v>
      </c>
      <c r="F314">
        <v>0</v>
      </c>
      <c r="G314" s="5">
        <v>1.6284722216369119E-2</v>
      </c>
      <c r="H314" t="s">
        <v>682</v>
      </c>
      <c r="I314" t="s">
        <v>683</v>
      </c>
      <c r="J314">
        <v>0</v>
      </c>
      <c r="K314">
        <f t="shared" ref="K314" si="811">IF(A314&lt;DATEVALUE("2025/11/20")+TIMEVALUE("6:00"),1,IF(OR(B314&lt;&gt;60,SUM(D314:F314)&lt;&gt;0,G314&gt;=IF(A314&lt;DATEVALUE("2025/12/28")+TIMEVALUE("6:00"),20,18)/24/60),0,2-INT(G314*24*60/10)))</f>
        <v>0</v>
      </c>
      <c r="L314">
        <f t="shared" ref="L314" si="812">L313+K314</f>
        <v>388</v>
      </c>
      <c r="M314">
        <f t="shared" ref="M314" si="813">2+IF(A314&gt;=DATEVALUE("2025/11/30")+TIMEVALUE("6:00"),1,0)+IF(A314&gt;=DATEVALUE("2025/12/11")+TIMEVALUE("6:00"),1,0)</f>
        <v>4</v>
      </c>
      <c r="N314">
        <f t="shared" ref="N314" si="814">N313+M314*(INT(A314-6/24)-INT(A313-6/24))+O314</f>
        <v>392</v>
      </c>
      <c r="O314">
        <f t="shared" ref="O314" si="815">IF(A314&gt;=DATEVALUE("2025/11/8")+TIMEVALUE("6:00"),1,0)-IF(A313&gt;=DATEVALUE("2025/11/8")+TIMEVALUE("6:00"),1,0)
+IF(A314&gt;=DATEVALUE("2026/1/22")+TIMEVALUE("6:00"),3,0)-IF(A313&gt;=DATEVALUE("2026/1/22")+TIMEVALUE("6:00"),3,0)
+IF(A314&gt;=DATEVALUE("2026/2/21")+TIMEVALUE("6:00"),1,0)-IF(A313&gt;=DATEVALUE("2026/2/21")+TIMEVALUE("6:00"),1,0)</f>
        <v>0</v>
      </c>
      <c r="P314" t="str">
        <f t="shared" ref="P314" si="816">IF(L314&lt;N314,"未達成（"&amp;N314-L314&amp;"）",IF(L314=N314,"達成","前倒し（"&amp;L314-N314&amp;"）"))</f>
        <v>未達成（4）</v>
      </c>
      <c r="Q314">
        <f t="shared" ref="Q314" si="817">IF(B314="",NA(),G314)</f>
        <v>1.6284722216369119E-2</v>
      </c>
    </row>
    <row r="315" spans="1:17">
      <c r="A315" s="3">
        <v>46076.295347222222</v>
      </c>
      <c r="B315">
        <v>60</v>
      </c>
      <c r="C315">
        <v>6</v>
      </c>
      <c r="D315">
        <v>0</v>
      </c>
      <c r="E315">
        <v>0</v>
      </c>
      <c r="F315">
        <v>0</v>
      </c>
      <c r="G315" s="5">
        <v>6.5509259220561944E-3</v>
      </c>
      <c r="H315" t="s">
        <v>684</v>
      </c>
      <c r="I315" t="s">
        <v>685</v>
      </c>
      <c r="J315">
        <v>0</v>
      </c>
      <c r="K315">
        <f t="shared" ref="K315" si="818">IF(A315&lt;DATEVALUE("2025/11/20")+TIMEVALUE("6:00"),1,IF(OR(B315&lt;&gt;60,SUM(D315:F315)&lt;&gt;0,G315&gt;=IF(A315&lt;DATEVALUE("2025/12/28")+TIMEVALUE("6:00"),20,18)/24/60),0,2-INT(G315*24*60/10)))</f>
        <v>2</v>
      </c>
      <c r="L315">
        <f t="shared" ref="L315" si="819">L314+K315</f>
        <v>390</v>
      </c>
      <c r="M315">
        <f t="shared" ref="M315" si="820">2+IF(A315&gt;=DATEVALUE("2025/11/30")+TIMEVALUE("6:00"),1,0)+IF(A315&gt;=DATEVALUE("2025/12/11")+TIMEVALUE("6:00"),1,0)</f>
        <v>4</v>
      </c>
      <c r="N315">
        <f t="shared" ref="N315" si="821">N314+M315*(INT(A315-6/24)-INT(A314-6/24))+O315</f>
        <v>392</v>
      </c>
      <c r="O315">
        <f t="shared" ref="O315" si="822">IF(A315&gt;=DATEVALUE("2025/11/8")+TIMEVALUE("6:00"),1,0)-IF(A314&gt;=DATEVALUE("2025/11/8")+TIMEVALUE("6:00"),1,0)
+IF(A315&gt;=DATEVALUE("2026/1/22")+TIMEVALUE("6:00"),3,0)-IF(A314&gt;=DATEVALUE("2026/1/22")+TIMEVALUE("6:00"),3,0)
+IF(A315&gt;=DATEVALUE("2026/2/21")+TIMEVALUE("6:00"),1,0)-IF(A314&gt;=DATEVALUE("2026/2/21")+TIMEVALUE("6:00"),1,0)</f>
        <v>0</v>
      </c>
      <c r="P315" t="str">
        <f t="shared" ref="P315" si="823">IF(L315&lt;N315,"未達成（"&amp;N315-L315&amp;"）",IF(L315=N315,"達成","前倒し（"&amp;L315-N315&amp;"）"))</f>
        <v>未達成（2）</v>
      </c>
      <c r="Q315">
        <f t="shared" ref="Q315" si="824">IF(B315="",NA(),G315)</f>
        <v>6.5509259220561944E-3</v>
      </c>
    </row>
    <row r="316" spans="1:17">
      <c r="A316" s="3">
        <v>46076.311805555553</v>
      </c>
      <c r="B316">
        <v>60</v>
      </c>
      <c r="C316">
        <v>4</v>
      </c>
      <c r="D316">
        <v>0</v>
      </c>
      <c r="E316">
        <v>0</v>
      </c>
      <c r="F316">
        <v>0</v>
      </c>
      <c r="G316" s="5">
        <v>5.428240736364387E-3</v>
      </c>
      <c r="H316" t="s">
        <v>686</v>
      </c>
      <c r="I316" t="s">
        <v>687</v>
      </c>
      <c r="J316">
        <v>0</v>
      </c>
      <c r="K316">
        <f t="shared" ref="K316" si="825">IF(A316&lt;DATEVALUE("2025/11/20")+TIMEVALUE("6:00"),1,IF(OR(B316&lt;&gt;60,SUM(D316:F316)&lt;&gt;0,G316&gt;=IF(A316&lt;DATEVALUE("2025/12/28")+TIMEVALUE("6:00"),20,18)/24/60),0,2-INT(G316*24*60/10)))</f>
        <v>2</v>
      </c>
      <c r="L316">
        <f t="shared" ref="L316" si="826">L315+K316</f>
        <v>392</v>
      </c>
      <c r="M316">
        <f t="shared" ref="M316" si="827">2+IF(A316&gt;=DATEVALUE("2025/11/30")+TIMEVALUE("6:00"),1,0)+IF(A316&gt;=DATEVALUE("2025/12/11")+TIMEVALUE("6:00"),1,0)</f>
        <v>4</v>
      </c>
      <c r="N316">
        <f t="shared" ref="N316" si="828">N315+M316*(INT(A316-6/24)-INT(A315-6/24))+O316</f>
        <v>392</v>
      </c>
      <c r="O316">
        <f t="shared" ref="O316" si="829">IF(A316&gt;=DATEVALUE("2025/11/8")+TIMEVALUE("6:00"),1,0)-IF(A315&gt;=DATEVALUE("2025/11/8")+TIMEVALUE("6:00"),1,0)
+IF(A316&gt;=DATEVALUE("2026/1/22")+TIMEVALUE("6:00"),3,0)-IF(A315&gt;=DATEVALUE("2026/1/22")+TIMEVALUE("6:00"),3,0)
+IF(A316&gt;=DATEVALUE("2026/2/21")+TIMEVALUE("6:00"),1,0)-IF(A315&gt;=DATEVALUE("2026/2/21")+TIMEVALUE("6:00"),1,0)</f>
        <v>0</v>
      </c>
      <c r="P316" t="str">
        <f t="shared" ref="P316" si="830">IF(L316&lt;N316,"未達成（"&amp;N316-L316&amp;"）",IF(L316=N316,"達成","前倒し（"&amp;L316-N316&amp;"）"))</f>
        <v>達成</v>
      </c>
      <c r="Q316">
        <f t="shared" ref="Q316" si="831">IF(B316="",NA(),G316)</f>
        <v>5.428240736364387E-3</v>
      </c>
    </row>
    <row r="317" spans="1:17">
      <c r="A317" s="3">
        <v>46077.300196759257</v>
      </c>
      <c r="B317">
        <v>60</v>
      </c>
      <c r="C317">
        <v>12</v>
      </c>
      <c r="D317">
        <v>0</v>
      </c>
      <c r="E317">
        <v>0</v>
      </c>
      <c r="F317">
        <v>0</v>
      </c>
      <c r="G317" s="5">
        <v>4.4907407354912721E-3</v>
      </c>
      <c r="H317" t="s">
        <v>688</v>
      </c>
      <c r="I317" t="s">
        <v>689</v>
      </c>
      <c r="J317">
        <v>0</v>
      </c>
      <c r="K317">
        <f t="shared" ref="K317" si="832">IF(A317&lt;DATEVALUE("2025/11/20")+TIMEVALUE("6:00"),1,IF(OR(B317&lt;&gt;60,SUM(D317:F317)&lt;&gt;0,G317&gt;=IF(A317&lt;DATEVALUE("2025/12/28")+TIMEVALUE("6:00"),20,18)/24/60),0,2-INT(G317*24*60/10)))</f>
        <v>2</v>
      </c>
      <c r="L317">
        <f t="shared" ref="L317" si="833">L316+K317</f>
        <v>394</v>
      </c>
      <c r="M317">
        <f t="shared" ref="M317" si="834">2+IF(A317&gt;=DATEVALUE("2025/11/30")+TIMEVALUE("6:00"),1,0)+IF(A317&gt;=DATEVALUE("2025/12/11")+TIMEVALUE("6:00"),1,0)</f>
        <v>4</v>
      </c>
      <c r="N317">
        <f t="shared" ref="N317" si="835">N316+M317*(INT(A317-6/24)-INT(A316-6/24))+O317</f>
        <v>396</v>
      </c>
      <c r="O317">
        <f t="shared" ref="O317" si="836">IF(A317&gt;=DATEVALUE("2025/11/8")+TIMEVALUE("6:00"),1,0)-IF(A316&gt;=DATEVALUE("2025/11/8")+TIMEVALUE("6:00"),1,0)
+IF(A317&gt;=DATEVALUE("2026/1/22")+TIMEVALUE("6:00"),3,0)-IF(A316&gt;=DATEVALUE("2026/1/22")+TIMEVALUE("6:00"),3,0)
+IF(A317&gt;=DATEVALUE("2026/2/21")+TIMEVALUE("6:00"),1,0)-IF(A316&gt;=DATEVALUE("2026/2/21")+TIMEVALUE("6:00"),1,0)</f>
        <v>0</v>
      </c>
      <c r="P317" t="str">
        <f t="shared" ref="P317" si="837">IF(L317&lt;N317,"未達成（"&amp;N317-L317&amp;"）",IF(L317=N317,"達成","前倒し（"&amp;L317-N317&amp;"）"))</f>
        <v>未達成（2）</v>
      </c>
      <c r="Q317">
        <f t="shared" ref="Q317" si="838">IF(B317="",NA(),G317)</f>
        <v>4.4907407354912721E-3</v>
      </c>
    </row>
    <row r="318" spans="1:17">
      <c r="A318" s="3">
        <v>46077.307708333334</v>
      </c>
      <c r="B318">
        <v>60</v>
      </c>
      <c r="C318">
        <v>8</v>
      </c>
      <c r="D318">
        <v>0</v>
      </c>
      <c r="E318">
        <v>0</v>
      </c>
      <c r="F318">
        <v>0</v>
      </c>
      <c r="G318" s="5">
        <v>6.921296298969537E-3</v>
      </c>
      <c r="H318" t="s">
        <v>690</v>
      </c>
      <c r="I318" t="s">
        <v>691</v>
      </c>
      <c r="J318">
        <v>0</v>
      </c>
      <c r="K318">
        <f t="shared" ref="K318" si="839">IF(A318&lt;DATEVALUE("2025/11/20")+TIMEVALUE("6:00"),1,IF(OR(B318&lt;&gt;60,SUM(D318:F318)&lt;&gt;0,G318&gt;=IF(A318&lt;DATEVALUE("2025/12/28")+TIMEVALUE("6:00"),20,18)/24/60),0,2-INT(G318*24*60/10)))</f>
        <v>2</v>
      </c>
      <c r="L318">
        <f t="shared" ref="L318" si="840">L317+K318</f>
        <v>396</v>
      </c>
      <c r="M318">
        <f t="shared" ref="M318" si="841">2+IF(A318&gt;=DATEVALUE("2025/11/30")+TIMEVALUE("6:00"),1,0)+IF(A318&gt;=DATEVALUE("2025/12/11")+TIMEVALUE("6:00"),1,0)</f>
        <v>4</v>
      </c>
      <c r="N318">
        <f t="shared" ref="N318" si="842">N317+M318*(INT(A318-6/24)-INT(A317-6/24))+O318</f>
        <v>396</v>
      </c>
      <c r="O318">
        <f t="shared" ref="O318" si="843">IF(A318&gt;=DATEVALUE("2025/11/8")+TIMEVALUE("6:00"),1,0)-IF(A317&gt;=DATEVALUE("2025/11/8")+TIMEVALUE("6:00"),1,0)
+IF(A318&gt;=DATEVALUE("2026/1/22")+TIMEVALUE("6:00"),3,0)-IF(A317&gt;=DATEVALUE("2026/1/22")+TIMEVALUE("6:00"),3,0)
+IF(A318&gt;=DATEVALUE("2026/2/21")+TIMEVALUE("6:00"),1,0)-IF(A317&gt;=DATEVALUE("2026/2/21")+TIMEVALUE("6:00"),1,0)</f>
        <v>0</v>
      </c>
      <c r="P318" t="str">
        <f t="shared" ref="P318" si="844">IF(L318&lt;N318,"未達成（"&amp;N318-L318&amp;"）",IF(L318=N318,"達成","前倒し（"&amp;L318-N318&amp;"）"))</f>
        <v>達成</v>
      </c>
      <c r="Q318">
        <f t="shared" ref="Q318" si="845">IF(B318="",NA(),G318)</f>
        <v>6.921296298969537E-3</v>
      </c>
    </row>
    <row r="319" spans="1:17">
      <c r="A319" s="3">
        <v>46078.310289351852</v>
      </c>
      <c r="B319">
        <v>60</v>
      </c>
      <c r="C319">
        <v>6</v>
      </c>
      <c r="D319">
        <v>0</v>
      </c>
      <c r="E319">
        <v>0</v>
      </c>
      <c r="F319">
        <v>0</v>
      </c>
      <c r="G319" s="5">
        <v>8.5648148160544224E-3</v>
      </c>
      <c r="H319" t="s">
        <v>692</v>
      </c>
      <c r="I319" t="s">
        <v>693</v>
      </c>
      <c r="J319">
        <v>0</v>
      </c>
      <c r="K319">
        <f t="shared" ref="K319" si="846">IF(A319&lt;DATEVALUE("2025/11/20")+TIMEVALUE("6:00"),1,IF(OR(B319&lt;&gt;60,SUM(D319:F319)&lt;&gt;0,G319&gt;=IF(A319&lt;DATEVALUE("2025/12/28")+TIMEVALUE("6:00"),20,18)/24/60),0,2-INT(G319*24*60/10)))</f>
        <v>1</v>
      </c>
      <c r="L319">
        <f t="shared" ref="L319" si="847">L318+K319</f>
        <v>397</v>
      </c>
      <c r="M319">
        <f t="shared" ref="M319" si="848">2+IF(A319&gt;=DATEVALUE("2025/11/30")+TIMEVALUE("6:00"),1,0)+IF(A319&gt;=DATEVALUE("2025/12/11")+TIMEVALUE("6:00"),1,0)</f>
        <v>4</v>
      </c>
      <c r="N319">
        <f t="shared" ref="N319" si="849">N318+M319*(INT(A319-6/24)-INT(A318-6/24))+O319</f>
        <v>400</v>
      </c>
      <c r="O319">
        <f t="shared" ref="O319" si="850">IF(A319&gt;=DATEVALUE("2025/11/8")+TIMEVALUE("6:00"),1,0)-IF(A318&gt;=DATEVALUE("2025/11/8")+TIMEVALUE("6:00"),1,0)
+IF(A319&gt;=DATEVALUE("2026/1/22")+TIMEVALUE("6:00"),3,0)-IF(A318&gt;=DATEVALUE("2026/1/22")+TIMEVALUE("6:00"),3,0)
+IF(A319&gt;=DATEVALUE("2026/2/21")+TIMEVALUE("6:00"),1,0)-IF(A318&gt;=DATEVALUE("2026/2/21")+TIMEVALUE("6:00"),1,0)</f>
        <v>0</v>
      </c>
      <c r="P319" t="str">
        <f t="shared" ref="P319" si="851">IF(L319&lt;N319,"未達成（"&amp;N319-L319&amp;"）",IF(L319=N319,"達成","前倒し（"&amp;L319-N319&amp;"）"))</f>
        <v>未達成（3）</v>
      </c>
      <c r="Q319">
        <f t="shared" ref="Q319" si="852">IF(B319="",NA(),G319)</f>
        <v>8.5648148160544224E-3</v>
      </c>
    </row>
    <row r="320" spans="1:17">
      <c r="A320" s="3">
        <v>46078.321273148147</v>
      </c>
      <c r="B320">
        <v>60</v>
      </c>
      <c r="C320">
        <v>11</v>
      </c>
      <c r="D320">
        <v>0</v>
      </c>
      <c r="E320">
        <v>0</v>
      </c>
      <c r="F320">
        <v>0</v>
      </c>
      <c r="G320" s="5">
        <v>1.0578703702776693E-2</v>
      </c>
      <c r="H320" t="s">
        <v>694</v>
      </c>
      <c r="I320" t="s">
        <v>695</v>
      </c>
      <c r="J320">
        <v>0</v>
      </c>
      <c r="K320">
        <f t="shared" ref="K320" si="853">IF(A320&lt;DATEVALUE("2025/11/20")+TIMEVALUE("6:00"),1,IF(OR(B320&lt;&gt;60,SUM(D320:F320)&lt;&gt;0,G320&gt;=IF(A320&lt;DATEVALUE("2025/12/28")+TIMEVALUE("6:00"),20,18)/24/60),0,2-INT(G320*24*60/10)))</f>
        <v>1</v>
      </c>
      <c r="L320">
        <f t="shared" ref="L320" si="854">L319+K320</f>
        <v>398</v>
      </c>
      <c r="M320">
        <f t="shared" ref="M320" si="855">2+IF(A320&gt;=DATEVALUE("2025/11/30")+TIMEVALUE("6:00"),1,0)+IF(A320&gt;=DATEVALUE("2025/12/11")+TIMEVALUE("6:00"),1,0)</f>
        <v>4</v>
      </c>
      <c r="N320">
        <f t="shared" ref="N320" si="856">N319+M320*(INT(A320-6/24)-INT(A319-6/24))+O320</f>
        <v>400</v>
      </c>
      <c r="O320">
        <f t="shared" ref="O320" si="857">IF(A320&gt;=DATEVALUE("2025/11/8")+TIMEVALUE("6:00"),1,0)-IF(A319&gt;=DATEVALUE("2025/11/8")+TIMEVALUE("6:00"),1,0)
+IF(A320&gt;=DATEVALUE("2026/1/22")+TIMEVALUE("6:00"),3,0)-IF(A319&gt;=DATEVALUE("2026/1/22")+TIMEVALUE("6:00"),3,0)
+IF(A320&gt;=DATEVALUE("2026/2/21")+TIMEVALUE("6:00"),1,0)-IF(A319&gt;=DATEVALUE("2026/2/21")+TIMEVALUE("6:00"),1,0)</f>
        <v>0</v>
      </c>
      <c r="P320" t="str">
        <f t="shared" ref="P320" si="858">IF(L320&lt;N320,"未達成（"&amp;N320-L320&amp;"）",IF(L320=N320,"達成","前倒し（"&amp;L320-N320&amp;"）"))</f>
        <v>未達成（2）</v>
      </c>
      <c r="Q320">
        <f t="shared" ref="Q320" si="859">IF(B320="",NA(),G320)</f>
        <v>1.0578703702776693E-2</v>
      </c>
    </row>
    <row r="321" spans="1:17">
      <c r="A321" s="3">
        <v>46078.324699074074</v>
      </c>
      <c r="G321" s="5">
        <v>2.1875000020372681E-3</v>
      </c>
      <c r="H321" t="s">
        <v>696</v>
      </c>
      <c r="I321" t="s">
        <v>697</v>
      </c>
      <c r="J321">
        <v>1</v>
      </c>
      <c r="K321">
        <f t="shared" ref="K321" si="860">IF(A321&lt;DATEVALUE("2025/11/20")+TIMEVALUE("6:00"),1,IF(OR(B321&lt;&gt;60,SUM(D321:F321)&lt;&gt;0,G321&gt;=IF(A321&lt;DATEVALUE("2025/12/28")+TIMEVALUE("6:00"),20,18)/24/60),0,2-INT(G321*24*60/10)))</f>
        <v>0</v>
      </c>
      <c r="L321">
        <f t="shared" ref="L321" si="861">L320+K321</f>
        <v>398</v>
      </c>
      <c r="M321">
        <f t="shared" ref="M321" si="862">2+IF(A321&gt;=DATEVALUE("2025/11/30")+TIMEVALUE("6:00"),1,0)+IF(A321&gt;=DATEVALUE("2025/12/11")+TIMEVALUE("6:00"),1,0)</f>
        <v>4</v>
      </c>
      <c r="N321">
        <f t="shared" ref="N321" si="863">N320+M321*(INT(A321-6/24)-INT(A320-6/24))+O321</f>
        <v>400</v>
      </c>
      <c r="O321">
        <f t="shared" ref="O321" si="864">IF(A321&gt;=DATEVALUE("2025/11/8")+TIMEVALUE("6:00"),1,0)-IF(A320&gt;=DATEVALUE("2025/11/8")+TIMEVALUE("6:00"),1,0)
+IF(A321&gt;=DATEVALUE("2026/1/22")+TIMEVALUE("6:00"),3,0)-IF(A320&gt;=DATEVALUE("2026/1/22")+TIMEVALUE("6:00"),3,0)
+IF(A321&gt;=DATEVALUE("2026/2/21")+TIMEVALUE("6:00"),1,0)-IF(A320&gt;=DATEVALUE("2026/2/21")+TIMEVALUE("6:00"),1,0)</f>
        <v>0</v>
      </c>
      <c r="P321" t="str">
        <f t="shared" ref="P321" si="865">IF(L321&lt;N321,"未達成（"&amp;N321-L321&amp;"）",IF(L321=N321,"達成","前倒し（"&amp;L321-N321&amp;"）"))</f>
        <v>未達成（2）</v>
      </c>
      <c r="Q321" t="e">
        <f t="shared" ref="Q321" si="866">IF(B321="",NA(),G321)</f>
        <v>#N/A</v>
      </c>
    </row>
    <row r="322" spans="1:17">
      <c r="A322" s="3">
        <v>46078.347905092596</v>
      </c>
      <c r="G322" s="5">
        <v>9.1782407471328042E-3</v>
      </c>
      <c r="H322" t="s">
        <v>698</v>
      </c>
      <c r="I322" t="s">
        <v>699</v>
      </c>
      <c r="J322">
        <v>1</v>
      </c>
      <c r="K322">
        <f t="shared" ref="K322" si="867">IF(A322&lt;DATEVALUE("2025/11/20")+TIMEVALUE("6:00"),1,IF(OR(B322&lt;&gt;60,SUM(D322:F322)&lt;&gt;0,G322&gt;=IF(A322&lt;DATEVALUE("2025/12/28")+TIMEVALUE("6:00"),20,18)/24/60),0,2-INT(G322*24*60/10)))</f>
        <v>0</v>
      </c>
      <c r="L322">
        <f t="shared" ref="L322" si="868">L321+K322</f>
        <v>398</v>
      </c>
      <c r="M322">
        <f t="shared" ref="M322" si="869">2+IF(A322&gt;=DATEVALUE("2025/11/30")+TIMEVALUE("6:00"),1,0)+IF(A322&gt;=DATEVALUE("2025/12/11")+TIMEVALUE("6:00"),1,0)</f>
        <v>4</v>
      </c>
      <c r="N322">
        <f t="shared" ref="N322" si="870">N321+M322*(INT(A322-6/24)-INT(A321-6/24))+O322</f>
        <v>400</v>
      </c>
      <c r="O322">
        <f t="shared" ref="O322" si="871">IF(A322&gt;=DATEVALUE("2025/11/8")+TIMEVALUE("6:00"),1,0)-IF(A321&gt;=DATEVALUE("2025/11/8")+TIMEVALUE("6:00"),1,0)
+IF(A322&gt;=DATEVALUE("2026/1/22")+TIMEVALUE("6:00"),3,0)-IF(A321&gt;=DATEVALUE("2026/1/22")+TIMEVALUE("6:00"),3,0)
+IF(A322&gt;=DATEVALUE("2026/2/21")+TIMEVALUE("6:00"),1,0)-IF(A321&gt;=DATEVALUE("2026/2/21")+TIMEVALUE("6:00"),1,0)</f>
        <v>0</v>
      </c>
      <c r="P322" t="str">
        <f t="shared" ref="P322" si="872">IF(L322&lt;N322,"未達成（"&amp;N322-L322&amp;"）",IF(L322=N322,"達成","前倒し（"&amp;L322-N322&amp;"）"))</f>
        <v>未達成（2）</v>
      </c>
      <c r="Q322" t="e">
        <f t="shared" ref="Q322" si="873">IF(B322="",NA(),G322)</f>
        <v>#N/A</v>
      </c>
    </row>
    <row r="323" spans="1:17">
      <c r="A323" s="3">
        <v>46078.356527777774</v>
      </c>
      <c r="B323">
        <v>60</v>
      </c>
      <c r="C323">
        <v>12</v>
      </c>
      <c r="D323">
        <v>0</v>
      </c>
      <c r="E323">
        <v>0</v>
      </c>
      <c r="F323">
        <v>0</v>
      </c>
      <c r="G323" s="5">
        <v>1.0937499995634425E-2</v>
      </c>
      <c r="H323" t="s">
        <v>700</v>
      </c>
      <c r="I323" t="s">
        <v>701</v>
      </c>
      <c r="J323">
        <v>0</v>
      </c>
      <c r="K323">
        <f t="shared" ref="K323" si="874">IF(A323&lt;DATEVALUE("2025/11/20")+TIMEVALUE("6:00"),1,IF(OR(B323&lt;&gt;60,SUM(D323:F323)&lt;&gt;0,G323&gt;=IF(A323&lt;DATEVALUE("2025/12/28")+TIMEVALUE("6:00"),20,18)/24/60),0,2-INT(G323*24*60/10)))</f>
        <v>1</v>
      </c>
      <c r="L323">
        <f t="shared" ref="L323" si="875">L322+K323</f>
        <v>399</v>
      </c>
      <c r="M323">
        <f t="shared" ref="M323" si="876">2+IF(A323&gt;=DATEVALUE("2025/11/30")+TIMEVALUE("6:00"),1,0)+IF(A323&gt;=DATEVALUE("2025/12/11")+TIMEVALUE("6:00"),1,0)</f>
        <v>4</v>
      </c>
      <c r="N323">
        <f t="shared" ref="N323" si="877">N322+M323*(INT(A323-6/24)-INT(A322-6/24))+O323</f>
        <v>400</v>
      </c>
      <c r="O323">
        <f t="shared" ref="O323" si="878">IF(A323&gt;=DATEVALUE("2025/11/8")+TIMEVALUE("6:00"),1,0)-IF(A322&gt;=DATEVALUE("2025/11/8")+TIMEVALUE("6:00"),1,0)
+IF(A323&gt;=DATEVALUE("2026/1/22")+TIMEVALUE("6:00"),3,0)-IF(A322&gt;=DATEVALUE("2026/1/22")+TIMEVALUE("6:00"),3,0)
+IF(A323&gt;=DATEVALUE("2026/2/21")+TIMEVALUE("6:00"),1,0)-IF(A322&gt;=DATEVALUE("2026/2/21")+TIMEVALUE("6:00"),1,0)</f>
        <v>0</v>
      </c>
      <c r="P323" t="str">
        <f t="shared" ref="P323" si="879">IF(L323&lt;N323,"未達成（"&amp;N323-L323&amp;"）",IF(L323=N323,"達成","前倒し（"&amp;L323-N323&amp;"）"))</f>
        <v>未達成（1）</v>
      </c>
      <c r="Q323">
        <f t="shared" ref="Q323" si="880">IF(B323="",NA(),G323)</f>
        <v>1.0937499995634425E-2</v>
      </c>
    </row>
    <row r="324" spans="1:17">
      <c r="A324" s="3">
        <v>46078.363668981481</v>
      </c>
      <c r="B324">
        <v>60</v>
      </c>
      <c r="C324">
        <v>10</v>
      </c>
      <c r="D324">
        <v>0</v>
      </c>
      <c r="E324">
        <v>0</v>
      </c>
      <c r="F324">
        <v>0</v>
      </c>
      <c r="G324" s="5">
        <v>5.1388888896326534E-3</v>
      </c>
      <c r="H324" t="s">
        <v>702</v>
      </c>
      <c r="I324" t="s">
        <v>703</v>
      </c>
      <c r="J324">
        <v>0</v>
      </c>
      <c r="K324">
        <f t="shared" ref="K324" si="881">IF(A324&lt;DATEVALUE("2025/11/20")+TIMEVALUE("6:00"),1,IF(OR(B324&lt;&gt;60,SUM(D324:F324)&lt;&gt;0,G324&gt;=IF(A324&lt;DATEVALUE("2025/12/28")+TIMEVALUE("6:00"),20,18)/24/60),0,2-INT(G324*24*60/10)))</f>
        <v>2</v>
      </c>
      <c r="L324">
        <f t="shared" ref="L324" si="882">L323+K324</f>
        <v>401</v>
      </c>
      <c r="M324">
        <f t="shared" ref="M324" si="883">2+IF(A324&gt;=DATEVALUE("2025/11/30")+TIMEVALUE("6:00"),1,0)+IF(A324&gt;=DATEVALUE("2025/12/11")+TIMEVALUE("6:00"),1,0)</f>
        <v>4</v>
      </c>
      <c r="N324">
        <f t="shared" ref="N324" si="884">N323+M324*(INT(A324-6/24)-INT(A323-6/24))+O324</f>
        <v>400</v>
      </c>
      <c r="O324">
        <f t="shared" ref="O324" si="885">IF(A324&gt;=DATEVALUE("2025/11/8")+TIMEVALUE("6:00"),1,0)-IF(A323&gt;=DATEVALUE("2025/11/8")+TIMEVALUE("6:00"),1,0)
+IF(A324&gt;=DATEVALUE("2026/1/22")+TIMEVALUE("6:00"),3,0)-IF(A323&gt;=DATEVALUE("2026/1/22")+TIMEVALUE("6:00"),3,0)
+IF(A324&gt;=DATEVALUE("2026/2/21")+TIMEVALUE("6:00"),1,0)-IF(A323&gt;=DATEVALUE("2026/2/21")+TIMEVALUE("6:00"),1,0)</f>
        <v>0</v>
      </c>
      <c r="P324" t="str">
        <f t="shared" ref="P324" si="886">IF(L324&lt;N324,"未達成（"&amp;N324-L324&amp;"）",IF(L324=N324,"達成","前倒し（"&amp;L324-N324&amp;"）"))</f>
        <v>前倒し（1）</v>
      </c>
      <c r="Q324">
        <f t="shared" ref="Q324" si="887">IF(B324="",NA(),G324)</f>
        <v>5.1388888896326534E-3</v>
      </c>
    </row>
    <row r="325" spans="1:17">
      <c r="A325" s="3">
        <v>46079.309930555559</v>
      </c>
      <c r="B325">
        <v>60</v>
      </c>
      <c r="C325">
        <v>17</v>
      </c>
      <c r="D325">
        <v>0</v>
      </c>
      <c r="E325">
        <v>0</v>
      </c>
      <c r="F325">
        <v>0</v>
      </c>
      <c r="G325" s="5">
        <v>6.5162037062691525E-3</v>
      </c>
      <c r="H325" t="s">
        <v>704</v>
      </c>
      <c r="I325" t="s">
        <v>705</v>
      </c>
      <c r="J325">
        <v>0</v>
      </c>
      <c r="K325">
        <f t="shared" ref="K325" si="888">IF(A325&lt;DATEVALUE("2025/11/20")+TIMEVALUE("6:00"),1,IF(OR(B325&lt;&gt;60,SUM(D325:F325)&lt;&gt;0,G325&gt;=IF(A325&lt;DATEVALUE("2025/12/28")+TIMEVALUE("6:00"),20,18)/24/60),0,2-INT(G325*24*60/10)))</f>
        <v>2</v>
      </c>
      <c r="L325">
        <f t="shared" ref="L325" si="889">L324+K325</f>
        <v>403</v>
      </c>
      <c r="M325">
        <f t="shared" ref="M325" si="890">2+IF(A325&gt;=DATEVALUE("2025/11/30")+TIMEVALUE("6:00"),1,0)+IF(A325&gt;=DATEVALUE("2025/12/11")+TIMEVALUE("6:00"),1,0)</f>
        <v>4</v>
      </c>
      <c r="N325">
        <f t="shared" ref="N325" si="891">N324+M325*(INT(A325-6/24)-INT(A324-6/24))+O325</f>
        <v>404</v>
      </c>
      <c r="O325">
        <f t="shared" ref="O325" si="892">IF(A325&gt;=DATEVALUE("2025/11/8")+TIMEVALUE("6:00"),1,0)-IF(A324&gt;=DATEVALUE("2025/11/8")+TIMEVALUE("6:00"),1,0)
+IF(A325&gt;=DATEVALUE("2026/1/22")+TIMEVALUE("6:00"),3,0)-IF(A324&gt;=DATEVALUE("2026/1/22")+TIMEVALUE("6:00"),3,0)
+IF(A325&gt;=DATEVALUE("2026/2/21")+TIMEVALUE("6:00"),1,0)-IF(A324&gt;=DATEVALUE("2026/2/21")+TIMEVALUE("6:00"),1,0)</f>
        <v>0</v>
      </c>
      <c r="P325" t="str">
        <f t="shared" ref="P325" si="893">IF(L325&lt;N325,"未達成（"&amp;N325-L325&amp;"）",IF(L325=N325,"達成","前倒し（"&amp;L325-N325&amp;"）"))</f>
        <v>未達成（1）</v>
      </c>
      <c r="Q325">
        <f t="shared" ref="Q325" si="894">IF(B325="",NA(),G325)</f>
        <v>6.5162037062691525E-3</v>
      </c>
    </row>
    <row r="326" spans="1:17">
      <c r="A326" s="3">
        <v>46079.314895833333</v>
      </c>
      <c r="B326">
        <v>60</v>
      </c>
      <c r="C326">
        <v>21</v>
      </c>
      <c r="D326">
        <v>0</v>
      </c>
      <c r="E326">
        <v>0</v>
      </c>
      <c r="F326">
        <v>0</v>
      </c>
      <c r="G326" s="5">
        <v>4.5486111121135764E-3</v>
      </c>
      <c r="H326" t="s">
        <v>706</v>
      </c>
      <c r="I326" t="s">
        <v>707</v>
      </c>
      <c r="J326">
        <v>0</v>
      </c>
      <c r="K326">
        <f t="shared" ref="K326" si="895">IF(A326&lt;DATEVALUE("2025/11/20")+TIMEVALUE("6:00"),1,IF(OR(B326&lt;&gt;60,SUM(D326:F326)&lt;&gt;0,G326&gt;=IF(A326&lt;DATEVALUE("2025/12/28")+TIMEVALUE("6:00"),20,18)/24/60),0,2-INT(G326*24*60/10)))</f>
        <v>2</v>
      </c>
      <c r="L326">
        <f t="shared" ref="L326" si="896">L325+K326</f>
        <v>405</v>
      </c>
      <c r="M326">
        <f t="shared" ref="M326" si="897">2+IF(A326&gt;=DATEVALUE("2025/11/30")+TIMEVALUE("6:00"),1,0)+IF(A326&gt;=DATEVALUE("2025/12/11")+TIMEVALUE("6:00"),1,0)</f>
        <v>4</v>
      </c>
      <c r="N326">
        <f t="shared" ref="N326" si="898">N325+M326*(INT(A326-6/24)-INT(A325-6/24))+O326</f>
        <v>404</v>
      </c>
      <c r="O326">
        <f t="shared" ref="O326" si="899">IF(A326&gt;=DATEVALUE("2025/11/8")+TIMEVALUE("6:00"),1,0)-IF(A325&gt;=DATEVALUE("2025/11/8")+TIMEVALUE("6:00"),1,0)
+IF(A326&gt;=DATEVALUE("2026/1/22")+TIMEVALUE("6:00"),3,0)-IF(A325&gt;=DATEVALUE("2026/1/22")+TIMEVALUE("6:00"),3,0)
+IF(A326&gt;=DATEVALUE("2026/2/21")+TIMEVALUE("6:00"),1,0)-IF(A325&gt;=DATEVALUE("2026/2/21")+TIMEVALUE("6:00"),1,0)</f>
        <v>0</v>
      </c>
      <c r="P326" t="str">
        <f t="shared" ref="P326" si="900">IF(L326&lt;N326,"未達成（"&amp;N326-L326&amp;"）",IF(L326=N326,"達成","前倒し（"&amp;L326-N326&amp;"）"))</f>
        <v>前倒し（1）</v>
      </c>
      <c r="Q326">
        <f t="shared" ref="Q326" si="901">IF(B326="",NA(),G326)</f>
        <v>4.5486111121135764E-3</v>
      </c>
    </row>
    <row r="327" spans="1:17">
      <c r="A327" s="3">
        <v>46080.836446759262</v>
      </c>
      <c r="B327">
        <v>60</v>
      </c>
      <c r="C327">
        <v>8</v>
      </c>
      <c r="D327">
        <v>0</v>
      </c>
      <c r="E327">
        <v>0</v>
      </c>
      <c r="F327">
        <v>0</v>
      </c>
      <c r="G327" s="5">
        <v>7.6736111150239594E-3</v>
      </c>
      <c r="H327" t="s">
        <v>708</v>
      </c>
      <c r="I327" t="s">
        <v>709</v>
      </c>
      <c r="J327">
        <v>0</v>
      </c>
      <c r="K327">
        <f t="shared" ref="K327" si="902">IF(A327&lt;DATEVALUE("2025/11/20")+TIMEVALUE("6:00"),1,IF(OR(B327&lt;&gt;60,SUM(D327:F327)&lt;&gt;0,G327&gt;=IF(A327&lt;DATEVALUE("2025/12/28")+TIMEVALUE("6:00"),20,18)/24/60),0,2-INT(G327*24*60/10)))</f>
        <v>1</v>
      </c>
      <c r="L327">
        <f t="shared" ref="L327" si="903">L326+K327</f>
        <v>406</v>
      </c>
      <c r="M327">
        <f t="shared" ref="M327" si="904">2+IF(A327&gt;=DATEVALUE("2025/11/30")+TIMEVALUE("6:00"),1,0)+IF(A327&gt;=DATEVALUE("2025/12/11")+TIMEVALUE("6:00"),1,0)</f>
        <v>4</v>
      </c>
      <c r="N327">
        <f t="shared" ref="N327" si="905">N326+M327*(INT(A327-6/24)-INT(A326-6/24))+O327</f>
        <v>408</v>
      </c>
      <c r="O327">
        <f t="shared" ref="O327" si="906">IF(A327&gt;=DATEVALUE("2025/11/8")+TIMEVALUE("6:00"),1,0)-IF(A326&gt;=DATEVALUE("2025/11/8")+TIMEVALUE("6:00"),1,0)
+IF(A327&gt;=DATEVALUE("2026/1/22")+TIMEVALUE("6:00"),3,0)-IF(A326&gt;=DATEVALUE("2026/1/22")+TIMEVALUE("6:00"),3,0)
+IF(A327&gt;=DATEVALUE("2026/2/21")+TIMEVALUE("6:00"),1,0)-IF(A326&gt;=DATEVALUE("2026/2/21")+TIMEVALUE("6:00"),1,0)</f>
        <v>0</v>
      </c>
      <c r="P327" t="str">
        <f t="shared" ref="P327" si="907">IF(L327&lt;N327,"未達成（"&amp;N327-L327&amp;"）",IF(L327=N327,"達成","前倒し（"&amp;L327-N327&amp;"）"))</f>
        <v>未達成（2）</v>
      </c>
      <c r="Q327">
        <f t="shared" ref="Q327" si="908">IF(B327="",NA(),G327)</f>
        <v>7.6736111150239594E-3</v>
      </c>
    </row>
    <row r="328" spans="1:17">
      <c r="A328" s="3">
        <v>46080.843726851854</v>
      </c>
      <c r="B328">
        <v>60</v>
      </c>
      <c r="C328">
        <v>8</v>
      </c>
      <c r="D328">
        <v>0</v>
      </c>
      <c r="E328">
        <v>0</v>
      </c>
      <c r="F328">
        <v>0</v>
      </c>
      <c r="G328" s="5">
        <v>6.7824074067175388E-3</v>
      </c>
      <c r="H328" t="s">
        <v>710</v>
      </c>
      <c r="I328" t="s">
        <v>711</v>
      </c>
      <c r="J328">
        <v>0</v>
      </c>
      <c r="K328">
        <f t="shared" ref="K328" si="909">IF(A328&lt;DATEVALUE("2025/11/20")+TIMEVALUE("6:00"),1,IF(OR(B328&lt;&gt;60,SUM(D328:F328)&lt;&gt;0,G328&gt;=IF(A328&lt;DATEVALUE("2025/12/28")+TIMEVALUE("6:00"),20,18)/24/60),0,2-INT(G328*24*60/10)))</f>
        <v>2</v>
      </c>
      <c r="L328">
        <f t="shared" ref="L328" si="910">L327+K328</f>
        <v>408</v>
      </c>
      <c r="M328">
        <f t="shared" ref="M328" si="911">2+IF(A328&gt;=DATEVALUE("2025/11/30")+TIMEVALUE("6:00"),1,0)+IF(A328&gt;=DATEVALUE("2025/12/11")+TIMEVALUE("6:00"),1,0)</f>
        <v>4</v>
      </c>
      <c r="N328">
        <f t="shared" ref="N328" si="912">N327+M328*(INT(A328-6/24)-INT(A327-6/24))+O328</f>
        <v>408</v>
      </c>
      <c r="O328">
        <f t="shared" ref="O328" si="913">IF(A328&gt;=DATEVALUE("2025/11/8")+TIMEVALUE("6:00"),1,0)-IF(A327&gt;=DATEVALUE("2025/11/8")+TIMEVALUE("6:00"),1,0)
+IF(A328&gt;=DATEVALUE("2026/1/22")+TIMEVALUE("6:00"),3,0)-IF(A327&gt;=DATEVALUE("2026/1/22")+TIMEVALUE("6:00"),3,0)
+IF(A328&gt;=DATEVALUE("2026/2/21")+TIMEVALUE("6:00"),1,0)-IF(A327&gt;=DATEVALUE("2026/2/21")+TIMEVALUE("6:00"),1,0)</f>
        <v>0</v>
      </c>
      <c r="P328" t="str">
        <f t="shared" ref="P328" si="914">IF(L328&lt;N328,"未達成（"&amp;N328-L328&amp;"）",IF(L328=N328,"達成","前倒し（"&amp;L328-N328&amp;"）"))</f>
        <v>達成</v>
      </c>
      <c r="Q328">
        <f t="shared" ref="Q328" si="915">IF(B328="",NA(),G328)</f>
        <v>6.7824074067175388E-3</v>
      </c>
    </row>
    <row r="329" spans="1:17">
      <c r="A329" s="3">
        <v>46081.65824074074</v>
      </c>
      <c r="B329">
        <v>60</v>
      </c>
      <c r="C329">
        <v>11</v>
      </c>
      <c r="D329">
        <v>0</v>
      </c>
      <c r="E329">
        <v>0</v>
      </c>
      <c r="F329">
        <v>0</v>
      </c>
      <c r="G329" s="5">
        <v>7.4652777766459621E-3</v>
      </c>
      <c r="H329" t="s">
        <v>712</v>
      </c>
      <c r="I329" t="s">
        <v>713</v>
      </c>
      <c r="J329">
        <v>0</v>
      </c>
      <c r="K329">
        <f t="shared" ref="K329" si="916">IF(A329&lt;DATEVALUE("2025/11/20")+TIMEVALUE("6:00"),1,IF(OR(B329&lt;&gt;60,SUM(D329:F329)&lt;&gt;0,G329&gt;=IF(A329&lt;DATEVALUE("2025/12/28")+TIMEVALUE("6:00"),20,18)/24/60),0,2-INT(G329*24*60/10)))</f>
        <v>1</v>
      </c>
      <c r="L329">
        <f t="shared" ref="L329" si="917">L328+K329</f>
        <v>409</v>
      </c>
      <c r="M329">
        <f t="shared" ref="M329" si="918">2+IF(A329&gt;=DATEVALUE("2025/11/30")+TIMEVALUE("6:00"),1,0)+IF(A329&gt;=DATEVALUE("2025/12/11")+TIMEVALUE("6:00"),1,0)</f>
        <v>4</v>
      </c>
      <c r="N329">
        <f t="shared" ref="N329" si="919">N328+M329*(INT(A329-6/24)-INT(A328-6/24))+O329</f>
        <v>412</v>
      </c>
      <c r="O329">
        <f t="shared" ref="O329" si="920">IF(A329&gt;=DATEVALUE("2025/11/8")+TIMEVALUE("6:00"),1,0)-IF(A328&gt;=DATEVALUE("2025/11/8")+TIMEVALUE("6:00"),1,0)
+IF(A329&gt;=DATEVALUE("2026/1/22")+TIMEVALUE("6:00"),3,0)-IF(A328&gt;=DATEVALUE("2026/1/22")+TIMEVALUE("6:00"),3,0)
+IF(A329&gt;=DATEVALUE("2026/2/21")+TIMEVALUE("6:00"),1,0)-IF(A328&gt;=DATEVALUE("2026/2/21")+TIMEVALUE("6:00"),1,0)</f>
        <v>0</v>
      </c>
      <c r="P329" t="str">
        <f t="shared" ref="P329" si="921">IF(L329&lt;N329,"未達成（"&amp;N329-L329&amp;"）",IF(L329=N329,"達成","前倒し（"&amp;L329-N329&amp;"）"))</f>
        <v>未達成（3）</v>
      </c>
      <c r="Q329">
        <f t="shared" ref="Q329" si="922">IF(B329="",NA(),G329)</f>
        <v>7.4652777766459621E-3</v>
      </c>
    </row>
    <row r="330" spans="1:17">
      <c r="A330" s="3">
        <v>46081.662407407406</v>
      </c>
      <c r="G330" s="5">
        <v>3.7152777731535025E-3</v>
      </c>
      <c r="H330" t="s">
        <v>714</v>
      </c>
      <c r="I330" t="s">
        <v>715</v>
      </c>
      <c r="J330">
        <v>1</v>
      </c>
      <c r="K330">
        <f t="shared" ref="K330" si="923">IF(A330&lt;DATEVALUE("2025/11/20")+TIMEVALUE("6:00"),1,IF(OR(B330&lt;&gt;60,SUM(D330:F330)&lt;&gt;0,G330&gt;=IF(A330&lt;DATEVALUE("2025/12/28")+TIMEVALUE("6:00"),20,18)/24/60),0,2-INT(G330*24*60/10)))</f>
        <v>0</v>
      </c>
      <c r="L330">
        <f t="shared" ref="L330" si="924">L329+K330</f>
        <v>409</v>
      </c>
      <c r="M330">
        <f t="shared" ref="M330" si="925">2+IF(A330&gt;=DATEVALUE("2025/11/30")+TIMEVALUE("6:00"),1,0)+IF(A330&gt;=DATEVALUE("2025/12/11")+TIMEVALUE("6:00"),1,0)</f>
        <v>4</v>
      </c>
      <c r="N330">
        <f t="shared" ref="N330" si="926">N329+M330*(INT(A330-6/24)-INT(A329-6/24))+O330</f>
        <v>412</v>
      </c>
      <c r="O330">
        <f t="shared" ref="O330" si="927">IF(A330&gt;=DATEVALUE("2025/11/8")+TIMEVALUE("6:00"),1,0)-IF(A329&gt;=DATEVALUE("2025/11/8")+TIMEVALUE("6:00"),1,0)
+IF(A330&gt;=DATEVALUE("2026/1/22")+TIMEVALUE("6:00"),3,0)-IF(A329&gt;=DATEVALUE("2026/1/22")+TIMEVALUE("6:00"),3,0)
+IF(A330&gt;=DATEVALUE("2026/2/21")+TIMEVALUE("6:00"),1,0)-IF(A329&gt;=DATEVALUE("2026/2/21")+TIMEVALUE("6:00"),1,0)</f>
        <v>0</v>
      </c>
      <c r="P330" t="str">
        <f t="shared" ref="P330" si="928">IF(L330&lt;N330,"未達成（"&amp;N330-L330&amp;"）",IF(L330=N330,"達成","前倒し（"&amp;L330-N330&amp;"）"))</f>
        <v>未達成（3）</v>
      </c>
      <c r="Q330" t="e">
        <f t="shared" ref="Q330" si="929">IF(B330="",NA(),G330)</f>
        <v>#N/A</v>
      </c>
    </row>
    <row r="331" spans="1:17">
      <c r="A331" s="3">
        <v>46081.668229166666</v>
      </c>
      <c r="G331" s="5">
        <v>3.9699074040981941E-3</v>
      </c>
      <c r="H331" t="s">
        <v>716</v>
      </c>
      <c r="I331" t="s">
        <v>717</v>
      </c>
      <c r="J331">
        <v>1</v>
      </c>
      <c r="K331">
        <f t="shared" ref="K331" si="930">IF(A331&lt;DATEVALUE("2025/11/20")+TIMEVALUE("6:00"),1,IF(OR(B331&lt;&gt;60,SUM(D331:F331)&lt;&gt;0,G331&gt;=IF(A331&lt;DATEVALUE("2025/12/28")+TIMEVALUE("6:00"),20,18)/24/60),0,2-INT(G331*24*60/10)))</f>
        <v>0</v>
      </c>
      <c r="L331">
        <f t="shared" ref="L331" si="931">L330+K331</f>
        <v>409</v>
      </c>
      <c r="M331">
        <f t="shared" ref="M331" si="932">2+IF(A331&gt;=DATEVALUE("2025/11/30")+TIMEVALUE("6:00"),1,0)+IF(A331&gt;=DATEVALUE("2025/12/11")+TIMEVALUE("6:00"),1,0)</f>
        <v>4</v>
      </c>
      <c r="N331">
        <f t="shared" ref="N331" si="933">N330+M331*(INT(A331-6/24)-INT(A330-6/24))+O331</f>
        <v>412</v>
      </c>
      <c r="O331">
        <f t="shared" ref="O331" si="934">IF(A331&gt;=DATEVALUE("2025/11/8")+TIMEVALUE("6:00"),1,0)-IF(A330&gt;=DATEVALUE("2025/11/8")+TIMEVALUE("6:00"),1,0)
+IF(A331&gt;=DATEVALUE("2026/1/22")+TIMEVALUE("6:00"),3,0)-IF(A330&gt;=DATEVALUE("2026/1/22")+TIMEVALUE("6:00"),3,0)
+IF(A331&gt;=DATEVALUE("2026/2/21")+TIMEVALUE("6:00"),1,0)-IF(A330&gt;=DATEVALUE("2026/2/21")+TIMEVALUE("6:00"),1,0)</f>
        <v>0</v>
      </c>
      <c r="P331" t="str">
        <f t="shared" ref="P331" si="935">IF(L331&lt;N331,"未達成（"&amp;N331-L331&amp;"）",IF(L331=N331,"達成","前倒し（"&amp;L331-N331&amp;"）"))</f>
        <v>未達成（3）</v>
      </c>
      <c r="Q331" t="e">
        <f t="shared" ref="Q331" si="936">IF(B331="",NA(),G331)</f>
        <v>#N/A</v>
      </c>
    </row>
    <row r="332" spans="1:17">
      <c r="A332" s="3">
        <v>46081.675543981481</v>
      </c>
      <c r="B332">
        <v>60</v>
      </c>
      <c r="C332">
        <v>4</v>
      </c>
      <c r="D332">
        <v>0</v>
      </c>
      <c r="E332">
        <v>0</v>
      </c>
      <c r="F332">
        <v>0</v>
      </c>
      <c r="G332" s="5">
        <v>5.9259259214741178E-3</v>
      </c>
      <c r="H332" t="s">
        <v>718</v>
      </c>
      <c r="I332" t="s">
        <v>719</v>
      </c>
      <c r="J332">
        <v>0</v>
      </c>
      <c r="K332">
        <f t="shared" ref="K332" si="937">IF(A332&lt;DATEVALUE("2025/11/20")+TIMEVALUE("6:00"),1,IF(OR(B332&lt;&gt;60,SUM(D332:F332)&lt;&gt;0,G332&gt;=IF(A332&lt;DATEVALUE("2025/12/28")+TIMEVALUE("6:00"),20,18)/24/60),0,2-INT(G332*24*60/10)))</f>
        <v>2</v>
      </c>
      <c r="L332">
        <f t="shared" ref="L332" si="938">L331+K332</f>
        <v>411</v>
      </c>
      <c r="M332">
        <f t="shared" ref="M332" si="939">2+IF(A332&gt;=DATEVALUE("2025/11/30")+TIMEVALUE("6:00"),1,0)+IF(A332&gt;=DATEVALUE("2025/12/11")+TIMEVALUE("6:00"),1,0)</f>
        <v>4</v>
      </c>
      <c r="N332">
        <f t="shared" ref="N332" si="940">N331+M332*(INT(A332-6/24)-INT(A331-6/24))+O332</f>
        <v>412</v>
      </c>
      <c r="O332">
        <f t="shared" ref="O332" si="941">IF(A332&gt;=DATEVALUE("2025/11/8")+TIMEVALUE("6:00"),1,0)-IF(A331&gt;=DATEVALUE("2025/11/8")+TIMEVALUE("6:00"),1,0)
+IF(A332&gt;=DATEVALUE("2026/1/22")+TIMEVALUE("6:00"),3,0)-IF(A331&gt;=DATEVALUE("2026/1/22")+TIMEVALUE("6:00"),3,0)
+IF(A332&gt;=DATEVALUE("2026/2/21")+TIMEVALUE("6:00"),1,0)-IF(A331&gt;=DATEVALUE("2026/2/21")+TIMEVALUE("6:00"),1,0)</f>
        <v>0</v>
      </c>
      <c r="P332" t="str">
        <f t="shared" ref="P332" si="942">IF(L332&lt;N332,"未達成（"&amp;N332-L332&amp;"）",IF(L332=N332,"達成","前倒し（"&amp;L332-N332&amp;"）"))</f>
        <v>未達成（1）</v>
      </c>
      <c r="Q332">
        <f t="shared" ref="Q332" si="943">IF(B332="",NA(),G332)</f>
        <v>5.9259259214741178E-3</v>
      </c>
    </row>
    <row r="333" spans="1:17">
      <c r="A333" s="3">
        <v>46081.683912037035</v>
      </c>
      <c r="B333">
        <v>60</v>
      </c>
      <c r="C333">
        <v>8</v>
      </c>
      <c r="D333">
        <v>0</v>
      </c>
      <c r="E333">
        <v>0</v>
      </c>
      <c r="F333">
        <v>0</v>
      </c>
      <c r="G333" s="5">
        <v>5.5555555518367328E-3</v>
      </c>
      <c r="H333" t="s">
        <v>720</v>
      </c>
      <c r="I333" t="s">
        <v>721</v>
      </c>
      <c r="J333">
        <v>0</v>
      </c>
      <c r="K333">
        <f t="shared" ref="K333" si="944">IF(A333&lt;DATEVALUE("2025/11/20")+TIMEVALUE("6:00"),1,IF(OR(B333&lt;&gt;60,SUM(D333:F333)&lt;&gt;0,G333&gt;=IF(A333&lt;DATEVALUE("2025/12/28")+TIMEVALUE("6:00"),20,18)/24/60),0,2-INT(G333*24*60/10)))</f>
        <v>2</v>
      </c>
      <c r="L333">
        <f t="shared" ref="L333" si="945">L332+K333</f>
        <v>413</v>
      </c>
      <c r="M333">
        <f t="shared" ref="M333" si="946">2+IF(A333&gt;=DATEVALUE("2025/11/30")+TIMEVALUE("6:00"),1,0)+IF(A333&gt;=DATEVALUE("2025/12/11")+TIMEVALUE("6:00"),1,0)</f>
        <v>4</v>
      </c>
      <c r="N333">
        <f t="shared" ref="N333" si="947">N332+M333*(INT(A333-6/24)-INT(A332-6/24))+O333</f>
        <v>412</v>
      </c>
      <c r="O333">
        <f t="shared" ref="O333" si="948">IF(A333&gt;=DATEVALUE("2025/11/8")+TIMEVALUE("6:00"),1,0)-IF(A332&gt;=DATEVALUE("2025/11/8")+TIMEVALUE("6:00"),1,0)
+IF(A333&gt;=DATEVALUE("2026/1/22")+TIMEVALUE("6:00"),3,0)-IF(A332&gt;=DATEVALUE("2026/1/22")+TIMEVALUE("6:00"),3,0)
+IF(A333&gt;=DATEVALUE("2026/2/21")+TIMEVALUE("6:00"),1,0)-IF(A332&gt;=DATEVALUE("2026/2/21")+TIMEVALUE("6:00"),1,0)</f>
        <v>0</v>
      </c>
      <c r="P333" t="str">
        <f t="shared" ref="P333" si="949">IF(L333&lt;N333,"未達成（"&amp;N333-L333&amp;"）",IF(L333=N333,"達成","前倒し（"&amp;L333-N333&amp;"）"))</f>
        <v>前倒し（1）</v>
      </c>
      <c r="Q333">
        <f t="shared" ref="Q333" si="950">IF(B333="",NA(),G333)</f>
        <v>5.5555555518367328E-3</v>
      </c>
    </row>
    <row r="334" spans="1:17">
      <c r="A334" s="3">
        <v>46082.948981481481</v>
      </c>
      <c r="B334">
        <v>60</v>
      </c>
      <c r="C334">
        <v>8</v>
      </c>
      <c r="D334">
        <v>0</v>
      </c>
      <c r="E334">
        <v>0</v>
      </c>
      <c r="F334">
        <v>0</v>
      </c>
      <c r="G334" s="5">
        <v>5.0694444435066544E-3</v>
      </c>
      <c r="H334" t="s">
        <v>722</v>
      </c>
      <c r="I334" t="s">
        <v>723</v>
      </c>
      <c r="J334">
        <v>0</v>
      </c>
      <c r="K334">
        <f t="shared" ref="K334" si="951">IF(A334&lt;DATEVALUE("2025/11/20")+TIMEVALUE("6:00"),1,IF(OR(B334&lt;&gt;60,SUM(D334:F334)&lt;&gt;0,G334&gt;=IF(A334&lt;DATEVALUE("2025/12/28")+TIMEVALUE("6:00"),20,18)/24/60),0,2-INT(G334*24*60/10)))</f>
        <v>2</v>
      </c>
      <c r="L334">
        <f t="shared" ref="L334" si="952">L333+K334</f>
        <v>415</v>
      </c>
      <c r="M334">
        <f t="shared" ref="M334" si="953">2+IF(A334&gt;=DATEVALUE("2025/11/30")+TIMEVALUE("6:00"),1,0)+IF(A334&gt;=DATEVALUE("2025/12/11")+TIMEVALUE("6:00"),1,0)</f>
        <v>4</v>
      </c>
      <c r="N334">
        <f t="shared" ref="N334" si="954">N333+M334*(INT(A334-6/24)-INT(A333-6/24))+O334</f>
        <v>416</v>
      </c>
      <c r="O334">
        <f t="shared" ref="O334" si="955">IF(A334&gt;=DATEVALUE("2025/11/8")+TIMEVALUE("6:00"),1,0)-IF(A333&gt;=DATEVALUE("2025/11/8")+TIMEVALUE("6:00"),1,0)
+IF(A334&gt;=DATEVALUE("2026/1/22")+TIMEVALUE("6:00"),3,0)-IF(A333&gt;=DATEVALUE("2026/1/22")+TIMEVALUE("6:00"),3,0)
+IF(A334&gt;=DATEVALUE("2026/2/21")+TIMEVALUE("6:00"),1,0)-IF(A333&gt;=DATEVALUE("2026/2/21")+TIMEVALUE("6:00"),1,0)</f>
        <v>0</v>
      </c>
      <c r="P334" t="str">
        <f t="shared" ref="P334" si="956">IF(L334&lt;N334,"未達成（"&amp;N334-L334&amp;"）",IF(L334=N334,"達成","前倒し（"&amp;L334-N334&amp;"）"))</f>
        <v>未達成（1）</v>
      </c>
      <c r="Q334">
        <f t="shared" ref="Q334" si="957">IF(B334="",NA(),G334)</f>
        <v>5.0694444435066544E-3</v>
      </c>
    </row>
    <row r="335" spans="1:17">
      <c r="A335" s="3">
        <v>46082.958090277774</v>
      </c>
      <c r="B335">
        <v>60</v>
      </c>
      <c r="C335">
        <v>2</v>
      </c>
      <c r="D335">
        <v>0</v>
      </c>
      <c r="E335">
        <v>0</v>
      </c>
      <c r="F335">
        <v>0</v>
      </c>
      <c r="G335" s="5">
        <v>8.6689814779674634E-3</v>
      </c>
      <c r="H335" t="s">
        <v>724</v>
      </c>
      <c r="I335" t="s">
        <v>725</v>
      </c>
      <c r="J335">
        <v>0</v>
      </c>
      <c r="K335">
        <f t="shared" ref="K335" si="958">IF(A335&lt;DATEVALUE("2025/11/20")+TIMEVALUE("6:00"),1,IF(OR(B335&lt;&gt;60,SUM(D335:F335)&lt;&gt;0,G335&gt;=IF(A335&lt;DATEVALUE("2025/12/28")+TIMEVALUE("6:00"),20,18)/24/60),0,2-INT(G335*24*60/10)))</f>
        <v>1</v>
      </c>
      <c r="L335">
        <f t="shared" ref="L335" si="959">L334+K335</f>
        <v>416</v>
      </c>
      <c r="M335">
        <f t="shared" ref="M335" si="960">2+IF(A335&gt;=DATEVALUE("2025/11/30")+TIMEVALUE("6:00"),1,0)+IF(A335&gt;=DATEVALUE("2025/12/11")+TIMEVALUE("6:00"),1,0)</f>
        <v>4</v>
      </c>
      <c r="N335">
        <f t="shared" ref="N335" si="961">N334+M335*(INT(A335-6/24)-INT(A334-6/24))+O335</f>
        <v>416</v>
      </c>
      <c r="O335">
        <f t="shared" ref="O335" si="962">IF(A335&gt;=DATEVALUE("2025/11/8")+TIMEVALUE("6:00"),1,0)-IF(A334&gt;=DATEVALUE("2025/11/8")+TIMEVALUE("6:00"),1,0)
+IF(A335&gt;=DATEVALUE("2026/1/22")+TIMEVALUE("6:00"),3,0)-IF(A334&gt;=DATEVALUE("2026/1/22")+TIMEVALUE("6:00"),3,0)
+IF(A335&gt;=DATEVALUE("2026/2/21")+TIMEVALUE("6:00"),1,0)-IF(A334&gt;=DATEVALUE("2026/2/21")+TIMEVALUE("6:00"),1,0)</f>
        <v>0</v>
      </c>
      <c r="P335" t="str">
        <f t="shared" ref="P335" si="963">IF(L335&lt;N335,"未達成（"&amp;N335-L335&amp;"）",IF(L335=N335,"達成","前倒し（"&amp;L335-N335&amp;"）"))</f>
        <v>達成</v>
      </c>
      <c r="Q335">
        <f t="shared" ref="Q335" si="964">IF(B335="",NA(),G335)</f>
        <v>8.6689814779674634E-3</v>
      </c>
    </row>
    <row r="336" spans="1:17">
      <c r="A336" s="3">
        <v>46087.298900462964</v>
      </c>
      <c r="B336">
        <v>60</v>
      </c>
      <c r="C336">
        <v>18</v>
      </c>
      <c r="D336">
        <v>0</v>
      </c>
      <c r="E336">
        <v>0</v>
      </c>
      <c r="F336">
        <v>0</v>
      </c>
      <c r="G336" s="5">
        <v>6.7476851836545393E-3</v>
      </c>
      <c r="H336" t="s">
        <v>726</v>
      </c>
      <c r="I336" t="s">
        <v>727</v>
      </c>
      <c r="J336">
        <v>0</v>
      </c>
      <c r="K336">
        <f t="shared" ref="K336" si="965">IF(A336&lt;DATEVALUE("2025/11/20")+TIMEVALUE("6:00"),1,IF(OR(B336&lt;&gt;60,SUM(D336:F336)&lt;&gt;0,G336&gt;=IF(A336&lt;DATEVALUE("2025/12/28")+TIMEVALUE("6:00"),20,18)/24/60),0,2-INT(G336*24*60/10)))</f>
        <v>2</v>
      </c>
      <c r="L336">
        <f t="shared" ref="L336" si="966">L335+K336</f>
        <v>418</v>
      </c>
      <c r="M336">
        <f t="shared" ref="M336" si="967">2+IF(A336&gt;=DATEVALUE("2025/11/30")+TIMEVALUE("6:00"),1,0)+IF(A336&gt;=DATEVALUE("2025/12/11")+TIMEVALUE("6:00"),1,0)</f>
        <v>4</v>
      </c>
      <c r="N336">
        <f t="shared" ref="N336" si="968">N335+M336*(INT(A336-6/24)-INT(A335-6/24))+O336</f>
        <v>436</v>
      </c>
      <c r="O336">
        <f t="shared" ref="O336" si="969">IF(A336&gt;=DATEVALUE("2025/11/8")+TIMEVALUE("6:00"),1,0)-IF(A335&gt;=DATEVALUE("2025/11/8")+TIMEVALUE("6:00"),1,0)
+IF(A336&gt;=DATEVALUE("2026/1/22")+TIMEVALUE("6:00"),3,0)-IF(A335&gt;=DATEVALUE("2026/1/22")+TIMEVALUE("6:00"),3,0)
+IF(A336&gt;=DATEVALUE("2026/2/21")+TIMEVALUE("6:00"),1,0)-IF(A335&gt;=DATEVALUE("2026/2/21")+TIMEVALUE("6:00"),1,0)</f>
        <v>0</v>
      </c>
      <c r="P336" t="str">
        <f t="shared" ref="P336" si="970">IF(L336&lt;N336,"未達成（"&amp;N336-L336&amp;"）",IF(L336=N336,"達成","前倒し（"&amp;L336-N336&amp;"）"))</f>
        <v>未達成（18）</v>
      </c>
      <c r="Q336">
        <f t="shared" ref="Q336" si="971">IF(B336="",NA(),G336)</f>
        <v>6.7476851836545393E-3</v>
      </c>
    </row>
    <row r="337" spans="1:17">
      <c r="A337" s="3">
        <v>46087.306388888886</v>
      </c>
      <c r="B337">
        <v>60</v>
      </c>
      <c r="C337">
        <v>13</v>
      </c>
      <c r="D337">
        <v>0</v>
      </c>
      <c r="E337">
        <v>0</v>
      </c>
      <c r="F337">
        <v>0</v>
      </c>
      <c r="G337" s="5">
        <v>6.4120370370801538E-3</v>
      </c>
      <c r="H337" t="s">
        <v>728</v>
      </c>
      <c r="I337" t="s">
        <v>729</v>
      </c>
      <c r="J337">
        <v>0</v>
      </c>
      <c r="K337">
        <f t="shared" ref="K337" si="972">IF(A337&lt;DATEVALUE("2025/11/20")+TIMEVALUE("6:00"),1,IF(OR(B337&lt;&gt;60,SUM(D337:F337)&lt;&gt;0,G337&gt;=IF(A337&lt;DATEVALUE("2025/12/28")+TIMEVALUE("6:00"),20,18)/24/60),0,2-INT(G337*24*60/10)))</f>
        <v>2</v>
      </c>
      <c r="L337">
        <f t="shared" ref="L337" si="973">L336+K337</f>
        <v>420</v>
      </c>
      <c r="M337">
        <f t="shared" ref="M337" si="974">2+IF(A337&gt;=DATEVALUE("2025/11/30")+TIMEVALUE("6:00"),1,0)+IF(A337&gt;=DATEVALUE("2025/12/11")+TIMEVALUE("6:00"),1,0)</f>
        <v>4</v>
      </c>
      <c r="N337">
        <f t="shared" ref="N337" si="975">N336+M337*(INT(A337-6/24)-INT(A336-6/24))+O337</f>
        <v>436</v>
      </c>
      <c r="O337">
        <f t="shared" ref="O337" si="976">IF(A337&gt;=DATEVALUE("2025/11/8")+TIMEVALUE("6:00"),1,0)-IF(A336&gt;=DATEVALUE("2025/11/8")+TIMEVALUE("6:00"),1,0)
+IF(A337&gt;=DATEVALUE("2026/1/22")+TIMEVALUE("6:00"),3,0)-IF(A336&gt;=DATEVALUE("2026/1/22")+TIMEVALUE("6:00"),3,0)
+IF(A337&gt;=DATEVALUE("2026/2/21")+TIMEVALUE("6:00"),1,0)-IF(A336&gt;=DATEVALUE("2026/2/21")+TIMEVALUE("6:00"),1,0)</f>
        <v>0</v>
      </c>
      <c r="P337" t="str">
        <f t="shared" ref="P337" si="977">IF(L337&lt;N337,"未達成（"&amp;N337-L337&amp;"）",IF(L337=N337,"達成","前倒し（"&amp;L337-N337&amp;"）"))</f>
        <v>未達成（16）</v>
      </c>
      <c r="Q337">
        <f t="shared" ref="Q337" si="978">IF(B337="",NA(),G337)</f>
        <v>6.4120370370801538E-3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46087.299976851849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2026-03-05T22:21:54Z</dcterms:modified>
</cp:coreProperties>
</file>
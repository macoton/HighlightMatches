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BA3032F-B055-4877-A8F3-669C704FCF7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2" i="4" l="1"/>
  <c r="O212" i="4"/>
  <c r="M212" i="4"/>
  <c r="N212" i="4" s="1"/>
  <c r="K212" i="4"/>
  <c r="L212" i="4" s="1"/>
  <c r="P212" i="4" s="1"/>
  <c r="Q211" i="4"/>
  <c r="O211" i="4"/>
  <c r="M211" i="4"/>
  <c r="N211" i="4" s="1"/>
  <c r="K211" i="4"/>
  <c r="L211" i="4" s="1"/>
  <c r="Q210" i="4"/>
  <c r="O210" i="4"/>
  <c r="M210" i="4"/>
  <c r="N210" i="4" s="1"/>
  <c r="K210" i="4"/>
  <c r="L210" i="4" s="1"/>
  <c r="Q209" i="4"/>
  <c r="O209" i="4"/>
  <c r="M209" i="4"/>
  <c r="N209" i="4" s="1"/>
  <c r="K209" i="4"/>
  <c r="L209" i="4" s="1"/>
  <c r="P209" i="4" s="1"/>
  <c r="Q208" i="4"/>
  <c r="O208" i="4"/>
  <c r="M208" i="4"/>
  <c r="N208" i="4" s="1"/>
  <c r="K208" i="4"/>
  <c r="L208" i="4" s="1"/>
  <c r="Q207" i="4"/>
  <c r="O207" i="4"/>
  <c r="M207" i="4"/>
  <c r="N207" i="4" s="1"/>
  <c r="K207" i="4"/>
  <c r="L207" i="4" s="1"/>
  <c r="Q206" i="4"/>
  <c r="O206" i="4"/>
  <c r="M206" i="4"/>
  <c r="N206" i="4" s="1"/>
  <c r="K206" i="4"/>
  <c r="L206" i="4" s="1"/>
  <c r="P206" i="4" s="1"/>
  <c r="Q205" i="4"/>
  <c r="O205" i="4"/>
  <c r="M205" i="4"/>
  <c r="N205" i="4" s="1"/>
  <c r="K205" i="4"/>
  <c r="L205" i="4" s="1"/>
  <c r="P205" i="4" s="1"/>
  <c r="Q204" i="4"/>
  <c r="O204" i="4"/>
  <c r="M204" i="4"/>
  <c r="N204" i="4" s="1"/>
  <c r="K204" i="4"/>
  <c r="L204" i="4" s="1"/>
  <c r="P204" i="4" s="1"/>
  <c r="Q203" i="4"/>
  <c r="O203" i="4"/>
  <c r="M203" i="4"/>
  <c r="N203" i="4" s="1"/>
  <c r="K203" i="4"/>
  <c r="L203" i="4" s="1"/>
  <c r="P203" i="4" s="1"/>
  <c r="Q202" i="4"/>
  <c r="O202" i="4"/>
  <c r="M202" i="4"/>
  <c r="N202" i="4" s="1"/>
  <c r="K202" i="4"/>
  <c r="L202" i="4" s="1"/>
  <c r="P202" i="4" s="1"/>
  <c r="Q201" i="4"/>
  <c r="O201" i="4"/>
  <c r="M201" i="4"/>
  <c r="N201" i="4" s="1"/>
  <c r="K201" i="4"/>
  <c r="L201" i="4" s="1"/>
  <c r="Q200" i="4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11" i="4" l="1"/>
  <c r="P210" i="4"/>
  <c r="P208" i="4"/>
  <c r="P207" i="4"/>
  <c r="P201" i="4"/>
  <c r="P200" i="4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<sst xmlns="http://schemas.openxmlformats.org/spreadsheetml/2006/main" count="501" uniqueCount="481">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</sst>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データ!$A$3:$A$212</c:f>
              <c:numCache>
                <c:formatCode>m/d/yyyy\ h:mm</c:formatCode>
                <c:ptCount val="21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</c:numCache>
            </c:numRef>
          </c:xVal>
          <c:yVal>
            <c:numRef>
              <c:f>データ!$B$3:$B$212</c:f>
              <c:numCache>
                <c:formatCode>General</c:formatCode>
                <c:ptCount val="21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A-45C3-98D7-0DE1B428DBC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D1A-45C3-98D7-0DE1B428D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829807"/>
        <c:axId val="116184036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データ!$A$3:$A$212</c:f>
              <c:numCache>
                <c:formatCode>m/d/yyyy\ h:mm</c:formatCode>
                <c:ptCount val="21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</c:numCache>
            </c:numRef>
          </c:xVal>
          <c:yVal>
            <c:numRef>
              <c:f>データ!$Q$3:$Q$212</c:f>
              <c:numCache>
                <c:formatCode>[h]:mm</c:formatCode>
                <c:ptCount val="21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1A-45C3-98D7-0DE1B428D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816015"/>
        <c:axId val="1161878767"/>
      </c:scatterChart>
      <c:valAx>
        <c:axId val="1161829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1840367"/>
        <c:crosses val="autoZero"/>
        <c:crossBetween val="midCat"/>
      </c:valAx>
      <c:valAx>
        <c:axId val="116184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1829807"/>
        <c:crosses val="autoZero"/>
        <c:crossBetween val="midCat"/>
      </c:valAx>
      <c:valAx>
        <c:axId val="116187876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2816015"/>
        <c:crosses val="max"/>
        <c:crossBetween val="midCat"/>
      </c:valAx>
      <c:valAx>
        <c:axId val="106281601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187876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2086" name="Match0">
          <a:extLst>
            <a:ext uri="{FF2B5EF4-FFF2-40B4-BE49-F238E27FC236}">
              <a16:creationId xmlns:a16="http://schemas.microsoft.com/office/drawing/2014/main" id="{4FEDF8F4-906D-896B-4E74-0D9E67DF5CEA}"/>
            </a:ext>
          </a:extLst>
        </xdr:cNvPr>
        <xdr:cNvCxnSpPr/>
      </xdr:nvCxnSpPr>
      <xdr:spPr>
        <a:xfrm>
          <a:off x="10596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2087" name="Match1">
          <a:extLst>
            <a:ext uri="{FF2B5EF4-FFF2-40B4-BE49-F238E27FC236}">
              <a16:creationId xmlns:a16="http://schemas.microsoft.com/office/drawing/2014/main" id="{CF3BB6C8-BBC1-5093-7832-3FDE22F29F12}"/>
            </a:ext>
          </a:extLst>
        </xdr:cNvPr>
        <xdr:cNvCxnSpPr/>
      </xdr:nvCxnSpPr>
      <xdr:spPr>
        <a:xfrm flipV="1"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2088" name="Match2">
          <a:extLst>
            <a:ext uri="{FF2B5EF4-FFF2-40B4-BE49-F238E27FC236}">
              <a16:creationId xmlns:a16="http://schemas.microsoft.com/office/drawing/2014/main" id="{AFB6F67A-B6F2-363E-F5C1-4F2377D2C72E}"/>
            </a:ext>
          </a:extLst>
        </xdr:cNvPr>
        <xdr:cNvCxnSpPr/>
      </xdr:nvCxnSpPr>
      <xdr:spPr>
        <a:xfrm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2089" name="Match3">
          <a:extLst>
            <a:ext uri="{FF2B5EF4-FFF2-40B4-BE49-F238E27FC236}">
              <a16:creationId xmlns:a16="http://schemas.microsoft.com/office/drawing/2014/main" id="{239E4CC2-34ED-A90E-F8F4-5E26D797222D}"/>
            </a:ext>
          </a:extLst>
        </xdr:cNvPr>
        <xdr:cNvCxnSpPr/>
      </xdr:nvCxnSpPr>
      <xdr:spPr>
        <a:xfrm flipH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2090" name="Match4">
          <a:extLst>
            <a:ext uri="{FF2B5EF4-FFF2-40B4-BE49-F238E27FC236}">
              <a16:creationId xmlns:a16="http://schemas.microsoft.com/office/drawing/2014/main" id="{5F058A78-1218-0106-D771-75223C37DAF1}"/>
            </a:ext>
          </a:extLst>
        </xdr:cNvPr>
        <xdr:cNvCxnSpPr/>
      </xdr:nvCxnSpPr>
      <xdr:spPr>
        <a:xfrm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2091" name="Match5">
          <a:extLst>
            <a:ext uri="{FF2B5EF4-FFF2-40B4-BE49-F238E27FC236}">
              <a16:creationId xmlns:a16="http://schemas.microsoft.com/office/drawing/2014/main" id="{A5B9EC9C-7B02-E09E-5A48-1D5AB15014CB}"/>
            </a:ext>
          </a:extLst>
        </xdr:cNvPr>
        <xdr:cNvCxnSpPr/>
      </xdr:nvCxnSpPr>
      <xdr:spPr>
        <a:xfrm flipV="1">
          <a:off x="278050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2092" name="Match6">
          <a:extLst>
            <a:ext uri="{FF2B5EF4-FFF2-40B4-BE49-F238E27FC236}">
              <a16:creationId xmlns:a16="http://schemas.microsoft.com/office/drawing/2014/main" id="{A33B1EEC-9FAC-7557-12F8-26C975BD7D60}"/>
            </a:ext>
          </a:extLst>
        </xdr:cNvPr>
        <xdr:cNvCxnSpPr/>
      </xdr:nvCxnSpPr>
      <xdr:spPr>
        <a:xfrm flipV="1">
          <a:off x="40266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2093" name="Match7">
          <a:extLst>
            <a:ext uri="{FF2B5EF4-FFF2-40B4-BE49-F238E27FC236}">
              <a16:creationId xmlns:a16="http://schemas.microsoft.com/office/drawing/2014/main" id="{C2624B77-C5D8-4048-1D1E-5D2A03B0C9E2}"/>
            </a:ext>
          </a:extLst>
        </xdr:cNvPr>
        <xdr:cNvCxnSpPr/>
      </xdr:nvCxnSpPr>
      <xdr:spPr>
        <a:xfrm flipH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2094" name="Match8">
          <a:extLst>
            <a:ext uri="{FF2B5EF4-FFF2-40B4-BE49-F238E27FC236}">
              <a16:creationId xmlns:a16="http://schemas.microsoft.com/office/drawing/2014/main" id="{DF9CD700-239B-A62A-0703-BDD3A1168257}"/>
            </a:ext>
          </a:extLst>
        </xdr:cNvPr>
        <xdr:cNvCxnSpPr/>
      </xdr:nvCxnSpPr>
      <xdr:spPr>
        <a:xfrm>
          <a:off x="275510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2095" name="Match9">
          <a:extLst>
            <a:ext uri="{FF2B5EF4-FFF2-40B4-BE49-F238E27FC236}">
              <a16:creationId xmlns:a16="http://schemas.microsoft.com/office/drawing/2014/main" id="{B4EDEA86-2EB2-88FE-D5E1-37454685C5BE}"/>
            </a:ext>
          </a:extLst>
        </xdr:cNvPr>
        <xdr:cNvCxnSpPr/>
      </xdr:nvCxnSpPr>
      <xdr:spPr>
        <a:xfrm>
          <a:off x="6357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8</xdr:row>
      <xdr:rowOff>203994</xdr:rowOff>
    </xdr:from>
    <xdr:to>
      <xdr:col>1</xdr:col>
      <xdr:colOff>237331</xdr:colOff>
      <xdr:row>8</xdr:row>
      <xdr:rowOff>203994</xdr:rowOff>
    </xdr:to>
    <xdr:cxnSp macro="">
      <xdr:nvCxnSpPr>
        <xdr:cNvPr id="2096" name="Match10">
          <a:extLst>
            <a:ext uri="{FF2B5EF4-FFF2-40B4-BE49-F238E27FC236}">
              <a16:creationId xmlns:a16="http://schemas.microsoft.com/office/drawing/2014/main" id="{E731A124-E354-FDF4-1E4E-96C140C37637}"/>
            </a:ext>
          </a:extLst>
        </xdr:cNvPr>
        <xdr:cNvCxnSpPr/>
      </xdr:nvCxnSpPr>
      <xdr:spPr>
        <a:xfrm flipH="1">
          <a:off x="237331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2097" name="Match11">
          <a:extLst>
            <a:ext uri="{FF2B5EF4-FFF2-40B4-BE49-F238E27FC236}">
              <a16:creationId xmlns:a16="http://schemas.microsoft.com/office/drawing/2014/main" id="{A1D047F7-BB02-C114-FB98-C5DB427F805D}"/>
            </a:ext>
          </a:extLst>
        </xdr:cNvPr>
        <xdr:cNvCxnSpPr/>
      </xdr:nvCxnSpPr>
      <xdr:spPr>
        <a:xfrm>
          <a:off x="233124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2098" name="Match12">
          <a:extLst>
            <a:ext uri="{FF2B5EF4-FFF2-40B4-BE49-F238E27FC236}">
              <a16:creationId xmlns:a16="http://schemas.microsoft.com/office/drawing/2014/main" id="{0B3A9A47-C226-B253-AAB6-5E7BCF63910A}"/>
            </a:ext>
          </a:extLst>
        </xdr:cNvPr>
        <xdr:cNvCxnSpPr/>
      </xdr:nvCxnSpPr>
      <xdr:spPr>
        <a:xfrm flipH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2099" name="Match13">
          <a:extLst>
            <a:ext uri="{FF2B5EF4-FFF2-40B4-BE49-F238E27FC236}">
              <a16:creationId xmlns:a16="http://schemas.microsoft.com/office/drawing/2014/main" id="{AC82D944-2813-0875-79EE-035FBE4E90A2}"/>
            </a:ext>
          </a:extLst>
        </xdr:cNvPr>
        <xdr:cNvCxnSpPr/>
      </xdr:nvCxnSpPr>
      <xdr:spPr>
        <a:xfrm flipH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2100" name="Match14">
          <a:extLst>
            <a:ext uri="{FF2B5EF4-FFF2-40B4-BE49-F238E27FC236}">
              <a16:creationId xmlns:a16="http://schemas.microsoft.com/office/drawing/2014/main" id="{82ABD92B-CA94-8EDB-6A1D-9B192069386F}"/>
            </a:ext>
          </a:extLst>
        </xdr:cNvPr>
        <xdr:cNvCxnSpPr/>
      </xdr:nvCxnSpPr>
      <xdr:spPr>
        <a:xfrm flipH="1"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2101" name="Match15">
          <a:extLst>
            <a:ext uri="{FF2B5EF4-FFF2-40B4-BE49-F238E27FC236}">
              <a16:creationId xmlns:a16="http://schemas.microsoft.com/office/drawing/2014/main" id="{945351BE-A0A6-1B9A-FD41-7CBC09F8875C}"/>
            </a:ext>
          </a:extLst>
        </xdr:cNvPr>
        <xdr:cNvCxnSpPr/>
      </xdr:nvCxnSpPr>
      <xdr:spPr>
        <a:xfrm flipV="1"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2102" name="Match16">
          <a:extLst>
            <a:ext uri="{FF2B5EF4-FFF2-40B4-BE49-F238E27FC236}">
              <a16:creationId xmlns:a16="http://schemas.microsoft.com/office/drawing/2014/main" id="{6CF9BE36-B4EF-A06F-FC08-C9EF8100227E}"/>
            </a:ext>
          </a:extLst>
        </xdr:cNvPr>
        <xdr:cNvCxnSpPr/>
      </xdr:nvCxnSpPr>
      <xdr:spPr>
        <a:xfrm flipV="1"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2103" name="Match17">
          <a:extLst>
            <a:ext uri="{FF2B5EF4-FFF2-40B4-BE49-F238E27FC236}">
              <a16:creationId xmlns:a16="http://schemas.microsoft.com/office/drawing/2014/main" id="{9348909E-D304-BAE6-BCAA-5EDB38D181A0}"/>
            </a:ext>
          </a:extLst>
        </xdr:cNvPr>
        <xdr:cNvCxnSpPr/>
      </xdr:nvCxnSpPr>
      <xdr:spPr>
        <a:xfrm flipV="1"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2104" name="Match18">
          <a:extLst>
            <a:ext uri="{FF2B5EF4-FFF2-40B4-BE49-F238E27FC236}">
              <a16:creationId xmlns:a16="http://schemas.microsoft.com/office/drawing/2014/main" id="{262EEC7E-5A35-CB98-5F79-CBDEF775BFA5}"/>
            </a:ext>
          </a:extLst>
        </xdr:cNvPr>
        <xdr:cNvCxnSpPr/>
      </xdr:nvCxnSpPr>
      <xdr:spPr>
        <a:xfrm flipV="1">
          <a:off x="317896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2105" name="Match19">
          <a:extLst>
            <a:ext uri="{FF2B5EF4-FFF2-40B4-BE49-F238E27FC236}">
              <a16:creationId xmlns:a16="http://schemas.microsoft.com/office/drawing/2014/main" id="{B0A8505F-2133-DD52-3C29-5AD81F053B41}"/>
            </a:ext>
          </a:extLst>
        </xdr:cNvPr>
        <xdr:cNvCxnSpPr/>
      </xdr:nvCxnSpPr>
      <xdr:spPr>
        <a:xfrm>
          <a:off x="211931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2106" name="Match20">
          <a:extLst>
            <a:ext uri="{FF2B5EF4-FFF2-40B4-BE49-F238E27FC236}">
              <a16:creationId xmlns:a16="http://schemas.microsoft.com/office/drawing/2014/main" id="{A6B8C716-8F93-F8BF-DF8A-45896A8EE93F}"/>
            </a:ext>
          </a:extLst>
        </xdr:cNvPr>
        <xdr:cNvCxnSpPr/>
      </xdr:nvCxnSpPr>
      <xdr:spPr>
        <a:xfrm>
          <a:off x="1483519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2107" name="Match21">
          <a:extLst>
            <a:ext uri="{FF2B5EF4-FFF2-40B4-BE49-F238E27FC236}">
              <a16:creationId xmlns:a16="http://schemas.microsoft.com/office/drawing/2014/main" id="{A878A015-2D72-8CA6-1F3C-25C6C885B602}"/>
            </a:ext>
          </a:extLst>
        </xdr:cNvPr>
        <xdr:cNvCxnSpPr/>
      </xdr:nvCxnSpPr>
      <xdr:spPr>
        <a:xfrm>
          <a:off x="1907381" y="8929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2108" name="Match22">
          <a:extLst>
            <a:ext uri="{FF2B5EF4-FFF2-40B4-BE49-F238E27FC236}">
              <a16:creationId xmlns:a16="http://schemas.microsoft.com/office/drawing/2014/main" id="{4D344528-C490-6CCE-1E30-A12D27D6A75E}"/>
            </a:ext>
          </a:extLst>
        </xdr:cNvPr>
        <xdr:cNvCxnSpPr/>
      </xdr:nvCxnSpPr>
      <xdr:spPr>
        <a:xfrm flipH="1"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2109" name="Match23">
          <a:extLst>
            <a:ext uri="{FF2B5EF4-FFF2-40B4-BE49-F238E27FC236}">
              <a16:creationId xmlns:a16="http://schemas.microsoft.com/office/drawing/2014/main" id="{958DFD0E-4C96-A567-1619-C08D18A57518}"/>
            </a:ext>
          </a:extLst>
        </xdr:cNvPr>
        <xdr:cNvCxnSpPr/>
      </xdr:nvCxnSpPr>
      <xdr:spPr>
        <a:xfrm flipH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2110" name="Match24">
          <a:extLst>
            <a:ext uri="{FF2B5EF4-FFF2-40B4-BE49-F238E27FC236}">
              <a16:creationId xmlns:a16="http://schemas.microsoft.com/office/drawing/2014/main" id="{B20BB3C0-7FFD-0FF4-63D4-3E8EB4764314}"/>
            </a:ext>
          </a:extLst>
        </xdr:cNvPr>
        <xdr:cNvCxnSpPr/>
      </xdr:nvCxnSpPr>
      <xdr:spPr>
        <a:xfrm flipH="1"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2</xdr:row>
      <xdr:rowOff>203994</xdr:rowOff>
    </xdr:to>
    <xdr:cxnSp macro="">
      <xdr:nvCxnSpPr>
        <xdr:cNvPr id="2111" name="Match25">
          <a:extLst>
            <a:ext uri="{FF2B5EF4-FFF2-40B4-BE49-F238E27FC236}">
              <a16:creationId xmlns:a16="http://schemas.microsoft.com/office/drawing/2014/main" id="{5A291C19-CBBD-A30B-15EA-1BD07047219C}"/>
            </a:ext>
          </a:extLst>
        </xdr:cNvPr>
        <xdr:cNvCxnSpPr/>
      </xdr:nvCxnSpPr>
      <xdr:spPr>
        <a:xfrm>
          <a:off x="237331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2112" name="Match26">
          <a:extLst>
            <a:ext uri="{FF2B5EF4-FFF2-40B4-BE49-F238E27FC236}">
              <a16:creationId xmlns:a16="http://schemas.microsoft.com/office/drawing/2014/main" id="{0D98DD02-F8CA-8F38-C3CF-2CC46BB1D0BA}"/>
            </a:ext>
          </a:extLst>
        </xdr:cNvPr>
        <xdr:cNvCxnSpPr/>
      </xdr:nvCxnSpPr>
      <xdr:spPr>
        <a:xfrm flipV="1">
          <a:off x="233124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2113" name="Match27">
          <a:extLst>
            <a:ext uri="{FF2B5EF4-FFF2-40B4-BE49-F238E27FC236}">
              <a16:creationId xmlns:a16="http://schemas.microsoft.com/office/drawing/2014/main" id="{C9219ABE-3799-E94F-E6CD-63E5E403EC35}"/>
            </a:ext>
          </a:extLst>
        </xdr:cNvPr>
        <xdr:cNvCxnSpPr/>
      </xdr:nvCxnSpPr>
      <xdr:spPr>
        <a:xfrm flipV="1">
          <a:off x="40266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2114" name="Match28">
          <a:extLst>
            <a:ext uri="{FF2B5EF4-FFF2-40B4-BE49-F238E27FC236}">
              <a16:creationId xmlns:a16="http://schemas.microsoft.com/office/drawing/2014/main" id="{059B5A94-CF85-5485-082F-A33E9F5D5DCD}"/>
            </a:ext>
          </a:extLst>
        </xdr:cNvPr>
        <xdr:cNvCxnSpPr/>
      </xdr:nvCxnSpPr>
      <xdr:spPr>
        <a:xfrm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115" name="Match29">
          <a:extLst>
            <a:ext uri="{FF2B5EF4-FFF2-40B4-BE49-F238E27FC236}">
              <a16:creationId xmlns:a16="http://schemas.microsoft.com/office/drawing/2014/main" id="{6E086CC3-5113-7259-2FE7-433AC2FF3037}"/>
            </a:ext>
          </a:extLst>
        </xdr:cNvPr>
        <xdr:cNvCxnSpPr/>
      </xdr:nvCxnSpPr>
      <xdr:spPr>
        <a:xfrm flipH="1" flipV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2116" name="Match30">
          <a:extLst>
            <a:ext uri="{FF2B5EF4-FFF2-40B4-BE49-F238E27FC236}">
              <a16:creationId xmlns:a16="http://schemas.microsoft.com/office/drawing/2014/main" id="{65128C6E-FA6C-0DE7-AF77-C57BB0A2103D}"/>
            </a:ext>
          </a:extLst>
        </xdr:cNvPr>
        <xdr:cNvCxnSpPr/>
      </xdr:nvCxnSpPr>
      <xdr:spPr>
        <a:xfrm>
          <a:off x="233124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2117" name="Match31">
          <a:extLst>
            <a:ext uri="{FF2B5EF4-FFF2-40B4-BE49-F238E27FC236}">
              <a16:creationId xmlns:a16="http://schemas.microsoft.com/office/drawing/2014/main" id="{191FDF54-7E00-837C-898E-37F6833B5ECE}"/>
            </a:ext>
          </a:extLst>
        </xdr:cNvPr>
        <xdr:cNvCxnSpPr/>
      </xdr:nvCxnSpPr>
      <xdr:spPr>
        <a:xfrm flipH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2118" name="Match32">
          <a:extLst>
            <a:ext uri="{FF2B5EF4-FFF2-40B4-BE49-F238E27FC236}">
              <a16:creationId xmlns:a16="http://schemas.microsoft.com/office/drawing/2014/main" id="{DF1DDABD-5211-8EF5-8282-4BB9A5B1A1AC}"/>
            </a:ext>
          </a:extLst>
        </xdr:cNvPr>
        <xdr:cNvCxnSpPr/>
      </xdr:nvCxnSpPr>
      <xdr:spPr>
        <a:xfrm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2119" name="Match33">
          <a:extLst>
            <a:ext uri="{FF2B5EF4-FFF2-40B4-BE49-F238E27FC236}">
              <a16:creationId xmlns:a16="http://schemas.microsoft.com/office/drawing/2014/main" id="{52935F74-C092-9209-0535-DDCD307F9AC3}"/>
            </a:ext>
          </a:extLst>
        </xdr:cNvPr>
        <xdr:cNvCxnSpPr/>
      </xdr:nvCxnSpPr>
      <xdr:spPr>
        <a:xfrm>
          <a:off x="40266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2120" name="Match34">
          <a:extLst>
            <a:ext uri="{FF2B5EF4-FFF2-40B4-BE49-F238E27FC236}">
              <a16:creationId xmlns:a16="http://schemas.microsoft.com/office/drawing/2014/main" id="{C84C84B0-6422-48D3-EC23-3EEFBC159391}"/>
            </a:ext>
          </a:extLst>
        </xdr:cNvPr>
        <xdr:cNvCxnSpPr/>
      </xdr:nvCxnSpPr>
      <xdr:spPr>
        <a:xfrm flipH="1" flipV="1"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2121" name="Match35">
          <a:extLst>
            <a:ext uri="{FF2B5EF4-FFF2-40B4-BE49-F238E27FC236}">
              <a16:creationId xmlns:a16="http://schemas.microsoft.com/office/drawing/2014/main" id="{7B1F8AE1-CADE-441F-D0E5-656E3DD12604}"/>
            </a:ext>
          </a:extLst>
        </xdr:cNvPr>
        <xdr:cNvCxnSpPr/>
      </xdr:nvCxnSpPr>
      <xdr:spPr>
        <a:xfrm flipH="1"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2122" name="Match36">
          <a:extLst>
            <a:ext uri="{FF2B5EF4-FFF2-40B4-BE49-F238E27FC236}">
              <a16:creationId xmlns:a16="http://schemas.microsoft.com/office/drawing/2014/main" id="{EDEB18FB-0087-5F51-993A-1CCED7BC5C8A}"/>
            </a:ext>
          </a:extLst>
        </xdr:cNvPr>
        <xdr:cNvCxnSpPr/>
      </xdr:nvCxnSpPr>
      <xdr:spPr>
        <a:xfrm flipH="1">
          <a:off x="44505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9</xdr:row>
      <xdr:rowOff>203993</xdr:rowOff>
    </xdr:from>
    <xdr:to>
      <xdr:col>11</xdr:col>
      <xdr:colOff>237331</xdr:colOff>
      <xdr:row>10</xdr:row>
      <xdr:rowOff>203994</xdr:rowOff>
    </xdr:to>
    <xdr:cxnSp macro="">
      <xdr:nvCxnSpPr>
        <xdr:cNvPr id="2123" name="Match37">
          <a:extLst>
            <a:ext uri="{FF2B5EF4-FFF2-40B4-BE49-F238E27FC236}">
              <a16:creationId xmlns:a16="http://schemas.microsoft.com/office/drawing/2014/main" id="{48135612-726E-B902-D467-04BE4E58DDDE}"/>
            </a:ext>
          </a:extLst>
        </xdr:cNvPr>
        <xdr:cNvCxnSpPr/>
      </xdr:nvCxnSpPr>
      <xdr:spPr>
        <a:xfrm flipV="1">
          <a:off x="489981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124" name="Match38">
          <a:extLst>
            <a:ext uri="{FF2B5EF4-FFF2-40B4-BE49-F238E27FC236}">
              <a16:creationId xmlns:a16="http://schemas.microsoft.com/office/drawing/2014/main" id="{FA172435-ADB7-B5BA-402F-FCF855AE8195}"/>
            </a:ext>
          </a:extLst>
        </xdr:cNvPr>
        <xdr:cNvCxnSpPr/>
      </xdr:nvCxnSpPr>
      <xdr:spPr>
        <a:xfrm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2125" name="Match39">
          <a:extLst>
            <a:ext uri="{FF2B5EF4-FFF2-40B4-BE49-F238E27FC236}">
              <a16:creationId xmlns:a16="http://schemas.microsoft.com/office/drawing/2014/main" id="{DB2D4F04-D6CD-D768-FFC1-4DAF293D3945}"/>
            </a:ext>
          </a:extLst>
        </xdr:cNvPr>
        <xdr:cNvCxnSpPr/>
      </xdr:nvCxnSpPr>
      <xdr:spPr>
        <a:xfrm flipH="1">
          <a:off x="105965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2126" name="Match40">
          <a:extLst>
            <a:ext uri="{FF2B5EF4-FFF2-40B4-BE49-F238E27FC236}">
              <a16:creationId xmlns:a16="http://schemas.microsoft.com/office/drawing/2014/main" id="{1E4A2846-E1F3-47E6-5EEB-748F37608C48}"/>
            </a:ext>
          </a:extLst>
        </xdr:cNvPr>
        <xdr:cNvCxnSpPr/>
      </xdr:nvCxnSpPr>
      <xdr:spPr>
        <a:xfrm flipV="1">
          <a:off x="317896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2127" name="Match41">
          <a:extLst>
            <a:ext uri="{FF2B5EF4-FFF2-40B4-BE49-F238E27FC236}">
              <a16:creationId xmlns:a16="http://schemas.microsoft.com/office/drawing/2014/main" id="{0FA06B57-0E82-2808-298E-DC1829BC7ED1}"/>
            </a:ext>
          </a:extLst>
        </xdr:cNvPr>
        <xdr:cNvCxnSpPr/>
      </xdr:nvCxnSpPr>
      <xdr:spPr>
        <a:xfrm flipV="1">
          <a:off x="4450556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11</xdr:row>
      <xdr:rowOff>203993</xdr:rowOff>
    </xdr:from>
    <xdr:to>
      <xdr:col>7</xdr:col>
      <xdr:colOff>237331</xdr:colOff>
      <xdr:row>11</xdr:row>
      <xdr:rowOff>203993</xdr:rowOff>
    </xdr:to>
    <xdr:cxnSp macro="">
      <xdr:nvCxnSpPr>
        <xdr:cNvPr id="2128" name="Match42">
          <a:extLst>
            <a:ext uri="{FF2B5EF4-FFF2-40B4-BE49-F238E27FC236}">
              <a16:creationId xmlns:a16="http://schemas.microsoft.com/office/drawing/2014/main" id="{CD12C685-A35C-98B7-29E5-41C9FFC972A7}"/>
            </a:ext>
          </a:extLst>
        </xdr:cNvPr>
        <xdr:cNvCxnSpPr/>
      </xdr:nvCxnSpPr>
      <xdr:spPr>
        <a:xfrm flipH="1">
          <a:off x="661194" y="4133056"/>
          <a:ext cx="254317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2129" name="Match43">
          <a:extLst>
            <a:ext uri="{FF2B5EF4-FFF2-40B4-BE49-F238E27FC236}">
              <a16:creationId xmlns:a16="http://schemas.microsoft.com/office/drawing/2014/main" id="{65943E72-9F7F-467E-C53F-56B069BE24E0}"/>
            </a:ext>
          </a:extLst>
        </xdr:cNvPr>
        <xdr:cNvCxnSpPr/>
      </xdr:nvCxnSpPr>
      <xdr:spPr>
        <a:xfrm flipH="1">
          <a:off x="211931" y="1250156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2130" name="Match44">
          <a:extLst>
            <a:ext uri="{FF2B5EF4-FFF2-40B4-BE49-F238E27FC236}">
              <a16:creationId xmlns:a16="http://schemas.microsoft.com/office/drawing/2014/main" id="{804D8CC4-5605-85A1-6B31-FDAD511A6A8E}"/>
            </a:ext>
          </a:extLst>
        </xdr:cNvPr>
        <xdr:cNvCxnSpPr/>
      </xdr:nvCxnSpPr>
      <xdr:spPr>
        <a:xfrm flipH="1">
          <a:off x="2331244" y="535781"/>
          <a:ext cx="2119312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2131" name="Match45">
          <a:extLst>
            <a:ext uri="{FF2B5EF4-FFF2-40B4-BE49-F238E27FC236}">
              <a16:creationId xmlns:a16="http://schemas.microsoft.com/office/drawing/2014/main" id="{F1C82651-425B-9E1D-8F12-9B5CD95B8E69}"/>
            </a:ext>
          </a:extLst>
        </xdr:cNvPr>
        <xdr:cNvCxnSpPr/>
      </xdr:nvCxnSpPr>
      <xdr:spPr>
        <a:xfrm flipV="1">
          <a:off x="36028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10</xdr:col>
      <xdr:colOff>237331</xdr:colOff>
      <xdr:row>3</xdr:row>
      <xdr:rowOff>203993</xdr:rowOff>
    </xdr:to>
    <xdr:cxnSp macro="">
      <xdr:nvCxnSpPr>
        <xdr:cNvPr id="2132" name="Match46">
          <a:extLst>
            <a:ext uri="{FF2B5EF4-FFF2-40B4-BE49-F238E27FC236}">
              <a16:creationId xmlns:a16="http://schemas.microsoft.com/office/drawing/2014/main" id="{CDD1A44E-FE78-BBCA-F7F1-16F189245695}"/>
            </a:ext>
          </a:extLst>
        </xdr:cNvPr>
        <xdr:cNvCxnSpPr/>
      </xdr:nvCxnSpPr>
      <xdr:spPr>
        <a:xfrm>
          <a:off x="4052094" y="12755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0</xdr:col>
      <xdr:colOff>237331</xdr:colOff>
      <xdr:row>5</xdr:row>
      <xdr:rowOff>203993</xdr:rowOff>
    </xdr:to>
    <xdr:cxnSp macro="">
      <xdr:nvCxnSpPr>
        <xdr:cNvPr id="2133" name="Match47">
          <a:extLst>
            <a:ext uri="{FF2B5EF4-FFF2-40B4-BE49-F238E27FC236}">
              <a16:creationId xmlns:a16="http://schemas.microsoft.com/office/drawing/2014/main" id="{F740BA31-A40C-557B-46A5-8E3989B56731}"/>
            </a:ext>
          </a:extLst>
        </xdr:cNvPr>
        <xdr:cNvCxnSpPr/>
      </xdr:nvCxnSpPr>
      <xdr:spPr>
        <a:xfrm flipV="1">
          <a:off x="237331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2134" name="Match48">
          <a:extLst>
            <a:ext uri="{FF2B5EF4-FFF2-40B4-BE49-F238E27FC236}">
              <a16:creationId xmlns:a16="http://schemas.microsoft.com/office/drawing/2014/main" id="{3C0F6E84-774C-CB81-BF3E-B1F23015E4B5}"/>
            </a:ext>
          </a:extLst>
        </xdr:cNvPr>
        <xdr:cNvCxnSpPr/>
      </xdr:nvCxnSpPr>
      <xdr:spPr>
        <a:xfrm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2135" name="Match49">
          <a:extLst>
            <a:ext uri="{FF2B5EF4-FFF2-40B4-BE49-F238E27FC236}">
              <a16:creationId xmlns:a16="http://schemas.microsoft.com/office/drawing/2014/main" id="{9E31C3D0-70F4-538F-AE28-C3D1DBB598B7}"/>
            </a:ext>
          </a:extLst>
        </xdr:cNvPr>
        <xdr:cNvCxnSpPr/>
      </xdr:nvCxnSpPr>
      <xdr:spPr>
        <a:xfrm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2136" name="Match50">
          <a:extLst>
            <a:ext uri="{FF2B5EF4-FFF2-40B4-BE49-F238E27FC236}">
              <a16:creationId xmlns:a16="http://schemas.microsoft.com/office/drawing/2014/main" id="{29E8A191-E002-2E32-48C3-30EB80E1DC22}"/>
            </a:ext>
          </a:extLst>
        </xdr:cNvPr>
        <xdr:cNvCxnSpPr/>
      </xdr:nvCxnSpPr>
      <xdr:spPr>
        <a:xfrm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7</xdr:row>
      <xdr:rowOff>203993</xdr:rowOff>
    </xdr:to>
    <xdr:cxnSp macro="">
      <xdr:nvCxnSpPr>
        <xdr:cNvPr id="2137" name="Match51">
          <a:extLst>
            <a:ext uri="{FF2B5EF4-FFF2-40B4-BE49-F238E27FC236}">
              <a16:creationId xmlns:a16="http://schemas.microsoft.com/office/drawing/2014/main" id="{7975D287-A93A-4C88-1013-CA3A975471A3}"/>
            </a:ext>
          </a:extLst>
        </xdr:cNvPr>
        <xdr:cNvCxnSpPr/>
      </xdr:nvCxnSpPr>
      <xdr:spPr>
        <a:xfrm>
          <a:off x="447595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6</xdr:row>
      <xdr:rowOff>229394</xdr:rowOff>
    </xdr:from>
    <xdr:to>
      <xdr:col>11</xdr:col>
      <xdr:colOff>262731</xdr:colOff>
      <xdr:row>7</xdr:row>
      <xdr:rowOff>229393</xdr:rowOff>
    </xdr:to>
    <xdr:cxnSp macro="">
      <xdr:nvCxnSpPr>
        <xdr:cNvPr id="2138" name="Match52">
          <a:extLst>
            <a:ext uri="{FF2B5EF4-FFF2-40B4-BE49-F238E27FC236}">
              <a16:creationId xmlns:a16="http://schemas.microsoft.com/office/drawing/2014/main" id="{D009CA93-2B13-EBD4-5D96-DEFE0BD1BAE3}"/>
            </a:ext>
          </a:extLst>
        </xdr:cNvPr>
        <xdr:cNvCxnSpPr/>
      </xdr:nvCxnSpPr>
      <xdr:spPr>
        <a:xfrm flipV="1">
          <a:off x="450135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10</xdr:row>
      <xdr:rowOff>229394</xdr:rowOff>
    </xdr:from>
    <xdr:to>
      <xdr:col>11</xdr:col>
      <xdr:colOff>262731</xdr:colOff>
      <xdr:row>11</xdr:row>
      <xdr:rowOff>229393</xdr:rowOff>
    </xdr:to>
    <xdr:cxnSp macro="">
      <xdr:nvCxnSpPr>
        <xdr:cNvPr id="2139" name="Match53">
          <a:extLst>
            <a:ext uri="{FF2B5EF4-FFF2-40B4-BE49-F238E27FC236}">
              <a16:creationId xmlns:a16="http://schemas.microsoft.com/office/drawing/2014/main" id="{5208E7AC-522D-8B24-5FF7-70522AE8722D}"/>
            </a:ext>
          </a:extLst>
        </xdr:cNvPr>
        <xdr:cNvCxnSpPr/>
      </xdr:nvCxnSpPr>
      <xdr:spPr>
        <a:xfrm flipH="1">
          <a:off x="4501356" y="38012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11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2140" name="Match54">
          <a:extLst>
            <a:ext uri="{FF2B5EF4-FFF2-40B4-BE49-F238E27FC236}">
              <a16:creationId xmlns:a16="http://schemas.microsoft.com/office/drawing/2014/main" id="{24ECD31B-82F9-3603-2C8E-A466BE6C7E58}"/>
            </a:ext>
          </a:extLst>
        </xdr:cNvPr>
        <xdr:cNvCxnSpPr/>
      </xdr:nvCxnSpPr>
      <xdr:spPr>
        <a:xfrm>
          <a:off x="4052094" y="41330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2141" name="Match55">
          <a:extLst>
            <a:ext uri="{FF2B5EF4-FFF2-40B4-BE49-F238E27FC236}">
              <a16:creationId xmlns:a16="http://schemas.microsoft.com/office/drawing/2014/main" id="{0BE6DE1B-DA88-AD02-598F-DE4BCC8C5DA5}"/>
            </a:ext>
          </a:extLst>
        </xdr:cNvPr>
        <xdr:cNvCxnSpPr/>
      </xdr:nvCxnSpPr>
      <xdr:spPr>
        <a:xfrm>
          <a:off x="402669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2142" name="Match56">
          <a:extLst>
            <a:ext uri="{FF2B5EF4-FFF2-40B4-BE49-F238E27FC236}">
              <a16:creationId xmlns:a16="http://schemas.microsoft.com/office/drawing/2014/main" id="{00805F1D-453A-2624-6C2C-4824847437AA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2143" name="Match57">
          <a:extLst>
            <a:ext uri="{FF2B5EF4-FFF2-40B4-BE49-F238E27FC236}">
              <a16:creationId xmlns:a16="http://schemas.microsoft.com/office/drawing/2014/main" id="{452FFD20-21CC-2F30-C004-A9DE2C50C50D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2144" name="Match58">
          <a:extLst>
            <a:ext uri="{FF2B5EF4-FFF2-40B4-BE49-F238E27FC236}">
              <a16:creationId xmlns:a16="http://schemas.microsoft.com/office/drawing/2014/main" id="{78062580-431D-7289-5199-F472AACBE4A9}"/>
            </a:ext>
          </a:extLst>
        </xdr:cNvPr>
        <xdr:cNvCxnSpPr/>
      </xdr:nvCxnSpPr>
      <xdr:spPr>
        <a:xfrm flipH="1" flipV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</xdr:row>
      <xdr:rowOff>229393</xdr:rowOff>
    </xdr:from>
    <xdr:to>
      <xdr:col>2</xdr:col>
      <xdr:colOff>262731</xdr:colOff>
      <xdr:row>2</xdr:row>
      <xdr:rowOff>229394</xdr:rowOff>
    </xdr:to>
    <xdr:cxnSp macro="">
      <xdr:nvCxnSpPr>
        <xdr:cNvPr id="2145" name="Match59">
          <a:extLst>
            <a:ext uri="{FF2B5EF4-FFF2-40B4-BE49-F238E27FC236}">
              <a16:creationId xmlns:a16="http://schemas.microsoft.com/office/drawing/2014/main" id="{82A352C9-C422-2757-EA0D-2535552E7FE4}"/>
            </a:ext>
          </a:extLst>
        </xdr:cNvPr>
        <xdr:cNvCxnSpPr/>
      </xdr:nvCxnSpPr>
      <xdr:spPr>
        <a:xfrm flipV="1">
          <a:off x="68659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2146" name="Match60">
          <a:extLst>
            <a:ext uri="{FF2B5EF4-FFF2-40B4-BE49-F238E27FC236}">
              <a16:creationId xmlns:a16="http://schemas.microsoft.com/office/drawing/2014/main" id="{691C1019-C429-83AA-E48F-0C97A29C5A60}"/>
            </a:ext>
          </a:extLst>
        </xdr:cNvPr>
        <xdr:cNvCxnSpPr/>
      </xdr:nvCxnSpPr>
      <xdr:spPr>
        <a:xfrm flipV="1">
          <a:off x="6357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2147" name="Match61">
          <a:extLst>
            <a:ext uri="{FF2B5EF4-FFF2-40B4-BE49-F238E27FC236}">
              <a16:creationId xmlns:a16="http://schemas.microsoft.com/office/drawing/2014/main" id="{57D596FF-C5A8-E51C-7F4D-0B2EADFE0E66}"/>
            </a:ext>
          </a:extLst>
        </xdr:cNvPr>
        <xdr:cNvCxnSpPr/>
      </xdr:nvCxnSpPr>
      <xdr:spPr>
        <a:xfrm flipV="1"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2148" name="Match62">
          <a:extLst>
            <a:ext uri="{FF2B5EF4-FFF2-40B4-BE49-F238E27FC236}">
              <a16:creationId xmlns:a16="http://schemas.microsoft.com/office/drawing/2014/main" id="{1FEC1EA2-2793-47C4-19B4-5F147C7CF37C}"/>
            </a:ext>
          </a:extLst>
        </xdr:cNvPr>
        <xdr:cNvCxnSpPr/>
      </xdr:nvCxnSpPr>
      <xdr:spPr>
        <a:xfrm>
          <a:off x="36282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5</xdr:row>
      <xdr:rowOff>229393</xdr:rowOff>
    </xdr:from>
    <xdr:to>
      <xdr:col>8</xdr:col>
      <xdr:colOff>262731</xdr:colOff>
      <xdr:row>6</xdr:row>
      <xdr:rowOff>229394</xdr:rowOff>
    </xdr:to>
    <xdr:cxnSp macro="">
      <xdr:nvCxnSpPr>
        <xdr:cNvPr id="2149" name="Match63">
          <a:extLst>
            <a:ext uri="{FF2B5EF4-FFF2-40B4-BE49-F238E27FC236}">
              <a16:creationId xmlns:a16="http://schemas.microsoft.com/office/drawing/2014/main" id="{3409D900-ABA8-CAC8-9F56-7EE3531B3DF7}"/>
            </a:ext>
          </a:extLst>
        </xdr:cNvPr>
        <xdr:cNvCxnSpPr/>
      </xdr:nvCxnSpPr>
      <xdr:spPr>
        <a:xfrm flipH="1" flipV="1">
          <a:off x="3229769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150" name="Match64">
          <a:extLst>
            <a:ext uri="{FF2B5EF4-FFF2-40B4-BE49-F238E27FC236}">
              <a16:creationId xmlns:a16="http://schemas.microsoft.com/office/drawing/2014/main" id="{B89B9F32-5F3D-EAFF-A552-AB0547D0C1D9}"/>
            </a:ext>
          </a:extLst>
        </xdr:cNvPr>
        <xdr:cNvCxnSpPr/>
      </xdr:nvCxnSpPr>
      <xdr:spPr>
        <a:xfrm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2151" name="Match65">
          <a:extLst>
            <a:ext uri="{FF2B5EF4-FFF2-40B4-BE49-F238E27FC236}">
              <a16:creationId xmlns:a16="http://schemas.microsoft.com/office/drawing/2014/main" id="{67AB75F6-F7AD-2207-E7EE-B3F8B46D3FB0}"/>
            </a:ext>
          </a:extLst>
        </xdr:cNvPr>
        <xdr:cNvCxnSpPr/>
      </xdr:nvCxnSpPr>
      <xdr:spPr>
        <a:xfrm flipH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2152" name="Match66">
          <a:extLst>
            <a:ext uri="{FF2B5EF4-FFF2-40B4-BE49-F238E27FC236}">
              <a16:creationId xmlns:a16="http://schemas.microsoft.com/office/drawing/2014/main" id="{2CE06E79-F028-8804-C624-7531719EB327}"/>
            </a:ext>
          </a:extLst>
        </xdr:cNvPr>
        <xdr:cNvCxnSpPr/>
      </xdr:nvCxnSpPr>
      <xdr:spPr>
        <a:xfrm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2153" name="Match67">
          <a:extLst>
            <a:ext uri="{FF2B5EF4-FFF2-40B4-BE49-F238E27FC236}">
              <a16:creationId xmlns:a16="http://schemas.microsoft.com/office/drawing/2014/main" id="{92CE37C7-B06F-AF58-66C8-BABED78A5B76}"/>
            </a:ext>
          </a:extLst>
        </xdr:cNvPr>
        <xdr:cNvCxnSpPr/>
      </xdr:nvCxnSpPr>
      <xdr:spPr>
        <a:xfrm>
          <a:off x="40520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7</xdr:row>
      <xdr:rowOff>229393</xdr:rowOff>
    </xdr:from>
    <xdr:to>
      <xdr:col>9</xdr:col>
      <xdr:colOff>262731</xdr:colOff>
      <xdr:row>8</xdr:row>
      <xdr:rowOff>229394</xdr:rowOff>
    </xdr:to>
    <xdr:cxnSp macro="">
      <xdr:nvCxnSpPr>
        <xdr:cNvPr id="2154" name="Match68">
          <a:extLst>
            <a:ext uri="{FF2B5EF4-FFF2-40B4-BE49-F238E27FC236}">
              <a16:creationId xmlns:a16="http://schemas.microsoft.com/office/drawing/2014/main" id="{678567AC-258D-C369-FF81-8E9E0F13BEEE}"/>
            </a:ext>
          </a:extLst>
        </xdr:cNvPr>
        <xdr:cNvCxnSpPr/>
      </xdr:nvCxnSpPr>
      <xdr:spPr>
        <a:xfrm flipH="1" flipV="1">
          <a:off x="36536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2155" name="Match69">
          <a:extLst>
            <a:ext uri="{FF2B5EF4-FFF2-40B4-BE49-F238E27FC236}">
              <a16:creationId xmlns:a16="http://schemas.microsoft.com/office/drawing/2014/main" id="{54E6BC05-5D4D-2686-807B-23FCE67B75D2}"/>
            </a:ext>
          </a:extLst>
        </xdr:cNvPr>
        <xdr:cNvCxnSpPr/>
      </xdr:nvCxnSpPr>
      <xdr:spPr>
        <a:xfrm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2</xdr:col>
      <xdr:colOff>237331</xdr:colOff>
      <xdr:row>9</xdr:row>
      <xdr:rowOff>203993</xdr:rowOff>
    </xdr:to>
    <xdr:cxnSp macro="">
      <xdr:nvCxnSpPr>
        <xdr:cNvPr id="2156" name="Match70">
          <a:extLst>
            <a:ext uri="{FF2B5EF4-FFF2-40B4-BE49-F238E27FC236}">
              <a16:creationId xmlns:a16="http://schemas.microsoft.com/office/drawing/2014/main" id="{66A1D496-55D3-B882-8D63-E0772E8DEC65}"/>
            </a:ext>
          </a:extLst>
        </xdr:cNvPr>
        <xdr:cNvCxnSpPr/>
      </xdr:nvCxnSpPr>
      <xdr:spPr>
        <a:xfrm flipH="1">
          <a:off x="66119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2157" name="Match71">
          <a:extLst>
            <a:ext uri="{FF2B5EF4-FFF2-40B4-BE49-F238E27FC236}">
              <a16:creationId xmlns:a16="http://schemas.microsoft.com/office/drawing/2014/main" id="{1FE12389-9C76-AF5E-9998-6BD775E3E718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158" name="Match72">
          <a:extLst>
            <a:ext uri="{FF2B5EF4-FFF2-40B4-BE49-F238E27FC236}">
              <a16:creationId xmlns:a16="http://schemas.microsoft.com/office/drawing/2014/main" id="{BBDAD3C7-73A8-BF24-E180-454CF88D134F}"/>
            </a:ext>
          </a:extLst>
        </xdr:cNvPr>
        <xdr:cNvCxnSpPr/>
      </xdr:nvCxnSpPr>
      <xdr:spPr>
        <a:xfrm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2159" name="Match73">
          <a:extLst>
            <a:ext uri="{FF2B5EF4-FFF2-40B4-BE49-F238E27FC236}">
              <a16:creationId xmlns:a16="http://schemas.microsoft.com/office/drawing/2014/main" id="{1FE0A19B-1890-8F6C-3DC7-64050C5FFD7F}"/>
            </a:ext>
          </a:extLst>
        </xdr:cNvPr>
        <xdr:cNvCxnSpPr/>
      </xdr:nvCxnSpPr>
      <xdr:spPr>
        <a:xfrm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2160" name="Match74">
          <a:extLst>
            <a:ext uri="{FF2B5EF4-FFF2-40B4-BE49-F238E27FC236}">
              <a16:creationId xmlns:a16="http://schemas.microsoft.com/office/drawing/2014/main" id="{5F55A27C-6E5F-D4AB-9535-F4C87CD788D4}"/>
            </a:ext>
          </a:extLst>
        </xdr:cNvPr>
        <xdr:cNvCxnSpPr/>
      </xdr:nvCxnSpPr>
      <xdr:spPr>
        <a:xfrm flipH="1"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2161" name="Match75">
          <a:extLst>
            <a:ext uri="{FF2B5EF4-FFF2-40B4-BE49-F238E27FC236}">
              <a16:creationId xmlns:a16="http://schemas.microsoft.com/office/drawing/2014/main" id="{6D72D66E-19E6-6784-099E-23E0457A4C15}"/>
            </a:ext>
          </a:extLst>
        </xdr:cNvPr>
        <xdr:cNvCxnSpPr/>
      </xdr:nvCxnSpPr>
      <xdr:spPr>
        <a:xfrm flipH="1" flipV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2162" name="Match76">
          <a:extLst>
            <a:ext uri="{FF2B5EF4-FFF2-40B4-BE49-F238E27FC236}">
              <a16:creationId xmlns:a16="http://schemas.microsoft.com/office/drawing/2014/main" id="{E7006844-3DFD-9C87-23E7-CA2AA2F0DA1B}"/>
            </a:ext>
          </a:extLst>
        </xdr:cNvPr>
        <xdr:cNvCxnSpPr/>
      </xdr:nvCxnSpPr>
      <xdr:spPr>
        <a:xfrm flipV="1">
          <a:off x="44759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6</xdr:col>
      <xdr:colOff>237331</xdr:colOff>
      <xdr:row>0</xdr:row>
      <xdr:rowOff>203994</xdr:rowOff>
    </xdr:to>
    <xdr:cxnSp macro="">
      <xdr:nvCxnSpPr>
        <xdr:cNvPr id="2163" name="Match77">
          <a:extLst>
            <a:ext uri="{FF2B5EF4-FFF2-40B4-BE49-F238E27FC236}">
              <a16:creationId xmlns:a16="http://schemas.microsoft.com/office/drawing/2014/main" id="{18924061-AD69-3602-166A-09516994977F}"/>
            </a:ext>
          </a:extLst>
        </xdr:cNvPr>
        <xdr:cNvCxnSpPr/>
      </xdr:nvCxnSpPr>
      <xdr:spPr>
        <a:xfrm>
          <a:off x="1508919" y="203994"/>
          <a:ext cx="1271587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9</xdr:col>
      <xdr:colOff>262731</xdr:colOff>
      <xdr:row>3</xdr:row>
      <xdr:rowOff>229393</xdr:rowOff>
    </xdr:to>
    <xdr:cxnSp macro="">
      <xdr:nvCxnSpPr>
        <xdr:cNvPr id="2164" name="Match78">
          <a:extLst>
            <a:ext uri="{FF2B5EF4-FFF2-40B4-BE49-F238E27FC236}">
              <a16:creationId xmlns:a16="http://schemas.microsoft.com/office/drawing/2014/main" id="{83263546-0FE3-ED49-4BB3-45D01BCC353B}"/>
            </a:ext>
          </a:extLst>
        </xdr:cNvPr>
        <xdr:cNvCxnSpPr/>
      </xdr:nvCxnSpPr>
      <xdr:spPr>
        <a:xfrm flipH="1" flipV="1">
          <a:off x="2805906" y="229394"/>
          <a:ext cx="1271588" cy="1071562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10</xdr:row>
      <xdr:rowOff>229394</xdr:rowOff>
    </xdr:from>
    <xdr:to>
      <xdr:col>9</xdr:col>
      <xdr:colOff>262731</xdr:colOff>
      <xdr:row>10</xdr:row>
      <xdr:rowOff>229394</xdr:rowOff>
    </xdr:to>
    <xdr:cxnSp macro="">
      <xdr:nvCxnSpPr>
        <xdr:cNvPr id="2165" name="Match79">
          <a:extLst>
            <a:ext uri="{FF2B5EF4-FFF2-40B4-BE49-F238E27FC236}">
              <a16:creationId xmlns:a16="http://schemas.microsoft.com/office/drawing/2014/main" id="{5CB7C161-085F-6985-B338-CC3EA51DB21F}"/>
            </a:ext>
          </a:extLst>
        </xdr:cNvPr>
        <xdr:cNvCxnSpPr/>
      </xdr:nvCxnSpPr>
      <xdr:spPr>
        <a:xfrm flipH="1">
          <a:off x="2382044" y="3801269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9D78A6E-893E-8A49-BEA5-476ABF20C2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11" sqref="F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9</v>
      </c>
      <c r="B1" s="27">
        <v>2</v>
      </c>
      <c r="C1" s="23">
        <v>4</v>
      </c>
      <c r="D1" s="22">
        <v>1</v>
      </c>
      <c r="E1" s="22">
        <v>2</v>
      </c>
      <c r="F1" s="22">
        <v>9</v>
      </c>
      <c r="G1" s="22">
        <v>1</v>
      </c>
      <c r="H1" s="27">
        <v>7</v>
      </c>
      <c r="I1" s="27">
        <v>8</v>
      </c>
      <c r="J1" s="27">
        <v>2</v>
      </c>
      <c r="K1" s="27">
        <v>3</v>
      </c>
      <c r="L1" s="27">
        <v>6</v>
      </c>
      <c r="N1" s="2">
        <v>75</v>
      </c>
      <c r="O1" s="1">
        <v>19</v>
      </c>
    </row>
    <row r="2" spans="1:15" s="2" customFormat="1" ht="28.25" customHeight="1">
      <c r="A2" s="23">
        <v>5</v>
      </c>
      <c r="B2" s="27">
        <v>6</v>
      </c>
      <c r="C2" s="23">
        <v>5</v>
      </c>
      <c r="D2" s="27">
        <v>6</v>
      </c>
      <c r="E2" s="27">
        <v>9</v>
      </c>
      <c r="F2" s="23">
        <v>4</v>
      </c>
      <c r="G2" s="23">
        <v>1</v>
      </c>
      <c r="H2" s="23">
        <v>9</v>
      </c>
      <c r="I2" s="27">
        <v>4</v>
      </c>
      <c r="J2" s="22">
        <v>9</v>
      </c>
      <c r="K2" s="22">
        <v>8</v>
      </c>
      <c r="L2" s="27">
        <v>2</v>
      </c>
      <c r="N2" s="2">
        <v>13336</v>
      </c>
      <c r="O2" s="2">
        <v>1</v>
      </c>
    </row>
    <row r="3" spans="1:15" ht="28.25" customHeight="1">
      <c r="A3" s="22">
        <v>1</v>
      </c>
      <c r="B3" s="22">
        <v>4</v>
      </c>
      <c r="C3" s="23">
        <v>7</v>
      </c>
      <c r="D3" s="27">
        <v>9</v>
      </c>
      <c r="E3" s="22">
        <v>9</v>
      </c>
      <c r="F3" s="22">
        <v>1</v>
      </c>
      <c r="G3" s="22">
        <v>7</v>
      </c>
      <c r="H3" s="22">
        <v>3</v>
      </c>
      <c r="I3" s="22">
        <v>2</v>
      </c>
      <c r="J3" s="22">
        <v>4</v>
      </c>
      <c r="K3" s="22">
        <v>7</v>
      </c>
      <c r="L3" s="27">
        <v>2</v>
      </c>
      <c r="N3" s="2">
        <v>2859</v>
      </c>
      <c r="O3" s="1">
        <v>1</v>
      </c>
    </row>
    <row r="4" spans="1:15" ht="28.25" customHeight="1">
      <c r="A4" s="27">
        <v>3</v>
      </c>
      <c r="B4" s="22">
        <v>3</v>
      </c>
      <c r="C4" s="23">
        <v>5</v>
      </c>
      <c r="D4" s="27">
        <v>9</v>
      </c>
      <c r="E4" s="27">
        <v>9</v>
      </c>
      <c r="F4" s="23">
        <v>7</v>
      </c>
      <c r="G4" s="22">
        <v>6</v>
      </c>
      <c r="H4" s="23">
        <v>5</v>
      </c>
      <c r="I4" s="22">
        <v>6</v>
      </c>
      <c r="J4" s="22">
        <v>1</v>
      </c>
      <c r="K4" s="23">
        <v>8</v>
      </c>
      <c r="L4" s="22">
        <v>3</v>
      </c>
      <c r="N4" s="2">
        <v>91732</v>
      </c>
      <c r="O4" s="1">
        <v>1</v>
      </c>
    </row>
    <row r="5" spans="1:15" ht="28.25" customHeight="1">
      <c r="A5" s="22">
        <v>8</v>
      </c>
      <c r="B5" s="23">
        <v>5</v>
      </c>
      <c r="C5" s="22">
        <v>3</v>
      </c>
      <c r="D5" s="27">
        <v>6</v>
      </c>
      <c r="E5" s="23">
        <v>5</v>
      </c>
      <c r="F5" s="22">
        <v>9</v>
      </c>
      <c r="G5" s="22">
        <v>7</v>
      </c>
      <c r="H5" s="22">
        <v>6</v>
      </c>
      <c r="I5" s="22">
        <v>3</v>
      </c>
      <c r="J5" s="23">
        <v>5</v>
      </c>
      <c r="K5" s="22">
        <v>6</v>
      </c>
      <c r="L5" s="27">
        <v>2</v>
      </c>
      <c r="N5" s="2">
        <v>14</v>
      </c>
      <c r="O5" s="1">
        <v>17</v>
      </c>
    </row>
    <row r="6" spans="1:15" ht="28.25" customHeight="1">
      <c r="A6" s="22">
        <v>1</v>
      </c>
      <c r="B6" s="23">
        <v>4</v>
      </c>
      <c r="C6" s="27">
        <v>2</v>
      </c>
      <c r="D6" s="22">
        <v>3</v>
      </c>
      <c r="E6" s="22">
        <v>3</v>
      </c>
      <c r="F6" s="27">
        <v>9</v>
      </c>
      <c r="G6" s="22">
        <v>9</v>
      </c>
      <c r="H6" s="22">
        <v>5</v>
      </c>
      <c r="I6" s="27">
        <v>8</v>
      </c>
      <c r="J6" s="22">
        <v>7</v>
      </c>
      <c r="K6" s="27">
        <v>6</v>
      </c>
      <c r="L6" s="27">
        <v>6</v>
      </c>
      <c r="N6" s="2">
        <v>531</v>
      </c>
      <c r="O6" s="1">
        <v>3</v>
      </c>
    </row>
    <row r="7" spans="1:15" ht="28.25" customHeight="1">
      <c r="A7" s="27">
        <v>3</v>
      </c>
      <c r="B7" s="27">
        <v>9</v>
      </c>
      <c r="C7" s="23">
        <v>1</v>
      </c>
      <c r="D7" s="22">
        <v>2</v>
      </c>
      <c r="E7" s="22">
        <v>6</v>
      </c>
      <c r="F7" s="22">
        <v>1</v>
      </c>
      <c r="G7" s="23">
        <v>4</v>
      </c>
      <c r="H7" s="27">
        <v>6</v>
      </c>
      <c r="I7" s="22">
        <v>4</v>
      </c>
      <c r="J7" s="23">
        <v>7</v>
      </c>
      <c r="K7" s="23">
        <v>1</v>
      </c>
      <c r="L7" s="23">
        <v>8</v>
      </c>
      <c r="N7" s="2">
        <v>7334665</v>
      </c>
      <c r="O7" s="1">
        <v>1</v>
      </c>
    </row>
    <row r="8" spans="1:15" ht="28.25" customHeight="1">
      <c r="A8" s="27">
        <v>1</v>
      </c>
      <c r="B8" s="23">
        <v>1</v>
      </c>
      <c r="C8" s="22">
        <v>3</v>
      </c>
      <c r="D8" s="22">
        <v>2</v>
      </c>
      <c r="E8" s="27">
        <v>9</v>
      </c>
      <c r="F8" s="23">
        <v>1</v>
      </c>
      <c r="G8" s="23">
        <v>7</v>
      </c>
      <c r="H8" s="27">
        <v>3</v>
      </c>
      <c r="I8" s="23">
        <v>5</v>
      </c>
      <c r="J8" s="23">
        <v>1</v>
      </c>
      <c r="K8" s="23">
        <v>1</v>
      </c>
      <c r="L8" s="23">
        <v>8</v>
      </c>
      <c r="N8" s="2">
        <v>6932372</v>
      </c>
      <c r="O8" s="1">
        <v>1</v>
      </c>
    </row>
    <row r="9" spans="1:15" ht="28.25" customHeight="1">
      <c r="A9" s="23">
        <v>5</v>
      </c>
      <c r="B9" s="22">
        <v>7</v>
      </c>
      <c r="C9" s="23">
        <v>8</v>
      </c>
      <c r="D9" s="22">
        <v>8</v>
      </c>
      <c r="E9" s="22">
        <v>4</v>
      </c>
      <c r="F9" s="23">
        <v>7</v>
      </c>
      <c r="G9" s="23">
        <v>5</v>
      </c>
      <c r="H9" s="27">
        <v>3</v>
      </c>
      <c r="I9" s="27">
        <v>3</v>
      </c>
      <c r="J9" s="23">
        <v>4</v>
      </c>
      <c r="K9" s="23">
        <v>3</v>
      </c>
      <c r="L9" s="23">
        <v>7</v>
      </c>
      <c r="N9" s="2">
        <v>846691</v>
      </c>
      <c r="O9" s="1">
        <v>1</v>
      </c>
    </row>
    <row r="10" spans="1:15" ht="28.25" customHeight="1">
      <c r="A10" s="22">
        <v>2</v>
      </c>
      <c r="B10" s="23">
        <v>5</v>
      </c>
      <c r="C10" s="23">
        <v>4</v>
      </c>
      <c r="D10" s="22">
        <v>5</v>
      </c>
      <c r="E10" s="22">
        <v>5</v>
      </c>
      <c r="F10" s="23">
        <v>7</v>
      </c>
      <c r="G10" s="27">
        <v>8</v>
      </c>
      <c r="H10" s="27">
        <v>2</v>
      </c>
      <c r="I10" s="27">
        <v>8</v>
      </c>
      <c r="J10" s="23">
        <v>5</v>
      </c>
      <c r="K10" s="23">
        <v>5</v>
      </c>
      <c r="L10" s="23">
        <v>4</v>
      </c>
      <c r="N10" s="2">
        <v>476</v>
      </c>
      <c r="O10" s="1">
        <v>1</v>
      </c>
    </row>
    <row r="11" spans="1:15" ht="28.25" customHeight="1">
      <c r="A11" s="23">
        <v>4</v>
      </c>
      <c r="B11" s="27">
        <v>2</v>
      </c>
      <c r="C11" s="27">
        <v>6</v>
      </c>
      <c r="D11" s="22">
        <v>9</v>
      </c>
      <c r="E11" s="27">
        <v>3</v>
      </c>
      <c r="F11" s="22">
        <v>4</v>
      </c>
      <c r="G11" s="22">
        <v>9</v>
      </c>
      <c r="H11" s="22">
        <v>5</v>
      </c>
      <c r="I11" s="22">
        <v>2</v>
      </c>
      <c r="J11" s="22">
        <v>7</v>
      </c>
      <c r="K11" s="23">
        <v>4</v>
      </c>
      <c r="L11" s="23">
        <v>1</v>
      </c>
      <c r="N11" s="2">
        <v>18</v>
      </c>
      <c r="O11" s="1">
        <v>9</v>
      </c>
    </row>
    <row r="12" spans="1:15" ht="28.25" customHeight="1">
      <c r="A12" s="27">
        <v>6</v>
      </c>
      <c r="B12" s="22">
        <v>5</v>
      </c>
      <c r="C12" s="22">
        <v>6</v>
      </c>
      <c r="D12" s="22">
        <v>6</v>
      </c>
      <c r="E12" s="22">
        <v>4</v>
      </c>
      <c r="F12" s="22">
        <v>3</v>
      </c>
      <c r="G12" s="22">
        <v>3</v>
      </c>
      <c r="H12" s="22">
        <v>7</v>
      </c>
      <c r="I12" s="27">
        <v>1</v>
      </c>
      <c r="J12" s="23">
        <v>1</v>
      </c>
      <c r="K12" s="23">
        <v>8</v>
      </c>
      <c r="L12" s="27">
        <v>3</v>
      </c>
      <c r="N12" s="2">
        <v>973</v>
      </c>
      <c r="O12" s="1">
        <v>1</v>
      </c>
    </row>
    <row r="13" spans="1:15" ht="28.25" customHeight="1">
      <c r="N13" s="2">
        <v>45</v>
      </c>
      <c r="O13" s="1">
        <v>21</v>
      </c>
    </row>
    <row r="14" spans="1:15" ht="28.25" customHeight="1">
      <c r="N14" s="2">
        <v>1291</v>
      </c>
      <c r="O14" s="1">
        <v>2</v>
      </c>
    </row>
    <row r="15" spans="1:15" ht="28.25" customHeight="1">
      <c r="N15" s="2">
        <v>72594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12"/>
  <sheetViews>
    <sheetView tabSelected="1" zoomScaleNormal="100" workbookViewId="0">
      <pane ySplit="2" topLeftCell="A208" activePane="bottomLeft" state="frozen"/>
      <selection pane="bottomLeft" activeCell="A212" sqref="A21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457</v>
      </c>
      <c r="I201" t="s">
        <v>458</v>
      </c>
      <c r="J201">
        <v>0</v>
      </c>
      <c r="K201">
        <f t="shared" ref="K201" si="146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47">L200+K201</f>
        <v>234</v>
      </c>
      <c r="M201">
        <f t="shared" ref="M201" si="148">2+IF(A201&gt;=DATEVALUE("2025/11/30")+TIMEVALUE("6:00"),1,0)+IF(A201&gt;=DATEVALUE("2025/12/11")+TIMEVALUE("6:00"),1,0)</f>
        <v>4</v>
      </c>
      <c r="N201">
        <f t="shared" ref="N201" si="149">N200+M201*(INT(A201-6/24)-INT(A200-6/24))+O201</f>
        <v>236</v>
      </c>
      <c r="O201">
        <f t="shared" ref="O201" si="150">IF(A201&gt;=DATEVALUE("2025/11/8")+TIMEVALUE("6:00"),1,0)-IF(A200&gt;=DATEVALUE("2025/11/8")+TIMEVALUE("6:00"),1,0)</f>
        <v>0</v>
      </c>
      <c r="P201" t="str">
        <f t="shared" ref="P201" si="151">IF(L201&lt;N201,"未達成（"&amp;N201-L201&amp;"）",IF(L201=N201,"達成","前倒し（"&amp;L201-N201&amp;"）"))</f>
        <v>未達成（2）</v>
      </c>
      <c r="Q201">
        <f t="shared" ref="Q201" si="152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459</v>
      </c>
      <c r="I202" t="s">
        <v>460</v>
      </c>
      <c r="J202">
        <v>0</v>
      </c>
      <c r="K202">
        <f t="shared" ref="K202" si="153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54">L201+K202</f>
        <v>235</v>
      </c>
      <c r="M202">
        <f t="shared" ref="M202" si="155">2+IF(A202&gt;=DATEVALUE("2025/11/30")+TIMEVALUE("6:00"),1,0)+IF(A202&gt;=DATEVALUE("2025/12/11")+TIMEVALUE("6:00"),1,0)</f>
        <v>4</v>
      </c>
      <c r="N202">
        <f t="shared" ref="N202" si="156">N201+M202*(INT(A202-6/24)-INT(A201-6/24))+O202</f>
        <v>236</v>
      </c>
      <c r="O202">
        <f t="shared" ref="O202" si="157">IF(A202&gt;=DATEVALUE("2025/11/8")+TIMEVALUE("6:00"),1,0)-IF(A201&gt;=DATEVALUE("2025/11/8")+TIMEVALUE("6:00"),1,0)</f>
        <v>0</v>
      </c>
      <c r="P202" t="str">
        <f t="shared" ref="P202" si="158">IF(L202&lt;N202,"未達成（"&amp;N202-L202&amp;"）",IF(L202=N202,"達成","前倒し（"&amp;L202-N202&amp;"）"))</f>
        <v>未達成（1）</v>
      </c>
      <c r="Q202">
        <f t="shared" ref="Q202" si="15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461</v>
      </c>
      <c r="I203" t="s">
        <v>462</v>
      </c>
      <c r="J203">
        <v>0</v>
      </c>
      <c r="K203">
        <f t="shared" ref="K203" si="16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61">L202+K203</f>
        <v>237</v>
      </c>
      <c r="M203">
        <f t="shared" ref="M203" si="162">2+IF(A203&gt;=DATEVALUE("2025/11/30")+TIMEVALUE("6:00"),1,0)+IF(A203&gt;=DATEVALUE("2025/12/11")+TIMEVALUE("6:00"),1,0)</f>
        <v>4</v>
      </c>
      <c r="N203">
        <f t="shared" ref="N203" si="163">N202+M203*(INT(A203-6/24)-INT(A202-6/24))+O203</f>
        <v>236</v>
      </c>
      <c r="O203">
        <f t="shared" ref="O203" si="164">IF(A203&gt;=DATEVALUE("2025/11/8")+TIMEVALUE("6:00"),1,0)-IF(A202&gt;=DATEVALUE("2025/11/8")+TIMEVALUE("6:00"),1,0)</f>
        <v>0</v>
      </c>
      <c r="P203" t="str">
        <f t="shared" ref="P203" si="165">IF(L203&lt;N203,"未達成（"&amp;N203-L203&amp;"）",IF(L203=N203,"達成","前倒し（"&amp;L203-N203&amp;"）"))</f>
        <v>前倒し（1）</v>
      </c>
      <c r="Q203">
        <f t="shared" ref="Q203" si="166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463</v>
      </c>
      <c r="I204" t="s">
        <v>464</v>
      </c>
      <c r="J204">
        <v>0</v>
      </c>
      <c r="K204">
        <f t="shared" ref="K204" si="167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68">L203+K204</f>
        <v>239</v>
      </c>
      <c r="M204">
        <f t="shared" ref="M204" si="169">2+IF(A204&gt;=DATEVALUE("2025/11/30")+TIMEVALUE("6:00"),1,0)+IF(A204&gt;=DATEVALUE("2025/12/11")+TIMEVALUE("6:00"),1,0)</f>
        <v>4</v>
      </c>
      <c r="N204">
        <f t="shared" ref="N204" si="170">N203+M204*(INT(A204-6/24)-INT(A203-6/24))+O204</f>
        <v>240</v>
      </c>
      <c r="O204">
        <f t="shared" ref="O204" si="171">IF(A204&gt;=DATEVALUE("2025/11/8")+TIMEVALUE("6:00"),1,0)-IF(A203&gt;=DATEVALUE("2025/11/8")+TIMEVALUE("6:00"),1,0)</f>
        <v>0</v>
      </c>
      <c r="P204" t="str">
        <f t="shared" ref="P204" si="172">IF(L204&lt;N204,"未達成（"&amp;N204-L204&amp;"）",IF(L204=N204,"達成","前倒し（"&amp;L204-N204&amp;"）"))</f>
        <v>未達成（1）</v>
      </c>
      <c r="Q204">
        <f t="shared" ref="Q204" si="173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465</v>
      </c>
      <c r="I205" t="s">
        <v>466</v>
      </c>
      <c r="J205">
        <v>0</v>
      </c>
      <c r="K205">
        <f t="shared" ref="K205" si="174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75">L204+K205</f>
        <v>241</v>
      </c>
      <c r="M205">
        <f t="shared" ref="M205" si="176">2+IF(A205&gt;=DATEVALUE("2025/11/30")+TIMEVALUE("6:00"),1,0)+IF(A205&gt;=DATEVALUE("2025/12/11")+TIMEVALUE("6:00"),1,0)</f>
        <v>4</v>
      </c>
      <c r="N205">
        <f t="shared" ref="N205" si="177">N204+M205*(INT(A205-6/24)-INT(A204-6/24))+O205</f>
        <v>240</v>
      </c>
      <c r="O205">
        <f t="shared" ref="O205" si="178">IF(A205&gt;=DATEVALUE("2025/11/8")+TIMEVALUE("6:00"),1,0)-IF(A204&gt;=DATEVALUE("2025/11/8")+TIMEVALUE("6:00"),1,0)</f>
        <v>0</v>
      </c>
      <c r="P205" t="str">
        <f t="shared" ref="P205" si="179">IF(L205&lt;N205,"未達成（"&amp;N205-L205&amp;"）",IF(L205=N205,"達成","前倒し（"&amp;L205-N205&amp;"）"))</f>
        <v>前倒し（1）</v>
      </c>
      <c r="Q205">
        <f t="shared" ref="Q205" si="180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467</v>
      </c>
      <c r="I206" t="s">
        <v>468</v>
      </c>
      <c r="J206">
        <v>0</v>
      </c>
      <c r="K206">
        <f t="shared" ref="K206" si="181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82">L205+K206</f>
        <v>243</v>
      </c>
      <c r="M206">
        <f t="shared" ref="M206" si="183">2+IF(A206&gt;=DATEVALUE("2025/11/30")+TIMEVALUE("6:00"),1,0)+IF(A206&gt;=DATEVALUE("2025/12/11")+TIMEVALUE("6:00"),1,0)</f>
        <v>4</v>
      </c>
      <c r="N206">
        <f t="shared" ref="N206" si="184">N205+M206*(INT(A206-6/24)-INT(A205-6/24))+O206</f>
        <v>244</v>
      </c>
      <c r="O206">
        <f t="shared" ref="O206" si="185">IF(A206&gt;=DATEVALUE("2025/11/8")+TIMEVALUE("6:00"),1,0)-IF(A205&gt;=DATEVALUE("2025/11/8")+TIMEVALUE("6:00"),1,0)</f>
        <v>0</v>
      </c>
      <c r="P206" t="str">
        <f t="shared" ref="P206" si="186">IF(L206&lt;N206,"未達成（"&amp;N206-L206&amp;"）",IF(L206=N206,"達成","前倒し（"&amp;L206-N206&amp;"）"))</f>
        <v>未達成（1）</v>
      </c>
      <c r="Q206">
        <f t="shared" ref="Q206" si="187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469</v>
      </c>
      <c r="I207" t="s">
        <v>470</v>
      </c>
      <c r="J207">
        <v>0</v>
      </c>
      <c r="K207">
        <f t="shared" ref="K207" si="188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89">L206+K207</f>
        <v>245</v>
      </c>
      <c r="M207">
        <f t="shared" ref="M207" si="190">2+IF(A207&gt;=DATEVALUE("2025/11/30")+TIMEVALUE("6:00"),1,0)+IF(A207&gt;=DATEVALUE("2025/12/11")+TIMEVALUE("6:00"),1,0)</f>
        <v>4</v>
      </c>
      <c r="N207">
        <f t="shared" ref="N207" si="191">N206+M207*(INT(A207-6/24)-INT(A206-6/24))+O207</f>
        <v>244</v>
      </c>
      <c r="O207">
        <f t="shared" ref="O207" si="192">IF(A207&gt;=DATEVALUE("2025/11/8")+TIMEVALUE("6:00"),1,0)-IF(A206&gt;=DATEVALUE("2025/11/8")+TIMEVALUE("6:00"),1,0)</f>
        <v>0</v>
      </c>
      <c r="P207" t="str">
        <f t="shared" ref="P207" si="193">IF(L207&lt;N207,"未達成（"&amp;N207-L207&amp;"）",IF(L207=N207,"達成","前倒し（"&amp;L207-N207&amp;"）"))</f>
        <v>前倒し（1）</v>
      </c>
      <c r="Q207">
        <f t="shared" ref="Q207" si="194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471</v>
      </c>
      <c r="I208" t="s">
        <v>472</v>
      </c>
      <c r="J208">
        <v>0</v>
      </c>
      <c r="K208">
        <f t="shared" ref="K208" si="195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96">L207+K208</f>
        <v>246</v>
      </c>
      <c r="M208">
        <f t="shared" ref="M208" si="197">2+IF(A208&gt;=DATEVALUE("2025/11/30")+TIMEVALUE("6:00"),1,0)+IF(A208&gt;=DATEVALUE("2025/12/11")+TIMEVALUE("6:00"),1,0)</f>
        <v>4</v>
      </c>
      <c r="N208">
        <f t="shared" ref="N208" si="198">N207+M208*(INT(A208-6/24)-INT(A207-6/24))+O208</f>
        <v>248</v>
      </c>
      <c r="O208">
        <f t="shared" ref="O208" si="199">IF(A208&gt;=DATEVALUE("2025/11/8")+TIMEVALUE("6:00"),1,0)-IF(A207&gt;=DATEVALUE("2025/11/8")+TIMEVALUE("6:00"),1,0)</f>
        <v>0</v>
      </c>
      <c r="P208" t="str">
        <f t="shared" ref="P208" si="200">IF(L208&lt;N208,"未達成（"&amp;N208-L208&amp;"）",IF(L208=N208,"達成","前倒し（"&amp;L208-N208&amp;"）"))</f>
        <v>未達成（2）</v>
      </c>
      <c r="Q208">
        <f t="shared" ref="Q208" si="201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473</v>
      </c>
      <c r="I209" t="s">
        <v>474</v>
      </c>
      <c r="J209">
        <v>0</v>
      </c>
      <c r="K209">
        <f t="shared" ref="K209" si="202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203">L208+K209</f>
        <v>248</v>
      </c>
      <c r="M209">
        <f t="shared" ref="M209" si="204">2+IF(A209&gt;=DATEVALUE("2025/11/30")+TIMEVALUE("6:00"),1,0)+IF(A209&gt;=DATEVALUE("2025/12/11")+TIMEVALUE("6:00"),1,0)</f>
        <v>4</v>
      </c>
      <c r="N209">
        <f t="shared" ref="N209" si="205">N208+M209*(INT(A209-6/24)-INT(A208-6/24))+O209</f>
        <v>248</v>
      </c>
      <c r="O209">
        <f t="shared" ref="O209" si="206">IF(A209&gt;=DATEVALUE("2025/11/8")+TIMEVALUE("6:00"),1,0)-IF(A208&gt;=DATEVALUE("2025/11/8")+TIMEVALUE("6:00"),1,0)</f>
        <v>0</v>
      </c>
      <c r="P209" t="str">
        <f t="shared" ref="P209" si="207">IF(L209&lt;N209,"未達成（"&amp;N209-L209&amp;"）",IF(L209=N209,"達成","前倒し（"&amp;L209-N209&amp;"）"))</f>
        <v>達成</v>
      </c>
      <c r="Q209">
        <f t="shared" ref="Q209" si="208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475</v>
      </c>
      <c r="I210" t="s">
        <v>476</v>
      </c>
      <c r="J210">
        <v>0</v>
      </c>
      <c r="K210">
        <f t="shared" ref="K210" si="209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210">L209+K210</f>
        <v>250</v>
      </c>
      <c r="M210">
        <f t="shared" ref="M210" si="211">2+IF(A210&gt;=DATEVALUE("2025/11/30")+TIMEVALUE("6:00"),1,0)+IF(A210&gt;=DATEVALUE("2025/12/11")+TIMEVALUE("6:00"),1,0)</f>
        <v>4</v>
      </c>
      <c r="N210">
        <f t="shared" ref="N210" si="212">N209+M210*(INT(A210-6/24)-INT(A209-6/24))+O210</f>
        <v>252</v>
      </c>
      <c r="O210">
        <f t="shared" ref="O210" si="213">IF(A210&gt;=DATEVALUE("2025/11/8")+TIMEVALUE("6:00"),1,0)-IF(A209&gt;=DATEVALUE("2025/11/8")+TIMEVALUE("6:00"),1,0)</f>
        <v>0</v>
      </c>
      <c r="P210" t="str">
        <f t="shared" ref="P210" si="214">IF(L210&lt;N210,"未達成（"&amp;N210-L210&amp;"）",IF(L210=N210,"達成","前倒し（"&amp;L210-N210&amp;"）"))</f>
        <v>未達成（2）</v>
      </c>
      <c r="Q210">
        <f t="shared" ref="Q210" si="215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477</v>
      </c>
      <c r="I211" t="s">
        <v>478</v>
      </c>
      <c r="J211">
        <v>0</v>
      </c>
      <c r="K211">
        <f t="shared" ref="K211" si="216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217">L210+K211</f>
        <v>251</v>
      </c>
      <c r="M211">
        <f t="shared" ref="M211" si="218">2+IF(A211&gt;=DATEVALUE("2025/11/30")+TIMEVALUE("6:00"),1,0)+IF(A211&gt;=DATEVALUE("2025/12/11")+TIMEVALUE("6:00"),1,0)</f>
        <v>4</v>
      </c>
      <c r="N211">
        <f t="shared" ref="N211" si="219">N210+M211*(INT(A211-6/24)-INT(A210-6/24))+O211</f>
        <v>252</v>
      </c>
      <c r="O211">
        <f t="shared" ref="O211" si="220">IF(A211&gt;=DATEVALUE("2025/11/8")+TIMEVALUE("6:00"),1,0)-IF(A210&gt;=DATEVALUE("2025/11/8")+TIMEVALUE("6:00"),1,0)</f>
        <v>0</v>
      </c>
      <c r="P211" t="str">
        <f t="shared" ref="P211" si="221">IF(L211&lt;N211,"未達成（"&amp;N211-L211&amp;"）",IF(L211=N211,"達成","前倒し（"&amp;L211-N211&amp;"）"))</f>
        <v>未達成（1）</v>
      </c>
      <c r="Q211">
        <f t="shared" ref="Q211" si="222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479</v>
      </c>
      <c r="I212" t="s">
        <v>480</v>
      </c>
      <c r="J212">
        <v>0</v>
      </c>
      <c r="K212">
        <f t="shared" ref="K212" si="223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224">L211+K212</f>
        <v>252</v>
      </c>
      <c r="M212">
        <f t="shared" ref="M212" si="225">2+IF(A212&gt;=DATEVALUE("2025/11/30")+TIMEVALUE("6:00"),1,0)+IF(A212&gt;=DATEVALUE("2025/12/11")+TIMEVALUE("6:00"),1,0)</f>
        <v>4</v>
      </c>
      <c r="N212">
        <f t="shared" ref="N212" si="226">N211+M212*(INT(A212-6/24)-INT(A211-6/24))+O212</f>
        <v>252</v>
      </c>
      <c r="O212">
        <f t="shared" ref="O212" si="227">IF(A212&gt;=DATEVALUE("2025/11/8")+TIMEVALUE("6:00"),1,0)-IF(A211&gt;=DATEVALUE("2025/11/8")+TIMEVALUE("6:00"),1,0)</f>
        <v>0</v>
      </c>
      <c r="P212" t="str">
        <f t="shared" ref="P212" si="228">IF(L212&lt;N212,"未達成（"&amp;N212-L212&amp;"）",IF(L212=N212,"達成","前倒し（"&amp;L212-N212&amp;"）"))</f>
        <v>達成</v>
      </c>
      <c r="Q212">
        <f t="shared" ref="Q212" si="229">IF(B212="",NA(),G212)</f>
        <v>8.078703707724344E-3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46042.305648148147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2026-01-19T22:31:59Z</dcterms:modified>
</cp:coreProperties>
</file>
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3C76F6BE-876A-49D7-8AB5-FD2B3C31B6FE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8" i="4" l="1"/>
  <c r="M148" i="4"/>
  <c r="N148" i="4" s="1"/>
  <c r="K148" i="4"/>
  <c r="L148" i="4" s="1"/>
  <c r="P148" i="4" s="1"/>
  <c r="O147" i="4"/>
  <c r="M147" i="4"/>
  <c r="N147" i="4" s="1"/>
  <c r="K147" i="4"/>
  <c r="L147" i="4" s="1"/>
  <c r="O146" i="4"/>
  <c r="M146" i="4"/>
  <c r="N146" i="4" s="1"/>
  <c r="K146" i="4"/>
  <c r="L146" i="4" s="1"/>
  <c r="P146" i="4" s="1"/>
  <c r="O145" i="4"/>
  <c r="M145" i="4"/>
  <c r="N145" i="4" s="1"/>
  <c r="K145" i="4"/>
  <c r="L145" i="4" s="1"/>
  <c r="O144" i="4"/>
  <c r="M144" i="4"/>
  <c r="N144" i="4" s="1"/>
  <c r="K144" i="4"/>
  <c r="L144" i="4" s="1"/>
  <c r="O143" i="4"/>
  <c r="M143" i="4"/>
  <c r="N143" i="4" s="1"/>
  <c r="K143" i="4"/>
  <c r="L143" i="4" s="1"/>
  <c r="P143" i="4" s="1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P147" i="4" l="1"/>
  <c r="P145" i="4"/>
  <c r="P144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P139" i="4"/>
  <c r="P142" i="4" l="1"/>
  <c r="P141" i="4"/>
</calcChain>
</file>

<file path=xl/sharedStrings.xml><?xml version="1.0" encoding="utf-8"?>
<sst xmlns="http://schemas.openxmlformats.org/spreadsheetml/2006/main" count="372" uniqueCount="353">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</sst>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データ!$P$2:$P$147</c:f>
              <c:strCache>
                <c:ptCount val="146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データ!$A$3:$A$148</c:f>
              <c:numCache>
                <c:formatCode>m/d/yyyy\ h:mm</c:formatCode>
                <c:ptCount val="14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</c:numCache>
            </c:numRef>
          </c:xVal>
          <c:yVal>
            <c:numRef>
              <c:f>データ!$B$3:$B$148</c:f>
              <c:numCache>
                <c:formatCode>General</c:formatCode>
                <c:ptCount val="14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8-4E96-9C52-77A4FDCC3B4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1F8-4E96-9C52-77A4FDCC3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744688"/>
        <c:axId val="204073076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データ!$A$3:$A$148</c:f>
              <c:numCache>
                <c:formatCode>m/d/yyyy\ h:mm</c:formatCode>
                <c:ptCount val="14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</c:numCache>
            </c:numRef>
          </c:xVal>
          <c:yVal>
            <c:numRef>
              <c:f>データ!$G$3:$G$148</c:f>
              <c:numCache>
                <c:formatCode>[h]:mm</c:formatCode>
                <c:ptCount val="14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8-4E96-9C52-77A4FDCC3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727888"/>
        <c:axId val="2040749008"/>
      </c:scatterChart>
      <c:valAx>
        <c:axId val="204074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730768"/>
        <c:crosses val="autoZero"/>
        <c:crossBetween val="midCat"/>
      </c:valAx>
      <c:valAx>
        <c:axId val="204073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744688"/>
        <c:crosses val="autoZero"/>
        <c:crossBetween val="midCat"/>
      </c:valAx>
      <c:valAx>
        <c:axId val="204074900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727888"/>
        <c:crosses val="max"/>
        <c:crossBetween val="midCat"/>
      </c:valAx>
      <c:valAx>
        <c:axId val="204072788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074900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211931</xdr:colOff>
      <xdr:row>1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160" name="Match0">
          <a:extLst>
            <a:ext uri="{FF2B5EF4-FFF2-40B4-BE49-F238E27FC236}">
              <a16:creationId xmlns:a16="http://schemas.microsoft.com/office/drawing/2014/main" id="{AB1FB77D-0DE0-9DA2-9FB9-B01E6FF839CB}"/>
            </a:ext>
          </a:extLst>
        </xdr:cNvPr>
        <xdr:cNvCxnSpPr/>
      </xdr:nvCxnSpPr>
      <xdr:spPr>
        <a:xfrm>
          <a:off x="1907381" y="53578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161" name="Match1">
          <a:extLst>
            <a:ext uri="{FF2B5EF4-FFF2-40B4-BE49-F238E27FC236}">
              <a16:creationId xmlns:a16="http://schemas.microsoft.com/office/drawing/2014/main" id="{DDE62761-8C16-D11C-E152-2685631DFDD0}"/>
            </a:ext>
          </a:extLst>
        </xdr:cNvPr>
        <xdr:cNvCxnSpPr/>
      </xdr:nvCxnSpPr>
      <xdr:spPr>
        <a:xfrm>
          <a:off x="2119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162" name="Match2">
          <a:extLst>
            <a:ext uri="{FF2B5EF4-FFF2-40B4-BE49-F238E27FC236}">
              <a16:creationId xmlns:a16="http://schemas.microsoft.com/office/drawing/2014/main" id="{4484256E-174D-4A4B-35DB-0C1E78CC848E}"/>
            </a:ext>
          </a:extLst>
        </xdr:cNvPr>
        <xdr:cNvCxnSpPr/>
      </xdr:nvCxnSpPr>
      <xdr:spPr>
        <a:xfrm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163" name="Match3">
          <a:extLst>
            <a:ext uri="{FF2B5EF4-FFF2-40B4-BE49-F238E27FC236}">
              <a16:creationId xmlns:a16="http://schemas.microsoft.com/office/drawing/2014/main" id="{3649E938-9AAE-4A7B-EB1C-AFA786BE5B82}"/>
            </a:ext>
          </a:extLst>
        </xdr:cNvPr>
        <xdr:cNvCxnSpPr/>
      </xdr:nvCxnSpPr>
      <xdr:spPr>
        <a:xfrm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11</xdr:col>
      <xdr:colOff>237331</xdr:colOff>
      <xdr:row>9</xdr:row>
      <xdr:rowOff>203993</xdr:rowOff>
    </xdr:to>
    <xdr:cxnSp macro="">
      <xdr:nvCxnSpPr>
        <xdr:cNvPr id="1164" name="Match4">
          <a:extLst>
            <a:ext uri="{FF2B5EF4-FFF2-40B4-BE49-F238E27FC236}">
              <a16:creationId xmlns:a16="http://schemas.microsoft.com/office/drawing/2014/main" id="{B02DF5BB-3B64-B887-0661-B8A39A70C1B8}"/>
            </a:ext>
          </a:extLst>
        </xdr:cNvPr>
        <xdr:cNvCxnSpPr/>
      </xdr:nvCxnSpPr>
      <xdr:spPr>
        <a:xfrm flipV="1">
          <a:off x="447595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165" name="Match5">
          <a:extLst>
            <a:ext uri="{FF2B5EF4-FFF2-40B4-BE49-F238E27FC236}">
              <a16:creationId xmlns:a16="http://schemas.microsoft.com/office/drawing/2014/main" id="{4AA0EE64-7CA9-352C-A0FD-02E59DE18801}"/>
            </a:ext>
          </a:extLst>
        </xdr:cNvPr>
        <xdr:cNvCxnSpPr/>
      </xdr:nvCxnSpPr>
      <xdr:spPr>
        <a:xfrm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3</xdr:col>
      <xdr:colOff>237331</xdr:colOff>
      <xdr:row>10</xdr:row>
      <xdr:rowOff>203994</xdr:rowOff>
    </xdr:to>
    <xdr:cxnSp macro="">
      <xdr:nvCxnSpPr>
        <xdr:cNvPr id="1166" name="Match6">
          <a:extLst>
            <a:ext uri="{FF2B5EF4-FFF2-40B4-BE49-F238E27FC236}">
              <a16:creationId xmlns:a16="http://schemas.microsoft.com/office/drawing/2014/main" id="{B7BCC8C9-8290-AD04-CB7D-0F5E401E4741}"/>
            </a:ext>
          </a:extLst>
        </xdr:cNvPr>
        <xdr:cNvCxnSpPr/>
      </xdr:nvCxnSpPr>
      <xdr:spPr>
        <a:xfrm flipV="1">
          <a:off x="1508919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167" name="Match7">
          <a:extLst>
            <a:ext uri="{FF2B5EF4-FFF2-40B4-BE49-F238E27FC236}">
              <a16:creationId xmlns:a16="http://schemas.microsoft.com/office/drawing/2014/main" id="{D05790F8-D27F-23CB-0129-855948E42CEB}"/>
            </a:ext>
          </a:extLst>
        </xdr:cNvPr>
        <xdr:cNvCxnSpPr/>
      </xdr:nvCxnSpPr>
      <xdr:spPr>
        <a:xfrm flipH="1">
          <a:off x="275510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168" name="Match8">
          <a:extLst>
            <a:ext uri="{FF2B5EF4-FFF2-40B4-BE49-F238E27FC236}">
              <a16:creationId xmlns:a16="http://schemas.microsoft.com/office/drawing/2014/main" id="{7C0C96E8-325C-54E5-31B6-FAB87734437E}"/>
            </a:ext>
          </a:extLst>
        </xdr:cNvPr>
        <xdr:cNvCxnSpPr/>
      </xdr:nvCxnSpPr>
      <xdr:spPr>
        <a:xfrm>
          <a:off x="1483519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3</xdr:col>
      <xdr:colOff>237331</xdr:colOff>
      <xdr:row>4</xdr:row>
      <xdr:rowOff>203994</xdr:rowOff>
    </xdr:to>
    <xdr:cxnSp macro="">
      <xdr:nvCxnSpPr>
        <xdr:cNvPr id="1169" name="Match9">
          <a:extLst>
            <a:ext uri="{FF2B5EF4-FFF2-40B4-BE49-F238E27FC236}">
              <a16:creationId xmlns:a16="http://schemas.microsoft.com/office/drawing/2014/main" id="{9B0B1398-B30D-DB80-AF72-91F1E52DEF6A}"/>
            </a:ext>
          </a:extLst>
        </xdr:cNvPr>
        <xdr:cNvCxnSpPr/>
      </xdr:nvCxnSpPr>
      <xdr:spPr>
        <a:xfrm flipH="1">
          <a:off x="661194" y="1632744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170" name="Match10">
          <a:extLst>
            <a:ext uri="{FF2B5EF4-FFF2-40B4-BE49-F238E27FC236}">
              <a16:creationId xmlns:a16="http://schemas.microsoft.com/office/drawing/2014/main" id="{70FF2DC7-666E-5AA0-A4F5-7385D3080C26}"/>
            </a:ext>
          </a:extLst>
        </xdr:cNvPr>
        <xdr:cNvCxnSpPr/>
      </xdr:nvCxnSpPr>
      <xdr:spPr>
        <a:xfrm flipH="1">
          <a:off x="1059656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171" name="Match11">
          <a:extLst>
            <a:ext uri="{FF2B5EF4-FFF2-40B4-BE49-F238E27FC236}">
              <a16:creationId xmlns:a16="http://schemas.microsoft.com/office/drawing/2014/main" id="{81D41FC8-2C59-A823-59E8-B6D420C01CED}"/>
            </a:ext>
          </a:extLst>
        </xdr:cNvPr>
        <xdr:cNvCxnSpPr/>
      </xdr:nvCxnSpPr>
      <xdr:spPr>
        <a:xfrm>
          <a:off x="2755106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172" name="Match12">
          <a:extLst>
            <a:ext uri="{FF2B5EF4-FFF2-40B4-BE49-F238E27FC236}">
              <a16:creationId xmlns:a16="http://schemas.microsoft.com/office/drawing/2014/main" id="{0CA62B8A-45F6-8088-17A5-64A78E6B0C24}"/>
            </a:ext>
          </a:extLst>
        </xdr:cNvPr>
        <xdr:cNvCxnSpPr/>
      </xdr:nvCxnSpPr>
      <xdr:spPr>
        <a:xfrm flipV="1">
          <a:off x="3178969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173" name="Match13">
          <a:extLst>
            <a:ext uri="{FF2B5EF4-FFF2-40B4-BE49-F238E27FC236}">
              <a16:creationId xmlns:a16="http://schemas.microsoft.com/office/drawing/2014/main" id="{44F4DEFA-9A2B-F2A2-6B6C-7A9C82FF6FB8}"/>
            </a:ext>
          </a:extLst>
        </xdr:cNvPr>
        <xdr:cNvCxnSpPr/>
      </xdr:nvCxnSpPr>
      <xdr:spPr>
        <a:xfrm flipV="1">
          <a:off x="14835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174" name="Match14">
          <a:extLst>
            <a:ext uri="{FF2B5EF4-FFF2-40B4-BE49-F238E27FC236}">
              <a16:creationId xmlns:a16="http://schemas.microsoft.com/office/drawing/2014/main" id="{DC859938-1107-2C9A-7180-624BDA560F8C}"/>
            </a:ext>
          </a:extLst>
        </xdr:cNvPr>
        <xdr:cNvCxnSpPr/>
      </xdr:nvCxnSpPr>
      <xdr:spPr>
        <a:xfrm>
          <a:off x="1907381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4</xdr:col>
      <xdr:colOff>237331</xdr:colOff>
      <xdr:row>4</xdr:row>
      <xdr:rowOff>203994</xdr:rowOff>
    </xdr:to>
    <xdr:cxnSp macro="">
      <xdr:nvCxnSpPr>
        <xdr:cNvPr id="1175" name="Match15">
          <a:extLst>
            <a:ext uri="{FF2B5EF4-FFF2-40B4-BE49-F238E27FC236}">
              <a16:creationId xmlns:a16="http://schemas.microsoft.com/office/drawing/2014/main" id="{57C89E7B-FB39-4C3D-9AEB-EEB28A983C9B}"/>
            </a:ext>
          </a:extLst>
        </xdr:cNvPr>
        <xdr:cNvCxnSpPr/>
      </xdr:nvCxnSpPr>
      <xdr:spPr>
        <a:xfrm flipH="1">
          <a:off x="1508919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176" name="Match16">
          <a:extLst>
            <a:ext uri="{FF2B5EF4-FFF2-40B4-BE49-F238E27FC236}">
              <a16:creationId xmlns:a16="http://schemas.microsoft.com/office/drawing/2014/main" id="{2723DA47-B15F-5084-39FF-1D609E0CCA87}"/>
            </a:ext>
          </a:extLst>
        </xdr:cNvPr>
        <xdr:cNvCxnSpPr/>
      </xdr:nvCxnSpPr>
      <xdr:spPr>
        <a:xfrm flipH="1"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177" name="Match17">
          <a:extLst>
            <a:ext uri="{FF2B5EF4-FFF2-40B4-BE49-F238E27FC236}">
              <a16:creationId xmlns:a16="http://schemas.microsoft.com/office/drawing/2014/main" id="{296D4A44-DD5B-BE07-00D8-3800F47A652B}"/>
            </a:ext>
          </a:extLst>
        </xdr:cNvPr>
        <xdr:cNvCxnSpPr/>
      </xdr:nvCxnSpPr>
      <xdr:spPr>
        <a:xfrm>
          <a:off x="275510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178" name="Match18">
          <a:extLst>
            <a:ext uri="{FF2B5EF4-FFF2-40B4-BE49-F238E27FC236}">
              <a16:creationId xmlns:a16="http://schemas.microsoft.com/office/drawing/2014/main" id="{5C039695-3DB6-3A1E-CECA-54A71F521AB5}"/>
            </a:ext>
          </a:extLst>
        </xdr:cNvPr>
        <xdr:cNvCxnSpPr/>
      </xdr:nvCxnSpPr>
      <xdr:spPr>
        <a:xfrm>
          <a:off x="44505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179" name="Match19">
          <a:extLst>
            <a:ext uri="{FF2B5EF4-FFF2-40B4-BE49-F238E27FC236}">
              <a16:creationId xmlns:a16="http://schemas.microsoft.com/office/drawing/2014/main" id="{38224AE6-F1B1-EE3D-A828-9F264C96F157}"/>
            </a:ext>
          </a:extLst>
        </xdr:cNvPr>
        <xdr:cNvCxnSpPr/>
      </xdr:nvCxnSpPr>
      <xdr:spPr>
        <a:xfrm flipH="1">
          <a:off x="148351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180" name="Match20">
          <a:extLst>
            <a:ext uri="{FF2B5EF4-FFF2-40B4-BE49-F238E27FC236}">
              <a16:creationId xmlns:a16="http://schemas.microsoft.com/office/drawing/2014/main" id="{4AEDCEBE-9725-3409-0BA5-1C08720D4172}"/>
            </a:ext>
          </a:extLst>
        </xdr:cNvPr>
        <xdr:cNvCxnSpPr/>
      </xdr:nvCxnSpPr>
      <xdr:spPr>
        <a:xfrm flipH="1"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4</xdr:col>
      <xdr:colOff>237331</xdr:colOff>
      <xdr:row>10</xdr:row>
      <xdr:rowOff>203994</xdr:rowOff>
    </xdr:to>
    <xdr:cxnSp macro="">
      <xdr:nvCxnSpPr>
        <xdr:cNvPr id="1181" name="Match21">
          <a:extLst>
            <a:ext uri="{FF2B5EF4-FFF2-40B4-BE49-F238E27FC236}">
              <a16:creationId xmlns:a16="http://schemas.microsoft.com/office/drawing/2014/main" id="{A82D492F-8DAF-AB3E-66F2-7716C79C043C}"/>
            </a:ext>
          </a:extLst>
        </xdr:cNvPr>
        <xdr:cNvCxnSpPr/>
      </xdr:nvCxnSpPr>
      <xdr:spPr>
        <a:xfrm flipH="1" flipV="1">
          <a:off x="150891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182" name="Match22">
          <a:extLst>
            <a:ext uri="{FF2B5EF4-FFF2-40B4-BE49-F238E27FC236}">
              <a16:creationId xmlns:a16="http://schemas.microsoft.com/office/drawing/2014/main" id="{984737B3-479C-E6FC-9652-49C24F4E5A4E}"/>
            </a:ext>
          </a:extLst>
        </xdr:cNvPr>
        <xdr:cNvCxnSpPr/>
      </xdr:nvCxnSpPr>
      <xdr:spPr>
        <a:xfrm flipV="1">
          <a:off x="487441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183" name="Match23">
          <a:extLst>
            <a:ext uri="{FF2B5EF4-FFF2-40B4-BE49-F238E27FC236}">
              <a16:creationId xmlns:a16="http://schemas.microsoft.com/office/drawing/2014/main" id="{22126FAD-062E-5FF4-0BE0-CF02B5A5BD6C}"/>
            </a:ext>
          </a:extLst>
        </xdr:cNvPr>
        <xdr:cNvCxnSpPr/>
      </xdr:nvCxnSpPr>
      <xdr:spPr>
        <a:xfrm flipV="1">
          <a:off x="1059656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1184" name="Match24">
          <a:extLst>
            <a:ext uri="{FF2B5EF4-FFF2-40B4-BE49-F238E27FC236}">
              <a16:creationId xmlns:a16="http://schemas.microsoft.com/office/drawing/2014/main" id="{99769B8D-E6B5-626A-F130-E6D11F99893D}"/>
            </a:ext>
          </a:extLst>
        </xdr:cNvPr>
        <xdr:cNvCxnSpPr/>
      </xdr:nvCxnSpPr>
      <xdr:spPr>
        <a:xfrm>
          <a:off x="2331244" y="160734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10</xdr:col>
      <xdr:colOff>237331</xdr:colOff>
      <xdr:row>8</xdr:row>
      <xdr:rowOff>203994</xdr:rowOff>
    </xdr:to>
    <xdr:cxnSp macro="">
      <xdr:nvCxnSpPr>
        <xdr:cNvPr id="1185" name="Match25">
          <a:extLst>
            <a:ext uri="{FF2B5EF4-FFF2-40B4-BE49-F238E27FC236}">
              <a16:creationId xmlns:a16="http://schemas.microsoft.com/office/drawing/2014/main" id="{39278658-7802-F357-C34E-138F6DB96C28}"/>
            </a:ext>
          </a:extLst>
        </xdr:cNvPr>
        <xdr:cNvCxnSpPr/>
      </xdr:nvCxnSpPr>
      <xdr:spPr>
        <a:xfrm>
          <a:off x="1932781" y="3061494"/>
          <a:ext cx="254317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10</xdr:row>
      <xdr:rowOff>229394</xdr:rowOff>
    </xdr:from>
    <xdr:to>
      <xdr:col>7</xdr:col>
      <xdr:colOff>262731</xdr:colOff>
      <xdr:row>10</xdr:row>
      <xdr:rowOff>229394</xdr:rowOff>
    </xdr:to>
    <xdr:cxnSp macro="">
      <xdr:nvCxnSpPr>
        <xdr:cNvPr id="1186" name="Match26">
          <a:extLst>
            <a:ext uri="{FF2B5EF4-FFF2-40B4-BE49-F238E27FC236}">
              <a16:creationId xmlns:a16="http://schemas.microsoft.com/office/drawing/2014/main" id="{4BF3771B-2AD5-E028-0BF3-DF16E52FA02A}"/>
            </a:ext>
          </a:extLst>
        </xdr:cNvPr>
        <xdr:cNvCxnSpPr/>
      </xdr:nvCxnSpPr>
      <xdr:spPr>
        <a:xfrm>
          <a:off x="1534319" y="3801269"/>
          <a:ext cx="1695450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187" name="Match27">
          <a:extLst>
            <a:ext uri="{FF2B5EF4-FFF2-40B4-BE49-F238E27FC236}">
              <a16:creationId xmlns:a16="http://schemas.microsoft.com/office/drawing/2014/main" id="{E9843B6B-3B57-9766-38EE-2223FFF7657C}"/>
            </a:ext>
          </a:extLst>
        </xdr:cNvPr>
        <xdr:cNvCxnSpPr/>
      </xdr:nvCxnSpPr>
      <xdr:spPr>
        <a:xfrm>
          <a:off x="1907381" y="33932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1</xdr:row>
      <xdr:rowOff>178593</xdr:rowOff>
    </xdr:to>
    <xdr:cxnSp macro="">
      <xdr:nvCxnSpPr>
        <xdr:cNvPr id="1188" name="Match28">
          <a:extLst>
            <a:ext uri="{FF2B5EF4-FFF2-40B4-BE49-F238E27FC236}">
              <a16:creationId xmlns:a16="http://schemas.microsoft.com/office/drawing/2014/main" id="{3B01436A-3B2A-352F-894A-FBA0737C45C9}"/>
            </a:ext>
          </a:extLst>
        </xdr:cNvPr>
        <xdr:cNvCxnSpPr/>
      </xdr:nvCxnSpPr>
      <xdr:spPr>
        <a:xfrm>
          <a:off x="6357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1189" name="Match29">
          <a:extLst>
            <a:ext uri="{FF2B5EF4-FFF2-40B4-BE49-F238E27FC236}">
              <a16:creationId xmlns:a16="http://schemas.microsoft.com/office/drawing/2014/main" id="{C9056D1B-E921-AB99-BC1A-F71C474C5F09}"/>
            </a:ext>
          </a:extLst>
        </xdr:cNvPr>
        <xdr:cNvCxnSpPr/>
      </xdr:nvCxnSpPr>
      <xdr:spPr>
        <a:xfrm flipH="1" flipV="1">
          <a:off x="2373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0</xdr:row>
      <xdr:rowOff>229394</xdr:rowOff>
    </xdr:from>
    <xdr:to>
      <xdr:col>2</xdr:col>
      <xdr:colOff>262731</xdr:colOff>
      <xdr:row>1</xdr:row>
      <xdr:rowOff>229393</xdr:rowOff>
    </xdr:to>
    <xdr:cxnSp macro="">
      <xdr:nvCxnSpPr>
        <xdr:cNvPr id="1255" name="Match30">
          <a:extLst>
            <a:ext uri="{FF2B5EF4-FFF2-40B4-BE49-F238E27FC236}">
              <a16:creationId xmlns:a16="http://schemas.microsoft.com/office/drawing/2014/main" id="{344F94E3-2C86-4784-AB58-79D630058842}"/>
            </a:ext>
          </a:extLst>
        </xdr:cNvPr>
        <xdr:cNvCxnSpPr/>
      </xdr:nvCxnSpPr>
      <xdr:spPr>
        <a:xfrm flipV="1">
          <a:off x="686594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5</xdr:col>
      <xdr:colOff>237331</xdr:colOff>
      <xdr:row>1</xdr:row>
      <xdr:rowOff>203993</xdr:rowOff>
    </xdr:to>
    <xdr:cxnSp macro="">
      <xdr:nvCxnSpPr>
        <xdr:cNvPr id="1256" name="Match31">
          <a:extLst>
            <a:ext uri="{FF2B5EF4-FFF2-40B4-BE49-F238E27FC236}">
              <a16:creationId xmlns:a16="http://schemas.microsoft.com/office/drawing/2014/main" id="{72E12CBD-719E-913E-1552-F5F984E2590D}"/>
            </a:ext>
          </a:extLst>
        </xdr:cNvPr>
        <xdr:cNvCxnSpPr/>
      </xdr:nvCxnSpPr>
      <xdr:spPr>
        <a:xfrm flipV="1">
          <a:off x="193278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257" name="Match32">
          <a:extLst>
            <a:ext uri="{FF2B5EF4-FFF2-40B4-BE49-F238E27FC236}">
              <a16:creationId xmlns:a16="http://schemas.microsoft.com/office/drawing/2014/main" id="{DAA8851B-65C1-247D-045D-9A591796D04F}"/>
            </a:ext>
          </a:extLst>
        </xdr:cNvPr>
        <xdr:cNvCxnSpPr/>
      </xdr:nvCxnSpPr>
      <xdr:spPr>
        <a:xfrm flipV="1">
          <a:off x="233124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258" name="Match33">
          <a:extLst>
            <a:ext uri="{FF2B5EF4-FFF2-40B4-BE49-F238E27FC236}">
              <a16:creationId xmlns:a16="http://schemas.microsoft.com/office/drawing/2014/main" id="{81BC32A5-7E9A-D150-4875-87EEB17568F2}"/>
            </a:ext>
          </a:extLst>
        </xdr:cNvPr>
        <xdr:cNvCxnSpPr/>
      </xdr:nvCxnSpPr>
      <xdr:spPr>
        <a:xfrm flipH="1" flipV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1259" name="Match34">
          <a:extLst>
            <a:ext uri="{FF2B5EF4-FFF2-40B4-BE49-F238E27FC236}">
              <a16:creationId xmlns:a16="http://schemas.microsoft.com/office/drawing/2014/main" id="{333909D8-924E-2656-3E3B-DA60D152DA27}"/>
            </a:ext>
          </a:extLst>
        </xdr:cNvPr>
        <xdr:cNvCxnSpPr/>
      </xdr:nvCxnSpPr>
      <xdr:spPr>
        <a:xfrm flipV="1"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260" name="Match35">
          <a:extLst>
            <a:ext uri="{FF2B5EF4-FFF2-40B4-BE49-F238E27FC236}">
              <a16:creationId xmlns:a16="http://schemas.microsoft.com/office/drawing/2014/main" id="{1417EC52-D2F6-C69C-FEFB-0E51DD16E7B3}"/>
            </a:ext>
          </a:extLst>
        </xdr:cNvPr>
        <xdr:cNvCxnSpPr/>
      </xdr:nvCxnSpPr>
      <xdr:spPr>
        <a:xfrm flipH="1" flipV="1">
          <a:off x="40266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261" name="Match36">
          <a:extLst>
            <a:ext uri="{FF2B5EF4-FFF2-40B4-BE49-F238E27FC236}">
              <a16:creationId xmlns:a16="http://schemas.microsoft.com/office/drawing/2014/main" id="{4E94508D-7BB9-E60C-FC12-521E4951B954}"/>
            </a:ext>
          </a:extLst>
        </xdr:cNvPr>
        <xdr:cNvCxnSpPr/>
      </xdr:nvCxnSpPr>
      <xdr:spPr>
        <a:xfrm>
          <a:off x="44505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3</xdr:row>
      <xdr:rowOff>203993</xdr:rowOff>
    </xdr:from>
    <xdr:to>
      <xdr:col>10</xdr:col>
      <xdr:colOff>237331</xdr:colOff>
      <xdr:row>4</xdr:row>
      <xdr:rowOff>203994</xdr:rowOff>
    </xdr:to>
    <xdr:cxnSp macro="">
      <xdr:nvCxnSpPr>
        <xdr:cNvPr id="1262" name="Match37">
          <a:extLst>
            <a:ext uri="{FF2B5EF4-FFF2-40B4-BE49-F238E27FC236}">
              <a16:creationId xmlns:a16="http://schemas.microsoft.com/office/drawing/2014/main" id="{59922000-0E7C-3E00-AE25-AAFA8CE858A9}"/>
            </a:ext>
          </a:extLst>
        </xdr:cNvPr>
        <xdr:cNvCxnSpPr/>
      </xdr:nvCxnSpPr>
      <xdr:spPr>
        <a:xfrm flipH="1">
          <a:off x="405209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263" name="Match38">
          <a:extLst>
            <a:ext uri="{FF2B5EF4-FFF2-40B4-BE49-F238E27FC236}">
              <a16:creationId xmlns:a16="http://schemas.microsoft.com/office/drawing/2014/main" id="{0C7FD58C-F23E-29FA-EB1F-FBC69A681FB8}"/>
            </a:ext>
          </a:extLst>
        </xdr:cNvPr>
        <xdr:cNvCxnSpPr/>
      </xdr:nvCxnSpPr>
      <xdr:spPr>
        <a:xfrm flipH="1">
          <a:off x="44505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11</xdr:row>
      <xdr:rowOff>178593</xdr:rowOff>
    </xdr:from>
    <xdr:to>
      <xdr:col>2</xdr:col>
      <xdr:colOff>211931</xdr:colOff>
      <xdr:row>11</xdr:row>
      <xdr:rowOff>178593</xdr:rowOff>
    </xdr:to>
    <xdr:cxnSp macro="">
      <xdr:nvCxnSpPr>
        <xdr:cNvPr id="1264" name="Match39">
          <a:extLst>
            <a:ext uri="{FF2B5EF4-FFF2-40B4-BE49-F238E27FC236}">
              <a16:creationId xmlns:a16="http://schemas.microsoft.com/office/drawing/2014/main" id="{5C05D17E-B50A-66EB-2A71-1D343C0C8835}"/>
            </a:ext>
          </a:extLst>
        </xdr:cNvPr>
        <xdr:cNvCxnSpPr/>
      </xdr:nvCxnSpPr>
      <xdr:spPr>
        <a:xfrm>
          <a:off x="635794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0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265" name="Match40">
          <a:extLst>
            <a:ext uri="{FF2B5EF4-FFF2-40B4-BE49-F238E27FC236}">
              <a16:creationId xmlns:a16="http://schemas.microsoft.com/office/drawing/2014/main" id="{661FA21E-7FFB-B2BE-7381-8FDA2D7D998C}"/>
            </a:ext>
          </a:extLst>
        </xdr:cNvPr>
        <xdr:cNvCxnSpPr/>
      </xdr:nvCxnSpPr>
      <xdr:spPr>
        <a:xfrm flipV="1">
          <a:off x="4874419" y="178594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5</xdr:col>
      <xdr:colOff>211931</xdr:colOff>
      <xdr:row>3</xdr:row>
      <xdr:rowOff>178593</xdr:rowOff>
    </xdr:to>
    <xdr:cxnSp macro="">
      <xdr:nvCxnSpPr>
        <xdr:cNvPr id="1266" name="Match41">
          <a:extLst>
            <a:ext uri="{FF2B5EF4-FFF2-40B4-BE49-F238E27FC236}">
              <a16:creationId xmlns:a16="http://schemas.microsoft.com/office/drawing/2014/main" id="{95AF33B9-449B-D2BE-39BC-13FA19B5CCB8}"/>
            </a:ext>
          </a:extLst>
        </xdr:cNvPr>
        <xdr:cNvCxnSpPr/>
      </xdr:nvCxnSpPr>
      <xdr:spPr>
        <a:xfrm flipV="1">
          <a:off x="1483519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267" name="Match42">
          <a:extLst>
            <a:ext uri="{FF2B5EF4-FFF2-40B4-BE49-F238E27FC236}">
              <a16:creationId xmlns:a16="http://schemas.microsoft.com/office/drawing/2014/main" id="{5B6DE2C2-2B3F-B2C7-3A41-08C656E452CD}"/>
            </a:ext>
          </a:extLst>
        </xdr:cNvPr>
        <xdr:cNvCxnSpPr/>
      </xdr:nvCxnSpPr>
      <xdr:spPr>
        <a:xfrm flipV="1">
          <a:off x="4026694" y="1785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0</xdr:row>
      <xdr:rowOff>178594</xdr:rowOff>
    </xdr:to>
    <xdr:cxnSp macro="">
      <xdr:nvCxnSpPr>
        <xdr:cNvPr id="1268" name="Match43">
          <a:extLst>
            <a:ext uri="{FF2B5EF4-FFF2-40B4-BE49-F238E27FC236}">
              <a16:creationId xmlns:a16="http://schemas.microsoft.com/office/drawing/2014/main" id="{23C4384D-6442-875C-CD3A-15D77F8034A0}"/>
            </a:ext>
          </a:extLst>
        </xdr:cNvPr>
        <xdr:cNvCxnSpPr/>
      </xdr:nvCxnSpPr>
      <xdr:spPr>
        <a:xfrm>
          <a:off x="10596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1269" name="Match44">
          <a:extLst>
            <a:ext uri="{FF2B5EF4-FFF2-40B4-BE49-F238E27FC236}">
              <a16:creationId xmlns:a16="http://schemas.microsoft.com/office/drawing/2014/main" id="{7D1666DD-EE13-BBEA-D84E-015DD987842F}"/>
            </a:ext>
          </a:extLst>
        </xdr:cNvPr>
        <xdr:cNvCxnSpPr/>
      </xdr:nvCxnSpPr>
      <xdr:spPr>
        <a:xfrm>
          <a:off x="233124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270" name="Match45">
          <a:extLst>
            <a:ext uri="{FF2B5EF4-FFF2-40B4-BE49-F238E27FC236}">
              <a16:creationId xmlns:a16="http://schemas.microsoft.com/office/drawing/2014/main" id="{EFAF53B3-4897-A2B6-991C-17CE9DE2990A}"/>
            </a:ext>
          </a:extLst>
        </xdr:cNvPr>
        <xdr:cNvCxnSpPr/>
      </xdr:nvCxnSpPr>
      <xdr:spPr>
        <a:xfrm flipV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271" name="Match46">
          <a:extLst>
            <a:ext uri="{FF2B5EF4-FFF2-40B4-BE49-F238E27FC236}">
              <a16:creationId xmlns:a16="http://schemas.microsoft.com/office/drawing/2014/main" id="{859DB853-7B1E-F391-C407-0524A9F529BE}"/>
            </a:ext>
          </a:extLst>
        </xdr:cNvPr>
        <xdr:cNvCxnSpPr/>
      </xdr:nvCxnSpPr>
      <xdr:spPr>
        <a:xfrm flipV="1"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272" name="Match47">
          <a:extLst>
            <a:ext uri="{FF2B5EF4-FFF2-40B4-BE49-F238E27FC236}">
              <a16:creationId xmlns:a16="http://schemas.microsoft.com/office/drawing/2014/main" id="{C1104156-E877-9426-372B-051104DF0706}"/>
            </a:ext>
          </a:extLst>
        </xdr:cNvPr>
        <xdr:cNvCxnSpPr/>
      </xdr:nvCxnSpPr>
      <xdr:spPr>
        <a:xfrm>
          <a:off x="63579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273" name="Match48">
          <a:extLst>
            <a:ext uri="{FF2B5EF4-FFF2-40B4-BE49-F238E27FC236}">
              <a16:creationId xmlns:a16="http://schemas.microsoft.com/office/drawing/2014/main" id="{CADA7BFE-E656-C5DA-9E98-41D7AD0EFF7C}"/>
            </a:ext>
          </a:extLst>
        </xdr:cNvPr>
        <xdr:cNvCxnSpPr/>
      </xdr:nvCxnSpPr>
      <xdr:spPr>
        <a:xfrm flipH="1"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274" name="Match49">
          <a:extLst>
            <a:ext uri="{FF2B5EF4-FFF2-40B4-BE49-F238E27FC236}">
              <a16:creationId xmlns:a16="http://schemas.microsoft.com/office/drawing/2014/main" id="{8D177EF6-A23A-8880-01B7-E5F5F6F1535E}"/>
            </a:ext>
          </a:extLst>
        </xdr:cNvPr>
        <xdr:cNvCxnSpPr/>
      </xdr:nvCxnSpPr>
      <xdr:spPr>
        <a:xfrm flipV="1">
          <a:off x="6357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8</xdr:row>
      <xdr:rowOff>178594</xdr:rowOff>
    </xdr:to>
    <xdr:cxnSp macro="">
      <xdr:nvCxnSpPr>
        <xdr:cNvPr id="1275" name="Match50">
          <a:extLst>
            <a:ext uri="{FF2B5EF4-FFF2-40B4-BE49-F238E27FC236}">
              <a16:creationId xmlns:a16="http://schemas.microsoft.com/office/drawing/2014/main" id="{975A9207-2C6C-8216-F83E-DB2205A77A67}"/>
            </a:ext>
          </a:extLst>
        </xdr:cNvPr>
        <xdr:cNvCxnSpPr/>
      </xdr:nvCxnSpPr>
      <xdr:spPr>
        <a:xfrm flipV="1">
          <a:off x="275510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0</xdr:col>
      <xdr:colOff>211931</xdr:colOff>
      <xdr:row>10</xdr:row>
      <xdr:rowOff>178594</xdr:rowOff>
    </xdr:to>
    <xdr:cxnSp macro="">
      <xdr:nvCxnSpPr>
        <xdr:cNvPr id="1276" name="Match51">
          <a:extLst>
            <a:ext uri="{FF2B5EF4-FFF2-40B4-BE49-F238E27FC236}">
              <a16:creationId xmlns:a16="http://schemas.microsoft.com/office/drawing/2014/main" id="{816B88AD-DB8B-7F70-F646-C746F77D69E9}"/>
            </a:ext>
          </a:extLst>
        </xdr:cNvPr>
        <xdr:cNvCxnSpPr/>
      </xdr:nvCxnSpPr>
      <xdr:spPr>
        <a:xfrm>
          <a:off x="21193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1277" name="Match52">
          <a:extLst>
            <a:ext uri="{FF2B5EF4-FFF2-40B4-BE49-F238E27FC236}">
              <a16:creationId xmlns:a16="http://schemas.microsoft.com/office/drawing/2014/main" id="{28FE9D14-2421-2DD8-B43A-A5835B775B5B}"/>
            </a:ext>
          </a:extLst>
        </xdr:cNvPr>
        <xdr:cNvCxnSpPr/>
      </xdr:nvCxnSpPr>
      <xdr:spPr>
        <a:xfrm flipH="1"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278" name="Match53">
          <a:extLst>
            <a:ext uri="{FF2B5EF4-FFF2-40B4-BE49-F238E27FC236}">
              <a16:creationId xmlns:a16="http://schemas.microsoft.com/office/drawing/2014/main" id="{E2A4CEB0-61D9-9910-3923-B514C5579E53}"/>
            </a:ext>
          </a:extLst>
        </xdr:cNvPr>
        <xdr:cNvCxnSpPr/>
      </xdr:nvCxnSpPr>
      <xdr:spPr>
        <a:xfrm>
          <a:off x="10596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5</xdr:row>
      <xdr:rowOff>178593</xdr:rowOff>
    </xdr:to>
    <xdr:cxnSp macro="">
      <xdr:nvCxnSpPr>
        <xdr:cNvPr id="1279" name="Match54">
          <a:extLst>
            <a:ext uri="{FF2B5EF4-FFF2-40B4-BE49-F238E27FC236}">
              <a16:creationId xmlns:a16="http://schemas.microsoft.com/office/drawing/2014/main" id="{3F7950CC-4A8B-4BB6-87D4-3716A731BBF0}"/>
            </a:ext>
          </a:extLst>
        </xdr:cNvPr>
        <xdr:cNvCxnSpPr/>
      </xdr:nvCxnSpPr>
      <xdr:spPr>
        <a:xfrm>
          <a:off x="211931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280" name="Match55">
          <a:extLst>
            <a:ext uri="{FF2B5EF4-FFF2-40B4-BE49-F238E27FC236}">
              <a16:creationId xmlns:a16="http://schemas.microsoft.com/office/drawing/2014/main" id="{9167A114-8E2B-7792-3CC3-D98DAE89C34B}"/>
            </a:ext>
          </a:extLst>
        </xdr:cNvPr>
        <xdr:cNvCxnSpPr/>
      </xdr:nvCxnSpPr>
      <xdr:spPr>
        <a:xfrm flipH="1">
          <a:off x="402669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5</xdr:row>
      <xdr:rowOff>178593</xdr:rowOff>
    </xdr:to>
    <xdr:cxnSp macro="">
      <xdr:nvCxnSpPr>
        <xdr:cNvPr id="1281" name="Match56">
          <a:extLst>
            <a:ext uri="{FF2B5EF4-FFF2-40B4-BE49-F238E27FC236}">
              <a16:creationId xmlns:a16="http://schemas.microsoft.com/office/drawing/2014/main" id="{48ABA040-D8C8-EEF3-B6C6-D5CB2637A3A1}"/>
            </a:ext>
          </a:extLst>
        </xdr:cNvPr>
        <xdr:cNvCxnSpPr/>
      </xdr:nvCxnSpPr>
      <xdr:spPr>
        <a:xfrm flipV="1">
          <a:off x="211931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282" name="Match57">
          <a:extLst>
            <a:ext uri="{FF2B5EF4-FFF2-40B4-BE49-F238E27FC236}">
              <a16:creationId xmlns:a16="http://schemas.microsoft.com/office/drawing/2014/main" id="{41F6D63E-D896-3D54-6F47-0021B244F1D1}"/>
            </a:ext>
          </a:extLst>
        </xdr:cNvPr>
        <xdr:cNvCxnSpPr/>
      </xdr:nvCxnSpPr>
      <xdr:spPr>
        <a:xfrm flipV="1">
          <a:off x="402669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1283" name="Match58">
          <a:extLst>
            <a:ext uri="{FF2B5EF4-FFF2-40B4-BE49-F238E27FC236}">
              <a16:creationId xmlns:a16="http://schemas.microsoft.com/office/drawing/2014/main" id="{A58D39F8-4375-2921-26F3-7993163B43BA}"/>
            </a:ext>
          </a:extLst>
        </xdr:cNvPr>
        <xdr:cNvCxnSpPr/>
      </xdr:nvCxnSpPr>
      <xdr:spPr>
        <a:xfrm>
          <a:off x="635794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1284" name="Match59">
          <a:extLst>
            <a:ext uri="{FF2B5EF4-FFF2-40B4-BE49-F238E27FC236}">
              <a16:creationId xmlns:a16="http://schemas.microsoft.com/office/drawing/2014/main" id="{A4B4235B-22CE-E94B-E29F-547A172571F4}"/>
            </a:ext>
          </a:extLst>
        </xdr:cNvPr>
        <xdr:cNvCxnSpPr/>
      </xdr:nvCxnSpPr>
      <xdr:spPr>
        <a:xfrm flipV="1">
          <a:off x="635794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D0446E37-C331-2E44-E621-D648869C7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J1" sqref="J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6</v>
      </c>
      <c r="B1" s="27">
        <v>7</v>
      </c>
      <c r="C1" s="22">
        <v>6</v>
      </c>
      <c r="D1" s="22">
        <v>3</v>
      </c>
      <c r="E1" s="27">
        <v>1</v>
      </c>
      <c r="F1" s="22">
        <v>6</v>
      </c>
      <c r="G1" s="22">
        <v>3</v>
      </c>
      <c r="H1" s="27">
        <v>2</v>
      </c>
      <c r="I1" s="27">
        <v>4</v>
      </c>
      <c r="J1" s="23">
        <v>2</v>
      </c>
      <c r="K1" s="27">
        <v>2</v>
      </c>
      <c r="L1" s="23">
        <v>6</v>
      </c>
      <c r="N1" s="2">
        <v>5888918</v>
      </c>
      <c r="O1" s="1">
        <v>1</v>
      </c>
    </row>
    <row r="2" spans="1:15" ht="28.25" customHeight="1">
      <c r="A2" s="27">
        <v>9</v>
      </c>
      <c r="B2" s="22">
        <v>5</v>
      </c>
      <c r="C2" s="22">
        <v>6</v>
      </c>
      <c r="D2" s="22">
        <v>8</v>
      </c>
      <c r="E2" s="23">
        <v>5</v>
      </c>
      <c r="F2" s="23">
        <v>5</v>
      </c>
      <c r="G2" s="22">
        <v>5</v>
      </c>
      <c r="H2" s="27">
        <v>1</v>
      </c>
      <c r="I2" s="22">
        <v>6</v>
      </c>
      <c r="J2" s="23">
        <v>6</v>
      </c>
      <c r="K2" s="27">
        <v>1</v>
      </c>
      <c r="L2" s="23">
        <v>8</v>
      </c>
      <c r="N2" s="2">
        <v>93</v>
      </c>
      <c r="O2" s="1">
        <v>7</v>
      </c>
    </row>
    <row r="3" spans="1:15" ht="28.25" customHeight="1">
      <c r="A3" s="27">
        <v>8</v>
      </c>
      <c r="B3" s="27">
        <v>8</v>
      </c>
      <c r="C3" s="27">
        <v>8</v>
      </c>
      <c r="D3" s="27">
        <v>9</v>
      </c>
      <c r="E3" s="23">
        <v>7</v>
      </c>
      <c r="F3" s="23">
        <v>8</v>
      </c>
      <c r="G3" s="27">
        <v>9</v>
      </c>
      <c r="H3" s="22">
        <v>5</v>
      </c>
      <c r="I3" s="27">
        <v>4</v>
      </c>
      <c r="J3" s="23">
        <v>4</v>
      </c>
      <c r="K3" s="22">
        <v>5</v>
      </c>
      <c r="L3" s="23">
        <v>5</v>
      </c>
      <c r="N3" s="2">
        <v>377</v>
      </c>
      <c r="O3" s="1">
        <v>5</v>
      </c>
    </row>
    <row r="4" spans="1:15" ht="28.25" customHeight="1">
      <c r="A4" s="23">
        <v>1</v>
      </c>
      <c r="B4" s="27">
        <v>7</v>
      </c>
      <c r="C4" s="27">
        <v>4</v>
      </c>
      <c r="D4" s="23">
        <v>2</v>
      </c>
      <c r="E4" s="27">
        <v>4</v>
      </c>
      <c r="F4" s="27">
        <v>7</v>
      </c>
      <c r="G4" s="23">
        <v>8</v>
      </c>
      <c r="H4" s="27">
        <v>1</v>
      </c>
      <c r="I4" s="27">
        <v>8</v>
      </c>
      <c r="J4" s="23">
        <v>8</v>
      </c>
      <c r="K4" s="22">
        <v>5</v>
      </c>
      <c r="L4" s="23">
        <v>3</v>
      </c>
      <c r="N4" s="2">
        <v>83</v>
      </c>
      <c r="O4" s="1">
        <v>10</v>
      </c>
    </row>
    <row r="5" spans="1:15" ht="28.25" customHeight="1">
      <c r="A5" s="23">
        <v>7</v>
      </c>
      <c r="B5" s="23">
        <v>7</v>
      </c>
      <c r="C5" s="23">
        <v>7</v>
      </c>
      <c r="D5" s="23">
        <v>3</v>
      </c>
      <c r="E5" s="23">
        <v>8</v>
      </c>
      <c r="F5" s="23">
        <v>1</v>
      </c>
      <c r="G5" s="27">
        <v>7</v>
      </c>
      <c r="H5" s="23">
        <v>8</v>
      </c>
      <c r="I5" s="27">
        <v>4</v>
      </c>
      <c r="J5" s="22">
        <v>6</v>
      </c>
      <c r="K5" s="22">
        <v>6</v>
      </c>
      <c r="L5" s="23">
        <v>1</v>
      </c>
      <c r="N5" s="2">
        <v>47247</v>
      </c>
      <c r="O5" s="1">
        <v>1</v>
      </c>
    </row>
    <row r="6" spans="1:15" ht="28.25" customHeight="1">
      <c r="A6" s="23">
        <v>1</v>
      </c>
      <c r="B6" s="22">
        <v>6</v>
      </c>
      <c r="C6" s="23">
        <v>4</v>
      </c>
      <c r="D6" s="22">
        <v>7</v>
      </c>
      <c r="E6" s="23">
        <v>3</v>
      </c>
      <c r="F6" s="23">
        <v>2</v>
      </c>
      <c r="G6" s="22">
        <v>3</v>
      </c>
      <c r="H6" s="22">
        <v>7</v>
      </c>
      <c r="I6" s="23">
        <v>9</v>
      </c>
      <c r="J6" s="27">
        <v>4</v>
      </c>
      <c r="K6" s="22">
        <v>7</v>
      </c>
      <c r="L6" s="23">
        <v>4</v>
      </c>
      <c r="N6" s="2">
        <v>1248</v>
      </c>
      <c r="O6" s="1">
        <v>1</v>
      </c>
    </row>
    <row r="7" spans="1:15" ht="28.25" customHeight="1">
      <c r="A7" s="22">
        <v>9</v>
      </c>
      <c r="B7" s="23">
        <v>3</v>
      </c>
      <c r="C7" s="23">
        <v>2</v>
      </c>
      <c r="D7" s="22">
        <v>7</v>
      </c>
      <c r="E7" s="27">
        <v>1</v>
      </c>
      <c r="F7" s="23">
        <v>4</v>
      </c>
      <c r="G7" s="27">
        <v>7</v>
      </c>
      <c r="H7" s="22">
        <v>7</v>
      </c>
      <c r="I7" s="22">
        <v>6</v>
      </c>
      <c r="J7" s="23">
        <v>1</v>
      </c>
      <c r="K7" s="22">
        <v>6</v>
      </c>
      <c r="L7" s="22">
        <v>5</v>
      </c>
      <c r="N7" s="2">
        <v>8864194</v>
      </c>
      <c r="O7" s="1">
        <v>1</v>
      </c>
    </row>
    <row r="8" spans="1:15" ht="28.25" customHeight="1">
      <c r="A8" s="22">
        <v>9</v>
      </c>
      <c r="B8" s="23">
        <v>6</v>
      </c>
      <c r="C8" s="23">
        <v>7</v>
      </c>
      <c r="D8" s="27">
        <v>4</v>
      </c>
      <c r="E8" s="27">
        <v>1</v>
      </c>
      <c r="F8" s="23">
        <v>8</v>
      </c>
      <c r="G8" s="22">
        <v>8</v>
      </c>
      <c r="H8" s="22">
        <v>3</v>
      </c>
      <c r="I8" s="22">
        <v>7</v>
      </c>
      <c r="J8" s="27">
        <v>2</v>
      </c>
      <c r="K8" s="23">
        <v>8</v>
      </c>
      <c r="L8" s="27">
        <v>7</v>
      </c>
      <c r="N8" s="2">
        <v>98776</v>
      </c>
      <c r="O8" s="1">
        <v>1</v>
      </c>
    </row>
    <row r="9" spans="1:15" ht="28.25" customHeight="1">
      <c r="A9" s="27">
        <v>9</v>
      </c>
      <c r="B9" s="22">
        <v>1</v>
      </c>
      <c r="C9" s="23">
        <v>4</v>
      </c>
      <c r="D9" s="27">
        <v>1</v>
      </c>
      <c r="E9" s="23">
        <v>8</v>
      </c>
      <c r="F9" s="23">
        <v>8</v>
      </c>
      <c r="G9" s="23">
        <v>6</v>
      </c>
      <c r="H9" s="23">
        <v>4</v>
      </c>
      <c r="I9" s="23">
        <v>1</v>
      </c>
      <c r="J9" s="23">
        <v>9</v>
      </c>
      <c r="K9" s="23">
        <v>4</v>
      </c>
      <c r="L9" s="22">
        <v>3</v>
      </c>
      <c r="N9" s="2">
        <v>41686</v>
      </c>
      <c r="O9" s="1">
        <v>1</v>
      </c>
    </row>
    <row r="10" spans="1:15" ht="28.25" customHeight="1">
      <c r="A10" s="22">
        <v>6</v>
      </c>
      <c r="B10" s="22">
        <v>7</v>
      </c>
      <c r="C10" s="27">
        <v>5</v>
      </c>
      <c r="D10" s="22">
        <v>3</v>
      </c>
      <c r="E10" s="23">
        <v>4</v>
      </c>
      <c r="F10" s="23">
        <v>1</v>
      </c>
      <c r="G10" s="23">
        <v>6</v>
      </c>
      <c r="H10" s="23">
        <v>8</v>
      </c>
      <c r="I10" s="23">
        <v>6</v>
      </c>
      <c r="J10" s="27">
        <v>4</v>
      </c>
      <c r="K10" s="22">
        <v>9</v>
      </c>
      <c r="L10" s="22">
        <v>3</v>
      </c>
      <c r="N10" s="2">
        <v>56</v>
      </c>
      <c r="O10" s="1">
        <v>12</v>
      </c>
    </row>
    <row r="11" spans="1:15" ht="28.25" customHeight="1">
      <c r="A11" s="22">
        <v>3</v>
      </c>
      <c r="B11" s="22">
        <v>1</v>
      </c>
      <c r="C11" s="27">
        <v>1</v>
      </c>
      <c r="D11" s="23">
        <v>9</v>
      </c>
      <c r="E11" s="23">
        <v>8</v>
      </c>
      <c r="F11" s="23">
        <v>7</v>
      </c>
      <c r="G11" s="23">
        <v>7</v>
      </c>
      <c r="H11" s="23">
        <v>6</v>
      </c>
      <c r="I11" s="27">
        <v>2</v>
      </c>
      <c r="J11" s="27">
        <v>6</v>
      </c>
      <c r="K11" s="27">
        <v>7</v>
      </c>
      <c r="L11" s="22">
        <v>8</v>
      </c>
      <c r="N11" s="2">
        <v>413586</v>
      </c>
      <c r="O11" s="1">
        <v>1</v>
      </c>
    </row>
    <row r="12" spans="1:15" ht="28.25" customHeight="1">
      <c r="A12" s="27">
        <v>7</v>
      </c>
      <c r="B12" s="23">
        <v>5</v>
      </c>
      <c r="C12" s="23">
        <v>6</v>
      </c>
      <c r="D12" s="22">
        <v>3</v>
      </c>
      <c r="E12" s="27">
        <v>7</v>
      </c>
      <c r="F12" s="27">
        <v>5</v>
      </c>
      <c r="G12" s="23">
        <v>3</v>
      </c>
      <c r="H12" s="23">
        <v>9</v>
      </c>
      <c r="I12" s="27">
        <v>9</v>
      </c>
      <c r="J12" s="27">
        <v>1</v>
      </c>
      <c r="K12" s="27">
        <v>9</v>
      </c>
      <c r="L12" s="27">
        <v>7</v>
      </c>
      <c r="N12" s="2">
        <v>275</v>
      </c>
      <c r="O12" s="1">
        <v>1</v>
      </c>
    </row>
    <row r="13" spans="1:15" ht="28.25" customHeight="1">
      <c r="N13" s="2">
        <v>8462</v>
      </c>
      <c r="O13" s="1">
        <v>1</v>
      </c>
    </row>
    <row r="14" spans="1:15" ht="28.25" customHeight="1">
      <c r="N14" s="2">
        <v>63</v>
      </c>
      <c r="O14" s="1">
        <v>11</v>
      </c>
    </row>
    <row r="15" spans="1:15" ht="28.25" customHeight="1">
      <c r="N15" s="2">
        <v>171</v>
      </c>
      <c r="O15" s="1">
        <v>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48"/>
  <sheetViews>
    <sheetView tabSelected="1" zoomScaleNormal="100" workbookViewId="0">
      <pane ySplit="2" topLeftCell="A144" activePane="bottomLeft" state="frozen"/>
      <selection pane="bottomLeft" activeCell="A148" sqref="A14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179</v>
      </c>
      <c r="L2" s="4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341</v>
      </c>
      <c r="I143" t="s">
        <v>342</v>
      </c>
      <c r="J143">
        <v>0</v>
      </c>
      <c r="K143">
        <f t="shared" ref="K143" si="278">IF(A143&lt;DATEVALUE("2025/11/20")+TIMEVALUE("6:00"),1,IF(B143-SUM(D143:F143)&lt;&gt;60,0,MAX(2-INT(G143*24*60/10),0)))</f>
        <v>1</v>
      </c>
      <c r="L143">
        <f t="shared" ref="L143" si="279">L142+K143</f>
        <v>145</v>
      </c>
      <c r="M143">
        <f t="shared" ref="M143" si="280">2+IF(A143&gt;=DATEVALUE("2025/11/30")+TIMEVALUE("6:00"),1,0)+IF(A143&gt;=DATEVALUE("2025/12/11")+TIMEVALUE("6:00"),1,0)</f>
        <v>4</v>
      </c>
      <c r="N143">
        <f t="shared" ref="N143" si="281">N142+M143*(INT(A143-6/24)-INT(A142-6/24))+O143</f>
        <v>148</v>
      </c>
      <c r="O143">
        <f t="shared" ref="O143" si="282">IF(A143&gt;=DATEVALUE("2025/11/8")+TIMEVALUE("6:00"),1,0)-IF(A142&gt;=DATEVALUE("2025/11/8")+TIMEVALUE("6:00"),1,0)</f>
        <v>0</v>
      </c>
      <c r="P143" t="str">
        <f t="shared" ref="P143" si="283">IF(L143&lt;N143,"未達成（"&amp;N143-L143&amp;"）",IF(L143=N143,"達成","前倒し（"&amp;L143-N143&amp;"）"))</f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343</v>
      </c>
      <c r="I144" t="s">
        <v>344</v>
      </c>
      <c r="J144">
        <v>0</v>
      </c>
      <c r="K144">
        <f t="shared" ref="K144" si="284">IF(A144&lt;DATEVALUE("2025/11/20")+TIMEVALUE("6:00"),1,IF(B144-SUM(D144:F144)&lt;&gt;60,0,MAX(2-INT(G144*24*60/10),0)))</f>
        <v>1</v>
      </c>
      <c r="L144">
        <f t="shared" ref="L144" si="285">L143+K144</f>
        <v>146</v>
      </c>
      <c r="M144">
        <f t="shared" ref="M144" si="286">2+IF(A144&gt;=DATEVALUE("2025/11/30")+TIMEVALUE("6:00"),1,0)+IF(A144&gt;=DATEVALUE("2025/12/11")+TIMEVALUE("6:00"),1,0)</f>
        <v>4</v>
      </c>
      <c r="N144">
        <f t="shared" ref="N144" si="287">N143+M144*(INT(A144-6/24)-INT(A143-6/24))+O144</f>
        <v>148</v>
      </c>
      <c r="O144">
        <f t="shared" ref="O144" si="288">IF(A144&gt;=DATEVALUE("2025/11/8")+TIMEVALUE("6:00"),1,0)-IF(A143&gt;=DATEVALUE("2025/11/8")+TIMEVALUE("6:00"),1,0)</f>
        <v>0</v>
      </c>
      <c r="P144" t="str">
        <f t="shared" ref="P144" si="289">IF(L144&lt;N144,"未達成（"&amp;N144-L144&amp;"）",IF(L144=N144,"達成","前倒し（"&amp;L144-N144&amp;"）"))</f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345</v>
      </c>
      <c r="I145" t="s">
        <v>346</v>
      </c>
      <c r="J145">
        <v>0</v>
      </c>
      <c r="K145">
        <f t="shared" ref="K145" si="290">IF(A145&lt;DATEVALUE("2025/11/20")+TIMEVALUE("6:00"),1,IF(B145-SUM(D145:F145)&lt;&gt;60,0,MAX(2-INT(G145*24*60/10),0)))</f>
        <v>2</v>
      </c>
      <c r="L145">
        <f t="shared" ref="L145" si="291">L144+K145</f>
        <v>148</v>
      </c>
      <c r="M145">
        <f t="shared" ref="M145" si="292">2+IF(A145&gt;=DATEVALUE("2025/11/30")+TIMEVALUE("6:00"),1,0)+IF(A145&gt;=DATEVALUE("2025/12/11")+TIMEVALUE("6:00"),1,0)</f>
        <v>4</v>
      </c>
      <c r="N145">
        <f t="shared" ref="N145" si="293">N144+M145*(INT(A145-6/24)-INT(A144-6/24))+O145</f>
        <v>148</v>
      </c>
      <c r="O145">
        <f t="shared" ref="O145" si="294">IF(A145&gt;=DATEVALUE("2025/11/8")+TIMEVALUE("6:00"),1,0)-IF(A144&gt;=DATEVALUE("2025/11/8")+TIMEVALUE("6:00"),1,0)</f>
        <v>0</v>
      </c>
      <c r="P145" t="str">
        <f t="shared" ref="P145" si="295">IF(L145&lt;N145,"未達成（"&amp;N145-L145&amp;"）",IF(L145=N145,"達成","前倒し（"&amp;L145-N145&amp;"）"))</f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347</v>
      </c>
      <c r="I146" t="s">
        <v>348</v>
      </c>
      <c r="J146">
        <v>0</v>
      </c>
      <c r="K146">
        <f t="shared" ref="K146" si="296">IF(A146&lt;DATEVALUE("2025/11/20")+TIMEVALUE("6:00"),1,IF(B146-SUM(D146:F146)&lt;&gt;60,0,MAX(2-INT(G146*24*60/10),0)))</f>
        <v>1</v>
      </c>
      <c r="L146">
        <f t="shared" ref="L146" si="297">L145+K146</f>
        <v>149</v>
      </c>
      <c r="M146">
        <f t="shared" ref="M146" si="298">2+IF(A146&gt;=DATEVALUE("2025/11/30")+TIMEVALUE("6:00"),1,0)+IF(A146&gt;=DATEVALUE("2025/12/11")+TIMEVALUE("6:00"),1,0)</f>
        <v>4</v>
      </c>
      <c r="N146">
        <f t="shared" ref="N146" si="299">N145+M146*(INT(A146-6/24)-INT(A145-6/24))+O146</f>
        <v>152</v>
      </c>
      <c r="O146">
        <f t="shared" ref="O146" si="300">IF(A146&gt;=DATEVALUE("2025/11/8")+TIMEVALUE("6:00"),1,0)-IF(A145&gt;=DATEVALUE("2025/11/8")+TIMEVALUE("6:00"),1,0)</f>
        <v>0</v>
      </c>
      <c r="P146" t="str">
        <f t="shared" ref="P146" si="301">IF(L146&lt;N146,"未達成（"&amp;N146-L146&amp;"）",IF(L146=N146,"達成","前倒し（"&amp;L146-N146&amp;"）"))</f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349</v>
      </c>
      <c r="I147" t="s">
        <v>350</v>
      </c>
      <c r="J147">
        <v>0</v>
      </c>
      <c r="K147">
        <f t="shared" ref="K147" si="302">IF(A147&lt;DATEVALUE("2025/11/20")+TIMEVALUE("6:00"),1,IF(B147-SUM(D147:F147)&lt;&gt;60,0,MAX(2-INT(G147*24*60/10),0)))</f>
        <v>1</v>
      </c>
      <c r="L147">
        <f t="shared" ref="L147" si="303">L146+K147</f>
        <v>150</v>
      </c>
      <c r="M147">
        <f t="shared" ref="M147" si="304">2+IF(A147&gt;=DATEVALUE("2025/11/30")+TIMEVALUE("6:00"),1,0)+IF(A147&gt;=DATEVALUE("2025/12/11")+TIMEVALUE("6:00"),1,0)</f>
        <v>4</v>
      </c>
      <c r="N147">
        <f t="shared" ref="N147" si="305">N146+M147*(INT(A147-6/24)-INT(A146-6/24))+O147</f>
        <v>152</v>
      </c>
      <c r="O147">
        <f t="shared" ref="O147" si="306">IF(A147&gt;=DATEVALUE("2025/11/8")+TIMEVALUE("6:00"),1,0)-IF(A146&gt;=DATEVALUE("2025/11/8")+TIMEVALUE("6:00"),1,0)</f>
        <v>0</v>
      </c>
      <c r="P147" t="str">
        <f t="shared" ref="P147" si="307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351</v>
      </c>
      <c r="I148" t="s">
        <v>352</v>
      </c>
      <c r="J148">
        <v>0</v>
      </c>
      <c r="K148">
        <f t="shared" ref="K148" si="308">IF(A148&lt;DATEVALUE("2025/11/20")+TIMEVALUE("6:00"),1,IF(B148-SUM(D148:F148)&lt;&gt;60,0,MAX(2-INT(G148*24*60/10),0)))</f>
        <v>2</v>
      </c>
      <c r="L148">
        <f t="shared" ref="L148" si="309">L147+K148</f>
        <v>152</v>
      </c>
      <c r="M148">
        <f t="shared" ref="M148" si="310">2+IF(A148&gt;=DATEVALUE("2025/11/30")+TIMEVALUE("6:00"),1,0)+IF(A148&gt;=DATEVALUE("2025/12/11")+TIMEVALUE("6:00"),1,0)</f>
        <v>4</v>
      </c>
      <c r="N148">
        <f t="shared" ref="N148" si="311">N147+M148*(INT(A148-6/24)-INT(A147-6/24))+O148</f>
        <v>152</v>
      </c>
      <c r="O148">
        <f t="shared" ref="O148" si="312">IF(A148&gt;=DATEVALUE("2025/11/8")+TIMEVALUE("6:00"),1,0)-IF(A147&gt;=DATEVALUE("2025/11/8")+TIMEVALUE("6:00"),1,0)</f>
        <v>0</v>
      </c>
      <c r="P148" t="str">
        <f t="shared" ref="P148" si="313">IF(L148&lt;N148,"未達成（"&amp;N148-L148&amp;"）",IF(L148=N148,"達成","前倒し（"&amp;L148-N148&amp;"）"))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46017.30914351852</v>
      </c>
      <c r="D3" s="25"/>
    </row>
    <row r="4" spans="1:4">
      <c r="A4" t="s">
        <v>340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2025-12-25T22:32:54Z</dcterms:modified>
</cp:coreProperties>
</file>
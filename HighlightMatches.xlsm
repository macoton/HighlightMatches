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B0FB0E0F-DCA9-4EE4-B01B-8A4842A6C536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43" i="4" l="1"/>
  <c r="O343" i="4"/>
  <c r="M343" i="4"/>
  <c r="N343" i="4" s="1"/>
  <c r="K343" i="4"/>
  <c r="L343" i="4" s="1"/>
  <c r="P343" i="4" s="1"/>
  <c r="Q342" i="4"/>
  <c r="O342" i="4"/>
  <c r="M342" i="4"/>
  <c r="N342" i="4" s="1"/>
  <c r="K342" i="4"/>
  <c r="L342" i="4" s="1"/>
  <c r="Q341" i="4"/>
  <c r="O341" i="4"/>
  <c r="M341" i="4"/>
  <c r="N341" i="4" s="1"/>
  <c r="K341" i="4"/>
  <c r="L341" i="4" s="1"/>
  <c r="Q340" i="4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42" i="4" l="1"/>
  <c r="P341" i="4"/>
  <c r="P339" i="4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<sst xmlns="http://schemas.openxmlformats.org/spreadsheetml/2006/main" count="763" uniqueCount="742">
  <si>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</si>
  <si>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</si>
  <si>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</si>
  <si>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</si>
  <si>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</si>
  <si>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</si>
  <si>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</si>
  <si>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</si>
  <si>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</si>
  <si>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</si>
  <si>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</si>
  <si>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</si>
  <si>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</si>
  <si>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</si>
  <si>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</si>
  <si>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</si>
  <si>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</si>
  <si>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</si>
  <si>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</si>
  <si>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</si>
  <si>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</si>
  <si>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</si>
  <si>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</si>
  <si>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</si>
  <si>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</si>
  <si>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</si>
  <si>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</si>
  <si>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</si>
  <si>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</si>
  <si>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</si>
  <si>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</si>
  <si>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</si>
  <si>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</si>
  <si>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</si>
  <si>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</si>
  <si>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</si>
  <si>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</si>
  <si>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</si>
  <si>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</si>
  <si>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</si>
  <si>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</si>
  <si>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</si>
  <si>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</si>
  <si>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</si>
  <si>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</si>
  <si>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</si>
  <si>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</si>
  <si>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</si>
  <si>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</si>
  <si>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</si>
  <si>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</si>
  <si>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</si>
  <si>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</si>
  <si>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</si>
  <si>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</si>
  <si>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</si>
  <si>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</si>
  <si>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</si>
  <si>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</si>
  <si>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</si>
  <si>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</si>
  <si>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</si>
  <si>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</si>
  <si>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</si>
  <si>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</si>
  <si>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</si>
  <si>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</si>
  <si>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</si>
  <si>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</si>
  <si>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</si>
  <si>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</si>
  <si>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</si>
  <si>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</si>
  <si>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</si>
  <si>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</si>
  <si>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</si>
  <si>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</si>
  <si>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</si>
  <si>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</si>
  <si>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</si>
  <si>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</si>
  <si>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</si>
  <si>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</si>
  <si>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</si>
  <si>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</si>
  <si>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</si>
  <si>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</si>
  <si>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</si>
  <si>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</si>
  <si>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</si>
  <si>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</si>
  <si>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</si>
  <si>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</si>
  <si>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</si>
  <si>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</si>
  <si>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</si>
  <si>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</si>
  <si>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</si>
  <si>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</si>
  <si>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</si>
  <si>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</si>
  <si>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</si>
  <si>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</si>
  <si>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</si>
  <si>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</si>
  <si>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</si>
  <si>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</si>
  <si>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</si>
  <si>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</si>
  <si>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</si>
  <si>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</si>
  <si>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</si>
  <si>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</si>
  <si>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</si>
  <si>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</si>
  <si>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</si>
  <si>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</si>
  <si>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</si>
  <si>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</si>
  <si>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</si>
  <si>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</si>
  <si>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</si>
  <si>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</si>
  <si>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</si>
  <si>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</si>
  <si>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</si>
  <si>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</si>
  <si>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</si>
  <si>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</si>
  <si>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</si>
  <si>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</si>
  <si>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</si>
  <si>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</si>
  <si>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</si>
  <si>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</si>
  <si>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</si>
  <si>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</si>
  <si>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</si>
  <si>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</si>
  <si>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</si>
  <si>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</si>
  <si>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</si>
  <si>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</si>
  <si>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</si>
  <si>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</si>
  <si>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</si>
  <si>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</si>
  <si>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</si>
  <si>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</si>
  <si>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</si>
  <si>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</si>
  <si>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</si>
  <si>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</si>
  <si>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</si>
  <si>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</si>
  <si>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</si>
  <si>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</si>
  <si>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</si>
  <si>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</si>
  <si>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</si>
  <si>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</si>
  <si>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</si>
  <si>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</si>
  <si>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</si>
  <si>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</si>
  <si>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</si>
  <si>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</si>
  <si>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</si>
  <si>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</si>
  <si>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</si>
  <si>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</si>
  <si>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</si>
  <si>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</si>
  <si>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</si>
  <si>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</si>
  <si>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</si>
  <si>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</si>
  <si>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</si>
  <si>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</si>
  <si>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</si>
  <si>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</si>
  <si>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</si>
  <si>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</si>
  <si>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</si>
  <si>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</si>
  <si>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</si>
  <si>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</si>
  <si>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</si>
  <si>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</si>
  <si>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</si>
  <si>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</si>
  <si>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</si>
  <si>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</si>
  <si>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</si>
  <si>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</si>
  <si>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</si>
  <si>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</si>
  <si>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</si>
  <si>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</si>
  <si>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</si>
  <si>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</si>
  <si>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</si>
  <si>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</si>
  <si>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</si>
  <si>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</si>
  <si>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</si>
  <si>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</si>
  <si>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</si>
  <si>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</si>
  <si>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</si>
  <si>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</si>
  <si>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</si>
  <si>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</si>
  <si>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</si>
  <si>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</si>
  <si>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</si>
  <si>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</si>
  <si>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</si>
  <si>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</si>
  <si>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</si>
  <si>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</si>
  <si>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</si>
  <si>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</si>
  <si>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</si>
  <si>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</si>
  <si>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</si>
  <si>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</si>
  <si>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</si>
  <si>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</si>
  <si>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</si>
  <si>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</si>
  <si>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</si>
  <si>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</si>
  <si>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</si>
  <si>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</si>
  <si>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</si>
  <si>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</si>
  <si>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</si>
  <si>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</si>
  <si>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</si>
  <si>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</si>
  <si>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</si>
  <si>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</si>
  <si>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</si>
  <si>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</si>
  <si>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</si>
  <si>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</si>
  <si>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</si>
  <si>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</si>
  <si>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</si>
  <si>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</si>
  <si>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</si>
  <si>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</si>
  <si>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</si>
  <si>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</si>
  <si>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</si>
  <si>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</si>
  <si>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</si>
  <si>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</si>
  <si>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</si>
  <si>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</si>
  <si>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</si>
  <si>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</si>
  <si>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</si>
  <si>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</si>
  <si>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</si>
  <si>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</si>
  <si>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</si>
  <si>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</si>
  <si>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</si>
  <si>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</si>
  <si>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</si>
  <si>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</si>
  <si>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</si>
  <si>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</si>
  <si>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</si>
  <si>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</si>
  <si>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</si>
  <si>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</si>
  <si>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</si>
  <si>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</si>
  <si>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</si>
  <si>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</si>
  <si>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</si>
  <si>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</si>
  <si>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</si>
  <si>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</si>
  <si>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</si>
  <si>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</si>
  <si>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</si>
  <si>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</si>
  <si>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</si>
  <si>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</si>
  <si>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</si>
  <si>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</si>
  <si>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</si>
  <si>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</si>
  <si>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</si>
  <si>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</si>
  <si>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</si>
  <si>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</si>
  <si>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</si>
  <si>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</si>
  <si>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</si>
  <si>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</si>
  <si>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</si>
  <si>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</si>
  <si>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</si>
  <si>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</si>
  <si>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</si>
  <si>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</si>
  <si>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</si>
  <si>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</si>
  <si>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</si>
  <si>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</si>
  <si>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</si>
  <si>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</si>
  <si>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</si>
  <si>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</si>
  <si>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</si>
  <si>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</si>
  <si>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</si>
  <si>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</si>
  <si>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</si>
  <si>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</si>
  <si>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</si>
  <si>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</si>
  <si>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</si>
  <si>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</si>
  <si>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</si>
  <si>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</si>
  <si>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</si>
  <si>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</si>
  <si>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</si>
  <si>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</si>
  <si>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</si>
  <si>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</si>
  <si>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</si>
  <si>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</si>
  <si>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</si>
  <si>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</si>
  <si>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</si>
  <si>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</si>
  <si>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</si>
  <si>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</si>
  <si>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</si>
  <si>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</si>
  <si>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</si>
  <si>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</si>
  <si>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</si>
  <si>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</si>
  <si>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</si>
  <si>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</si>
  <si>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</si>
  <si>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</si>
  <si>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</si>
  <si>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</si>
  <si>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</si>
  <si>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</si>
  <si>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</si>
  <si>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</si>
  <si>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</si>
  <si>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</si>
  <si>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</si>
  <si>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</si>
  <si>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</si>
  <si>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</si>
  <si>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</si>
  <si>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</si>
  <si>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</si>
  <si>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</si>
  <si>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</si>
  <si>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</si>
  <si>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</si>
  <si>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</si>
  <si>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</si>
  <si>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</si>
  <si>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</si>
  <si>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</si>
  <si>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</si>
  <si>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</si>
  <si>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</si>
  <si>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</si>
  <si>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</si>
  <si>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</si>
  <si>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</si>
  <si>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</si>
  <si>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</si>
  <si>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</si>
  <si>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</si>
  <si>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</si>
  <si>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</si>
  <si>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</si>
  <si>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</si>
  <si>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</si>
  <si>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</si>
  <si>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</si>
  <si>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</si>
  <si>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</si>
  <si>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</si>
  <si>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</si>
  <si>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</si>
  <si>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</si>
  <si>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</si>
  <si>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</si>
  <si>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</si>
  <si>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</si>
  <si>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</si>
  <si>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</si>
  <si>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</si>
  <si>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</si>
  <si>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</si>
  <si>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</si>
  <si>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</si>
  <si>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</si>
  <si>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</si>
  <si>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</si>
  <si>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</si>
  <si>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</si>
  <si>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</si>
  <si>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</si>
  <si>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</si>
  <si>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</si>
  <si>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</si>
  <si>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</si>
  <si>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</si>
  <si>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</si>
  <si>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</si>
  <si>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</si>
  <si>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</si>
  <si>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</si>
  <si>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</si>
  <si>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</si>
  <si>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</si>
  <si>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</si>
  <si>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</si>
  <si>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</si>
  <si>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</si>
  <si>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</si>
  <si>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</si>
  <si>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</si>
  <si>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</si>
  <si>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</si>
  <si>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</si>
  <si>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</si>
  <si>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</si>
  <si>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</si>
  <si>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</si>
  <si>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</si>
  <si>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</si>
  <si>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</si>
  <si>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</si>
  <si>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</si>
  <si>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</si>
  <si>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</si>
  <si>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</si>
  <si>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</si>
  <si>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</si>
  <si>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</si>
  <si>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</si>
  <si>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</si>
  <si>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</si>
  <si>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</si>
  <si>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</si>
  <si>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</si>
  <si>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</si>
  <si>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</si>
  <si>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</si>
  <si>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</si>
  <si>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</si>
  <si>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</si>
  <si>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</si>
  <si>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</si>
  <si>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</si>
  <si>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</si>
  <si>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</si>
  <si>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</si>
  <si>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</si>
  <si>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</si>
  <si>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</si>
  <si>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</si>
  <si>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</si>
  <si>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</si>
  <si>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</si>
  <si>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</si>
  <si>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</si>
  <si>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</si>
  <si>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</si>
  <si>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</si>
  <si>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</si>
  <si>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</si>
  <si>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</si>
  <si>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</si>
  <si>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</si>
  <si>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</si>
  <si>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</si>
  <si>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</si>
  <si>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</si>
  <si>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</si>
  <si>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</si>
  <si>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</si>
  <si>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</si>
  <si>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</si>
  <si>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</si>
  <si>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</si>
  <si>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</si>
  <si>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</si>
  <si>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</si>
  <si>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</si>
  <si>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</si>
  <si>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</si>
  <si>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</si>
  <si>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</si>
  <si>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</si>
  <si>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</si>
  <si>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</si>
  <si>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</si>
  <si>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</si>
  <si>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</si>
  <si>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</si>
  <si>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</si>
  <si>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</si>
  <si>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</si>
  <si>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</si>
  <si>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</si>
  <si>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</si>
  <si>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</si>
  <si>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</si>
  <si>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</si>
  <si>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</si>
  <si>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</si>
  <si>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</si>
  <si>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</si>
  <si>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</si>
  <si>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</si>
  <si>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</si>
  <si>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</si>
  <si>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</si>
  <si>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</si>
  <si>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</si>
  <si>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</si>
  <si>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</si>
  <si>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</si>
  <si>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</si>
  <si>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</si>
  <si>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</si>
  <si>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</si>
  <si>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</si>
  <si>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</si>
  <si>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</si>
  <si>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</si>
  <si>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</si>
  <si>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</si>
  <si>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</si>
  <si>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</si>
  <si>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</si>
  <si>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</si>
  <si>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</si>
  <si>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</si>
  <si>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</si>
  <si>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</si>
  <si>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</si>
  <si>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</si>
  <si>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</si>
  <si>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</si>
  <si>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</si>
  <si>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</si>
  <si>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</si>
  <si>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</si>
  <si>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</si>
  <si>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</si>
  <si>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</si>
  <si>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</si>
  <si>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</si>
  <si>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</si>
  <si>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</si>
  <si>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</si>
  <si>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</si>
  <si>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</si>
  <si>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</si>
  <si>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</si>
  <si>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</si>
  <si>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</si>
  <si>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</si>
  <si>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</si>
  <si>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</si>
  <si>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</si>
  <si>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</si>
  <si>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</si>
  <si>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</si>
  <si>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</si>
  <si>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</si>
  <si>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</si>
  <si>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</si>
  <si>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</si>
  <si>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</si>
  <si>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</si>
  <si>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</si>
  <si>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</si>
  <si>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</si>
  <si>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</si>
  <si>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</si>
  <si>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</si>
  <si>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</si>
  <si>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</si>
  <si>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</si>
  <si>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</si>
  <si>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</si>
  <si>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</si>
  <si>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</si>
  <si>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</si>
  <si>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</si>
  <si>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</si>
  <si>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</si>
  <si>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</si>
  <si>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</si>
  <si>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</si>
  <si>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</si>
  <si>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</si>
  <si>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</si>
  <si>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</si>
  <si>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</si>
  <si>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</si>
  <si>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</si>
  <si>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</si>
  <si>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</si>
  <si>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</si>
  <si>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</si>
  <si>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</si>
  <si>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</si>
  <si>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</si>
  <si>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</si>
  <si>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</si>
  <si>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</si>
  <si>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</si>
  <si>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</si>
  <si>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</si>
  <si>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</si>
  <si>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</si>
  <si>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</si>
  <si>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</si>
  <si>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</si>
  <si>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</si>
  <si>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</si>
  <si>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</si>
  <si>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</si>
  <si>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</si>
  <si>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</si>
  <si>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</si>
  <si>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</si>
  <si>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</si>
  <si>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</si>
  <si>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</si>
  <si>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</si>
  <si>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</si>
  <si>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</si>
  <si>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</si>
  <si>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</si>
  <si>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</si>
  <si>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</si>
  <si>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</si>
  <si>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</si>
  <si>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</si>
  <si>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</si>
  <si>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</si>
  <si>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</si>
  <si>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</si>
  <si>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</si>
  <si>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</si>
  <si>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</si>
  <si>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</si>
  <si>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</si>
  <si>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</si>
  <si>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</si>
  <si>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</si>
  <si>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</si>
  <si>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</si>
  <si>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</si>
  <si>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</si>
  <si>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</si>
  <si>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</si>
  <si>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</si>
  <si>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</si>
  <si>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</si>
  <si>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</si>
  <si>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</si>
  <si>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</si>
  <si>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</si>
  <si>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</si>
  <si>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</si>
  <si>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</si>
  <si>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</si>
  <si>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</si>
  <si>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</si>
  <si>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</si>
  <si>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</si>
  <si>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</si>
  <si>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</si>
  <si>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</si>
  <si>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</si>
  <si>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</si>
  <si>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</si>
  <si>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</si>
  <si>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</si>
  <si>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</si>
  <si>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</si>
  <si>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</si>
  <si>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</si>
  <si>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</si>
  <si>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</si>
  <si>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</si>
  <si>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</si>
  <si>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</si>
  <si>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</si>
  <si>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</si>
  <si>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</si>
  <si>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</si>
  <si>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</si>
  <si>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</si>
  <si>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</si>
  <si>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</si>
  <si>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</si>
  <si>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</si>
  <si>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</si>
  <si>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</si>
  <si>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</si>
  <si>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</si>
  <si>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</si>
  <si>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</si>
  <si>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</si>
  <si>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</si>
  <si>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</si>
  <si>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</si>
  <si>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</si>
  <si>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</si>
  <si>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</si>
  <si>
    <t>(8,*6,*2,*8,*1,*9,*4,*3,8,4,*4,*8),(2,5,1,1,4,1,9,5,3,1,*1,*6),(8,*4,1,5,9,2,7,1,4,9,*5,*8),(8,*6,4,*3,*9,*1,*2,*1,3,2,*8,*3),(*3,*5,*3,*8,*5,*4,*9,5,1,*1,3,*5),(7,4,4,*3,*9,*4,*5,1,1,*2,7,3),(*8,*4,*8,5,2,2,*2,9,6,*6,8,1),(4,*7,8,*1,3,*3,3,8,1,*8,4,5),(7,*8,*6,5,*8,4,8,7,6,*1,7,1),(5,*4,4,*7,1,*6,*2,*3,1,*1,8,3),(6,1,*5,8,9,9,9,8,6,*3,5,8),(3,8,8,6,7,8,8,8,8,8,6,8)</t>
  </si>
  <si>
    <t>86835,326,23875,848,12193,59,3118621,4158,458353,5493,46,16,6281943,67,487</t>
  </si>
  <si>
    <t>(4,2,*5,*7,*5,*6,*4,5,4,9,6,*8),(2,8,1,1,*9,3,6,*3,*8,*8,7,*3),(*3,*8,*5,*4,*6,*4,2,4,1,1,6,*6),(*5,5,9,4,7,*3,6,6,1,3,8,*9),(*1,3,9,1,*6,3,3,1,3,5,8,*8),(*2,4,8,*3,9,3,*9,4,4,4,6,*6),(*5,7,*1,5,3,4,2,*3,5,5,9,6),(*2,*5,*3,*8,*6,*2,*5,*2,*9,7,7,1),(*1,1,5,4,6,1,*1,*6,6,1,6,9),(3,*7,*7,1,3,*2,9,*2,8,8,5,4),(9,8,5,9,*1,4,5,8,*5,2,8,7),(5,1,8,*1,*7,*2,*1,*1,2,*9,5,9)</t>
  </si>
  <si>
    <t>1211,77,1252153,57564,51363,94,939,836986,1127,61,3862529,883,85464,952,71</t>
  </si>
  <si>
    <t>(1,5,1,3,*7,*3,*7,*4,*2,*8,2,4),(7,8,*3,*6,4,*1,5,7,5,8,3,5),(7,2,7,*2,*7,9,*4,2,*6,8,4,7),(2,3,3,5,*2,6,4,*2,4,*1,9,4),(*6,*4,*8,*3,5,*4,*7,6,*1,4,*2,7),(3,*8,9,3,2,*7,*8,*9,7,*8,*9,*6),(5,2,6,2,*7,9,3,*7,9,3,*8,8),(4,5,5,*5,*7,*4,9,5,*3,5,*4,2),(6,6,*6,*1,*9,*3,4,1,9,6,*8,3),(2,*4,*2,8,1,*2,6,2,5,8,*8,8),(*8,*1,7,5,1,9,*2,9,1,1,1,8),(*9,2,3,4,7,1,*6,*5,*7,*8,*5,9)</t>
  </si>
  <si>
    <t>67,216,8848,86,14218,698,43,3224873,71219,2295,824737,384,79,65785,7775648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</si>
</sst>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データ!$A$3:$A$343</c:f>
              <c:numCache>
                <c:formatCode>m/d/yyyy\ h:mm</c:formatCode>
                <c:ptCount val="34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</c:numCache>
            </c:numRef>
          </c:xVal>
          <c:yVal>
            <c:numRef>
              <c:f>データ!$B$3:$B$343</c:f>
              <c:numCache>
                <c:formatCode>General</c:formatCode>
                <c:ptCount val="34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18-435B-A489-0BDDFA9B2B8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F18-435B-A489-0BDDFA9B2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165872"/>
        <c:axId val="13411749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データ!$A$3:$A$343</c:f>
              <c:numCache>
                <c:formatCode>m/d/yyyy\ h:mm</c:formatCode>
                <c:ptCount val="34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</c:numCache>
            </c:numRef>
          </c:xVal>
          <c:yVal>
            <c:numRef>
              <c:f>データ!$Q$3:$Q$343</c:f>
              <c:numCache>
                <c:formatCode>[h]:mm</c:formatCode>
                <c:ptCount val="34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  <c:pt idx="338" formatCode="General">
                  <c:v>7.9398148154723458E-3</c:v>
                </c:pt>
                <c:pt idx="339" formatCode="General">
                  <c:v>6.956018514756579E-3</c:v>
                </c:pt>
                <c:pt idx="340" formatCode="General">
                  <c:v>5.914351851970423E-3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18-435B-A489-0BDDFA9B2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174032"/>
        <c:axId val="1341161552"/>
      </c:scatterChart>
      <c:valAx>
        <c:axId val="134116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174992"/>
        <c:crosses val="autoZero"/>
        <c:crossBetween val="midCat"/>
      </c:valAx>
      <c:valAx>
        <c:axId val="134117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165872"/>
        <c:crosses val="autoZero"/>
        <c:crossBetween val="midCat"/>
      </c:valAx>
      <c:valAx>
        <c:axId val="134116155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174032"/>
        <c:crosses val="max"/>
        <c:crossBetween val="midCat"/>
      </c:valAx>
      <c:valAx>
        <c:axId val="134117403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16155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2445" name="Match0">
          <a:extLst>
            <a:ext uri="{FF2B5EF4-FFF2-40B4-BE49-F238E27FC236}">
              <a16:creationId xmlns:a16="http://schemas.microsoft.com/office/drawing/2014/main" id="{18C47836-933B-8544-B9D1-8DFAD495A778}"/>
            </a:ext>
          </a:extLst>
        </xdr:cNvPr>
        <xdr:cNvCxnSpPr/>
      </xdr:nvCxnSpPr>
      <xdr:spPr>
        <a:xfrm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2446" name="Match1">
          <a:extLst>
            <a:ext uri="{FF2B5EF4-FFF2-40B4-BE49-F238E27FC236}">
              <a16:creationId xmlns:a16="http://schemas.microsoft.com/office/drawing/2014/main" id="{51FF491E-24D1-CE92-006D-BD3EAE1D1CA7}"/>
            </a:ext>
          </a:extLst>
        </xdr:cNvPr>
        <xdr:cNvCxnSpPr/>
      </xdr:nvCxnSpPr>
      <xdr:spPr>
        <a:xfrm flipH="1">
          <a:off x="10850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0</xdr:row>
      <xdr:rowOff>229394</xdr:rowOff>
    </xdr:from>
    <xdr:to>
      <xdr:col>4</xdr:col>
      <xdr:colOff>262731</xdr:colOff>
      <xdr:row>1</xdr:row>
      <xdr:rowOff>229393</xdr:rowOff>
    </xdr:to>
    <xdr:cxnSp macro="">
      <xdr:nvCxnSpPr>
        <xdr:cNvPr id="2447" name="Match2">
          <a:extLst>
            <a:ext uri="{FF2B5EF4-FFF2-40B4-BE49-F238E27FC236}">
              <a16:creationId xmlns:a16="http://schemas.microsoft.com/office/drawing/2014/main" id="{419A594F-DCAC-0B24-74E1-FA516ADCABB2}"/>
            </a:ext>
          </a:extLst>
        </xdr:cNvPr>
        <xdr:cNvCxnSpPr/>
      </xdr:nvCxnSpPr>
      <xdr:spPr>
        <a:xfrm flipV="1">
          <a:off x="1534319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2448" name="Match3">
          <a:extLst>
            <a:ext uri="{FF2B5EF4-FFF2-40B4-BE49-F238E27FC236}">
              <a16:creationId xmlns:a16="http://schemas.microsoft.com/office/drawing/2014/main" id="{1E210300-BC18-6B7F-C582-21129794C58B}"/>
            </a:ext>
          </a:extLst>
        </xdr:cNvPr>
        <xdr:cNvCxnSpPr/>
      </xdr:nvCxnSpPr>
      <xdr:spPr>
        <a:xfrm flipH="1" flipV="1"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2449" name="Match4">
          <a:extLst>
            <a:ext uri="{FF2B5EF4-FFF2-40B4-BE49-F238E27FC236}">
              <a16:creationId xmlns:a16="http://schemas.microsoft.com/office/drawing/2014/main" id="{A27AAB6B-4BFE-B176-5BBD-BF7B09484897}"/>
            </a:ext>
          </a:extLst>
        </xdr:cNvPr>
        <xdr:cNvCxnSpPr/>
      </xdr:nvCxnSpPr>
      <xdr:spPr>
        <a:xfrm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3</xdr:row>
      <xdr:rowOff>203993</xdr:rowOff>
    </xdr:to>
    <xdr:cxnSp macro="">
      <xdr:nvCxnSpPr>
        <xdr:cNvPr id="2450" name="Match5">
          <a:extLst>
            <a:ext uri="{FF2B5EF4-FFF2-40B4-BE49-F238E27FC236}">
              <a16:creationId xmlns:a16="http://schemas.microsoft.com/office/drawing/2014/main" id="{F633DE8E-6A21-30CC-46E7-DD2E62512BA3}"/>
            </a:ext>
          </a:extLst>
        </xdr:cNvPr>
        <xdr:cNvCxnSpPr/>
      </xdr:nvCxnSpPr>
      <xdr:spPr>
        <a:xfrm flipH="1" flipV="1">
          <a:off x="193278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2451" name="Match6">
          <a:extLst>
            <a:ext uri="{FF2B5EF4-FFF2-40B4-BE49-F238E27FC236}">
              <a16:creationId xmlns:a16="http://schemas.microsoft.com/office/drawing/2014/main" id="{94087C82-0467-866D-4723-D6B25F7151BC}"/>
            </a:ext>
          </a:extLst>
        </xdr:cNvPr>
        <xdr:cNvCxnSpPr/>
      </xdr:nvCxnSpPr>
      <xdr:spPr>
        <a:xfrm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4</xdr:row>
      <xdr:rowOff>203994</xdr:rowOff>
    </xdr:to>
    <xdr:cxnSp macro="">
      <xdr:nvCxnSpPr>
        <xdr:cNvPr id="2452" name="Match7">
          <a:extLst>
            <a:ext uri="{FF2B5EF4-FFF2-40B4-BE49-F238E27FC236}">
              <a16:creationId xmlns:a16="http://schemas.microsoft.com/office/drawing/2014/main" id="{1A7241FB-71B8-8246-2442-30E3791CFED1}"/>
            </a:ext>
          </a:extLst>
        </xdr:cNvPr>
        <xdr:cNvCxnSpPr/>
      </xdr:nvCxnSpPr>
      <xdr:spPr>
        <a:xfrm flipH="1">
          <a:off x="278050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2453" name="Match8">
          <a:extLst>
            <a:ext uri="{FF2B5EF4-FFF2-40B4-BE49-F238E27FC236}">
              <a16:creationId xmlns:a16="http://schemas.microsoft.com/office/drawing/2014/main" id="{F726F990-969D-8BD3-CC53-E9A95D725586}"/>
            </a:ext>
          </a:extLst>
        </xdr:cNvPr>
        <xdr:cNvCxnSpPr/>
      </xdr:nvCxnSpPr>
      <xdr:spPr>
        <a:xfrm flipV="1">
          <a:off x="487441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2454" name="Match9">
          <a:extLst>
            <a:ext uri="{FF2B5EF4-FFF2-40B4-BE49-F238E27FC236}">
              <a16:creationId xmlns:a16="http://schemas.microsoft.com/office/drawing/2014/main" id="{38328C0F-2E9B-87F6-9DDE-EE4EBB8457FB}"/>
            </a:ext>
          </a:extLst>
        </xdr:cNvPr>
        <xdr:cNvCxnSpPr/>
      </xdr:nvCxnSpPr>
      <xdr:spPr>
        <a:xfrm flipH="1" flipV="1">
          <a:off x="3602831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2455" name="Match10">
          <a:extLst>
            <a:ext uri="{FF2B5EF4-FFF2-40B4-BE49-F238E27FC236}">
              <a16:creationId xmlns:a16="http://schemas.microsoft.com/office/drawing/2014/main" id="{433EFB3E-A50F-ABD7-197F-C8D18EFA258B}"/>
            </a:ext>
          </a:extLst>
        </xdr:cNvPr>
        <xdr:cNvCxnSpPr/>
      </xdr:nvCxnSpPr>
      <xdr:spPr>
        <a:xfrm flipV="1">
          <a:off x="4450556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2456" name="Match11">
          <a:extLst>
            <a:ext uri="{FF2B5EF4-FFF2-40B4-BE49-F238E27FC236}">
              <a16:creationId xmlns:a16="http://schemas.microsoft.com/office/drawing/2014/main" id="{04B15B12-7388-6440-9ED3-5A553275E442}"/>
            </a:ext>
          </a:extLst>
        </xdr:cNvPr>
        <xdr:cNvCxnSpPr/>
      </xdr:nvCxnSpPr>
      <xdr:spPr>
        <a:xfrm flipH="1"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2457" name="Match12">
          <a:extLst>
            <a:ext uri="{FF2B5EF4-FFF2-40B4-BE49-F238E27FC236}">
              <a16:creationId xmlns:a16="http://schemas.microsoft.com/office/drawing/2014/main" id="{12869B02-AA7E-3C01-16FB-B6F0BD0E8A2C}"/>
            </a:ext>
          </a:extLst>
        </xdr:cNvPr>
        <xdr:cNvCxnSpPr/>
      </xdr:nvCxnSpPr>
      <xdr:spPr>
        <a:xfrm flipH="1"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458" name="Match13">
          <a:extLst>
            <a:ext uri="{FF2B5EF4-FFF2-40B4-BE49-F238E27FC236}">
              <a16:creationId xmlns:a16="http://schemas.microsoft.com/office/drawing/2014/main" id="{2C90AD80-1A23-C974-74B9-BC77F2E9A0C0}"/>
            </a:ext>
          </a:extLst>
        </xdr:cNvPr>
        <xdr:cNvCxnSpPr/>
      </xdr:nvCxnSpPr>
      <xdr:spPr>
        <a:xfrm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2459" name="Match14">
          <a:extLst>
            <a:ext uri="{FF2B5EF4-FFF2-40B4-BE49-F238E27FC236}">
              <a16:creationId xmlns:a16="http://schemas.microsoft.com/office/drawing/2014/main" id="{C1CAB3F7-AE01-E5A6-0261-70AA8403A69D}"/>
            </a:ext>
          </a:extLst>
        </xdr:cNvPr>
        <xdr:cNvCxnSpPr/>
      </xdr:nvCxnSpPr>
      <xdr:spPr>
        <a:xfrm flipH="1" flipV="1">
          <a:off x="2373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2460" name="Match15">
          <a:extLst>
            <a:ext uri="{FF2B5EF4-FFF2-40B4-BE49-F238E27FC236}">
              <a16:creationId xmlns:a16="http://schemas.microsoft.com/office/drawing/2014/main" id="{175BA12B-BF3D-972B-4E98-ADD248E4E86A}"/>
            </a:ext>
          </a:extLst>
        </xdr:cNvPr>
        <xdr:cNvCxnSpPr/>
      </xdr:nvCxnSpPr>
      <xdr:spPr>
        <a:xfrm flipV="1"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2461" name="Match16">
          <a:extLst>
            <a:ext uri="{FF2B5EF4-FFF2-40B4-BE49-F238E27FC236}">
              <a16:creationId xmlns:a16="http://schemas.microsoft.com/office/drawing/2014/main" id="{D2861B12-23F8-85A2-01F8-86DB81254DFA}"/>
            </a:ext>
          </a:extLst>
        </xdr:cNvPr>
        <xdr:cNvCxnSpPr/>
      </xdr:nvCxnSpPr>
      <xdr:spPr>
        <a:xfrm flipV="1"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2462" name="Match17">
          <a:extLst>
            <a:ext uri="{FF2B5EF4-FFF2-40B4-BE49-F238E27FC236}">
              <a16:creationId xmlns:a16="http://schemas.microsoft.com/office/drawing/2014/main" id="{4CDB175D-3BCB-550F-731D-2930D323D196}"/>
            </a:ext>
          </a:extLst>
        </xdr:cNvPr>
        <xdr:cNvCxnSpPr/>
      </xdr:nvCxnSpPr>
      <xdr:spPr>
        <a:xfrm flipV="1">
          <a:off x="48744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2463" name="Match18">
          <a:extLst>
            <a:ext uri="{FF2B5EF4-FFF2-40B4-BE49-F238E27FC236}">
              <a16:creationId xmlns:a16="http://schemas.microsoft.com/office/drawing/2014/main" id="{31CB0DA8-0D64-2DC7-92C0-27BDE7256D06}"/>
            </a:ext>
          </a:extLst>
        </xdr:cNvPr>
        <xdr:cNvCxnSpPr/>
      </xdr:nvCxnSpPr>
      <xdr:spPr>
        <a:xfrm flipH="1"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2464" name="Match19">
          <a:extLst>
            <a:ext uri="{FF2B5EF4-FFF2-40B4-BE49-F238E27FC236}">
              <a16:creationId xmlns:a16="http://schemas.microsoft.com/office/drawing/2014/main" id="{704E2C77-8F08-B014-3B4F-2550BD00C360}"/>
            </a:ext>
          </a:extLst>
        </xdr:cNvPr>
        <xdr:cNvCxnSpPr/>
      </xdr:nvCxnSpPr>
      <xdr:spPr>
        <a:xfrm flipH="1" flipV="1"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2465" name="Match20">
          <a:extLst>
            <a:ext uri="{FF2B5EF4-FFF2-40B4-BE49-F238E27FC236}">
              <a16:creationId xmlns:a16="http://schemas.microsoft.com/office/drawing/2014/main" id="{FC7E8EED-98EC-404B-B18F-6C3463E4B1A8}"/>
            </a:ext>
          </a:extLst>
        </xdr:cNvPr>
        <xdr:cNvCxnSpPr/>
      </xdr:nvCxnSpPr>
      <xdr:spPr>
        <a:xfrm flipV="1">
          <a:off x="40266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2466" name="Match21">
          <a:extLst>
            <a:ext uri="{FF2B5EF4-FFF2-40B4-BE49-F238E27FC236}">
              <a16:creationId xmlns:a16="http://schemas.microsoft.com/office/drawing/2014/main" id="{67189BF7-DC43-CE3B-5485-97C0AC807359}"/>
            </a:ext>
          </a:extLst>
        </xdr:cNvPr>
        <xdr:cNvCxnSpPr/>
      </xdr:nvCxnSpPr>
      <xdr:spPr>
        <a:xfrm flipH="1" flipV="1"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2467" name="Match22">
          <a:extLst>
            <a:ext uri="{FF2B5EF4-FFF2-40B4-BE49-F238E27FC236}">
              <a16:creationId xmlns:a16="http://schemas.microsoft.com/office/drawing/2014/main" id="{5495D27D-1736-2A39-943D-58E08E66B545}"/>
            </a:ext>
          </a:extLst>
        </xdr:cNvPr>
        <xdr:cNvCxnSpPr/>
      </xdr:nvCxnSpPr>
      <xdr:spPr>
        <a:xfrm>
          <a:off x="2331244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11</xdr:col>
      <xdr:colOff>237331</xdr:colOff>
      <xdr:row>5</xdr:row>
      <xdr:rowOff>203993</xdr:rowOff>
    </xdr:to>
    <xdr:cxnSp macro="">
      <xdr:nvCxnSpPr>
        <xdr:cNvPr id="2468" name="Match23">
          <a:extLst>
            <a:ext uri="{FF2B5EF4-FFF2-40B4-BE49-F238E27FC236}">
              <a16:creationId xmlns:a16="http://schemas.microsoft.com/office/drawing/2014/main" id="{99B1BC0C-0ADD-1F93-5A4F-AD9E5C690A49}"/>
            </a:ext>
          </a:extLst>
        </xdr:cNvPr>
        <xdr:cNvCxnSpPr/>
      </xdr:nvCxnSpPr>
      <xdr:spPr>
        <a:xfrm flipH="1">
          <a:off x="4052094" y="1989931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2469" name="Match24">
          <a:extLst>
            <a:ext uri="{FF2B5EF4-FFF2-40B4-BE49-F238E27FC236}">
              <a16:creationId xmlns:a16="http://schemas.microsoft.com/office/drawing/2014/main" id="{3CC4AD35-FD9F-AA42-B76B-F12E51A95AA6}"/>
            </a:ext>
          </a:extLst>
        </xdr:cNvPr>
        <xdr:cNvCxnSpPr/>
      </xdr:nvCxnSpPr>
      <xdr:spPr>
        <a:xfrm flipV="1">
          <a:off x="1059656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2470" name="Match25">
          <a:extLst>
            <a:ext uri="{FF2B5EF4-FFF2-40B4-BE49-F238E27FC236}">
              <a16:creationId xmlns:a16="http://schemas.microsoft.com/office/drawing/2014/main" id="{27C11956-A994-1B8D-A2F0-913DC0F14C9F}"/>
            </a:ext>
          </a:extLst>
        </xdr:cNvPr>
        <xdr:cNvCxnSpPr/>
      </xdr:nvCxnSpPr>
      <xdr:spPr>
        <a:xfrm flipH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2471" name="Match26">
          <a:extLst>
            <a:ext uri="{FF2B5EF4-FFF2-40B4-BE49-F238E27FC236}">
              <a16:creationId xmlns:a16="http://schemas.microsoft.com/office/drawing/2014/main" id="{0EA390A8-ACDA-B0D7-591D-5C240BE9EFA8}"/>
            </a:ext>
          </a:extLst>
        </xdr:cNvPr>
        <xdr:cNvCxnSpPr/>
      </xdr:nvCxnSpPr>
      <xdr:spPr>
        <a:xfrm flipH="1"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2472" name="Match27">
          <a:extLst>
            <a:ext uri="{FF2B5EF4-FFF2-40B4-BE49-F238E27FC236}">
              <a16:creationId xmlns:a16="http://schemas.microsoft.com/office/drawing/2014/main" id="{466BA5EB-8A6A-68A5-E5D5-008057EE9130}"/>
            </a:ext>
          </a:extLst>
        </xdr:cNvPr>
        <xdr:cNvCxnSpPr/>
      </xdr:nvCxnSpPr>
      <xdr:spPr>
        <a:xfrm flipV="1">
          <a:off x="193278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2473" name="Match28">
          <a:extLst>
            <a:ext uri="{FF2B5EF4-FFF2-40B4-BE49-F238E27FC236}">
              <a16:creationId xmlns:a16="http://schemas.microsoft.com/office/drawing/2014/main" id="{9A676A5F-0F0E-0FAC-7927-D880943A0A8D}"/>
            </a:ext>
          </a:extLst>
        </xdr:cNvPr>
        <xdr:cNvCxnSpPr/>
      </xdr:nvCxnSpPr>
      <xdr:spPr>
        <a:xfrm flipV="1"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2474" name="Match29">
          <a:extLst>
            <a:ext uri="{FF2B5EF4-FFF2-40B4-BE49-F238E27FC236}">
              <a16:creationId xmlns:a16="http://schemas.microsoft.com/office/drawing/2014/main" id="{B7FB9EB1-17C8-8C3A-C300-17934C399B65}"/>
            </a:ext>
          </a:extLst>
        </xdr:cNvPr>
        <xdr:cNvCxnSpPr/>
      </xdr:nvCxnSpPr>
      <xdr:spPr>
        <a:xfrm flipH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2475" name="Match30">
          <a:extLst>
            <a:ext uri="{FF2B5EF4-FFF2-40B4-BE49-F238E27FC236}">
              <a16:creationId xmlns:a16="http://schemas.microsoft.com/office/drawing/2014/main" id="{A55A2F74-E9A8-F154-F493-8E550F2D5EFB}"/>
            </a:ext>
          </a:extLst>
        </xdr:cNvPr>
        <xdr:cNvCxnSpPr/>
      </xdr:nvCxnSpPr>
      <xdr:spPr>
        <a:xfrm flipV="1">
          <a:off x="66119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3</xdr:row>
      <xdr:rowOff>229393</xdr:rowOff>
    </xdr:from>
    <xdr:to>
      <xdr:col>2</xdr:col>
      <xdr:colOff>262731</xdr:colOff>
      <xdr:row>4</xdr:row>
      <xdr:rowOff>229394</xdr:rowOff>
    </xdr:to>
    <xdr:cxnSp macro="">
      <xdr:nvCxnSpPr>
        <xdr:cNvPr id="2476" name="Match31">
          <a:extLst>
            <a:ext uri="{FF2B5EF4-FFF2-40B4-BE49-F238E27FC236}">
              <a16:creationId xmlns:a16="http://schemas.microsoft.com/office/drawing/2014/main" id="{EA99D835-18A4-775A-3FEB-EBBB16B94358}"/>
            </a:ext>
          </a:extLst>
        </xdr:cNvPr>
        <xdr:cNvCxnSpPr/>
      </xdr:nvCxnSpPr>
      <xdr:spPr>
        <a:xfrm flipV="1">
          <a:off x="68659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2477" name="Match32">
          <a:extLst>
            <a:ext uri="{FF2B5EF4-FFF2-40B4-BE49-F238E27FC236}">
              <a16:creationId xmlns:a16="http://schemas.microsoft.com/office/drawing/2014/main" id="{BCF5DD70-3A23-B652-12F5-2CEDE54D0A8A}"/>
            </a:ext>
          </a:extLst>
        </xdr:cNvPr>
        <xdr:cNvCxnSpPr/>
      </xdr:nvCxnSpPr>
      <xdr:spPr>
        <a:xfrm>
          <a:off x="233124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2478" name="Match33">
          <a:extLst>
            <a:ext uri="{FF2B5EF4-FFF2-40B4-BE49-F238E27FC236}">
              <a16:creationId xmlns:a16="http://schemas.microsoft.com/office/drawing/2014/main" id="{60A6DE0D-FF4C-4881-2CA4-42CC24B56855}"/>
            </a:ext>
          </a:extLst>
        </xdr:cNvPr>
        <xdr:cNvCxnSpPr/>
      </xdr:nvCxnSpPr>
      <xdr:spPr>
        <a:xfrm flipV="1"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2479" name="Match34">
          <a:extLst>
            <a:ext uri="{FF2B5EF4-FFF2-40B4-BE49-F238E27FC236}">
              <a16:creationId xmlns:a16="http://schemas.microsoft.com/office/drawing/2014/main" id="{14EE861B-A8CA-E546-74B7-B204C081C683}"/>
            </a:ext>
          </a:extLst>
        </xdr:cNvPr>
        <xdr:cNvCxnSpPr/>
      </xdr:nvCxnSpPr>
      <xdr:spPr>
        <a:xfrm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2480" name="Match35">
          <a:extLst>
            <a:ext uri="{FF2B5EF4-FFF2-40B4-BE49-F238E27FC236}">
              <a16:creationId xmlns:a16="http://schemas.microsoft.com/office/drawing/2014/main" id="{D0830D01-5EC8-B39A-F96F-AE95BA2929E6}"/>
            </a:ext>
          </a:extLst>
        </xdr:cNvPr>
        <xdr:cNvCxnSpPr/>
      </xdr:nvCxnSpPr>
      <xdr:spPr>
        <a:xfrm flipH="1" flipV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2481" name="Match36">
          <a:extLst>
            <a:ext uri="{FF2B5EF4-FFF2-40B4-BE49-F238E27FC236}">
              <a16:creationId xmlns:a16="http://schemas.microsoft.com/office/drawing/2014/main" id="{7D4EA742-C404-0A88-D596-491BC69756FA}"/>
            </a:ext>
          </a:extLst>
        </xdr:cNvPr>
        <xdr:cNvCxnSpPr/>
      </xdr:nvCxnSpPr>
      <xdr:spPr>
        <a:xfrm flipH="1">
          <a:off x="233124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2482" name="Match37">
          <a:extLst>
            <a:ext uri="{FF2B5EF4-FFF2-40B4-BE49-F238E27FC236}">
              <a16:creationId xmlns:a16="http://schemas.microsoft.com/office/drawing/2014/main" id="{F2E404EA-87D5-1FB5-CB3D-D8DE82285100}"/>
            </a:ext>
          </a:extLst>
        </xdr:cNvPr>
        <xdr:cNvCxnSpPr/>
      </xdr:nvCxnSpPr>
      <xdr:spPr>
        <a:xfrm flipH="1">
          <a:off x="10596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2483" name="Match38">
          <a:extLst>
            <a:ext uri="{FF2B5EF4-FFF2-40B4-BE49-F238E27FC236}">
              <a16:creationId xmlns:a16="http://schemas.microsoft.com/office/drawing/2014/main" id="{63B4E7D5-F5B2-A0B0-1E6A-804B71E8AD5F}"/>
            </a:ext>
          </a:extLst>
        </xdr:cNvPr>
        <xdr:cNvCxnSpPr/>
      </xdr:nvCxnSpPr>
      <xdr:spPr>
        <a:xfrm>
          <a:off x="1059656" y="53578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2484" name="Match39">
          <a:extLst>
            <a:ext uri="{FF2B5EF4-FFF2-40B4-BE49-F238E27FC236}">
              <a16:creationId xmlns:a16="http://schemas.microsoft.com/office/drawing/2014/main" id="{21E59E61-624B-7CA6-B002-026A1018C708}"/>
            </a:ext>
          </a:extLst>
        </xdr:cNvPr>
        <xdr:cNvCxnSpPr/>
      </xdr:nvCxnSpPr>
      <xdr:spPr>
        <a:xfrm flipH="1">
          <a:off x="211931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2485" name="Match40">
          <a:extLst>
            <a:ext uri="{FF2B5EF4-FFF2-40B4-BE49-F238E27FC236}">
              <a16:creationId xmlns:a16="http://schemas.microsoft.com/office/drawing/2014/main" id="{E1907819-0275-021F-4DA8-3493F9446D20}"/>
            </a:ext>
          </a:extLst>
        </xdr:cNvPr>
        <xdr:cNvCxnSpPr/>
      </xdr:nvCxnSpPr>
      <xdr:spPr>
        <a:xfrm flipH="1" flipV="1">
          <a:off x="1483519" y="267890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2486" name="Match41">
          <a:extLst>
            <a:ext uri="{FF2B5EF4-FFF2-40B4-BE49-F238E27FC236}">
              <a16:creationId xmlns:a16="http://schemas.microsoft.com/office/drawing/2014/main" id="{5C448DB2-B0FC-F4DA-2DDD-9D29B6476BF6}"/>
            </a:ext>
          </a:extLst>
        </xdr:cNvPr>
        <xdr:cNvCxnSpPr/>
      </xdr:nvCxnSpPr>
      <xdr:spPr>
        <a:xfrm flipV="1">
          <a:off x="2780506" y="2704306"/>
          <a:ext cx="1271588" cy="1071563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2541" name="Match42">
          <a:extLst>
            <a:ext uri="{FF2B5EF4-FFF2-40B4-BE49-F238E27FC236}">
              <a16:creationId xmlns:a16="http://schemas.microsoft.com/office/drawing/2014/main" id="{ADDC988F-4519-19F5-BF57-CB3D9AA66815}"/>
            </a:ext>
          </a:extLst>
        </xdr:cNvPr>
        <xdr:cNvCxnSpPr/>
      </xdr:nvCxnSpPr>
      <xdr:spPr>
        <a:xfrm flipH="1">
          <a:off x="1907381" y="178594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2542" name="Match43">
          <a:extLst>
            <a:ext uri="{FF2B5EF4-FFF2-40B4-BE49-F238E27FC236}">
              <a16:creationId xmlns:a16="http://schemas.microsoft.com/office/drawing/2014/main" id="{D5F5FB48-D369-2BD4-E43A-A7C9B58B1A61}"/>
            </a:ext>
          </a:extLst>
        </xdr:cNvPr>
        <xdr:cNvCxnSpPr/>
      </xdr:nvCxnSpPr>
      <xdr:spPr>
        <a:xfrm flipH="1">
          <a:off x="36028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2543" name="Match44">
          <a:extLst>
            <a:ext uri="{FF2B5EF4-FFF2-40B4-BE49-F238E27FC236}">
              <a16:creationId xmlns:a16="http://schemas.microsoft.com/office/drawing/2014/main" id="{CFD95470-F7FB-C744-13C1-506DA4E22C03}"/>
            </a:ext>
          </a:extLst>
        </xdr:cNvPr>
        <xdr:cNvCxnSpPr/>
      </xdr:nvCxnSpPr>
      <xdr:spPr>
        <a:xfrm flipH="1">
          <a:off x="635794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2544" name="Match45">
          <a:extLst>
            <a:ext uri="{FF2B5EF4-FFF2-40B4-BE49-F238E27FC236}">
              <a16:creationId xmlns:a16="http://schemas.microsoft.com/office/drawing/2014/main" id="{828178E3-4C74-8728-A0DB-212488E8489E}"/>
            </a:ext>
          </a:extLst>
        </xdr:cNvPr>
        <xdr:cNvCxnSpPr/>
      </xdr:nvCxnSpPr>
      <xdr:spPr>
        <a:xfrm flipV="1">
          <a:off x="4026694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2545" name="Match46">
          <a:extLst>
            <a:ext uri="{FF2B5EF4-FFF2-40B4-BE49-F238E27FC236}">
              <a16:creationId xmlns:a16="http://schemas.microsoft.com/office/drawing/2014/main" id="{8C1AADC7-CED4-DB57-BF52-55A517DCCEBC}"/>
            </a:ext>
          </a:extLst>
        </xdr:cNvPr>
        <xdr:cNvCxnSpPr/>
      </xdr:nvCxnSpPr>
      <xdr:spPr>
        <a:xfrm>
          <a:off x="190738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2546" name="Match47">
          <a:extLst>
            <a:ext uri="{FF2B5EF4-FFF2-40B4-BE49-F238E27FC236}">
              <a16:creationId xmlns:a16="http://schemas.microsoft.com/office/drawing/2014/main" id="{E0756B29-3995-34CF-A87A-6126CF2CF355}"/>
            </a:ext>
          </a:extLst>
        </xdr:cNvPr>
        <xdr:cNvCxnSpPr/>
      </xdr:nvCxnSpPr>
      <xdr:spPr>
        <a:xfrm flipH="1"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2547" name="Match48">
          <a:extLst>
            <a:ext uri="{FF2B5EF4-FFF2-40B4-BE49-F238E27FC236}">
              <a16:creationId xmlns:a16="http://schemas.microsoft.com/office/drawing/2014/main" id="{D8CD2DD4-491C-4177-5433-C3CEE409AF48}"/>
            </a:ext>
          </a:extLst>
        </xdr:cNvPr>
        <xdr:cNvCxnSpPr/>
      </xdr:nvCxnSpPr>
      <xdr:spPr>
        <a:xfrm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2548" name="Match49">
          <a:extLst>
            <a:ext uri="{FF2B5EF4-FFF2-40B4-BE49-F238E27FC236}">
              <a16:creationId xmlns:a16="http://schemas.microsoft.com/office/drawing/2014/main" id="{73307D43-5DC0-27DF-F1C7-2970E0A088CD}"/>
            </a:ext>
          </a:extLst>
        </xdr:cNvPr>
        <xdr:cNvCxnSpPr/>
      </xdr:nvCxnSpPr>
      <xdr:spPr>
        <a:xfrm flipH="1"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3</xdr:row>
      <xdr:rowOff>203993</xdr:rowOff>
    </xdr:from>
    <xdr:to>
      <xdr:col>11</xdr:col>
      <xdr:colOff>237331</xdr:colOff>
      <xdr:row>4</xdr:row>
      <xdr:rowOff>203994</xdr:rowOff>
    </xdr:to>
    <xdr:cxnSp macro="">
      <xdr:nvCxnSpPr>
        <xdr:cNvPr id="2549" name="Match50">
          <a:extLst>
            <a:ext uri="{FF2B5EF4-FFF2-40B4-BE49-F238E27FC236}">
              <a16:creationId xmlns:a16="http://schemas.microsoft.com/office/drawing/2014/main" id="{9FDE356C-5C1E-3E25-BD0B-8890B1EAA986}"/>
            </a:ext>
          </a:extLst>
        </xdr:cNvPr>
        <xdr:cNvCxnSpPr/>
      </xdr:nvCxnSpPr>
      <xdr:spPr>
        <a:xfrm flipH="1" flipV="1">
          <a:off x="447595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2550" name="Match51">
          <a:extLst>
            <a:ext uri="{FF2B5EF4-FFF2-40B4-BE49-F238E27FC236}">
              <a16:creationId xmlns:a16="http://schemas.microsoft.com/office/drawing/2014/main" id="{3D8DC324-272C-FD04-091C-A327D361D3CC}"/>
            </a:ext>
          </a:extLst>
        </xdr:cNvPr>
        <xdr:cNvCxnSpPr/>
      </xdr:nvCxnSpPr>
      <xdr:spPr>
        <a:xfrm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2551" name="Match52">
          <a:extLst>
            <a:ext uri="{FF2B5EF4-FFF2-40B4-BE49-F238E27FC236}">
              <a16:creationId xmlns:a16="http://schemas.microsoft.com/office/drawing/2014/main" id="{B0DFC5F5-2CFA-9F51-C67F-A3ADE002FABA}"/>
            </a:ext>
          </a:extLst>
        </xdr:cNvPr>
        <xdr:cNvCxnSpPr/>
      </xdr:nvCxnSpPr>
      <xdr:spPr>
        <a:xfrm>
          <a:off x="36028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8</xdr:col>
      <xdr:colOff>237331</xdr:colOff>
      <xdr:row>5</xdr:row>
      <xdr:rowOff>203993</xdr:rowOff>
    </xdr:to>
    <xdr:cxnSp macro="">
      <xdr:nvCxnSpPr>
        <xdr:cNvPr id="2552" name="Match53">
          <a:extLst>
            <a:ext uri="{FF2B5EF4-FFF2-40B4-BE49-F238E27FC236}">
              <a16:creationId xmlns:a16="http://schemas.microsoft.com/office/drawing/2014/main" id="{EEEAA4E9-B30C-A147-FF23-75AE0C69CB16}"/>
            </a:ext>
          </a:extLst>
        </xdr:cNvPr>
        <xdr:cNvCxnSpPr/>
      </xdr:nvCxnSpPr>
      <xdr:spPr>
        <a:xfrm flipH="1">
          <a:off x="3204369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2553" name="Match54">
          <a:extLst>
            <a:ext uri="{FF2B5EF4-FFF2-40B4-BE49-F238E27FC236}">
              <a16:creationId xmlns:a16="http://schemas.microsoft.com/office/drawing/2014/main" id="{E95566A7-A0DA-C9D9-2E5C-821E5DC5A326}"/>
            </a:ext>
          </a:extLst>
        </xdr:cNvPr>
        <xdr:cNvCxnSpPr/>
      </xdr:nvCxnSpPr>
      <xdr:spPr>
        <a:xfrm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2554" name="Match55">
          <a:extLst>
            <a:ext uri="{FF2B5EF4-FFF2-40B4-BE49-F238E27FC236}">
              <a16:creationId xmlns:a16="http://schemas.microsoft.com/office/drawing/2014/main" id="{782AB5E4-7320-B27C-BD2E-5DFC62C80A58}"/>
            </a:ext>
          </a:extLst>
        </xdr:cNvPr>
        <xdr:cNvCxnSpPr/>
      </xdr:nvCxnSpPr>
      <xdr:spPr>
        <a:xfrm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2555" name="Match56">
          <a:extLst>
            <a:ext uri="{FF2B5EF4-FFF2-40B4-BE49-F238E27FC236}">
              <a16:creationId xmlns:a16="http://schemas.microsoft.com/office/drawing/2014/main" id="{4481E623-9F67-4A8B-32F8-CE9ED6F3805D}"/>
            </a:ext>
          </a:extLst>
        </xdr:cNvPr>
        <xdr:cNvCxnSpPr/>
      </xdr:nvCxnSpPr>
      <xdr:spPr>
        <a:xfrm flipH="1">
          <a:off x="278050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5</xdr:row>
      <xdr:rowOff>229393</xdr:rowOff>
    </xdr:from>
    <xdr:to>
      <xdr:col>7</xdr:col>
      <xdr:colOff>262731</xdr:colOff>
      <xdr:row>6</xdr:row>
      <xdr:rowOff>229394</xdr:rowOff>
    </xdr:to>
    <xdr:cxnSp macro="">
      <xdr:nvCxnSpPr>
        <xdr:cNvPr id="2556" name="Match57">
          <a:extLst>
            <a:ext uri="{FF2B5EF4-FFF2-40B4-BE49-F238E27FC236}">
              <a16:creationId xmlns:a16="http://schemas.microsoft.com/office/drawing/2014/main" id="{432CFF05-AB18-E1B9-4E90-BC90019DBEB2}"/>
            </a:ext>
          </a:extLst>
        </xdr:cNvPr>
        <xdr:cNvCxnSpPr/>
      </xdr:nvCxnSpPr>
      <xdr:spPr>
        <a:xfrm flipV="1">
          <a:off x="3229769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4</xdr:col>
      <xdr:colOff>237331</xdr:colOff>
      <xdr:row>8</xdr:row>
      <xdr:rowOff>203994</xdr:rowOff>
    </xdr:to>
    <xdr:cxnSp macro="">
      <xdr:nvCxnSpPr>
        <xdr:cNvPr id="2557" name="Match58">
          <a:extLst>
            <a:ext uri="{FF2B5EF4-FFF2-40B4-BE49-F238E27FC236}">
              <a16:creationId xmlns:a16="http://schemas.microsoft.com/office/drawing/2014/main" id="{979C2ADC-5496-BC84-CEBD-D78567129211}"/>
            </a:ext>
          </a:extLst>
        </xdr:cNvPr>
        <xdr:cNvCxnSpPr/>
      </xdr:nvCxnSpPr>
      <xdr:spPr>
        <a:xfrm>
          <a:off x="1932781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6</xdr:row>
      <xdr:rowOff>229394</xdr:rowOff>
    </xdr:from>
    <xdr:to>
      <xdr:col>5</xdr:col>
      <xdr:colOff>262731</xdr:colOff>
      <xdr:row>7</xdr:row>
      <xdr:rowOff>229393</xdr:rowOff>
    </xdr:to>
    <xdr:cxnSp macro="">
      <xdr:nvCxnSpPr>
        <xdr:cNvPr id="2558" name="Match59">
          <a:extLst>
            <a:ext uri="{FF2B5EF4-FFF2-40B4-BE49-F238E27FC236}">
              <a16:creationId xmlns:a16="http://schemas.microsoft.com/office/drawing/2014/main" id="{8C0BD7BD-B6EE-7754-19C7-526BD9F85B63}"/>
            </a:ext>
          </a:extLst>
        </xdr:cNvPr>
        <xdr:cNvCxnSpPr/>
      </xdr:nvCxnSpPr>
      <xdr:spPr>
        <a:xfrm flipV="1">
          <a:off x="1958181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2559" name="Match60">
          <a:extLst>
            <a:ext uri="{FF2B5EF4-FFF2-40B4-BE49-F238E27FC236}">
              <a16:creationId xmlns:a16="http://schemas.microsoft.com/office/drawing/2014/main" id="{DCA61D98-7FA8-418D-49B6-C55664816F39}"/>
            </a:ext>
          </a:extLst>
        </xdr:cNvPr>
        <xdr:cNvCxnSpPr/>
      </xdr:nvCxnSpPr>
      <xdr:spPr>
        <a:xfrm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2560" name="Match61">
          <a:extLst>
            <a:ext uri="{FF2B5EF4-FFF2-40B4-BE49-F238E27FC236}">
              <a16:creationId xmlns:a16="http://schemas.microsoft.com/office/drawing/2014/main" id="{3566E15F-D745-B800-BE60-98B0FACE5251}"/>
            </a:ext>
          </a:extLst>
        </xdr:cNvPr>
        <xdr:cNvCxnSpPr/>
      </xdr:nvCxnSpPr>
      <xdr:spPr>
        <a:xfrm flipH="1" flipV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2561" name="Match62">
          <a:extLst>
            <a:ext uri="{FF2B5EF4-FFF2-40B4-BE49-F238E27FC236}">
              <a16:creationId xmlns:a16="http://schemas.microsoft.com/office/drawing/2014/main" id="{575B1BF2-619F-489F-06D8-A2955756B602}"/>
            </a:ext>
          </a:extLst>
        </xdr:cNvPr>
        <xdr:cNvCxnSpPr/>
      </xdr:nvCxnSpPr>
      <xdr:spPr>
        <a:xfrm>
          <a:off x="2755106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6</xdr:col>
      <xdr:colOff>237331</xdr:colOff>
      <xdr:row>10</xdr:row>
      <xdr:rowOff>203994</xdr:rowOff>
    </xdr:to>
    <xdr:cxnSp macro="">
      <xdr:nvCxnSpPr>
        <xdr:cNvPr id="2562" name="Match63">
          <a:extLst>
            <a:ext uri="{FF2B5EF4-FFF2-40B4-BE49-F238E27FC236}">
              <a16:creationId xmlns:a16="http://schemas.microsoft.com/office/drawing/2014/main" id="{5983511C-E8E9-BFD7-12DB-BCB9CF75DAFC}"/>
            </a:ext>
          </a:extLst>
        </xdr:cNvPr>
        <xdr:cNvCxnSpPr/>
      </xdr:nvCxnSpPr>
      <xdr:spPr>
        <a:xfrm flipH="1">
          <a:off x="237331" y="1632744"/>
          <a:ext cx="2543175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DF4E7B-BFA3-8145-ACC9-D634D2025B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11" sqref="A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1</v>
      </c>
      <c r="B1" s="27">
        <v>5</v>
      </c>
      <c r="C1" s="27">
        <v>1</v>
      </c>
      <c r="D1" s="23">
        <v>3</v>
      </c>
      <c r="E1" s="22">
        <v>7</v>
      </c>
      <c r="F1" s="22">
        <v>3</v>
      </c>
      <c r="G1" s="22">
        <v>7</v>
      </c>
      <c r="H1" s="22">
        <v>4</v>
      </c>
      <c r="I1" s="22">
        <v>2</v>
      </c>
      <c r="J1" s="22">
        <v>8</v>
      </c>
      <c r="K1" s="27">
        <v>2</v>
      </c>
      <c r="L1" s="23">
        <v>4</v>
      </c>
      <c r="N1" s="2">
        <v>67</v>
      </c>
      <c r="O1" s="1">
        <v>9</v>
      </c>
    </row>
    <row r="2" spans="1:15" s="2" customFormat="1" ht="28.25" customHeight="1">
      <c r="A2" s="27">
        <v>7</v>
      </c>
      <c r="B2" s="27">
        <v>8</v>
      </c>
      <c r="C2" s="22">
        <v>3</v>
      </c>
      <c r="D2" s="22">
        <v>6</v>
      </c>
      <c r="E2" s="23">
        <v>4</v>
      </c>
      <c r="F2" s="22">
        <v>1</v>
      </c>
      <c r="G2" s="27">
        <v>5</v>
      </c>
      <c r="H2" s="23">
        <v>7</v>
      </c>
      <c r="I2" s="27">
        <v>5</v>
      </c>
      <c r="J2" s="23">
        <v>8</v>
      </c>
      <c r="K2" s="23">
        <v>3</v>
      </c>
      <c r="L2" s="27">
        <v>5</v>
      </c>
      <c r="N2" s="2">
        <v>216</v>
      </c>
      <c r="O2" s="2">
        <v>1</v>
      </c>
    </row>
    <row r="3" spans="1:15" ht="28.25" customHeight="1">
      <c r="A3" s="27">
        <v>7</v>
      </c>
      <c r="B3" s="27">
        <v>2</v>
      </c>
      <c r="C3" s="23">
        <v>7</v>
      </c>
      <c r="D3" s="22">
        <v>2</v>
      </c>
      <c r="E3" s="22">
        <v>7</v>
      </c>
      <c r="F3" s="23">
        <v>9</v>
      </c>
      <c r="G3" s="22">
        <v>4</v>
      </c>
      <c r="H3" s="27">
        <v>2</v>
      </c>
      <c r="I3" s="22">
        <v>6</v>
      </c>
      <c r="J3" s="23">
        <v>8</v>
      </c>
      <c r="K3" s="23">
        <v>4</v>
      </c>
      <c r="L3" s="23">
        <v>7</v>
      </c>
      <c r="N3" s="2">
        <v>8848</v>
      </c>
      <c r="O3" s="1">
        <v>1</v>
      </c>
    </row>
    <row r="4" spans="1:15" ht="28.25" customHeight="1">
      <c r="A4" s="27">
        <v>2</v>
      </c>
      <c r="B4" s="23">
        <v>3</v>
      </c>
      <c r="C4" s="23">
        <v>3</v>
      </c>
      <c r="D4" s="27">
        <v>5</v>
      </c>
      <c r="E4" s="22">
        <v>2</v>
      </c>
      <c r="F4" s="23">
        <v>6</v>
      </c>
      <c r="G4" s="27">
        <v>4</v>
      </c>
      <c r="H4" s="22">
        <v>2</v>
      </c>
      <c r="I4" s="23">
        <v>4</v>
      </c>
      <c r="J4" s="22">
        <v>1</v>
      </c>
      <c r="K4" s="23">
        <v>9</v>
      </c>
      <c r="L4" s="27">
        <v>4</v>
      </c>
      <c r="N4" s="2">
        <v>86</v>
      </c>
      <c r="O4" s="1">
        <v>11</v>
      </c>
    </row>
    <row r="5" spans="1:15" ht="28.25" customHeight="1">
      <c r="A5" s="22">
        <v>6</v>
      </c>
      <c r="B5" s="22">
        <v>4</v>
      </c>
      <c r="C5" s="22">
        <v>8</v>
      </c>
      <c r="D5" s="22">
        <v>3</v>
      </c>
      <c r="E5" s="27">
        <v>5</v>
      </c>
      <c r="F5" s="22">
        <v>4</v>
      </c>
      <c r="G5" s="22">
        <v>7</v>
      </c>
      <c r="H5" s="23">
        <v>6</v>
      </c>
      <c r="I5" s="22">
        <v>1</v>
      </c>
      <c r="J5" s="23">
        <v>4</v>
      </c>
      <c r="K5" s="22">
        <v>2</v>
      </c>
      <c r="L5" s="23">
        <v>7</v>
      </c>
      <c r="N5" s="2">
        <v>14218</v>
      </c>
      <c r="O5" s="1">
        <v>1</v>
      </c>
    </row>
    <row r="6" spans="1:15" ht="28.25" customHeight="1">
      <c r="A6" s="23">
        <v>3</v>
      </c>
      <c r="B6" s="22">
        <v>8</v>
      </c>
      <c r="C6" s="23">
        <v>9</v>
      </c>
      <c r="D6" s="27">
        <v>3</v>
      </c>
      <c r="E6" s="27">
        <v>2</v>
      </c>
      <c r="F6" s="22">
        <v>7</v>
      </c>
      <c r="G6" s="22">
        <v>8</v>
      </c>
      <c r="H6" s="22">
        <v>9</v>
      </c>
      <c r="I6" s="23">
        <v>7</v>
      </c>
      <c r="J6" s="22">
        <v>8</v>
      </c>
      <c r="K6" s="22">
        <v>9</v>
      </c>
      <c r="L6" s="22">
        <v>6</v>
      </c>
      <c r="N6" s="2">
        <v>698</v>
      </c>
      <c r="O6" s="1">
        <v>2</v>
      </c>
    </row>
    <row r="7" spans="1:15" ht="28.25" customHeight="1">
      <c r="A7" s="27">
        <v>5</v>
      </c>
      <c r="B7" s="27">
        <v>2</v>
      </c>
      <c r="C7" s="23">
        <v>6</v>
      </c>
      <c r="D7" s="27">
        <v>2</v>
      </c>
      <c r="E7" s="22">
        <v>7</v>
      </c>
      <c r="F7" s="23">
        <v>9</v>
      </c>
      <c r="G7" s="23">
        <v>3</v>
      </c>
      <c r="H7" s="22">
        <v>7</v>
      </c>
      <c r="I7" s="23">
        <v>9</v>
      </c>
      <c r="J7" s="23">
        <v>3</v>
      </c>
      <c r="K7" s="22">
        <v>8</v>
      </c>
      <c r="L7" s="23">
        <v>8</v>
      </c>
      <c r="N7" s="2">
        <v>43</v>
      </c>
      <c r="O7" s="1">
        <v>13</v>
      </c>
    </row>
    <row r="8" spans="1:15" ht="28.25" customHeight="1">
      <c r="A8" s="27">
        <v>4</v>
      </c>
      <c r="B8" s="27">
        <v>5</v>
      </c>
      <c r="C8" s="27">
        <v>5</v>
      </c>
      <c r="D8" s="22">
        <v>5</v>
      </c>
      <c r="E8" s="22">
        <v>7</v>
      </c>
      <c r="F8" s="22">
        <v>4</v>
      </c>
      <c r="G8" s="23">
        <v>9</v>
      </c>
      <c r="H8" s="27">
        <v>5</v>
      </c>
      <c r="I8" s="22">
        <v>3</v>
      </c>
      <c r="J8" s="23">
        <v>5</v>
      </c>
      <c r="K8" s="22">
        <v>4</v>
      </c>
      <c r="L8" s="27">
        <v>2</v>
      </c>
      <c r="N8" s="2">
        <v>3224873</v>
      </c>
      <c r="O8" s="1">
        <v>1</v>
      </c>
    </row>
    <row r="9" spans="1:15" ht="28.25" customHeight="1">
      <c r="A9" s="27">
        <v>6</v>
      </c>
      <c r="B9" s="27">
        <v>6</v>
      </c>
      <c r="C9" s="22">
        <v>6</v>
      </c>
      <c r="D9" s="22">
        <v>1</v>
      </c>
      <c r="E9" s="22">
        <v>9</v>
      </c>
      <c r="F9" s="22">
        <v>3</v>
      </c>
      <c r="G9" s="23">
        <v>4</v>
      </c>
      <c r="H9" s="27">
        <v>1</v>
      </c>
      <c r="I9" s="23">
        <v>9</v>
      </c>
      <c r="J9" s="23">
        <v>6</v>
      </c>
      <c r="K9" s="22">
        <v>8</v>
      </c>
      <c r="L9" s="23">
        <v>3</v>
      </c>
      <c r="N9" s="2">
        <v>71219</v>
      </c>
      <c r="O9" s="1">
        <v>1</v>
      </c>
    </row>
    <row r="10" spans="1:15" ht="28.25" customHeight="1">
      <c r="A10" s="27">
        <v>2</v>
      </c>
      <c r="B10" s="22">
        <v>4</v>
      </c>
      <c r="C10" s="22">
        <v>2</v>
      </c>
      <c r="D10" s="23">
        <v>8</v>
      </c>
      <c r="E10" s="27">
        <v>1</v>
      </c>
      <c r="F10" s="22">
        <v>2</v>
      </c>
      <c r="G10" s="27">
        <v>6</v>
      </c>
      <c r="H10" s="23">
        <v>2</v>
      </c>
      <c r="I10" s="27">
        <v>5</v>
      </c>
      <c r="J10" s="23">
        <v>8</v>
      </c>
      <c r="K10" s="22">
        <v>8</v>
      </c>
      <c r="L10" s="27">
        <v>8</v>
      </c>
      <c r="N10" s="2">
        <v>2295</v>
      </c>
      <c r="O10" s="1">
        <v>2</v>
      </c>
    </row>
    <row r="11" spans="1:15" ht="28.25" customHeight="1">
      <c r="A11" s="22">
        <v>8</v>
      </c>
      <c r="B11" s="22">
        <v>1</v>
      </c>
      <c r="C11" s="27">
        <v>7</v>
      </c>
      <c r="D11" s="27">
        <v>5</v>
      </c>
      <c r="E11" s="27">
        <v>1</v>
      </c>
      <c r="F11" s="23">
        <v>9</v>
      </c>
      <c r="G11" s="22">
        <v>2</v>
      </c>
      <c r="H11" s="23">
        <v>9</v>
      </c>
      <c r="I11" s="27">
        <v>1</v>
      </c>
      <c r="J11" s="27">
        <v>1</v>
      </c>
      <c r="K11" s="27">
        <v>1</v>
      </c>
      <c r="L11" s="27">
        <v>8</v>
      </c>
      <c r="N11" s="2">
        <v>824737</v>
      </c>
      <c r="O11" s="1">
        <v>1</v>
      </c>
    </row>
    <row r="12" spans="1:15" ht="28.25" customHeight="1">
      <c r="A12" s="22">
        <v>9</v>
      </c>
      <c r="B12" s="27">
        <v>2</v>
      </c>
      <c r="C12" s="23">
        <v>3</v>
      </c>
      <c r="D12" s="23">
        <v>4</v>
      </c>
      <c r="E12" s="23">
        <v>7</v>
      </c>
      <c r="F12" s="27">
        <v>1</v>
      </c>
      <c r="G12" s="22">
        <v>6</v>
      </c>
      <c r="H12" s="22">
        <v>5</v>
      </c>
      <c r="I12" s="22">
        <v>7</v>
      </c>
      <c r="J12" s="22">
        <v>8</v>
      </c>
      <c r="K12" s="22">
        <v>5</v>
      </c>
      <c r="L12" s="27">
        <v>9</v>
      </c>
      <c r="N12" s="2">
        <v>384</v>
      </c>
      <c r="O12" s="1">
        <v>3</v>
      </c>
    </row>
    <row r="13" spans="1:15" ht="28.25" customHeight="1">
      <c r="N13" s="2">
        <v>79</v>
      </c>
      <c r="O13" s="1">
        <v>16</v>
      </c>
    </row>
    <row r="14" spans="1:15" ht="28.25" customHeight="1">
      <c r="N14" s="2">
        <v>65785</v>
      </c>
      <c r="O14" s="1">
        <v>1</v>
      </c>
    </row>
    <row r="15" spans="1:15" ht="28.25" customHeight="1">
      <c r="N15" s="2">
        <v>7775648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43"/>
  <sheetViews>
    <sheetView tabSelected="1" zoomScaleNormal="100" workbookViewId="0">
      <pane ySplit="2" topLeftCell="A338" activePane="bottomLeft" state="frozen"/>
      <selection pane="bottomLeft" activeCell="A343" sqref="A34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  <row r="341" spans="1:17">
      <c r="A341" s="3">
        <v>46088.298182870371</v>
      </c>
      <c r="B341">
        <v>60</v>
      </c>
      <c r="C341">
        <v>15</v>
      </c>
      <c r="D341">
        <v>0</v>
      </c>
      <c r="E341">
        <v>0</v>
      </c>
      <c r="F341">
        <v>0</v>
      </c>
      <c r="G341" s="5">
        <v>7.9398148154723458E-3</v>
      </c>
      <c r="H341" t="s">
        <v>736</v>
      </c>
      <c r="I341" t="s">
        <v>737</v>
      </c>
      <c r="J341">
        <v>0</v>
      </c>
      <c r="K341">
        <f t="shared" ref="K341" si="1000">IF(A341&lt;DATEVALUE("2025/11/20")+TIMEVALUE("6:00"),1,IF(OR(B341&lt;&gt;60,SUM(D341:F341)&lt;&gt;0,G341&gt;=IF(A341&lt;DATEVALUE("2025/12/28")+TIMEVALUE("6:00"),20,18)/24/60),0,2-INT(G341*24*60/10)))</f>
        <v>1</v>
      </c>
      <c r="L341">
        <f t="shared" ref="L341" si="1001">L340+K341</f>
        <v>426</v>
      </c>
      <c r="M341">
        <f t="shared" ref="M341" si="1002">2+IF(A341&gt;=DATEVALUE("2025/11/30")+TIMEVALUE("6:00"),1,0)+IF(A341&gt;=DATEVALUE("2025/12/11")+TIMEVALUE("6:00"),1,0)</f>
        <v>4</v>
      </c>
      <c r="N341">
        <f t="shared" ref="N341" si="1003">N340+M341*(INT(A341-6/24)-INT(A340-6/24))+O341</f>
        <v>440</v>
      </c>
      <c r="O341">
        <f t="shared" ref="O341" si="1004">IF(A341&gt;=DATEVALUE("2025/11/8")+TIMEVALUE("6:00"),1,0)-IF(A340&gt;=DATEVALUE("2025/11/8")+TIMEVALUE("6:00"),1,0)
+IF(A341&gt;=DATEVALUE("2026/1/22")+TIMEVALUE("6:00"),3,0)-IF(A340&gt;=DATEVALUE("2026/1/22")+TIMEVALUE("6:00"),3,0)
+IF(A341&gt;=DATEVALUE("2026/2/21")+TIMEVALUE("6:00"),1,0)-IF(A340&gt;=DATEVALUE("2026/2/21")+TIMEVALUE("6:00"),1,0)</f>
        <v>0</v>
      </c>
      <c r="P341" t="str">
        <f t="shared" ref="P341" si="1005">IF(L341&lt;N341,"未達成（"&amp;N341-L341&amp;"）",IF(L341=N341,"達成","前倒し（"&amp;L341-N341&amp;"）"))</f>
        <v>未達成（14）</v>
      </c>
      <c r="Q341">
        <f t="shared" ref="Q341" si="1006">IF(B341="",NA(),G341)</f>
        <v>7.9398148154723458E-3</v>
      </c>
    </row>
    <row r="342" spans="1:17">
      <c r="A342" s="3">
        <v>46088.306388888886</v>
      </c>
      <c r="B342">
        <v>60</v>
      </c>
      <c r="C342">
        <v>11</v>
      </c>
      <c r="D342">
        <v>0</v>
      </c>
      <c r="E342">
        <v>0</v>
      </c>
      <c r="F342">
        <v>0</v>
      </c>
      <c r="G342" s="5">
        <v>6.956018514756579E-3</v>
      </c>
      <c r="H342" t="s">
        <v>738</v>
      </c>
      <c r="I342" t="s">
        <v>739</v>
      </c>
      <c r="J342">
        <v>0</v>
      </c>
      <c r="K342">
        <f t="shared" ref="K342" si="1007">IF(A342&lt;DATEVALUE("2025/11/20")+TIMEVALUE("6:00"),1,IF(OR(B342&lt;&gt;60,SUM(D342:F342)&lt;&gt;0,G342&gt;=IF(A342&lt;DATEVALUE("2025/12/28")+TIMEVALUE("6:00"),20,18)/24/60),0,2-INT(G342*24*60/10)))</f>
        <v>1</v>
      </c>
      <c r="L342">
        <f t="shared" ref="L342" si="1008">L341+K342</f>
        <v>427</v>
      </c>
      <c r="M342">
        <f t="shared" ref="M342" si="1009">2+IF(A342&gt;=DATEVALUE("2025/11/30")+TIMEVALUE("6:00"),1,0)+IF(A342&gt;=DATEVALUE("2025/12/11")+TIMEVALUE("6:00"),1,0)</f>
        <v>4</v>
      </c>
      <c r="N342">
        <f t="shared" ref="N342" si="1010">N341+M342*(INT(A342-6/24)-INT(A341-6/24))+O342</f>
        <v>440</v>
      </c>
      <c r="O342">
        <f t="shared" ref="O342" si="1011">IF(A342&gt;=DATEVALUE("2025/11/8")+TIMEVALUE("6:00"),1,0)-IF(A341&gt;=DATEVALUE("2025/11/8")+TIMEVALUE("6:00"),1,0)
+IF(A342&gt;=DATEVALUE("2026/1/22")+TIMEVALUE("6:00"),3,0)-IF(A341&gt;=DATEVALUE("2026/1/22")+TIMEVALUE("6:00"),3,0)
+IF(A342&gt;=DATEVALUE("2026/2/21")+TIMEVALUE("6:00"),1,0)-IF(A341&gt;=DATEVALUE("2026/2/21")+TIMEVALUE("6:00"),1,0)</f>
        <v>0</v>
      </c>
      <c r="P342" t="str">
        <f t="shared" ref="P342" si="1012">IF(L342&lt;N342,"未達成（"&amp;N342-L342&amp;"）",IF(L342=N342,"達成","前倒し（"&amp;L342-N342&amp;"）"))</f>
        <v>未達成（13）</v>
      </c>
      <c r="Q342">
        <f t="shared" ref="Q342" si="1013">IF(B342="",NA(),G342)</f>
        <v>6.956018514756579E-3</v>
      </c>
    </row>
    <row r="343" spans="1:17">
      <c r="A343" s="3">
        <v>46088.312905092593</v>
      </c>
      <c r="B343">
        <v>60</v>
      </c>
      <c r="C343">
        <v>8</v>
      </c>
      <c r="D343">
        <v>0</v>
      </c>
      <c r="E343">
        <v>0</v>
      </c>
      <c r="F343">
        <v>0</v>
      </c>
      <c r="G343" s="5">
        <v>5.914351851970423E-3</v>
      </c>
      <c r="H343" t="s">
        <v>740</v>
      </c>
      <c r="I343" t="s">
        <v>741</v>
      </c>
      <c r="J343">
        <v>0</v>
      </c>
      <c r="K343">
        <f t="shared" ref="K343" si="1014">IF(A343&lt;DATEVALUE("2025/11/20")+TIMEVALUE("6:00"),1,IF(OR(B343&lt;&gt;60,SUM(D343:F343)&lt;&gt;0,G343&gt;=IF(A343&lt;DATEVALUE("2025/12/28")+TIMEVALUE("6:00"),20,18)/24/60),0,2-INT(G343*24*60/10)))</f>
        <v>2</v>
      </c>
      <c r="L343">
        <f t="shared" ref="L343" si="1015">L342+K343</f>
        <v>429</v>
      </c>
      <c r="M343">
        <f t="shared" ref="M343" si="1016">2+IF(A343&gt;=DATEVALUE("2025/11/30")+TIMEVALUE("6:00"),1,0)+IF(A343&gt;=DATEVALUE("2025/12/11")+TIMEVALUE("6:00"),1,0)</f>
        <v>4</v>
      </c>
      <c r="N343">
        <f t="shared" ref="N343" si="1017">N342+M343*(INT(A343-6/24)-INT(A342-6/24))+O343</f>
        <v>440</v>
      </c>
      <c r="O343">
        <f t="shared" ref="O343" si="1018">IF(A343&gt;=DATEVALUE("2025/11/8")+TIMEVALUE("6:00"),1,0)-IF(A342&gt;=DATEVALUE("2025/11/8")+TIMEVALUE("6:00"),1,0)
+IF(A343&gt;=DATEVALUE("2026/1/22")+TIMEVALUE("6:00"),3,0)-IF(A342&gt;=DATEVALUE("2026/1/22")+TIMEVALUE("6:00"),3,0)
+IF(A343&gt;=DATEVALUE("2026/2/21")+TIMEVALUE("6:00"),1,0)-IF(A342&gt;=DATEVALUE("2026/2/21")+TIMEVALUE("6:00"),1,0)</f>
        <v>0</v>
      </c>
      <c r="P343" t="str">
        <f t="shared" ref="P343" si="1019">IF(L343&lt;N343,"未達成（"&amp;N343-L343&amp;"）",IF(L343=N343,"達成","前倒し（"&amp;L343-N343&amp;"）"))</f>
        <v>未達成（11）</v>
      </c>
      <c r="Q343">
        <f t="shared" ref="Q343" si="1020">IF(B343="",NA(),G343)</f>
        <v>5.914351851970423E-3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46088.306990740741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2026-03-06T22:30:47Z</dcterms:modified>
</cp:coreProperties>
</file>